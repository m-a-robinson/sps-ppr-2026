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queryTables/queryTable1.xml" ContentType="application/vnd.openxmlformats-officedocument.spreadsheetml.queryTable+xml"/>
  <Override PartName="/xl/tables/table131.xml" ContentType="application/vnd.openxmlformats-officedocument.spreadsheetml.table+xml"/>
  <Override PartName="/xl/queryTables/queryTable2.xml" ContentType="application/vnd.openxmlformats-officedocument.spreadsheetml.queryTable+xml"/>
  <Override PartName="/xl/tables/table132.xml" ContentType="application/vnd.openxmlformats-officedocument.spreadsheetml.table+xml"/>
  <Override PartName="/xl/queryTables/queryTable3.xml" ContentType="application/vnd.openxmlformats-officedocument.spreadsheetml.queryTable+xml"/>
  <Override PartName="/xl/tables/table133.xml" ContentType="application/vnd.openxmlformats-officedocument.spreadsheetml.table+xml"/>
  <Override PartName="/xl/queryTables/queryTable4.xml" ContentType="application/vnd.openxmlformats-officedocument.spreadsheetml.queryTable+xml"/>
  <Override PartName="/xl/tables/table134.xml" ContentType="application/vnd.openxmlformats-officedocument.spreadsheetml.table+xml"/>
  <Override PartName="/xl/queryTables/queryTable5.xml" ContentType="application/vnd.openxmlformats-officedocument.spreadsheetml.queryTable+xml"/>
  <Override PartName="/xl/tables/table135.xml" ContentType="application/vnd.openxmlformats-officedocument.spreadsheetml.table+xml"/>
  <Override PartName="/xl/queryTables/queryTable6.xml" ContentType="application/vnd.openxmlformats-officedocument.spreadsheetml.queryTable+xml"/>
  <Override PartName="/xl/tables/table136.xml" ContentType="application/vnd.openxmlformats-officedocument.spreadsheetml.table+xml"/>
  <Override PartName="/xl/queryTables/queryTable7.xml" ContentType="application/vnd.openxmlformats-officedocument.spreadsheetml.queryTable+xml"/>
  <Override PartName="/xl/tables/table137.xml" ContentType="application/vnd.openxmlformats-officedocument.spreadsheetml.table+xml"/>
  <Override PartName="/xl/queryTables/queryTable8.xml" ContentType="application/vnd.openxmlformats-officedocument.spreadsheetml.queryTable+xml"/>
  <Override PartName="/xl/tables/table138.xml" ContentType="application/vnd.openxmlformats-officedocument.spreadsheetml.table+xml"/>
  <Override PartName="/xl/queryTables/queryTable9.xml" ContentType="application/vnd.openxmlformats-officedocument.spreadsheetml.queryTable+xml"/>
  <Override PartName="/xl/tables/table139.xml" ContentType="application/vnd.openxmlformats-officedocument.spreadsheetml.table+xml"/>
  <Override PartName="/xl/tables/table14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2156" documentId="8_{20AD63D6-7E4E-4EFA-BE5C-A6DF2DDE1EA8}" xr6:coauthVersionLast="47" xr6:coauthVersionMax="47" xr10:uidLastSave="{2A81D22C-A6F4-48BC-BB48-5C855100A4ED}"/>
  <bookViews>
    <workbookView xWindow="-120" yWindow="-120" windowWidth="51840" windowHeight="21120" activeTab="14" xr2:uid="{8D7B9789-0724-4FF2-A9AF-E462B2920CAC}"/>
  </bookViews>
  <sheets>
    <sheet name="Sheet1" sheetId="87" r:id="rId1"/>
    <sheet name="4202SPS" sheetId="75" r:id="rId2"/>
    <sheet name="4401SPS" sheetId="76" r:id="rId3"/>
    <sheet name="5401SPS" sheetId="79" r:id="rId4"/>
    <sheet name="5402SPS" sheetId="77" r:id="rId5"/>
    <sheet name="5403SPS" sheetId="80" r:id="rId6"/>
    <sheet name="5404SPS" sheetId="78" r:id="rId7"/>
    <sheet name="5405SPS" sheetId="81" r:id="rId8"/>
    <sheet name="6404SPS" sheetId="82" r:id="rId9"/>
    <sheet name="6405SPS" sheetId="83" r:id="rId10"/>
    <sheet name="6403SPS" sheetId="84" r:id="rId11"/>
    <sheet name="6097SPS" sheetId="85" r:id="rId12"/>
    <sheet name="Module (13)" sheetId="86" r:id="rId13"/>
    <sheet name="6401SPS" sheetId="7" r:id="rId14"/>
    <sheet name="SC_ModuleOverview" sheetId="120" r:id="rId15"/>
    <sheet name="SC_Hours_Wide" sheetId="119" r:id="rId16"/>
    <sheet name="SC_Meta_Wide" sheetId="118" r:id="rId17"/>
    <sheet name="SC_SkillsCoverage" sheetId="117" r:id="rId18"/>
    <sheet name="SC_Mapping" sheetId="116" r:id="rId19"/>
    <sheet name="SC_Hours" sheetId="115" r:id="rId20"/>
    <sheet name="SC_Assess" sheetId="114" r:id="rId21"/>
    <sheet name="SC_LO" sheetId="113" r:id="rId22"/>
    <sheet name="SC_Meta" sheetId="112" r:id="rId23"/>
    <sheet name="LISTS" sheetId="4" r:id="rId24"/>
  </sheets>
  <definedNames>
    <definedName name="ApplicationofKnowledge">_xlfn.ANCHORARRAY(LISTS!$O$37)</definedName>
    <definedName name="Communication">_xlfn.ANCHORARRAY(LISTS!$O$62)</definedName>
    <definedName name="DeliveryEnvironment">_xlfn.ANCHORARRAY(LISTS!$O$89)</definedName>
    <definedName name="ExternalData_1" localSheetId="22" hidden="1">SC_Meta!$A$1:$I$146</definedName>
    <definedName name="ExternalData_2" localSheetId="21" hidden="1">SC_LO!$A$1:$I$28</definedName>
    <definedName name="ExternalData_3" localSheetId="20" hidden="1">SC_Assess!$A$1:$M$25</definedName>
    <definedName name="ExternalData_4" localSheetId="19" hidden="1">SC_Hours!$A$1:$I$109</definedName>
    <definedName name="ExternalData_5" localSheetId="18" hidden="1">SC_Mapping!$A$1:$K$129</definedName>
    <definedName name="ExternalData_6" localSheetId="17" hidden="1">SC_SkillsCoverage!$A$1:$E$65</definedName>
    <definedName name="ExternalData_7" localSheetId="16" hidden="1">SC_Meta_Wide!$A$1:$O$19</definedName>
    <definedName name="ExternalData_8" localSheetId="15" hidden="1">SC_Hours_Wide!$A$1:$M$19</definedName>
    <definedName name="ExternalData_9" localSheetId="14" hidden="1">SC_ModuleOverview!$A$1:$I$19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6" l="1"/>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EAE97AFA-75EF-4386-856E-F78D8637B247}" keepAlive="1" name="Query - SC_Hours_Wide" description="Connection to the 'SC_Hours_Wide' query in the workbook." type="5" refreshedVersion="8" background="1" saveData="1">
    <dbPr connection="Provider=Microsoft.Mashup.OleDb.1;Data Source=$Workbook$;Location=SC_Hours_Wide;Extended Properties=&quot;&quot;" command="SELECT * FROM [SC_Hours_Wide]"/>
  </connection>
  <connection id="15" xr16:uid="{FB1A0192-CD8C-4F49-9212-9014FB47FFF4}" keepAlive="1" name="Query - SC_Hours_Wide1" description="Connection to the 'SC_Hours_Wide' query in the workbook." type="5" refreshedVersion="0" background="1" saveData="1">
    <dbPr connection="Provider=Microsoft.Mashup.OleDb.1;Data Source=$Workbook$;Location=SC_Hours_Wide;Extended Properties=&quot;&quot;" command="SELECT * FROM [SC_Hours_Wide]"/>
  </connection>
  <connection id="16"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7"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8"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9" xr16:uid="{94119C8B-1C92-4B60-8509-F43C4AF76847}" keepAlive="1" name="Query - SC_Meta_Wide(1)" description="Connection to the 'SC_Meta_Wide' query in the workbook." type="5" refreshedVersion="8" background="1" saveData="1">
    <dbPr connection="Provider=Microsoft.Mashup.OleDb.1;Data Source=$Workbook$;Location=SC_Meta_Wide;Extended Properties=&quot;&quot;" command="SELECT * FROM [SC_Meta_Wide]"/>
  </connection>
  <connection id="20" xr16:uid="{E1886F83-38AC-4840-B1D7-430161575D94}" keepAlive="1" name="Query - SC_ModuleOverview" description="Connection to the 'SC_ModuleOverview' query in the workbook." type="5" refreshedVersion="8" background="1" saveData="1">
    <dbPr connection="Provider=Microsoft.Mashup.OleDb.1;Data Source=$Workbook$;Location=SC_ModuleOverview;Extended Properties=&quot;&quot;" command="SELECT * FROM [SC_ModuleOverview]"/>
  </connection>
  <connection id="21" xr16:uid="{67DE8842-C49C-4231-8A45-0A14159A1E8B}" keepAlive="1" name="Query - SC_ModuleOverview1" description="Connection to the 'SC_ModuleOverview' query in the workbook." type="5" refreshedVersion="0" background="1" saveData="1">
    <dbPr connection="Provider=Microsoft.Mashup.OleDb.1;Data Source=$Workbook$;Location=SC_ModuleOverview;Extended Properties=&quot;&quot;" command="SELECT * FROM [SC_ModuleOverview]"/>
  </connection>
  <connection id="22"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3"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4"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5"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<sst xmlns="http://schemas.openxmlformats.org/spreadsheetml/2006/main" count="6276" uniqueCount="499">
  <si>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</si>
  <si>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</si>
  <si>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</si>
  <si>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</si>
  <si>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</si>
  <si>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</si>
  <si>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</si>
  <si>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</si>
  <si>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</si>
  <si>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</si>
  <si>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</si>
  <si>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</si>
  <si>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</si>
  <si>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</si>
  <si>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</si>
  <si>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</si>
  <si>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</si>
  <si>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</si>
  <si>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</si>
  <si>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</si>
  <si>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</si>
  <si>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Sport Coaching</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</si>
  <si>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</si>
  <si>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 xml:space="preserve">Physical Education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</si>
  <si>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</si>
  <si>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</si>
  <si>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</si>
  <si>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</si>
  <si>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</si>
  <si>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</si>
  <si>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</si>
  <si>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</si>
  <si>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</si>
  <si>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</si>
  <si>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</si>
  <si>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</si>
  <si>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</si>
  <si>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</si>
  <si>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</si>
  <si>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</si>
  <si>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</si>
  <si>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</si>
  <si>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</si>
  <si>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</si>
  <si>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</si>
  <si>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</si>
  <si>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</si>
  <si>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</si>
  <si>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</si>
  <si>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</si>
  <si>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</si>
  <si>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</si>
  <si>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</si>
  <si>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</si>
  <si>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</si>
  <si>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</si>
  <si>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</si>
  <si>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</si>
  <si>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</si>
  <si>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</si>
  <si>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</si>
  <si>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</si>
  <si>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</si>
  <si>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</si>
  <si>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</si>
  <si>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Scientific knowledge</t>
  </si>
  <si>
    <t>Contextual application</t>
  </si>
  <si>
    <t>Application of knowledge and skills</t>
  </si>
  <si>
    <t>Professional judgement</t>
  </si>
  <si>
    <t>Understanding and use of research</t>
  </si>
  <si>
    <t>Decision-making</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</si>
  <si>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</si>
  <si>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</si>
  <si>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</si>
  <si>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</si>
  <si>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</si>
  <si>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</si>
  <si>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</si>
  <si>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</si>
  <si>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</si>
  <si>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</si>
  <si>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</si>
  <si>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</si>
  <si>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</si>
  <si>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</si>
  <si>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</si>
  <si>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</si>
  <si>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</si>
  <si>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</si>
  <si>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</si>
  <si>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</si>
  <si>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</si>
  <si>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</si>
  <si>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</si>
  <si>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</si>
  <si>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</si>
  <si>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</si>
  <si>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</si>
  <si>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</si>
  <si>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</si>
  <si>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 xml:space="preserve">Professional Practice in Sport Coaching 1 </t>
  </si>
  <si>
    <t>Presentation</t>
  </si>
  <si>
    <t>Group Presentation</t>
  </si>
  <si>
    <t>Group presentation on biomechanical principles in weightlifting</t>
  </si>
  <si>
    <t>Information retrieval</t>
  </si>
  <si>
    <t>Scientific literacy</t>
  </si>
  <si>
    <t>Communication</t>
  </si>
  <si>
    <t>Oral presentation</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</si>
  <si>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</si>
  <si>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</si>
  <si>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</si>
  <si>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</si>
  <si>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</si>
  <si>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</si>
  <si>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</si>
  <si>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</si>
  <si>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</si>
  <si>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</si>
  <si>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</si>
  <si>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</si>
  <si>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</si>
  <si>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</si>
  <si>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</si>
  <si>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</si>
  <si>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</si>
  <si>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5401SPS</t>
  </si>
  <si>
    <t>Professional Practice in Sport Coaching 2</t>
  </si>
  <si>
    <t>5402SPS</t>
  </si>
  <si>
    <t>Effective Coaching in Paralympic and Disability Sport</t>
  </si>
  <si>
    <t>5403SPS</t>
  </si>
  <si>
    <t>Strength and Conditioning for Coaches</t>
  </si>
  <si>
    <t>5404SPS</t>
  </si>
  <si>
    <t>Learning Theory and Practice</t>
  </si>
  <si>
    <t>5405SPS</t>
  </si>
  <si>
    <t>Youth and Community Football Coaching</t>
  </si>
  <si>
    <t>6404SPS</t>
  </si>
  <si>
    <t xml:space="preserve">Advanced Coaching Practice </t>
  </si>
  <si>
    <t>6405SPS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</si>
  <si>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</si>
  <si>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</si>
  <si>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Colin Lewis</t>
  </si>
  <si>
    <t>Column1</t>
  </si>
  <si>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</si>
  <si>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charset val="1"/>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</si>
  <si>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</si>
  <si>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</si>
  <si>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Report</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</si>
  <si>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</si>
  <si>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</si>
  <si>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</si>
  <si>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</si>
  <si>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</si>
  <si>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</si>
  <si>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</si>
  <si>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</si>
  <si>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</si>
  <si>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</si>
  <si>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</si>
  <si>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Designing Coach Learning </t>
  </si>
  <si>
    <t>Facilitating Communities of Practice  </t>
  </si>
  <si>
    <t>Evaluating Coach Learning </t>
  </si>
  <si>
    <t>Professional Practice </t>
  </si>
  <si>
    <t>Assessment preparation </t>
  </si>
  <si>
    <t>6403SPS</t>
  </si>
  <si>
    <t xml:space="preserve">Placement/Projects in Sport for Professional Development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</si>
  <si>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</si>
  <si>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</si>
  <si>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</si>
  <si>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rPr>
      <t xml:space="preserve">The UK high-performance sport system 
</t>
    </r>
    <r>
      <rPr>
        <sz val="11"/>
        <color rgb="FF000000"/>
        <rFont val="Aptos Narrow"/>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</si>
  <si>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</si>
  <si>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rPr>
      <t xml:space="preserve">Applied interdisciplinary performance sport science support 
</t>
    </r>
    <r>
      <rPr>
        <sz val="11"/>
        <color rgb="FF000000"/>
        <rFont val="Aptos Narrow"/>
      </rPr>
      <t xml:space="preserve">-     What is Take to Win Modelling 
-     Monitoring and evaluation  over a 12 month plan
-     Performance Solutions  </t>
    </r>
  </si>
  <si>
    <t>Option module</t>
  </si>
  <si>
    <r>
      <rPr>
        <b/>
        <sz val="11"/>
        <color rgb="FF000000"/>
        <rFont val="Aptos Narrow"/>
      </rPr>
      <t xml:space="preserve"> Pathway to Performance awareness</t>
    </r>
    <r>
      <rPr>
        <sz val="11"/>
        <color rgb="FF000000"/>
        <rFont val="Aptos Narrow"/>
      </rPr>
      <t xml:space="preserve"> 
- Talent identification and long-term athlete development (LTAD / No Compromise / podium pathways)                                                                                                                            </t>
    </r>
    <r>
      <rPr>
        <b/>
        <sz val="11"/>
        <color rgb="FF000000"/>
        <rFont val="Aptos Narrow"/>
      </rPr>
      <t xml:space="preserve">Leadership and management in high-performance environments: 
</t>
    </r>
    <r>
      <rPr>
        <sz val="11"/>
        <color rgb="FF000000"/>
        <rFont val="Aptos Narrow"/>
      </rPr>
      <t xml:space="preserve">- Culture, communication, conflict management  
- Ethical and welfare considerations: safeguarding, anti-doping, mental health in elite sport 
</t>
    </r>
    <r>
      <rPr>
        <b/>
        <sz val="11"/>
        <color rgb="FF000000"/>
        <rFont val="Aptos Narrow"/>
      </rPr>
      <t>Guest speakers/ High Performance visits:</t>
    </r>
    <r>
      <rPr>
        <sz val="11"/>
        <color rgb="FF000000"/>
        <rFont val="Aptos Narrow"/>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</si>
  <si>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</si>
  <si>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</si>
  <si>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</si>
  <si>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</si>
  <si>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</si>
  <si>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scheme val="minor"/>
      </rPr>
      <t>Group podcast (15 minutes).</t>
    </r>
    <r>
      <rPr>
        <sz val="11"/>
        <color rgb="FF000000"/>
        <rFont val="Aptos Narrow"/>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</si>
  <si>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rPr>
      <t>Annual performance plan .</t>
    </r>
    <r>
      <rPr>
        <sz val="11"/>
        <color rgb="FF000000"/>
        <rFont val="Aptos Narrow"/>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</si>
  <si>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</si>
  <si>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Problem solving and impact</t>
  </si>
  <si>
    <t>Evidence-based decision making</t>
  </si>
  <si>
    <t>Evidne-based practice</t>
  </si>
  <si>
    <t>SEM401</t>
  </si>
  <si>
    <t xml:space="preserve">6401SPS? </t>
  </si>
  <si>
    <t>To develop critically informed, adaptive coaching practitioners who can design and evaluate inclusive and context-sensitive coaching environments using nonlinear pedagogy and universal design principles. </t>
  </si>
  <si>
    <t> </t>
  </si>
  <si>
    <r>
      <t>The outline syllabus consists of three fundamental themes, which are linked and integrated to the module aims (see above) and explicit learning outcomes (see below.  They are:  </t>
    </r>
    <r>
      <rPr>
        <sz val="11"/>
        <color rgb="FF000000"/>
        <rFont val="Aptos Narrow"/>
        <scheme val="minor"/>
      </rPr>
      <t> </t>
    </r>
  </si>
  <si>
    <t xml:space="preserve">Gus Ryrie </t>
  </si>
  <si>
    <r>
      <t>Theme 1:</t>
    </r>
    <r>
      <rPr>
        <i/>
        <sz val="11"/>
        <rFont val="Aptos Narrow"/>
        <scheme val="minor"/>
      </rPr>
      <t xml:space="preserve"> Theory and practice of ecological dynamics and constrains led approaches</t>
    </r>
    <r>
      <rPr>
        <sz val="11"/>
        <rFont val="Aptos Narrow"/>
        <scheme val="minor"/>
      </rPr>
      <t> </t>
    </r>
  </si>
  <si>
    <r>
      <t> </t>
    </r>
    <r>
      <rPr>
        <sz val="12"/>
        <rFont val="Arial"/>
        <charset val="1"/>
      </rPr>
      <t> </t>
    </r>
  </si>
  <si>
    <r>
      <t>Theme 2:</t>
    </r>
    <r>
      <rPr>
        <i/>
        <sz val="11"/>
        <rFont val="Aptos Narrow"/>
        <scheme val="minor"/>
      </rPr>
      <t xml:space="preserve"> Theory and practice of Universal Design</t>
    </r>
    <r>
      <rPr>
        <sz val="11"/>
        <rFont val="Aptos Narrow"/>
        <scheme val="minor"/>
      </rPr>
      <t> </t>
    </r>
  </si>
  <si>
    <r>
      <t>Theme 3:</t>
    </r>
    <r>
      <rPr>
        <i/>
        <sz val="11"/>
        <rFont val="Aptos Narrow"/>
        <scheme val="minor"/>
      </rPr>
      <t xml:space="preserve"> Delivering learning environments to meet the needs of different population </t>
    </r>
  </si>
  <si>
    <r>
      <t>Lectures</t>
    </r>
    <r>
      <rPr>
        <sz val="11"/>
        <color rgb="FF000000"/>
        <rFont val="Aptos Narrow"/>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</si>
  <si>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</si>
  <si>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r>
      <t>Seminar/workshop</t>
    </r>
    <r>
      <rPr>
        <sz val="11"/>
        <color rgb="FF000000"/>
        <rFont val="Aptos Narrow"/>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</si>
  <si>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</si>
  <si>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</si>
  <si>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</si>
  <si>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</si>
  <si>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</si>
  <si>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</si>
  <si>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r>
      <t>Lecture, practical tasks and wider reading</t>
    </r>
    <r>
      <rPr>
        <sz val="11"/>
        <color rgb="FF000000"/>
        <rFont val="Aptos Narrow"/>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</si>
  <si>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</si>
  <si>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</si>
  <si>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</si>
  <si>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</si>
  <si>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Domian-specfic analytical skills</t>
  </si>
  <si>
    <t>Translational practice</t>
  </si>
  <si>
    <t>Analytical thinking</t>
  </si>
  <si>
    <t>Management of self and others</t>
  </si>
  <si>
    <t>Coaching and mentoring</t>
  </si>
  <si>
    <t xml:space="preserve">Module Intergration Leccture </t>
  </si>
  <si>
    <t xml:space="preserve">Practical on subject </t>
  </si>
  <si>
    <r>
      <t>Ecological approach to learning</t>
    </r>
    <r>
      <rPr>
        <b/>
        <sz val="11"/>
        <color rgb="FF000000"/>
        <rFont val="Aptos Narrow"/>
        <scheme val="minor"/>
      </rPr>
      <t> </t>
    </r>
    <r>
      <rPr>
        <sz val="11"/>
        <color rgb="FF000000"/>
        <rFont val="Aptos Narrow"/>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</si>
  <si>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</si>
  <si>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</si>
  <si>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</si>
  <si>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</si>
  <si>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</si>
  <si>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</si>
  <si>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</si>
  <si>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</si>
  <si>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</si>
  <si>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</si>
  <si>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Table 1</t>
  </si>
  <si>
    <t>Table 3</t>
  </si>
  <si>
    <t>Table 5</t>
  </si>
  <si>
    <t>Exam</t>
  </si>
  <si>
    <t>YL</t>
  </si>
  <si>
    <t>Self-evaluation and professional development</t>
  </si>
  <si>
    <t>Lab Report</t>
  </si>
  <si>
    <t>Understanding the delivery environment</t>
  </si>
  <si>
    <t>Viva</t>
  </si>
  <si>
    <t>Professional relationships and behaviours</t>
  </si>
  <si>
    <t>Prof Practice Strand</t>
  </si>
  <si>
    <t>Dissertation</t>
  </si>
  <si>
    <t>Research Strand</t>
  </si>
  <si>
    <t>Essay</t>
  </si>
  <si>
    <t>Research Project</t>
  </si>
  <si>
    <t>Category</t>
  </si>
  <si>
    <t>Skill</t>
  </si>
  <si>
    <t>Placement</t>
  </si>
  <si>
    <t>Individual Presentation</t>
  </si>
  <si>
    <t>Scientific Knowledge</t>
  </si>
  <si>
    <t>Category text shown to user</t>
  </si>
  <si>
    <t>Defined Name</t>
  </si>
  <si>
    <t>Case Study</t>
  </si>
  <si>
    <t>ScientificKnowledge</t>
  </si>
  <si>
    <t>Data Analysis</t>
  </si>
  <si>
    <t>TechnicalSkills</t>
  </si>
  <si>
    <t>Video</t>
  </si>
  <si>
    <t>ApplicationofKnowledge</t>
  </si>
  <si>
    <t>Infographic</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</si>
  <si>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</si>
  <si>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</si>
  <si>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</si>
  <si>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</si>
  <si>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</si>
  <si>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</si>
  <si>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</si>
  <si>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</si>
  <si>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</si>
  <si>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</si>
  <si>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</si>
  <si>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</si>
  <si>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In Person Exam</t>
  </si>
  <si>
    <t>Technical Skills</t>
  </si>
  <si>
    <t>MgmtSelf</t>
  </si>
  <si>
    <t>Digital literacy</t>
  </si>
  <si>
    <t>DeliveryEnvironment</t>
  </si>
  <si>
    <t>Sport Nutrition</t>
  </si>
  <si>
    <t>ProfRelationships</t>
  </si>
  <si>
    <t>Sport Psychology</t>
  </si>
  <si>
    <t>Technical proficiency</t>
  </si>
  <si>
    <t>SES and FS</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</si>
  <si>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</si>
  <si>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</si>
  <si>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</si>
  <si>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</si>
  <si>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</si>
  <si>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</si>
  <si>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</si>
  <si>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</si>
  <si>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</si>
  <si>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</si>
  <si>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</si>
  <si>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Research communication</t>
  </si>
  <si>
    <t>Reflective practice</t>
  </si>
  <si>
    <t>Self-awareness</t>
  </si>
  <si>
    <t>Lifelong learning</t>
  </si>
  <si>
    <t>Personal development planning</t>
  </si>
  <si>
    <t>Resilience</t>
  </si>
  <si>
    <t>Initiative</t>
  </si>
  <si>
    <t>Accountability</t>
  </si>
  <si>
    <t>Written communication</t>
  </si>
  <si>
    <t>Active listening</t>
  </si>
  <si>
    <t>Interpesronal communication</t>
  </si>
  <si>
    <t>Digital communication</t>
  </si>
  <si>
    <t>problem identification</t>
  </si>
  <si>
    <t>Creative thinking</t>
  </si>
  <si>
    <t>Innovation</t>
  </si>
  <si>
    <t>Evaluation of outcomes</t>
  </si>
  <si>
    <t>Leadership</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</si>
  <si>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</si>
  <si>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</si>
  <si>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</si>
  <si>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</si>
  <si>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</si>
  <si>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</si>
  <si>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</si>
  <si>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</si>
  <si>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</si>
  <si>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</si>
  <si>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</si>
  <si>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</si>
  <si>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</si>
  <si>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</si>
  <si>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</si>
  <si>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</si>
  <si>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</si>
  <si>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</si>
  <si>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</si>
  <si>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</si>
  <si>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Modules Covering</t>
  </si>
  <si>
    <t>Module Count</t>
  </si>
  <si>
    <t>Covered</t>
  </si>
  <si>
    <t>Human Movement; Major Project</t>
  </si>
  <si>
    <t>Exercise Phys L4; Human Movement; Major Project</t>
  </si>
  <si>
    <t>Exercise Phys L4</t>
  </si>
  <si>
    <t>Human Movement</t>
  </si>
  <si>
    <t>ModuleCode</t>
  </si>
  <si>
    <t>ModuleTitle</t>
  </si>
  <si>
    <t>4091SPS</t>
  </si>
  <si>
    <t>Research Methods 1</t>
  </si>
  <si>
    <t>4092SPS</t>
  </si>
  <si>
    <t>Gemma Miller (TBC)</t>
  </si>
  <si>
    <t>4093SPS</t>
  </si>
  <si>
    <t>Psychosocial Principles of Sport and Exercise</t>
  </si>
  <si>
    <t>Kathryn Curran</t>
  </si>
  <si>
    <t>4094SPS</t>
  </si>
  <si>
    <t>Katie Fitton Davies</t>
  </si>
  <si>
    <t>5093SPS</t>
  </si>
  <si>
    <t>Sport and Performance Psychology</t>
  </si>
  <si>
    <t>James Roberts</t>
  </si>
  <si>
    <t>6091SPS</t>
  </si>
  <si>
    <t>Major Project</t>
  </si>
  <si>
    <t>6093SPS</t>
  </si>
  <si>
    <t>Strength and Conditioning</t>
  </si>
  <si>
    <t>Chelsea Oxendale</t>
  </si>
  <si>
    <t>SourceWorkbook</t>
  </si>
  <si>
    <t>Programme</t>
  </si>
  <si>
    <t>TableName</t>
  </si>
  <si>
    <t>ProgCode</t>
  </si>
  <si>
    <t>4202SPS_Hours</t>
  </si>
  <si>
    <t>Sport Coaching - AllModuleProformas.xlsx</t>
  </si>
  <si>
    <t>6097SPS_Hours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</si>
  <si>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</si>
  <si>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</si>
  <si>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</si>
  <si>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</si>
  <si>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</si>
  <si>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</si>
  <si>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</si>
  <si>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</si>
  <si>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</si>
  <si>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Meta</t>
  </si>
  <si>
    <t>6093SPS_Meta</t>
  </si>
  <si>
    <t>6091SPS_Meta</t>
  </si>
  <si>
    <t>4094SPS_Meta</t>
  </si>
  <si>
    <t>4092SPS_Meta</t>
  </si>
  <si>
    <t>xxx</t>
  </si>
  <si>
    <t>4091SPS_Meta</t>
  </si>
  <si>
    <t>5093SPS_Meta</t>
  </si>
  <si>
    <t>4093SPS_Meta</t>
  </si>
  <si>
    <t>6097SPS_Meta</t>
  </si>
  <si>
    <t>4202SPS_Meta</t>
  </si>
  <si>
    <t>ItemSuffix</t>
  </si>
  <si>
    <t>Mapping</t>
  </si>
  <si>
    <t>4202SPS_Mapping</t>
  </si>
  <si>
    <t>4091SPS_Mapping</t>
  </si>
  <si>
    <t>4092SPS_Mapping</t>
  </si>
  <si>
    <t>4094SPS_Mapping</t>
  </si>
  <si>
    <t>6093SPS_Mapping</t>
  </si>
  <si>
    <t>6091SPS_Mapping</t>
  </si>
  <si>
    <t>6097SPS_Mapping</t>
  </si>
  <si>
    <t>4093SPS_Mapping</t>
  </si>
  <si>
    <t>5093SPS_Mapping</t>
  </si>
  <si>
    <t>Hours</t>
  </si>
  <si>
    <t>Assess</t>
  </si>
  <si>
    <t>4202SPS_Assess</t>
  </si>
  <si>
    <t>Lab Report Portfolio: Lab Report 1 Submission + Peer Review Activity + Reflection + Lab Report 2 Submission</t>
  </si>
  <si>
    <t>4092SPS_Assess</t>
  </si>
  <si>
    <t xml:space="preserve">In person Online MCQ Exam </t>
  </si>
  <si>
    <t>Online exam where students choose 3 out of 6 possible videos of movement to deconstruct a joint of their choice through MCQ and open text responses</t>
  </si>
  <si>
    <t>4094SPS_Assess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</si>
  <si>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</si>
  <si>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10 minute pre-recorded needs analysis presentation</t>
  </si>
  <si>
    <t>6093SPS_Assess</t>
  </si>
  <si>
    <t>Training Programme and Viva Defence</t>
  </si>
  <si>
    <t xml:space="preserve">Students are required to submit a thesis that describes and reports the major project that they conducted using the scientific method, e.g., Introduction, Methods, Results and Discussion. </t>
  </si>
  <si>
    <t>6091SPS_Assess</t>
  </si>
  <si>
    <t xml:space="preserve">Students are required to manage their own project throughout the year and produce, present and defend their major project </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</si>
  <si>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</si>
  <si>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</si>
  <si>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</si>
  <si>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 xml:space="preserve">90 minute and 60 question MCT to cover material delivered during weeks 1-6 of the module. </t>
  </si>
  <si>
    <t>January Assessment Week 1</t>
  </si>
  <si>
    <t>4093SPS_Assess</t>
  </si>
  <si>
    <t>90 minute and 60 question MCT to cover material delivered during weeks 8-12 of the module. </t>
  </si>
  <si>
    <t>January Assessment Week 2</t>
  </si>
  <si>
    <t>In-class video observation and short-answer questions</t>
  </si>
  <si>
    <t>5093SPS_Assess</t>
  </si>
  <si>
    <t>In-class short- and multi-choice answer questions</t>
  </si>
  <si>
    <t>13-14</t>
  </si>
  <si>
    <t>LO</t>
  </si>
  <si>
    <t>Describe the basic structure and function of key physiological systems and metabolic processes.</t>
  </si>
  <si>
    <t>4092SPS_LO</t>
  </si>
  <si>
    <t>Describe and explain how key physiological systems and metabolic processes respond to acute exercise.</t>
  </si>
  <si>
    <t>Collect, present and interpret physiological data using appropriate scientific methods and conventions.</t>
  </si>
  <si>
    <t>Describe human anatomical structure and function and apply these concepts to sport, exercise and health</t>
  </si>
  <si>
    <t>4094SPS_LO</t>
  </si>
  <si>
    <t>Apply concepts and techniques of biomechanics to sport, exercise, and health</t>
  </si>
  <si>
    <t>Apply concepts and techniques of skill acquisition to sport, exercise, and health</t>
  </si>
  <si>
    <t>Complete an athlete needs analysis and analyse the data against norms found within academic literature</t>
  </si>
  <si>
    <t>6093SPS_LO</t>
  </si>
  <si>
    <t>Design an athlete training programme in consideration of the athlete needs analysis and scientific determinants of performance.</t>
  </si>
  <si>
    <t>Design safe and effective coaching sessions to athletes</t>
  </si>
  <si>
    <t>Apply skills and competencies to conduct research in an area relevant to their programme of study</t>
  </si>
  <si>
    <t>6091SPS_LO</t>
  </si>
  <si>
    <t>Critically appraise the research in a written format as specified by the major project guidelines</t>
  </si>
  <si>
    <t>Present and defend the progress and summary of the project and its findings in a scientific manner</t>
  </si>
  <si>
    <t>6097SPS_LO</t>
  </si>
  <si>
    <t>Outline the importance of psychology, sociology and psychosocial principles in sport and exercise.</t>
  </si>
  <si>
    <t>4093SPS_LO</t>
  </si>
  <si>
    <t>Describe the individual and environmental psychosocial principles associated with sport and exercise.</t>
  </si>
  <si>
    <t>Describe the social processes and behavioural outcomes associated with sport and exercise.</t>
  </si>
  <si>
    <t>Evaluate individual and environmental psychological principles associated with sport performance.</t>
  </si>
  <si>
    <t>5093SPS_LO</t>
  </si>
  <si>
    <t>Evaluate the identification and development of perceptual-cognitive expertise within sport.</t>
  </si>
  <si>
    <t>COACH</t>
  </si>
  <si>
    <t>4401SPS_Meta</t>
  </si>
  <si>
    <t>Professional Practice in Sport Coaching 1</t>
  </si>
  <si>
    <t>5401SPS_Meta</t>
  </si>
  <si>
    <t>5402SPS_Meta</t>
  </si>
  <si>
    <t>5403SPS_Meta</t>
  </si>
  <si>
    <t>5404SPS_Meta</t>
  </si>
  <si>
    <t>5405SPS_Meta</t>
  </si>
  <si>
    <t>6404SPS_Meta</t>
  </si>
  <si>
    <t>Advanced Coaching Practice</t>
  </si>
  <si>
    <t>6405SPS_Meta</t>
  </si>
  <si>
    <t>Coach Development and Learning</t>
  </si>
  <si>
    <t>6403SPS_Meta</t>
  </si>
  <si>
    <t>Placement/Projects in Sport for Professional Development</t>
  </si>
  <si>
    <t>4202SPS_LO</t>
  </si>
  <si>
    <t>6405SPS_LO</t>
  </si>
  <si>
    <t>Critically analyse the role, knowledge, skills and professional behaviours required of effective coach developers across diverse coaching contexts. </t>
  </si>
  <si>
    <t>4401SPS_Assess</t>
  </si>
  <si>
    <t>5401SPS_Assess</t>
  </si>
  <si>
    <t>5402SPS_Assess</t>
  </si>
  <si>
    <t>5403SPS_Assess</t>
  </si>
  <si>
    <t>5404SPS_Assess</t>
  </si>
  <si>
    <t>5405SPS_Assess</t>
  </si>
  <si>
    <t>6404SPS_Assess</t>
  </si>
  <si>
    <t>6405SPS_Assess</t>
  </si>
  <si>
    <t>6403SPS_Assess</t>
  </si>
  <si>
    <t>4401SPS_Hours</t>
  </si>
  <si>
    <t>5401SPS_Hours</t>
  </si>
  <si>
    <t>5402SPS_Hours</t>
  </si>
  <si>
    <t>5403SPS_Hours</t>
  </si>
  <si>
    <t>5404SPS_Hours</t>
  </si>
  <si>
    <t>5405SPS_Hours</t>
  </si>
  <si>
    <t>6404SPS_Hours</t>
  </si>
  <si>
    <t>6405SPS_Hours</t>
  </si>
  <si>
    <t>6403SPS_Hours</t>
  </si>
  <si>
    <t>4401SPS_Mapping</t>
  </si>
  <si>
    <t>5401SPS_Mapping</t>
  </si>
  <si>
    <t>5402SPS_Mapping</t>
  </si>
  <si>
    <t>5403SPS_Mapping</t>
  </si>
  <si>
    <t>5404SPS_Mapping</t>
  </si>
  <si>
    <t>5405SPS_Mapping</t>
  </si>
  <si>
    <t>6404SPS_Mapping</t>
  </si>
  <si>
    <t>6405SPS_Mapping</t>
  </si>
  <si>
    <t>6403SPS_Mapping</t>
  </si>
  <si>
    <t>Exercise Phys L4; Strength and Conditioning; Major Project; Coach Development and Learning</t>
  </si>
  <si>
    <t>Research Methods 1; Exercise Phys L4;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</si>
  <si>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Learning Theory and Practice 1; Exercise Phys L4; Major Project; Sport and Performance Psychology</t>
  </si>
  <si>
    <t>Research Methods 1; Human Movement; 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Psychosocial Principles of Sport and Exercise; Sport and Performance Psychology</t>
  </si>
  <si>
    <t>Research Methods 1;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</si>
  <si>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Research Methods 1; Human Movement; Strength and Conditioning; Coach Development and Learning; Working in High Performance Sport</t>
  </si>
  <si>
    <t>Research Methods 1; Exercise Phys L4; Strength and Conditioning; Major Project; Psychosocial Principles of Sport and Exercise</t>
  </si>
  <si>
    <t>Research Methods 1;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Working in High Performance Sport</t>
  </si>
  <si>
    <t>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</si>
  <si>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Research Methods 1; Exercise Phys L4</t>
  </si>
  <si>
    <t>Major Project; Working in High Performance Sport</t>
  </si>
  <si>
    <t>Working in High Performance Sport; Sport and Performance Psychology</t>
  </si>
  <si>
    <t>Total Contact Hours</t>
  </si>
  <si>
    <t>Hours per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</si>
</sst>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charset val="1"/>
    </font>
    <font>
      <b/>
      <sz val="11"/>
      <color rgb="FF000000"/>
      <name val="Aptos Narrow"/>
    </font>
    <font>
      <sz val="11"/>
      <color rgb="FF000000"/>
      <name val="Aptos Narrow"/>
    </font>
    <font>
      <b/>
      <sz val="11"/>
      <color rgb="FF000000"/>
      <name val="Aptos Narrow"/>
      <scheme val="minor"/>
    </font>
    <font>
      <sz val="11"/>
      <color rgb="FF000000"/>
      <name val="Aptos Narrow"/>
      <scheme val="minor"/>
    </font>
    <font>
      <sz val="11"/>
      <color rgb="FF000000"/>
      <name val="Calibri"/>
      <charset val="1"/>
    </font>
    <font>
      <sz val="12"/>
      <name val="Arial"/>
      <charset val="1"/>
    </font>
    <font>
      <sz val="11"/>
      <color rgb="FF000000"/>
      <name val="WordVisi_MSFontService"/>
      <charset val="1"/>
    </font>
    <font>
      <sz val="12"/>
      <color rgb="FF000000"/>
      <name val="Arial"/>
      <charset val="1"/>
    </font>
    <font>
      <sz val="12"/>
      <color rgb="FF000000"/>
      <name val="WordVisi_MSFontService"/>
      <charset val="1"/>
    </font>
    <font>
      <sz val="12"/>
      <color rgb="FF273540"/>
      <name val="Lato Extended"/>
      <charset val="1"/>
    </font>
    <font>
      <sz val="12"/>
      <color rgb="FF000000"/>
      <name val="Aptos Narrow"/>
      <scheme val="minor"/>
    </font>
    <font>
      <sz val="11"/>
      <color rgb="FF000000"/>
      <name val="Arial"/>
      <charset val="1"/>
    </font>
    <font>
      <b/>
      <sz val="12"/>
      <name val="Aptos Narrow"/>
      <scheme val="minor"/>
    </font>
    <font>
      <sz val="11"/>
      <name val="Aptos Narrow"/>
      <scheme val="minor"/>
    </font>
    <font>
      <i/>
      <sz val="12"/>
      <name val="Arial"/>
      <charset val="1"/>
    </font>
    <font>
      <i/>
      <sz val="11"/>
      <color rgb="FF000000"/>
      <name val="Aptos Narrow"/>
      <scheme val="minor"/>
    </font>
    <font>
      <b/>
      <i/>
      <sz val="11"/>
      <name val="Aptos Narrow"/>
      <scheme val="minor"/>
    </font>
    <font>
      <i/>
      <sz val="11"/>
      <name val="Aptos Narrow"/>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s>
  <cellStyleXfs count="1">
    <xf numFmtId="0" fontId="0" fillId="0" borderId="0"/>
  </cellStyleXfs>
  <cellXfs count="5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0" fillId="0" borderId="0" xfId="0" applyAlignment="1" applyProtection="1">
      <alignment wrapText="1"/>
      <protection locked="0"/>
    </xf>
    <xf numFmtId="0" fontId="8" fillId="0" borderId="0" xfId="0" applyFont="1"/>
    <xf numFmtId="0" fontId="10" fillId="0" borderId="0" xfId="0" applyFont="1" applyAlignment="1" applyProtection="1">
      <alignment wrapText="1"/>
      <protection locked="0"/>
    </xf>
    <xf numFmtId="0" fontId="9" fillId="0" borderId="0" xfId="0" applyFont="1"/>
    <xf numFmtId="0" fontId="12" fillId="0" borderId="0" xfId="0" applyFont="1" applyAlignment="1" applyProtection="1">
      <alignment horizontal="left" vertical="center" wrapText="1"/>
      <protection locked="0"/>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0" fontId="14" fillId="0" borderId="5" xfId="0" applyFont="1" applyBorder="1" applyAlignment="1">
      <alignment wrapText="1" readingOrder="1"/>
    </xf>
    <xf numFmtId="0" fontId="14" fillId="0" borderId="6" xfId="0" applyFont="1" applyBorder="1" applyAlignment="1">
      <alignment wrapText="1" readingOrder="1"/>
    </xf>
    <xf numFmtId="0" fontId="16" fillId="0" borderId="0" xfId="0" applyFont="1"/>
    <xf numFmtId="0" fontId="17" fillId="0" borderId="0" xfId="0" applyFont="1"/>
    <xf numFmtId="0" fontId="14" fillId="0" borderId="0" xfId="0" applyFont="1" applyAlignment="1" applyProtection="1">
      <alignment wrapText="1"/>
      <protection locked="0"/>
    </xf>
    <xf numFmtId="0" fontId="15" fillId="0" borderId="0" xfId="0" applyFont="1"/>
    <xf numFmtId="0" fontId="13" fillId="0" borderId="0" xfId="0" applyFont="1"/>
    <xf numFmtId="0" fontId="18" fillId="0" borderId="0" xfId="0" applyFont="1"/>
    <xf numFmtId="0" fontId="19" fillId="0" borderId="0" xfId="0" applyFont="1"/>
    <xf numFmtId="0" fontId="16" fillId="0" borderId="0" xfId="0" applyFont="1" applyAlignment="1">
      <alignment wrapText="1" readingOrder="1"/>
    </xf>
    <xf numFmtId="0" fontId="20" fillId="0" borderId="0" xfId="0" applyFont="1" applyAlignment="1">
      <alignment wrapText="1"/>
    </xf>
    <xf numFmtId="0" fontId="21" fillId="0" borderId="0" xfId="0" applyFont="1" applyAlignment="1">
      <alignment wrapText="1"/>
    </xf>
    <xf numFmtId="0" fontId="12" fillId="0" borderId="0" xfId="0" applyFont="1" applyAlignment="1">
      <alignment wrapText="1"/>
    </xf>
    <xf numFmtId="0" fontId="11" fillId="0" borderId="0" xfId="0" applyFont="1" applyAlignment="1">
      <alignment wrapText="1"/>
    </xf>
    <xf numFmtId="0" fontId="12" fillId="0" borderId="0" xfId="0" applyFont="1"/>
    <xf numFmtId="0" fontId="22" fillId="0" borderId="0" xfId="0" applyFont="1" applyAlignment="1">
      <alignment wrapText="1"/>
    </xf>
    <xf numFmtId="0" fontId="23" fillId="0" borderId="0" xfId="0" applyFont="1" applyAlignment="1">
      <alignment wrapText="1"/>
    </xf>
    <xf numFmtId="0" fontId="24" fillId="0" borderId="0" xfId="0" applyFont="1" applyAlignment="1">
      <alignment wrapText="1"/>
    </xf>
    <xf numFmtId="0" fontId="25" fillId="0" borderId="0" xfId="0" applyFont="1" applyAlignment="1">
      <alignment wrapText="1"/>
    </xf>
    <xf numFmtId="0" fontId="0" fillId="0" borderId="0" xfId="0" applyNumberFormat="1"/>
  </cellXfs>
  <cellStyles count="1">
    <cellStyle name="Normal" xfId="0" builtinId="0"/>
  </cellStyles>
  <dxfs count="43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font>
        <sz val="11"/>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0" xr16:uid="{03D42835-8694-4DA1-8E3C-11FA5F6E701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4" xr16:uid="{E48DD94A-4600-4215-814E-69CFD8F1805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9" xr16:uid="{A27E4FC9-6836-4C8A-919C-9C69B64AFF77}"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2" xr16:uid="{665BE148-7595-4368-B1BD-BC007FEF01C5}"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15D9AA02-01E2-4E56-AE62-0F75F59C1706}"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6C544E5E-0699-4F26-8887-B0375EC79F75}"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CA1174EE-EB68-4153-AD85-08569353DC9E}"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6" xr16:uid="{701CD38B-79EF-447B-8730-C4413BBE944D}"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8" xr16:uid="{6E509053-D507-423A-9F3A-40444BF70D2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3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3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3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3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3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3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3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autoFilter ref="C6:D15" xr:uid="{CD75D2A7-14B1-4ABD-B64D-6E875F9BC652}">
    <filterColumn colId="0" hiddenButton="1"/>
    <filterColumn colId="1" hiddenButton="1"/>
  </autoFilter>
  <tableColumns count="2">
    <tableColumn id="1" xr3:uid="{7B568BCE-928C-447D-BD05-0832B97C0D72}" name="Module Data" dataDxfId="438"/>
    <tableColumn id="2" xr3:uid="{706D7CC6-0EB1-4219-8291-567821A0A5B8}" name="Details" dataDxfId="437"/>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436">
  <autoFilter ref="C28:D33" xr:uid="{22316987-6BEB-4FAF-9619-BF9BE9909CFA}">
    <filterColumn colId="0" hiddenButton="1"/>
    <filterColumn colId="1" hiddenButton="1"/>
  </autoFilter>
  <tableColumns count="2">
    <tableColumn id="1" xr3:uid="{C19B4674-B83E-4A42-A7E5-5468C8752F20}" name="LO Number" dataDxfId="435"/>
    <tableColumn id="2" xr3:uid="{78F135DA-0213-417E-88FD-2F76325B6D58}" name="LO Description" dataDxfId="4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43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432"/>
    <tableColumn id="2" xr3:uid="{43E55016-0B24-4AE6-8341-2CF6FE45EFE0}" name="Assessment Type" dataDxfId="431"/>
    <tableColumn id="7" xr3:uid="{74FB69C4-57FE-4D4F-92C7-425CCB32340D}" name="Assessment Specific" dataDxfId="430"/>
    <tableColumn id="3" xr3:uid="{F392CA10-65BB-49CE-8FEA-065DB3B1250A}" name="Assessment Description" dataDxfId="429"/>
    <tableColumn id="4" xr3:uid="{63105FFB-71CB-4889-BE3D-BA168F2B1D15}" name="Weighting" dataDxfId="428"/>
    <tableColumn id="5" xr3:uid="{942301B1-78DA-47AC-B487-4A82010FBC22}" name="Due Week" dataDxfId="42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26"/>
    <tableColumn id="2" xr3:uid="{D37085D6-4B13-4E18-BF1D-72E1D211C5E2}" name="Week Number" dataDxfId="425"/>
    <tableColumn id="3" xr3:uid="{E63B3791-EF8C-42D0-9D20-9E40C6780395}" name="Weekly Content 1" dataDxfId="424"/>
    <tableColumn id="4" xr3:uid="{B1BA8E95-AF48-472D-8022-4FFD3C39E6FD}" name="Weekly Content 2" dataDxfId="423"/>
    <tableColumn id="5" xr3:uid="{77ED77D2-DF2D-4913-862F-82B54D142645}" name="Weekly Content 3" dataDxfId="422"/>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autoFilter ref="C18:D24" xr:uid="{B71A3569-AA65-4A4E-98A2-885F5C38B46D}">
    <filterColumn colId="0" hiddenButton="1"/>
    <filterColumn colId="1" hiddenButton="1"/>
  </autoFilter>
  <tableColumns count="2">
    <tableColumn id="1" xr3:uid="{A4027C00-55EA-4E91-A17F-FC7D936AA12D}" name="Component" dataDxfId="421"/>
    <tableColumn id="2" xr3:uid="{2B461470-C937-400F-A861-E1EF437460FC}" name="Contact Hours" dataDxfId="4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419" dataDxfId="418">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17"/>
    <tableColumn id="2" xr3:uid="{01ED9B44-AD4B-499E-8D3C-3B9247E57323}" name="LO Number" dataDxfId="416"/>
    <tableColumn id="3" xr3:uid="{D52384A9-63E3-4ABE-86FB-4619A06E02AF}" name="Graduate Skills Category" dataDxfId="415"/>
    <tableColumn id="4" xr3:uid="{B45DCF04-04F9-4B36-A81D-CEBACC18D2E8}" name="Graduate Skill" dataDxfId="41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dataDxfId="413">
  <autoFilter ref="F6:F8" xr:uid="{9552138F-2332-4BC4-A585-0E13162881A5}"/>
  <tableColumns count="1">
    <tableColumn id="1" xr3:uid="{00C11AD8-5667-494A-85B4-23C210D1B918}" name="Aims" dataDxfId="412"/>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dataDxfId="411">
  <autoFilter ref="F10:F14" xr:uid="{94F18F67-3F10-4F6E-A953-4FE3399B07F2}"/>
  <tableColumns count="1">
    <tableColumn id="1" xr3:uid="{8917F32D-2D78-4B3C-93BA-03E82057EA4B}" name="Outline Syllabus" dataDxfId="41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dataDxfId="409">
  <autoFilter ref="F15:F20" xr:uid="{1B2BCD7B-6C15-4B1C-86BC-48FF83D8F225}"/>
  <tableColumns count="1">
    <tableColumn id="1" xr3:uid="{B53F9EDB-3125-4C5C-A219-EFA16F274EFC}" name="Module Overview" dataDxfId="408"/>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dataDxfId="407">
  <autoFilter ref="F22:F33" xr:uid="{D5968C0A-6D7E-4221-87EE-78A85A4039B3}"/>
  <tableColumns count="1">
    <tableColumn id="1" xr3:uid="{2E1C0BC3-8EFB-4AA5-A23B-DEAB35C7DEA7}" name="Additional Information/Notes" dataDxfId="406"/>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autoFilter ref="C6:D14" xr:uid="{CD75D2A7-14B1-4ABD-B64D-6E875F9BC652}">
    <filterColumn colId="0" hiddenButton="1"/>
    <filterColumn colId="1" hiddenButton="1"/>
  </autoFilter>
  <tableColumns count="2">
    <tableColumn id="1" xr3:uid="{644E4444-F68A-4E74-BD5D-8748CD05A7D2}" name="Module Data" dataDxfId="405"/>
    <tableColumn id="2" xr3:uid="{AF6CCCE6-633B-4669-B570-EB4F893B50C4}" name="Details" dataDxfId="40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403">
  <autoFilter ref="C28:D33" xr:uid="{22316987-6BEB-4FAF-9619-BF9BE9909CFA}">
    <filterColumn colId="0" hiddenButton="1"/>
    <filterColumn colId="1" hiddenButton="1"/>
  </autoFilter>
  <tableColumns count="2">
    <tableColumn id="1" xr3:uid="{589112ED-5C99-4CD7-912A-F216AEC245F3}" name="LO Number" dataDxfId="402"/>
    <tableColumn id="2" xr3:uid="{D42319CA-BEAF-49C8-8EC7-B45F24386E7A}" name="LO Description" dataDxfId="40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40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99"/>
    <tableColumn id="2" xr3:uid="{0C168E40-BC62-40F7-8494-D9D585BBF5DD}" name="Assessment Type" dataDxfId="398"/>
    <tableColumn id="7" xr3:uid="{03042C7C-BE5A-4EDB-B18A-F162688CAFDA}" name="Assessment Specific" dataDxfId="397"/>
    <tableColumn id="3" xr3:uid="{B536E57C-91CB-491F-8850-5E1F4FFB6EC2}" name="Assessment Description" dataDxfId="396"/>
    <tableColumn id="4" xr3:uid="{CFEF4DCA-7026-4AB8-9930-965F672B21EC}" name="Weighting" dataDxfId="395"/>
    <tableColumn id="5" xr3:uid="{268A91DF-58B1-43BF-A340-0E1D33705BAA}" name="Due Week" dataDxfId="394"/>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93"/>
    <tableColumn id="2" xr3:uid="{916AD303-2708-4E40-8E0C-DE9D347BA8EA}" name="Week Number" dataDxfId="392"/>
    <tableColumn id="3" xr3:uid="{66580F8A-FF82-4503-9EBF-1B44DD45F9F5}" name="Weekly Content 1" dataDxfId="391"/>
    <tableColumn id="4" xr3:uid="{5E6D35EA-634F-45B1-8A96-068CB99E3BA7}" name="Weekly Content 2" dataDxfId="390"/>
    <tableColumn id="5" xr3:uid="{25F8B45E-A68A-40F6-AADD-D3228D0F228B}" name="Weekly Content 3" dataDxfId="389"/>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autoFilter ref="C18:D24" xr:uid="{B71A3569-AA65-4A4E-98A2-885F5C38B46D}">
    <filterColumn colId="0" hiddenButton="1"/>
    <filterColumn colId="1" hiddenButton="1"/>
  </autoFilter>
  <tableColumns count="2">
    <tableColumn id="1" xr3:uid="{E6DA5AB3-0374-477C-BB37-91CD5B04A8A7}" name="Component" dataDxfId="388"/>
    <tableColumn id="2" xr3:uid="{25171EA2-F360-4480-9A69-30F0637E5E19}" name="Contact Hours" dataDxfId="38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386" dataDxfId="385">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84"/>
    <tableColumn id="2" xr3:uid="{220CCF7F-D01D-41B9-83FA-AB3772B56C47}" name="LO Number" dataDxfId="383"/>
    <tableColumn id="3" xr3:uid="{35876AFA-8C5D-4EB6-A40B-8013521A5A47}" name="Graduate Skills Category" dataDxfId="382"/>
    <tableColumn id="4" xr3:uid="{8CC8B0ED-B11D-43C6-AB11-C69764FE383C}" name="Graduate Skill" dataDxfId="381"/>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dataDxfId="380">
  <autoFilter ref="F6:F8" xr:uid="{9552138F-2332-4BC4-A585-0E13162881A5}"/>
  <tableColumns count="1">
    <tableColumn id="1" xr3:uid="{17C9A3A3-D0C1-421C-8D52-32617D054C2E}" name="Aims" dataDxfId="379"/>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dataDxfId="378">
  <autoFilter ref="F10:F13" xr:uid="{94F18F67-3F10-4F6E-A953-4FE3399B07F2}"/>
  <tableColumns count="1">
    <tableColumn id="1" xr3:uid="{D7FF23A0-D568-4D96-9868-A6319DCE887A}" name="Outline Syllabus" dataDxfId="377"/>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dataDxfId="376">
  <autoFilter ref="F15:F20" xr:uid="{1B2BCD7B-6C15-4B1C-86BC-48FF83D8F225}"/>
  <tableColumns count="1">
    <tableColumn id="1" xr3:uid="{E558D902-00D8-4FEB-8431-38F38D3FD8C5}" name="Module Overview" dataDxfId="375"/>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dataDxfId="374">
  <autoFilter ref="F22:F33" xr:uid="{D5968C0A-6D7E-4221-87EE-78A85A4039B3}"/>
  <tableColumns count="1">
    <tableColumn id="1" xr3:uid="{C6EF2F48-EFDC-40BF-8A10-F2C80BC78705}" name="Additional Information/Notes" dataDxfId="37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autoFilter ref="C6:D14" xr:uid="{CD75D2A7-14B1-4ABD-B64D-6E875F9BC652}">
    <filterColumn colId="0" hiddenButton="1"/>
    <filterColumn colId="1" hiddenButton="1"/>
  </autoFilter>
  <tableColumns count="2">
    <tableColumn id="1" xr3:uid="{7833E623-ED87-40CE-93D2-B78B6A7D7E94}" name="Module Data" dataDxfId="372"/>
    <tableColumn id="2" xr3:uid="{0659839B-A1DA-4204-9267-1A4CC295A6EF}" name="Details" dataDxfId="37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370">
  <autoFilter ref="C28:D33" xr:uid="{22316987-6BEB-4FAF-9619-BF9BE9909CFA}">
    <filterColumn colId="0" hiddenButton="1"/>
    <filterColumn colId="1" hiddenButton="1"/>
  </autoFilter>
  <tableColumns count="2">
    <tableColumn id="1" xr3:uid="{FEDC5FCD-23F6-4532-A565-C979DFEE6452}" name="LO Number" dataDxfId="369"/>
    <tableColumn id="2" xr3:uid="{1F64A8B9-B360-490C-BD12-64A29F9CF82F}" name="LO Description" dataDxfId="36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36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66"/>
    <tableColumn id="2" xr3:uid="{0FE47FA8-B999-4405-B49D-E106E82A7509}" name="Assessment Type" dataDxfId="365"/>
    <tableColumn id="7" xr3:uid="{61D6D411-EDDD-4962-A754-A4B5EEB96263}" name="Assessment Specific" dataDxfId="364"/>
    <tableColumn id="3" xr3:uid="{1A288D47-FFDF-4BA0-94F1-9B647BE04DCC}" name="Assessment Description" dataDxfId="363"/>
    <tableColumn id="4" xr3:uid="{ED08857B-A938-490D-9B30-962DE64252AB}" name="Weighting" dataDxfId="362"/>
    <tableColumn id="5" xr3:uid="{581E13F4-4545-426B-8995-08E09758F5CB}" name="Due Week" dataDxfId="361"/>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60"/>
    <tableColumn id="2" xr3:uid="{BED16F5A-D8C5-4300-A763-C0065F48E598}" name="Week Number" dataDxfId="359"/>
    <tableColumn id="3" xr3:uid="{1C3278D5-9F89-43C0-84A5-ACE6AE3BF8C8}" name="Weekly Content 1" dataDxfId="358"/>
    <tableColumn id="4" xr3:uid="{8ADEF497-35DC-4945-B42C-DCA4C8DB67C9}" name="Weekly Content 2" dataDxfId="357"/>
    <tableColumn id="5" xr3:uid="{E6B69E39-A78E-4994-8E8F-40C76F0002A1}" name="Weekly Content 3" dataDxfId="35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autoFilter ref="C18:D24" xr:uid="{B71A3569-AA65-4A4E-98A2-885F5C38B46D}">
    <filterColumn colId="0" hiddenButton="1"/>
    <filterColumn colId="1" hiddenButton="1"/>
  </autoFilter>
  <tableColumns count="2">
    <tableColumn id="1" xr3:uid="{2FFE33E1-E3D8-499A-B70C-70494FCFC11F}" name="Component" dataDxfId="355"/>
    <tableColumn id="2" xr3:uid="{D8D74B7C-DED1-4107-9D9B-A69709137AF1}" name="Contact Hours" dataDxfId="35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353" dataDxfId="352">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51"/>
    <tableColumn id="2" xr3:uid="{3DE98FE2-3138-46D6-BD99-F2FB47042775}" name="LO Number" dataDxfId="350"/>
    <tableColumn id="3" xr3:uid="{810A03D8-C153-4962-9C3C-D761D27C4A3F}" name="Graduate Skills Category" dataDxfId="349"/>
    <tableColumn id="4" xr3:uid="{C3B0D1F6-1274-4ED1-9705-01F40BB1E2F2}" name="Graduate Skill" dataDxfId="34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8" totalsRowShown="0" dataDxfId="347">
  <autoFilter ref="F6:F8" xr:uid="{9552138F-2332-4BC4-A585-0E13162881A5}"/>
  <tableColumns count="1">
    <tableColumn id="1" xr3:uid="{C445F0C7-61B3-46CB-A56F-67D79AE54D5C}" name="Aims" dataDxfId="34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3" totalsRowShown="0" dataDxfId="345">
  <autoFilter ref="F10:F13" xr:uid="{94F18F67-3F10-4F6E-A953-4FE3399B07F2}"/>
  <tableColumns count="1">
    <tableColumn id="1" xr3:uid="{CAABEA9D-6FBF-459A-AD97-585A17318A01}" name="Outline Syllabus" dataDxfId="34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dataDxfId="343">
  <autoFilter ref="F15:F20" xr:uid="{1B2BCD7B-6C15-4B1C-86BC-48FF83D8F225}"/>
  <tableColumns count="1">
    <tableColumn id="1" xr3:uid="{A14625FC-0807-41B3-BEF3-09E7E979EFED}" name="Module Overview" dataDxfId="34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dataDxfId="341">
  <autoFilter ref="F22:F33" xr:uid="{D5968C0A-6D7E-4221-87EE-78A85A4039B3}"/>
  <tableColumns count="1">
    <tableColumn id="1" xr3:uid="{0F69CA79-BA33-4E25-8FA9-233F7FC95036}" name="Additional Information/Notes" dataDxfId="34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autoFilter ref="C6:D14" xr:uid="{CD75D2A7-14B1-4ABD-B64D-6E875F9BC652}">
    <filterColumn colId="0" hiddenButton="1"/>
    <filterColumn colId="1" hiddenButton="1"/>
  </autoFilter>
  <tableColumns count="2">
    <tableColumn id="1" xr3:uid="{5D38FCD1-7A3F-4025-AC69-E6A90C68A79E}" name="Module Data" dataDxfId="339"/>
    <tableColumn id="2" xr3:uid="{ACE861FD-0C1D-4D19-A0A8-AC83427FA81A}" name="Details" dataDxfId="338"/>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337">
  <autoFilter ref="C28:D33" xr:uid="{22316987-6BEB-4FAF-9619-BF9BE9909CFA}">
    <filterColumn colId="0" hiddenButton="1"/>
    <filterColumn colId="1" hiddenButton="1"/>
  </autoFilter>
  <tableColumns count="2">
    <tableColumn id="1" xr3:uid="{92FDE3DF-EAC0-4CA6-A5B4-E15BAAC4A01D}" name="LO Number" dataDxfId="336"/>
    <tableColumn id="2" xr3:uid="{A384CFCB-55B0-46B7-AF9A-FAAC6022096A}" name="LO Description" dataDxfId="33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33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33"/>
    <tableColumn id="2" xr3:uid="{390EF809-FA62-405F-B84C-B2AD571CEBAA}" name="Assessment Type" dataDxfId="332"/>
    <tableColumn id="7" xr3:uid="{2B1618E6-AA98-4A15-AE0C-79993F1BAFB7}" name="Assessment Specific" dataDxfId="331"/>
    <tableColumn id="3" xr3:uid="{138C3352-0967-40A6-A5BE-4B32DEC01ACB}" name="Assessment Description" dataDxfId="330"/>
    <tableColumn id="4" xr3:uid="{F4B4B6BF-3460-42E3-849C-1BBE242E83C3}" name="Weighting" dataDxfId="329"/>
    <tableColumn id="5" xr3:uid="{E52307F9-F56A-42FC-9A76-6A630F2C5B71}" name="Due Week" dataDxfId="328"/>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27"/>
    <tableColumn id="2" xr3:uid="{1B7B234D-0DD9-4913-9C62-18CC4E0FD5D6}" name="Week Number" dataDxfId="326"/>
    <tableColumn id="3" xr3:uid="{FDA6287D-7D09-41DC-96F1-E9BCD4B11D2E}" name="Weekly Content 1" dataDxfId="325"/>
    <tableColumn id="4" xr3:uid="{C104D628-2E09-432B-BC7A-B7E29838D1BD}" name="Weekly Content 2" dataDxfId="324"/>
    <tableColumn id="5" xr3:uid="{6CD950CC-83A5-4FD3-93FC-B284F6F6350E}" name="Weekly Content 3" dataDxfId="323"/>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autoFilter ref="C18:D24" xr:uid="{B71A3569-AA65-4A4E-98A2-885F5C38B46D}">
    <filterColumn colId="0" hiddenButton="1"/>
    <filterColumn colId="1" hiddenButton="1"/>
  </autoFilter>
  <tableColumns count="2">
    <tableColumn id="1" xr3:uid="{27F817B7-6395-4976-9120-60D5C9775BA5}" name="Component" dataDxfId="322"/>
    <tableColumn id="2" xr3:uid="{D9B68E50-AFDD-4B94-80F2-BAB157C2FF40}" name="Contact Hours" dataDxfId="32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320" dataDxfId="31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18"/>
    <tableColumn id="2" xr3:uid="{CF29F699-8C1A-4AC4-A563-FCBB128AC8F3}" name="LO Number" dataDxfId="317"/>
    <tableColumn id="3" xr3:uid="{B1082C18-E8C1-42F9-B74D-584EBA4A0A39}" name="Graduate Skills Category" dataDxfId="316"/>
    <tableColumn id="4" xr3:uid="{BD6D6488-ABFD-45B6-B06F-748690280986}" name="Graduate Skill" dataDxfId="31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dataDxfId="314">
  <autoFilter ref="F6:F8" xr:uid="{9552138F-2332-4BC4-A585-0E13162881A5}"/>
  <tableColumns count="1">
    <tableColumn id="1" xr3:uid="{E2B338AF-53C9-469A-B45D-DF4BE4CCBDD0}" name="Aims" dataDxfId="313"/>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dataDxfId="312">
  <autoFilter ref="F10:F13" xr:uid="{94F18F67-3F10-4F6E-A953-4FE3399B07F2}"/>
  <tableColumns count="1">
    <tableColumn id="1" xr3:uid="{0B585185-EFA9-44AB-A953-91DF09E1C8F4}" name="Outline Syllabus" dataDxfId="311"/>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dataDxfId="310">
  <autoFilter ref="F15:F20" xr:uid="{1B2BCD7B-6C15-4B1C-86BC-48FF83D8F225}"/>
  <tableColumns count="1">
    <tableColumn id="1" xr3:uid="{8DA5C005-FC9F-4CBE-A281-B2B92A53526A}" name="Module Overview" dataDxfId="309"/>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dataDxfId="308">
  <autoFilter ref="F22:F33" xr:uid="{D5968C0A-6D7E-4221-87EE-78A85A4039B3}"/>
  <tableColumns count="1">
    <tableColumn id="1" xr3:uid="{D67854B5-D179-408B-A477-7F6E3033D84B}" name="Additional Information/Notes" dataDxfId="307"/>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autoFilter ref="C6:D14" xr:uid="{CD75D2A7-14B1-4ABD-B64D-6E875F9BC652}">
    <filterColumn colId="0" hiddenButton="1"/>
    <filterColumn colId="1" hiddenButton="1"/>
  </autoFilter>
  <tableColumns count="2">
    <tableColumn id="1" xr3:uid="{DC5E8FB2-F1EF-4C76-ADAD-8DF1D4236058}" name="Module Data" dataDxfId="306"/>
    <tableColumn id="2" xr3:uid="{3CEC4644-C90E-484A-BB04-BC7E2522484B}" name="Details" dataDxfId="30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304">
  <autoFilter ref="C28:D33" xr:uid="{22316987-6BEB-4FAF-9619-BF9BE9909CFA}">
    <filterColumn colId="0" hiddenButton="1"/>
    <filterColumn colId="1" hiddenButton="1"/>
  </autoFilter>
  <tableColumns count="2">
    <tableColumn id="1" xr3:uid="{96E1C0A4-F310-4104-877A-16C95A9DF8F8}" name="LO Number" dataDxfId="303"/>
    <tableColumn id="2" xr3:uid="{5193B932-1BB4-4665-BB60-1094CB27D2FB}" name="LO Description" dataDxfId="30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30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300"/>
    <tableColumn id="2" xr3:uid="{F6CC8F23-24C9-49E1-A7E1-F0C42C5E4062}" name="Assessment Type" dataDxfId="299"/>
    <tableColumn id="7" xr3:uid="{23445359-B102-481A-9626-644EC1147971}" name="Assessment Specific" dataDxfId="298"/>
    <tableColumn id="3" xr3:uid="{09F68760-DB1D-47DA-9C3B-991E85819122}" name="Assessment Description" dataDxfId="297"/>
    <tableColumn id="4" xr3:uid="{9C4EFAF0-0549-4906-AB40-C8046612A4D0}" name="Weighting" dataDxfId="296"/>
    <tableColumn id="5" xr3:uid="{6867F2EF-8B96-4C7F-A3F0-4AD115D6B611}" name="Due Week" dataDxfId="29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94"/>
    <tableColumn id="2" xr3:uid="{3DC0D0B8-ED93-4FAA-ACD1-6A257B8D7D8B}" name="Week Number" dataDxfId="293"/>
    <tableColumn id="3" xr3:uid="{396A1CD9-0EA8-4576-AC19-41A37C40C78C}" name="Weekly Content 1" dataDxfId="292"/>
    <tableColumn id="4" xr3:uid="{27E6FFD2-4BB2-4380-B643-929F8059E10C}" name="Weekly Content 2" dataDxfId="291"/>
    <tableColumn id="5" xr3:uid="{5D410880-EC3B-476E-B727-61773B3F1720}" name="Weekly Content 3" dataDxfId="29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autoFilter ref="C18:D24" xr:uid="{B71A3569-AA65-4A4E-98A2-885F5C38B46D}">
    <filterColumn colId="0" hiddenButton="1"/>
    <filterColumn colId="1" hiddenButton="1"/>
  </autoFilter>
  <tableColumns count="2">
    <tableColumn id="1" xr3:uid="{50ADF208-83C1-48D5-9F5C-65E697F266B7}" name="Component" dataDxfId="289"/>
    <tableColumn id="2" xr3:uid="{1EADC3A3-1557-4323-A40A-C84AEA0F188A}" name="Contact Hours" dataDxfId="28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287" dataDxfId="286">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85"/>
    <tableColumn id="2" xr3:uid="{162D175A-F572-46B3-8399-9FF334864C28}" name="LO Number" dataDxfId="284"/>
    <tableColumn id="3" xr3:uid="{4B8F87D6-8076-4256-870F-FFB0D542729A}" name="Graduate Skills Category" dataDxfId="283"/>
    <tableColumn id="4" xr3:uid="{3DB5254F-E5B1-45EA-B3FC-772579673F08}" name="Graduate Skill" dataDxfId="282"/>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dataDxfId="281">
  <autoFilter ref="F6:F8" xr:uid="{9552138F-2332-4BC4-A585-0E13162881A5}"/>
  <tableColumns count="1">
    <tableColumn id="1" xr3:uid="{D5911F00-3A12-4884-94FA-2461F2E6A773}" name="Aims" dataDxfId="280"/>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dataDxfId="279">
  <autoFilter ref="F10:F13" xr:uid="{94F18F67-3F10-4F6E-A953-4FE3399B07F2}"/>
  <tableColumns count="1">
    <tableColumn id="1" xr3:uid="{1984609B-7A7C-44AA-A114-5466EF451351}" name="Outline Syllabus" dataDxfId="278"/>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dataDxfId="277">
  <autoFilter ref="F15:F20" xr:uid="{1B2BCD7B-6C15-4B1C-86BC-48FF83D8F225}"/>
  <tableColumns count="1">
    <tableColumn id="1" xr3:uid="{19A46962-3EFC-4EE2-ACCE-5363E30EDC4F}" name="Module Overview" dataDxfId="276"/>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dataDxfId="275">
  <autoFilter ref="F22:F33" xr:uid="{D5968C0A-6D7E-4221-87EE-78A85A4039B3}"/>
  <tableColumns count="1">
    <tableColumn id="1" xr3:uid="{EEDA3204-13C4-4B95-A550-B650C09B689D}" name="Additional Information/Notes" dataDxfId="274"/>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5404SPS_Meta" displayName="_5404SPS_Meta" ref="C6:D14" totalsRowShown="0">
  <autoFilter ref="C6:D14" xr:uid="{CD75D2A7-14B1-4ABD-B64D-6E875F9BC652}">
    <filterColumn colId="0" hiddenButton="1"/>
    <filterColumn colId="1" hiddenButton="1"/>
  </autoFilter>
  <tableColumns count="2">
    <tableColumn id="1" xr3:uid="{294825A0-B000-4273-A73D-4BDF1B0EEF00}" name="Module Data" dataDxfId="273"/>
    <tableColumn id="2" xr3:uid="{BFFFACD7-D0A7-40F6-BF15-469686406C3F}" name="Details" dataDxfId="272"/>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5404SPS_LO" displayName="_5404SPS_LO" ref="C28:D33" totalsRowShown="0" headerRowDxfId="271">
  <autoFilter ref="C28:D33" xr:uid="{22316987-6BEB-4FAF-9619-BF9BE9909CFA}">
    <filterColumn colId="0" hiddenButton="1"/>
    <filterColumn colId="1" hiddenButton="1"/>
  </autoFilter>
  <tableColumns count="2">
    <tableColumn id="1" xr3:uid="{EB0958A2-9E66-44D9-A8DF-610B48FE0AC6}" name="LO Number" dataDxfId="270"/>
    <tableColumn id="2" xr3:uid="{0F368925-4523-471B-A68D-184E05AABCF7}" name="LO Description" dataDxfId="269"/>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5404SPS_Assess" displayName="_5404SPS_Assess" ref="C37:H41" totalsRowShown="0" headerRowDxfId="26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67"/>
    <tableColumn id="2" xr3:uid="{1FA5C130-1C0E-45D6-8735-EA79A0166F2D}" name="Assessment Type" dataDxfId="266"/>
    <tableColumn id="7" xr3:uid="{34024CC2-5A32-45FD-95BD-978953E7F41B}" name="Assessment Specific" dataDxfId="265"/>
    <tableColumn id="3" xr3:uid="{5DA2B338-CCFE-4568-ACFD-CC8F0B883170}" name="Assessment Description" dataDxfId="264"/>
    <tableColumn id="4" xr3:uid="{597ADF95-B9B9-411B-8079-7F615E89550C}" name="Weighting" dataDxfId="263"/>
    <tableColumn id="5" xr3:uid="{A0D1FD19-8DF8-4595-ADE8-675937B4A7F4}" name="Due Week" dataDxfId="26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5404SPS_Weekly" displayName="_54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61"/>
    <tableColumn id="2" xr3:uid="{633971FF-9E7F-4A44-865E-D409908313D1}" name="Week Number" dataDxfId="260"/>
    <tableColumn id="3" xr3:uid="{77413702-BFB9-4DEA-BF99-C2A188E22509}" name="Weekly Content 1" dataDxfId="259"/>
    <tableColumn id="4" xr3:uid="{DD1B7D42-32B3-4CC2-9308-AD66B052F8DB}" name="Weekly Content 2" dataDxfId="258"/>
    <tableColumn id="5" xr3:uid="{504E9A1A-C43C-49D3-BB42-E4DD5A49EFCE}" name="Weekly Content 3" dataDxfId="257"/>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5404SPS_Hours" displayName="_5404SPS_Hours" ref="C18:D24" totalsRowShown="0">
  <autoFilter ref="C18:D24" xr:uid="{B71A3569-AA65-4A4E-98A2-885F5C38B46D}">
    <filterColumn colId="0" hiddenButton="1"/>
    <filterColumn colId="1" hiddenButton="1"/>
  </autoFilter>
  <tableColumns count="2">
    <tableColumn id="1" xr3:uid="{5D165BDB-09FC-4AAA-91DB-E67A247DFF72}" name="Component" dataDxfId="256"/>
    <tableColumn id="2" xr3:uid="{E28A3B10-E692-47D9-A3AD-18128B6A4794}" name="Contact Hours" dataDxfId="25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5404SPS_Mapping" displayName="_5404SPS_Mapping" ref="C45:F66" totalsRowShown="0" headerRowDxfId="254" dataDxfId="253">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52"/>
    <tableColumn id="2" xr3:uid="{A7D6827C-7020-4950-BD3E-00625169C68E}" name="LO Number" dataDxfId="251"/>
    <tableColumn id="3" xr3:uid="{1F68EB03-6C47-4955-9791-229A42D1A45A}" name="Graduate Skills Category" dataDxfId="250"/>
    <tableColumn id="4" xr3:uid="{1FD832D4-8E97-4B72-9B09-606CF407E6C7}" name="Graduate Skill" dataDxfId="249"/>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5404SPS_Aims" displayName="_5404SPS_Aims" ref="F6:F8" totalsRowShown="0" dataDxfId="248">
  <autoFilter ref="F6:F8" xr:uid="{9552138F-2332-4BC4-A585-0E13162881A5}"/>
  <tableColumns count="1">
    <tableColumn id="1" xr3:uid="{2EE5D059-BB6B-4406-AF24-CB56C5C24856}" name="Aims" dataDxfId="247"/>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5404SPS_Syllabus" displayName="_5404SPS_Syllabus" ref="F10:F13" totalsRowShown="0" dataDxfId="246">
  <autoFilter ref="F10:F13" xr:uid="{94F18F67-3F10-4F6E-A953-4FE3399B07F2}"/>
  <tableColumns count="1">
    <tableColumn id="1" xr3:uid="{CF8ACDF4-0E48-466C-AF99-EC810B28E6AF}" name="Outline Syllabus" dataDxfId="245"/>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5404SPS_Overview" displayName="_5404SPS_Overview" ref="F15:F20" totalsRowShown="0" dataDxfId="244">
  <autoFilter ref="F15:F20" xr:uid="{1B2BCD7B-6C15-4B1C-86BC-48FF83D8F225}"/>
  <tableColumns count="1">
    <tableColumn id="1" xr3:uid="{C16E0E90-DC44-4185-AB55-C39332B32B2D}" name="Module Overview" dataDxfId="243"/>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5404SPS_Notes" displayName="_5404SPS_Notes" ref="F22:F33" totalsRowShown="0" dataDxfId="242">
  <autoFilter ref="F22:F33" xr:uid="{D5968C0A-6D7E-4221-87EE-78A85A4039B3}"/>
  <tableColumns count="1">
    <tableColumn id="1" xr3:uid="{719B4DA9-E67A-4094-A58E-921C645096BE}" name="Additional Information/Notes" dataDxfId="241"/>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autoFilter ref="C6:D14" xr:uid="{CD75D2A7-14B1-4ABD-B64D-6E875F9BC652}">
    <filterColumn colId="0" hiddenButton="1"/>
    <filterColumn colId="1" hiddenButton="1"/>
  </autoFilter>
  <tableColumns count="2">
    <tableColumn id="1" xr3:uid="{4312B193-D095-44A4-B0FA-8864AE0BCBEF}" name="Module Data" dataDxfId="240"/>
    <tableColumn id="2" xr3:uid="{4F08D2F7-88F2-4061-857B-CBAD6623F570}" name="Details" dataDxfId="23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238">
  <autoFilter ref="C28:D33" xr:uid="{22316987-6BEB-4FAF-9619-BF9BE9909CFA}">
    <filterColumn colId="0" hiddenButton="1"/>
    <filterColumn colId="1" hiddenButton="1"/>
  </autoFilter>
  <tableColumns count="2">
    <tableColumn id="1" xr3:uid="{87282965-A2DA-4B4E-8D06-98090F28BEEF}" name="LO Number" dataDxfId="237"/>
    <tableColumn id="2" xr3:uid="{5860F21B-133F-4A88-A61B-07CF39BC7E21}" name="LO Description" dataDxfId="236"/>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23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34"/>
    <tableColumn id="2" xr3:uid="{02E86080-DD71-4108-821B-E566F188DEA2}" name="Assessment Type" dataDxfId="233"/>
    <tableColumn id="7" xr3:uid="{47CA01EB-2FAC-4F47-BB5B-4ACF9B64B490}" name="Assessment Specific" dataDxfId="232"/>
    <tableColumn id="3" xr3:uid="{FBD48AF8-7B7F-4162-9266-C7CCFD60F0E7}" name="Assessment Description" dataDxfId="231"/>
    <tableColumn id="4" xr3:uid="{B1C6A884-1B35-475C-8890-451E2B62B45B}" name="Weighting" dataDxfId="230"/>
    <tableColumn id="5" xr3:uid="{52275FFC-C744-424D-9DA8-F4384F058801}" name="Due Week" dataDxfId="229"/>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28"/>
    <tableColumn id="2" xr3:uid="{F2C231FA-6829-4DDE-AADC-3E8FA43A1138}" name="Week Number" dataDxfId="227"/>
    <tableColumn id="3" xr3:uid="{BF2905C5-0007-47A2-850C-6A3A59009B1B}" name="Weekly Content 1" dataDxfId="226"/>
    <tableColumn id="4" xr3:uid="{87E349A9-C7DB-4B62-AE2D-73DF6FE87FF2}" name="Weekly Content 2" dataDxfId="225"/>
    <tableColumn id="5" xr3:uid="{9335E186-D4FA-4BC9-96F6-48CA2E66C8B8}" name="Weekly Content 3" dataDxfId="224"/>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autoFilter ref="C18:D24" xr:uid="{B71A3569-AA65-4A4E-98A2-885F5C38B46D}">
    <filterColumn colId="0" hiddenButton="1"/>
    <filterColumn colId="1" hiddenButton="1"/>
  </autoFilter>
  <tableColumns count="2">
    <tableColumn id="1" xr3:uid="{9CDDC04F-6E44-4B1D-B2F7-BCFB91288FF8}" name="Component" dataDxfId="223"/>
    <tableColumn id="2" xr3:uid="{0A78BA71-0A43-4908-AD5D-EAD433A8F0CB}" name="Contact Hours" dataDxfId="22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221" dataDxfId="22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19"/>
    <tableColumn id="2" xr3:uid="{38F835BE-5EB1-4FFA-8259-BEB6E39C8FA1}" name="LO Number" dataDxfId="218"/>
    <tableColumn id="3" xr3:uid="{C6B979A3-0E5A-464F-B5CD-CBA3047E98BE}" name="Graduate Skills Category" dataDxfId="217"/>
    <tableColumn id="4" xr3:uid="{2D7AD4B8-14A9-4533-A3C6-5E7125BAACC7}" name="Graduate Skill" dataDxfId="216"/>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dataDxfId="215">
  <autoFilter ref="F6:F8" xr:uid="{9552138F-2332-4BC4-A585-0E13162881A5}"/>
  <tableColumns count="1">
    <tableColumn id="1" xr3:uid="{9E1F2909-CE11-40D2-90E4-0F2548AB10B2}" name="Aims" dataDxfId="214"/>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dataDxfId="213">
  <autoFilter ref="F10:F13" xr:uid="{94F18F67-3F10-4F6E-A953-4FE3399B07F2}"/>
  <tableColumns count="1">
    <tableColumn id="1" xr3:uid="{454BC257-77E7-4C9C-B231-D65E8EE20325}" name="Outline Syllabus" dataDxfId="212"/>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dataDxfId="211">
  <autoFilter ref="F15:F20" xr:uid="{1B2BCD7B-6C15-4B1C-86BC-48FF83D8F225}"/>
  <tableColumns count="1">
    <tableColumn id="1" xr3:uid="{D37E1C0D-C9AF-4C78-BCFF-8B2CE993F50A}" name="Module Overview" dataDxfId="210"/>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dataDxfId="209">
  <autoFilter ref="F22:F33" xr:uid="{D5968C0A-6D7E-4221-87EE-78A85A4039B3}"/>
  <tableColumns count="1">
    <tableColumn id="1" xr3:uid="{E8342C1A-2B62-4E1C-B80B-B12917066000}" name="Additional Information/Notes" dataDxfId="20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404SPS_Meta" displayName="_6404SPS_Meta" ref="C6:D14" totalsRowShown="0">
  <autoFilter ref="C6:D14" xr:uid="{CD75D2A7-14B1-4ABD-B64D-6E875F9BC652}">
    <filterColumn colId="0" hiddenButton="1"/>
    <filterColumn colId="1" hiddenButton="1"/>
  </autoFilter>
  <tableColumns count="2">
    <tableColumn id="1" xr3:uid="{EB65BA05-1DE9-4FD7-BDBD-BDE47DF298A4}" name="Module Data" dataDxfId="207"/>
    <tableColumn id="2" xr3:uid="{310F2A93-D88D-4CC8-AC0C-C016B97380F6}" name="Details" dataDxfId="206"/>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404SPS_LO" displayName="_6404SPS_LO" ref="C28:D33" totalsRowShown="0" headerRowDxfId="205">
  <autoFilter ref="C28:D33" xr:uid="{22316987-6BEB-4FAF-9619-BF9BE9909CFA}">
    <filterColumn colId="0" hiddenButton="1"/>
    <filterColumn colId="1" hiddenButton="1"/>
  </autoFilter>
  <tableColumns count="2">
    <tableColumn id="1" xr3:uid="{2DA2E0DF-8487-4F48-AD57-6C8EF1F6A824}" name="LO Number" dataDxfId="204"/>
    <tableColumn id="2" xr3:uid="{5F671E3D-DB5F-4A86-A8E8-215D497F640F}" name="LO Description" dataDxfId="20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404SPS_Assess" displayName="_6404SPS_Assess" ref="C37:H41" totalsRowShown="0" headerRowDxfId="20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201"/>
    <tableColumn id="2" xr3:uid="{99037CEE-E227-4DE7-AC0C-42C69784F090}" name="Assessment Type" dataDxfId="200"/>
    <tableColumn id="7" xr3:uid="{EE90A0B1-86AF-42EC-AB37-5E98D709E3E4}" name="Assessment Specific" dataDxfId="199"/>
    <tableColumn id="3" xr3:uid="{8B0C1721-2FDC-4C1A-AECE-975C6F1434A1}" name="Assessment Description" dataDxfId="198"/>
    <tableColumn id="4" xr3:uid="{876D72EC-520F-497B-8AC7-6AF0A5409783}" name="Weighting" dataDxfId="197"/>
    <tableColumn id="5" xr3:uid="{31A1A910-0DF5-428E-806F-6E026C606C3B}" name="Due Week" dataDxfId="196"/>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404SPS_Weekly" displayName="_64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95"/>
    <tableColumn id="2" xr3:uid="{8C49AFEC-B460-42E3-B373-FC0AB260F379}" name="Week Number" dataDxfId="194"/>
    <tableColumn id="3" xr3:uid="{A81B53B3-7EE2-4FDF-9110-0A8C17CA27E0}" name="Weekly Content 1" dataDxfId="193"/>
    <tableColumn id="4" xr3:uid="{362C63E5-C442-416C-9DB4-4F34D3EDDEF3}" name="Weekly Content 2" dataDxfId="192"/>
    <tableColumn id="5" xr3:uid="{E3C14089-4743-4CA8-9480-E777866BAF64}" name="Weekly Content 3" dataDxfId="191"/>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404SPS_Hours" displayName="_6404SPS_Hours" ref="C18:D24" totalsRowShown="0">
  <autoFilter ref="C18:D24" xr:uid="{B71A3569-AA65-4A4E-98A2-885F5C38B46D}">
    <filterColumn colId="0" hiddenButton="1"/>
    <filterColumn colId="1" hiddenButton="1"/>
  </autoFilter>
  <tableColumns count="2">
    <tableColumn id="1" xr3:uid="{7C918E81-2521-4CC2-B784-37E43EEC3CDD}" name="Component" dataDxfId="190"/>
    <tableColumn id="2" xr3:uid="{0D2A69D7-E2F7-4C5C-8E4D-714C66054E76}" name="Contact Hours" dataDxfId="189"/>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404SPS_Mapping" displayName="_6404SPS_Mapping" ref="C45:F66" totalsRowShown="0" headerRowDxfId="188" dataDxfId="187">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86"/>
    <tableColumn id="2" xr3:uid="{8D3D6147-F8A2-4D54-BC97-772B8CE44EA3}" name="LO Number" dataDxfId="185"/>
    <tableColumn id="3" xr3:uid="{C41D8ED0-797F-45E8-B847-5F5796F9B51E}" name="Graduate Skills Category" dataDxfId="184"/>
    <tableColumn id="4" xr3:uid="{28997C86-0364-497D-A258-1C7BA682BCAA}" name="Graduate Skill" dataDxfId="183"/>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404SPS_Aims" displayName="_6404SPS_Aims" ref="F6:F8" totalsRowShown="0" dataDxfId="182">
  <autoFilter ref="F6:F8" xr:uid="{9552138F-2332-4BC4-A585-0E13162881A5}"/>
  <tableColumns count="1">
    <tableColumn id="1" xr3:uid="{3E728AAA-21E1-43D6-98EC-781D610D5B5C}" name="Aims" dataDxfId="18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404SPS_Syllabus" displayName="_6404SPS_Syllabus" ref="F10:F13" totalsRowShown="0" dataDxfId="180">
  <autoFilter ref="F10:F13" xr:uid="{94F18F67-3F10-4F6E-A953-4FE3399B07F2}"/>
  <tableColumns count="1">
    <tableColumn id="1" xr3:uid="{CAFF733E-EEBF-4C10-ACD1-A6DDCD33C63A}" name="Outline Syllabus" dataDxfId="17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404SPS_Overview" displayName="_6404SPS_Overview" ref="F15:F20" totalsRowShown="0" dataDxfId="178">
  <autoFilter ref="F15:F20" xr:uid="{1B2BCD7B-6C15-4B1C-86BC-48FF83D8F225}"/>
  <tableColumns count="1">
    <tableColumn id="1" xr3:uid="{3D131B43-1A6C-42C4-B635-F81D00AEF103}" name="Module Overview" dataDxfId="17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404SPS_Notes" displayName="_6404SPS_Notes" ref="F22:F33" totalsRowShown="0" dataDxfId="176">
  <autoFilter ref="F22:F33" xr:uid="{D5968C0A-6D7E-4221-87EE-78A85A4039B3}"/>
  <tableColumns count="1">
    <tableColumn id="1" xr3:uid="{DBD01D3B-64A5-4A59-96FF-8858AB682507}" name="Additional Information/Notes" dataDxfId="175"/>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6405SPS_Meta" displayName="_6405SPS_Meta" ref="C6:D14" totalsRowShown="0">
  <autoFilter ref="C6:D14" xr:uid="{CD75D2A7-14B1-4ABD-B64D-6E875F9BC652}">
    <filterColumn colId="0" hiddenButton="1"/>
    <filterColumn colId="1" hiddenButton="1"/>
  </autoFilter>
  <tableColumns count="2">
    <tableColumn id="1" xr3:uid="{29D4E0BE-5C0F-4EF3-BF95-85E95BCEF890}" name="Module Data" dataDxfId="174"/>
    <tableColumn id="2" xr3:uid="{8CF62EB8-FFB4-436A-9EE3-575FDB15387F}" name="Details" dataDxfId="173"/>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6405SPS_LO" displayName="_6405SPS_LO" ref="C28:D33" totalsRowShown="0" headerRowDxfId="172">
  <autoFilter ref="C28:D33" xr:uid="{22316987-6BEB-4FAF-9619-BF9BE9909CFA}">
    <filterColumn colId="0" hiddenButton="1"/>
    <filterColumn colId="1" hiddenButton="1"/>
  </autoFilter>
  <tableColumns count="2">
    <tableColumn id="1" xr3:uid="{ABACB5F8-1C23-4668-B7BA-EF2517F6F237}" name="LO Number" dataDxfId="171"/>
    <tableColumn id="2" xr3:uid="{16EFEC94-FB26-48E6-A1CD-F272E329A036}" name="LO Description" dataDxfId="170"/>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6405SPS_Assess" displayName="_6405SPS_Assess" ref="C37:H41" totalsRowShown="0" headerRowDxfId="1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68"/>
    <tableColumn id="2" xr3:uid="{2BC12B11-B6CF-4E7C-B492-9E71A2A4DCFC}" name="Assessment Type" dataDxfId="167"/>
    <tableColumn id="7" xr3:uid="{F22466C0-E91B-4130-82AB-931BDD5DAFD5}" name="Assessment Specific" dataDxfId="166"/>
    <tableColumn id="3" xr3:uid="{A2D2688F-0CD2-442B-B2C4-399FA320B460}" name="Assessment Description" dataDxfId="165"/>
    <tableColumn id="4" xr3:uid="{9C3172F4-207C-490E-A1A4-3782CCE0F62E}" name="Weighting" dataDxfId="164"/>
    <tableColumn id="5" xr3:uid="{5D552087-F8C1-4DC6-AB58-461CAA57A675}" name="Due Week" dataDxfId="163"/>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6405SPS_Weekly" displayName="_6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62"/>
    <tableColumn id="2" xr3:uid="{C3767A97-7DDC-4C9C-BAA0-36AD5C496EEE}" name="Week Number" dataDxfId="161"/>
    <tableColumn id="3" xr3:uid="{ECEBB099-0848-4BF9-A0F1-A91B05144BDE}" name="Weekly Content 1" dataDxfId="160"/>
    <tableColumn id="4" xr3:uid="{C2073020-3A29-4533-9629-7F40A8DD2B8B}" name="Weekly Content 2" dataDxfId="159"/>
    <tableColumn id="5" xr3:uid="{6345D17D-CE7F-4BE7-9354-5B3222EE1FDE}" name="Weekly Content 3" dataDxfId="158"/>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6405SPS_Hours" displayName="_6405SPS_Hours" ref="C18:D24" totalsRowShown="0">
  <autoFilter ref="C18:D24" xr:uid="{B71A3569-AA65-4A4E-98A2-885F5C38B46D}">
    <filterColumn colId="0" hiddenButton="1"/>
    <filterColumn colId="1" hiddenButton="1"/>
  </autoFilter>
  <tableColumns count="2">
    <tableColumn id="1" xr3:uid="{B46B0870-C95C-4D4E-B01A-05CA40485288}" name="Component" dataDxfId="157"/>
    <tableColumn id="2" xr3:uid="{A34E191B-0F4D-40A9-98C4-DFC5C0ED5B03}" name="Contact Hours" dataDxfId="15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6405SPS_Mapping" displayName="_6405SPS_Mapping" ref="C45:F66" totalsRowShown="0" headerRowDxfId="155" dataDxfId="154">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53"/>
    <tableColumn id="2" xr3:uid="{D948967E-B1D8-422E-BC05-E5DE64BFE116}" name="LO Number" dataDxfId="152"/>
    <tableColumn id="3" xr3:uid="{41BBFD1D-FBB9-4518-8884-EB40901F4694}" name="Graduate Skills Category" dataDxfId="151"/>
    <tableColumn id="4" xr3:uid="{913662D7-6EF1-491B-A990-50699C27238F}" name="Graduate Skill" dataDxfId="150"/>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6405SPS_Aims" displayName="_6405SPS_Aims" ref="F6:F8" totalsRowShown="0">
  <autoFilter ref="F6:F8" xr:uid="{9552138F-2332-4BC4-A585-0E13162881A5}"/>
  <tableColumns count="1">
    <tableColumn id="1" xr3:uid="{2CF6523F-40A9-456F-8FAA-4363371E379D}" name="Aims"/>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6405SPS_Overview" displayName="_6405SPS_Overview" ref="F15:F20" totalsRowShown="0" dataDxfId="149">
  <autoFilter ref="F15:F20" xr:uid="{1B2BCD7B-6C15-4B1C-86BC-48FF83D8F225}"/>
  <tableColumns count="1">
    <tableColumn id="1" xr3:uid="{6FA2E212-5F86-4DAE-AF6E-5A52409DCB13}" name="Column1" dataDxfId="148"/>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6405SPS_Notes" displayName="_6405SPS_Notes" ref="F22:F33" totalsRowShown="0" dataDxfId="147">
  <autoFilter ref="F22:F33" xr:uid="{D5968C0A-6D7E-4221-87EE-78A85A4039B3}"/>
  <tableColumns count="1">
    <tableColumn id="1" xr3:uid="{8FE8F154-AB86-4DDE-9840-555725F99393}" name="Additional Information/Notes" dataDxfId="146"/>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autoFilter ref="C6:D14" xr:uid="{CD75D2A7-14B1-4ABD-B64D-6E875F9BC652}">
    <filterColumn colId="0" hiddenButton="1"/>
    <filterColumn colId="1" hiddenButton="1"/>
  </autoFilter>
  <tableColumns count="2">
    <tableColumn id="1" xr3:uid="{259296C2-F94D-4D8E-8A48-375C8B32976A}" name="Module Data" dataDxfId="145"/>
    <tableColumn id="2" xr3:uid="{FBE26AB7-C871-483E-8BF5-3102A6CBA6A9}" name="Details" dataDxfId="144"/>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143">
  <autoFilter ref="C28:D33" xr:uid="{22316987-6BEB-4FAF-9619-BF9BE9909CFA}">
    <filterColumn colId="0" hiddenButton="1"/>
    <filterColumn colId="1" hiddenButton="1"/>
  </autoFilter>
  <tableColumns count="2">
    <tableColumn id="1" xr3:uid="{A4A042E5-B73A-4E95-83BE-374230EAEF75}" name="LO Number" dataDxfId="142"/>
    <tableColumn id="2" xr3:uid="{4CC50DE2-34DC-4FAA-BB54-72EB81C5A918}" name="LO Description" dataDxfId="141"/>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1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39"/>
    <tableColumn id="2" xr3:uid="{846FFE48-B8E8-4A55-98C3-5451769A8EB5}" name="Assessment Type" dataDxfId="138"/>
    <tableColumn id="7" xr3:uid="{82AE06D6-F94C-441D-B6C3-297200BD5794}" name="Assessment Specific" dataDxfId="137"/>
    <tableColumn id="3" xr3:uid="{FEAAD1E7-46DD-4E01-9EEE-AB9037A04A09}" name="Assessment Description" dataDxfId="136"/>
    <tableColumn id="4" xr3:uid="{C4BFD846-DFE3-41AB-966C-3EFB00B2A790}" name="Weighting" dataDxfId="135"/>
    <tableColumn id="5" xr3:uid="{476F5563-CB55-4B33-88F8-D363824819FD}" name="Due Week" dataDxfId="134"/>
  </tableColumns>
  <tableStyleInfo name="TableStyleMedium3"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33"/>
    <tableColumn id="2" xr3:uid="{B9620A06-7C82-4FF4-995F-02655A14B62E}" name="Week Number" dataDxfId="132"/>
    <tableColumn id="3" xr3:uid="{90BEA63A-0B10-4F26-B07B-76B2D9A73B94}" name="Weekly Content 1" dataDxfId="131"/>
    <tableColumn id="4" xr3:uid="{BA0A787E-3BAF-4419-9436-D40693419273}" name="Weekly Content 2" dataDxfId="130"/>
    <tableColumn id="5" xr3:uid="{3E95C25D-5EE2-483B-B9C6-B69D6222BD63}" name="Weekly Content 3" dataDxfId="129"/>
  </tableColumns>
  <tableStyleInfo name="TableStyleMedium4"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autoFilter ref="C18:D24" xr:uid="{B71A3569-AA65-4A4E-98A2-885F5C38B46D}">
    <filterColumn colId="0" hiddenButton="1"/>
    <filterColumn colId="1" hiddenButton="1"/>
  </autoFilter>
  <tableColumns count="2">
    <tableColumn id="1" xr3:uid="{17D1F957-8C58-47BC-9BD8-09011C101FC1}" name="Component" dataDxfId="128"/>
    <tableColumn id="2" xr3:uid="{F76831A8-1692-44D6-9D6D-3D5E7EBE7CB7}" name="Contact Hours" dataDxfId="127"/>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126" dataDxfId="12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124"/>
    <tableColumn id="2" xr3:uid="{AFA09957-495C-47A6-9409-B82CF20C9FEE}" name="LO Number" dataDxfId="123"/>
    <tableColumn id="3" xr3:uid="{4A6EF506-39E0-4A77-AB9A-A419A13B11BA}" name="Graduate Skills Category" dataDxfId="122"/>
    <tableColumn id="4" xr3:uid="{1CC8553E-650D-4CC9-BCBD-8A5C77CF26BC}" name="Graduate Skill" dataDxfId="121"/>
  </tableColumns>
  <tableStyleInfo name="TableStyleMedium3"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8" totalsRowShown="0" dataDxfId="120">
  <autoFilter ref="F6:F8" xr:uid="{9552138F-2332-4BC4-A585-0E13162881A5}"/>
  <tableColumns count="1">
    <tableColumn id="1" xr3:uid="{8B84DA76-C73A-484B-AB85-93CE53A85FF5}" name="Aims" dataDxfId="119"/>
  </tableColumns>
  <tableStyleInfo name="TableStyleMedium6"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dataDxfId="118">
  <autoFilter ref="F10:F13" xr:uid="{94F18F67-3F10-4F6E-A953-4FE3399B07F2}"/>
  <tableColumns count="1">
    <tableColumn id="1" xr3:uid="{7BB23C35-AB5C-4E42-B2E9-C41B68F5AF1F}" name="Outline Syllabus" dataDxfId="117"/>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dataDxfId="116">
  <autoFilter ref="F15:F20" xr:uid="{1B2BCD7B-6C15-4B1C-86BC-48FF83D8F225}"/>
  <tableColumns count="1">
    <tableColumn id="1" xr3:uid="{A7EAB096-E6DB-40BE-B37B-256679A7DD5C}" name="Module Overview" dataDxfId="115"/>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dataDxfId="114">
  <autoFilter ref="F22:F33" xr:uid="{D5968C0A-6D7E-4221-87EE-78A85A4039B3}"/>
  <tableColumns count="1">
    <tableColumn id="1" xr3:uid="{C72ADE2C-BCB8-499B-B1B7-EDB3A3B2FE5B}" name="Additional Information/Notes" dataDxfId="113"/>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autoFilter ref="C6:D14" xr:uid="{CD75D2A7-14B1-4ABD-B64D-6E875F9BC652}">
    <filterColumn colId="0" hiddenButton="1"/>
    <filterColumn colId="1" hiddenButton="1"/>
  </autoFilter>
  <tableColumns count="2">
    <tableColumn id="1" xr3:uid="{070BBF13-BA41-4DE1-A713-FB0E8630711C}" name="Module Data" dataDxfId="112"/>
    <tableColumn id="2" xr3:uid="{0E3F0926-B28A-4EA7-AAE9-E35BEC0A4DF5}" name="Details" dataDxfId="111"/>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110">
  <autoFilter ref="C28:D33" xr:uid="{22316987-6BEB-4FAF-9619-BF9BE9909CFA}">
    <filterColumn colId="0" hiddenButton="1"/>
    <filterColumn colId="1" hiddenButton="1"/>
  </autoFilter>
  <tableColumns count="2">
    <tableColumn id="1" xr3:uid="{6088F306-C9B4-4ED7-9EEC-A674129ECCC9}" name="LO Number" dataDxfId="109"/>
    <tableColumn id="2" xr3:uid="{43834854-BE01-444E-8E1C-AE64963B358A}" name="LO Description" dataDxfId="108"/>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1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106"/>
    <tableColumn id="2" xr3:uid="{E2407AF6-3C98-4FD1-B31B-CB85A955F2E3}" name="Assessment Type" dataDxfId="105"/>
    <tableColumn id="7" xr3:uid="{803004E8-4057-430E-BD7F-E6A122487416}" name="Assessment Specific" dataDxfId="104"/>
    <tableColumn id="3" xr3:uid="{E82EABFF-0858-4F25-A741-AD63FC636934}" name="Assessment Description" dataDxfId="103"/>
    <tableColumn id="4" xr3:uid="{C435B8B1-D65F-4F43-8C3B-45550CBDD4FC}" name="Weighting" dataDxfId="102"/>
    <tableColumn id="5" xr3:uid="{03FBD12C-63B3-45F3-8CCB-172C1C96BB7E}" name="Due Week" dataDxfId="101"/>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100"/>
    <tableColumn id="2" xr3:uid="{0DEEBD8D-895D-4DB2-9CAB-767B56867428}" name="Week Number" dataDxfId="99"/>
    <tableColumn id="3" xr3:uid="{7E2D8092-2899-4612-BA2F-D50BF49F0F02}" name="Weekly Content 1" dataDxfId="98"/>
    <tableColumn id="4" xr3:uid="{543E0828-8F90-405C-8DC4-A27DEA150475}" name="Weekly Content 2" dataDxfId="97"/>
    <tableColumn id="5" xr3:uid="{CFCB0F41-D4BE-4456-B805-D7551BF9E83C}" name="Weekly Content 3" dataDxfId="96"/>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autoFilter ref="C18:D24" xr:uid="{B71A3569-AA65-4A4E-98A2-885F5C38B46D}">
    <filterColumn colId="0" hiddenButton="1"/>
    <filterColumn colId="1" hiddenButton="1"/>
  </autoFilter>
  <tableColumns count="2">
    <tableColumn id="1" xr3:uid="{A95790DB-8258-4803-8284-4A4A89FC1A81}" name="Component" dataDxfId="95"/>
    <tableColumn id="2" xr3:uid="{F8CDBB8B-28A2-40B8-8AB1-6707537C499B}" name="Contact Hours" dataDxfId="94"/>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93" dataDxfId="92">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91"/>
    <tableColumn id="2" xr3:uid="{0A9CFE48-B3C3-4D3C-9F56-3062488E96D8}" name="LO Number" dataDxfId="90"/>
    <tableColumn id="3" xr3:uid="{F14AC592-27AF-4E15-B730-92515D2D5861}" name="Graduate Skills Category" dataDxfId="89"/>
    <tableColumn id="4" xr3:uid="{33BA90E8-AAD8-435C-9AC1-A549EDBF7228}" name="Graduate Skill" dataDxfId="88"/>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dataDxfId="87">
  <autoFilter ref="F6:F8" xr:uid="{9552138F-2332-4BC4-A585-0E13162881A5}"/>
  <tableColumns count="1">
    <tableColumn id="1" xr3:uid="{95B55738-9EA9-42EF-9542-C1E475114357}" name="Aims" dataDxfId="86"/>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dataDxfId="85">
  <autoFilter ref="F10:F13" xr:uid="{94F18F67-3F10-4F6E-A953-4FE3399B07F2}"/>
  <tableColumns count="1">
    <tableColumn id="1" xr3:uid="{773F3BC1-153C-4CA9-9626-F7014E9C09FC}" name="Outline Syllabus" dataDxfId="84"/>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dataDxfId="83">
  <autoFilter ref="F15:F20" xr:uid="{1B2BCD7B-6C15-4B1C-86BC-48FF83D8F225}"/>
  <tableColumns count="1">
    <tableColumn id="1" xr3:uid="{5AB497BE-0287-4B15-828E-068ECF632096}" name="Module Overview" dataDxfId="82"/>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dataDxfId="81">
  <autoFilter ref="F22:F33" xr:uid="{D5968C0A-6D7E-4221-87EE-78A85A4039B3}"/>
  <tableColumns count="1">
    <tableColumn id="1" xr3:uid="{050403C8-321F-4DA4-B6C6-73EFBF9C2B3A}" name="Additional Information/Notes" dataDxfId="80"/>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Module (13)_Meta" displayName="Module__13__Meta" ref="C6:D14" totalsRowShown="0">
  <autoFilter ref="C6:D14" xr:uid="{CD75D2A7-14B1-4ABD-B64D-6E875F9BC652}">
    <filterColumn colId="0" hiddenButton="1"/>
    <filterColumn colId="1" hiddenButton="1"/>
  </autoFilter>
  <tableColumns count="2">
    <tableColumn id="1" xr3:uid="{F75C39EB-FA62-46B2-BBD7-C15273288588}" name="Module Data" dataDxfId="79"/>
    <tableColumn id="2" xr3:uid="{AFAD978E-7AB7-41A9-B9E1-ABF4834D59E6}" name="Details" dataDxfId="78"/>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Module (13)_LO" displayName="Module__13__LO" ref="C28:D33" totalsRowShown="0" headerRowDxfId="77">
  <autoFilter ref="C28:D33" xr:uid="{22316987-6BEB-4FAF-9619-BF9BE9909CFA}">
    <filterColumn colId="0" hiddenButton="1"/>
    <filterColumn colId="1" hiddenButton="1"/>
  </autoFilter>
  <tableColumns count="2">
    <tableColumn id="1" xr3:uid="{03889838-3692-4CDB-B3C9-843AC2EB8510}" name="LO Number" dataDxfId="76"/>
    <tableColumn id="2" xr3:uid="{EBF4F997-F685-4171-8E33-10C81A9AA6BD}" name="LO Description" dataDxfId="75"/>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Module (13)_Assess" displayName="Module__13__Assess" ref="C37:H41" totalsRowShown="0" headerRow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73"/>
    <tableColumn id="2" xr3:uid="{154AA898-EB51-423F-971E-2D54E7AE168D}" name="Assessment Type" dataDxfId="72"/>
    <tableColumn id="7" xr3:uid="{9983984E-B1DF-4F0D-9268-C2C69B7257DE}" name="Assessment Specific" dataDxfId="71"/>
    <tableColumn id="3" xr3:uid="{7393D08E-D15D-482F-94F5-3955E2087F8B}" name="Assessment Description" dataDxfId="70"/>
    <tableColumn id="4" xr3:uid="{A7B8D88B-748B-437A-9A1C-F9ED211ABF56}" name="Weighting" dataDxfId="69"/>
    <tableColumn id="5" xr3:uid="{79ED1616-9922-40C9-8AED-68B6819817F9}" name="Due Week" dataDxfId="68"/>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Module (13)_Weekly" displayName="Module__13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7"/>
    <tableColumn id="2" xr3:uid="{FFEC1971-8BF4-44B8-BD5C-805779F987C9}" name="Week Number" dataDxfId="66"/>
    <tableColumn id="3" xr3:uid="{A9F5297B-ACA7-4D9D-842B-9A24FD16BA05}" name="Weekly Content 1" dataDxfId="65"/>
    <tableColumn id="4" xr3:uid="{B96BEEEA-7F39-4C28-9F20-2E7BAC5D76C4}" name="Weekly Content 2" dataDxfId="64"/>
    <tableColumn id="5" xr3:uid="{6D853DE2-8A0D-4998-B49D-5DECC81696CA}" name="Weekly Content 3" dataDxfId="63"/>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Module (13)_Hours" displayName="Module__13__Hours" ref="C18:D24" totalsRowShown="0">
  <autoFilter ref="C18:D24" xr:uid="{B71A3569-AA65-4A4E-98A2-885F5C38B46D}">
    <filterColumn colId="0" hiddenButton="1"/>
    <filterColumn colId="1" hiddenButton="1"/>
  </autoFilter>
  <tableColumns count="2">
    <tableColumn id="1" xr3:uid="{E1F6A0CE-A0D1-484E-806D-5F1EE294F6C5}" name="Component" dataDxfId="62"/>
    <tableColumn id="2" xr3:uid="{C29C0E16-5D02-4470-B9A3-F33C24B509D3}" name="Contact Hours" dataDxfId="61"/>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Module (13)_Mapping" displayName="Module__13__Mapping" ref="C45:F66" totalsRowShown="0" headerRowDxfId="60" dataDxfId="59">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58"/>
    <tableColumn id="2" xr3:uid="{9CB0238A-1328-4A0D-AAE2-50C376C7235C}" name="LO Number" dataDxfId="57"/>
    <tableColumn id="3" xr3:uid="{96B6D864-B246-4570-9A1C-3387C1ABD880}" name="Graduate Skills Category" dataDxfId="56"/>
    <tableColumn id="4" xr3:uid="{D00C4D9A-F418-40FC-AB6A-A84F0B2A9E4C}" name="Graduate Skill" dataDxfId="55"/>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Module (13)_Aims" displayName="Module__13__Aims" ref="F6:F8" totalsRowShown="0" dataDxfId="54">
  <autoFilter ref="F6:F8" xr:uid="{9552138F-2332-4BC4-A585-0E13162881A5}"/>
  <tableColumns count="1">
    <tableColumn id="1" xr3:uid="{31A9816E-6125-4BB1-B024-023BC57E4CF3}" name="Aims" dataDxfId="53"/>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Module (13)_Syllabus" displayName="Module__13__Syllabus" ref="F10:F13" totalsRowShown="0" dataDxfId="52">
  <autoFilter ref="F10:F13" xr:uid="{94F18F67-3F10-4F6E-A953-4FE3399B07F2}"/>
  <tableColumns count="1">
    <tableColumn id="1" xr3:uid="{6A2A3EA9-0D72-4A0E-A2B5-FF641EDBA034}" name="Outline Syllabus" dataDxfId="51"/>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Module (13)_Overview" displayName="Module__13__Overview" ref="F15:F20" totalsRowShown="0" dataDxfId="50">
  <autoFilter ref="F15:F20" xr:uid="{1B2BCD7B-6C15-4B1C-86BC-48FF83D8F225}"/>
  <tableColumns count="1">
    <tableColumn id="1" xr3:uid="{3ECD395E-FA33-4C57-93BB-6A0232B1FB84}" name="Module Overview" dataDxfId="49"/>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Module (13)_Notes" displayName="Module__13__Notes" ref="F22:F33" totalsRowShown="0" dataDxfId="48">
  <autoFilter ref="F22:F33" xr:uid="{D5968C0A-6D7E-4221-87EE-78A85A4039B3}"/>
  <tableColumns count="1">
    <tableColumn id="1" xr3:uid="{7082D249-848A-49C3-8DF4-B67EE67DF58C}" name="Additional Information/Notes" dataDxfId="47"/>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46"/>
    <tableColumn id="2" xr3:uid="{7CDC44CD-A513-4579-ACC6-09E7304BB1BE}" name="Details" dataDxfId="45"/>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44">
  <autoFilter ref="C28:D33" xr:uid="{22316987-6BEB-4FAF-9619-BF9BE9909CFA}">
    <filterColumn colId="0" hiddenButton="1"/>
    <filterColumn colId="1" hiddenButton="1"/>
  </autoFilter>
  <tableColumns count="2">
    <tableColumn id="1" xr3:uid="{A75FADC5-DEDB-4B6C-9F57-BD04056AC57B}" name="LO Number" dataDxfId="43"/>
    <tableColumn id="2" xr3:uid="{2529C995-9CF3-46B4-B1CE-40C8315EEAF2}" name="LO Description" dataDxfId="42"/>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40"/>
    <tableColumn id="2" xr3:uid="{707D2CCB-425D-48C3-A5FF-A62091BB3A56}" name="Assessment Type" dataDxfId="39"/>
    <tableColumn id="7" xr3:uid="{EB4F45BA-D8C2-4768-9796-02D50E7330DF}" name="Assessment Specific" dataDxfId="38"/>
    <tableColumn id="3" xr3:uid="{5B969136-9DE0-4A71-AF46-BE9B9C988057}" name="Assessment Description" dataDxfId="37"/>
    <tableColumn id="4" xr3:uid="{C51F8C6E-75D1-4D2A-980F-3DFD604FDE94}" name="Weighting" dataDxfId="36"/>
    <tableColumn id="5" xr3:uid="{732B8B1F-0938-4D2E-A221-A6E8EC0CEA2A}" name="Due Week" dataDxfId="35"/>
  </tableColumns>
  <tableStyleInfo name="TableStyleMedium3"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34"/>
    <tableColumn id="2" xr3:uid="{B5886C84-F0E2-476E-B7F8-D50AED341227}" name="Week Number" dataDxfId="33"/>
    <tableColumn id="3" xr3:uid="{E72094EC-2F0A-4C32-8DE0-3CB3CF696309}" name="Weekly Content 1" dataDxfId="32"/>
    <tableColumn id="4" xr3:uid="{15BE7A5A-AEE2-4BE3-9FDF-71CA774FE739}" name="Weekly Content 2" dataDxfId="31"/>
    <tableColumn id="5" xr3:uid="{C4CF9651-D5F8-4074-B5BD-359D74967851}" name="Weekly Content 3" dataDxfId="30"/>
  </tableColumns>
  <tableStyleInfo name="TableStyleMedium4"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29"/>
    <tableColumn id="2" xr3:uid="{C0E95D7F-8DB9-4A30-B523-E4812C2D666C}" name="Contact Hours" dataDxfId="28"/>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27" dataDxfId="26">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25"/>
    <tableColumn id="2" xr3:uid="{2008E8A1-90F0-4A5C-A0CF-4F307DD2E2D8}" name="LO Number" dataDxfId="24"/>
    <tableColumn id="3" xr3:uid="{3A4DD78F-A393-4DAB-8994-3FEC28769F43}" name="Graduate Skills Category" dataDxfId="23"/>
    <tableColumn id="4" xr3:uid="{3CC06E09-AB6C-4DEE-8FEB-FEE7643702C5}" name="Graduate Skill" dataDxfId="22"/>
  </tableColumns>
  <tableStyleInfo name="TableStyleMedium3"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21">
  <autoFilter ref="F6:F8" xr:uid="{9552138F-2332-4BC4-A585-0E13162881A5}"/>
  <tableColumns count="1">
    <tableColumn id="1" xr3:uid="{71044305-7275-4074-BD40-FFAF45A8E291}" name="Aims" dataDxfId="20"/>
  </tableColumns>
  <tableStyleInfo name="TableStyleMedium6"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headerRowDxfId="19">
  <autoFilter ref="F10:F13" xr:uid="{94F18F67-3F10-4F6E-A953-4FE3399B07F2}"/>
  <tableColumns count="1">
    <tableColumn id="1" xr3:uid="{409A0DF2-4B7A-4C37-A61C-CA2805617B9D}" name="Column1"/>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headerRowDxfId="18" dataDxfId="17">
  <autoFilter ref="F15:F20" xr:uid="{1B2BCD7B-6C15-4B1C-86BC-48FF83D8F225}"/>
  <tableColumns count="1">
    <tableColumn id="1" xr3:uid="{5E6F0374-DB3C-4DCF-968A-D7EB3D575A6B}" name="Theme 2: Theory and practice of Universal Design " dataDxfId="16"/>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autoFilter ref="F22:F33" xr:uid="{D5968C0A-6D7E-4221-87EE-78A85A4039B3}"/>
  <tableColumns count="1">
    <tableColumn id="1" xr3:uid="{EBE60D7D-4BB5-4F06-A2E4-CFAAE9F14014}" name="Additional Information/Notes"/>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A05B4E-A2BE-414F-9510-FB403533458B}" name="SC_ModuleOverview" displayName="SC_ModuleOverview" ref="A1:I19" tableType="queryTable" totalsRowShown="0">
  <autoFilter ref="A1:I19" xr:uid="{29A05B4E-A2BE-414F-9510-FB403533458B}"/>
  <tableColumns count="9">
    <tableColumn id="1" xr3:uid="{DAFBDBD6-0735-4199-A38C-A5AF643CCCF5}" uniqueName="1" name="ModuleCode" queryTableFieldId="1"/>
    <tableColumn id="2" xr3:uid="{1F8B0E8D-0362-4B5E-A60A-F8D487588C94}" uniqueName="2" name="ModuleTitle" queryTableFieldId="2" dataDxfId="0"/>
    <tableColumn id="3" xr3:uid="{89294427-53F2-484F-9A55-2F85ACC8A469}" uniqueName="3" name="Level" queryTableFieldId="3"/>
    <tableColumn id="4" xr3:uid="{96F55007-22F3-4C03-AF84-5EEA2FB8B7D5}" uniqueName="4" name="Semester" queryTableFieldId="4"/>
    <tableColumn id="5" xr3:uid="{77798F67-5B6F-45AD-8A92-ED0F419B25F1}" uniqueName="5" name="Credits" queryTableFieldId="5"/>
    <tableColumn id="6" xr3:uid="{2C9B1AAD-500B-4132-AC91-7C2B4DD7064D}" uniqueName="6" name="Module Leader" queryTableFieldId="6"/>
    <tableColumn id="7" xr3:uid="{A9134E7E-BABD-4535-A11E-4C97372EBC86}" uniqueName="7" name="Module Type" queryTableFieldId="7"/>
    <tableColumn id="8" xr3:uid="{08140E24-F229-4ED2-A4CF-F4CB15AA2FDB}" uniqueName="8" name="Total Contact Hours" queryTableFieldId="8"/>
    <tableColumn id="9" xr3:uid="{A6F7EC19-8B2E-4A95-849F-FFF64D750663}" uniqueName="9" name="Hours per Credit" queryTableFieldId="9"/>
  </tableColumns>
  <tableStyleInfo name="TableStyleMedium7"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8F8A49C-DA38-4425-8F74-2A72BF6C05C1}" name="SC_Hours_Wide" displayName="SC_Hours_Wide" ref="A1:M19" tableType="queryTable" totalsRowShown="0">
  <autoFilter ref="A1:M19" xr:uid="{F8F8A49C-DA38-4425-8F74-2A72BF6C05C1}"/>
  <tableColumns count="13">
    <tableColumn id="1" xr3:uid="{C47043E0-F738-4170-8808-0AE8D338F84E}" uniqueName="1" name="SourceWorkbook" queryTableFieldId="1" dataDxfId="2"/>
    <tableColumn id="2" xr3:uid="{0B8A52F8-DBCD-478D-ADF7-2A47588C537C}" uniqueName="2" name="TableName" queryTableFieldId="2"/>
    <tableColumn id="3" xr3:uid="{7126A8BD-83B1-4E3B-8CDE-F71D7A59CFDC}" uniqueName="3" name="ModuleCode" queryTableFieldId="3"/>
    <tableColumn id="4" xr3:uid="{060A03D2-9EA2-4441-96A3-0C0443984522}" uniqueName="4" name="ItemSuffix" queryTableFieldId="4"/>
    <tableColumn id="5" xr3:uid="{497B155A-C077-4BC6-BA78-517499C75F51}" uniqueName="5" name="Programme" queryTableFieldId="5"/>
    <tableColumn id="6" xr3:uid="{B50A5620-E4D3-41EC-88B5-1E4A72D38D12}" uniqueName="6" name="ProgCode" queryTableFieldId="6"/>
    <tableColumn id="7" xr3:uid="{32F89B02-B216-492B-86AD-186E46348F3A}" uniqueName="7" name="ModuleTitle" queryTableFieldId="7" dataDxfId="1"/>
    <tableColumn id="8" xr3:uid="{6D043172-0BC6-44ED-AAE5-6CC73B9B2C63}" uniqueName="8" name="Lecture" queryTableFieldId="8"/>
    <tableColumn id="9" xr3:uid="{793E6675-F0EE-472A-923E-1DABE22A5EDB}" uniqueName="9" name="Seminar" queryTableFieldId="9"/>
    <tableColumn id="10" xr3:uid="{17DB9D14-9286-444E-9E3A-8A1E8D3D1B56}" uniqueName="10" name="Practical" queryTableFieldId="10"/>
    <tableColumn id="11" xr3:uid="{7F92E9C7-FCFB-4EC5-87F8-45AE4A1878D0}" uniqueName="11" name="Workshop" queryTableFieldId="11"/>
    <tableColumn id="12" xr3:uid="{A8683739-C70C-4DE1-AFA5-4C8125B7B87C}" uniqueName="12" name="Online" queryTableFieldId="12"/>
    <tableColumn id="13" xr3:uid="{2FC3FF4E-E3BA-4829-ADA4-5F94668BBAFD}" uniqueName="13" name="Total" queryTableFieldId="13"/>
  </tableColumns>
  <tableStyleInfo name="TableStyleMedium7"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60F9D81-05D1-431F-8B50-7D98978D4BE0}" name="SC_Meta_Wide" displayName="SC_Meta_Wide" ref="A1:O19" tableType="queryTable" totalsRowShown="0">
  <autoFilter ref="A1:O19" xr:uid="{660F9D81-05D1-431F-8B50-7D98978D4BE0}"/>
  <tableColumns count="15">
    <tableColumn id="1" xr3:uid="{4325F3EB-649D-41AC-A3D5-BC04579C5528}" uniqueName="1" name="SourceWorkbook" queryTableFieldId="1" dataDxfId="4"/>
    <tableColumn id="2" xr3:uid="{A28B323F-0A48-47C5-B103-2C3966ACDA40}" uniqueName="2" name="TableName" queryTableFieldId="2"/>
    <tableColumn id="3" xr3:uid="{AD87F62F-FABE-4687-ADDE-367FFB2844BB}" uniqueName="3" name="ModuleCode" queryTableFieldId="3"/>
    <tableColumn id="4" xr3:uid="{030CBC4D-DC88-4E02-99EC-ECA5D173EA9A}" uniqueName="4" name="ItemSuffix" queryTableFieldId="4"/>
    <tableColumn id="5" xr3:uid="{7A9AAC7B-44CD-48F6-BF1A-120AC449D1E2}" uniqueName="5" name="Programme" queryTableFieldId="5"/>
    <tableColumn id="6" xr3:uid="{53E62F7B-FE37-4A85-BEA4-5C136C5C1CAC}" uniqueName="6" name="ProgCode" queryTableFieldId="6"/>
    <tableColumn id="7" xr3:uid="{A526B64C-AEE8-4C2A-9C19-A7AD58A0CBC2}" uniqueName="7" name="ModuleTitle" queryTableFieldId="7" dataDxfId="3"/>
    <tableColumn id="8" xr3:uid="{E13EB157-249A-49D1-850A-A3873A866A98}" uniqueName="8" name="Module Code" queryTableFieldId="8"/>
    <tableColumn id="9" xr3:uid="{1650DE5C-4809-4485-BAFE-58CA4A6141A4}" uniqueName="9" name="Module Title" queryTableFieldId="9"/>
    <tableColumn id="10" xr3:uid="{6BB0C70E-58FD-4930-9229-90AFCD365159}" uniqueName="10" name="Credits" queryTableFieldId="10"/>
    <tableColumn id="11" xr3:uid="{2188952E-77A9-475A-9DC0-6FF836D8791E}" uniqueName="11" name="Semester" queryTableFieldId="11"/>
    <tableColumn id="12" xr3:uid="{75912810-0A4A-42FD-B575-B3C9FB115CCD}" uniqueName="12" name="Level" queryTableFieldId="12"/>
    <tableColumn id="13" xr3:uid="{D246BB4D-0CBC-41F8-BF2C-9B46346586A2}" uniqueName="13" name="Module Leader" queryTableFieldId="13"/>
    <tableColumn id="14" xr3:uid="{F4FB2FA9-DC39-4323-9E98-DA8F5E081CA6}" uniqueName="14" name="Module Type" queryTableFieldId="14"/>
    <tableColumn id="15" xr3:uid="{81D6C9B3-30D7-4096-8844-5B87290642BB}" uniqueName="15" name="Programme(s)" queryTableFieldId="15"/>
  </tableColumns>
  <tableStyleInfo name="TableStyleMedium7"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B0A594-C6DC-4119-BCF4-CC05403E5D5A}" name="SC_SkillsCoverage" displayName="SC_SkillsCoverage" ref="A1:E65" tableType="queryTable" totalsRowShown="0">
  <autoFilter ref="A1:E65" xr:uid="{7BB0A594-C6DC-4119-BCF4-CC05403E5D5A}"/>
  <tableColumns count="5">
    <tableColumn id="1" xr3:uid="{5D82C0BC-BEE8-46DC-B9FC-19C1F0A97D44}" uniqueName="1" name="Category" queryTableFieldId="1"/>
    <tableColumn id="2" xr3:uid="{CF550D1C-4CB4-4796-8D8B-A856F5A09C0A}" uniqueName="2" name="Skill" queryTableFieldId="2"/>
    <tableColumn id="3" xr3:uid="{9814BCDE-3B45-4D25-894A-2FF9CD9F8EC3}" uniqueName="3" name="Modules Covering" queryTableFieldId="3" dataDxfId="5"/>
    <tableColumn id="4" xr3:uid="{D099B7DA-B636-4595-806C-AD4DFB639AB4}" uniqueName="4" name="Module Count" queryTableFieldId="4"/>
    <tableColumn id="5" xr3:uid="{60E8979D-FE4C-4CAD-BC07-71D1E84CD9CA}" uniqueName="5" name="Covered" queryTableFieldId="5"/>
  </tableColumns>
  <tableStyleInfo name="TableStyleMedium7"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E8724A-26FB-41F9-9A92-044B9B8BB6B5}" name="SC_Mapping" displayName="SC_Mapping" ref="A1:K129" tableType="queryTable" totalsRowShown="0">
  <autoFilter ref="A1:K129" xr:uid="{3CE8724A-26FB-41F9-9A92-044B9B8BB6B5}"/>
  <tableColumns count="11">
    <tableColumn id="1" xr3:uid="{9569AD3A-81A9-4EAE-BF44-659E63484B65}" uniqueName="1" name="SourceWorkbook" queryTableFieldId="1" dataDxfId="7"/>
    <tableColumn id="2" xr3:uid="{028177F3-C495-48F0-9954-25EE695DE9AA}" uniqueName="2" name="TableName" queryTableFieldId="2"/>
    <tableColumn id="3" xr3:uid="{8C9F983D-34B2-4580-BC3D-82E150CDCD9D}" uniqueName="3" name="Assessment No" queryTableFieldId="3"/>
    <tableColumn id="4" xr3:uid="{F2E420DB-C347-4605-8150-197A64DE74A5}" uniqueName="4" name="LO Number" queryTableFieldId="4"/>
    <tableColumn id="5" xr3:uid="{E5C900DB-2B41-4B7E-8266-CCA642CB9BE7}" uniqueName="5" name="Graduate Skills Category" queryTableFieldId="5"/>
    <tableColumn id="6" xr3:uid="{EF2719B8-81A9-4D33-B467-1ADC6066A18C}" uniqueName="6" name="Graduate Skill" queryTableFieldId="6"/>
    <tableColumn id="7" xr3:uid="{CD4AA56A-D8C3-4487-AFE1-E92BC6C19016}" uniqueName="7" name="ModuleCode" queryTableFieldId="7"/>
    <tableColumn id="8" xr3:uid="{C1FB1EDC-30A5-4AF2-BCCF-2D234EE65BB1}" uniqueName="8" name="ItemSuffix" queryTableFieldId="8"/>
    <tableColumn id="9" xr3:uid="{4D428293-8CD0-4E16-B929-D0D59F22F38C}" uniqueName="9" name="Programme" queryTableFieldId="9"/>
    <tableColumn id="10" xr3:uid="{58D8E762-A76F-41FB-826E-79AFA5DB5110}" uniqueName="10" name="ProgCode" queryTableFieldId="10"/>
    <tableColumn id="11" xr3:uid="{5079DC05-8A48-4B54-B6B8-88A0EEC7997C}" uniqueName="11" name="ModuleTitle" queryTableFieldId="11" dataDxfId="6"/>
  </tableColumns>
  <tableStyleInfo name="TableStyleMedium7"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928CEAB-EFEA-455B-B085-C8E20A0EB68A}" name="SC_Hours" displayName="SC_Hours" ref="A1:I109" tableType="queryTable" totalsRowShown="0">
  <autoFilter ref="A1:I109" xr:uid="{5928CEAB-EFEA-455B-B085-C8E20A0EB68A}"/>
  <tableColumns count="9">
    <tableColumn id="1" xr3:uid="{459A2A0D-B7D3-4171-817F-B7C3962ADBC4}" uniqueName="1" name="SourceWorkbook" queryTableFieldId="1" dataDxfId="9"/>
    <tableColumn id="2" xr3:uid="{E03CFE1B-650C-49F7-AC29-612059EDE5A4}" uniqueName="2" name="TableName" queryTableFieldId="2"/>
    <tableColumn id="3" xr3:uid="{01A510DE-313E-4090-AADA-C8D7F3585F20}" uniqueName="3" name="Component" queryTableFieldId="3"/>
    <tableColumn id="4" xr3:uid="{AC5073BD-2660-40F2-B15B-125942FF77C0}" uniqueName="4" name="Contact Hours" queryTableFieldId="4"/>
    <tableColumn id="5" xr3:uid="{1CD4500E-A438-4749-82C2-70FC7665FCB4}" uniqueName="5" name="ModuleCode" queryTableFieldId="5"/>
    <tableColumn id="6" xr3:uid="{C9ED575C-9C0A-4785-9B1B-A5B5869A31E0}" uniqueName="6" name="ItemSuffix" queryTableFieldId="6"/>
    <tableColumn id="7" xr3:uid="{FF508B1A-53EC-4133-9E8A-E20C16216E0F}" uniqueName="7" name="Programme" queryTableFieldId="7"/>
    <tableColumn id="8" xr3:uid="{B4D5E9CA-D99C-451C-B96D-22588B0A85FE}" uniqueName="8" name="ProgCode" queryTableFieldId="8"/>
    <tableColumn id="9" xr3:uid="{5A4C06F0-97E0-4960-9C66-5A68A05535EF}" uniqueName="9" name="ModuleTitle" queryTableFieldId="9" dataDxfId="8"/>
  </tableColumns>
  <tableStyleInfo name="TableStyleMedium7"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9E9F39-CEC1-4314-9C92-C354B3355358}" name="SC_Assess" displayName="SC_Assess" ref="A1:M25" tableType="queryTable" totalsRowShown="0">
  <autoFilter ref="A1:M25" xr:uid="{399E9F39-CEC1-4314-9C92-C354B3355358}"/>
  <tableColumns count="13">
    <tableColumn id="1" xr3:uid="{4025ACF9-8BF4-45CE-9EDC-F6309E2E7521}" uniqueName="1" name="SourceWorkbook" queryTableFieldId="1" dataDxfId="11"/>
    <tableColumn id="2" xr3:uid="{58A07DEE-C32A-43F9-B7F9-F8972701F4C0}" uniqueName="2" name="TableName" queryTableFieldId="2"/>
    <tableColumn id="3" xr3:uid="{FC280FDE-36CE-4940-B4B7-7C4A3E4D1A5C}" uniqueName="3" name="Assessment No" queryTableFieldId="3"/>
    <tableColumn id="4" xr3:uid="{B31BC9C9-D1C8-400A-8762-4FA18F465D17}" uniqueName="4" name="Assessment Type" queryTableFieldId="4"/>
    <tableColumn id="5" xr3:uid="{C0FB20AF-7EF0-4507-8B50-3A6CEB23A09A}" uniqueName="5" name="Assessment Specific" queryTableFieldId="5"/>
    <tableColumn id="6" xr3:uid="{76C0DCBC-79B0-4513-97EA-1623461577E2}" uniqueName="6" name="Assessment Description" queryTableFieldId="6"/>
    <tableColumn id="7" xr3:uid="{1708230D-2304-4BE3-9866-9318A0868E9F}" uniqueName="7" name="Weighting" queryTableFieldId="7"/>
    <tableColumn id="8" xr3:uid="{047DF282-8144-4659-9F99-936F7C4A65E8}" uniqueName="8" name="Due Week" queryTableFieldId="8"/>
    <tableColumn id="9" xr3:uid="{29B13BFD-9A26-4095-B4AF-748146F62FB5}" uniqueName="9" name="ModuleCode" queryTableFieldId="9"/>
    <tableColumn id="10" xr3:uid="{6082EC41-7892-45FF-BE87-70CFB75AC078}" uniqueName="10" name="ItemSuffix" queryTableFieldId="10"/>
    <tableColumn id="11" xr3:uid="{F0064EF7-82E7-4B4C-917E-78F94C8640FF}" uniqueName="11" name="Programme" queryTableFieldId="11"/>
    <tableColumn id="12" xr3:uid="{01F96927-73AB-45BF-8825-9561AFCA6C2F}" uniqueName="12" name="ProgCode" queryTableFieldId="12"/>
    <tableColumn id="13" xr3:uid="{4AF5328C-C21A-4EA0-A1D5-30B72FCBCA88}" uniqueName="13" name="ModuleTitle" queryTableFieldId="13" dataDxfId="10"/>
  </tableColumns>
  <tableStyleInfo name="TableStyleMedium7"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DC032-C00F-4D77-B819-26A211CAED24}" name="SC_LO" displayName="SC_LO" ref="A1:I28" tableType="queryTable" totalsRowShown="0">
  <autoFilter ref="A1:I28" xr:uid="{A1CDC032-C00F-4D77-B819-26A211CAED24}"/>
  <tableColumns count="9">
    <tableColumn id="1" xr3:uid="{4723A2F2-4B19-4EAB-8346-F3AA16CEC48F}" uniqueName="1" name="SourceWorkbook" queryTableFieldId="1" dataDxfId="13"/>
    <tableColumn id="2" xr3:uid="{973424F2-9987-408C-8C46-D7D004A417E7}" uniqueName="2" name="TableName" queryTableFieldId="2"/>
    <tableColumn id="3" xr3:uid="{6B3F91D6-CDAA-47D2-A010-338EC4B0DB7F}" uniqueName="3" name="LO Number" queryTableFieldId="3"/>
    <tableColumn id="4" xr3:uid="{0A3F59AB-2BCD-4CAD-B8C1-D055004A638C}" uniqueName="4" name="LO Description" queryTableFieldId="4"/>
    <tableColumn id="5" xr3:uid="{4A8BE9B3-7E5E-4DDA-860E-3D68D547B57F}" uniqueName="5" name="ModuleCode" queryTableFieldId="5"/>
    <tableColumn id="6" xr3:uid="{97B0E5D1-C526-4F02-80AF-72777F9BD27B}" uniqueName="6" name="ItemSuffix" queryTableFieldId="6"/>
    <tableColumn id="7" xr3:uid="{57E7FF86-6A11-4FD0-987B-CEC2023C66EA}" uniqueName="7" name="Programme" queryTableFieldId="7"/>
    <tableColumn id="8" xr3:uid="{019531F0-2217-4904-A6E7-0CB43AC479ED}" uniqueName="8" name="ProgCode" queryTableFieldId="8"/>
    <tableColumn id="9" xr3:uid="{853822DC-745D-4DEE-A30B-38EE8DC79780}" uniqueName="9" name="ModuleTitle" queryTableFieldId="9" dataDxfId="12"/>
  </tableColumns>
  <tableStyleInfo name="TableStyleMedium7"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9BEFBC-2334-49E6-8E30-1317A6A6EC27}" name="SC_Meta" displayName="SC_Meta" ref="A1:I146" tableType="queryTable" totalsRowShown="0">
  <autoFilter ref="A1:I146" xr:uid="{4B9BEFBC-2334-49E6-8E30-1317A6A6EC27}"/>
  <tableColumns count="9">
    <tableColumn id="1" xr3:uid="{DC0ABE09-703A-46CE-979E-1402BCB53CAD}" uniqueName="1" name="SourceWorkbook" queryTableFieldId="1" dataDxfId="15"/>
    <tableColumn id="2" xr3:uid="{DFFB0B8A-098A-40A2-BE06-C77D687EA360}" uniqueName="2" name="TableName" queryTableFieldId="2"/>
    <tableColumn id="3" xr3:uid="{D69A935E-5D07-4808-80A8-9C4D688D8125}" uniqueName="3" name="Module Data" queryTableFieldId="3"/>
    <tableColumn id="4" xr3:uid="{DA879376-AC03-4A71-8742-D8CFDF768A45}" uniqueName="4" name="Details" queryTableFieldId="4"/>
    <tableColumn id="5" xr3:uid="{115FC914-600F-4086-8A5A-989D179C9611}" uniqueName="5" name="ModuleCode" queryTableFieldId="5"/>
    <tableColumn id="6" xr3:uid="{CC13A8D2-7399-417A-8DC3-884A7047A142}" uniqueName="6" name="ItemSuffix" queryTableFieldId="6"/>
    <tableColumn id="7" xr3:uid="{547A9093-78DD-45A3-973D-406A3D7190DD}" uniqueName="7" name="Programme" queryTableFieldId="7"/>
    <tableColumn id="8" xr3:uid="{5BA5D7DE-82CA-4ACC-8166-6B26B010A6E4}" uniqueName="8" name="ProgCode" queryTableFieldId="8"/>
    <tableColumn id="9" xr3:uid="{A652A771-5B45-4FAD-B31B-C66170276C62}" uniqueName="9" name="ModuleTitle" queryTableFieldId="9" dataDxfId="14"/>
  </tableColumns>
  <tableStyleInfo name="TableStyleMedium7"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96.xml"/><Relationship Id="rId3" Type="http://schemas.openxmlformats.org/officeDocument/2006/relationships/table" Target="../tables/table91.xml"/><Relationship Id="rId7" Type="http://schemas.openxmlformats.org/officeDocument/2006/relationships/table" Target="../tables/table95.xml"/><Relationship Id="rId2" Type="http://schemas.openxmlformats.org/officeDocument/2006/relationships/table" Target="../tables/table90.xml"/><Relationship Id="rId1" Type="http://schemas.openxmlformats.org/officeDocument/2006/relationships/printerSettings" Target="../printerSettings/printerSettings10.bin"/><Relationship Id="rId6" Type="http://schemas.openxmlformats.org/officeDocument/2006/relationships/table" Target="../tables/table94.xml"/><Relationship Id="rId11" Type="http://schemas.openxmlformats.org/officeDocument/2006/relationships/table" Target="../tables/table99.xml"/><Relationship Id="rId5" Type="http://schemas.openxmlformats.org/officeDocument/2006/relationships/table" Target="../tables/table93.xml"/><Relationship Id="rId10" Type="http://schemas.openxmlformats.org/officeDocument/2006/relationships/table" Target="../tables/table98.xml"/><Relationship Id="rId4" Type="http://schemas.openxmlformats.org/officeDocument/2006/relationships/table" Target="../tables/table92.xml"/><Relationship Id="rId9" Type="http://schemas.openxmlformats.org/officeDocument/2006/relationships/table" Target="../tables/table9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26.xml"/><Relationship Id="rId3" Type="http://schemas.openxmlformats.org/officeDocument/2006/relationships/table" Target="../tables/table121.xml"/><Relationship Id="rId7" Type="http://schemas.openxmlformats.org/officeDocument/2006/relationships/table" Target="../tables/table125.xml"/><Relationship Id="rId2" Type="http://schemas.openxmlformats.org/officeDocument/2006/relationships/table" Target="../tables/table120.x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0.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37.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38.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0.xml"/><Relationship Id="rId1" Type="http://schemas.openxmlformats.org/officeDocument/2006/relationships/table" Target="../tables/table1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95363-EF7C-4B2F-BD8A-006CFEF11B83}">
  <dimension ref="A1"/>
  <sheetViews>
    <sheetView workbookViewId="0">
      <selection activeCell="H11" sqref="H11"/>
    </sheetView>
  </sheetViews>
  <sheetFormatPr defaultRowHeight="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zoomScale="85" zoomScaleNormal="85" workbookViewId="0">
      <selection activeCell="F24" sqref="F2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4202SPS</v>
      </c>
      <c r="D2" s="20" t="str">
        <f>D8</f>
        <v>Learning Theory and Practice 1</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t="s">
        <v>6</v>
      </c>
    </row>
    <row r="8" spans="2:6">
      <c r="B8" s="2"/>
      <c r="C8" s="3" t="s">
        <v>7</v>
      </c>
      <c r="D8" s="21" t="s">
        <v>8</v>
      </c>
      <c r="E8" s="4"/>
      <c r="F8" s="24"/>
    </row>
    <row r="9" spans="2:6">
      <c r="C9" s="3" t="s">
        <v>9</v>
      </c>
      <c r="D9" s="21">
        <v>20</v>
      </c>
      <c r="E9" s="4"/>
    </row>
    <row r="10" spans="2:6">
      <c r="C10" s="3" t="s">
        <v>10</v>
      </c>
      <c r="D10" s="21">
        <v>2</v>
      </c>
      <c r="E10" s="4"/>
      <c r="F10" t="s">
        <v>11</v>
      </c>
    </row>
    <row r="11" spans="2:6" ht="15.75">
      <c r="C11" s="3" t="s">
        <v>12</v>
      </c>
      <c r="D11" s="21">
        <v>4</v>
      </c>
      <c r="E11" s="4"/>
      <c r="F11" s="38" t="s">
        <v>13</v>
      </c>
    </row>
    <row r="12" spans="2:6" ht="15.75">
      <c r="C12" s="3" t="s">
        <v>14</v>
      </c>
      <c r="D12" s="21" t="s">
        <v>15</v>
      </c>
      <c r="E12" s="4"/>
      <c r="F12" s="37" t="s">
        <v>16</v>
      </c>
    </row>
    <row r="13" spans="2:6" ht="30.75">
      <c r="C13" s="3" t="s">
        <v>17</v>
      </c>
      <c r="D13" s="21" t="s">
        <v>18</v>
      </c>
      <c r="E13" s="4"/>
      <c r="F13" s="32" t="s">
        <v>19</v>
      </c>
    </row>
    <row r="14" spans="2:6" ht="165.75">
      <c r="C14" s="3" t="s">
        <v>20</v>
      </c>
      <c r="D14" s="21" t="s">
        <v>21</v>
      </c>
      <c r="E14" s="4"/>
      <c r="F14" s="39" t="s">
        <v>22</v>
      </c>
    </row>
    <row r="15" spans="2:6">
      <c r="C15" s="3"/>
      <c r="D15" s="21" t="s">
        <v>23</v>
      </c>
      <c r="E15" s="4"/>
      <c r="F15" t="s">
        <v>24</v>
      </c>
    </row>
    <row r="16" spans="2:6" ht="15.75">
      <c r="C16" s="3"/>
      <c r="D16" s="4"/>
      <c r="E16" s="4"/>
      <c r="F16" s="42" t="s">
        <v>25</v>
      </c>
    </row>
    <row r="17" spans="3:6" ht="18.75">
      <c r="C17" s="5" t="s">
        <v>26</v>
      </c>
      <c r="D17" s="4"/>
      <c r="E17" s="4"/>
      <c r="F17" s="24"/>
    </row>
    <row r="18" spans="3:6">
      <c r="C18" s="3" t="s">
        <v>27</v>
      </c>
      <c r="D18" s="1" t="s">
        <v>26</v>
      </c>
      <c r="E18" s="4"/>
      <c r="F18" s="24"/>
    </row>
    <row r="19" spans="3:6">
      <c r="C19" s="3" t="s">
        <v>28</v>
      </c>
      <c r="D19" s="22">
        <v>10</v>
      </c>
      <c r="E19" s="4"/>
      <c r="F19" s="24"/>
    </row>
    <row r="20" spans="3:6">
      <c r="C20" s="3" t="s">
        <v>29</v>
      </c>
      <c r="D20" s="22">
        <v>10</v>
      </c>
      <c r="E20" s="4"/>
      <c r="F20" s="24"/>
    </row>
    <row r="21" spans="3:6">
      <c r="C21" s="3" t="s">
        <v>30</v>
      </c>
      <c r="D21" s="22">
        <v>20</v>
      </c>
      <c r="E21" s="4"/>
    </row>
    <row r="22" spans="3:6">
      <c r="C22" s="3" t="s">
        <v>31</v>
      </c>
      <c r="D22" s="22"/>
      <c r="E22" s="4"/>
      <c r="F22" t="s">
        <v>32</v>
      </c>
    </row>
    <row r="23" spans="3:6">
      <c r="C23" s="3" t="s">
        <v>33</v>
      </c>
      <c r="D23" s="22"/>
      <c r="E23" s="4"/>
      <c r="F23" s="24" t="s">
        <v>34</v>
      </c>
    </row>
    <row r="24" spans="3:6">
      <c r="C24" s="3" t="s">
        <v>35</v>
      </c>
      <c r="D24" s="1">
        <f>SUM(D19:D23)</f>
        <v>40</v>
      </c>
      <c r="E24" s="4"/>
      <c r="F24" s="24" t="s">
        <v>36</v>
      </c>
    </row>
    <row r="25" spans="3:6">
      <c r="F25" s="24"/>
    </row>
    <row r="26" spans="3:6">
      <c r="F26" s="24"/>
    </row>
    <row r="27" spans="3:6" ht="18.75">
      <c r="C27" s="5" t="s">
        <v>37</v>
      </c>
      <c r="D27" s="12" t="s">
        <v>38</v>
      </c>
      <c r="F27" s="24"/>
    </row>
    <row r="28" spans="3:6">
      <c r="C28" s="3" t="s">
        <v>39</v>
      </c>
      <c r="D28" s="3" t="s">
        <v>40</v>
      </c>
      <c r="E28" s="3"/>
      <c r="F28" s="24"/>
    </row>
    <row r="29" spans="3:6">
      <c r="C29" s="3" t="s">
        <v>41</v>
      </c>
      <c r="D29" s="40" t="s">
        <v>42</v>
      </c>
      <c r="E29" s="4"/>
      <c r="F29" s="24"/>
    </row>
    <row r="30" spans="3:6">
      <c r="C30" s="3" t="s">
        <v>43</v>
      </c>
      <c r="D30" s="41" t="s">
        <v>44</v>
      </c>
      <c r="E30" s="4"/>
      <c r="F30" s="24"/>
    </row>
    <row r="31" spans="3:6">
      <c r="C31" s="3" t="s">
        <v>45</v>
      </c>
      <c r="D31" s="41" t="s">
        <v>46</v>
      </c>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57</v>
      </c>
      <c r="E38" s="21"/>
      <c r="F38" s="21" t="s">
        <v>58</v>
      </c>
      <c r="G38" s="23">
        <v>1</v>
      </c>
      <c r="H38" s="21">
        <v>12</v>
      </c>
    </row>
    <row r="39" spans="3:8">
      <c r="C39" s="3" t="s">
        <v>59</v>
      </c>
      <c r="D39" s="21"/>
      <c r="E39" s="21"/>
      <c r="F39" s="21"/>
      <c r="G39" s="23"/>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66</v>
      </c>
    </row>
    <row r="47" spans="3:8">
      <c r="C47" s="25" t="s">
        <v>56</v>
      </c>
      <c r="D47" s="24" t="s">
        <v>43</v>
      </c>
      <c r="E47" s="24" t="s">
        <v>67</v>
      </c>
      <c r="F47" s="24" t="s">
        <v>68</v>
      </c>
    </row>
    <row r="48" spans="3:8">
      <c r="C48" s="25" t="s">
        <v>56</v>
      </c>
      <c r="D48" s="24" t="s">
        <v>45</v>
      </c>
      <c r="E48" s="24" t="s">
        <v>69</v>
      </c>
      <c r="F48" s="24" t="s">
        <v>70</v>
      </c>
    </row>
    <row r="49" spans="3:6">
      <c r="C49" s="25" t="s">
        <v>59</v>
      </c>
      <c r="D49" s="24"/>
      <c r="E49" s="24"/>
      <c r="F49" s="24"/>
    </row>
    <row r="50" spans="3:6">
      <c r="C50" s="25" t="s">
        <v>59</v>
      </c>
      <c r="D50" s="24"/>
      <c r="E50" s="24"/>
      <c r="F50" s="24"/>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77</v>
      </c>
      <c r="E83" s="21" t="s">
        <v>78</v>
      </c>
      <c r="F83" s="21" t="s">
        <v>79</v>
      </c>
    </row>
    <row r="84" spans="2:6">
      <c r="B84" s="7">
        <v>2</v>
      </c>
      <c r="C84" s="1">
        <v>2</v>
      </c>
      <c r="D84" s="21" t="s">
        <v>80</v>
      </c>
      <c r="E84" s="21" t="s">
        <v>81</v>
      </c>
      <c r="F84" s="21" t="s">
        <v>79</v>
      </c>
    </row>
    <row r="85" spans="2:6">
      <c r="B85" s="7">
        <v>2</v>
      </c>
      <c r="C85" s="1">
        <v>3</v>
      </c>
      <c r="D85" s="21" t="s">
        <v>82</v>
      </c>
      <c r="E85" s="21" t="s">
        <v>83</v>
      </c>
      <c r="F85" s="21" t="s">
        <v>79</v>
      </c>
    </row>
    <row r="86" spans="2:6">
      <c r="B86" s="7">
        <v>2</v>
      </c>
      <c r="C86" s="1">
        <v>4</v>
      </c>
      <c r="D86" s="21" t="s">
        <v>84</v>
      </c>
      <c r="E86" s="21" t="s">
        <v>85</v>
      </c>
      <c r="F86" s="21" t="s">
        <v>79</v>
      </c>
    </row>
    <row r="87" spans="2:6">
      <c r="B87" s="7">
        <v>2</v>
      </c>
      <c r="C87" s="1">
        <v>5</v>
      </c>
      <c r="D87" s="21" t="s">
        <v>86</v>
      </c>
      <c r="E87" s="21" t="s">
        <v>87</v>
      </c>
      <c r="F87" s="21" t="s">
        <v>79</v>
      </c>
    </row>
    <row r="88" spans="2:6">
      <c r="B88" s="7">
        <v>2</v>
      </c>
      <c r="C88" s="1">
        <v>6</v>
      </c>
      <c r="D88" s="21" t="s">
        <v>88</v>
      </c>
      <c r="E88" s="21" t="s">
        <v>89</v>
      </c>
      <c r="F88" s="21" t="s">
        <v>79</v>
      </c>
    </row>
    <row r="89" spans="2:6">
      <c r="B89" s="7">
        <v>2</v>
      </c>
      <c r="C89" s="1">
        <v>7</v>
      </c>
      <c r="D89" s="21" t="s">
        <v>90</v>
      </c>
      <c r="E89" s="21"/>
      <c r="F89" s="21"/>
    </row>
    <row r="90" spans="2:6">
      <c r="B90" s="7">
        <v>2</v>
      </c>
      <c r="C90" s="1">
        <v>8</v>
      </c>
      <c r="D90" s="21" t="s">
        <v>91</v>
      </c>
      <c r="E90" s="21" t="s">
        <v>89</v>
      </c>
      <c r="F90" s="21" t="s">
        <v>79</v>
      </c>
    </row>
    <row r="91" spans="2:6">
      <c r="B91" s="7">
        <v>2</v>
      </c>
      <c r="C91" s="1">
        <v>9</v>
      </c>
      <c r="D91" s="21" t="s">
        <v>92</v>
      </c>
      <c r="E91" s="21" t="s">
        <v>93</v>
      </c>
      <c r="F91" s="21" t="s">
        <v>79</v>
      </c>
    </row>
    <row r="92" spans="2:6">
      <c r="B92" s="7">
        <v>2</v>
      </c>
      <c r="C92" s="1">
        <v>10</v>
      </c>
      <c r="D92" s="21" t="s">
        <v>94</v>
      </c>
      <c r="E92" s="21" t="s">
        <v>95</v>
      </c>
      <c r="F92" s="21" t="s">
        <v>79</v>
      </c>
    </row>
    <row r="93" spans="2:6">
      <c r="B93" s="7">
        <v>2</v>
      </c>
      <c r="C93" s="1">
        <v>11</v>
      </c>
      <c r="D93" s="21" t="s">
        <v>96</v>
      </c>
      <c r="E93" s="21" t="s">
        <v>97</v>
      </c>
      <c r="F93" s="21" t="s">
        <v>79</v>
      </c>
    </row>
    <row r="94" spans="2:6">
      <c r="B94" s="7">
        <v>2</v>
      </c>
      <c r="C94" s="1">
        <v>12</v>
      </c>
      <c r="D94" s="21" t="s">
        <v>98</v>
      </c>
      <c r="E94" s="21" t="s">
        <v>98</v>
      </c>
      <c r="F94" s="21" t="s">
        <v>98</v>
      </c>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9" sqref="D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4401SPS</v>
      </c>
      <c r="D2" s="20" t="str">
        <f>D8</f>
        <v xml:space="preserve">Professional Practice in Sport Coaching 1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99</v>
      </c>
      <c r="E7" s="4"/>
      <c r="F7" s="24"/>
    </row>
    <row r="8" spans="2:6">
      <c r="B8" s="2"/>
      <c r="C8" s="3" t="s">
        <v>7</v>
      </c>
      <c r="D8" s="26" t="s">
        <v>100</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5401SPS</v>
      </c>
      <c r="D2" s="20" t="str">
        <f>D8</f>
        <v>Professional Practice in Sport Coaching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125</v>
      </c>
      <c r="E7" s="4"/>
      <c r="F7" s="24"/>
    </row>
    <row r="8" spans="2:6">
      <c r="B8" s="2"/>
      <c r="C8" s="3" t="s">
        <v>7</v>
      </c>
      <c r="D8" s="21" t="s">
        <v>126</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topLeftCell="D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5402SPS</v>
      </c>
      <c r="D2" s="20" t="str">
        <f>D8</f>
        <v>Effective Coaching in Paralympic and Disability Sport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127</v>
      </c>
      <c r="E7" s="4"/>
      <c r="F7" s="24"/>
    </row>
    <row r="8" spans="2:6">
      <c r="B8" s="2"/>
      <c r="C8" s="3" t="s">
        <v>7</v>
      </c>
      <c r="D8" s="21" t="s">
        <v>128</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5403SPS</v>
      </c>
      <c r="D2" s="20" t="str">
        <f>D8</f>
        <v>Strength and Conditioning for Coaches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129</v>
      </c>
      <c r="E7" s="4"/>
      <c r="F7" s="24"/>
    </row>
    <row r="8" spans="2:6">
      <c r="B8" s="2"/>
      <c r="C8" s="3" t="s">
        <v>7</v>
      </c>
      <c r="D8" s="21" t="s">
        <v>130</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topLeftCell="B1"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5404SPS</v>
      </c>
      <c r="D2" s="20" t="str">
        <f>D8</f>
        <v>Learning Theory and Practice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131</v>
      </c>
      <c r="E7" s="4"/>
      <c r="F7" s="24"/>
    </row>
    <row r="8" spans="2:6">
      <c r="B8" s="2"/>
      <c r="C8" s="3" t="s">
        <v>7</v>
      </c>
      <c r="D8" s="21" t="s">
        <v>132</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topLeftCell="B9" zoomScale="85" zoomScaleNormal="85" workbookViewId="0">
      <selection activeCell="D8" sqref="D8"/>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5405SPS</v>
      </c>
      <c r="D2" s="20" t="str">
        <f>D8</f>
        <v>Youth and Community Football Coaching</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133</v>
      </c>
      <c r="E7" s="4"/>
      <c r="F7" s="24"/>
    </row>
    <row r="8" spans="2:6">
      <c r="B8" s="2"/>
      <c r="C8" s="3" t="s">
        <v>7</v>
      </c>
      <c r="D8" s="21" t="s">
        <v>134</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1" zoomScale="85" zoomScaleNormal="85" workbookViewId="0">
      <selection activeCell="D8" sqref="D8"/>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6404SPS</v>
      </c>
      <c r="D2" s="20" t="str">
        <f>D8</f>
        <v xml:space="preserve">Advanced Coaching Practice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135</v>
      </c>
      <c r="E7" s="4"/>
      <c r="F7" s="24"/>
    </row>
    <row r="8" spans="2:6">
      <c r="B8" s="2"/>
      <c r="C8" s="3" t="s">
        <v>7</v>
      </c>
      <c r="D8" s="21" t="s">
        <v>136</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A61" zoomScale="85" zoomScaleNormal="85" workbookViewId="0">
      <selection activeCell="E83" sqref="E83"/>
    </sheetView>
  </sheetViews>
  <sheetFormatPr defaultRowHeight="15"/>
  <cols>
    <col min="3" max="3" width="33.28515625" customWidth="1"/>
    <col min="4" max="4" width="51.5703125" customWidth="1"/>
    <col min="5" max="5" width="67.28515625" customWidth="1"/>
    <col min="6" max="6" width="123" customWidth="1"/>
    <col min="7" max="7" width="12.42578125" customWidth="1"/>
    <col min="8" max="8" width="15.5703125" customWidth="1"/>
    <col min="9" max="9" width="14.7109375" customWidth="1"/>
  </cols>
  <sheetData>
    <row r="2" spans="2:6" ht="26.25">
      <c r="C2" s="20" t="str">
        <f>D7</f>
        <v>6405SPS</v>
      </c>
      <c r="D2" s="20" t="str">
        <f>D8</f>
        <v xml:space="preserve">Coach Development and Learning </v>
      </c>
    </row>
    <row r="3" spans="2:6">
      <c r="B3" s="1"/>
      <c r="C3" s="1"/>
    </row>
    <row r="4" spans="2:6">
      <c r="B4" s="2"/>
      <c r="C4" s="2"/>
    </row>
    <row r="5" spans="2:6" ht="18.75">
      <c r="B5" s="2"/>
      <c r="C5" s="5" t="s">
        <v>0</v>
      </c>
    </row>
    <row r="6" spans="2:6">
      <c r="B6" s="2"/>
      <c r="C6" s="3" t="s">
        <v>1</v>
      </c>
      <c r="D6" s="4" t="s">
        <v>2</v>
      </c>
      <c r="E6" s="4"/>
      <c r="F6" t="s">
        <v>3</v>
      </c>
    </row>
    <row r="7" spans="2:6" ht="13.5" customHeight="1">
      <c r="B7" s="2"/>
      <c r="C7" s="3" t="s">
        <v>4</v>
      </c>
      <c r="D7" s="21" t="s">
        <v>137</v>
      </c>
      <c r="E7" s="4"/>
      <c r="F7" s="32" t="s">
        <v>138</v>
      </c>
    </row>
    <row r="8" spans="2:6" ht="15.75">
      <c r="B8" s="2"/>
      <c r="C8" s="3" t="s">
        <v>7</v>
      </c>
      <c r="D8" s="21" t="s">
        <v>139</v>
      </c>
      <c r="E8" s="4"/>
      <c r="F8" s="32"/>
    </row>
    <row r="9" spans="2:6" ht="15.75">
      <c r="C9" s="3" t="s">
        <v>9</v>
      </c>
      <c r="D9" s="21">
        <v>20</v>
      </c>
      <c r="E9" s="4"/>
      <c r="F9" s="32"/>
    </row>
    <row r="10" spans="2:6" ht="15.75">
      <c r="C10" s="3" t="s">
        <v>10</v>
      </c>
      <c r="D10" s="21">
        <v>1</v>
      </c>
      <c r="E10" s="4"/>
      <c r="F10" s="32"/>
    </row>
    <row r="11" spans="2:6" ht="15.75">
      <c r="C11" s="3" t="s">
        <v>12</v>
      </c>
      <c r="D11" s="21">
        <v>6</v>
      </c>
      <c r="E11" s="4"/>
      <c r="F11" s="32"/>
    </row>
    <row r="12" spans="2:6" ht="15.75">
      <c r="C12" s="3" t="s">
        <v>14</v>
      </c>
      <c r="D12" s="21" t="s">
        <v>140</v>
      </c>
      <c r="E12" s="4"/>
      <c r="F12" s="32"/>
    </row>
    <row r="13" spans="2:6" ht="15.75">
      <c r="C13" s="3" t="s">
        <v>17</v>
      </c>
      <c r="D13" s="21" t="s">
        <v>18</v>
      </c>
      <c r="E13" s="4"/>
      <c r="F13" s="32"/>
    </row>
    <row r="14" spans="2:6" ht="15.75">
      <c r="C14" s="3" t="s">
        <v>20</v>
      </c>
      <c r="D14" s="21" t="s">
        <v>21</v>
      </c>
      <c r="E14" s="4"/>
      <c r="F14" s="32"/>
    </row>
    <row r="15" spans="2:6" ht="15.75">
      <c r="C15" s="3"/>
      <c r="D15" s="4"/>
      <c r="E15" s="4"/>
      <c r="F15" s="32" t="s">
        <v>141</v>
      </c>
    </row>
    <row r="16" spans="2:6" ht="15.75">
      <c r="C16" s="3"/>
      <c r="D16" s="4"/>
      <c r="E16" s="4"/>
      <c r="F16" s="32"/>
    </row>
    <row r="17" spans="3:6" ht="18.75">
      <c r="C17" s="5" t="s">
        <v>26</v>
      </c>
      <c r="D17" s="4"/>
      <c r="E17" s="4"/>
      <c r="F17" s="32"/>
    </row>
    <row r="18" spans="3:6">
      <c r="C18" s="3" t="s">
        <v>27</v>
      </c>
      <c r="D18" s="1" t="s">
        <v>26</v>
      </c>
      <c r="E18" s="4"/>
      <c r="F18" s="24"/>
    </row>
    <row r="19" spans="3:6">
      <c r="C19" s="3" t="s">
        <v>28</v>
      </c>
      <c r="D19" s="22">
        <v>10</v>
      </c>
      <c r="E19" s="4"/>
      <c r="F19" s="24"/>
    </row>
    <row r="20" spans="3:6">
      <c r="C20" s="3" t="s">
        <v>29</v>
      </c>
      <c r="D20" s="22">
        <v>20</v>
      </c>
      <c r="E20" s="4"/>
      <c r="F20" s="24"/>
    </row>
    <row r="21" spans="3:6">
      <c r="C21" s="3" t="s">
        <v>30</v>
      </c>
      <c r="D21" s="22"/>
      <c r="E21" s="4"/>
    </row>
    <row r="22" spans="3:6">
      <c r="C22" s="3" t="s">
        <v>31</v>
      </c>
      <c r="D22" s="22">
        <v>10</v>
      </c>
      <c r="E22" s="4"/>
      <c r="F22" t="s">
        <v>32</v>
      </c>
    </row>
    <row r="23" spans="3:6">
      <c r="C23" s="3" t="s">
        <v>33</v>
      </c>
      <c r="D23" s="22"/>
      <c r="E23" s="4"/>
      <c r="F23" s="24"/>
    </row>
    <row r="24" spans="3:6">
      <c r="C24" s="3" t="s">
        <v>35</v>
      </c>
      <c r="D24" s="1">
        <f>SUM(D19:D23)</f>
        <v>40</v>
      </c>
      <c r="E24" s="4"/>
      <c r="F24" s="24"/>
    </row>
    <row r="25" spans="3:6">
      <c r="F25" s="24"/>
    </row>
    <row r="26" spans="3:6">
      <c r="F26" s="24"/>
    </row>
    <row r="27" spans="3:6" ht="18.75">
      <c r="C27" s="5" t="s">
        <v>37</v>
      </c>
      <c r="D27" s="12" t="s">
        <v>38</v>
      </c>
      <c r="F27" s="24"/>
    </row>
    <row r="28" spans="3:6">
      <c r="C28" s="3" t="s">
        <v>39</v>
      </c>
      <c r="D28" s="3" t="s">
        <v>40</v>
      </c>
      <c r="E28" s="3"/>
      <c r="F28" s="24"/>
    </row>
    <row r="29" spans="3:6" ht="45">
      <c r="C29" s="3" t="s">
        <v>41</v>
      </c>
      <c r="D29" s="33" t="s">
        <v>142</v>
      </c>
      <c r="E29" s="4"/>
      <c r="F29" s="24"/>
    </row>
    <row r="30" spans="3:6" ht="43.5">
      <c r="C30" s="3" t="s">
        <v>43</v>
      </c>
      <c r="D30" s="34" t="s">
        <v>143</v>
      </c>
      <c r="E30" s="4"/>
      <c r="F30" s="24"/>
    </row>
    <row r="31" spans="3:6" ht="60">
      <c r="C31" s="3" t="s">
        <v>45</v>
      </c>
      <c r="D31" s="21" t="s">
        <v>144</v>
      </c>
      <c r="E31" s="4"/>
      <c r="F31" s="24"/>
    </row>
    <row r="32" spans="3:6" ht="57.75">
      <c r="C32" s="3" t="s">
        <v>47</v>
      </c>
      <c r="D32" s="34" t="s">
        <v>145</v>
      </c>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146</v>
      </c>
      <c r="E38" s="21" t="s">
        <v>102</v>
      </c>
      <c r="F38" s="21" t="s">
        <v>147</v>
      </c>
      <c r="G38" s="23">
        <v>1</v>
      </c>
      <c r="H38" s="21">
        <v>12</v>
      </c>
    </row>
    <row r="39" spans="3:8">
      <c r="C39" s="3" t="s">
        <v>59</v>
      </c>
      <c r="D39" s="21"/>
      <c r="E39" s="21"/>
      <c r="F39" s="21"/>
      <c r="G39" s="23"/>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148</v>
      </c>
    </row>
    <row r="47" spans="3:8">
      <c r="C47" s="25" t="s">
        <v>56</v>
      </c>
      <c r="D47" s="24" t="s">
        <v>43</v>
      </c>
      <c r="E47" s="24" t="s">
        <v>65</v>
      </c>
      <c r="F47" s="24" t="s">
        <v>148</v>
      </c>
    </row>
    <row r="48" spans="3:8">
      <c r="C48" s="25" t="s">
        <v>56</v>
      </c>
      <c r="D48" s="24" t="s">
        <v>45</v>
      </c>
      <c r="E48" s="24" t="s">
        <v>67</v>
      </c>
      <c r="F48" s="24" t="s">
        <v>66</v>
      </c>
    </row>
    <row r="49" spans="3:6">
      <c r="C49" s="25" t="s">
        <v>56</v>
      </c>
      <c r="D49" s="24" t="s">
        <v>47</v>
      </c>
      <c r="E49" s="24" t="s">
        <v>67</v>
      </c>
      <c r="F49" s="24" t="s">
        <v>66</v>
      </c>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ht="15.75">
      <c r="B71" s="7">
        <v>1</v>
      </c>
      <c r="C71" s="1">
        <v>1</v>
      </c>
      <c r="D71" s="35" t="s">
        <v>149</v>
      </c>
      <c r="E71" s="21"/>
      <c r="F71" s="21" t="s">
        <v>150</v>
      </c>
    </row>
    <row r="72" spans="2:6" ht="15.75">
      <c r="B72" s="7">
        <v>1</v>
      </c>
      <c r="C72" s="1">
        <v>2</v>
      </c>
      <c r="D72" s="36" t="s">
        <v>151</v>
      </c>
      <c r="E72" s="21"/>
      <c r="F72" s="21" t="s">
        <v>152</v>
      </c>
    </row>
    <row r="73" spans="2:6" ht="15.75">
      <c r="B73" s="7">
        <v>1</v>
      </c>
      <c r="C73" s="1">
        <v>3</v>
      </c>
      <c r="D73" s="36" t="s">
        <v>153</v>
      </c>
      <c r="E73" s="21"/>
      <c r="F73" s="21" t="s">
        <v>152</v>
      </c>
    </row>
    <row r="74" spans="2:6" ht="15.75">
      <c r="B74" s="7">
        <v>1</v>
      </c>
      <c r="C74" s="1">
        <v>4</v>
      </c>
      <c r="D74" s="36" t="s">
        <v>154</v>
      </c>
      <c r="E74" s="21"/>
      <c r="F74" s="21" t="s">
        <v>152</v>
      </c>
    </row>
    <row r="75" spans="2:6" ht="15.75">
      <c r="B75" s="7">
        <v>1</v>
      </c>
      <c r="C75" s="1">
        <v>5</v>
      </c>
      <c r="D75" s="36" t="s">
        <v>155</v>
      </c>
      <c r="E75" s="21"/>
      <c r="F75" s="21" t="s">
        <v>152</v>
      </c>
    </row>
    <row r="76" spans="2:6" ht="15.75">
      <c r="B76" s="7">
        <v>1</v>
      </c>
      <c r="C76" s="1">
        <v>6</v>
      </c>
      <c r="D76" s="36" t="s">
        <v>156</v>
      </c>
      <c r="E76" s="21"/>
      <c r="F76" s="21" t="s">
        <v>152</v>
      </c>
    </row>
    <row r="77" spans="2:6" ht="15.75">
      <c r="B77" s="7">
        <v>1</v>
      </c>
      <c r="C77" s="1">
        <v>7</v>
      </c>
      <c r="D77" s="36" t="s">
        <v>157</v>
      </c>
      <c r="E77" s="21"/>
      <c r="F77" s="21"/>
    </row>
    <row r="78" spans="2:6" ht="15.75">
      <c r="B78" s="7">
        <v>1</v>
      </c>
      <c r="C78" s="1">
        <v>8</v>
      </c>
      <c r="D78" s="35" t="s">
        <v>158</v>
      </c>
      <c r="E78" s="21"/>
      <c r="F78" s="21" t="s">
        <v>150</v>
      </c>
    </row>
    <row r="79" spans="2:6" ht="15.75">
      <c r="B79" s="7">
        <v>1</v>
      </c>
      <c r="C79" s="1">
        <v>9</v>
      </c>
      <c r="D79" s="36" t="s">
        <v>159</v>
      </c>
      <c r="E79" s="21"/>
      <c r="F79" s="21" t="s">
        <v>150</v>
      </c>
    </row>
    <row r="80" spans="2:6" ht="15.75">
      <c r="B80" s="7">
        <v>1</v>
      </c>
      <c r="C80" s="1">
        <v>10</v>
      </c>
      <c r="D80" s="36" t="s">
        <v>160</v>
      </c>
      <c r="E80" s="21"/>
      <c r="F80" s="21" t="s">
        <v>150</v>
      </c>
    </row>
    <row r="81" spans="2:6" ht="15.75">
      <c r="B81" s="7">
        <v>1</v>
      </c>
      <c r="C81" s="1">
        <v>11</v>
      </c>
      <c r="D81" s="36" t="s">
        <v>161</v>
      </c>
      <c r="E81" s="21"/>
      <c r="F81" s="21" t="s">
        <v>150</v>
      </c>
    </row>
    <row r="82" spans="2:6" ht="15.75">
      <c r="B82" s="7">
        <v>1</v>
      </c>
      <c r="C82" s="1">
        <v>12</v>
      </c>
      <c r="D82" s="37" t="s">
        <v>162</v>
      </c>
      <c r="E82" s="21"/>
      <c r="F82" s="21" t="s">
        <v>31</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topLeftCell="B9" zoomScale="85" zoomScaleNormal="85" workbookViewId="0">
      <selection activeCell="D10" sqref="D1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6403SPS</v>
      </c>
      <c r="D2" s="20" t="str">
        <f>D8</f>
        <v xml:space="preserve">Placement/Projects in Sport for Professional Development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163</v>
      </c>
      <c r="E7" s="4"/>
      <c r="F7" s="24"/>
    </row>
    <row r="8" spans="2:6" ht="30">
      <c r="B8" s="2"/>
      <c r="C8" s="3" t="s">
        <v>7</v>
      </c>
      <c r="D8" s="21" t="s">
        <v>164</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topLeftCell="A30" zoomScale="85" zoomScaleNormal="85" workbookViewId="0">
      <selection activeCell="F46" sqref="F46"/>
    </sheetView>
  </sheetViews>
  <sheetFormatPr defaultRowHeight="15"/>
  <cols>
    <col min="3" max="3" width="33.28515625" customWidth="1"/>
    <col min="4" max="4" width="50.28515625" customWidth="1"/>
    <col min="5" max="5" width="34.5703125" customWidth="1"/>
    <col min="6" max="6" width="105" customWidth="1"/>
    <col min="7" max="7" width="12.42578125" customWidth="1"/>
    <col min="8" max="8" width="15.5703125" customWidth="1"/>
    <col min="9" max="9" width="14.7109375" customWidth="1"/>
  </cols>
  <sheetData>
    <row r="2" spans="2:6" ht="26.25">
      <c r="C2" s="20" t="str">
        <f>D7</f>
        <v>6097SPS</v>
      </c>
      <c r="D2" s="20" t="str">
        <f>D8</f>
        <v>Working in High Performance Sport</v>
      </c>
    </row>
    <row r="3" spans="2:6">
      <c r="B3" s="1"/>
      <c r="C3" s="1"/>
    </row>
    <row r="4" spans="2:6">
      <c r="B4" s="2"/>
      <c r="C4" s="2"/>
    </row>
    <row r="5" spans="2:6" ht="18.75">
      <c r="B5" s="2"/>
      <c r="C5" s="5" t="s">
        <v>0</v>
      </c>
    </row>
    <row r="6" spans="2:6">
      <c r="B6" s="2"/>
      <c r="C6" s="3" t="s">
        <v>1</v>
      </c>
      <c r="D6" s="4" t="s">
        <v>2</v>
      </c>
      <c r="E6" s="4"/>
      <c r="F6" t="s">
        <v>3</v>
      </c>
    </row>
    <row r="7" spans="2:6" ht="51" customHeight="1">
      <c r="B7" s="2"/>
      <c r="C7" s="3" t="s">
        <v>4</v>
      </c>
      <c r="D7" s="21" t="s">
        <v>165</v>
      </c>
      <c r="E7" s="4"/>
      <c r="F7" s="27" t="s">
        <v>166</v>
      </c>
    </row>
    <row r="8" spans="2:6">
      <c r="B8" s="2"/>
      <c r="C8" s="3" t="s">
        <v>7</v>
      </c>
      <c r="D8" s="21" t="s">
        <v>167</v>
      </c>
      <c r="E8" s="4"/>
      <c r="F8" s="28"/>
    </row>
    <row r="9" spans="2:6">
      <c r="C9" s="3" t="s">
        <v>9</v>
      </c>
      <c r="D9" s="21">
        <v>20</v>
      </c>
      <c r="E9" s="4"/>
    </row>
    <row r="10" spans="2:6">
      <c r="C10" s="3" t="s">
        <v>10</v>
      </c>
      <c r="D10" s="21">
        <v>1</v>
      </c>
      <c r="E10" s="4"/>
      <c r="F10" t="s">
        <v>11</v>
      </c>
    </row>
    <row r="11" spans="2:6" ht="90">
      <c r="C11" s="3" t="s">
        <v>12</v>
      </c>
      <c r="D11" s="21">
        <v>6</v>
      </c>
      <c r="E11" s="4"/>
      <c r="F11" s="29" t="s">
        <v>168</v>
      </c>
    </row>
    <row r="12" spans="2:6" ht="60">
      <c r="C12" s="3" t="s">
        <v>14</v>
      </c>
      <c r="D12" s="21" t="s">
        <v>169</v>
      </c>
      <c r="E12" s="4"/>
      <c r="F12" s="29" t="s">
        <v>170</v>
      </c>
    </row>
    <row r="13" spans="2:6" ht="105">
      <c r="C13" s="3" t="s">
        <v>17</v>
      </c>
      <c r="D13" s="21" t="s">
        <v>171</v>
      </c>
      <c r="E13" s="4"/>
      <c r="F13" s="29" t="s">
        <v>172</v>
      </c>
    </row>
    <row r="14" spans="2:6">
      <c r="C14" s="3" t="s">
        <v>20</v>
      </c>
      <c r="D14" s="21" t="s">
        <v>173</v>
      </c>
      <c r="E14" s="4"/>
    </row>
    <row r="15" spans="2:6">
      <c r="C15" s="3"/>
      <c r="D15" s="4"/>
      <c r="E15" s="4"/>
      <c r="F15" t="s">
        <v>24</v>
      </c>
    </row>
    <row r="16" spans="2:6">
      <c r="C16" s="3"/>
      <c r="D16" s="4"/>
      <c r="E16" s="4"/>
      <c r="F16" s="24" t="s">
        <v>174</v>
      </c>
    </row>
    <row r="17" spans="3:6" ht="18.75">
      <c r="C17" s="5" t="s">
        <v>26</v>
      </c>
      <c r="D17" s="4"/>
      <c r="E17" s="4"/>
      <c r="F17" s="24"/>
    </row>
    <row r="18" spans="3:6">
      <c r="C18" s="3" t="s">
        <v>27</v>
      </c>
      <c r="D18" s="1" t="s">
        <v>26</v>
      </c>
      <c r="E18" s="4"/>
      <c r="F18" s="24"/>
    </row>
    <row r="19" spans="3:6">
      <c r="C19" s="3" t="s">
        <v>28</v>
      </c>
      <c r="D19" s="22">
        <v>20</v>
      </c>
      <c r="E19" s="4"/>
      <c r="F19" s="24"/>
    </row>
    <row r="20" spans="3:6">
      <c r="C20" s="3" t="s">
        <v>29</v>
      </c>
      <c r="D20" s="22">
        <v>2</v>
      </c>
      <c r="E20" s="4"/>
      <c r="F20" s="24"/>
    </row>
    <row r="21" spans="3:6">
      <c r="C21" s="3" t="s">
        <v>30</v>
      </c>
      <c r="D21" s="22">
        <v>8</v>
      </c>
      <c r="E21" s="4"/>
    </row>
    <row r="22" spans="3:6">
      <c r="C22" s="3" t="s">
        <v>31</v>
      </c>
      <c r="D22" s="22">
        <v>10</v>
      </c>
      <c r="E22" s="4"/>
      <c r="F22" t="s">
        <v>32</v>
      </c>
    </row>
    <row r="23" spans="3:6">
      <c r="C23" s="3" t="s">
        <v>33</v>
      </c>
      <c r="D23" s="22"/>
      <c r="E23" s="4"/>
      <c r="F23" s="24"/>
    </row>
    <row r="24" spans="3:6">
      <c r="C24" s="3" t="s">
        <v>35</v>
      </c>
      <c r="D24" s="1">
        <f>SUM(D19:D23)</f>
        <v>40</v>
      </c>
      <c r="E24" s="4"/>
      <c r="F24" s="24"/>
    </row>
    <row r="25" spans="3:6">
      <c r="F25" s="24"/>
    </row>
    <row r="26" spans="3:6">
      <c r="F26" s="24"/>
    </row>
    <row r="27" spans="3:6" ht="18.75">
      <c r="C27" s="5" t="s">
        <v>37</v>
      </c>
      <c r="D27" s="12" t="s">
        <v>38</v>
      </c>
      <c r="F27" s="24"/>
    </row>
    <row r="28" spans="3:6">
      <c r="C28" s="3" t="s">
        <v>39</v>
      </c>
      <c r="D28" s="3" t="s">
        <v>40</v>
      </c>
      <c r="E28" s="3"/>
      <c r="F28" s="24"/>
    </row>
    <row r="29" spans="3:6" ht="60">
      <c r="C29" s="3" t="s">
        <v>41</v>
      </c>
      <c r="D29" s="21" t="s">
        <v>175</v>
      </c>
      <c r="E29" s="4"/>
      <c r="F29" s="24"/>
    </row>
    <row r="30" spans="3:6" ht="75">
      <c r="C30" s="3" t="s">
        <v>43</v>
      </c>
      <c r="D30" s="21" t="s">
        <v>176</v>
      </c>
      <c r="E30" s="4"/>
      <c r="F30" s="24"/>
    </row>
    <row r="31" spans="3:6" ht="45">
      <c r="C31" s="3" t="s">
        <v>45</v>
      </c>
      <c r="D31" s="21" t="s">
        <v>177</v>
      </c>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ht="195">
      <c r="C38" s="3" t="s">
        <v>56</v>
      </c>
      <c r="D38" s="21" t="s">
        <v>101</v>
      </c>
      <c r="E38" s="21" t="s">
        <v>102</v>
      </c>
      <c r="F38" s="31" t="s">
        <v>178</v>
      </c>
      <c r="G38" s="23">
        <v>0.3</v>
      </c>
      <c r="H38" s="21">
        <v>12</v>
      </c>
    </row>
    <row r="39" spans="3:8">
      <c r="C39" s="3" t="s">
        <v>59</v>
      </c>
      <c r="D39" s="21" t="s">
        <v>146</v>
      </c>
      <c r="E39" s="21"/>
      <c r="F39" s="30" t="s">
        <v>179</v>
      </c>
      <c r="G39" s="23">
        <v>0.7</v>
      </c>
      <c r="H39" s="21">
        <v>17</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67</v>
      </c>
      <c r="F46" s="24" t="s">
        <v>66</v>
      </c>
    </row>
    <row r="47" spans="3:8">
      <c r="C47" s="25" t="s">
        <v>56</v>
      </c>
      <c r="D47" s="24" t="s">
        <v>43</v>
      </c>
      <c r="E47" s="24" t="s">
        <v>106</v>
      </c>
      <c r="F47" s="24" t="s">
        <v>107</v>
      </c>
    </row>
    <row r="48" spans="3:8">
      <c r="C48" s="25" t="s">
        <v>59</v>
      </c>
      <c r="D48" s="24" t="s">
        <v>41</v>
      </c>
      <c r="E48" s="24" t="s">
        <v>106</v>
      </c>
      <c r="F48" s="24" t="s">
        <v>180</v>
      </c>
    </row>
    <row r="49" spans="3:6">
      <c r="C49" s="25" t="s">
        <v>59</v>
      </c>
      <c r="D49" s="24" t="s">
        <v>43</v>
      </c>
      <c r="E49" s="24" t="s">
        <v>181</v>
      </c>
      <c r="F49" s="24" t="s">
        <v>182</v>
      </c>
    </row>
    <row r="50" spans="3:6">
      <c r="C50" s="25" t="s">
        <v>59</v>
      </c>
      <c r="D50" s="24" t="s">
        <v>45</v>
      </c>
      <c r="E50" s="24" t="s">
        <v>69</v>
      </c>
      <c r="F50" s="24" t="s">
        <v>183</v>
      </c>
    </row>
    <row r="51" spans="3:6">
      <c r="C51" s="25" t="s">
        <v>60</v>
      </c>
      <c r="D51" s="24"/>
      <c r="E51" s="24"/>
      <c r="F51" s="24"/>
    </row>
    <row r="52" spans="3:6">
      <c r="C52" s="25" t="s">
        <v>60</v>
      </c>
      <c r="D52" s="24"/>
      <c r="E52" s="24"/>
      <c r="F52" s="24"/>
    </row>
    <row r="53" spans="3:6">
      <c r="C53" s="25" t="s">
        <v>60</v>
      </c>
      <c r="D53" s="24"/>
      <c r="E53" s="24"/>
      <c r="F53" s="24"/>
    </row>
    <row r="54" spans="3:6">
      <c r="C54" s="25" t="s">
        <v>61</v>
      </c>
      <c r="D54" s="24"/>
      <c r="E54" s="24"/>
      <c r="F54" s="24"/>
    </row>
    <row r="55" spans="3:6">
      <c r="C55" s="25" t="s">
        <v>61</v>
      </c>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8" spans="2:6" ht="18.75">
      <c r="C68" s="5" t="s">
        <v>71</v>
      </c>
    </row>
    <row r="69" spans="2:6">
      <c r="B69" t="s">
        <v>72</v>
      </c>
      <c r="C69" s="1" t="s">
        <v>73</v>
      </c>
      <c r="D69" s="1" t="s">
        <v>74</v>
      </c>
      <c r="E69" s="1" t="s">
        <v>75</v>
      </c>
      <c r="F69" s="1" t="s">
        <v>76</v>
      </c>
    </row>
    <row r="70" spans="2:6">
      <c r="B70" s="7">
        <v>1</v>
      </c>
      <c r="C70" s="1">
        <v>1</v>
      </c>
      <c r="D70" s="21"/>
      <c r="E70" s="21"/>
      <c r="F70" s="21"/>
    </row>
    <row r="71" spans="2:6">
      <c r="B71" s="7">
        <v>1</v>
      </c>
      <c r="C71" s="1">
        <v>2</v>
      </c>
      <c r="D71" s="21"/>
      <c r="E71" s="21"/>
      <c r="F71" s="21"/>
    </row>
    <row r="72" spans="2:6">
      <c r="B72" s="7">
        <v>1</v>
      </c>
      <c r="C72" s="1">
        <v>3</v>
      </c>
      <c r="D72" s="21"/>
      <c r="E72" s="21"/>
      <c r="F72" s="21"/>
    </row>
    <row r="73" spans="2:6">
      <c r="B73" s="7">
        <v>1</v>
      </c>
      <c r="C73" s="1">
        <v>4</v>
      </c>
      <c r="D73" s="21"/>
      <c r="E73" s="21"/>
      <c r="F73" s="21"/>
    </row>
    <row r="74" spans="2:6">
      <c r="B74" s="7">
        <v>1</v>
      </c>
      <c r="C74" s="1">
        <v>5</v>
      </c>
      <c r="D74" s="21"/>
      <c r="E74" s="21"/>
      <c r="F74" s="21"/>
    </row>
    <row r="75" spans="2:6">
      <c r="B75" s="7">
        <v>1</v>
      </c>
      <c r="C75" s="1">
        <v>6</v>
      </c>
      <c r="D75" s="21"/>
      <c r="E75" s="21"/>
      <c r="F75" s="21"/>
    </row>
    <row r="76" spans="2:6">
      <c r="B76" s="7">
        <v>1</v>
      </c>
      <c r="C76" s="1">
        <v>7</v>
      </c>
      <c r="D76" s="21"/>
      <c r="E76" s="21"/>
      <c r="F76" s="21"/>
    </row>
    <row r="77" spans="2:6">
      <c r="B77" s="7">
        <v>1</v>
      </c>
      <c r="C77" s="1">
        <v>8</v>
      </c>
      <c r="D77" s="21"/>
      <c r="E77" s="21"/>
      <c r="F77" s="21"/>
    </row>
    <row r="78" spans="2:6">
      <c r="B78" s="7">
        <v>1</v>
      </c>
      <c r="C78" s="1">
        <v>9</v>
      </c>
      <c r="D78" s="21"/>
      <c r="E78" s="21"/>
      <c r="F78" s="21"/>
    </row>
    <row r="79" spans="2:6">
      <c r="B79" s="7">
        <v>1</v>
      </c>
      <c r="C79" s="1">
        <v>10</v>
      </c>
      <c r="D79" s="21"/>
      <c r="E79" s="21"/>
      <c r="F79" s="21"/>
    </row>
    <row r="80" spans="2:6">
      <c r="B80" s="7">
        <v>1</v>
      </c>
      <c r="C80" s="1">
        <v>11</v>
      </c>
      <c r="D80" s="21"/>
      <c r="E80" s="21"/>
      <c r="F80" s="21"/>
    </row>
    <row r="81" spans="2:6">
      <c r="B81" s="7">
        <v>1</v>
      </c>
      <c r="C81" s="1">
        <v>12</v>
      </c>
      <c r="D81" s="21"/>
      <c r="E81" s="21"/>
      <c r="F81" s="21"/>
    </row>
    <row r="82" spans="2:6">
      <c r="B82" s="7">
        <v>2</v>
      </c>
      <c r="C82" s="1">
        <v>1</v>
      </c>
      <c r="D82" s="21"/>
      <c r="E82" s="21"/>
      <c r="F82" s="21"/>
    </row>
    <row r="83" spans="2:6">
      <c r="B83" s="7">
        <v>2</v>
      </c>
      <c r="C83" s="1">
        <v>2</v>
      </c>
      <c r="D83" s="21"/>
      <c r="E83" s="21"/>
      <c r="F83" s="21"/>
    </row>
    <row r="84" spans="2:6">
      <c r="B84" s="7">
        <v>2</v>
      </c>
      <c r="C84" s="1">
        <v>3</v>
      </c>
      <c r="D84" s="21"/>
      <c r="E84" s="21"/>
      <c r="F84" s="21"/>
    </row>
    <row r="85" spans="2:6">
      <c r="B85" s="7">
        <v>2</v>
      </c>
      <c r="C85" s="1">
        <v>4</v>
      </c>
      <c r="D85" s="21"/>
      <c r="E85" s="21"/>
      <c r="F85" s="21"/>
    </row>
    <row r="86" spans="2:6">
      <c r="B86" s="7">
        <v>2</v>
      </c>
      <c r="C86" s="1">
        <v>5</v>
      </c>
      <c r="D86" s="21"/>
      <c r="E86" s="21"/>
      <c r="F86" s="21"/>
    </row>
    <row r="87" spans="2:6">
      <c r="B87" s="7">
        <v>2</v>
      </c>
      <c r="C87" s="1">
        <v>6</v>
      </c>
      <c r="D87" s="21"/>
      <c r="E87" s="21"/>
      <c r="F87" s="21"/>
    </row>
    <row r="88" spans="2:6">
      <c r="B88" s="7">
        <v>2</v>
      </c>
      <c r="C88" s="1">
        <v>7</v>
      </c>
      <c r="D88" s="21"/>
      <c r="E88" s="21"/>
      <c r="F88" s="21"/>
    </row>
    <row r="89" spans="2:6">
      <c r="B89" s="7">
        <v>2</v>
      </c>
      <c r="C89" s="1">
        <v>8</v>
      </c>
      <c r="D89" s="21"/>
      <c r="E89" s="21"/>
      <c r="F89" s="21"/>
    </row>
    <row r="90" spans="2:6">
      <c r="B90" s="7">
        <v>2</v>
      </c>
      <c r="C90" s="1">
        <v>9</v>
      </c>
      <c r="D90" s="21"/>
      <c r="E90" s="21"/>
      <c r="F90" s="21"/>
    </row>
    <row r="91" spans="2:6">
      <c r="B91" s="7">
        <v>2</v>
      </c>
      <c r="C91" s="1">
        <v>10</v>
      </c>
      <c r="D91" s="21"/>
      <c r="E91" s="21"/>
      <c r="F91" s="21"/>
    </row>
    <row r="92" spans="2:6">
      <c r="B92" s="7">
        <v>2</v>
      </c>
      <c r="C92" s="1">
        <v>11</v>
      </c>
      <c r="D92" s="21"/>
      <c r="E92" s="21"/>
      <c r="F92" s="21"/>
    </row>
    <row r="93" spans="2:6">
      <c r="B93" s="7">
        <v>2</v>
      </c>
      <c r="C93" s="1">
        <v>12</v>
      </c>
      <c r="D93" s="21"/>
      <c r="E93" s="21"/>
      <c r="F93" s="21"/>
    </row>
  </sheetData>
  <sheetProtection selectLockedCells="1" sort="0" autoFilter="0" pivotTable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topLeftCell="B1" zoomScale="85" zoomScaleNormal="85" workbookViewId="0">
      <selection activeCell="F54" sqref="F5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184</v>
      </c>
      <c r="E7" s="4"/>
      <c r="F7" s="24"/>
    </row>
    <row r="8" spans="2:6">
      <c r="B8" s="2"/>
      <c r="C8" s="3" t="s">
        <v>7</v>
      </c>
      <c r="D8" s="21" t="s">
        <v>7</v>
      </c>
      <c r="E8" s="4"/>
      <c r="F8" s="24"/>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20</v>
      </c>
      <c r="D14" s="21"/>
      <c r="E14" s="4"/>
    </row>
    <row r="15" spans="2:6">
      <c r="C15" s="3"/>
      <c r="D15" s="4"/>
      <c r="E15" s="4"/>
      <c r="F15" t="s">
        <v>24</v>
      </c>
    </row>
    <row r="16" spans="2:6">
      <c r="C16" s="3"/>
      <c r="D16" s="4"/>
      <c r="E16" s="4"/>
      <c r="F16" s="24"/>
    </row>
    <row r="17" spans="3:6" ht="18.75">
      <c r="C17" s="5" t="s">
        <v>26</v>
      </c>
      <c r="D17" s="4"/>
      <c r="E17" s="4"/>
      <c r="F17" s="24"/>
    </row>
    <row r="18" spans="3:6">
      <c r="C18" s="3" t="s">
        <v>27</v>
      </c>
      <c r="D18" s="1" t="s">
        <v>26</v>
      </c>
      <c r="E18" s="4"/>
      <c r="F18" s="24"/>
    </row>
    <row r="19" spans="3:6">
      <c r="C19" s="3" t="s">
        <v>28</v>
      </c>
      <c r="D19" s="22"/>
      <c r="E19" s="4"/>
      <c r="F19" s="24"/>
    </row>
    <row r="20" spans="3:6">
      <c r="C20" s="3" t="s">
        <v>29</v>
      </c>
      <c r="D20" s="22"/>
      <c r="E20" s="4"/>
      <c r="F20" s="24"/>
    </row>
    <row r="21" spans="3:6">
      <c r="C21" s="3" t="s">
        <v>30</v>
      </c>
      <c r="D21" s="22"/>
      <c r="E21" s="4"/>
    </row>
    <row r="22" spans="3:6">
      <c r="C22" s="3" t="s">
        <v>31</v>
      </c>
      <c r="D22" s="22"/>
      <c r="E22" s="4"/>
      <c r="F22" t="s">
        <v>32</v>
      </c>
    </row>
    <row r="23" spans="3:6">
      <c r="C23" s="3" t="s">
        <v>33</v>
      </c>
      <c r="D23" s="22"/>
      <c r="E23" s="4"/>
      <c r="F23" s="24"/>
    </row>
    <row r="24" spans="3:6">
      <c r="C24" s="3" t="s">
        <v>35</v>
      </c>
      <c r="D24" s="1">
        <f>SUM(D19:D23)</f>
        <v>0</v>
      </c>
      <c r="E24" s="4"/>
      <c r="F24" s="24"/>
    </row>
    <row r="25" spans="3:6">
      <c r="F25" s="24"/>
    </row>
    <row r="26" spans="3:6">
      <c r="F26" s="24"/>
    </row>
    <row r="27" spans="3:6" ht="18.75">
      <c r="C27" s="5" t="s">
        <v>37</v>
      </c>
      <c r="D27" s="12" t="s">
        <v>38</v>
      </c>
      <c r="F27" s="24"/>
    </row>
    <row r="28" spans="3:6">
      <c r="C28" s="3" t="s">
        <v>39</v>
      </c>
      <c r="D28" s="3" t="s">
        <v>40</v>
      </c>
      <c r="E28" s="3"/>
      <c r="F28" s="24"/>
    </row>
    <row r="29" spans="3:6">
      <c r="C29" s="3" t="s">
        <v>41</v>
      </c>
      <c r="D29" s="21"/>
      <c r="E29" s="4"/>
      <c r="F29" s="24"/>
    </row>
    <row r="30" spans="3:6">
      <c r="C30" s="3" t="s">
        <v>43</v>
      </c>
      <c r="D30" s="21"/>
      <c r="E30" s="4"/>
      <c r="F30" s="24"/>
    </row>
    <row r="31" spans="3:6">
      <c r="C31" s="3" t="s">
        <v>45</v>
      </c>
      <c r="D31" s="21"/>
      <c r="E31" s="4"/>
      <c r="F31" s="24"/>
    </row>
    <row r="32" spans="3:6">
      <c r="C32" s="3" t="s">
        <v>47</v>
      </c>
      <c r="D32" s="21"/>
      <c r="E32" s="4"/>
      <c r="F32" s="24"/>
    </row>
    <row r="33" spans="3:8">
      <c r="C33" s="3" t="s">
        <v>48</v>
      </c>
      <c r="D33" s="21"/>
      <c r="E33" s="4"/>
      <c r="F33" s="24"/>
    </row>
    <row r="36" spans="3:8" ht="18.75">
      <c r="C36" s="5" t="s">
        <v>49</v>
      </c>
    </row>
    <row r="37" spans="3:8">
      <c r="C37" s="3" t="s">
        <v>50</v>
      </c>
      <c r="D37" s="3" t="s">
        <v>51</v>
      </c>
      <c r="E37" s="3" t="s">
        <v>52</v>
      </c>
      <c r="F37" s="3" t="s">
        <v>53</v>
      </c>
      <c r="G37" s="3" t="s">
        <v>54</v>
      </c>
      <c r="H37" s="3" t="s">
        <v>55</v>
      </c>
    </row>
    <row r="38" spans="3:8">
      <c r="C38" s="3" t="s">
        <v>56</v>
      </c>
      <c r="D38" s="21" t="s">
        <v>101</v>
      </c>
      <c r="E38" s="21" t="s">
        <v>102</v>
      </c>
      <c r="F38" s="21" t="s">
        <v>103</v>
      </c>
      <c r="G38" s="23">
        <v>0.5</v>
      </c>
      <c r="H38" s="21">
        <v>6</v>
      </c>
    </row>
    <row r="39" spans="3:8">
      <c r="C39" s="3" t="s">
        <v>59</v>
      </c>
      <c r="D39" s="21"/>
      <c r="E39" s="21"/>
      <c r="F39" s="21"/>
      <c r="G39" s="23">
        <v>0.5</v>
      </c>
      <c r="H39" s="21">
        <v>12</v>
      </c>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104</v>
      </c>
    </row>
    <row r="47" spans="3:8">
      <c r="C47" s="25" t="s">
        <v>56</v>
      </c>
      <c r="D47" s="24" t="s">
        <v>41</v>
      </c>
      <c r="E47" s="24" t="s">
        <v>65</v>
      </c>
      <c r="F47" s="24" t="s">
        <v>105</v>
      </c>
    </row>
    <row r="48" spans="3:8">
      <c r="C48" s="25" t="s">
        <v>56</v>
      </c>
      <c r="D48" s="24" t="s">
        <v>41</v>
      </c>
      <c r="E48" s="24" t="s">
        <v>67</v>
      </c>
      <c r="F48" s="24" t="s">
        <v>70</v>
      </c>
    </row>
    <row r="49" spans="3:6">
      <c r="C49" s="25" t="s">
        <v>59</v>
      </c>
      <c r="D49" s="24" t="s">
        <v>43</v>
      </c>
      <c r="E49" s="24" t="s">
        <v>106</v>
      </c>
      <c r="F49" s="24" t="s">
        <v>107</v>
      </c>
    </row>
    <row r="50" spans="3:6">
      <c r="C50" s="25" t="s">
        <v>59</v>
      </c>
      <c r="D50" s="24" t="s">
        <v>43</v>
      </c>
      <c r="E50" s="24" t="s">
        <v>108</v>
      </c>
      <c r="F50" s="24" t="s">
        <v>109</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t="s">
        <v>110</v>
      </c>
      <c r="E71" s="21"/>
      <c r="F71" s="21"/>
    </row>
    <row r="72" spans="2:6">
      <c r="B72" s="7">
        <v>1</v>
      </c>
      <c r="C72" s="1">
        <v>2</v>
      </c>
      <c r="D72" s="21" t="s">
        <v>111</v>
      </c>
      <c r="E72" s="21" t="s">
        <v>112</v>
      </c>
      <c r="F72" s="21" t="s">
        <v>29</v>
      </c>
    </row>
    <row r="73" spans="2:6">
      <c r="B73" s="7">
        <v>1</v>
      </c>
      <c r="C73" s="1">
        <v>3</v>
      </c>
      <c r="D73" s="21" t="s">
        <v>113</v>
      </c>
      <c r="E73" s="21"/>
      <c r="F73" s="21"/>
    </row>
    <row r="74" spans="2:6">
      <c r="B74" s="7">
        <v>1</v>
      </c>
      <c r="C74" s="1">
        <v>4</v>
      </c>
      <c r="D74" s="21" t="s">
        <v>114</v>
      </c>
      <c r="E74" s="21" t="s">
        <v>115</v>
      </c>
      <c r="F74" s="21" t="s">
        <v>29</v>
      </c>
    </row>
    <row r="75" spans="2:6">
      <c r="B75" s="7">
        <v>1</v>
      </c>
      <c r="C75" s="1">
        <v>5</v>
      </c>
      <c r="D75" s="21" t="s">
        <v>116</v>
      </c>
      <c r="E75" s="21"/>
      <c r="F75" s="21"/>
    </row>
    <row r="76" spans="2:6">
      <c r="B76" s="7">
        <v>1</v>
      </c>
      <c r="C76" s="1">
        <v>6</v>
      </c>
      <c r="D76" s="21" t="s">
        <v>117</v>
      </c>
      <c r="E76" s="21"/>
      <c r="F76" s="21" t="s">
        <v>29</v>
      </c>
    </row>
    <row r="77" spans="2:6">
      <c r="B77" s="7">
        <v>1</v>
      </c>
      <c r="C77" s="1">
        <v>7</v>
      </c>
      <c r="D77" s="21" t="s">
        <v>118</v>
      </c>
      <c r="E77" s="21"/>
      <c r="F77" s="21"/>
    </row>
    <row r="78" spans="2:6">
      <c r="B78" s="7">
        <v>1</v>
      </c>
      <c r="C78" s="1">
        <v>8</v>
      </c>
      <c r="D78" s="21" t="s">
        <v>119</v>
      </c>
      <c r="E78" s="21"/>
      <c r="F78" s="21" t="s">
        <v>29</v>
      </c>
    </row>
    <row r="79" spans="2:6">
      <c r="B79" s="7">
        <v>1</v>
      </c>
      <c r="C79" s="1">
        <v>9</v>
      </c>
      <c r="D79" s="21" t="s">
        <v>120</v>
      </c>
      <c r="E79" s="21"/>
      <c r="F79" s="21"/>
    </row>
    <row r="80" spans="2:6">
      <c r="B80" s="7">
        <v>1</v>
      </c>
      <c r="C80" s="1">
        <v>10</v>
      </c>
      <c r="D80" s="21" t="s">
        <v>121</v>
      </c>
      <c r="E80" s="21" t="s">
        <v>122</v>
      </c>
      <c r="F80" s="21" t="s">
        <v>29</v>
      </c>
    </row>
    <row r="81" spans="2:6">
      <c r="B81" s="7">
        <v>1</v>
      </c>
      <c r="C81" s="1">
        <v>11</v>
      </c>
      <c r="D81" s="21" t="s">
        <v>123</v>
      </c>
      <c r="E81" s="21"/>
      <c r="F81" s="21"/>
    </row>
    <row r="82" spans="2:6">
      <c r="B82" s="7">
        <v>1</v>
      </c>
      <c r="C82" s="1">
        <v>12</v>
      </c>
      <c r="D82" s="21" t="s">
        <v>124</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D43" sqref="D43"/>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7" ht="26.25">
      <c r="C2" s="20" t="str">
        <f>D7</f>
        <v xml:space="preserve">6401SPS? </v>
      </c>
      <c r="D2" s="20" t="str">
        <f>D8</f>
        <v xml:space="preserve">Advanced Coaching Practice </v>
      </c>
    </row>
    <row r="3" spans="2:7">
      <c r="B3" s="1"/>
      <c r="C3" s="1"/>
    </row>
    <row r="4" spans="2:7">
      <c r="B4" s="2"/>
      <c r="C4" s="2"/>
    </row>
    <row r="5" spans="2:7" ht="18.75">
      <c r="B5" s="2"/>
      <c r="C5" s="5" t="s">
        <v>0</v>
      </c>
    </row>
    <row r="6" spans="2:7">
      <c r="B6" s="2"/>
      <c r="C6" s="3" t="s">
        <v>1</v>
      </c>
      <c r="D6" s="4" t="s">
        <v>2</v>
      </c>
      <c r="E6" s="4"/>
      <c r="F6" t="s">
        <v>3</v>
      </c>
    </row>
    <row r="7" spans="2:7">
      <c r="B7" s="2"/>
      <c r="C7" s="3" t="s">
        <v>4</v>
      </c>
      <c r="D7" s="21" t="s">
        <v>185</v>
      </c>
      <c r="E7" s="4"/>
      <c r="F7" s="24"/>
    </row>
    <row r="8" spans="2:7" ht="60">
      <c r="B8" s="2"/>
      <c r="C8" s="3" t="s">
        <v>7</v>
      </c>
      <c r="D8" s="21" t="s">
        <v>136</v>
      </c>
      <c r="E8" s="4"/>
      <c r="F8" s="50" t="s">
        <v>186</v>
      </c>
    </row>
    <row r="9" spans="2:7" ht="15.75">
      <c r="C9" s="3" t="s">
        <v>9</v>
      </c>
      <c r="D9" s="21">
        <v>20</v>
      </c>
      <c r="E9" s="4"/>
      <c r="F9" s="32" t="s">
        <v>187</v>
      </c>
    </row>
    <row r="10" spans="2:7" ht="15.75">
      <c r="C10" s="3" t="s">
        <v>10</v>
      </c>
      <c r="D10" s="21">
        <v>2</v>
      </c>
      <c r="E10" s="4"/>
      <c r="F10" s="46" t="s">
        <v>141</v>
      </c>
    </row>
    <row r="11" spans="2:7" ht="45">
      <c r="C11" s="3" t="s">
        <v>12</v>
      </c>
      <c r="D11" s="21">
        <v>6</v>
      </c>
      <c r="E11" s="4"/>
      <c r="F11" s="52" t="s">
        <v>188</v>
      </c>
      <c r="G11" s="32"/>
    </row>
    <row r="12" spans="2:7" ht="15.75">
      <c r="C12" s="3" t="s">
        <v>14</v>
      </c>
      <c r="D12" s="21" t="s">
        <v>189</v>
      </c>
      <c r="E12" s="4"/>
      <c r="F12" s="32" t="s">
        <v>187</v>
      </c>
      <c r="G12" s="32"/>
    </row>
    <row r="13" spans="2:7" ht="30">
      <c r="C13" s="3" t="s">
        <v>17</v>
      </c>
      <c r="D13" s="21" t="s">
        <v>18</v>
      </c>
      <c r="E13" s="4"/>
      <c r="F13" s="53" t="s">
        <v>190</v>
      </c>
    </row>
    <row r="14" spans="2:7" ht="15.75">
      <c r="C14" s="3" t="s">
        <v>20</v>
      </c>
      <c r="D14" s="21" t="s">
        <v>21</v>
      </c>
      <c r="E14" s="4"/>
      <c r="F14" s="51" t="s">
        <v>191</v>
      </c>
      <c r="G14" s="32"/>
    </row>
    <row r="15" spans="2:7" ht="15.75">
      <c r="C15" s="3"/>
      <c r="D15" s="4"/>
      <c r="E15" s="4"/>
      <c r="F15" s="53" t="s">
        <v>192</v>
      </c>
      <c r="G15" s="32"/>
    </row>
    <row r="16" spans="2:7" ht="15.75">
      <c r="C16" s="3"/>
      <c r="D16" s="4"/>
      <c r="E16" s="4"/>
      <c r="F16" s="51" t="s">
        <v>191</v>
      </c>
    </row>
    <row r="17" spans="3:7" ht="30">
      <c r="C17" s="5" t="s">
        <v>26</v>
      </c>
      <c r="D17" s="4"/>
      <c r="E17" s="4"/>
      <c r="F17" s="53" t="s">
        <v>193</v>
      </c>
      <c r="G17" s="32"/>
    </row>
    <row r="18" spans="3:7" ht="15.75">
      <c r="C18" s="3" t="s">
        <v>27</v>
      </c>
      <c r="D18" s="1" t="s">
        <v>26</v>
      </c>
      <c r="E18" s="4"/>
      <c r="F18" s="44">
        <v>6</v>
      </c>
      <c r="G18" s="32"/>
    </row>
    <row r="19" spans="3:7">
      <c r="C19" s="3" t="s">
        <v>28</v>
      </c>
      <c r="D19" s="22">
        <v>20</v>
      </c>
      <c r="E19" s="4"/>
      <c r="F19" s="24"/>
    </row>
    <row r="20" spans="3:7">
      <c r="C20" s="3" t="s">
        <v>29</v>
      </c>
      <c r="D20" s="22"/>
      <c r="E20" s="4"/>
      <c r="F20" s="24"/>
    </row>
    <row r="21" spans="3:7">
      <c r="C21" s="3" t="s">
        <v>30</v>
      </c>
      <c r="D21" s="22">
        <v>20</v>
      </c>
      <c r="E21" s="4"/>
    </row>
    <row r="22" spans="3:7">
      <c r="C22" s="3" t="s">
        <v>31</v>
      </c>
      <c r="D22" s="22"/>
      <c r="E22" s="4"/>
      <c r="F22" t="s">
        <v>32</v>
      </c>
    </row>
    <row r="23" spans="3:7">
      <c r="C23" s="3" t="s">
        <v>33</v>
      </c>
      <c r="D23" s="22">
        <v>0</v>
      </c>
      <c r="E23" s="4"/>
      <c r="F23" s="48" t="s">
        <v>194</v>
      </c>
    </row>
    <row r="24" spans="3:7" ht="150">
      <c r="C24" s="3" t="s">
        <v>35</v>
      </c>
      <c r="D24" s="1">
        <f>SUM(D19:D23)</f>
        <v>40</v>
      </c>
      <c r="E24" s="4"/>
      <c r="F24" s="47" t="s">
        <v>195</v>
      </c>
    </row>
    <row r="25" spans="3:7">
      <c r="F25" s="45" t="s">
        <v>187</v>
      </c>
    </row>
    <row r="26" spans="3:7">
      <c r="F26" s="48" t="s">
        <v>196</v>
      </c>
    </row>
    <row r="27" spans="3:7" ht="45">
      <c r="C27" s="5" t="s">
        <v>37</v>
      </c>
      <c r="D27" s="12" t="s">
        <v>38</v>
      </c>
      <c r="F27" s="47" t="s">
        <v>197</v>
      </c>
    </row>
    <row r="28" spans="3:7">
      <c r="C28" s="3" t="s">
        <v>39</v>
      </c>
      <c r="D28" s="3" t="s">
        <v>40</v>
      </c>
      <c r="E28" s="3"/>
      <c r="F28" s="45" t="s">
        <v>198</v>
      </c>
    </row>
    <row r="29" spans="3:7" ht="15.75">
      <c r="C29" s="3" t="s">
        <v>41</v>
      </c>
      <c r="D29" s="43" t="s">
        <v>199</v>
      </c>
      <c r="E29" s="4"/>
      <c r="F29" s="48" t="s">
        <v>200</v>
      </c>
    </row>
    <row r="30" spans="3:7" ht="75">
      <c r="C30" s="3" t="s">
        <v>43</v>
      </c>
      <c r="D30" s="43" t="s">
        <v>201</v>
      </c>
      <c r="E30" s="4"/>
      <c r="F30" s="47" t="s">
        <v>202</v>
      </c>
    </row>
    <row r="31" spans="3:7">
      <c r="C31" s="3" t="s">
        <v>45</v>
      </c>
      <c r="D31" s="21"/>
      <c r="E31" s="4"/>
      <c r="F31" s="45" t="s">
        <v>187</v>
      </c>
    </row>
    <row r="32" spans="3:7">
      <c r="C32" s="3" t="s">
        <v>47</v>
      </c>
      <c r="D32" s="21"/>
      <c r="E32" s="4"/>
      <c r="F32" s="48" t="s">
        <v>203</v>
      </c>
    </row>
    <row r="33" spans="3:8" ht="60">
      <c r="C33" s="3" t="s">
        <v>48</v>
      </c>
      <c r="D33" s="21"/>
      <c r="E33" s="4"/>
      <c r="F33" s="47" t="s">
        <v>204</v>
      </c>
    </row>
    <row r="36" spans="3:8" ht="18.75">
      <c r="C36" s="5" t="s">
        <v>49</v>
      </c>
    </row>
    <row r="37" spans="3:8">
      <c r="C37" s="3" t="s">
        <v>50</v>
      </c>
      <c r="D37" s="3" t="s">
        <v>51</v>
      </c>
      <c r="E37" s="3" t="s">
        <v>52</v>
      </c>
      <c r="F37" s="3" t="s">
        <v>53</v>
      </c>
      <c r="G37" s="3" t="s">
        <v>54</v>
      </c>
      <c r="H37" s="3" t="s">
        <v>55</v>
      </c>
    </row>
    <row r="38" spans="3:8">
      <c r="C38" s="3" t="s">
        <v>56</v>
      </c>
      <c r="D38" s="21" t="s">
        <v>57</v>
      </c>
      <c r="E38" s="21"/>
      <c r="F38" s="21" t="s">
        <v>205</v>
      </c>
      <c r="G38" s="23">
        <v>0.5</v>
      </c>
      <c r="H38" s="21"/>
    </row>
    <row r="39" spans="3:8">
      <c r="C39" s="3" t="s">
        <v>59</v>
      </c>
      <c r="D39" s="21" t="s">
        <v>30</v>
      </c>
      <c r="E39" s="21"/>
      <c r="F39" s="21" t="s">
        <v>206</v>
      </c>
      <c r="G39" s="23">
        <v>0.5</v>
      </c>
      <c r="H39" s="21"/>
    </row>
    <row r="40" spans="3:8">
      <c r="C40" s="3" t="s">
        <v>60</v>
      </c>
      <c r="D40" s="24"/>
      <c r="E40" s="24"/>
      <c r="F40" s="24"/>
      <c r="G40" s="24"/>
      <c r="H40" s="24"/>
    </row>
    <row r="41" spans="3:8">
      <c r="C41" s="3" t="s">
        <v>61</v>
      </c>
      <c r="D41" s="24"/>
      <c r="E41" s="24"/>
      <c r="F41" s="24"/>
      <c r="G41" s="24"/>
      <c r="H41" s="24"/>
    </row>
    <row r="42" spans="3:8">
      <c r="C42" s="3"/>
    </row>
    <row r="44" spans="3:8" ht="18.75">
      <c r="C44" s="5" t="s">
        <v>62</v>
      </c>
      <c r="D44" s="12"/>
    </row>
    <row r="45" spans="3:8">
      <c r="C45" s="1" t="s">
        <v>50</v>
      </c>
      <c r="D45" s="1" t="s">
        <v>39</v>
      </c>
      <c r="E45" s="1" t="s">
        <v>63</v>
      </c>
      <c r="F45" s="1" t="s">
        <v>64</v>
      </c>
    </row>
    <row r="46" spans="3:8">
      <c r="C46" s="25" t="s">
        <v>56</v>
      </c>
      <c r="D46" s="24" t="s">
        <v>41</v>
      </c>
      <c r="E46" s="24" t="s">
        <v>65</v>
      </c>
      <c r="F46" s="24" t="s">
        <v>207</v>
      </c>
    </row>
    <row r="47" spans="3:8">
      <c r="C47" s="25" t="s">
        <v>56</v>
      </c>
      <c r="D47" s="24" t="s">
        <v>41</v>
      </c>
      <c r="E47" s="24" t="s">
        <v>65</v>
      </c>
      <c r="F47" s="24" t="s">
        <v>208</v>
      </c>
    </row>
    <row r="48" spans="3:8">
      <c r="C48" s="25" t="s">
        <v>56</v>
      </c>
      <c r="D48" s="24" t="s">
        <v>43</v>
      </c>
      <c r="E48" s="24" t="s">
        <v>67</v>
      </c>
      <c r="F48" s="24" t="s">
        <v>70</v>
      </c>
    </row>
    <row r="49" spans="3:6">
      <c r="C49" s="25" t="s">
        <v>59</v>
      </c>
      <c r="D49" s="24" t="s">
        <v>45</v>
      </c>
      <c r="E49" s="24" t="s">
        <v>67</v>
      </c>
      <c r="F49" s="24" t="s">
        <v>209</v>
      </c>
    </row>
    <row r="50" spans="3:6">
      <c r="C50" s="25" t="s">
        <v>59</v>
      </c>
      <c r="D50" s="24" t="s">
        <v>45</v>
      </c>
      <c r="E50" s="24" t="s">
        <v>181</v>
      </c>
      <c r="F50" s="24" t="s">
        <v>210</v>
      </c>
    </row>
    <row r="51" spans="3:6">
      <c r="C51" s="25" t="s">
        <v>59</v>
      </c>
      <c r="D51" s="24" t="s">
        <v>45</v>
      </c>
      <c r="E51" s="24" t="s">
        <v>211</v>
      </c>
      <c r="F51" s="24" t="s">
        <v>212</v>
      </c>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71</v>
      </c>
    </row>
    <row r="70" spans="2: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213</v>
      </c>
      <c r="E83" s="21" t="s">
        <v>214</v>
      </c>
      <c r="F83" s="21"/>
    </row>
    <row r="84" spans="2:6">
      <c r="B84" s="7">
        <v>2</v>
      </c>
      <c r="C84" s="1">
        <v>2</v>
      </c>
      <c r="D84" s="49" t="s">
        <v>215</v>
      </c>
      <c r="E84" s="21" t="s">
        <v>214</v>
      </c>
      <c r="F84" s="21"/>
    </row>
    <row r="85" spans="2:6">
      <c r="B85" s="7">
        <v>2</v>
      </c>
      <c r="C85" s="1">
        <v>3</v>
      </c>
      <c r="D85" s="49" t="s">
        <v>216</v>
      </c>
      <c r="E85" s="21" t="s">
        <v>214</v>
      </c>
      <c r="F85" s="21"/>
    </row>
    <row r="86" spans="2:6">
      <c r="B86" s="7">
        <v>2</v>
      </c>
      <c r="C86" s="1">
        <v>4</v>
      </c>
      <c r="D86" s="49" t="s">
        <v>217</v>
      </c>
      <c r="E86" s="21" t="s">
        <v>214</v>
      </c>
      <c r="F86" s="21"/>
    </row>
    <row r="87" spans="2:6">
      <c r="B87" s="7">
        <v>2</v>
      </c>
      <c r="C87" s="1">
        <v>5</v>
      </c>
      <c r="D87" s="49" t="s">
        <v>218</v>
      </c>
      <c r="E87" s="21" t="s">
        <v>214</v>
      </c>
      <c r="F87" s="21"/>
    </row>
    <row r="88" spans="2:6">
      <c r="B88" s="7">
        <v>2</v>
      </c>
      <c r="C88" s="1">
        <v>6</v>
      </c>
      <c r="D88" s="49" t="s">
        <v>219</v>
      </c>
      <c r="E88" s="21" t="s">
        <v>214</v>
      </c>
      <c r="F88" s="21"/>
    </row>
    <row r="89" spans="2:6">
      <c r="B89" s="7">
        <v>2</v>
      </c>
      <c r="C89" s="1">
        <v>7</v>
      </c>
      <c r="D89" s="49" t="s">
        <v>220</v>
      </c>
      <c r="E89" s="21" t="s">
        <v>214</v>
      </c>
      <c r="F89" s="21"/>
    </row>
    <row r="90" spans="2:6">
      <c r="B90" s="7">
        <v>2</v>
      </c>
      <c r="C90" s="1">
        <v>8</v>
      </c>
      <c r="D90" s="49" t="s">
        <v>221</v>
      </c>
      <c r="E90" s="21" t="s">
        <v>214</v>
      </c>
      <c r="F90" s="21"/>
    </row>
    <row r="91" spans="2:6">
      <c r="B91" s="7">
        <v>2</v>
      </c>
      <c r="C91" s="1">
        <v>9</v>
      </c>
      <c r="D91" s="50" t="s">
        <v>222</v>
      </c>
      <c r="E91" s="21" t="s">
        <v>214</v>
      </c>
      <c r="F91" s="21"/>
    </row>
    <row r="92" spans="2:6">
      <c r="B92" s="7">
        <v>2</v>
      </c>
      <c r="C92" s="1">
        <v>10</v>
      </c>
      <c r="D92" s="50" t="s">
        <v>223</v>
      </c>
      <c r="E92" s="21" t="s">
        <v>214</v>
      </c>
      <c r="F92" s="21"/>
    </row>
    <row r="93" spans="2:6">
      <c r="B93" s="7">
        <v>2</v>
      </c>
      <c r="C93" s="1">
        <v>11</v>
      </c>
      <c r="D93" s="21" t="s">
        <v>224</v>
      </c>
      <c r="E93" s="21" t="s">
        <v>225</v>
      </c>
      <c r="F93" s="21"/>
    </row>
    <row r="94" spans="2:6">
      <c r="B94" s="7">
        <v>2</v>
      </c>
      <c r="C94" s="1">
        <v>12</v>
      </c>
      <c r="D94" s="21" t="s">
        <v>224</v>
      </c>
      <c r="E94" s="21" t="s">
        <v>225</v>
      </c>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95A1D-AA1C-4BA2-8B0A-48CE73728C66}">
  <dimension ref="A1:I19"/>
  <sheetViews>
    <sheetView tabSelected="1" workbookViewId="0"/>
  </sheetViews>
  <sheetFormatPr defaultRowHeight="15"/>
  <cols>
    <col min="1" max="1" width="14.85546875" bestFit="1" customWidth="1"/>
    <col min="2" max="2" width="53" bestFit="1" customWidth="1"/>
    <col min="3" max="3" width="8.140625" bestFit="1" customWidth="1"/>
    <col min="4" max="4" width="12" bestFit="1" customWidth="1"/>
    <col min="5" max="5" width="10" bestFit="1" customWidth="1"/>
    <col min="6" max="6" width="21.140625" bestFit="1" customWidth="1"/>
    <col min="7" max="7" width="15.85546875" bestFit="1" customWidth="1"/>
    <col min="8" max="8" width="21.42578125" bestFit="1" customWidth="1"/>
    <col min="9" max="9" width="18.42578125" bestFit="1" customWidth="1"/>
  </cols>
  <sheetData>
    <row r="1" spans="1:9">
      <c r="A1" t="s">
        <v>332</v>
      </c>
      <c r="B1" t="s">
        <v>333</v>
      </c>
      <c r="C1" t="s">
        <v>12</v>
      </c>
      <c r="D1" t="s">
        <v>10</v>
      </c>
      <c r="E1" t="s">
        <v>9</v>
      </c>
      <c r="F1" t="s">
        <v>14</v>
      </c>
      <c r="G1" t="s">
        <v>17</v>
      </c>
      <c r="H1" t="s">
        <v>497</v>
      </c>
      <c r="I1" t="s">
        <v>498</v>
      </c>
    </row>
    <row r="2" spans="1:9">
      <c r="A2" t="s">
        <v>5</v>
      </c>
      <c r="B2" s="54" t="s">
        <v>8</v>
      </c>
      <c r="C2">
        <v>4</v>
      </c>
      <c r="D2">
        <v>2</v>
      </c>
      <c r="E2">
        <v>20</v>
      </c>
      <c r="F2" t="s">
        <v>15</v>
      </c>
      <c r="G2" t="s">
        <v>18</v>
      </c>
      <c r="H2">
        <v>40</v>
      </c>
      <c r="I2">
        <v>2</v>
      </c>
    </row>
    <row r="3" spans="1:9">
      <c r="A3" t="s">
        <v>99</v>
      </c>
      <c r="B3" s="54" t="s">
        <v>443</v>
      </c>
      <c r="H3">
        <v>0</v>
      </c>
    </row>
    <row r="4" spans="1:9">
      <c r="A4" t="s">
        <v>125</v>
      </c>
      <c r="B4" s="54" t="s">
        <v>126</v>
      </c>
      <c r="H4">
        <v>0</v>
      </c>
    </row>
    <row r="5" spans="1:9">
      <c r="A5" t="s">
        <v>127</v>
      </c>
      <c r="B5" s="54" t="s">
        <v>128</v>
      </c>
      <c r="H5">
        <v>0</v>
      </c>
    </row>
    <row r="6" spans="1:9">
      <c r="A6" t="s">
        <v>129</v>
      </c>
      <c r="B6" s="54" t="s">
        <v>130</v>
      </c>
      <c r="H6">
        <v>0</v>
      </c>
    </row>
    <row r="7" spans="1:9">
      <c r="A7" t="s">
        <v>131</v>
      </c>
      <c r="B7" s="54" t="s">
        <v>132</v>
      </c>
      <c r="H7">
        <v>0</v>
      </c>
    </row>
    <row r="8" spans="1:9">
      <c r="A8" t="s">
        <v>133</v>
      </c>
      <c r="B8" s="54" t="s">
        <v>134</v>
      </c>
      <c r="H8">
        <v>0</v>
      </c>
    </row>
    <row r="9" spans="1:9">
      <c r="A9" t="s">
        <v>165</v>
      </c>
      <c r="B9" s="54" t="s">
        <v>167</v>
      </c>
      <c r="C9">
        <v>6</v>
      </c>
      <c r="D9">
        <v>1</v>
      </c>
      <c r="E9">
        <v>20</v>
      </c>
      <c r="F9" t="s">
        <v>169</v>
      </c>
      <c r="G9" t="s">
        <v>171</v>
      </c>
      <c r="H9">
        <v>40</v>
      </c>
      <c r="I9">
        <v>2</v>
      </c>
    </row>
    <row r="10" spans="1:9">
      <c r="A10" t="s">
        <v>163</v>
      </c>
      <c r="B10" s="54" t="s">
        <v>454</v>
      </c>
      <c r="H10">
        <v>0</v>
      </c>
    </row>
    <row r="11" spans="1:9">
      <c r="A11" t="s">
        <v>135</v>
      </c>
      <c r="B11" s="54" t="s">
        <v>450</v>
      </c>
      <c r="H11">
        <v>0</v>
      </c>
    </row>
    <row r="12" spans="1:9">
      <c r="A12" t="s">
        <v>137</v>
      </c>
      <c r="B12" s="54" t="s">
        <v>452</v>
      </c>
      <c r="C12">
        <v>6</v>
      </c>
      <c r="D12">
        <v>1</v>
      </c>
      <c r="E12">
        <v>20</v>
      </c>
      <c r="F12" t="s">
        <v>140</v>
      </c>
      <c r="G12" t="s">
        <v>18</v>
      </c>
      <c r="H12">
        <v>40</v>
      </c>
      <c r="I12">
        <v>2</v>
      </c>
    </row>
    <row r="13" spans="1:9">
      <c r="A13" t="s">
        <v>338</v>
      </c>
      <c r="B13" s="54" t="s">
        <v>339</v>
      </c>
      <c r="C13">
        <v>4</v>
      </c>
      <c r="D13">
        <v>1</v>
      </c>
      <c r="E13">
        <v>20</v>
      </c>
      <c r="F13" t="s">
        <v>340</v>
      </c>
      <c r="G13" t="s">
        <v>18</v>
      </c>
      <c r="H13">
        <v>44</v>
      </c>
      <c r="I13">
        <v>2.2000000000000002</v>
      </c>
    </row>
    <row r="14" spans="1:9">
      <c r="A14" t="s">
        <v>343</v>
      </c>
      <c r="B14" s="54" t="s">
        <v>344</v>
      </c>
      <c r="C14">
        <v>5</v>
      </c>
      <c r="D14">
        <v>2</v>
      </c>
      <c r="E14">
        <v>20</v>
      </c>
      <c r="F14" t="s">
        <v>345</v>
      </c>
      <c r="G14" t="s">
        <v>18</v>
      </c>
      <c r="H14">
        <v>44</v>
      </c>
      <c r="I14">
        <v>2.2000000000000002</v>
      </c>
    </row>
    <row r="15" spans="1:9">
      <c r="A15" t="s">
        <v>334</v>
      </c>
      <c r="B15" s="54" t="s">
        <v>335</v>
      </c>
      <c r="G15" t="s">
        <v>238</v>
      </c>
      <c r="H15">
        <v>0</v>
      </c>
    </row>
    <row r="16" spans="1:9">
      <c r="A16" t="s">
        <v>336</v>
      </c>
      <c r="B16" s="54" t="s">
        <v>330</v>
      </c>
      <c r="C16">
        <v>4</v>
      </c>
      <c r="D16">
        <v>1</v>
      </c>
      <c r="E16">
        <v>20</v>
      </c>
      <c r="F16" t="s">
        <v>337</v>
      </c>
      <c r="G16" t="s">
        <v>18</v>
      </c>
      <c r="H16">
        <v>44</v>
      </c>
      <c r="I16">
        <v>2.2000000000000002</v>
      </c>
    </row>
    <row r="17" spans="1:9">
      <c r="A17" t="s">
        <v>341</v>
      </c>
      <c r="B17" s="54" t="s">
        <v>331</v>
      </c>
      <c r="C17">
        <v>4</v>
      </c>
      <c r="D17">
        <v>2</v>
      </c>
      <c r="E17">
        <v>20</v>
      </c>
      <c r="F17" t="s">
        <v>342</v>
      </c>
      <c r="G17" t="s">
        <v>18</v>
      </c>
      <c r="H17">
        <v>39</v>
      </c>
      <c r="I17">
        <v>1.95</v>
      </c>
    </row>
    <row r="18" spans="1:9">
      <c r="A18" t="s">
        <v>346</v>
      </c>
      <c r="B18" s="54" t="s">
        <v>347</v>
      </c>
      <c r="C18">
        <v>6</v>
      </c>
      <c r="E18">
        <v>40</v>
      </c>
      <c r="G18" t="s">
        <v>240</v>
      </c>
      <c r="H18">
        <v>36</v>
      </c>
      <c r="I18">
        <v>0.9</v>
      </c>
    </row>
    <row r="19" spans="1:9">
      <c r="A19" t="s">
        <v>348</v>
      </c>
      <c r="B19" s="54" t="s">
        <v>349</v>
      </c>
      <c r="C19">
        <v>6</v>
      </c>
      <c r="D19">
        <v>1</v>
      </c>
      <c r="E19">
        <v>20</v>
      </c>
      <c r="F19" t="s">
        <v>350</v>
      </c>
      <c r="G19" t="s">
        <v>171</v>
      </c>
      <c r="H19">
        <v>40</v>
      </c>
      <c r="I19">
        <v>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7F128-2042-4627-9D27-76D49043495F}">
  <dimension ref="A1:M19"/>
  <sheetViews>
    <sheetView workbookViewId="0"/>
  </sheetViews>
  <sheetFormatPr defaultRowHeight="15"/>
  <cols>
    <col min="1" max="1" width="49" bestFit="1" customWidth="1"/>
    <col min="2" max="2" width="14.425781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351</v>
      </c>
      <c r="B1" t="s">
        <v>353</v>
      </c>
      <c r="C1" t="s">
        <v>332</v>
      </c>
      <c r="D1" t="s">
        <v>378</v>
      </c>
      <c r="E1" t="s">
        <v>352</v>
      </c>
      <c r="F1" t="s">
        <v>354</v>
      </c>
      <c r="G1" t="s">
        <v>333</v>
      </c>
      <c r="H1" t="s">
        <v>28</v>
      </c>
      <c r="I1" t="s">
        <v>29</v>
      </c>
      <c r="J1" t="s">
        <v>30</v>
      </c>
      <c r="K1" t="s">
        <v>31</v>
      </c>
      <c r="L1" t="s">
        <v>33</v>
      </c>
      <c r="M1" t="s">
        <v>35</v>
      </c>
    </row>
    <row r="2" spans="1:13">
      <c r="A2" s="54" t="s">
        <v>356</v>
      </c>
      <c r="B2" t="s">
        <v>355</v>
      </c>
      <c r="C2" t="s">
        <v>5</v>
      </c>
      <c r="D2" t="s">
        <v>389</v>
      </c>
      <c r="E2" t="s">
        <v>21</v>
      </c>
      <c r="F2" t="s">
        <v>441</v>
      </c>
      <c r="G2" s="54" t="s">
        <v>8</v>
      </c>
      <c r="H2">
        <v>10</v>
      </c>
      <c r="I2">
        <v>10</v>
      </c>
      <c r="J2">
        <v>20</v>
      </c>
      <c r="M2">
        <v>40</v>
      </c>
    </row>
    <row r="3" spans="1:13">
      <c r="A3" s="54" t="s">
        <v>356</v>
      </c>
      <c r="B3" t="s">
        <v>467</v>
      </c>
      <c r="C3" t="s">
        <v>99</v>
      </c>
      <c r="D3" t="s">
        <v>389</v>
      </c>
      <c r="E3" t="s">
        <v>21</v>
      </c>
      <c r="F3" t="s">
        <v>441</v>
      </c>
      <c r="G3" s="54" t="s">
        <v>443</v>
      </c>
      <c r="M3">
        <v>0</v>
      </c>
    </row>
    <row r="4" spans="1:13">
      <c r="A4" s="54" t="s">
        <v>356</v>
      </c>
      <c r="B4" t="s">
        <v>468</v>
      </c>
      <c r="C4" t="s">
        <v>125</v>
      </c>
      <c r="D4" t="s">
        <v>389</v>
      </c>
      <c r="E4" t="s">
        <v>21</v>
      </c>
      <c r="F4" t="s">
        <v>441</v>
      </c>
      <c r="G4" s="54" t="s">
        <v>126</v>
      </c>
      <c r="M4">
        <v>0</v>
      </c>
    </row>
    <row r="5" spans="1:13">
      <c r="A5" s="54" t="s">
        <v>356</v>
      </c>
      <c r="B5" t="s">
        <v>469</v>
      </c>
      <c r="C5" t="s">
        <v>127</v>
      </c>
      <c r="D5" t="s">
        <v>389</v>
      </c>
      <c r="E5" t="s">
        <v>21</v>
      </c>
      <c r="F5" t="s">
        <v>441</v>
      </c>
      <c r="G5" s="54" t="s">
        <v>128</v>
      </c>
      <c r="M5">
        <v>0</v>
      </c>
    </row>
    <row r="6" spans="1:13">
      <c r="A6" s="54" t="s">
        <v>356</v>
      </c>
      <c r="B6" t="s">
        <v>470</v>
      </c>
      <c r="C6" t="s">
        <v>129</v>
      </c>
      <c r="D6" t="s">
        <v>389</v>
      </c>
      <c r="E6" t="s">
        <v>21</v>
      </c>
      <c r="F6" t="s">
        <v>441</v>
      </c>
      <c r="G6" s="54" t="s">
        <v>130</v>
      </c>
      <c r="M6">
        <v>0</v>
      </c>
    </row>
    <row r="7" spans="1:13">
      <c r="A7" s="54" t="s">
        <v>356</v>
      </c>
      <c r="B7" t="s">
        <v>471</v>
      </c>
      <c r="C7" t="s">
        <v>131</v>
      </c>
      <c r="D7" t="s">
        <v>389</v>
      </c>
      <c r="E7" t="s">
        <v>21</v>
      </c>
      <c r="F7" t="s">
        <v>441</v>
      </c>
      <c r="G7" s="54" t="s">
        <v>132</v>
      </c>
      <c r="M7">
        <v>0</v>
      </c>
    </row>
    <row r="8" spans="1:13">
      <c r="A8" s="54" t="s">
        <v>356</v>
      </c>
      <c r="B8" t="s">
        <v>472</v>
      </c>
      <c r="C8" t="s">
        <v>133</v>
      </c>
      <c r="D8" t="s">
        <v>389</v>
      </c>
      <c r="E8" t="s">
        <v>21</v>
      </c>
      <c r="F8" t="s">
        <v>441</v>
      </c>
      <c r="G8" s="54" t="s">
        <v>134</v>
      </c>
      <c r="M8">
        <v>0</v>
      </c>
    </row>
    <row r="9" spans="1:13">
      <c r="A9" s="54" t="s">
        <v>356</v>
      </c>
      <c r="B9" t="s">
        <v>357</v>
      </c>
      <c r="C9" t="s">
        <v>165</v>
      </c>
      <c r="D9" t="s">
        <v>389</v>
      </c>
      <c r="E9" t="s">
        <v>21</v>
      </c>
      <c r="F9" t="s">
        <v>441</v>
      </c>
      <c r="G9" s="54" t="s">
        <v>167</v>
      </c>
      <c r="H9">
        <v>20</v>
      </c>
      <c r="I9">
        <v>2</v>
      </c>
      <c r="J9">
        <v>8</v>
      </c>
      <c r="K9">
        <v>10</v>
      </c>
      <c r="M9">
        <v>40</v>
      </c>
    </row>
    <row r="10" spans="1:13">
      <c r="A10" s="54" t="s">
        <v>356</v>
      </c>
      <c r="B10" t="s">
        <v>475</v>
      </c>
      <c r="C10" t="s">
        <v>163</v>
      </c>
      <c r="D10" t="s">
        <v>389</v>
      </c>
      <c r="E10" t="s">
        <v>21</v>
      </c>
      <c r="F10" t="s">
        <v>441</v>
      </c>
      <c r="G10" s="54" t="s">
        <v>454</v>
      </c>
      <c r="M10">
        <v>0</v>
      </c>
    </row>
    <row r="11" spans="1:13">
      <c r="A11" s="54" t="s">
        <v>356</v>
      </c>
      <c r="B11" t="s">
        <v>473</v>
      </c>
      <c r="C11" t="s">
        <v>135</v>
      </c>
      <c r="D11" t="s">
        <v>389</v>
      </c>
      <c r="E11" t="s">
        <v>21</v>
      </c>
      <c r="F11" t="s">
        <v>441</v>
      </c>
      <c r="G11" s="54" t="s">
        <v>450</v>
      </c>
      <c r="M11">
        <v>0</v>
      </c>
    </row>
    <row r="12" spans="1:13">
      <c r="A12" s="54" t="s">
        <v>356</v>
      </c>
      <c r="B12" t="s">
        <v>474</v>
      </c>
      <c r="C12" t="s">
        <v>137</v>
      </c>
      <c r="D12" t="s">
        <v>389</v>
      </c>
      <c r="E12" t="s">
        <v>21</v>
      </c>
      <c r="F12" t="s">
        <v>441</v>
      </c>
      <c r="G12" s="54" t="s">
        <v>452</v>
      </c>
      <c r="H12">
        <v>10</v>
      </c>
      <c r="I12">
        <v>20</v>
      </c>
      <c r="K12">
        <v>10</v>
      </c>
      <c r="M12">
        <v>40</v>
      </c>
    </row>
    <row r="13" spans="1:13">
      <c r="A13" s="54" t="s">
        <v>358</v>
      </c>
      <c r="B13" t="s">
        <v>359</v>
      </c>
      <c r="C13" t="s">
        <v>338</v>
      </c>
      <c r="D13" t="s">
        <v>389</v>
      </c>
      <c r="E13" t="s">
        <v>21</v>
      </c>
      <c r="F13" t="s">
        <v>441</v>
      </c>
      <c r="G13" s="54" t="s">
        <v>339</v>
      </c>
      <c r="H13">
        <v>22</v>
      </c>
      <c r="L13">
        <v>22</v>
      </c>
      <c r="M13">
        <v>44</v>
      </c>
    </row>
    <row r="14" spans="1:13">
      <c r="A14" s="54" t="s">
        <v>358</v>
      </c>
      <c r="B14" t="s">
        <v>360</v>
      </c>
      <c r="C14" t="s">
        <v>343</v>
      </c>
      <c r="D14" t="s">
        <v>389</v>
      </c>
      <c r="E14" t="s">
        <v>21</v>
      </c>
      <c r="F14" t="s">
        <v>441</v>
      </c>
      <c r="G14" s="54" t="s">
        <v>344</v>
      </c>
      <c r="H14">
        <v>38</v>
      </c>
      <c r="I14">
        <v>6</v>
      </c>
      <c r="J14">
        <v>0</v>
      </c>
      <c r="K14">
        <v>0</v>
      </c>
      <c r="L14">
        <v>0</v>
      </c>
      <c r="M14">
        <v>44</v>
      </c>
    </row>
    <row r="15" spans="1:13">
      <c r="A15" s="54" t="s">
        <v>361</v>
      </c>
      <c r="B15" t="s">
        <v>362</v>
      </c>
      <c r="C15" t="s">
        <v>334</v>
      </c>
      <c r="D15" t="s">
        <v>389</v>
      </c>
      <c r="E15" t="s">
        <v>21</v>
      </c>
      <c r="F15" t="s">
        <v>441</v>
      </c>
      <c r="G15" s="54" t="s">
        <v>335</v>
      </c>
      <c r="M15">
        <v>0</v>
      </c>
    </row>
    <row r="16" spans="1:13">
      <c r="A16" s="54" t="s">
        <v>361</v>
      </c>
      <c r="B16" t="s">
        <v>363</v>
      </c>
      <c r="C16" t="s">
        <v>336</v>
      </c>
      <c r="D16" t="s">
        <v>389</v>
      </c>
      <c r="E16" t="s">
        <v>21</v>
      </c>
      <c r="F16" t="s">
        <v>441</v>
      </c>
      <c r="G16" s="54" t="s">
        <v>330</v>
      </c>
      <c r="H16">
        <v>33</v>
      </c>
      <c r="I16">
        <v>1</v>
      </c>
      <c r="J16">
        <v>6</v>
      </c>
      <c r="K16">
        <v>1</v>
      </c>
      <c r="L16">
        <v>3</v>
      </c>
      <c r="M16">
        <v>44</v>
      </c>
    </row>
    <row r="17" spans="1:13">
      <c r="A17" s="54" t="s">
        <v>361</v>
      </c>
      <c r="B17" t="s">
        <v>364</v>
      </c>
      <c r="C17" t="s">
        <v>341</v>
      </c>
      <c r="D17" t="s">
        <v>389</v>
      </c>
      <c r="E17" t="s">
        <v>21</v>
      </c>
      <c r="F17" t="s">
        <v>441</v>
      </c>
      <c r="G17" s="54" t="s">
        <v>331</v>
      </c>
      <c r="H17">
        <v>11</v>
      </c>
      <c r="J17">
        <v>6</v>
      </c>
      <c r="K17">
        <v>11</v>
      </c>
      <c r="L17">
        <v>11</v>
      </c>
      <c r="M17">
        <v>39</v>
      </c>
    </row>
    <row r="18" spans="1:13">
      <c r="A18" s="54" t="s">
        <v>361</v>
      </c>
      <c r="B18" t="s">
        <v>365</v>
      </c>
      <c r="C18" t="s">
        <v>346</v>
      </c>
      <c r="D18" t="s">
        <v>389</v>
      </c>
      <c r="E18" t="s">
        <v>21</v>
      </c>
      <c r="F18" t="s">
        <v>441</v>
      </c>
      <c r="G18" s="54" t="s">
        <v>347</v>
      </c>
      <c r="H18">
        <v>10</v>
      </c>
      <c r="I18">
        <v>26</v>
      </c>
      <c r="M18">
        <v>36</v>
      </c>
    </row>
    <row r="19" spans="1:13">
      <c r="A19" s="54" t="s">
        <v>361</v>
      </c>
      <c r="B19" t="s">
        <v>366</v>
      </c>
      <c r="C19" t="s">
        <v>348</v>
      </c>
      <c r="D19" t="s">
        <v>389</v>
      </c>
      <c r="E19" t="s">
        <v>21</v>
      </c>
      <c r="F19" t="s">
        <v>441</v>
      </c>
      <c r="G19" s="54" t="s">
        <v>349</v>
      </c>
      <c r="H19">
        <v>22</v>
      </c>
      <c r="I19">
        <v>6</v>
      </c>
      <c r="J19">
        <v>12</v>
      </c>
      <c r="M19">
        <v>40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EBF4-1277-496B-A168-7021D8D1EE40}">
  <dimension ref="A1:O19"/>
  <sheetViews>
    <sheetView workbookViewId="0"/>
  </sheetViews>
  <sheetFormatPr defaultRowHeight="15"/>
  <cols>
    <col min="1" max="1" width="49" bestFit="1" customWidth="1"/>
    <col min="2" max="2" width="13.425781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5.42578125" bestFit="1" customWidth="1"/>
    <col min="9" max="9" width="53.42578125" bestFit="1" customWidth="1"/>
    <col min="10" max="10" width="10" bestFit="1" customWidth="1"/>
    <col min="11" max="11" width="12" bestFit="1" customWidth="1"/>
    <col min="12" max="12" width="8.140625" bestFit="1" customWidth="1"/>
    <col min="13" max="13" width="21.140625" bestFit="1" customWidth="1"/>
    <col min="14" max="14" width="15.85546875" bestFit="1" customWidth="1"/>
    <col min="15" max="15" width="17.85546875" bestFit="1" customWidth="1"/>
  </cols>
  <sheetData>
    <row r="1" spans="1:15">
      <c r="A1" t="s">
        <v>351</v>
      </c>
      <c r="B1" t="s">
        <v>353</v>
      </c>
      <c r="C1" t="s">
        <v>332</v>
      </c>
      <c r="D1" t="s">
        <v>378</v>
      </c>
      <c r="E1" t="s">
        <v>352</v>
      </c>
      <c r="F1" t="s">
        <v>354</v>
      </c>
      <c r="G1" t="s">
        <v>333</v>
      </c>
      <c r="H1" t="s">
        <v>4</v>
      </c>
      <c r="I1" t="s">
        <v>7</v>
      </c>
      <c r="J1" t="s">
        <v>9</v>
      </c>
      <c r="K1" t="s">
        <v>10</v>
      </c>
      <c r="L1" t="s">
        <v>12</v>
      </c>
      <c r="M1" t="s">
        <v>14</v>
      </c>
      <c r="N1" t="s">
        <v>17</v>
      </c>
      <c r="O1" t="s">
        <v>20</v>
      </c>
    </row>
    <row r="2" spans="1:15">
      <c r="A2" s="54" t="s">
        <v>356</v>
      </c>
      <c r="B2" t="s">
        <v>377</v>
      </c>
      <c r="C2" t="s">
        <v>5</v>
      </c>
      <c r="D2" t="s">
        <v>367</v>
      </c>
      <c r="E2" t="s">
        <v>21</v>
      </c>
      <c r="F2" t="s">
        <v>441</v>
      </c>
      <c r="G2" s="54" t="s">
        <v>8</v>
      </c>
      <c r="H2" t="s">
        <v>5</v>
      </c>
      <c r="I2" t="s">
        <v>8</v>
      </c>
      <c r="J2">
        <v>20</v>
      </c>
      <c r="K2">
        <v>2</v>
      </c>
      <c r="L2">
        <v>4</v>
      </c>
      <c r="M2" t="s">
        <v>15</v>
      </c>
      <c r="N2" t="s">
        <v>18</v>
      </c>
      <c r="O2" t="s">
        <v>21</v>
      </c>
    </row>
    <row r="3" spans="1:15">
      <c r="A3" s="54" t="s">
        <v>356</v>
      </c>
      <c r="B3" t="s">
        <v>442</v>
      </c>
      <c r="C3" t="s">
        <v>99</v>
      </c>
      <c r="D3" t="s">
        <v>367</v>
      </c>
      <c r="E3" t="s">
        <v>21</v>
      </c>
      <c r="F3" t="s">
        <v>441</v>
      </c>
      <c r="G3" s="54" t="s">
        <v>443</v>
      </c>
      <c r="H3" t="s">
        <v>99</v>
      </c>
      <c r="I3" t="s">
        <v>100</v>
      </c>
    </row>
    <row r="4" spans="1:15">
      <c r="A4" s="54" t="s">
        <v>356</v>
      </c>
      <c r="B4" t="s">
        <v>444</v>
      </c>
      <c r="C4" t="s">
        <v>125</v>
      </c>
      <c r="D4" t="s">
        <v>367</v>
      </c>
      <c r="E4" t="s">
        <v>21</v>
      </c>
      <c r="F4" t="s">
        <v>441</v>
      </c>
      <c r="G4" s="54" t="s">
        <v>126</v>
      </c>
      <c r="H4" t="s">
        <v>125</v>
      </c>
      <c r="I4" t="s">
        <v>126</v>
      </c>
    </row>
    <row r="5" spans="1:15">
      <c r="A5" s="54" t="s">
        <v>356</v>
      </c>
      <c r="B5" t="s">
        <v>445</v>
      </c>
      <c r="C5" t="s">
        <v>127</v>
      </c>
      <c r="D5" t="s">
        <v>367</v>
      </c>
      <c r="E5" t="s">
        <v>21</v>
      </c>
      <c r="F5" t="s">
        <v>441</v>
      </c>
      <c r="G5" s="54" t="s">
        <v>128</v>
      </c>
      <c r="H5" t="s">
        <v>127</v>
      </c>
      <c r="I5" t="s">
        <v>128</v>
      </c>
    </row>
    <row r="6" spans="1:15">
      <c r="A6" s="54" t="s">
        <v>356</v>
      </c>
      <c r="B6" t="s">
        <v>446</v>
      </c>
      <c r="C6" t="s">
        <v>129</v>
      </c>
      <c r="D6" t="s">
        <v>367</v>
      </c>
      <c r="E6" t="s">
        <v>21</v>
      </c>
      <c r="F6" t="s">
        <v>441</v>
      </c>
      <c r="G6" s="54" t="s">
        <v>130</v>
      </c>
      <c r="H6" t="s">
        <v>129</v>
      </c>
      <c r="I6" t="s">
        <v>130</v>
      </c>
    </row>
    <row r="7" spans="1:15">
      <c r="A7" s="54" t="s">
        <v>356</v>
      </c>
      <c r="B7" t="s">
        <v>447</v>
      </c>
      <c r="C7" t="s">
        <v>131</v>
      </c>
      <c r="D7" t="s">
        <v>367</v>
      </c>
      <c r="E7" t="s">
        <v>21</v>
      </c>
      <c r="F7" t="s">
        <v>441</v>
      </c>
      <c r="G7" s="54" t="s">
        <v>132</v>
      </c>
      <c r="H7" t="s">
        <v>131</v>
      </c>
      <c r="I7" t="s">
        <v>132</v>
      </c>
    </row>
    <row r="8" spans="1:15">
      <c r="A8" s="54" t="s">
        <v>356</v>
      </c>
      <c r="B8" t="s">
        <v>448</v>
      </c>
      <c r="C8" t="s">
        <v>133</v>
      </c>
      <c r="D8" t="s">
        <v>367</v>
      </c>
      <c r="E8" t="s">
        <v>21</v>
      </c>
      <c r="F8" t="s">
        <v>441</v>
      </c>
      <c r="G8" s="54" t="s">
        <v>134</v>
      </c>
      <c r="H8" t="s">
        <v>133</v>
      </c>
      <c r="I8" t="s">
        <v>134</v>
      </c>
    </row>
    <row r="9" spans="1:15">
      <c r="A9" s="54" t="s">
        <v>356</v>
      </c>
      <c r="B9" t="s">
        <v>376</v>
      </c>
      <c r="C9" t="s">
        <v>165</v>
      </c>
      <c r="D9" t="s">
        <v>367</v>
      </c>
      <c r="E9" t="s">
        <v>21</v>
      </c>
      <c r="F9" t="s">
        <v>441</v>
      </c>
      <c r="G9" s="54" t="s">
        <v>167</v>
      </c>
      <c r="H9" t="s">
        <v>165</v>
      </c>
      <c r="I9" t="s">
        <v>167</v>
      </c>
      <c r="J9">
        <v>20</v>
      </c>
      <c r="K9">
        <v>1</v>
      </c>
      <c r="L9">
        <v>6</v>
      </c>
      <c r="M9" t="s">
        <v>169</v>
      </c>
      <c r="N9" t="s">
        <v>171</v>
      </c>
      <c r="O9" t="s">
        <v>173</v>
      </c>
    </row>
    <row r="10" spans="1:15">
      <c r="A10" s="54" t="s">
        <v>356</v>
      </c>
      <c r="B10" t="s">
        <v>453</v>
      </c>
      <c r="C10" t="s">
        <v>163</v>
      </c>
      <c r="D10" t="s">
        <v>367</v>
      </c>
      <c r="E10" t="s">
        <v>21</v>
      </c>
      <c r="F10" t="s">
        <v>441</v>
      </c>
      <c r="G10" s="54" t="s">
        <v>454</v>
      </c>
      <c r="H10" t="s">
        <v>163</v>
      </c>
      <c r="I10" t="s">
        <v>164</v>
      </c>
    </row>
    <row r="11" spans="1:15">
      <c r="A11" s="54" t="s">
        <v>356</v>
      </c>
      <c r="B11" t="s">
        <v>449</v>
      </c>
      <c r="C11" t="s">
        <v>135</v>
      </c>
      <c r="D11" t="s">
        <v>367</v>
      </c>
      <c r="E11" t="s">
        <v>21</v>
      </c>
      <c r="F11" t="s">
        <v>441</v>
      </c>
      <c r="G11" s="54" t="s">
        <v>450</v>
      </c>
      <c r="H11" t="s">
        <v>135</v>
      </c>
      <c r="I11" t="s">
        <v>136</v>
      </c>
    </row>
    <row r="12" spans="1:15">
      <c r="A12" s="54" t="s">
        <v>356</v>
      </c>
      <c r="B12" t="s">
        <v>451</v>
      </c>
      <c r="C12" t="s">
        <v>137</v>
      </c>
      <c r="D12" t="s">
        <v>367</v>
      </c>
      <c r="E12" t="s">
        <v>21</v>
      </c>
      <c r="F12" t="s">
        <v>441</v>
      </c>
      <c r="G12" s="54" t="s">
        <v>452</v>
      </c>
      <c r="H12" t="s">
        <v>137</v>
      </c>
      <c r="I12" t="s">
        <v>139</v>
      </c>
      <c r="J12">
        <v>20</v>
      </c>
      <c r="K12">
        <v>1</v>
      </c>
      <c r="L12">
        <v>6</v>
      </c>
      <c r="M12" t="s">
        <v>140</v>
      </c>
      <c r="N12" t="s">
        <v>18</v>
      </c>
      <c r="O12" t="s">
        <v>21</v>
      </c>
    </row>
    <row r="13" spans="1:15">
      <c r="A13" s="54" t="s">
        <v>358</v>
      </c>
      <c r="B13" t="s">
        <v>375</v>
      </c>
      <c r="C13" t="s">
        <v>338</v>
      </c>
      <c r="D13" t="s">
        <v>367</v>
      </c>
      <c r="E13" t="s">
        <v>21</v>
      </c>
      <c r="F13" t="s">
        <v>441</v>
      </c>
      <c r="G13" s="54" t="s">
        <v>339</v>
      </c>
      <c r="H13" t="s">
        <v>338</v>
      </c>
      <c r="I13" t="s">
        <v>339</v>
      </c>
      <c r="J13">
        <v>20</v>
      </c>
      <c r="K13">
        <v>1</v>
      </c>
      <c r="L13">
        <v>4</v>
      </c>
      <c r="M13" t="s">
        <v>340</v>
      </c>
      <c r="N13" t="s">
        <v>18</v>
      </c>
      <c r="O13" t="s">
        <v>282</v>
      </c>
    </row>
    <row r="14" spans="1:15">
      <c r="A14" s="54" t="s">
        <v>358</v>
      </c>
      <c r="B14" t="s">
        <v>374</v>
      </c>
      <c r="C14" t="s">
        <v>343</v>
      </c>
      <c r="D14" t="s">
        <v>367</v>
      </c>
      <c r="E14" t="s">
        <v>21</v>
      </c>
      <c r="F14" t="s">
        <v>441</v>
      </c>
      <c r="G14" s="54" t="s">
        <v>344</v>
      </c>
      <c r="H14" t="s">
        <v>343</v>
      </c>
      <c r="I14" t="s">
        <v>344</v>
      </c>
      <c r="J14">
        <v>20</v>
      </c>
      <c r="K14">
        <v>2</v>
      </c>
      <c r="L14">
        <v>5</v>
      </c>
      <c r="M14" t="s">
        <v>345</v>
      </c>
      <c r="N14" t="s">
        <v>18</v>
      </c>
      <c r="O14" t="s">
        <v>173</v>
      </c>
    </row>
    <row r="15" spans="1:15">
      <c r="A15" s="54" t="s">
        <v>361</v>
      </c>
      <c r="B15" t="s">
        <v>373</v>
      </c>
      <c r="C15" t="s">
        <v>334</v>
      </c>
      <c r="D15" t="s">
        <v>367</v>
      </c>
      <c r="E15" t="s">
        <v>21</v>
      </c>
      <c r="F15" t="s">
        <v>441</v>
      </c>
      <c r="G15" s="54" t="s">
        <v>335</v>
      </c>
      <c r="H15" t="s">
        <v>334</v>
      </c>
      <c r="I15" t="s">
        <v>335</v>
      </c>
      <c r="N15" t="s">
        <v>238</v>
      </c>
    </row>
    <row r="16" spans="1:15">
      <c r="A16" s="54" t="s">
        <v>361</v>
      </c>
      <c r="B16" t="s">
        <v>371</v>
      </c>
      <c r="C16" t="s">
        <v>336</v>
      </c>
      <c r="D16" t="s">
        <v>367</v>
      </c>
      <c r="E16" t="s">
        <v>21</v>
      </c>
      <c r="F16" t="s">
        <v>441</v>
      </c>
      <c r="G16" s="54" t="s">
        <v>330</v>
      </c>
      <c r="H16" t="s">
        <v>336</v>
      </c>
      <c r="I16" t="s">
        <v>372</v>
      </c>
      <c r="J16">
        <v>20</v>
      </c>
      <c r="K16">
        <v>1</v>
      </c>
      <c r="L16">
        <v>4</v>
      </c>
      <c r="M16" t="s">
        <v>337</v>
      </c>
      <c r="N16" t="s">
        <v>18</v>
      </c>
      <c r="O16" t="s">
        <v>173</v>
      </c>
    </row>
    <row r="17" spans="1:15">
      <c r="A17" s="54" t="s">
        <v>361</v>
      </c>
      <c r="B17" t="s">
        <v>370</v>
      </c>
      <c r="C17" t="s">
        <v>341</v>
      </c>
      <c r="D17" t="s">
        <v>367</v>
      </c>
      <c r="E17" t="s">
        <v>21</v>
      </c>
      <c r="F17" t="s">
        <v>441</v>
      </c>
      <c r="G17" s="54" t="s">
        <v>331</v>
      </c>
      <c r="H17" t="s">
        <v>341</v>
      </c>
      <c r="I17" t="s">
        <v>331</v>
      </c>
      <c r="J17">
        <v>20</v>
      </c>
      <c r="K17">
        <v>2</v>
      </c>
      <c r="L17">
        <v>4</v>
      </c>
      <c r="M17" t="s">
        <v>342</v>
      </c>
      <c r="N17" t="s">
        <v>18</v>
      </c>
      <c r="O17" t="s">
        <v>282</v>
      </c>
    </row>
    <row r="18" spans="1:15">
      <c r="A18" s="54" t="s">
        <v>361</v>
      </c>
      <c r="B18" t="s">
        <v>369</v>
      </c>
      <c r="C18" t="s">
        <v>346</v>
      </c>
      <c r="D18" t="s">
        <v>367</v>
      </c>
      <c r="E18" t="s">
        <v>21</v>
      </c>
      <c r="F18" t="s">
        <v>441</v>
      </c>
      <c r="G18" s="54" t="s">
        <v>347</v>
      </c>
      <c r="H18" t="s">
        <v>346</v>
      </c>
      <c r="I18" t="s">
        <v>347</v>
      </c>
      <c r="J18">
        <v>40</v>
      </c>
      <c r="K18" t="s">
        <v>230</v>
      </c>
      <c r="L18">
        <v>6</v>
      </c>
      <c r="N18" t="s">
        <v>240</v>
      </c>
      <c r="O18" t="s">
        <v>173</v>
      </c>
    </row>
    <row r="19" spans="1:15">
      <c r="A19" s="54" t="s">
        <v>361</v>
      </c>
      <c r="B19" t="s">
        <v>368</v>
      </c>
      <c r="C19" t="s">
        <v>348</v>
      </c>
      <c r="D19" t="s">
        <v>367</v>
      </c>
      <c r="E19" t="s">
        <v>21</v>
      </c>
      <c r="F19" t="s">
        <v>441</v>
      </c>
      <c r="G19" s="54" t="s">
        <v>349</v>
      </c>
      <c r="H19" t="s">
        <v>348</v>
      </c>
      <c r="I19" t="s">
        <v>349</v>
      </c>
      <c r="J19">
        <v>20</v>
      </c>
      <c r="K19">
        <v>1</v>
      </c>
      <c r="L19">
        <v>6</v>
      </c>
      <c r="M19" t="s">
        <v>350</v>
      </c>
      <c r="N19" t="s">
        <v>171</v>
      </c>
      <c r="O19" t="s">
        <v>277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35DF-6AED-43D3-9E75-611234673039}">
  <dimension ref="A1:E65"/>
  <sheetViews>
    <sheetView workbookViewId="0"/>
  </sheetViews>
  <sheetFormatPr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241</v>
      </c>
      <c r="B1" t="s">
        <v>242</v>
      </c>
      <c r="C1" t="s">
        <v>325</v>
      </c>
      <c r="D1" t="s">
        <v>326</v>
      </c>
      <c r="E1" t="s">
        <v>327</v>
      </c>
    </row>
    <row r="2" spans="1:5">
      <c r="A2" t="s">
        <v>65</v>
      </c>
      <c r="B2" t="s">
        <v>148</v>
      </c>
      <c r="C2" s="54" t="s">
        <v>485</v>
      </c>
      <c r="D2">
        <v>4</v>
      </c>
      <c r="E2" t="b">
        <v>1</v>
      </c>
    </row>
    <row r="3" spans="1:5">
      <c r="A3" t="s">
        <v>65</v>
      </c>
      <c r="B3" t="s">
        <v>105</v>
      </c>
      <c r="C3" s="54" t="s">
        <v>486</v>
      </c>
      <c r="D3">
        <v>12</v>
      </c>
      <c r="E3" t="b">
        <v>1</v>
      </c>
    </row>
    <row r="4" spans="1:5">
      <c r="A4" t="s">
        <v>67</v>
      </c>
      <c r="B4" t="s">
        <v>68</v>
      </c>
      <c r="C4" s="54" t="s">
        <v>487</v>
      </c>
      <c r="D4">
        <v>4</v>
      </c>
      <c r="E4" t="b">
        <v>1</v>
      </c>
    </row>
    <row r="5" spans="1:5">
      <c r="A5" t="s">
        <v>65</v>
      </c>
      <c r="B5" t="s">
        <v>104</v>
      </c>
      <c r="C5" s="54" t="s">
        <v>488</v>
      </c>
      <c r="D5">
        <v>13</v>
      </c>
      <c r="E5" t="b">
        <v>1</v>
      </c>
    </row>
    <row r="6" spans="1:5">
      <c r="A6" t="s">
        <v>65</v>
      </c>
      <c r="B6" t="s">
        <v>207</v>
      </c>
      <c r="C6" s="54" t="s">
        <v>328</v>
      </c>
      <c r="D6">
        <v>2</v>
      </c>
      <c r="E6" t="b">
        <v>1</v>
      </c>
    </row>
    <row r="7" spans="1:5">
      <c r="A7" t="s">
        <v>65</v>
      </c>
      <c r="B7" t="s">
        <v>208</v>
      </c>
      <c r="C7" s="54" t="s">
        <v>349</v>
      </c>
      <c r="D7">
        <v>1</v>
      </c>
      <c r="E7" t="b">
        <v>1</v>
      </c>
    </row>
    <row r="8" spans="1:5">
      <c r="A8" t="s">
        <v>65</v>
      </c>
      <c r="B8" t="s">
        <v>257</v>
      </c>
      <c r="C8" s="54" t="s">
        <v>344</v>
      </c>
      <c r="D8">
        <v>1</v>
      </c>
      <c r="E8" t="b">
        <v>1</v>
      </c>
    </row>
    <row r="9" spans="1:5">
      <c r="A9" t="s">
        <v>108</v>
      </c>
      <c r="B9" t="s">
        <v>261</v>
      </c>
      <c r="C9" s="54"/>
      <c r="D9">
        <v>0</v>
      </c>
      <c r="E9" t="b">
        <v>0</v>
      </c>
    </row>
    <row r="10" spans="1:5">
      <c r="A10" t="s">
        <v>108</v>
      </c>
      <c r="B10" t="s">
        <v>109</v>
      </c>
      <c r="C10" s="54" t="s">
        <v>489</v>
      </c>
      <c r="D10">
        <v>9</v>
      </c>
      <c r="E10" t="b">
        <v>1</v>
      </c>
    </row>
    <row r="11" spans="1:5">
      <c r="A11" t="s">
        <v>108</v>
      </c>
      <c r="B11" t="s">
        <v>264</v>
      </c>
      <c r="C11" s="54" t="s">
        <v>329</v>
      </c>
      <c r="D11">
        <v>3</v>
      </c>
      <c r="E11" t="b">
        <v>1</v>
      </c>
    </row>
    <row r="12" spans="1:5">
      <c r="A12" t="s">
        <v>67</v>
      </c>
      <c r="B12" t="s">
        <v>66</v>
      </c>
      <c r="C12" s="54" t="s">
        <v>490</v>
      </c>
      <c r="D12">
        <v>5</v>
      </c>
      <c r="E12" t="b">
        <v>1</v>
      </c>
    </row>
    <row r="13" spans="1:5">
      <c r="A13" t="s">
        <v>108</v>
      </c>
      <c r="B13" t="s">
        <v>123</v>
      </c>
      <c r="C13" s="54"/>
      <c r="D13">
        <v>0</v>
      </c>
      <c r="E13" t="b">
        <v>0</v>
      </c>
    </row>
    <row r="14" spans="1:5">
      <c r="A14" t="s">
        <v>69</v>
      </c>
      <c r="B14" t="s">
        <v>285</v>
      </c>
      <c r="C14" s="54" t="s">
        <v>335</v>
      </c>
      <c r="D14">
        <v>1</v>
      </c>
      <c r="E14" t="b">
        <v>1</v>
      </c>
    </row>
    <row r="15" spans="1:5">
      <c r="A15" t="s">
        <v>108</v>
      </c>
      <c r="B15" t="s">
        <v>270</v>
      </c>
      <c r="C15" s="54"/>
      <c r="D15">
        <v>0</v>
      </c>
      <c r="E15" t="b">
        <v>0</v>
      </c>
    </row>
    <row r="16" spans="1:5">
      <c r="A16" t="s">
        <v>69</v>
      </c>
      <c r="B16" t="s">
        <v>287</v>
      </c>
      <c r="C16" s="54" t="s">
        <v>491</v>
      </c>
      <c r="D16">
        <v>5</v>
      </c>
      <c r="E16" t="b">
        <v>1</v>
      </c>
    </row>
    <row r="17" spans="1:5">
      <c r="A17" t="s">
        <v>106</v>
      </c>
      <c r="B17" t="s">
        <v>107</v>
      </c>
      <c r="C17" s="54" t="s">
        <v>492</v>
      </c>
      <c r="D17">
        <v>12</v>
      </c>
      <c r="E17" t="b">
        <v>1</v>
      </c>
    </row>
    <row r="18" spans="1:5">
      <c r="A18" t="s">
        <v>108</v>
      </c>
      <c r="B18" t="s">
        <v>275</v>
      </c>
      <c r="C18" s="54" t="s">
        <v>347</v>
      </c>
      <c r="D18">
        <v>1</v>
      </c>
      <c r="E18" t="b">
        <v>1</v>
      </c>
    </row>
    <row r="19" spans="1:5">
      <c r="A19" t="s">
        <v>67</v>
      </c>
      <c r="B19" t="s">
        <v>70</v>
      </c>
      <c r="C19" s="54" t="s">
        <v>493</v>
      </c>
      <c r="D19">
        <v>9</v>
      </c>
      <c r="E19" t="b">
        <v>1</v>
      </c>
    </row>
    <row r="20" spans="1:5">
      <c r="A20" t="s">
        <v>231</v>
      </c>
      <c r="B20" t="s">
        <v>289</v>
      </c>
      <c r="C20" s="54" t="s">
        <v>494</v>
      </c>
      <c r="D20">
        <v>2</v>
      </c>
      <c r="E20" t="b">
        <v>1</v>
      </c>
    </row>
    <row r="21" spans="1:5">
      <c r="A21" t="s">
        <v>67</v>
      </c>
      <c r="B21" t="s">
        <v>209</v>
      </c>
      <c r="C21" s="54"/>
      <c r="D21">
        <v>0</v>
      </c>
      <c r="E21" t="b">
        <v>0</v>
      </c>
    </row>
    <row r="22" spans="1:5">
      <c r="A22" t="s">
        <v>106</v>
      </c>
      <c r="B22" t="s">
        <v>296</v>
      </c>
      <c r="C22" s="54" t="s">
        <v>330</v>
      </c>
      <c r="D22">
        <v>1</v>
      </c>
      <c r="E22" t="b">
        <v>1</v>
      </c>
    </row>
    <row r="23" spans="1:5">
      <c r="A23" t="s">
        <v>67</v>
      </c>
      <c r="B23" t="s">
        <v>280</v>
      </c>
      <c r="C23" s="54" t="s">
        <v>349</v>
      </c>
      <c r="D23">
        <v>1</v>
      </c>
      <c r="E23" t="b">
        <v>1</v>
      </c>
    </row>
    <row r="24" spans="1:5">
      <c r="A24" t="s">
        <v>67</v>
      </c>
      <c r="B24" t="s">
        <v>283</v>
      </c>
      <c r="C24" s="54" t="s">
        <v>347</v>
      </c>
      <c r="D24">
        <v>1</v>
      </c>
      <c r="E24" t="b">
        <v>1</v>
      </c>
    </row>
    <row r="25" spans="1:5">
      <c r="A25" t="s">
        <v>69</v>
      </c>
      <c r="B25" t="s">
        <v>284</v>
      </c>
      <c r="C25" s="54"/>
      <c r="D25">
        <v>0</v>
      </c>
      <c r="E25" t="b">
        <v>0</v>
      </c>
    </row>
    <row r="26" spans="1:5">
      <c r="A26" t="s">
        <v>69</v>
      </c>
      <c r="B26" t="s">
        <v>286</v>
      </c>
      <c r="C26" s="54"/>
      <c r="D26">
        <v>0</v>
      </c>
      <c r="E26" t="b">
        <v>0</v>
      </c>
    </row>
    <row r="27" spans="1:5">
      <c r="A27" t="s">
        <v>69</v>
      </c>
      <c r="B27" t="s">
        <v>183</v>
      </c>
      <c r="C27" s="54" t="s">
        <v>167</v>
      </c>
      <c r="D27">
        <v>1</v>
      </c>
      <c r="E27" t="b">
        <v>1</v>
      </c>
    </row>
    <row r="28" spans="1:5">
      <c r="A28" t="s">
        <v>69</v>
      </c>
      <c r="B28" t="s">
        <v>288</v>
      </c>
      <c r="C28" s="54"/>
      <c r="D28">
        <v>0</v>
      </c>
      <c r="E28" t="b">
        <v>0</v>
      </c>
    </row>
    <row r="29" spans="1:5">
      <c r="A29" t="s">
        <v>231</v>
      </c>
      <c r="B29" t="s">
        <v>290</v>
      </c>
      <c r="C29" s="54"/>
      <c r="D29">
        <v>0</v>
      </c>
      <c r="E29" t="b">
        <v>0</v>
      </c>
    </row>
    <row r="30" spans="1:5">
      <c r="A30" t="s">
        <v>231</v>
      </c>
      <c r="B30" t="s">
        <v>291</v>
      </c>
      <c r="C30" s="54"/>
      <c r="D30">
        <v>0</v>
      </c>
      <c r="E30" t="b">
        <v>0</v>
      </c>
    </row>
    <row r="31" spans="1:5">
      <c r="A31" t="s">
        <v>231</v>
      </c>
      <c r="B31" t="s">
        <v>292</v>
      </c>
      <c r="C31" s="54"/>
      <c r="D31">
        <v>0</v>
      </c>
      <c r="E31" t="b">
        <v>0</v>
      </c>
    </row>
    <row r="32" spans="1:5">
      <c r="A32" t="s">
        <v>231</v>
      </c>
      <c r="B32" t="s">
        <v>293</v>
      </c>
      <c r="C32" s="54"/>
      <c r="D32">
        <v>0</v>
      </c>
      <c r="E32" t="b">
        <v>0</v>
      </c>
    </row>
    <row r="33" spans="1:5">
      <c r="A33" t="s">
        <v>231</v>
      </c>
      <c r="B33" t="s">
        <v>294</v>
      </c>
      <c r="C33" s="54"/>
      <c r="D33">
        <v>0</v>
      </c>
      <c r="E33" t="b">
        <v>0</v>
      </c>
    </row>
    <row r="34" spans="1:5">
      <c r="A34" t="s">
        <v>231</v>
      </c>
      <c r="B34" t="s">
        <v>295</v>
      </c>
      <c r="C34" s="54"/>
      <c r="D34">
        <v>0</v>
      </c>
      <c r="E34" t="b">
        <v>0</v>
      </c>
    </row>
    <row r="35" spans="1:5">
      <c r="A35" t="s">
        <v>106</v>
      </c>
      <c r="B35" t="s">
        <v>297</v>
      </c>
      <c r="C35" s="54"/>
      <c r="D35">
        <v>0</v>
      </c>
      <c r="E35" t="b">
        <v>0</v>
      </c>
    </row>
    <row r="36" spans="1:5">
      <c r="A36" t="s">
        <v>106</v>
      </c>
      <c r="B36" t="s">
        <v>180</v>
      </c>
      <c r="C36" s="54" t="s">
        <v>495</v>
      </c>
      <c r="D36">
        <v>2</v>
      </c>
      <c r="E36" t="b">
        <v>1</v>
      </c>
    </row>
    <row r="37" spans="1:5">
      <c r="A37" t="s">
        <v>106</v>
      </c>
      <c r="B37" t="s">
        <v>298</v>
      </c>
      <c r="C37" s="54"/>
      <c r="D37">
        <v>0</v>
      </c>
      <c r="E37" t="b">
        <v>0</v>
      </c>
    </row>
    <row r="38" spans="1:5">
      <c r="A38" t="s">
        <v>106</v>
      </c>
      <c r="B38" t="s">
        <v>299</v>
      </c>
      <c r="C38" s="54" t="s">
        <v>331</v>
      </c>
      <c r="D38">
        <v>1</v>
      </c>
      <c r="E38" t="b">
        <v>1</v>
      </c>
    </row>
    <row r="39" spans="1:5">
      <c r="A39" t="s">
        <v>181</v>
      </c>
      <c r="B39" t="s">
        <v>210</v>
      </c>
      <c r="C39" s="54"/>
      <c r="D39">
        <v>0</v>
      </c>
      <c r="E39" t="b">
        <v>0</v>
      </c>
    </row>
    <row r="40" spans="1:5">
      <c r="A40" t="s">
        <v>181</v>
      </c>
      <c r="B40" t="s">
        <v>300</v>
      </c>
      <c r="C40" s="54" t="s">
        <v>344</v>
      </c>
      <c r="D40">
        <v>1</v>
      </c>
      <c r="E40" t="b">
        <v>1</v>
      </c>
    </row>
    <row r="41" spans="1:5">
      <c r="A41" t="s">
        <v>181</v>
      </c>
      <c r="B41" t="s">
        <v>301</v>
      </c>
      <c r="C41" s="54"/>
      <c r="D41">
        <v>0</v>
      </c>
      <c r="E41" t="b">
        <v>0</v>
      </c>
    </row>
    <row r="42" spans="1:5">
      <c r="A42" t="s">
        <v>181</v>
      </c>
      <c r="B42" t="s">
        <v>182</v>
      </c>
      <c r="C42" s="54" t="s">
        <v>496</v>
      </c>
      <c r="D42">
        <v>2</v>
      </c>
      <c r="E42" t="b">
        <v>1</v>
      </c>
    </row>
    <row r="43" spans="1:5">
      <c r="A43" t="s">
        <v>181</v>
      </c>
      <c r="B43" t="s">
        <v>302</v>
      </c>
      <c r="C43" s="54"/>
      <c r="D43">
        <v>0</v>
      </c>
      <c r="E43" t="b">
        <v>0</v>
      </c>
    </row>
    <row r="44" spans="1:5">
      <c r="A44" t="s">
        <v>181</v>
      </c>
      <c r="B44" t="s">
        <v>303</v>
      </c>
      <c r="C44" s="54" t="s">
        <v>331</v>
      </c>
      <c r="D44">
        <v>1</v>
      </c>
      <c r="E44" t="b">
        <v>1</v>
      </c>
    </row>
    <row r="45" spans="1:5">
      <c r="A45" t="s">
        <v>211</v>
      </c>
      <c r="B45" t="s">
        <v>304</v>
      </c>
      <c r="C45" s="54" t="s">
        <v>331</v>
      </c>
      <c r="D45">
        <v>1</v>
      </c>
      <c r="E45" t="b">
        <v>1</v>
      </c>
    </row>
    <row r="46" spans="1:5">
      <c r="A46" t="s">
        <v>211</v>
      </c>
      <c r="B46" t="s">
        <v>212</v>
      </c>
      <c r="C46" s="54"/>
      <c r="D46">
        <v>0</v>
      </c>
      <c r="E46" t="b">
        <v>0</v>
      </c>
    </row>
    <row r="47" spans="1:5">
      <c r="A47" t="s">
        <v>211</v>
      </c>
      <c r="B47" t="s">
        <v>305</v>
      </c>
      <c r="C47" s="54"/>
      <c r="D47">
        <v>0</v>
      </c>
      <c r="E47" t="b">
        <v>0</v>
      </c>
    </row>
    <row r="48" spans="1:5">
      <c r="A48" t="s">
        <v>211</v>
      </c>
      <c r="B48" t="s">
        <v>306</v>
      </c>
      <c r="C48" s="54" t="s">
        <v>328</v>
      </c>
      <c r="D48">
        <v>2</v>
      </c>
      <c r="E48" t="b">
        <v>1</v>
      </c>
    </row>
    <row r="49" spans="1:5">
      <c r="A49" t="s">
        <v>211</v>
      </c>
      <c r="B49" t="s">
        <v>307</v>
      </c>
      <c r="C49" s="54" t="s">
        <v>331</v>
      </c>
      <c r="D49">
        <v>1</v>
      </c>
      <c r="E49" t="b">
        <v>1</v>
      </c>
    </row>
    <row r="50" spans="1:5">
      <c r="A50" t="s">
        <v>211</v>
      </c>
      <c r="B50" t="s">
        <v>308</v>
      </c>
      <c r="C50" s="54" t="s">
        <v>331</v>
      </c>
      <c r="D50">
        <v>1</v>
      </c>
      <c r="E50" t="b">
        <v>1</v>
      </c>
    </row>
    <row r="51" spans="1:5">
      <c r="A51" t="s">
        <v>211</v>
      </c>
      <c r="B51" t="s">
        <v>309</v>
      </c>
      <c r="C51" s="54"/>
      <c r="D51">
        <v>0</v>
      </c>
      <c r="E51" t="b">
        <v>0</v>
      </c>
    </row>
    <row r="52" spans="1:5">
      <c r="A52" t="s">
        <v>211</v>
      </c>
      <c r="B52" t="s">
        <v>310</v>
      </c>
      <c r="C52" s="54"/>
      <c r="D52">
        <v>0</v>
      </c>
      <c r="E52" t="b">
        <v>0</v>
      </c>
    </row>
    <row r="53" spans="1:5">
      <c r="A53" t="s">
        <v>211</v>
      </c>
      <c r="B53" t="s">
        <v>311</v>
      </c>
      <c r="C53" s="54"/>
      <c r="D53">
        <v>0</v>
      </c>
      <c r="E53" t="b">
        <v>0</v>
      </c>
    </row>
    <row r="54" spans="1:5">
      <c r="A54" t="s">
        <v>233</v>
      </c>
      <c r="B54" t="s">
        <v>312</v>
      </c>
      <c r="C54" s="54"/>
      <c r="D54">
        <v>0</v>
      </c>
      <c r="E54" t="b">
        <v>0</v>
      </c>
    </row>
    <row r="55" spans="1:5">
      <c r="A55" t="s">
        <v>233</v>
      </c>
      <c r="B55" t="s">
        <v>313</v>
      </c>
      <c r="C55" s="54"/>
      <c r="D55">
        <v>0</v>
      </c>
      <c r="E55" t="b">
        <v>0</v>
      </c>
    </row>
    <row r="56" spans="1:5">
      <c r="A56" t="s">
        <v>233</v>
      </c>
      <c r="B56" t="s">
        <v>314</v>
      </c>
      <c r="C56" s="54"/>
      <c r="D56">
        <v>0</v>
      </c>
      <c r="E56" t="b">
        <v>0</v>
      </c>
    </row>
    <row r="57" spans="1:5">
      <c r="A57" t="s">
        <v>233</v>
      </c>
      <c r="B57" t="s">
        <v>315</v>
      </c>
      <c r="C57" s="54"/>
      <c r="D57">
        <v>0</v>
      </c>
      <c r="E57" t="b">
        <v>0</v>
      </c>
    </row>
    <row r="58" spans="1:5">
      <c r="A58" t="s">
        <v>233</v>
      </c>
      <c r="B58" t="s">
        <v>316</v>
      </c>
      <c r="C58" s="54"/>
      <c r="D58">
        <v>0</v>
      </c>
      <c r="E58" t="b">
        <v>0</v>
      </c>
    </row>
    <row r="59" spans="1:5">
      <c r="A59" t="s">
        <v>235</v>
      </c>
      <c r="B59" t="s">
        <v>317</v>
      </c>
      <c r="C59" s="54"/>
      <c r="D59">
        <v>0</v>
      </c>
      <c r="E59" t="b">
        <v>0</v>
      </c>
    </row>
    <row r="60" spans="1:5">
      <c r="A60" t="s">
        <v>235</v>
      </c>
      <c r="B60" t="s">
        <v>318</v>
      </c>
      <c r="C60" s="54"/>
      <c r="D60">
        <v>0</v>
      </c>
      <c r="E60" t="b">
        <v>0</v>
      </c>
    </row>
    <row r="61" spans="1:5">
      <c r="A61" t="s">
        <v>235</v>
      </c>
      <c r="B61" t="s">
        <v>319</v>
      </c>
      <c r="C61" s="54"/>
      <c r="D61">
        <v>0</v>
      </c>
      <c r="E61" t="b">
        <v>0</v>
      </c>
    </row>
    <row r="62" spans="1:5">
      <c r="A62" t="s">
        <v>235</v>
      </c>
      <c r="B62" t="s">
        <v>320</v>
      </c>
      <c r="C62" s="54"/>
      <c r="D62">
        <v>0</v>
      </c>
      <c r="E62" t="b">
        <v>0</v>
      </c>
    </row>
    <row r="63" spans="1:5">
      <c r="A63" t="s">
        <v>235</v>
      </c>
      <c r="B63" t="s">
        <v>321</v>
      </c>
      <c r="C63" s="54"/>
      <c r="D63">
        <v>0</v>
      </c>
      <c r="E63" t="b">
        <v>0</v>
      </c>
    </row>
    <row r="64" spans="1:5">
      <c r="A64" t="s">
        <v>235</v>
      </c>
      <c r="B64" t="s">
        <v>322</v>
      </c>
      <c r="C64" s="54"/>
      <c r="D64">
        <v>0</v>
      </c>
      <c r="E64" t="b">
        <v>0</v>
      </c>
    </row>
    <row r="65" spans="1:5">
      <c r="A65" t="s">
        <v>235</v>
      </c>
      <c r="B65" t="s">
        <v>323</v>
      </c>
      <c r="C65" s="54"/>
      <c r="D65">
        <v>0</v>
      </c>
      <c r="E65" t="b">
        <v>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E06E-BCC5-4C84-A05B-DA3767EF2E6E}">
  <dimension ref="A1:K129"/>
  <sheetViews>
    <sheetView workbookViewId="0"/>
  </sheetViews>
  <sheetFormatPr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42578125" bestFit="1" customWidth="1"/>
    <col min="10" max="10" width="12.140625" bestFit="1" customWidth="1"/>
    <col min="11" max="11" width="53" bestFit="1" customWidth="1"/>
  </cols>
  <sheetData>
    <row r="1" spans="1:11">
      <c r="A1" t="s">
        <v>351</v>
      </c>
      <c r="B1" t="s">
        <v>353</v>
      </c>
      <c r="C1" t="s">
        <v>50</v>
      </c>
      <c r="D1" t="s">
        <v>39</v>
      </c>
      <c r="E1" t="s">
        <v>63</v>
      </c>
      <c r="F1" t="s">
        <v>64</v>
      </c>
      <c r="G1" t="s">
        <v>332</v>
      </c>
      <c r="H1" t="s">
        <v>378</v>
      </c>
      <c r="I1" t="s">
        <v>352</v>
      </c>
      <c r="J1" t="s">
        <v>354</v>
      </c>
      <c r="K1" t="s">
        <v>333</v>
      </c>
    </row>
    <row r="2" spans="1:11">
      <c r="A2" s="54" t="s">
        <v>356</v>
      </c>
      <c r="B2" t="s">
        <v>380</v>
      </c>
      <c r="C2" t="s">
        <v>56</v>
      </c>
      <c r="D2" t="s">
        <v>41</v>
      </c>
      <c r="E2" t="s">
        <v>65</v>
      </c>
      <c r="F2" t="s">
        <v>66</v>
      </c>
      <c r="G2" t="s">
        <v>5</v>
      </c>
      <c r="H2" t="s">
        <v>379</v>
      </c>
      <c r="I2" t="s">
        <v>21</v>
      </c>
      <c r="J2" t="s">
        <v>441</v>
      </c>
      <c r="K2" s="54" t="s">
        <v>8</v>
      </c>
    </row>
    <row r="3" spans="1:11">
      <c r="A3" s="54" t="s">
        <v>356</v>
      </c>
      <c r="B3" t="s">
        <v>380</v>
      </c>
      <c r="C3" t="s">
        <v>56</v>
      </c>
      <c r="D3" t="s">
        <v>43</v>
      </c>
      <c r="E3" t="s">
        <v>67</v>
      </c>
      <c r="F3" t="s">
        <v>68</v>
      </c>
      <c r="G3" t="s">
        <v>5</v>
      </c>
      <c r="H3" t="s">
        <v>379</v>
      </c>
      <c r="I3" t="s">
        <v>21</v>
      </c>
      <c r="J3" t="s">
        <v>441</v>
      </c>
      <c r="K3" s="54" t="s">
        <v>8</v>
      </c>
    </row>
    <row r="4" spans="1:11">
      <c r="A4" s="54" t="s">
        <v>356</v>
      </c>
      <c r="B4" t="s">
        <v>380</v>
      </c>
      <c r="C4" t="s">
        <v>56</v>
      </c>
      <c r="D4" t="s">
        <v>45</v>
      </c>
      <c r="E4" t="s">
        <v>69</v>
      </c>
      <c r="F4" t="s">
        <v>70</v>
      </c>
      <c r="G4" t="s">
        <v>5</v>
      </c>
      <c r="H4" t="s">
        <v>379</v>
      </c>
      <c r="I4" t="s">
        <v>21</v>
      </c>
      <c r="J4" t="s">
        <v>441</v>
      </c>
      <c r="K4" s="54" t="s">
        <v>8</v>
      </c>
    </row>
    <row r="5" spans="1:11">
      <c r="A5" s="54" t="s">
        <v>361</v>
      </c>
      <c r="B5" t="s">
        <v>381</v>
      </c>
      <c r="C5" t="s">
        <v>56</v>
      </c>
      <c r="D5" t="s">
        <v>41</v>
      </c>
      <c r="E5" t="s">
        <v>65</v>
      </c>
      <c r="F5" t="s">
        <v>104</v>
      </c>
      <c r="G5" t="s">
        <v>334</v>
      </c>
      <c r="H5" t="s">
        <v>379</v>
      </c>
      <c r="I5" t="s">
        <v>21</v>
      </c>
      <c r="J5" t="s">
        <v>441</v>
      </c>
      <c r="K5" s="54" t="s">
        <v>335</v>
      </c>
    </row>
    <row r="6" spans="1:11">
      <c r="A6" s="54" t="s">
        <v>361</v>
      </c>
      <c r="B6" t="s">
        <v>381</v>
      </c>
      <c r="C6" t="s">
        <v>56</v>
      </c>
      <c r="D6" t="s">
        <v>41</v>
      </c>
      <c r="E6" t="s">
        <v>65</v>
      </c>
      <c r="F6" t="s">
        <v>105</v>
      </c>
      <c r="G6" t="s">
        <v>334</v>
      </c>
      <c r="H6" t="s">
        <v>379</v>
      </c>
      <c r="I6" t="s">
        <v>21</v>
      </c>
      <c r="J6" t="s">
        <v>441</v>
      </c>
      <c r="K6" s="54" t="s">
        <v>335</v>
      </c>
    </row>
    <row r="7" spans="1:11">
      <c r="A7" s="54" t="s">
        <v>361</v>
      </c>
      <c r="B7" t="s">
        <v>381</v>
      </c>
      <c r="C7" t="s">
        <v>56</v>
      </c>
      <c r="D7" t="s">
        <v>43</v>
      </c>
      <c r="E7" t="s">
        <v>65</v>
      </c>
      <c r="F7" t="s">
        <v>104</v>
      </c>
      <c r="G7" t="s">
        <v>334</v>
      </c>
      <c r="H7" t="s">
        <v>379</v>
      </c>
      <c r="I7" t="s">
        <v>21</v>
      </c>
      <c r="J7" t="s">
        <v>441</v>
      </c>
      <c r="K7" s="54" t="s">
        <v>335</v>
      </c>
    </row>
    <row r="8" spans="1:11">
      <c r="A8" s="54" t="s">
        <v>361</v>
      </c>
      <c r="B8" t="s">
        <v>381</v>
      </c>
      <c r="C8" t="s">
        <v>59</v>
      </c>
      <c r="D8" t="s">
        <v>43</v>
      </c>
      <c r="E8" t="s">
        <v>108</v>
      </c>
      <c r="F8" t="s">
        <v>107</v>
      </c>
      <c r="G8" t="s">
        <v>334</v>
      </c>
      <c r="H8" t="s">
        <v>379</v>
      </c>
      <c r="I8" t="s">
        <v>21</v>
      </c>
      <c r="J8" t="s">
        <v>441</v>
      </c>
      <c r="K8" s="54" t="s">
        <v>335</v>
      </c>
    </row>
    <row r="9" spans="1:11">
      <c r="A9" s="54" t="s">
        <v>361</v>
      </c>
      <c r="B9" t="s">
        <v>381</v>
      </c>
      <c r="C9" t="s">
        <v>59</v>
      </c>
      <c r="D9" t="s">
        <v>43</v>
      </c>
      <c r="E9" t="s">
        <v>108</v>
      </c>
      <c r="F9" t="s">
        <v>109</v>
      </c>
      <c r="G9" t="s">
        <v>334</v>
      </c>
      <c r="H9" t="s">
        <v>379</v>
      </c>
      <c r="I9" t="s">
        <v>21</v>
      </c>
      <c r="J9" t="s">
        <v>441</v>
      </c>
      <c r="K9" s="54" t="s">
        <v>335</v>
      </c>
    </row>
    <row r="10" spans="1:11">
      <c r="A10" s="54" t="s">
        <v>361</v>
      </c>
      <c r="B10" t="s">
        <v>381</v>
      </c>
      <c r="C10" t="s">
        <v>59</v>
      </c>
      <c r="D10" t="s">
        <v>43</v>
      </c>
      <c r="E10" t="s">
        <v>67</v>
      </c>
      <c r="F10" t="s">
        <v>66</v>
      </c>
      <c r="G10" t="s">
        <v>334</v>
      </c>
      <c r="H10" t="s">
        <v>379</v>
      </c>
      <c r="I10" t="s">
        <v>21</v>
      </c>
      <c r="J10" t="s">
        <v>441</v>
      </c>
      <c r="K10" s="54" t="s">
        <v>335</v>
      </c>
    </row>
    <row r="11" spans="1:11">
      <c r="A11" s="54" t="s">
        <v>361</v>
      </c>
      <c r="B11" t="s">
        <v>381</v>
      </c>
      <c r="C11" t="s">
        <v>60</v>
      </c>
      <c r="D11" t="s">
        <v>43</v>
      </c>
      <c r="E11" t="s">
        <v>69</v>
      </c>
      <c r="F11" t="s">
        <v>285</v>
      </c>
      <c r="G11" t="s">
        <v>334</v>
      </c>
      <c r="H11" t="s">
        <v>379</v>
      </c>
      <c r="I11" t="s">
        <v>21</v>
      </c>
      <c r="J11" t="s">
        <v>441</v>
      </c>
      <c r="K11" s="54" t="s">
        <v>335</v>
      </c>
    </row>
    <row r="12" spans="1:11">
      <c r="A12" s="54" t="s">
        <v>361</v>
      </c>
      <c r="B12" t="s">
        <v>381</v>
      </c>
      <c r="C12" t="s">
        <v>60</v>
      </c>
      <c r="D12" t="s">
        <v>43</v>
      </c>
      <c r="E12" t="s">
        <v>69</v>
      </c>
      <c r="F12" t="s">
        <v>287</v>
      </c>
      <c r="G12" t="s">
        <v>334</v>
      </c>
      <c r="H12" t="s">
        <v>379</v>
      </c>
      <c r="I12" t="s">
        <v>21</v>
      </c>
      <c r="J12" t="s">
        <v>441</v>
      </c>
      <c r="K12" s="54" t="s">
        <v>335</v>
      </c>
    </row>
    <row r="13" spans="1:11">
      <c r="A13" s="54" t="s">
        <v>361</v>
      </c>
      <c r="B13" t="s">
        <v>381</v>
      </c>
      <c r="C13" t="s">
        <v>60</v>
      </c>
      <c r="D13" t="s">
        <v>43</v>
      </c>
      <c r="E13" t="s">
        <v>106</v>
      </c>
      <c r="F13" t="s">
        <v>107</v>
      </c>
      <c r="G13" t="s">
        <v>334</v>
      </c>
      <c r="H13" t="s">
        <v>379</v>
      </c>
      <c r="I13" t="s">
        <v>21</v>
      </c>
      <c r="J13" t="s">
        <v>441</v>
      </c>
      <c r="K13" s="54" t="s">
        <v>335</v>
      </c>
    </row>
    <row r="14" spans="1:11">
      <c r="A14" s="54" t="s">
        <v>361</v>
      </c>
      <c r="B14" t="s">
        <v>381</v>
      </c>
      <c r="C14" t="s">
        <v>61</v>
      </c>
      <c r="D14" t="s">
        <v>43</v>
      </c>
      <c r="E14" t="s">
        <v>211</v>
      </c>
      <c r="G14" t="s">
        <v>334</v>
      </c>
      <c r="H14" t="s">
        <v>379</v>
      </c>
      <c r="I14" t="s">
        <v>21</v>
      </c>
      <c r="J14" t="s">
        <v>441</v>
      </c>
      <c r="K14" s="54" t="s">
        <v>335</v>
      </c>
    </row>
    <row r="15" spans="1:11">
      <c r="A15" s="54" t="s">
        <v>361</v>
      </c>
      <c r="B15" t="s">
        <v>381</v>
      </c>
      <c r="C15" t="s">
        <v>61</v>
      </c>
      <c r="D15" t="s">
        <v>43</v>
      </c>
      <c r="E15" t="s">
        <v>231</v>
      </c>
      <c r="F15" t="s">
        <v>289</v>
      </c>
      <c r="G15" t="s">
        <v>334</v>
      </c>
      <c r="H15" t="s">
        <v>379</v>
      </c>
      <c r="I15" t="s">
        <v>21</v>
      </c>
      <c r="J15" t="s">
        <v>441</v>
      </c>
      <c r="K15" s="54" t="s">
        <v>335</v>
      </c>
    </row>
    <row r="16" spans="1:11">
      <c r="A16" s="54" t="s">
        <v>361</v>
      </c>
      <c r="B16" t="s">
        <v>382</v>
      </c>
      <c r="C16" t="s">
        <v>56</v>
      </c>
      <c r="D16" t="s">
        <v>41</v>
      </c>
      <c r="E16" t="s">
        <v>65</v>
      </c>
      <c r="F16" t="s">
        <v>105</v>
      </c>
      <c r="G16" t="s">
        <v>336</v>
      </c>
      <c r="H16" t="s">
        <v>379</v>
      </c>
      <c r="I16" t="s">
        <v>21</v>
      </c>
      <c r="J16" t="s">
        <v>441</v>
      </c>
      <c r="K16" s="54" t="s">
        <v>330</v>
      </c>
    </row>
    <row r="17" spans="1:11">
      <c r="A17" s="54" t="s">
        <v>361</v>
      </c>
      <c r="B17" t="s">
        <v>382</v>
      </c>
      <c r="C17" t="s">
        <v>56</v>
      </c>
      <c r="D17" t="s">
        <v>41</v>
      </c>
      <c r="E17" t="s">
        <v>65</v>
      </c>
      <c r="F17" t="s">
        <v>148</v>
      </c>
      <c r="G17" t="s">
        <v>336</v>
      </c>
      <c r="H17" t="s">
        <v>379</v>
      </c>
      <c r="I17" t="s">
        <v>21</v>
      </c>
      <c r="J17" t="s">
        <v>441</v>
      </c>
      <c r="K17" s="54" t="s">
        <v>330</v>
      </c>
    </row>
    <row r="18" spans="1:11">
      <c r="A18" s="54" t="s">
        <v>361</v>
      </c>
      <c r="B18" t="s">
        <v>382</v>
      </c>
      <c r="C18" t="s">
        <v>56</v>
      </c>
      <c r="D18" t="s">
        <v>43</v>
      </c>
      <c r="E18" t="s">
        <v>108</v>
      </c>
      <c r="F18" t="s">
        <v>264</v>
      </c>
      <c r="G18" t="s">
        <v>336</v>
      </c>
      <c r="H18" t="s">
        <v>379</v>
      </c>
      <c r="I18" t="s">
        <v>21</v>
      </c>
      <c r="J18" t="s">
        <v>441</v>
      </c>
      <c r="K18" s="54" t="s">
        <v>330</v>
      </c>
    </row>
    <row r="19" spans="1:11">
      <c r="A19" s="54" t="s">
        <v>361</v>
      </c>
      <c r="B19" t="s">
        <v>382</v>
      </c>
      <c r="C19" t="s">
        <v>56</v>
      </c>
      <c r="D19" t="s">
        <v>43</v>
      </c>
      <c r="E19" t="s">
        <v>69</v>
      </c>
      <c r="F19" t="s">
        <v>287</v>
      </c>
      <c r="G19" t="s">
        <v>336</v>
      </c>
      <c r="H19" t="s">
        <v>379</v>
      </c>
      <c r="I19" t="s">
        <v>21</v>
      </c>
      <c r="J19" t="s">
        <v>441</v>
      </c>
      <c r="K19" s="54" t="s">
        <v>330</v>
      </c>
    </row>
    <row r="20" spans="1:11">
      <c r="A20" s="54" t="s">
        <v>361</v>
      </c>
      <c r="B20" t="s">
        <v>382</v>
      </c>
      <c r="C20" t="s">
        <v>56</v>
      </c>
      <c r="D20" t="s">
        <v>43</v>
      </c>
      <c r="E20" t="s">
        <v>106</v>
      </c>
      <c r="F20" t="s">
        <v>296</v>
      </c>
      <c r="G20" t="s">
        <v>336</v>
      </c>
      <c r="H20" t="s">
        <v>379</v>
      </c>
      <c r="I20" t="s">
        <v>21</v>
      </c>
      <c r="J20" t="s">
        <v>441</v>
      </c>
      <c r="K20" s="54" t="s">
        <v>330</v>
      </c>
    </row>
    <row r="21" spans="1:11">
      <c r="A21" s="54" t="s">
        <v>361</v>
      </c>
      <c r="B21" t="s">
        <v>382</v>
      </c>
      <c r="C21" t="s">
        <v>56</v>
      </c>
      <c r="D21" t="s">
        <v>45</v>
      </c>
      <c r="E21" t="s">
        <v>231</v>
      </c>
      <c r="F21" t="s">
        <v>289</v>
      </c>
      <c r="G21" t="s">
        <v>336</v>
      </c>
      <c r="H21" t="s">
        <v>379</v>
      </c>
      <c r="I21" t="s">
        <v>21</v>
      </c>
      <c r="J21" t="s">
        <v>441</v>
      </c>
      <c r="K21" s="54" t="s">
        <v>330</v>
      </c>
    </row>
    <row r="22" spans="1:11">
      <c r="A22" s="54" t="s">
        <v>361</v>
      </c>
      <c r="B22" t="s">
        <v>382</v>
      </c>
      <c r="C22" t="s">
        <v>59</v>
      </c>
      <c r="D22" t="s">
        <v>41</v>
      </c>
      <c r="E22" t="s">
        <v>65</v>
      </c>
      <c r="F22" t="s">
        <v>105</v>
      </c>
      <c r="G22" t="s">
        <v>336</v>
      </c>
      <c r="H22" t="s">
        <v>379</v>
      </c>
      <c r="I22" t="s">
        <v>21</v>
      </c>
      <c r="J22" t="s">
        <v>441</v>
      </c>
      <c r="K22" s="54" t="s">
        <v>330</v>
      </c>
    </row>
    <row r="23" spans="1:11">
      <c r="A23" s="54" t="s">
        <v>361</v>
      </c>
      <c r="B23" t="s">
        <v>382</v>
      </c>
      <c r="C23" t="s">
        <v>59</v>
      </c>
      <c r="D23" t="s">
        <v>43</v>
      </c>
      <c r="E23" t="s">
        <v>65</v>
      </c>
      <c r="F23" t="s">
        <v>105</v>
      </c>
      <c r="G23" t="s">
        <v>336</v>
      </c>
      <c r="H23" t="s">
        <v>379</v>
      </c>
      <c r="I23" t="s">
        <v>21</v>
      </c>
      <c r="J23" t="s">
        <v>441</v>
      </c>
      <c r="K23" s="54" t="s">
        <v>330</v>
      </c>
    </row>
    <row r="24" spans="1:11">
      <c r="A24" s="54" t="s">
        <v>361</v>
      </c>
      <c r="B24" t="s">
        <v>382</v>
      </c>
      <c r="C24" t="s">
        <v>59</v>
      </c>
      <c r="D24" t="s">
        <v>43</v>
      </c>
      <c r="E24" t="s">
        <v>65</v>
      </c>
      <c r="F24" t="s">
        <v>148</v>
      </c>
      <c r="G24" t="s">
        <v>336</v>
      </c>
      <c r="H24" t="s">
        <v>379</v>
      </c>
      <c r="I24" t="s">
        <v>21</v>
      </c>
      <c r="J24" t="s">
        <v>441</v>
      </c>
      <c r="K24" s="54" t="s">
        <v>330</v>
      </c>
    </row>
    <row r="25" spans="1:11">
      <c r="A25" s="54" t="s">
        <v>361</v>
      </c>
      <c r="B25" t="s">
        <v>382</v>
      </c>
      <c r="C25" t="s">
        <v>59</v>
      </c>
      <c r="D25" t="s">
        <v>45</v>
      </c>
      <c r="E25" t="s">
        <v>67</v>
      </c>
      <c r="F25" t="s">
        <v>68</v>
      </c>
      <c r="G25" t="s">
        <v>336</v>
      </c>
      <c r="H25" t="s">
        <v>379</v>
      </c>
      <c r="I25" t="s">
        <v>21</v>
      </c>
      <c r="J25" t="s">
        <v>441</v>
      </c>
      <c r="K25" s="54" t="s">
        <v>330</v>
      </c>
    </row>
    <row r="26" spans="1:11">
      <c r="A26" s="54" t="s">
        <v>361</v>
      </c>
      <c r="B26" t="s">
        <v>383</v>
      </c>
      <c r="C26" t="s">
        <v>56</v>
      </c>
      <c r="D26" t="s">
        <v>41</v>
      </c>
      <c r="E26" t="s">
        <v>65</v>
      </c>
      <c r="F26" t="s">
        <v>104</v>
      </c>
      <c r="G26" t="s">
        <v>341</v>
      </c>
      <c r="H26" t="s">
        <v>379</v>
      </c>
      <c r="I26" t="s">
        <v>21</v>
      </c>
      <c r="J26" t="s">
        <v>441</v>
      </c>
      <c r="K26" s="54" t="s">
        <v>331</v>
      </c>
    </row>
    <row r="27" spans="1:11">
      <c r="A27" s="54" t="s">
        <v>361</v>
      </c>
      <c r="B27" t="s">
        <v>383</v>
      </c>
      <c r="C27" t="s">
        <v>56</v>
      </c>
      <c r="D27" t="s">
        <v>41</v>
      </c>
      <c r="E27" t="s">
        <v>67</v>
      </c>
      <c r="F27" t="s">
        <v>66</v>
      </c>
      <c r="G27" t="s">
        <v>341</v>
      </c>
      <c r="H27" t="s">
        <v>379</v>
      </c>
      <c r="I27" t="s">
        <v>21</v>
      </c>
      <c r="J27" t="s">
        <v>441</v>
      </c>
      <c r="K27" s="54" t="s">
        <v>331</v>
      </c>
    </row>
    <row r="28" spans="1:11">
      <c r="A28" s="54" t="s">
        <v>361</v>
      </c>
      <c r="B28" t="s">
        <v>383</v>
      </c>
      <c r="C28" t="s">
        <v>59</v>
      </c>
      <c r="D28" t="s">
        <v>43</v>
      </c>
      <c r="E28" t="s">
        <v>65</v>
      </c>
      <c r="F28" t="s">
        <v>207</v>
      </c>
      <c r="G28" t="s">
        <v>341</v>
      </c>
      <c r="H28" t="s">
        <v>379</v>
      </c>
      <c r="I28" t="s">
        <v>21</v>
      </c>
      <c r="J28" t="s">
        <v>441</v>
      </c>
      <c r="K28" s="54" t="s">
        <v>331</v>
      </c>
    </row>
    <row r="29" spans="1:11">
      <c r="A29" s="54" t="s">
        <v>361</v>
      </c>
      <c r="B29" t="s">
        <v>383</v>
      </c>
      <c r="C29" t="s">
        <v>59</v>
      </c>
      <c r="D29" t="s">
        <v>43</v>
      </c>
      <c r="E29" t="s">
        <v>106</v>
      </c>
      <c r="F29" t="s">
        <v>299</v>
      </c>
      <c r="G29" t="s">
        <v>341</v>
      </c>
      <c r="H29" t="s">
        <v>379</v>
      </c>
      <c r="I29" t="s">
        <v>21</v>
      </c>
      <c r="J29" t="s">
        <v>441</v>
      </c>
      <c r="K29" s="54" t="s">
        <v>331</v>
      </c>
    </row>
    <row r="30" spans="1:11">
      <c r="A30" s="54" t="s">
        <v>361</v>
      </c>
      <c r="B30" t="s">
        <v>383</v>
      </c>
      <c r="C30" t="s">
        <v>59</v>
      </c>
      <c r="D30" t="s">
        <v>43</v>
      </c>
      <c r="E30" t="s">
        <v>108</v>
      </c>
      <c r="F30" t="s">
        <v>264</v>
      </c>
      <c r="G30" t="s">
        <v>341</v>
      </c>
      <c r="H30" t="s">
        <v>379</v>
      </c>
      <c r="I30" t="s">
        <v>21</v>
      </c>
      <c r="J30" t="s">
        <v>441</v>
      </c>
      <c r="K30" s="54" t="s">
        <v>331</v>
      </c>
    </row>
    <row r="31" spans="1:11">
      <c r="A31" s="54" t="s">
        <v>361</v>
      </c>
      <c r="B31" t="s">
        <v>383</v>
      </c>
      <c r="C31" t="s">
        <v>59</v>
      </c>
      <c r="D31" t="s">
        <v>43</v>
      </c>
      <c r="E31" t="s">
        <v>67</v>
      </c>
      <c r="F31" t="s">
        <v>66</v>
      </c>
      <c r="G31" t="s">
        <v>341</v>
      </c>
      <c r="H31" t="s">
        <v>379</v>
      </c>
      <c r="I31" t="s">
        <v>21</v>
      </c>
      <c r="J31" t="s">
        <v>441</v>
      </c>
      <c r="K31" s="54" t="s">
        <v>331</v>
      </c>
    </row>
    <row r="32" spans="1:11">
      <c r="A32" s="54" t="s">
        <v>361</v>
      </c>
      <c r="B32" t="s">
        <v>383</v>
      </c>
      <c r="C32" t="s">
        <v>59</v>
      </c>
      <c r="D32" t="s">
        <v>43</v>
      </c>
      <c r="E32" t="s">
        <v>211</v>
      </c>
      <c r="F32" t="s">
        <v>306</v>
      </c>
      <c r="G32" t="s">
        <v>341</v>
      </c>
      <c r="H32" t="s">
        <v>379</v>
      </c>
      <c r="I32" t="s">
        <v>21</v>
      </c>
      <c r="J32" t="s">
        <v>441</v>
      </c>
      <c r="K32" s="54" t="s">
        <v>331</v>
      </c>
    </row>
    <row r="33" spans="1:11">
      <c r="A33" s="54" t="s">
        <v>361</v>
      </c>
      <c r="B33" t="s">
        <v>383</v>
      </c>
      <c r="C33" t="s">
        <v>59</v>
      </c>
      <c r="D33" t="s">
        <v>43</v>
      </c>
      <c r="E33" t="s">
        <v>211</v>
      </c>
      <c r="F33" t="s">
        <v>304</v>
      </c>
      <c r="G33" t="s">
        <v>341</v>
      </c>
      <c r="H33" t="s">
        <v>379</v>
      </c>
      <c r="I33" t="s">
        <v>21</v>
      </c>
      <c r="J33" t="s">
        <v>441</v>
      </c>
      <c r="K33" s="54" t="s">
        <v>331</v>
      </c>
    </row>
    <row r="34" spans="1:11">
      <c r="A34" s="54" t="s">
        <v>361</v>
      </c>
      <c r="B34" t="s">
        <v>383</v>
      </c>
      <c r="C34" t="s">
        <v>59</v>
      </c>
      <c r="D34" t="s">
        <v>43</v>
      </c>
      <c r="E34" t="s">
        <v>211</v>
      </c>
      <c r="F34" t="s">
        <v>307</v>
      </c>
      <c r="G34" t="s">
        <v>341</v>
      </c>
      <c r="H34" t="s">
        <v>379</v>
      </c>
      <c r="I34" t="s">
        <v>21</v>
      </c>
      <c r="J34" t="s">
        <v>441</v>
      </c>
      <c r="K34" s="54" t="s">
        <v>331</v>
      </c>
    </row>
    <row r="35" spans="1:11">
      <c r="A35" s="54" t="s">
        <v>361</v>
      </c>
      <c r="B35" t="s">
        <v>383</v>
      </c>
      <c r="C35" t="s">
        <v>59</v>
      </c>
      <c r="D35" t="s">
        <v>43</v>
      </c>
      <c r="E35" t="s">
        <v>211</v>
      </c>
      <c r="F35" t="s">
        <v>308</v>
      </c>
      <c r="G35" t="s">
        <v>341</v>
      </c>
      <c r="H35" t="s">
        <v>379</v>
      </c>
      <c r="I35" t="s">
        <v>21</v>
      </c>
      <c r="J35" t="s">
        <v>441</v>
      </c>
      <c r="K35" s="54" t="s">
        <v>331</v>
      </c>
    </row>
    <row r="36" spans="1:11">
      <c r="A36" s="54" t="s">
        <v>361</v>
      </c>
      <c r="B36" t="s">
        <v>383</v>
      </c>
      <c r="C36" t="s">
        <v>59</v>
      </c>
      <c r="D36" t="s">
        <v>43</v>
      </c>
      <c r="E36" t="s">
        <v>181</v>
      </c>
      <c r="F36" t="s">
        <v>303</v>
      </c>
      <c r="G36" t="s">
        <v>341</v>
      </c>
      <c r="H36" t="s">
        <v>379</v>
      </c>
      <c r="I36" t="s">
        <v>21</v>
      </c>
      <c r="J36" t="s">
        <v>441</v>
      </c>
      <c r="K36" s="54" t="s">
        <v>331</v>
      </c>
    </row>
    <row r="37" spans="1:11">
      <c r="A37" s="54" t="s">
        <v>361</v>
      </c>
      <c r="B37" t="s">
        <v>383</v>
      </c>
      <c r="C37" t="s">
        <v>59</v>
      </c>
      <c r="D37" t="s">
        <v>45</v>
      </c>
      <c r="E37" t="s">
        <v>65</v>
      </c>
      <c r="F37" t="s">
        <v>207</v>
      </c>
      <c r="G37" t="s">
        <v>341</v>
      </c>
      <c r="H37" t="s">
        <v>379</v>
      </c>
      <c r="I37" t="s">
        <v>21</v>
      </c>
      <c r="J37" t="s">
        <v>441</v>
      </c>
      <c r="K37" s="54" t="s">
        <v>331</v>
      </c>
    </row>
    <row r="38" spans="1:11">
      <c r="A38" s="54" t="s">
        <v>361</v>
      </c>
      <c r="B38" t="s">
        <v>383</v>
      </c>
      <c r="C38" t="s">
        <v>59</v>
      </c>
      <c r="D38" t="s">
        <v>45</v>
      </c>
      <c r="E38" t="s">
        <v>106</v>
      </c>
      <c r="F38" t="s">
        <v>299</v>
      </c>
      <c r="G38" t="s">
        <v>341</v>
      </c>
      <c r="H38" t="s">
        <v>379</v>
      </c>
      <c r="I38" t="s">
        <v>21</v>
      </c>
      <c r="J38" t="s">
        <v>441</v>
      </c>
      <c r="K38" s="54" t="s">
        <v>331</v>
      </c>
    </row>
    <row r="39" spans="1:11">
      <c r="A39" s="54" t="s">
        <v>361</v>
      </c>
      <c r="B39" t="s">
        <v>383</v>
      </c>
      <c r="C39" t="s">
        <v>59</v>
      </c>
      <c r="D39" t="s">
        <v>45</v>
      </c>
      <c r="E39" t="s">
        <v>108</v>
      </c>
      <c r="F39" t="s">
        <v>264</v>
      </c>
      <c r="G39" t="s">
        <v>341</v>
      </c>
      <c r="H39" t="s">
        <v>379</v>
      </c>
      <c r="I39" t="s">
        <v>21</v>
      </c>
      <c r="J39" t="s">
        <v>441</v>
      </c>
      <c r="K39" s="54" t="s">
        <v>331</v>
      </c>
    </row>
    <row r="40" spans="1:11">
      <c r="A40" s="54" t="s">
        <v>361</v>
      </c>
      <c r="B40" t="s">
        <v>383</v>
      </c>
      <c r="C40" t="s">
        <v>59</v>
      </c>
      <c r="D40" t="s">
        <v>45</v>
      </c>
      <c r="E40" t="s">
        <v>67</v>
      </c>
      <c r="F40" t="s">
        <v>66</v>
      </c>
      <c r="G40" t="s">
        <v>341</v>
      </c>
      <c r="H40" t="s">
        <v>379</v>
      </c>
      <c r="I40" t="s">
        <v>21</v>
      </c>
      <c r="J40" t="s">
        <v>441</v>
      </c>
      <c r="K40" s="54" t="s">
        <v>331</v>
      </c>
    </row>
    <row r="41" spans="1:11">
      <c r="A41" s="54" t="s">
        <v>361</v>
      </c>
      <c r="B41" t="s">
        <v>383</v>
      </c>
      <c r="C41" t="s">
        <v>59</v>
      </c>
      <c r="D41" t="s">
        <v>45</v>
      </c>
      <c r="E41" t="s">
        <v>211</v>
      </c>
      <c r="F41" t="s">
        <v>306</v>
      </c>
      <c r="G41" t="s">
        <v>341</v>
      </c>
      <c r="H41" t="s">
        <v>379</v>
      </c>
      <c r="I41" t="s">
        <v>21</v>
      </c>
      <c r="J41" t="s">
        <v>441</v>
      </c>
      <c r="K41" s="54" t="s">
        <v>331</v>
      </c>
    </row>
    <row r="42" spans="1:11">
      <c r="A42" s="54" t="s">
        <v>361</v>
      </c>
      <c r="B42" t="s">
        <v>383</v>
      </c>
      <c r="C42" t="s">
        <v>59</v>
      </c>
      <c r="D42" t="s">
        <v>45</v>
      </c>
      <c r="E42" t="s">
        <v>211</v>
      </c>
      <c r="F42" t="s">
        <v>304</v>
      </c>
      <c r="G42" t="s">
        <v>341</v>
      </c>
      <c r="H42" t="s">
        <v>379</v>
      </c>
      <c r="I42" t="s">
        <v>21</v>
      </c>
      <c r="J42" t="s">
        <v>441</v>
      </c>
      <c r="K42" s="54" t="s">
        <v>331</v>
      </c>
    </row>
    <row r="43" spans="1:11">
      <c r="A43" s="54" t="s">
        <v>361</v>
      </c>
      <c r="B43" t="s">
        <v>383</v>
      </c>
      <c r="C43" t="s">
        <v>59</v>
      </c>
      <c r="D43" t="s">
        <v>45</v>
      </c>
      <c r="E43" t="s">
        <v>211</v>
      </c>
      <c r="F43" t="s">
        <v>307</v>
      </c>
      <c r="G43" t="s">
        <v>341</v>
      </c>
      <c r="H43" t="s">
        <v>379</v>
      </c>
      <c r="I43" t="s">
        <v>21</v>
      </c>
      <c r="J43" t="s">
        <v>441</v>
      </c>
      <c r="K43" s="54" t="s">
        <v>331</v>
      </c>
    </row>
    <row r="44" spans="1:11">
      <c r="A44" s="54" t="s">
        <v>361</v>
      </c>
      <c r="B44" t="s">
        <v>383</v>
      </c>
      <c r="C44" t="s">
        <v>59</v>
      </c>
      <c r="D44" t="s">
        <v>45</v>
      </c>
      <c r="E44" t="s">
        <v>211</v>
      </c>
      <c r="F44" t="s">
        <v>308</v>
      </c>
      <c r="G44" t="s">
        <v>341</v>
      </c>
      <c r="H44" t="s">
        <v>379</v>
      </c>
      <c r="I44" t="s">
        <v>21</v>
      </c>
      <c r="J44" t="s">
        <v>441</v>
      </c>
      <c r="K44" s="54" t="s">
        <v>331</v>
      </c>
    </row>
    <row r="45" spans="1:11">
      <c r="A45" s="54" t="s">
        <v>361</v>
      </c>
      <c r="B45" t="s">
        <v>383</v>
      </c>
      <c r="C45" t="s">
        <v>59</v>
      </c>
      <c r="D45" t="s">
        <v>45</v>
      </c>
      <c r="E45" t="s">
        <v>181</v>
      </c>
      <c r="F45" t="s">
        <v>303</v>
      </c>
      <c r="G45" t="s">
        <v>341</v>
      </c>
      <c r="H45" t="s">
        <v>379</v>
      </c>
      <c r="I45" t="s">
        <v>21</v>
      </c>
      <c r="J45" t="s">
        <v>441</v>
      </c>
      <c r="K45" s="54" t="s">
        <v>331</v>
      </c>
    </row>
    <row r="46" spans="1:11">
      <c r="A46" s="54" t="s">
        <v>361</v>
      </c>
      <c r="B46" t="s">
        <v>384</v>
      </c>
      <c r="C46" t="s">
        <v>56</v>
      </c>
      <c r="D46" t="s">
        <v>41</v>
      </c>
      <c r="E46" t="s">
        <v>65</v>
      </c>
      <c r="F46" t="s">
        <v>104</v>
      </c>
      <c r="G46" t="s">
        <v>348</v>
      </c>
      <c r="H46" t="s">
        <v>379</v>
      </c>
      <c r="I46" t="s">
        <v>21</v>
      </c>
      <c r="J46" t="s">
        <v>441</v>
      </c>
      <c r="K46" s="54" t="s">
        <v>349</v>
      </c>
    </row>
    <row r="47" spans="1:11">
      <c r="A47" s="54" t="s">
        <v>361</v>
      </c>
      <c r="B47" t="s">
        <v>384</v>
      </c>
      <c r="C47" t="s">
        <v>56</v>
      </c>
      <c r="D47" t="s">
        <v>41</v>
      </c>
      <c r="E47" t="s">
        <v>65</v>
      </c>
      <c r="F47" t="s">
        <v>105</v>
      </c>
      <c r="G47" t="s">
        <v>348</v>
      </c>
      <c r="H47" t="s">
        <v>379</v>
      </c>
      <c r="I47" t="s">
        <v>21</v>
      </c>
      <c r="J47" t="s">
        <v>441</v>
      </c>
      <c r="K47" s="54" t="s">
        <v>349</v>
      </c>
    </row>
    <row r="48" spans="1:11">
      <c r="A48" s="54" t="s">
        <v>361</v>
      </c>
      <c r="B48" t="s">
        <v>384</v>
      </c>
      <c r="C48" t="s">
        <v>56</v>
      </c>
      <c r="D48" t="s">
        <v>41</v>
      </c>
      <c r="E48" t="s">
        <v>69</v>
      </c>
      <c r="F48" t="s">
        <v>287</v>
      </c>
      <c r="G48" t="s">
        <v>348</v>
      </c>
      <c r="H48" t="s">
        <v>379</v>
      </c>
      <c r="I48" t="s">
        <v>21</v>
      </c>
      <c r="J48" t="s">
        <v>441</v>
      </c>
      <c r="K48" s="54" t="s">
        <v>349</v>
      </c>
    </row>
    <row r="49" spans="1:11">
      <c r="A49" s="54" t="s">
        <v>361</v>
      </c>
      <c r="B49" t="s">
        <v>384</v>
      </c>
      <c r="C49" t="s">
        <v>56</v>
      </c>
      <c r="D49" t="s">
        <v>41</v>
      </c>
      <c r="E49" t="s">
        <v>106</v>
      </c>
      <c r="F49" t="s">
        <v>107</v>
      </c>
      <c r="G49" t="s">
        <v>348</v>
      </c>
      <c r="H49" t="s">
        <v>379</v>
      </c>
      <c r="I49" t="s">
        <v>21</v>
      </c>
      <c r="J49" t="s">
        <v>441</v>
      </c>
      <c r="K49" s="54" t="s">
        <v>349</v>
      </c>
    </row>
    <row r="50" spans="1:11">
      <c r="A50" s="54" t="s">
        <v>361</v>
      </c>
      <c r="B50" t="s">
        <v>384</v>
      </c>
      <c r="C50" t="s">
        <v>59</v>
      </c>
      <c r="D50" t="s">
        <v>43</v>
      </c>
      <c r="E50" t="s">
        <v>65</v>
      </c>
      <c r="F50" t="s">
        <v>208</v>
      </c>
      <c r="G50" t="s">
        <v>348</v>
      </c>
      <c r="H50" t="s">
        <v>379</v>
      </c>
      <c r="I50" t="s">
        <v>21</v>
      </c>
      <c r="J50" t="s">
        <v>441</v>
      </c>
      <c r="K50" s="54" t="s">
        <v>349</v>
      </c>
    </row>
    <row r="51" spans="1:11">
      <c r="A51" s="54" t="s">
        <v>361</v>
      </c>
      <c r="B51" t="s">
        <v>384</v>
      </c>
      <c r="C51" t="s">
        <v>59</v>
      </c>
      <c r="D51" t="s">
        <v>43</v>
      </c>
      <c r="E51" t="s">
        <v>67</v>
      </c>
      <c r="F51" t="s">
        <v>70</v>
      </c>
      <c r="G51" t="s">
        <v>348</v>
      </c>
      <c r="H51" t="s">
        <v>379</v>
      </c>
      <c r="I51" t="s">
        <v>21</v>
      </c>
      <c r="J51" t="s">
        <v>441</v>
      </c>
      <c r="K51" s="54" t="s">
        <v>349</v>
      </c>
    </row>
    <row r="52" spans="1:11">
      <c r="A52" s="54" t="s">
        <v>361</v>
      </c>
      <c r="B52" t="s">
        <v>384</v>
      </c>
      <c r="C52" t="s">
        <v>59</v>
      </c>
      <c r="D52" t="s">
        <v>43</v>
      </c>
      <c r="E52" t="s">
        <v>65</v>
      </c>
      <c r="F52" t="s">
        <v>148</v>
      </c>
      <c r="G52" t="s">
        <v>348</v>
      </c>
      <c r="H52" t="s">
        <v>379</v>
      </c>
      <c r="I52" t="s">
        <v>21</v>
      </c>
      <c r="J52" t="s">
        <v>441</v>
      </c>
      <c r="K52" s="54" t="s">
        <v>349</v>
      </c>
    </row>
    <row r="53" spans="1:11">
      <c r="A53" s="54" t="s">
        <v>361</v>
      </c>
      <c r="B53" t="s">
        <v>384</v>
      </c>
      <c r="C53" t="s">
        <v>59</v>
      </c>
      <c r="D53" t="s">
        <v>45</v>
      </c>
      <c r="E53" t="s">
        <v>65</v>
      </c>
      <c r="F53" t="s">
        <v>208</v>
      </c>
      <c r="G53" t="s">
        <v>348</v>
      </c>
      <c r="H53" t="s">
        <v>379</v>
      </c>
      <c r="I53" t="s">
        <v>21</v>
      </c>
      <c r="J53" t="s">
        <v>441</v>
      </c>
      <c r="K53" s="54" t="s">
        <v>349</v>
      </c>
    </row>
    <row r="54" spans="1:11">
      <c r="A54" s="54" t="s">
        <v>361</v>
      </c>
      <c r="B54" t="s">
        <v>384</v>
      </c>
      <c r="C54" t="s">
        <v>59</v>
      </c>
      <c r="D54" t="s">
        <v>45</v>
      </c>
      <c r="E54" t="s">
        <v>67</v>
      </c>
      <c r="F54" t="s">
        <v>66</v>
      </c>
      <c r="G54" t="s">
        <v>348</v>
      </c>
      <c r="H54" t="s">
        <v>379</v>
      </c>
      <c r="I54" t="s">
        <v>21</v>
      </c>
      <c r="J54" t="s">
        <v>441</v>
      </c>
      <c r="K54" s="54" t="s">
        <v>349</v>
      </c>
    </row>
    <row r="55" spans="1:11">
      <c r="A55" s="54" t="s">
        <v>361</v>
      </c>
      <c r="B55" t="s">
        <v>384</v>
      </c>
      <c r="C55" t="s">
        <v>61</v>
      </c>
      <c r="D55" t="s">
        <v>45</v>
      </c>
      <c r="E55" t="s">
        <v>67</v>
      </c>
      <c r="F55" t="s">
        <v>280</v>
      </c>
      <c r="G55" t="s">
        <v>348</v>
      </c>
      <c r="H55" t="s">
        <v>379</v>
      </c>
      <c r="I55" t="s">
        <v>21</v>
      </c>
      <c r="J55" t="s">
        <v>441</v>
      </c>
      <c r="K55" s="54" t="s">
        <v>349</v>
      </c>
    </row>
    <row r="56" spans="1:11">
      <c r="A56" s="54" t="s">
        <v>361</v>
      </c>
      <c r="B56" t="s">
        <v>385</v>
      </c>
      <c r="C56" t="s">
        <v>56</v>
      </c>
      <c r="D56" t="s">
        <v>41</v>
      </c>
      <c r="E56" t="s">
        <v>108</v>
      </c>
      <c r="F56" t="s">
        <v>264</v>
      </c>
      <c r="G56" t="s">
        <v>346</v>
      </c>
      <c r="H56" t="s">
        <v>379</v>
      </c>
      <c r="I56" t="s">
        <v>21</v>
      </c>
      <c r="J56" t="s">
        <v>441</v>
      </c>
      <c r="K56" s="54" t="s">
        <v>347</v>
      </c>
    </row>
    <row r="57" spans="1:11">
      <c r="A57" s="54" t="s">
        <v>361</v>
      </c>
      <c r="B57" t="s">
        <v>385</v>
      </c>
      <c r="C57" t="s">
        <v>56</v>
      </c>
      <c r="D57" t="s">
        <v>41</v>
      </c>
      <c r="E57" t="s">
        <v>108</v>
      </c>
      <c r="F57" t="s">
        <v>275</v>
      </c>
      <c r="G57" t="s">
        <v>346</v>
      </c>
      <c r="H57" t="s">
        <v>379</v>
      </c>
      <c r="I57" t="s">
        <v>21</v>
      </c>
      <c r="J57" t="s">
        <v>441</v>
      </c>
      <c r="K57" s="54" t="s">
        <v>347</v>
      </c>
    </row>
    <row r="58" spans="1:11">
      <c r="A58" s="54" t="s">
        <v>361</v>
      </c>
      <c r="B58" t="s">
        <v>385</v>
      </c>
      <c r="C58" t="s">
        <v>56</v>
      </c>
      <c r="D58" t="s">
        <v>41</v>
      </c>
      <c r="E58" t="s">
        <v>67</v>
      </c>
      <c r="F58" t="s">
        <v>283</v>
      </c>
      <c r="G58" t="s">
        <v>346</v>
      </c>
      <c r="H58" t="s">
        <v>379</v>
      </c>
      <c r="I58" t="s">
        <v>21</v>
      </c>
      <c r="J58" t="s">
        <v>441</v>
      </c>
      <c r="K58" s="54" t="s">
        <v>347</v>
      </c>
    </row>
    <row r="59" spans="1:11">
      <c r="A59" s="54" t="s">
        <v>361</v>
      </c>
      <c r="B59" t="s">
        <v>385</v>
      </c>
      <c r="C59" t="s">
        <v>59</v>
      </c>
      <c r="D59" t="s">
        <v>41</v>
      </c>
      <c r="E59" t="s">
        <v>67</v>
      </c>
      <c r="F59" t="s">
        <v>68</v>
      </c>
      <c r="G59" t="s">
        <v>346</v>
      </c>
      <c r="H59" t="s">
        <v>379</v>
      </c>
      <c r="I59" t="s">
        <v>21</v>
      </c>
      <c r="J59" t="s">
        <v>441</v>
      </c>
      <c r="K59" s="54" t="s">
        <v>347</v>
      </c>
    </row>
    <row r="60" spans="1:11">
      <c r="A60" s="54" t="s">
        <v>361</v>
      </c>
      <c r="B60" t="s">
        <v>385</v>
      </c>
      <c r="C60" t="s">
        <v>59</v>
      </c>
      <c r="D60" t="s">
        <v>43</v>
      </c>
      <c r="E60" t="s">
        <v>65</v>
      </c>
      <c r="F60" t="s">
        <v>105</v>
      </c>
      <c r="G60" t="s">
        <v>346</v>
      </c>
      <c r="H60" t="s">
        <v>379</v>
      </c>
      <c r="I60" t="s">
        <v>21</v>
      </c>
      <c r="J60" t="s">
        <v>441</v>
      </c>
      <c r="K60" s="54" t="s">
        <v>347</v>
      </c>
    </row>
    <row r="61" spans="1:11">
      <c r="A61" s="54" t="s">
        <v>361</v>
      </c>
      <c r="B61" t="s">
        <v>385</v>
      </c>
      <c r="C61" t="s">
        <v>59</v>
      </c>
      <c r="D61" t="s">
        <v>43</v>
      </c>
      <c r="E61" t="s">
        <v>65</v>
      </c>
      <c r="F61" t="s">
        <v>148</v>
      </c>
      <c r="G61" t="s">
        <v>346</v>
      </c>
      <c r="H61" t="s">
        <v>379</v>
      </c>
      <c r="I61" t="s">
        <v>21</v>
      </c>
      <c r="J61" t="s">
        <v>441</v>
      </c>
      <c r="K61" s="54" t="s">
        <v>347</v>
      </c>
    </row>
    <row r="62" spans="1:11">
      <c r="A62" s="54" t="s">
        <v>361</v>
      </c>
      <c r="B62" t="s">
        <v>385</v>
      </c>
      <c r="C62" t="s">
        <v>60</v>
      </c>
      <c r="D62" t="s">
        <v>43</v>
      </c>
      <c r="E62" t="s">
        <v>65</v>
      </c>
      <c r="F62" t="s">
        <v>207</v>
      </c>
      <c r="G62" t="s">
        <v>346</v>
      </c>
      <c r="H62" t="s">
        <v>379</v>
      </c>
      <c r="I62" t="s">
        <v>21</v>
      </c>
      <c r="J62" t="s">
        <v>441</v>
      </c>
      <c r="K62" s="54" t="s">
        <v>347</v>
      </c>
    </row>
    <row r="63" spans="1:11">
      <c r="A63" s="54" t="s">
        <v>361</v>
      </c>
      <c r="B63" t="s">
        <v>385</v>
      </c>
      <c r="C63" t="s">
        <v>60</v>
      </c>
      <c r="D63" t="s">
        <v>43</v>
      </c>
      <c r="E63" t="s">
        <v>106</v>
      </c>
      <c r="F63" t="s">
        <v>180</v>
      </c>
      <c r="G63" t="s">
        <v>346</v>
      </c>
      <c r="H63" t="s">
        <v>379</v>
      </c>
      <c r="I63" t="s">
        <v>21</v>
      </c>
      <c r="J63" t="s">
        <v>441</v>
      </c>
      <c r="K63" s="54" t="s">
        <v>347</v>
      </c>
    </row>
    <row r="64" spans="1:11">
      <c r="A64" s="54" t="s">
        <v>361</v>
      </c>
      <c r="B64" t="s">
        <v>385</v>
      </c>
      <c r="C64" t="s">
        <v>60</v>
      </c>
      <c r="D64" t="s">
        <v>45</v>
      </c>
      <c r="E64" t="s">
        <v>69</v>
      </c>
      <c r="F64" t="s">
        <v>287</v>
      </c>
      <c r="G64" t="s">
        <v>346</v>
      </c>
      <c r="H64" t="s">
        <v>379</v>
      </c>
      <c r="I64" t="s">
        <v>21</v>
      </c>
      <c r="J64" t="s">
        <v>441</v>
      </c>
      <c r="K64" s="54" t="s">
        <v>347</v>
      </c>
    </row>
    <row r="65" spans="1:11">
      <c r="A65" s="54" t="s">
        <v>361</v>
      </c>
      <c r="B65" t="s">
        <v>385</v>
      </c>
      <c r="C65" t="s">
        <v>61</v>
      </c>
      <c r="D65" t="s">
        <v>45</v>
      </c>
      <c r="E65" t="s">
        <v>106</v>
      </c>
      <c r="F65" t="s">
        <v>107</v>
      </c>
      <c r="G65" t="s">
        <v>346</v>
      </c>
      <c r="H65" t="s">
        <v>379</v>
      </c>
      <c r="I65" t="s">
        <v>21</v>
      </c>
      <c r="J65" t="s">
        <v>441</v>
      </c>
      <c r="K65" s="54" t="s">
        <v>347</v>
      </c>
    </row>
    <row r="66" spans="1:11">
      <c r="A66" s="54" t="s">
        <v>361</v>
      </c>
      <c r="B66" t="s">
        <v>385</v>
      </c>
      <c r="C66" t="s">
        <v>61</v>
      </c>
      <c r="D66" t="s">
        <v>45</v>
      </c>
      <c r="E66" t="s">
        <v>211</v>
      </c>
      <c r="F66" t="s">
        <v>306</v>
      </c>
      <c r="G66" t="s">
        <v>346</v>
      </c>
      <c r="H66" t="s">
        <v>379</v>
      </c>
      <c r="I66" t="s">
        <v>21</v>
      </c>
      <c r="J66" t="s">
        <v>441</v>
      </c>
      <c r="K66" s="54" t="s">
        <v>347</v>
      </c>
    </row>
    <row r="67" spans="1:11">
      <c r="A67" s="54" t="s">
        <v>356</v>
      </c>
      <c r="B67" t="s">
        <v>476</v>
      </c>
      <c r="C67" t="s">
        <v>56</v>
      </c>
      <c r="D67" t="s">
        <v>41</v>
      </c>
      <c r="E67" t="s">
        <v>65</v>
      </c>
      <c r="F67" t="s">
        <v>104</v>
      </c>
      <c r="G67" t="s">
        <v>99</v>
      </c>
      <c r="H67" t="s">
        <v>379</v>
      </c>
      <c r="I67" t="s">
        <v>21</v>
      </c>
      <c r="J67" t="s">
        <v>441</v>
      </c>
      <c r="K67" s="54" t="s">
        <v>443</v>
      </c>
    </row>
    <row r="68" spans="1:11">
      <c r="A68" s="54" t="s">
        <v>356</v>
      </c>
      <c r="B68" t="s">
        <v>476</v>
      </c>
      <c r="C68" t="s">
        <v>56</v>
      </c>
      <c r="D68" t="s">
        <v>41</v>
      </c>
      <c r="E68" t="s">
        <v>65</v>
      </c>
      <c r="F68" t="s">
        <v>105</v>
      </c>
      <c r="G68" t="s">
        <v>99</v>
      </c>
      <c r="H68" t="s">
        <v>379</v>
      </c>
      <c r="I68" t="s">
        <v>21</v>
      </c>
      <c r="J68" t="s">
        <v>441</v>
      </c>
      <c r="K68" s="54" t="s">
        <v>443</v>
      </c>
    </row>
    <row r="69" spans="1:11">
      <c r="A69" s="54" t="s">
        <v>356</v>
      </c>
      <c r="B69" t="s">
        <v>476</v>
      </c>
      <c r="C69" t="s">
        <v>56</v>
      </c>
      <c r="D69" t="s">
        <v>41</v>
      </c>
      <c r="E69" t="s">
        <v>67</v>
      </c>
      <c r="F69" t="s">
        <v>70</v>
      </c>
      <c r="G69" t="s">
        <v>99</v>
      </c>
      <c r="H69" t="s">
        <v>379</v>
      </c>
      <c r="I69" t="s">
        <v>21</v>
      </c>
      <c r="J69" t="s">
        <v>441</v>
      </c>
      <c r="K69" s="54" t="s">
        <v>443</v>
      </c>
    </row>
    <row r="70" spans="1:11">
      <c r="A70" s="54" t="s">
        <v>356</v>
      </c>
      <c r="B70" t="s">
        <v>476</v>
      </c>
      <c r="C70" t="s">
        <v>59</v>
      </c>
      <c r="D70" t="s">
        <v>43</v>
      </c>
      <c r="E70" t="s">
        <v>106</v>
      </c>
      <c r="F70" t="s">
        <v>107</v>
      </c>
      <c r="G70" t="s">
        <v>99</v>
      </c>
      <c r="H70" t="s">
        <v>379</v>
      </c>
      <c r="I70" t="s">
        <v>21</v>
      </c>
      <c r="J70" t="s">
        <v>441</v>
      </c>
      <c r="K70" s="54" t="s">
        <v>443</v>
      </c>
    </row>
    <row r="71" spans="1:11">
      <c r="A71" s="54" t="s">
        <v>356</v>
      </c>
      <c r="B71" t="s">
        <v>476</v>
      </c>
      <c r="C71" t="s">
        <v>59</v>
      </c>
      <c r="D71" t="s">
        <v>43</v>
      </c>
      <c r="E71" t="s">
        <v>108</v>
      </c>
      <c r="F71" t="s">
        <v>109</v>
      </c>
      <c r="G71" t="s">
        <v>99</v>
      </c>
      <c r="H71" t="s">
        <v>379</v>
      </c>
      <c r="I71" t="s">
        <v>21</v>
      </c>
      <c r="J71" t="s">
        <v>441</v>
      </c>
      <c r="K71" s="54" t="s">
        <v>443</v>
      </c>
    </row>
    <row r="72" spans="1:11">
      <c r="A72" s="54" t="s">
        <v>356</v>
      </c>
      <c r="B72" t="s">
        <v>477</v>
      </c>
      <c r="C72" t="s">
        <v>56</v>
      </c>
      <c r="D72" t="s">
        <v>41</v>
      </c>
      <c r="E72" t="s">
        <v>65</v>
      </c>
      <c r="F72" t="s">
        <v>104</v>
      </c>
      <c r="G72" t="s">
        <v>125</v>
      </c>
      <c r="H72" t="s">
        <v>379</v>
      </c>
      <c r="I72" t="s">
        <v>21</v>
      </c>
      <c r="J72" t="s">
        <v>441</v>
      </c>
      <c r="K72" s="54" t="s">
        <v>126</v>
      </c>
    </row>
    <row r="73" spans="1:11">
      <c r="A73" s="54" t="s">
        <v>356</v>
      </c>
      <c r="B73" t="s">
        <v>477</v>
      </c>
      <c r="C73" t="s">
        <v>56</v>
      </c>
      <c r="D73" t="s">
        <v>41</v>
      </c>
      <c r="E73" t="s">
        <v>65</v>
      </c>
      <c r="F73" t="s">
        <v>105</v>
      </c>
      <c r="G73" t="s">
        <v>125</v>
      </c>
      <c r="H73" t="s">
        <v>379</v>
      </c>
      <c r="I73" t="s">
        <v>21</v>
      </c>
      <c r="J73" t="s">
        <v>441</v>
      </c>
      <c r="K73" s="54" t="s">
        <v>126</v>
      </c>
    </row>
    <row r="74" spans="1:11">
      <c r="A74" s="54" t="s">
        <v>356</v>
      </c>
      <c r="B74" t="s">
        <v>477</v>
      </c>
      <c r="C74" t="s">
        <v>56</v>
      </c>
      <c r="D74" t="s">
        <v>41</v>
      </c>
      <c r="E74" t="s">
        <v>67</v>
      </c>
      <c r="F74" t="s">
        <v>70</v>
      </c>
      <c r="G74" t="s">
        <v>125</v>
      </c>
      <c r="H74" t="s">
        <v>379</v>
      </c>
      <c r="I74" t="s">
        <v>21</v>
      </c>
      <c r="J74" t="s">
        <v>441</v>
      </c>
      <c r="K74" s="54" t="s">
        <v>126</v>
      </c>
    </row>
    <row r="75" spans="1:11">
      <c r="A75" s="54" t="s">
        <v>356</v>
      </c>
      <c r="B75" t="s">
        <v>477</v>
      </c>
      <c r="C75" t="s">
        <v>59</v>
      </c>
      <c r="D75" t="s">
        <v>43</v>
      </c>
      <c r="E75" t="s">
        <v>106</v>
      </c>
      <c r="F75" t="s">
        <v>107</v>
      </c>
      <c r="G75" t="s">
        <v>125</v>
      </c>
      <c r="H75" t="s">
        <v>379</v>
      </c>
      <c r="I75" t="s">
        <v>21</v>
      </c>
      <c r="J75" t="s">
        <v>441</v>
      </c>
      <c r="K75" s="54" t="s">
        <v>126</v>
      </c>
    </row>
    <row r="76" spans="1:11">
      <c r="A76" s="54" t="s">
        <v>356</v>
      </c>
      <c r="B76" t="s">
        <v>477</v>
      </c>
      <c r="C76" t="s">
        <v>59</v>
      </c>
      <c r="D76" t="s">
        <v>43</v>
      </c>
      <c r="E76" t="s">
        <v>108</v>
      </c>
      <c r="F76" t="s">
        <v>109</v>
      </c>
      <c r="G76" t="s">
        <v>125</v>
      </c>
      <c r="H76" t="s">
        <v>379</v>
      </c>
      <c r="I76" t="s">
        <v>21</v>
      </c>
      <c r="J76" t="s">
        <v>441</v>
      </c>
      <c r="K76" s="54" t="s">
        <v>126</v>
      </c>
    </row>
    <row r="77" spans="1:11">
      <c r="A77" s="54" t="s">
        <v>356</v>
      </c>
      <c r="B77" t="s">
        <v>478</v>
      </c>
      <c r="C77" t="s">
        <v>56</v>
      </c>
      <c r="D77" t="s">
        <v>41</v>
      </c>
      <c r="E77" t="s">
        <v>65</v>
      </c>
      <c r="F77" t="s">
        <v>104</v>
      </c>
      <c r="G77" t="s">
        <v>127</v>
      </c>
      <c r="H77" t="s">
        <v>379</v>
      </c>
      <c r="I77" t="s">
        <v>21</v>
      </c>
      <c r="J77" t="s">
        <v>441</v>
      </c>
      <c r="K77" s="54" t="s">
        <v>128</v>
      </c>
    </row>
    <row r="78" spans="1:11">
      <c r="A78" s="54" t="s">
        <v>356</v>
      </c>
      <c r="B78" t="s">
        <v>478</v>
      </c>
      <c r="C78" t="s">
        <v>56</v>
      </c>
      <c r="D78" t="s">
        <v>41</v>
      </c>
      <c r="E78" t="s">
        <v>65</v>
      </c>
      <c r="F78" t="s">
        <v>105</v>
      </c>
      <c r="G78" t="s">
        <v>127</v>
      </c>
      <c r="H78" t="s">
        <v>379</v>
      </c>
      <c r="I78" t="s">
        <v>21</v>
      </c>
      <c r="J78" t="s">
        <v>441</v>
      </c>
      <c r="K78" s="54" t="s">
        <v>128</v>
      </c>
    </row>
    <row r="79" spans="1:11">
      <c r="A79" s="54" t="s">
        <v>356</v>
      </c>
      <c r="B79" t="s">
        <v>478</v>
      </c>
      <c r="C79" t="s">
        <v>56</v>
      </c>
      <c r="D79" t="s">
        <v>41</v>
      </c>
      <c r="E79" t="s">
        <v>67</v>
      </c>
      <c r="F79" t="s">
        <v>70</v>
      </c>
      <c r="G79" t="s">
        <v>127</v>
      </c>
      <c r="H79" t="s">
        <v>379</v>
      </c>
      <c r="I79" t="s">
        <v>21</v>
      </c>
      <c r="J79" t="s">
        <v>441</v>
      </c>
      <c r="K79" s="54" t="s">
        <v>128</v>
      </c>
    </row>
    <row r="80" spans="1:11">
      <c r="A80" s="54" t="s">
        <v>356</v>
      </c>
      <c r="B80" t="s">
        <v>478</v>
      </c>
      <c r="C80" t="s">
        <v>59</v>
      </c>
      <c r="D80" t="s">
        <v>43</v>
      </c>
      <c r="E80" t="s">
        <v>106</v>
      </c>
      <c r="F80" t="s">
        <v>107</v>
      </c>
      <c r="G80" t="s">
        <v>127</v>
      </c>
      <c r="H80" t="s">
        <v>379</v>
      </c>
      <c r="I80" t="s">
        <v>21</v>
      </c>
      <c r="J80" t="s">
        <v>441</v>
      </c>
      <c r="K80" s="54" t="s">
        <v>128</v>
      </c>
    </row>
    <row r="81" spans="1:11">
      <c r="A81" s="54" t="s">
        <v>356</v>
      </c>
      <c r="B81" t="s">
        <v>478</v>
      </c>
      <c r="C81" t="s">
        <v>59</v>
      </c>
      <c r="D81" t="s">
        <v>43</v>
      </c>
      <c r="E81" t="s">
        <v>108</v>
      </c>
      <c r="F81" t="s">
        <v>109</v>
      </c>
      <c r="G81" t="s">
        <v>127</v>
      </c>
      <c r="H81" t="s">
        <v>379</v>
      </c>
      <c r="I81" t="s">
        <v>21</v>
      </c>
      <c r="J81" t="s">
        <v>441</v>
      </c>
      <c r="K81" s="54" t="s">
        <v>128</v>
      </c>
    </row>
    <row r="82" spans="1:11">
      <c r="A82" s="54" t="s">
        <v>356</v>
      </c>
      <c r="B82" t="s">
        <v>479</v>
      </c>
      <c r="C82" t="s">
        <v>56</v>
      </c>
      <c r="D82" t="s">
        <v>41</v>
      </c>
      <c r="E82" t="s">
        <v>65</v>
      </c>
      <c r="F82" t="s">
        <v>104</v>
      </c>
      <c r="G82" t="s">
        <v>129</v>
      </c>
      <c r="H82" t="s">
        <v>379</v>
      </c>
      <c r="I82" t="s">
        <v>21</v>
      </c>
      <c r="J82" t="s">
        <v>441</v>
      </c>
      <c r="K82" s="54" t="s">
        <v>130</v>
      </c>
    </row>
    <row r="83" spans="1:11">
      <c r="A83" s="54" t="s">
        <v>356</v>
      </c>
      <c r="B83" t="s">
        <v>479</v>
      </c>
      <c r="C83" t="s">
        <v>56</v>
      </c>
      <c r="D83" t="s">
        <v>41</v>
      </c>
      <c r="E83" t="s">
        <v>65</v>
      </c>
      <c r="F83" t="s">
        <v>105</v>
      </c>
      <c r="G83" t="s">
        <v>129</v>
      </c>
      <c r="H83" t="s">
        <v>379</v>
      </c>
      <c r="I83" t="s">
        <v>21</v>
      </c>
      <c r="J83" t="s">
        <v>441</v>
      </c>
      <c r="K83" s="54" t="s">
        <v>130</v>
      </c>
    </row>
    <row r="84" spans="1:11">
      <c r="A84" s="54" t="s">
        <v>356</v>
      </c>
      <c r="B84" t="s">
        <v>479</v>
      </c>
      <c r="C84" t="s">
        <v>56</v>
      </c>
      <c r="D84" t="s">
        <v>41</v>
      </c>
      <c r="E84" t="s">
        <v>67</v>
      </c>
      <c r="F84" t="s">
        <v>70</v>
      </c>
      <c r="G84" t="s">
        <v>129</v>
      </c>
      <c r="H84" t="s">
        <v>379</v>
      </c>
      <c r="I84" t="s">
        <v>21</v>
      </c>
      <c r="J84" t="s">
        <v>441</v>
      </c>
      <c r="K84" s="54" t="s">
        <v>130</v>
      </c>
    </row>
    <row r="85" spans="1:11">
      <c r="A85" s="54" t="s">
        <v>356</v>
      </c>
      <c r="B85" t="s">
        <v>479</v>
      </c>
      <c r="C85" t="s">
        <v>59</v>
      </c>
      <c r="D85" t="s">
        <v>43</v>
      </c>
      <c r="E85" t="s">
        <v>106</v>
      </c>
      <c r="F85" t="s">
        <v>107</v>
      </c>
      <c r="G85" t="s">
        <v>129</v>
      </c>
      <c r="H85" t="s">
        <v>379</v>
      </c>
      <c r="I85" t="s">
        <v>21</v>
      </c>
      <c r="J85" t="s">
        <v>441</v>
      </c>
      <c r="K85" s="54" t="s">
        <v>130</v>
      </c>
    </row>
    <row r="86" spans="1:11">
      <c r="A86" s="54" t="s">
        <v>356</v>
      </c>
      <c r="B86" t="s">
        <v>479</v>
      </c>
      <c r="C86" t="s">
        <v>59</v>
      </c>
      <c r="D86" t="s">
        <v>43</v>
      </c>
      <c r="E86" t="s">
        <v>108</v>
      </c>
      <c r="F86" t="s">
        <v>109</v>
      </c>
      <c r="G86" t="s">
        <v>129</v>
      </c>
      <c r="H86" t="s">
        <v>379</v>
      </c>
      <c r="I86" t="s">
        <v>21</v>
      </c>
      <c r="J86" t="s">
        <v>441</v>
      </c>
      <c r="K86" s="54" t="s">
        <v>130</v>
      </c>
    </row>
    <row r="87" spans="1:11">
      <c r="A87" s="54" t="s">
        <v>356</v>
      </c>
      <c r="B87" t="s">
        <v>480</v>
      </c>
      <c r="C87" t="s">
        <v>56</v>
      </c>
      <c r="D87" t="s">
        <v>41</v>
      </c>
      <c r="E87" t="s">
        <v>65</v>
      </c>
      <c r="F87" t="s">
        <v>104</v>
      </c>
      <c r="G87" t="s">
        <v>131</v>
      </c>
      <c r="H87" t="s">
        <v>379</v>
      </c>
      <c r="I87" t="s">
        <v>21</v>
      </c>
      <c r="J87" t="s">
        <v>441</v>
      </c>
      <c r="K87" s="54" t="s">
        <v>132</v>
      </c>
    </row>
    <row r="88" spans="1:11">
      <c r="A88" s="54" t="s">
        <v>356</v>
      </c>
      <c r="B88" t="s">
        <v>480</v>
      </c>
      <c r="C88" t="s">
        <v>56</v>
      </c>
      <c r="D88" t="s">
        <v>41</v>
      </c>
      <c r="E88" t="s">
        <v>65</v>
      </c>
      <c r="F88" t="s">
        <v>105</v>
      </c>
      <c r="G88" t="s">
        <v>131</v>
      </c>
      <c r="H88" t="s">
        <v>379</v>
      </c>
      <c r="I88" t="s">
        <v>21</v>
      </c>
      <c r="J88" t="s">
        <v>441</v>
      </c>
      <c r="K88" s="54" t="s">
        <v>132</v>
      </c>
    </row>
    <row r="89" spans="1:11">
      <c r="A89" s="54" t="s">
        <v>356</v>
      </c>
      <c r="B89" t="s">
        <v>480</v>
      </c>
      <c r="C89" t="s">
        <v>56</v>
      </c>
      <c r="D89" t="s">
        <v>41</v>
      </c>
      <c r="E89" t="s">
        <v>67</v>
      </c>
      <c r="F89" t="s">
        <v>70</v>
      </c>
      <c r="G89" t="s">
        <v>131</v>
      </c>
      <c r="H89" t="s">
        <v>379</v>
      </c>
      <c r="I89" t="s">
        <v>21</v>
      </c>
      <c r="J89" t="s">
        <v>441</v>
      </c>
      <c r="K89" s="54" t="s">
        <v>132</v>
      </c>
    </row>
    <row r="90" spans="1:11">
      <c r="A90" s="54" t="s">
        <v>356</v>
      </c>
      <c r="B90" t="s">
        <v>480</v>
      </c>
      <c r="C90" t="s">
        <v>59</v>
      </c>
      <c r="D90" t="s">
        <v>43</v>
      </c>
      <c r="E90" t="s">
        <v>106</v>
      </c>
      <c r="F90" t="s">
        <v>107</v>
      </c>
      <c r="G90" t="s">
        <v>131</v>
      </c>
      <c r="H90" t="s">
        <v>379</v>
      </c>
      <c r="I90" t="s">
        <v>21</v>
      </c>
      <c r="J90" t="s">
        <v>441</v>
      </c>
      <c r="K90" s="54" t="s">
        <v>132</v>
      </c>
    </row>
    <row r="91" spans="1:11">
      <c r="A91" s="54" t="s">
        <v>356</v>
      </c>
      <c r="B91" t="s">
        <v>480</v>
      </c>
      <c r="C91" t="s">
        <v>59</v>
      </c>
      <c r="D91" t="s">
        <v>43</v>
      </c>
      <c r="E91" t="s">
        <v>108</v>
      </c>
      <c r="F91" t="s">
        <v>109</v>
      </c>
      <c r="G91" t="s">
        <v>131</v>
      </c>
      <c r="H91" t="s">
        <v>379</v>
      </c>
      <c r="I91" t="s">
        <v>21</v>
      </c>
      <c r="J91" t="s">
        <v>441</v>
      </c>
      <c r="K91" s="54" t="s">
        <v>132</v>
      </c>
    </row>
    <row r="92" spans="1:11">
      <c r="A92" s="54" t="s">
        <v>356</v>
      </c>
      <c r="B92" t="s">
        <v>481</v>
      </c>
      <c r="C92" t="s">
        <v>56</v>
      </c>
      <c r="D92" t="s">
        <v>41</v>
      </c>
      <c r="E92" t="s">
        <v>65</v>
      </c>
      <c r="F92" t="s">
        <v>104</v>
      </c>
      <c r="G92" t="s">
        <v>133</v>
      </c>
      <c r="H92" t="s">
        <v>379</v>
      </c>
      <c r="I92" t="s">
        <v>21</v>
      </c>
      <c r="J92" t="s">
        <v>441</v>
      </c>
      <c r="K92" s="54" t="s">
        <v>134</v>
      </c>
    </row>
    <row r="93" spans="1:11">
      <c r="A93" s="54" t="s">
        <v>356</v>
      </c>
      <c r="B93" t="s">
        <v>481</v>
      </c>
      <c r="C93" t="s">
        <v>56</v>
      </c>
      <c r="D93" t="s">
        <v>41</v>
      </c>
      <c r="E93" t="s">
        <v>65</v>
      </c>
      <c r="F93" t="s">
        <v>105</v>
      </c>
      <c r="G93" t="s">
        <v>133</v>
      </c>
      <c r="H93" t="s">
        <v>379</v>
      </c>
      <c r="I93" t="s">
        <v>21</v>
      </c>
      <c r="J93" t="s">
        <v>441</v>
      </c>
      <c r="K93" s="54" t="s">
        <v>134</v>
      </c>
    </row>
    <row r="94" spans="1:11">
      <c r="A94" s="54" t="s">
        <v>356</v>
      </c>
      <c r="B94" t="s">
        <v>481</v>
      </c>
      <c r="C94" t="s">
        <v>56</v>
      </c>
      <c r="D94" t="s">
        <v>41</v>
      </c>
      <c r="E94" t="s">
        <v>67</v>
      </c>
      <c r="F94" t="s">
        <v>70</v>
      </c>
      <c r="G94" t="s">
        <v>133</v>
      </c>
      <c r="H94" t="s">
        <v>379</v>
      </c>
      <c r="I94" t="s">
        <v>21</v>
      </c>
      <c r="J94" t="s">
        <v>441</v>
      </c>
      <c r="K94" s="54" t="s">
        <v>134</v>
      </c>
    </row>
    <row r="95" spans="1:11">
      <c r="A95" s="54" t="s">
        <v>356</v>
      </c>
      <c r="B95" t="s">
        <v>481</v>
      </c>
      <c r="C95" t="s">
        <v>59</v>
      </c>
      <c r="D95" t="s">
        <v>43</v>
      </c>
      <c r="E95" t="s">
        <v>106</v>
      </c>
      <c r="F95" t="s">
        <v>107</v>
      </c>
      <c r="G95" t="s">
        <v>133</v>
      </c>
      <c r="H95" t="s">
        <v>379</v>
      </c>
      <c r="I95" t="s">
        <v>21</v>
      </c>
      <c r="J95" t="s">
        <v>441</v>
      </c>
      <c r="K95" s="54" t="s">
        <v>134</v>
      </c>
    </row>
    <row r="96" spans="1:11">
      <c r="A96" s="54" t="s">
        <v>356</v>
      </c>
      <c r="B96" t="s">
        <v>481</v>
      </c>
      <c r="C96" t="s">
        <v>59</v>
      </c>
      <c r="D96" t="s">
        <v>43</v>
      </c>
      <c r="E96" t="s">
        <v>108</v>
      </c>
      <c r="F96" t="s">
        <v>109</v>
      </c>
      <c r="G96" t="s">
        <v>133</v>
      </c>
      <c r="H96" t="s">
        <v>379</v>
      </c>
      <c r="I96" t="s">
        <v>21</v>
      </c>
      <c r="J96" t="s">
        <v>441</v>
      </c>
      <c r="K96" s="54" t="s">
        <v>134</v>
      </c>
    </row>
    <row r="97" spans="1:11">
      <c r="A97" s="54" t="s">
        <v>356</v>
      </c>
      <c r="B97" t="s">
        <v>482</v>
      </c>
      <c r="C97" t="s">
        <v>56</v>
      </c>
      <c r="D97" t="s">
        <v>41</v>
      </c>
      <c r="E97" t="s">
        <v>65</v>
      </c>
      <c r="F97" t="s">
        <v>104</v>
      </c>
      <c r="G97" t="s">
        <v>135</v>
      </c>
      <c r="H97" t="s">
        <v>379</v>
      </c>
      <c r="I97" t="s">
        <v>21</v>
      </c>
      <c r="J97" t="s">
        <v>441</v>
      </c>
      <c r="K97" s="54" t="s">
        <v>450</v>
      </c>
    </row>
    <row r="98" spans="1:11">
      <c r="A98" s="54" t="s">
        <v>356</v>
      </c>
      <c r="B98" t="s">
        <v>482</v>
      </c>
      <c r="C98" t="s">
        <v>56</v>
      </c>
      <c r="D98" t="s">
        <v>41</v>
      </c>
      <c r="E98" t="s">
        <v>65</v>
      </c>
      <c r="F98" t="s">
        <v>105</v>
      </c>
      <c r="G98" t="s">
        <v>135</v>
      </c>
      <c r="H98" t="s">
        <v>379</v>
      </c>
      <c r="I98" t="s">
        <v>21</v>
      </c>
      <c r="J98" t="s">
        <v>441</v>
      </c>
      <c r="K98" s="54" t="s">
        <v>450</v>
      </c>
    </row>
    <row r="99" spans="1:11">
      <c r="A99" s="54" t="s">
        <v>356</v>
      </c>
      <c r="B99" t="s">
        <v>482</v>
      </c>
      <c r="C99" t="s">
        <v>56</v>
      </c>
      <c r="D99" t="s">
        <v>41</v>
      </c>
      <c r="E99" t="s">
        <v>67</v>
      </c>
      <c r="F99" t="s">
        <v>70</v>
      </c>
      <c r="G99" t="s">
        <v>135</v>
      </c>
      <c r="H99" t="s">
        <v>379</v>
      </c>
      <c r="I99" t="s">
        <v>21</v>
      </c>
      <c r="J99" t="s">
        <v>441</v>
      </c>
      <c r="K99" s="54" t="s">
        <v>450</v>
      </c>
    </row>
    <row r="100" spans="1:11">
      <c r="A100" s="54" t="s">
        <v>356</v>
      </c>
      <c r="B100" t="s">
        <v>482</v>
      </c>
      <c r="C100" t="s">
        <v>59</v>
      </c>
      <c r="D100" t="s">
        <v>43</v>
      </c>
      <c r="E100" t="s">
        <v>106</v>
      </c>
      <c r="F100" t="s">
        <v>107</v>
      </c>
      <c r="G100" t="s">
        <v>135</v>
      </c>
      <c r="H100" t="s">
        <v>379</v>
      </c>
      <c r="I100" t="s">
        <v>21</v>
      </c>
      <c r="J100" t="s">
        <v>441</v>
      </c>
      <c r="K100" s="54" t="s">
        <v>450</v>
      </c>
    </row>
    <row r="101" spans="1:11">
      <c r="A101" s="54" t="s">
        <v>356</v>
      </c>
      <c r="B101" t="s">
        <v>482</v>
      </c>
      <c r="C101" t="s">
        <v>59</v>
      </c>
      <c r="D101" t="s">
        <v>43</v>
      </c>
      <c r="E101" t="s">
        <v>108</v>
      </c>
      <c r="F101" t="s">
        <v>109</v>
      </c>
      <c r="G101" t="s">
        <v>135</v>
      </c>
      <c r="H101" t="s">
        <v>379</v>
      </c>
      <c r="I101" t="s">
        <v>21</v>
      </c>
      <c r="J101" t="s">
        <v>441</v>
      </c>
      <c r="K101" s="54" t="s">
        <v>450</v>
      </c>
    </row>
    <row r="102" spans="1:11">
      <c r="A102" s="54" t="s">
        <v>356</v>
      </c>
      <c r="B102" t="s">
        <v>483</v>
      </c>
      <c r="C102" t="s">
        <v>56</v>
      </c>
      <c r="D102" t="s">
        <v>41</v>
      </c>
      <c r="E102" t="s">
        <v>65</v>
      </c>
      <c r="F102" t="s">
        <v>148</v>
      </c>
      <c r="G102" t="s">
        <v>137</v>
      </c>
      <c r="H102" t="s">
        <v>379</v>
      </c>
      <c r="I102" t="s">
        <v>21</v>
      </c>
      <c r="J102" t="s">
        <v>441</v>
      </c>
      <c r="K102" s="54" t="s">
        <v>452</v>
      </c>
    </row>
    <row r="103" spans="1:11">
      <c r="A103" s="54" t="s">
        <v>356</v>
      </c>
      <c r="B103" t="s">
        <v>483</v>
      </c>
      <c r="C103" t="s">
        <v>56</v>
      </c>
      <c r="D103" t="s">
        <v>43</v>
      </c>
      <c r="E103" t="s">
        <v>65</v>
      </c>
      <c r="F103" t="s">
        <v>148</v>
      </c>
      <c r="G103" t="s">
        <v>137</v>
      </c>
      <c r="H103" t="s">
        <v>379</v>
      </c>
      <c r="I103" t="s">
        <v>21</v>
      </c>
      <c r="J103" t="s">
        <v>441</v>
      </c>
      <c r="K103" s="54" t="s">
        <v>452</v>
      </c>
    </row>
    <row r="104" spans="1:11">
      <c r="A104" s="54" t="s">
        <v>356</v>
      </c>
      <c r="B104" t="s">
        <v>483</v>
      </c>
      <c r="C104" t="s">
        <v>56</v>
      </c>
      <c r="D104" t="s">
        <v>45</v>
      </c>
      <c r="E104" t="s">
        <v>67</v>
      </c>
      <c r="F104" t="s">
        <v>66</v>
      </c>
      <c r="G104" t="s">
        <v>137</v>
      </c>
      <c r="H104" t="s">
        <v>379</v>
      </c>
      <c r="I104" t="s">
        <v>21</v>
      </c>
      <c r="J104" t="s">
        <v>441</v>
      </c>
      <c r="K104" s="54" t="s">
        <v>452</v>
      </c>
    </row>
    <row r="105" spans="1:11">
      <c r="A105" s="54" t="s">
        <v>356</v>
      </c>
      <c r="B105" t="s">
        <v>483</v>
      </c>
      <c r="C105" t="s">
        <v>56</v>
      </c>
      <c r="D105" t="s">
        <v>47</v>
      </c>
      <c r="E105" t="s">
        <v>67</v>
      </c>
      <c r="F105" t="s">
        <v>66</v>
      </c>
      <c r="G105" t="s">
        <v>137</v>
      </c>
      <c r="H105" t="s">
        <v>379</v>
      </c>
      <c r="I105" t="s">
        <v>21</v>
      </c>
      <c r="J105" t="s">
        <v>441</v>
      </c>
      <c r="K105" s="54" t="s">
        <v>452</v>
      </c>
    </row>
    <row r="106" spans="1:11">
      <c r="A106" s="54" t="s">
        <v>356</v>
      </c>
      <c r="B106" t="s">
        <v>484</v>
      </c>
      <c r="C106" t="s">
        <v>56</v>
      </c>
      <c r="D106" t="s">
        <v>41</v>
      </c>
      <c r="E106" t="s">
        <v>65</v>
      </c>
      <c r="F106" t="s">
        <v>104</v>
      </c>
      <c r="G106" t="s">
        <v>163</v>
      </c>
      <c r="H106" t="s">
        <v>379</v>
      </c>
      <c r="I106" t="s">
        <v>21</v>
      </c>
      <c r="J106" t="s">
        <v>441</v>
      </c>
      <c r="K106" s="54" t="s">
        <v>454</v>
      </c>
    </row>
    <row r="107" spans="1:11">
      <c r="A107" s="54" t="s">
        <v>356</v>
      </c>
      <c r="B107" t="s">
        <v>484</v>
      </c>
      <c r="C107" t="s">
        <v>56</v>
      </c>
      <c r="D107" t="s">
        <v>41</v>
      </c>
      <c r="E107" t="s">
        <v>65</v>
      </c>
      <c r="F107" t="s">
        <v>105</v>
      </c>
      <c r="G107" t="s">
        <v>163</v>
      </c>
      <c r="H107" t="s">
        <v>379</v>
      </c>
      <c r="I107" t="s">
        <v>21</v>
      </c>
      <c r="J107" t="s">
        <v>441</v>
      </c>
      <c r="K107" s="54" t="s">
        <v>454</v>
      </c>
    </row>
    <row r="108" spans="1:11">
      <c r="A108" s="54" t="s">
        <v>356</v>
      </c>
      <c r="B108" t="s">
        <v>484</v>
      </c>
      <c r="C108" t="s">
        <v>56</v>
      </c>
      <c r="D108" t="s">
        <v>41</v>
      </c>
      <c r="E108" t="s">
        <v>67</v>
      </c>
      <c r="F108" t="s">
        <v>70</v>
      </c>
      <c r="G108" t="s">
        <v>163</v>
      </c>
      <c r="H108" t="s">
        <v>379</v>
      </c>
      <c r="I108" t="s">
        <v>21</v>
      </c>
      <c r="J108" t="s">
        <v>441</v>
      </c>
      <c r="K108" s="54" t="s">
        <v>454</v>
      </c>
    </row>
    <row r="109" spans="1:11">
      <c r="A109" s="54" t="s">
        <v>356</v>
      </c>
      <c r="B109" t="s">
        <v>484</v>
      </c>
      <c r="C109" t="s">
        <v>59</v>
      </c>
      <c r="D109" t="s">
        <v>43</v>
      </c>
      <c r="E109" t="s">
        <v>106</v>
      </c>
      <c r="F109" t="s">
        <v>107</v>
      </c>
      <c r="G109" t="s">
        <v>163</v>
      </c>
      <c r="H109" t="s">
        <v>379</v>
      </c>
      <c r="I109" t="s">
        <v>21</v>
      </c>
      <c r="J109" t="s">
        <v>441</v>
      </c>
      <c r="K109" s="54" t="s">
        <v>454</v>
      </c>
    </row>
    <row r="110" spans="1:11">
      <c r="A110" s="54" t="s">
        <v>356</v>
      </c>
      <c r="B110" t="s">
        <v>484</v>
      </c>
      <c r="C110" t="s">
        <v>59</v>
      </c>
      <c r="D110" t="s">
        <v>43</v>
      </c>
      <c r="E110" t="s">
        <v>108</v>
      </c>
      <c r="F110" t="s">
        <v>109</v>
      </c>
      <c r="G110" t="s">
        <v>163</v>
      </c>
      <c r="H110" t="s">
        <v>379</v>
      </c>
      <c r="I110" t="s">
        <v>21</v>
      </c>
      <c r="J110" t="s">
        <v>441</v>
      </c>
      <c r="K110" s="54" t="s">
        <v>454</v>
      </c>
    </row>
    <row r="111" spans="1:11">
      <c r="A111" s="54" t="s">
        <v>356</v>
      </c>
      <c r="B111" t="s">
        <v>386</v>
      </c>
      <c r="C111" t="s">
        <v>56</v>
      </c>
      <c r="D111" t="s">
        <v>41</v>
      </c>
      <c r="E111" t="s">
        <v>67</v>
      </c>
      <c r="F111" t="s">
        <v>66</v>
      </c>
      <c r="G111" t="s">
        <v>165</v>
      </c>
      <c r="H111" t="s">
        <v>379</v>
      </c>
      <c r="I111" t="s">
        <v>21</v>
      </c>
      <c r="J111" t="s">
        <v>441</v>
      </c>
      <c r="K111" s="54" t="s">
        <v>167</v>
      </c>
    </row>
    <row r="112" spans="1:11">
      <c r="A112" s="54" t="s">
        <v>356</v>
      </c>
      <c r="B112" t="s">
        <v>386</v>
      </c>
      <c r="C112" t="s">
        <v>56</v>
      </c>
      <c r="D112" t="s">
        <v>43</v>
      </c>
      <c r="E112" t="s">
        <v>106</v>
      </c>
      <c r="F112" t="s">
        <v>107</v>
      </c>
      <c r="G112" t="s">
        <v>165</v>
      </c>
      <c r="H112" t="s">
        <v>379</v>
      </c>
      <c r="I112" t="s">
        <v>21</v>
      </c>
      <c r="J112" t="s">
        <v>441</v>
      </c>
      <c r="K112" s="54" t="s">
        <v>167</v>
      </c>
    </row>
    <row r="113" spans="1:11">
      <c r="A113" s="54" t="s">
        <v>356</v>
      </c>
      <c r="B113" t="s">
        <v>386</v>
      </c>
      <c r="C113" t="s">
        <v>59</v>
      </c>
      <c r="D113" t="s">
        <v>41</v>
      </c>
      <c r="E113" t="s">
        <v>106</v>
      </c>
      <c r="F113" t="s">
        <v>180</v>
      </c>
      <c r="G113" t="s">
        <v>165</v>
      </c>
      <c r="H113" t="s">
        <v>379</v>
      </c>
      <c r="I113" t="s">
        <v>21</v>
      </c>
      <c r="J113" t="s">
        <v>441</v>
      </c>
      <c r="K113" s="54" t="s">
        <v>167</v>
      </c>
    </row>
    <row r="114" spans="1:11">
      <c r="A114" s="54" t="s">
        <v>356</v>
      </c>
      <c r="B114" t="s">
        <v>386</v>
      </c>
      <c r="C114" t="s">
        <v>59</v>
      </c>
      <c r="D114" t="s">
        <v>43</v>
      </c>
      <c r="E114" t="s">
        <v>181</v>
      </c>
      <c r="F114" t="s">
        <v>182</v>
      </c>
      <c r="G114" t="s">
        <v>165</v>
      </c>
      <c r="H114" t="s">
        <v>379</v>
      </c>
      <c r="I114" t="s">
        <v>21</v>
      </c>
      <c r="J114" t="s">
        <v>441</v>
      </c>
      <c r="K114" s="54" t="s">
        <v>167</v>
      </c>
    </row>
    <row r="115" spans="1:11">
      <c r="A115" s="54" t="s">
        <v>356</v>
      </c>
      <c r="B115" t="s">
        <v>386</v>
      </c>
      <c r="C115" t="s">
        <v>59</v>
      </c>
      <c r="D115" t="s">
        <v>45</v>
      </c>
      <c r="E115" t="s">
        <v>69</v>
      </c>
      <c r="F115" t="s">
        <v>183</v>
      </c>
      <c r="G115" t="s">
        <v>165</v>
      </c>
      <c r="H115" t="s">
        <v>379</v>
      </c>
      <c r="I115" t="s">
        <v>21</v>
      </c>
      <c r="J115" t="s">
        <v>441</v>
      </c>
      <c r="K115" s="54" t="s">
        <v>167</v>
      </c>
    </row>
    <row r="116" spans="1:11">
      <c r="A116" s="54" t="s">
        <v>358</v>
      </c>
      <c r="B116" t="s">
        <v>387</v>
      </c>
      <c r="C116" t="s">
        <v>56</v>
      </c>
      <c r="D116" t="s">
        <v>41</v>
      </c>
      <c r="E116" t="s">
        <v>65</v>
      </c>
      <c r="F116" t="s">
        <v>104</v>
      </c>
      <c r="G116" t="s">
        <v>338</v>
      </c>
      <c r="H116" t="s">
        <v>379</v>
      </c>
      <c r="I116" t="s">
        <v>21</v>
      </c>
      <c r="J116" t="s">
        <v>441</v>
      </c>
      <c r="K116" s="54" t="s">
        <v>339</v>
      </c>
    </row>
    <row r="117" spans="1:11">
      <c r="A117" s="54" t="s">
        <v>358</v>
      </c>
      <c r="B117" t="s">
        <v>387</v>
      </c>
      <c r="C117" t="s">
        <v>56</v>
      </c>
      <c r="D117" t="s">
        <v>41</v>
      </c>
      <c r="E117" t="s">
        <v>69</v>
      </c>
      <c r="F117" t="s">
        <v>287</v>
      </c>
      <c r="G117" t="s">
        <v>338</v>
      </c>
      <c r="H117" t="s">
        <v>379</v>
      </c>
      <c r="I117" t="s">
        <v>21</v>
      </c>
      <c r="J117" t="s">
        <v>441</v>
      </c>
      <c r="K117" s="54" t="s">
        <v>339</v>
      </c>
    </row>
    <row r="118" spans="1:11">
      <c r="A118" s="54" t="s">
        <v>358</v>
      </c>
      <c r="B118" t="s">
        <v>387</v>
      </c>
      <c r="C118" t="s">
        <v>59</v>
      </c>
      <c r="D118" t="s">
        <v>43</v>
      </c>
      <c r="E118" t="s">
        <v>65</v>
      </c>
      <c r="F118" t="s">
        <v>104</v>
      </c>
      <c r="G118" t="s">
        <v>338</v>
      </c>
      <c r="H118" t="s">
        <v>379</v>
      </c>
      <c r="I118" t="s">
        <v>21</v>
      </c>
      <c r="J118" t="s">
        <v>441</v>
      </c>
      <c r="K118" s="54" t="s">
        <v>339</v>
      </c>
    </row>
    <row r="119" spans="1:11">
      <c r="A119" s="54" t="s">
        <v>358</v>
      </c>
      <c r="B119" t="s">
        <v>387</v>
      </c>
      <c r="C119" t="s">
        <v>59</v>
      </c>
      <c r="D119" t="s">
        <v>43</v>
      </c>
      <c r="E119" t="s">
        <v>69</v>
      </c>
      <c r="F119" t="s">
        <v>287</v>
      </c>
      <c r="G119" t="s">
        <v>338</v>
      </c>
      <c r="H119" t="s">
        <v>379</v>
      </c>
      <c r="I119" t="s">
        <v>21</v>
      </c>
      <c r="J119" t="s">
        <v>441</v>
      </c>
      <c r="K119" s="54" t="s">
        <v>339</v>
      </c>
    </row>
    <row r="120" spans="1:11">
      <c r="A120" s="54" t="s">
        <v>358</v>
      </c>
      <c r="B120" t="s">
        <v>388</v>
      </c>
      <c r="C120" t="s">
        <v>56</v>
      </c>
      <c r="D120" t="s">
        <v>41</v>
      </c>
      <c r="E120" t="s">
        <v>67</v>
      </c>
      <c r="F120" t="s">
        <v>68</v>
      </c>
      <c r="G120" t="s">
        <v>343</v>
      </c>
      <c r="H120" t="s">
        <v>379</v>
      </c>
      <c r="I120" t="s">
        <v>21</v>
      </c>
      <c r="J120" t="s">
        <v>441</v>
      </c>
      <c r="K120" s="54" t="s">
        <v>344</v>
      </c>
    </row>
    <row r="121" spans="1:11">
      <c r="A121" s="54" t="s">
        <v>358</v>
      </c>
      <c r="B121" t="s">
        <v>388</v>
      </c>
      <c r="C121" t="s">
        <v>56</v>
      </c>
      <c r="D121" t="s">
        <v>41</v>
      </c>
      <c r="E121" t="s">
        <v>181</v>
      </c>
      <c r="F121" t="s">
        <v>182</v>
      </c>
      <c r="G121" t="s">
        <v>343</v>
      </c>
      <c r="H121" t="s">
        <v>379</v>
      </c>
      <c r="I121" t="s">
        <v>21</v>
      </c>
      <c r="J121" t="s">
        <v>441</v>
      </c>
      <c r="K121" s="54" t="s">
        <v>344</v>
      </c>
    </row>
    <row r="122" spans="1:11">
      <c r="A122" s="54" t="s">
        <v>358</v>
      </c>
      <c r="B122" t="s">
        <v>388</v>
      </c>
      <c r="C122" t="s">
        <v>56</v>
      </c>
      <c r="D122" t="s">
        <v>41</v>
      </c>
      <c r="E122" t="s">
        <v>181</v>
      </c>
      <c r="F122" t="s">
        <v>300</v>
      </c>
      <c r="G122" t="s">
        <v>343</v>
      </c>
      <c r="H122" t="s">
        <v>379</v>
      </c>
      <c r="I122" t="s">
        <v>21</v>
      </c>
      <c r="J122" t="s">
        <v>441</v>
      </c>
      <c r="K122" s="54" t="s">
        <v>344</v>
      </c>
    </row>
    <row r="123" spans="1:11">
      <c r="A123" s="54" t="s">
        <v>358</v>
      </c>
      <c r="B123" t="s">
        <v>388</v>
      </c>
      <c r="C123" t="s">
        <v>59</v>
      </c>
      <c r="D123" t="s">
        <v>41</v>
      </c>
      <c r="E123" t="s">
        <v>65</v>
      </c>
      <c r="F123" t="s">
        <v>104</v>
      </c>
      <c r="G123" t="s">
        <v>343</v>
      </c>
      <c r="H123" t="s">
        <v>379</v>
      </c>
      <c r="I123" t="s">
        <v>21</v>
      </c>
      <c r="J123" t="s">
        <v>441</v>
      </c>
      <c r="K123" s="54" t="s">
        <v>344</v>
      </c>
    </row>
    <row r="124" spans="1:11">
      <c r="A124" s="54" t="s">
        <v>358</v>
      </c>
      <c r="B124" t="s">
        <v>388</v>
      </c>
      <c r="C124" t="s">
        <v>59</v>
      </c>
      <c r="D124" t="s">
        <v>41</v>
      </c>
      <c r="E124" t="s">
        <v>65</v>
      </c>
      <c r="F124" t="s">
        <v>257</v>
      </c>
      <c r="G124" t="s">
        <v>343</v>
      </c>
      <c r="H124" t="s">
        <v>379</v>
      </c>
      <c r="I124" t="s">
        <v>21</v>
      </c>
      <c r="J124" t="s">
        <v>441</v>
      </c>
      <c r="K124" s="54" t="s">
        <v>344</v>
      </c>
    </row>
    <row r="125" spans="1:11">
      <c r="A125" s="54" t="s">
        <v>358</v>
      </c>
      <c r="B125" t="s">
        <v>388</v>
      </c>
      <c r="C125" t="s">
        <v>59</v>
      </c>
      <c r="D125" t="s">
        <v>43</v>
      </c>
      <c r="E125" t="s">
        <v>67</v>
      </c>
      <c r="F125" t="s">
        <v>68</v>
      </c>
      <c r="G125" t="s">
        <v>343</v>
      </c>
      <c r="H125" t="s">
        <v>379</v>
      </c>
      <c r="I125" t="s">
        <v>21</v>
      </c>
      <c r="J125" t="s">
        <v>441</v>
      </c>
      <c r="K125" s="54" t="s">
        <v>344</v>
      </c>
    </row>
    <row r="126" spans="1:11">
      <c r="A126" s="54" t="s">
        <v>358</v>
      </c>
      <c r="B126" t="s">
        <v>388</v>
      </c>
      <c r="C126" t="s">
        <v>59</v>
      </c>
      <c r="D126" t="s">
        <v>43</v>
      </c>
      <c r="E126" t="s">
        <v>181</v>
      </c>
      <c r="F126" t="s">
        <v>182</v>
      </c>
      <c r="G126" t="s">
        <v>343</v>
      </c>
      <c r="H126" t="s">
        <v>379</v>
      </c>
      <c r="I126" t="s">
        <v>21</v>
      </c>
      <c r="J126" t="s">
        <v>441</v>
      </c>
      <c r="K126" s="54" t="s">
        <v>344</v>
      </c>
    </row>
    <row r="127" spans="1:11">
      <c r="A127" s="54" t="s">
        <v>358</v>
      </c>
      <c r="B127" t="s">
        <v>388</v>
      </c>
      <c r="C127" t="s">
        <v>59</v>
      </c>
      <c r="D127" t="s">
        <v>43</v>
      </c>
      <c r="E127" t="s">
        <v>181</v>
      </c>
      <c r="F127" t="s">
        <v>300</v>
      </c>
      <c r="G127" t="s">
        <v>343</v>
      </c>
      <c r="H127" t="s">
        <v>379</v>
      </c>
      <c r="I127" t="s">
        <v>21</v>
      </c>
      <c r="J127" t="s">
        <v>441</v>
      </c>
      <c r="K127" s="54" t="s">
        <v>344</v>
      </c>
    </row>
    <row r="128" spans="1:11">
      <c r="A128" s="54" t="s">
        <v>358</v>
      </c>
      <c r="B128" t="s">
        <v>388</v>
      </c>
      <c r="C128" t="s">
        <v>59</v>
      </c>
      <c r="D128" t="s">
        <v>43</v>
      </c>
      <c r="E128" t="s">
        <v>65</v>
      </c>
      <c r="F128" t="s">
        <v>104</v>
      </c>
      <c r="G128" t="s">
        <v>343</v>
      </c>
      <c r="H128" t="s">
        <v>379</v>
      </c>
      <c r="I128" t="s">
        <v>21</v>
      </c>
      <c r="J128" t="s">
        <v>441</v>
      </c>
      <c r="K128" s="54" t="s">
        <v>344</v>
      </c>
    </row>
    <row r="129" spans="1:11">
      <c r="A129" s="54" t="s">
        <v>358</v>
      </c>
      <c r="B129" t="s">
        <v>388</v>
      </c>
      <c r="C129" t="s">
        <v>59</v>
      </c>
      <c r="D129" t="s">
        <v>43</v>
      </c>
      <c r="E129" t="s">
        <v>65</v>
      </c>
      <c r="F129" t="s">
        <v>257</v>
      </c>
      <c r="G129" t="s">
        <v>343</v>
      </c>
      <c r="H129" t="s">
        <v>379</v>
      </c>
      <c r="I129" t="s">
        <v>21</v>
      </c>
      <c r="J129" t="s">
        <v>441</v>
      </c>
      <c r="K129" s="54" t="s">
        <v>344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B3CB-BABF-4168-B449-7C2A7457DFD7}">
  <dimension ref="A1:I109"/>
  <sheetViews>
    <sheetView workbookViewId="0"/>
  </sheetViews>
  <sheetFormatPr defaultRowHeight="1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351</v>
      </c>
      <c r="B1" t="s">
        <v>353</v>
      </c>
      <c r="C1" t="s">
        <v>27</v>
      </c>
      <c r="D1" t="s">
        <v>26</v>
      </c>
      <c r="E1" t="s">
        <v>332</v>
      </c>
      <c r="F1" t="s">
        <v>378</v>
      </c>
      <c r="G1" t="s">
        <v>352</v>
      </c>
      <c r="H1" t="s">
        <v>354</v>
      </c>
      <c r="I1" t="s">
        <v>333</v>
      </c>
    </row>
    <row r="2" spans="1:9">
      <c r="A2" s="54" t="s">
        <v>356</v>
      </c>
      <c r="B2" t="s">
        <v>355</v>
      </c>
      <c r="C2" t="s">
        <v>28</v>
      </c>
      <c r="D2">
        <v>10</v>
      </c>
      <c r="E2" t="s">
        <v>5</v>
      </c>
      <c r="F2" t="s">
        <v>389</v>
      </c>
      <c r="G2" t="s">
        <v>21</v>
      </c>
      <c r="H2" t="s">
        <v>441</v>
      </c>
      <c r="I2" s="54" t="s">
        <v>8</v>
      </c>
    </row>
    <row r="3" spans="1:9">
      <c r="A3" s="54" t="s">
        <v>356</v>
      </c>
      <c r="B3" t="s">
        <v>355</v>
      </c>
      <c r="C3" t="s">
        <v>29</v>
      </c>
      <c r="D3">
        <v>10</v>
      </c>
      <c r="E3" t="s">
        <v>5</v>
      </c>
      <c r="F3" t="s">
        <v>389</v>
      </c>
      <c r="G3" t="s">
        <v>21</v>
      </c>
      <c r="H3" t="s">
        <v>441</v>
      </c>
      <c r="I3" s="54" t="s">
        <v>8</v>
      </c>
    </row>
    <row r="4" spans="1:9">
      <c r="A4" s="54" t="s">
        <v>356</v>
      </c>
      <c r="B4" t="s">
        <v>355</v>
      </c>
      <c r="C4" t="s">
        <v>30</v>
      </c>
      <c r="D4">
        <v>20</v>
      </c>
      <c r="E4" t="s">
        <v>5</v>
      </c>
      <c r="F4" t="s">
        <v>389</v>
      </c>
      <c r="G4" t="s">
        <v>21</v>
      </c>
      <c r="H4" t="s">
        <v>441</v>
      </c>
      <c r="I4" s="54" t="s">
        <v>8</v>
      </c>
    </row>
    <row r="5" spans="1:9">
      <c r="A5" s="54" t="s">
        <v>356</v>
      </c>
      <c r="B5" t="s">
        <v>355</v>
      </c>
      <c r="C5" t="s">
        <v>31</v>
      </c>
      <c r="E5" t="s">
        <v>5</v>
      </c>
      <c r="F5" t="s">
        <v>389</v>
      </c>
      <c r="G5" t="s">
        <v>21</v>
      </c>
      <c r="H5" t="s">
        <v>441</v>
      </c>
      <c r="I5" s="54" t="s">
        <v>8</v>
      </c>
    </row>
    <row r="6" spans="1:9">
      <c r="A6" s="54" t="s">
        <v>356</v>
      </c>
      <c r="B6" t="s">
        <v>355</v>
      </c>
      <c r="C6" t="s">
        <v>33</v>
      </c>
      <c r="E6" t="s">
        <v>5</v>
      </c>
      <c r="F6" t="s">
        <v>389</v>
      </c>
      <c r="G6" t="s">
        <v>21</v>
      </c>
      <c r="H6" t="s">
        <v>441</v>
      </c>
      <c r="I6" s="54" t="s">
        <v>8</v>
      </c>
    </row>
    <row r="7" spans="1:9">
      <c r="A7" s="54" t="s">
        <v>356</v>
      </c>
      <c r="B7" t="s">
        <v>355</v>
      </c>
      <c r="C7" t="s">
        <v>35</v>
      </c>
      <c r="D7">
        <v>40</v>
      </c>
      <c r="E7" t="s">
        <v>5</v>
      </c>
      <c r="F7" t="s">
        <v>389</v>
      </c>
      <c r="G7" t="s">
        <v>21</v>
      </c>
      <c r="H7" t="s">
        <v>441</v>
      </c>
      <c r="I7" s="54" t="s">
        <v>8</v>
      </c>
    </row>
    <row r="8" spans="1:9">
      <c r="A8" s="54" t="s">
        <v>361</v>
      </c>
      <c r="B8" t="s">
        <v>362</v>
      </c>
      <c r="C8" t="s">
        <v>28</v>
      </c>
      <c r="E8" t="s">
        <v>334</v>
      </c>
      <c r="F8" t="s">
        <v>389</v>
      </c>
      <c r="G8" t="s">
        <v>21</v>
      </c>
      <c r="H8" t="s">
        <v>441</v>
      </c>
      <c r="I8" s="54" t="s">
        <v>335</v>
      </c>
    </row>
    <row r="9" spans="1:9">
      <c r="A9" s="54" t="s">
        <v>361</v>
      </c>
      <c r="B9" t="s">
        <v>362</v>
      </c>
      <c r="C9" t="s">
        <v>29</v>
      </c>
      <c r="E9" t="s">
        <v>334</v>
      </c>
      <c r="F9" t="s">
        <v>389</v>
      </c>
      <c r="G9" t="s">
        <v>21</v>
      </c>
      <c r="H9" t="s">
        <v>441</v>
      </c>
      <c r="I9" s="54" t="s">
        <v>335</v>
      </c>
    </row>
    <row r="10" spans="1:9">
      <c r="A10" s="54" t="s">
        <v>361</v>
      </c>
      <c r="B10" t="s">
        <v>362</v>
      </c>
      <c r="C10" t="s">
        <v>30</v>
      </c>
      <c r="E10" t="s">
        <v>334</v>
      </c>
      <c r="F10" t="s">
        <v>389</v>
      </c>
      <c r="G10" t="s">
        <v>21</v>
      </c>
      <c r="H10" t="s">
        <v>441</v>
      </c>
      <c r="I10" s="54" t="s">
        <v>335</v>
      </c>
    </row>
    <row r="11" spans="1:9">
      <c r="A11" s="54" t="s">
        <v>361</v>
      </c>
      <c r="B11" t="s">
        <v>362</v>
      </c>
      <c r="C11" t="s">
        <v>31</v>
      </c>
      <c r="E11" t="s">
        <v>334</v>
      </c>
      <c r="F11" t="s">
        <v>389</v>
      </c>
      <c r="G11" t="s">
        <v>21</v>
      </c>
      <c r="H11" t="s">
        <v>441</v>
      </c>
      <c r="I11" s="54" t="s">
        <v>335</v>
      </c>
    </row>
    <row r="12" spans="1:9">
      <c r="A12" s="54" t="s">
        <v>361</v>
      </c>
      <c r="B12" t="s">
        <v>362</v>
      </c>
      <c r="C12" t="s">
        <v>33</v>
      </c>
      <c r="E12" t="s">
        <v>334</v>
      </c>
      <c r="F12" t="s">
        <v>389</v>
      </c>
      <c r="G12" t="s">
        <v>21</v>
      </c>
      <c r="H12" t="s">
        <v>441</v>
      </c>
      <c r="I12" s="54" t="s">
        <v>335</v>
      </c>
    </row>
    <row r="13" spans="1:9">
      <c r="A13" s="54" t="s">
        <v>361</v>
      </c>
      <c r="B13" t="s">
        <v>362</v>
      </c>
      <c r="C13" t="s">
        <v>35</v>
      </c>
      <c r="D13">
        <v>0</v>
      </c>
      <c r="E13" t="s">
        <v>334</v>
      </c>
      <c r="F13" t="s">
        <v>389</v>
      </c>
      <c r="G13" t="s">
        <v>21</v>
      </c>
      <c r="H13" t="s">
        <v>441</v>
      </c>
      <c r="I13" s="54" t="s">
        <v>335</v>
      </c>
    </row>
    <row r="14" spans="1:9">
      <c r="A14" s="54" t="s">
        <v>361</v>
      </c>
      <c r="B14" t="s">
        <v>363</v>
      </c>
      <c r="C14" t="s">
        <v>28</v>
      </c>
      <c r="D14">
        <v>33</v>
      </c>
      <c r="E14" t="s">
        <v>336</v>
      </c>
      <c r="F14" t="s">
        <v>389</v>
      </c>
      <c r="G14" t="s">
        <v>21</v>
      </c>
      <c r="H14" t="s">
        <v>441</v>
      </c>
      <c r="I14" s="54" t="s">
        <v>330</v>
      </c>
    </row>
    <row r="15" spans="1:9">
      <c r="A15" s="54" t="s">
        <v>361</v>
      </c>
      <c r="B15" t="s">
        <v>363</v>
      </c>
      <c r="C15" t="s">
        <v>29</v>
      </c>
      <c r="D15">
        <v>1</v>
      </c>
      <c r="E15" t="s">
        <v>336</v>
      </c>
      <c r="F15" t="s">
        <v>389</v>
      </c>
      <c r="G15" t="s">
        <v>21</v>
      </c>
      <c r="H15" t="s">
        <v>441</v>
      </c>
      <c r="I15" s="54" t="s">
        <v>330</v>
      </c>
    </row>
    <row r="16" spans="1:9">
      <c r="A16" s="54" t="s">
        <v>361</v>
      </c>
      <c r="B16" t="s">
        <v>363</v>
      </c>
      <c r="C16" t="s">
        <v>30</v>
      </c>
      <c r="D16">
        <v>6</v>
      </c>
      <c r="E16" t="s">
        <v>336</v>
      </c>
      <c r="F16" t="s">
        <v>389</v>
      </c>
      <c r="G16" t="s">
        <v>21</v>
      </c>
      <c r="H16" t="s">
        <v>441</v>
      </c>
      <c r="I16" s="54" t="s">
        <v>330</v>
      </c>
    </row>
    <row r="17" spans="1:9">
      <c r="A17" s="54" t="s">
        <v>361</v>
      </c>
      <c r="B17" t="s">
        <v>363</v>
      </c>
      <c r="C17" t="s">
        <v>31</v>
      </c>
      <c r="D17">
        <v>1</v>
      </c>
      <c r="E17" t="s">
        <v>336</v>
      </c>
      <c r="F17" t="s">
        <v>389</v>
      </c>
      <c r="G17" t="s">
        <v>21</v>
      </c>
      <c r="H17" t="s">
        <v>441</v>
      </c>
      <c r="I17" s="54" t="s">
        <v>330</v>
      </c>
    </row>
    <row r="18" spans="1:9">
      <c r="A18" s="54" t="s">
        <v>361</v>
      </c>
      <c r="B18" t="s">
        <v>363</v>
      </c>
      <c r="C18" t="s">
        <v>33</v>
      </c>
      <c r="D18">
        <v>3</v>
      </c>
      <c r="E18" t="s">
        <v>336</v>
      </c>
      <c r="F18" t="s">
        <v>389</v>
      </c>
      <c r="G18" t="s">
        <v>21</v>
      </c>
      <c r="H18" t="s">
        <v>441</v>
      </c>
      <c r="I18" s="54" t="s">
        <v>330</v>
      </c>
    </row>
    <row r="19" spans="1:9">
      <c r="A19" s="54" t="s">
        <v>361</v>
      </c>
      <c r="B19" t="s">
        <v>363</v>
      </c>
      <c r="C19" t="s">
        <v>35</v>
      </c>
      <c r="D19">
        <v>44</v>
      </c>
      <c r="E19" t="s">
        <v>336</v>
      </c>
      <c r="F19" t="s">
        <v>389</v>
      </c>
      <c r="G19" t="s">
        <v>21</v>
      </c>
      <c r="H19" t="s">
        <v>441</v>
      </c>
      <c r="I19" s="54" t="s">
        <v>330</v>
      </c>
    </row>
    <row r="20" spans="1:9">
      <c r="A20" s="54" t="s">
        <v>361</v>
      </c>
      <c r="B20" t="s">
        <v>364</v>
      </c>
      <c r="C20" t="s">
        <v>28</v>
      </c>
      <c r="D20">
        <v>11</v>
      </c>
      <c r="E20" t="s">
        <v>341</v>
      </c>
      <c r="F20" t="s">
        <v>389</v>
      </c>
      <c r="G20" t="s">
        <v>21</v>
      </c>
      <c r="H20" t="s">
        <v>441</v>
      </c>
      <c r="I20" s="54" t="s">
        <v>331</v>
      </c>
    </row>
    <row r="21" spans="1:9">
      <c r="A21" s="54" t="s">
        <v>361</v>
      </c>
      <c r="B21" t="s">
        <v>364</v>
      </c>
      <c r="C21" t="s">
        <v>29</v>
      </c>
      <c r="E21" t="s">
        <v>341</v>
      </c>
      <c r="F21" t="s">
        <v>389</v>
      </c>
      <c r="G21" t="s">
        <v>21</v>
      </c>
      <c r="H21" t="s">
        <v>441</v>
      </c>
      <c r="I21" s="54" t="s">
        <v>331</v>
      </c>
    </row>
    <row r="22" spans="1:9">
      <c r="A22" s="54" t="s">
        <v>361</v>
      </c>
      <c r="B22" t="s">
        <v>364</v>
      </c>
      <c r="C22" t="s">
        <v>30</v>
      </c>
      <c r="D22">
        <v>6</v>
      </c>
      <c r="E22" t="s">
        <v>341</v>
      </c>
      <c r="F22" t="s">
        <v>389</v>
      </c>
      <c r="G22" t="s">
        <v>21</v>
      </c>
      <c r="H22" t="s">
        <v>441</v>
      </c>
      <c r="I22" s="54" t="s">
        <v>331</v>
      </c>
    </row>
    <row r="23" spans="1:9">
      <c r="A23" s="54" t="s">
        <v>361</v>
      </c>
      <c r="B23" t="s">
        <v>364</v>
      </c>
      <c r="C23" t="s">
        <v>31</v>
      </c>
      <c r="D23">
        <v>11</v>
      </c>
      <c r="E23" t="s">
        <v>341</v>
      </c>
      <c r="F23" t="s">
        <v>389</v>
      </c>
      <c r="G23" t="s">
        <v>21</v>
      </c>
      <c r="H23" t="s">
        <v>441</v>
      </c>
      <c r="I23" s="54" t="s">
        <v>331</v>
      </c>
    </row>
    <row r="24" spans="1:9">
      <c r="A24" s="54" t="s">
        <v>361</v>
      </c>
      <c r="B24" t="s">
        <v>364</v>
      </c>
      <c r="C24" t="s">
        <v>33</v>
      </c>
      <c r="D24">
        <v>11</v>
      </c>
      <c r="E24" t="s">
        <v>341</v>
      </c>
      <c r="F24" t="s">
        <v>389</v>
      </c>
      <c r="G24" t="s">
        <v>21</v>
      </c>
      <c r="H24" t="s">
        <v>441</v>
      </c>
      <c r="I24" s="54" t="s">
        <v>331</v>
      </c>
    </row>
    <row r="25" spans="1:9">
      <c r="A25" s="54" t="s">
        <v>361</v>
      </c>
      <c r="B25" t="s">
        <v>364</v>
      </c>
      <c r="C25" t="s">
        <v>35</v>
      </c>
      <c r="D25">
        <v>39</v>
      </c>
      <c r="E25" t="s">
        <v>341</v>
      </c>
      <c r="F25" t="s">
        <v>389</v>
      </c>
      <c r="G25" t="s">
        <v>21</v>
      </c>
      <c r="H25" t="s">
        <v>441</v>
      </c>
      <c r="I25" s="54" t="s">
        <v>331</v>
      </c>
    </row>
    <row r="26" spans="1:9">
      <c r="A26" s="54" t="s">
        <v>361</v>
      </c>
      <c r="B26" t="s">
        <v>366</v>
      </c>
      <c r="C26" t="s">
        <v>28</v>
      </c>
      <c r="D26">
        <v>22</v>
      </c>
      <c r="E26" t="s">
        <v>348</v>
      </c>
      <c r="F26" t="s">
        <v>389</v>
      </c>
      <c r="G26" t="s">
        <v>21</v>
      </c>
      <c r="H26" t="s">
        <v>441</v>
      </c>
      <c r="I26" s="54" t="s">
        <v>349</v>
      </c>
    </row>
    <row r="27" spans="1:9">
      <c r="A27" s="54" t="s">
        <v>361</v>
      </c>
      <c r="B27" t="s">
        <v>366</v>
      </c>
      <c r="C27" t="s">
        <v>29</v>
      </c>
      <c r="D27">
        <v>6</v>
      </c>
      <c r="E27" t="s">
        <v>348</v>
      </c>
      <c r="F27" t="s">
        <v>389</v>
      </c>
      <c r="G27" t="s">
        <v>21</v>
      </c>
      <c r="H27" t="s">
        <v>441</v>
      </c>
      <c r="I27" s="54" t="s">
        <v>349</v>
      </c>
    </row>
    <row r="28" spans="1:9">
      <c r="A28" s="54" t="s">
        <v>361</v>
      </c>
      <c r="B28" t="s">
        <v>366</v>
      </c>
      <c r="C28" t="s">
        <v>30</v>
      </c>
      <c r="D28">
        <v>12</v>
      </c>
      <c r="E28" t="s">
        <v>348</v>
      </c>
      <c r="F28" t="s">
        <v>389</v>
      </c>
      <c r="G28" t="s">
        <v>21</v>
      </c>
      <c r="H28" t="s">
        <v>441</v>
      </c>
      <c r="I28" s="54" t="s">
        <v>349</v>
      </c>
    </row>
    <row r="29" spans="1:9">
      <c r="A29" s="54" t="s">
        <v>361</v>
      </c>
      <c r="B29" t="s">
        <v>366</v>
      </c>
      <c r="C29" t="s">
        <v>31</v>
      </c>
      <c r="E29" t="s">
        <v>348</v>
      </c>
      <c r="F29" t="s">
        <v>389</v>
      </c>
      <c r="G29" t="s">
        <v>21</v>
      </c>
      <c r="H29" t="s">
        <v>441</v>
      </c>
      <c r="I29" s="54" t="s">
        <v>349</v>
      </c>
    </row>
    <row r="30" spans="1:9">
      <c r="A30" s="54" t="s">
        <v>361</v>
      </c>
      <c r="B30" t="s">
        <v>366</v>
      </c>
      <c r="C30" t="s">
        <v>33</v>
      </c>
      <c r="E30" t="s">
        <v>348</v>
      </c>
      <c r="F30" t="s">
        <v>389</v>
      </c>
      <c r="G30" t="s">
        <v>21</v>
      </c>
      <c r="H30" t="s">
        <v>441</v>
      </c>
      <c r="I30" s="54" t="s">
        <v>349</v>
      </c>
    </row>
    <row r="31" spans="1:9">
      <c r="A31" s="54" t="s">
        <v>361</v>
      </c>
      <c r="B31" t="s">
        <v>366</v>
      </c>
      <c r="C31" t="s">
        <v>35</v>
      </c>
      <c r="D31">
        <v>40</v>
      </c>
      <c r="E31" t="s">
        <v>348</v>
      </c>
      <c r="F31" t="s">
        <v>389</v>
      </c>
      <c r="G31" t="s">
        <v>21</v>
      </c>
      <c r="H31" t="s">
        <v>441</v>
      </c>
      <c r="I31" s="54" t="s">
        <v>349</v>
      </c>
    </row>
    <row r="32" spans="1:9">
      <c r="A32" s="54" t="s">
        <v>361</v>
      </c>
      <c r="B32" t="s">
        <v>365</v>
      </c>
      <c r="C32" t="s">
        <v>28</v>
      </c>
      <c r="D32">
        <v>10</v>
      </c>
      <c r="E32" t="s">
        <v>346</v>
      </c>
      <c r="F32" t="s">
        <v>389</v>
      </c>
      <c r="G32" t="s">
        <v>21</v>
      </c>
      <c r="H32" t="s">
        <v>441</v>
      </c>
      <c r="I32" s="54" t="s">
        <v>347</v>
      </c>
    </row>
    <row r="33" spans="1:9">
      <c r="A33" s="54" t="s">
        <v>361</v>
      </c>
      <c r="B33" t="s">
        <v>365</v>
      </c>
      <c r="C33" t="s">
        <v>29</v>
      </c>
      <c r="D33">
        <v>26</v>
      </c>
      <c r="E33" t="s">
        <v>346</v>
      </c>
      <c r="F33" t="s">
        <v>389</v>
      </c>
      <c r="G33" t="s">
        <v>21</v>
      </c>
      <c r="H33" t="s">
        <v>441</v>
      </c>
      <c r="I33" s="54" t="s">
        <v>347</v>
      </c>
    </row>
    <row r="34" spans="1:9">
      <c r="A34" s="54" t="s">
        <v>361</v>
      </c>
      <c r="B34" t="s">
        <v>365</v>
      </c>
      <c r="C34" t="s">
        <v>30</v>
      </c>
      <c r="E34" t="s">
        <v>346</v>
      </c>
      <c r="F34" t="s">
        <v>389</v>
      </c>
      <c r="G34" t="s">
        <v>21</v>
      </c>
      <c r="H34" t="s">
        <v>441</v>
      </c>
      <c r="I34" s="54" t="s">
        <v>347</v>
      </c>
    </row>
    <row r="35" spans="1:9">
      <c r="A35" s="54" t="s">
        <v>361</v>
      </c>
      <c r="B35" t="s">
        <v>365</v>
      </c>
      <c r="C35" t="s">
        <v>31</v>
      </c>
      <c r="E35" t="s">
        <v>346</v>
      </c>
      <c r="F35" t="s">
        <v>389</v>
      </c>
      <c r="G35" t="s">
        <v>21</v>
      </c>
      <c r="H35" t="s">
        <v>441</v>
      </c>
      <c r="I35" s="54" t="s">
        <v>347</v>
      </c>
    </row>
    <row r="36" spans="1:9">
      <c r="A36" s="54" t="s">
        <v>361</v>
      </c>
      <c r="B36" t="s">
        <v>365</v>
      </c>
      <c r="C36" t="s">
        <v>33</v>
      </c>
      <c r="E36" t="s">
        <v>346</v>
      </c>
      <c r="F36" t="s">
        <v>389</v>
      </c>
      <c r="G36" t="s">
        <v>21</v>
      </c>
      <c r="H36" t="s">
        <v>441</v>
      </c>
      <c r="I36" s="54" t="s">
        <v>347</v>
      </c>
    </row>
    <row r="37" spans="1:9">
      <c r="A37" s="54" t="s">
        <v>361</v>
      </c>
      <c r="B37" t="s">
        <v>365</v>
      </c>
      <c r="C37" t="s">
        <v>35</v>
      </c>
      <c r="D37">
        <v>36</v>
      </c>
      <c r="E37" t="s">
        <v>346</v>
      </c>
      <c r="F37" t="s">
        <v>389</v>
      </c>
      <c r="G37" t="s">
        <v>21</v>
      </c>
      <c r="H37" t="s">
        <v>441</v>
      </c>
      <c r="I37" s="54" t="s">
        <v>347</v>
      </c>
    </row>
    <row r="38" spans="1:9">
      <c r="A38" s="54" t="s">
        <v>356</v>
      </c>
      <c r="B38" t="s">
        <v>467</v>
      </c>
      <c r="C38" t="s">
        <v>28</v>
      </c>
      <c r="E38" t="s">
        <v>99</v>
      </c>
      <c r="F38" t="s">
        <v>389</v>
      </c>
      <c r="G38" t="s">
        <v>21</v>
      </c>
      <c r="H38" t="s">
        <v>441</v>
      </c>
      <c r="I38" s="54" t="s">
        <v>443</v>
      </c>
    </row>
    <row r="39" spans="1:9">
      <c r="A39" s="54" t="s">
        <v>356</v>
      </c>
      <c r="B39" t="s">
        <v>467</v>
      </c>
      <c r="C39" t="s">
        <v>29</v>
      </c>
      <c r="E39" t="s">
        <v>99</v>
      </c>
      <c r="F39" t="s">
        <v>389</v>
      </c>
      <c r="G39" t="s">
        <v>21</v>
      </c>
      <c r="H39" t="s">
        <v>441</v>
      </c>
      <c r="I39" s="54" t="s">
        <v>443</v>
      </c>
    </row>
    <row r="40" spans="1:9">
      <c r="A40" s="54" t="s">
        <v>356</v>
      </c>
      <c r="B40" t="s">
        <v>467</v>
      </c>
      <c r="C40" t="s">
        <v>30</v>
      </c>
      <c r="E40" t="s">
        <v>99</v>
      </c>
      <c r="F40" t="s">
        <v>389</v>
      </c>
      <c r="G40" t="s">
        <v>21</v>
      </c>
      <c r="H40" t="s">
        <v>441</v>
      </c>
      <c r="I40" s="54" t="s">
        <v>443</v>
      </c>
    </row>
    <row r="41" spans="1:9">
      <c r="A41" s="54" t="s">
        <v>356</v>
      </c>
      <c r="B41" t="s">
        <v>467</v>
      </c>
      <c r="C41" t="s">
        <v>31</v>
      </c>
      <c r="E41" t="s">
        <v>99</v>
      </c>
      <c r="F41" t="s">
        <v>389</v>
      </c>
      <c r="G41" t="s">
        <v>21</v>
      </c>
      <c r="H41" t="s">
        <v>441</v>
      </c>
      <c r="I41" s="54" t="s">
        <v>443</v>
      </c>
    </row>
    <row r="42" spans="1:9">
      <c r="A42" s="54" t="s">
        <v>356</v>
      </c>
      <c r="B42" t="s">
        <v>467</v>
      </c>
      <c r="C42" t="s">
        <v>33</v>
      </c>
      <c r="E42" t="s">
        <v>99</v>
      </c>
      <c r="F42" t="s">
        <v>389</v>
      </c>
      <c r="G42" t="s">
        <v>21</v>
      </c>
      <c r="H42" t="s">
        <v>441</v>
      </c>
      <c r="I42" s="54" t="s">
        <v>443</v>
      </c>
    </row>
    <row r="43" spans="1:9">
      <c r="A43" s="54" t="s">
        <v>356</v>
      </c>
      <c r="B43" t="s">
        <v>467</v>
      </c>
      <c r="C43" t="s">
        <v>35</v>
      </c>
      <c r="D43">
        <v>0</v>
      </c>
      <c r="E43" t="s">
        <v>99</v>
      </c>
      <c r="F43" t="s">
        <v>389</v>
      </c>
      <c r="G43" t="s">
        <v>21</v>
      </c>
      <c r="H43" t="s">
        <v>441</v>
      </c>
      <c r="I43" s="54" t="s">
        <v>443</v>
      </c>
    </row>
    <row r="44" spans="1:9">
      <c r="A44" s="54" t="s">
        <v>356</v>
      </c>
      <c r="B44" t="s">
        <v>468</v>
      </c>
      <c r="C44" t="s">
        <v>28</v>
      </c>
      <c r="E44" t="s">
        <v>125</v>
      </c>
      <c r="F44" t="s">
        <v>389</v>
      </c>
      <c r="G44" t="s">
        <v>21</v>
      </c>
      <c r="H44" t="s">
        <v>441</v>
      </c>
      <c r="I44" s="54" t="s">
        <v>126</v>
      </c>
    </row>
    <row r="45" spans="1:9">
      <c r="A45" s="54" t="s">
        <v>356</v>
      </c>
      <c r="B45" t="s">
        <v>468</v>
      </c>
      <c r="C45" t="s">
        <v>29</v>
      </c>
      <c r="E45" t="s">
        <v>125</v>
      </c>
      <c r="F45" t="s">
        <v>389</v>
      </c>
      <c r="G45" t="s">
        <v>21</v>
      </c>
      <c r="H45" t="s">
        <v>441</v>
      </c>
      <c r="I45" s="54" t="s">
        <v>126</v>
      </c>
    </row>
    <row r="46" spans="1:9">
      <c r="A46" s="54" t="s">
        <v>356</v>
      </c>
      <c r="B46" t="s">
        <v>468</v>
      </c>
      <c r="C46" t="s">
        <v>30</v>
      </c>
      <c r="E46" t="s">
        <v>125</v>
      </c>
      <c r="F46" t="s">
        <v>389</v>
      </c>
      <c r="G46" t="s">
        <v>21</v>
      </c>
      <c r="H46" t="s">
        <v>441</v>
      </c>
      <c r="I46" s="54" t="s">
        <v>126</v>
      </c>
    </row>
    <row r="47" spans="1:9">
      <c r="A47" s="54" t="s">
        <v>356</v>
      </c>
      <c r="B47" t="s">
        <v>468</v>
      </c>
      <c r="C47" t="s">
        <v>31</v>
      </c>
      <c r="E47" t="s">
        <v>125</v>
      </c>
      <c r="F47" t="s">
        <v>389</v>
      </c>
      <c r="G47" t="s">
        <v>21</v>
      </c>
      <c r="H47" t="s">
        <v>441</v>
      </c>
      <c r="I47" s="54" t="s">
        <v>126</v>
      </c>
    </row>
    <row r="48" spans="1:9">
      <c r="A48" s="54" t="s">
        <v>356</v>
      </c>
      <c r="B48" t="s">
        <v>468</v>
      </c>
      <c r="C48" t="s">
        <v>33</v>
      </c>
      <c r="E48" t="s">
        <v>125</v>
      </c>
      <c r="F48" t="s">
        <v>389</v>
      </c>
      <c r="G48" t="s">
        <v>21</v>
      </c>
      <c r="H48" t="s">
        <v>441</v>
      </c>
      <c r="I48" s="54" t="s">
        <v>126</v>
      </c>
    </row>
    <row r="49" spans="1:9">
      <c r="A49" s="54" t="s">
        <v>356</v>
      </c>
      <c r="B49" t="s">
        <v>468</v>
      </c>
      <c r="C49" t="s">
        <v>35</v>
      </c>
      <c r="D49">
        <v>0</v>
      </c>
      <c r="E49" t="s">
        <v>125</v>
      </c>
      <c r="F49" t="s">
        <v>389</v>
      </c>
      <c r="G49" t="s">
        <v>21</v>
      </c>
      <c r="H49" t="s">
        <v>441</v>
      </c>
      <c r="I49" s="54" t="s">
        <v>126</v>
      </c>
    </row>
    <row r="50" spans="1:9">
      <c r="A50" s="54" t="s">
        <v>356</v>
      </c>
      <c r="B50" t="s">
        <v>469</v>
      </c>
      <c r="C50" t="s">
        <v>28</v>
      </c>
      <c r="E50" t="s">
        <v>127</v>
      </c>
      <c r="F50" t="s">
        <v>389</v>
      </c>
      <c r="G50" t="s">
        <v>21</v>
      </c>
      <c r="H50" t="s">
        <v>441</v>
      </c>
      <c r="I50" s="54" t="s">
        <v>128</v>
      </c>
    </row>
    <row r="51" spans="1:9">
      <c r="A51" s="54" t="s">
        <v>356</v>
      </c>
      <c r="B51" t="s">
        <v>469</v>
      </c>
      <c r="C51" t="s">
        <v>29</v>
      </c>
      <c r="E51" t="s">
        <v>127</v>
      </c>
      <c r="F51" t="s">
        <v>389</v>
      </c>
      <c r="G51" t="s">
        <v>21</v>
      </c>
      <c r="H51" t="s">
        <v>441</v>
      </c>
      <c r="I51" s="54" t="s">
        <v>128</v>
      </c>
    </row>
    <row r="52" spans="1:9">
      <c r="A52" s="54" t="s">
        <v>356</v>
      </c>
      <c r="B52" t="s">
        <v>469</v>
      </c>
      <c r="C52" t="s">
        <v>30</v>
      </c>
      <c r="E52" t="s">
        <v>127</v>
      </c>
      <c r="F52" t="s">
        <v>389</v>
      </c>
      <c r="G52" t="s">
        <v>21</v>
      </c>
      <c r="H52" t="s">
        <v>441</v>
      </c>
      <c r="I52" s="54" t="s">
        <v>128</v>
      </c>
    </row>
    <row r="53" spans="1:9">
      <c r="A53" s="54" t="s">
        <v>356</v>
      </c>
      <c r="B53" t="s">
        <v>469</v>
      </c>
      <c r="C53" t="s">
        <v>31</v>
      </c>
      <c r="E53" t="s">
        <v>127</v>
      </c>
      <c r="F53" t="s">
        <v>389</v>
      </c>
      <c r="G53" t="s">
        <v>21</v>
      </c>
      <c r="H53" t="s">
        <v>441</v>
      </c>
      <c r="I53" s="54" t="s">
        <v>128</v>
      </c>
    </row>
    <row r="54" spans="1:9">
      <c r="A54" s="54" t="s">
        <v>356</v>
      </c>
      <c r="B54" t="s">
        <v>469</v>
      </c>
      <c r="C54" t="s">
        <v>33</v>
      </c>
      <c r="E54" t="s">
        <v>127</v>
      </c>
      <c r="F54" t="s">
        <v>389</v>
      </c>
      <c r="G54" t="s">
        <v>21</v>
      </c>
      <c r="H54" t="s">
        <v>441</v>
      </c>
      <c r="I54" s="54" t="s">
        <v>128</v>
      </c>
    </row>
    <row r="55" spans="1:9">
      <c r="A55" s="54" t="s">
        <v>356</v>
      </c>
      <c r="B55" t="s">
        <v>469</v>
      </c>
      <c r="C55" t="s">
        <v>35</v>
      </c>
      <c r="D55">
        <v>0</v>
      </c>
      <c r="E55" t="s">
        <v>127</v>
      </c>
      <c r="F55" t="s">
        <v>389</v>
      </c>
      <c r="G55" t="s">
        <v>21</v>
      </c>
      <c r="H55" t="s">
        <v>441</v>
      </c>
      <c r="I55" s="54" t="s">
        <v>128</v>
      </c>
    </row>
    <row r="56" spans="1:9">
      <c r="A56" s="54" t="s">
        <v>356</v>
      </c>
      <c r="B56" t="s">
        <v>470</v>
      </c>
      <c r="C56" t="s">
        <v>28</v>
      </c>
      <c r="E56" t="s">
        <v>129</v>
      </c>
      <c r="F56" t="s">
        <v>389</v>
      </c>
      <c r="G56" t="s">
        <v>21</v>
      </c>
      <c r="H56" t="s">
        <v>441</v>
      </c>
      <c r="I56" s="54" t="s">
        <v>130</v>
      </c>
    </row>
    <row r="57" spans="1:9">
      <c r="A57" s="54" t="s">
        <v>356</v>
      </c>
      <c r="B57" t="s">
        <v>470</v>
      </c>
      <c r="C57" t="s">
        <v>29</v>
      </c>
      <c r="E57" t="s">
        <v>129</v>
      </c>
      <c r="F57" t="s">
        <v>389</v>
      </c>
      <c r="G57" t="s">
        <v>21</v>
      </c>
      <c r="H57" t="s">
        <v>441</v>
      </c>
      <c r="I57" s="54" t="s">
        <v>130</v>
      </c>
    </row>
    <row r="58" spans="1:9">
      <c r="A58" s="54" t="s">
        <v>356</v>
      </c>
      <c r="B58" t="s">
        <v>470</v>
      </c>
      <c r="C58" t="s">
        <v>30</v>
      </c>
      <c r="E58" t="s">
        <v>129</v>
      </c>
      <c r="F58" t="s">
        <v>389</v>
      </c>
      <c r="G58" t="s">
        <v>21</v>
      </c>
      <c r="H58" t="s">
        <v>441</v>
      </c>
      <c r="I58" s="54" t="s">
        <v>130</v>
      </c>
    </row>
    <row r="59" spans="1:9">
      <c r="A59" s="54" t="s">
        <v>356</v>
      </c>
      <c r="B59" t="s">
        <v>470</v>
      </c>
      <c r="C59" t="s">
        <v>31</v>
      </c>
      <c r="E59" t="s">
        <v>129</v>
      </c>
      <c r="F59" t="s">
        <v>389</v>
      </c>
      <c r="G59" t="s">
        <v>21</v>
      </c>
      <c r="H59" t="s">
        <v>441</v>
      </c>
      <c r="I59" s="54" t="s">
        <v>130</v>
      </c>
    </row>
    <row r="60" spans="1:9">
      <c r="A60" s="54" t="s">
        <v>356</v>
      </c>
      <c r="B60" t="s">
        <v>470</v>
      </c>
      <c r="C60" t="s">
        <v>33</v>
      </c>
      <c r="E60" t="s">
        <v>129</v>
      </c>
      <c r="F60" t="s">
        <v>389</v>
      </c>
      <c r="G60" t="s">
        <v>21</v>
      </c>
      <c r="H60" t="s">
        <v>441</v>
      </c>
      <c r="I60" s="54" t="s">
        <v>130</v>
      </c>
    </row>
    <row r="61" spans="1:9">
      <c r="A61" s="54" t="s">
        <v>356</v>
      </c>
      <c r="B61" t="s">
        <v>470</v>
      </c>
      <c r="C61" t="s">
        <v>35</v>
      </c>
      <c r="D61">
        <v>0</v>
      </c>
      <c r="E61" t="s">
        <v>129</v>
      </c>
      <c r="F61" t="s">
        <v>389</v>
      </c>
      <c r="G61" t="s">
        <v>21</v>
      </c>
      <c r="H61" t="s">
        <v>441</v>
      </c>
      <c r="I61" s="54" t="s">
        <v>130</v>
      </c>
    </row>
    <row r="62" spans="1:9">
      <c r="A62" s="54" t="s">
        <v>356</v>
      </c>
      <c r="B62" t="s">
        <v>471</v>
      </c>
      <c r="C62" t="s">
        <v>28</v>
      </c>
      <c r="E62" t="s">
        <v>131</v>
      </c>
      <c r="F62" t="s">
        <v>389</v>
      </c>
      <c r="G62" t="s">
        <v>21</v>
      </c>
      <c r="H62" t="s">
        <v>441</v>
      </c>
      <c r="I62" s="54" t="s">
        <v>132</v>
      </c>
    </row>
    <row r="63" spans="1:9">
      <c r="A63" s="54" t="s">
        <v>356</v>
      </c>
      <c r="B63" t="s">
        <v>471</v>
      </c>
      <c r="C63" t="s">
        <v>29</v>
      </c>
      <c r="E63" t="s">
        <v>131</v>
      </c>
      <c r="F63" t="s">
        <v>389</v>
      </c>
      <c r="G63" t="s">
        <v>21</v>
      </c>
      <c r="H63" t="s">
        <v>441</v>
      </c>
      <c r="I63" s="54" t="s">
        <v>132</v>
      </c>
    </row>
    <row r="64" spans="1:9">
      <c r="A64" s="54" t="s">
        <v>356</v>
      </c>
      <c r="B64" t="s">
        <v>471</v>
      </c>
      <c r="C64" t="s">
        <v>30</v>
      </c>
      <c r="E64" t="s">
        <v>131</v>
      </c>
      <c r="F64" t="s">
        <v>389</v>
      </c>
      <c r="G64" t="s">
        <v>21</v>
      </c>
      <c r="H64" t="s">
        <v>441</v>
      </c>
      <c r="I64" s="54" t="s">
        <v>132</v>
      </c>
    </row>
    <row r="65" spans="1:9">
      <c r="A65" s="54" t="s">
        <v>356</v>
      </c>
      <c r="B65" t="s">
        <v>471</v>
      </c>
      <c r="C65" t="s">
        <v>31</v>
      </c>
      <c r="E65" t="s">
        <v>131</v>
      </c>
      <c r="F65" t="s">
        <v>389</v>
      </c>
      <c r="G65" t="s">
        <v>21</v>
      </c>
      <c r="H65" t="s">
        <v>441</v>
      </c>
      <c r="I65" s="54" t="s">
        <v>132</v>
      </c>
    </row>
    <row r="66" spans="1:9">
      <c r="A66" s="54" t="s">
        <v>356</v>
      </c>
      <c r="B66" t="s">
        <v>471</v>
      </c>
      <c r="C66" t="s">
        <v>33</v>
      </c>
      <c r="E66" t="s">
        <v>131</v>
      </c>
      <c r="F66" t="s">
        <v>389</v>
      </c>
      <c r="G66" t="s">
        <v>21</v>
      </c>
      <c r="H66" t="s">
        <v>441</v>
      </c>
      <c r="I66" s="54" t="s">
        <v>132</v>
      </c>
    </row>
    <row r="67" spans="1:9">
      <c r="A67" s="54" t="s">
        <v>356</v>
      </c>
      <c r="B67" t="s">
        <v>471</v>
      </c>
      <c r="C67" t="s">
        <v>35</v>
      </c>
      <c r="D67">
        <v>0</v>
      </c>
      <c r="E67" t="s">
        <v>131</v>
      </c>
      <c r="F67" t="s">
        <v>389</v>
      </c>
      <c r="G67" t="s">
        <v>21</v>
      </c>
      <c r="H67" t="s">
        <v>441</v>
      </c>
      <c r="I67" s="54" t="s">
        <v>132</v>
      </c>
    </row>
    <row r="68" spans="1:9">
      <c r="A68" s="54" t="s">
        <v>356</v>
      </c>
      <c r="B68" t="s">
        <v>472</v>
      </c>
      <c r="C68" t="s">
        <v>28</v>
      </c>
      <c r="E68" t="s">
        <v>133</v>
      </c>
      <c r="F68" t="s">
        <v>389</v>
      </c>
      <c r="G68" t="s">
        <v>21</v>
      </c>
      <c r="H68" t="s">
        <v>441</v>
      </c>
      <c r="I68" s="54" t="s">
        <v>134</v>
      </c>
    </row>
    <row r="69" spans="1:9">
      <c r="A69" s="54" t="s">
        <v>356</v>
      </c>
      <c r="B69" t="s">
        <v>472</v>
      </c>
      <c r="C69" t="s">
        <v>29</v>
      </c>
      <c r="E69" t="s">
        <v>133</v>
      </c>
      <c r="F69" t="s">
        <v>389</v>
      </c>
      <c r="G69" t="s">
        <v>21</v>
      </c>
      <c r="H69" t="s">
        <v>441</v>
      </c>
      <c r="I69" s="54" t="s">
        <v>134</v>
      </c>
    </row>
    <row r="70" spans="1:9">
      <c r="A70" s="54" t="s">
        <v>356</v>
      </c>
      <c r="B70" t="s">
        <v>472</v>
      </c>
      <c r="C70" t="s">
        <v>30</v>
      </c>
      <c r="E70" t="s">
        <v>133</v>
      </c>
      <c r="F70" t="s">
        <v>389</v>
      </c>
      <c r="G70" t="s">
        <v>21</v>
      </c>
      <c r="H70" t="s">
        <v>441</v>
      </c>
      <c r="I70" s="54" t="s">
        <v>134</v>
      </c>
    </row>
    <row r="71" spans="1:9">
      <c r="A71" s="54" t="s">
        <v>356</v>
      </c>
      <c r="B71" t="s">
        <v>472</v>
      </c>
      <c r="C71" t="s">
        <v>31</v>
      </c>
      <c r="E71" t="s">
        <v>133</v>
      </c>
      <c r="F71" t="s">
        <v>389</v>
      </c>
      <c r="G71" t="s">
        <v>21</v>
      </c>
      <c r="H71" t="s">
        <v>441</v>
      </c>
      <c r="I71" s="54" t="s">
        <v>134</v>
      </c>
    </row>
    <row r="72" spans="1:9">
      <c r="A72" s="54" t="s">
        <v>356</v>
      </c>
      <c r="B72" t="s">
        <v>472</v>
      </c>
      <c r="C72" t="s">
        <v>33</v>
      </c>
      <c r="E72" t="s">
        <v>133</v>
      </c>
      <c r="F72" t="s">
        <v>389</v>
      </c>
      <c r="G72" t="s">
        <v>21</v>
      </c>
      <c r="H72" t="s">
        <v>441</v>
      </c>
      <c r="I72" s="54" t="s">
        <v>134</v>
      </c>
    </row>
    <row r="73" spans="1:9">
      <c r="A73" s="54" t="s">
        <v>356</v>
      </c>
      <c r="B73" t="s">
        <v>472</v>
      </c>
      <c r="C73" t="s">
        <v>35</v>
      </c>
      <c r="D73">
        <v>0</v>
      </c>
      <c r="E73" t="s">
        <v>133</v>
      </c>
      <c r="F73" t="s">
        <v>389</v>
      </c>
      <c r="G73" t="s">
        <v>21</v>
      </c>
      <c r="H73" t="s">
        <v>441</v>
      </c>
      <c r="I73" s="54" t="s">
        <v>134</v>
      </c>
    </row>
    <row r="74" spans="1:9">
      <c r="A74" s="54" t="s">
        <v>356</v>
      </c>
      <c r="B74" t="s">
        <v>473</v>
      </c>
      <c r="C74" t="s">
        <v>28</v>
      </c>
      <c r="E74" t="s">
        <v>135</v>
      </c>
      <c r="F74" t="s">
        <v>389</v>
      </c>
      <c r="G74" t="s">
        <v>21</v>
      </c>
      <c r="H74" t="s">
        <v>441</v>
      </c>
      <c r="I74" s="54" t="s">
        <v>450</v>
      </c>
    </row>
    <row r="75" spans="1:9">
      <c r="A75" s="54" t="s">
        <v>356</v>
      </c>
      <c r="B75" t="s">
        <v>473</v>
      </c>
      <c r="C75" t="s">
        <v>29</v>
      </c>
      <c r="E75" t="s">
        <v>135</v>
      </c>
      <c r="F75" t="s">
        <v>389</v>
      </c>
      <c r="G75" t="s">
        <v>21</v>
      </c>
      <c r="H75" t="s">
        <v>441</v>
      </c>
      <c r="I75" s="54" t="s">
        <v>450</v>
      </c>
    </row>
    <row r="76" spans="1:9">
      <c r="A76" s="54" t="s">
        <v>356</v>
      </c>
      <c r="B76" t="s">
        <v>473</v>
      </c>
      <c r="C76" t="s">
        <v>30</v>
      </c>
      <c r="E76" t="s">
        <v>135</v>
      </c>
      <c r="F76" t="s">
        <v>389</v>
      </c>
      <c r="G76" t="s">
        <v>21</v>
      </c>
      <c r="H76" t="s">
        <v>441</v>
      </c>
      <c r="I76" s="54" t="s">
        <v>450</v>
      </c>
    </row>
    <row r="77" spans="1:9">
      <c r="A77" s="54" t="s">
        <v>356</v>
      </c>
      <c r="B77" t="s">
        <v>473</v>
      </c>
      <c r="C77" t="s">
        <v>31</v>
      </c>
      <c r="E77" t="s">
        <v>135</v>
      </c>
      <c r="F77" t="s">
        <v>389</v>
      </c>
      <c r="G77" t="s">
        <v>21</v>
      </c>
      <c r="H77" t="s">
        <v>441</v>
      </c>
      <c r="I77" s="54" t="s">
        <v>450</v>
      </c>
    </row>
    <row r="78" spans="1:9">
      <c r="A78" s="54" t="s">
        <v>356</v>
      </c>
      <c r="B78" t="s">
        <v>473</v>
      </c>
      <c r="C78" t="s">
        <v>33</v>
      </c>
      <c r="E78" t="s">
        <v>135</v>
      </c>
      <c r="F78" t="s">
        <v>389</v>
      </c>
      <c r="G78" t="s">
        <v>21</v>
      </c>
      <c r="H78" t="s">
        <v>441</v>
      </c>
      <c r="I78" s="54" t="s">
        <v>450</v>
      </c>
    </row>
    <row r="79" spans="1:9">
      <c r="A79" s="54" t="s">
        <v>356</v>
      </c>
      <c r="B79" t="s">
        <v>473</v>
      </c>
      <c r="C79" t="s">
        <v>35</v>
      </c>
      <c r="D79">
        <v>0</v>
      </c>
      <c r="E79" t="s">
        <v>135</v>
      </c>
      <c r="F79" t="s">
        <v>389</v>
      </c>
      <c r="G79" t="s">
        <v>21</v>
      </c>
      <c r="H79" t="s">
        <v>441</v>
      </c>
      <c r="I79" s="54" t="s">
        <v>450</v>
      </c>
    </row>
    <row r="80" spans="1:9">
      <c r="A80" s="54" t="s">
        <v>356</v>
      </c>
      <c r="B80" t="s">
        <v>474</v>
      </c>
      <c r="C80" t="s">
        <v>28</v>
      </c>
      <c r="D80">
        <v>10</v>
      </c>
      <c r="E80" t="s">
        <v>137</v>
      </c>
      <c r="F80" t="s">
        <v>389</v>
      </c>
      <c r="G80" t="s">
        <v>21</v>
      </c>
      <c r="H80" t="s">
        <v>441</v>
      </c>
      <c r="I80" s="54" t="s">
        <v>452</v>
      </c>
    </row>
    <row r="81" spans="1:9">
      <c r="A81" s="54" t="s">
        <v>356</v>
      </c>
      <c r="B81" t="s">
        <v>474</v>
      </c>
      <c r="C81" t="s">
        <v>29</v>
      </c>
      <c r="D81">
        <v>20</v>
      </c>
      <c r="E81" t="s">
        <v>137</v>
      </c>
      <c r="F81" t="s">
        <v>389</v>
      </c>
      <c r="G81" t="s">
        <v>21</v>
      </c>
      <c r="H81" t="s">
        <v>441</v>
      </c>
      <c r="I81" s="54" t="s">
        <v>452</v>
      </c>
    </row>
    <row r="82" spans="1:9">
      <c r="A82" s="54" t="s">
        <v>356</v>
      </c>
      <c r="B82" t="s">
        <v>474</v>
      </c>
      <c r="C82" t="s">
        <v>30</v>
      </c>
      <c r="E82" t="s">
        <v>137</v>
      </c>
      <c r="F82" t="s">
        <v>389</v>
      </c>
      <c r="G82" t="s">
        <v>21</v>
      </c>
      <c r="H82" t="s">
        <v>441</v>
      </c>
      <c r="I82" s="54" t="s">
        <v>452</v>
      </c>
    </row>
    <row r="83" spans="1:9">
      <c r="A83" s="54" t="s">
        <v>356</v>
      </c>
      <c r="B83" t="s">
        <v>474</v>
      </c>
      <c r="C83" t="s">
        <v>31</v>
      </c>
      <c r="D83">
        <v>10</v>
      </c>
      <c r="E83" t="s">
        <v>137</v>
      </c>
      <c r="F83" t="s">
        <v>389</v>
      </c>
      <c r="G83" t="s">
        <v>21</v>
      </c>
      <c r="H83" t="s">
        <v>441</v>
      </c>
      <c r="I83" s="54" t="s">
        <v>452</v>
      </c>
    </row>
    <row r="84" spans="1:9">
      <c r="A84" s="54" t="s">
        <v>356</v>
      </c>
      <c r="B84" t="s">
        <v>474</v>
      </c>
      <c r="C84" t="s">
        <v>33</v>
      </c>
      <c r="E84" t="s">
        <v>137</v>
      </c>
      <c r="F84" t="s">
        <v>389</v>
      </c>
      <c r="G84" t="s">
        <v>21</v>
      </c>
      <c r="H84" t="s">
        <v>441</v>
      </c>
      <c r="I84" s="54" t="s">
        <v>452</v>
      </c>
    </row>
    <row r="85" spans="1:9">
      <c r="A85" s="54" t="s">
        <v>356</v>
      </c>
      <c r="B85" t="s">
        <v>474</v>
      </c>
      <c r="C85" t="s">
        <v>35</v>
      </c>
      <c r="D85">
        <v>40</v>
      </c>
      <c r="E85" t="s">
        <v>137</v>
      </c>
      <c r="F85" t="s">
        <v>389</v>
      </c>
      <c r="G85" t="s">
        <v>21</v>
      </c>
      <c r="H85" t="s">
        <v>441</v>
      </c>
      <c r="I85" s="54" t="s">
        <v>452</v>
      </c>
    </row>
    <row r="86" spans="1:9">
      <c r="A86" s="54" t="s">
        <v>356</v>
      </c>
      <c r="B86" t="s">
        <v>475</v>
      </c>
      <c r="C86" t="s">
        <v>28</v>
      </c>
      <c r="E86" t="s">
        <v>163</v>
      </c>
      <c r="F86" t="s">
        <v>389</v>
      </c>
      <c r="G86" t="s">
        <v>21</v>
      </c>
      <c r="H86" t="s">
        <v>441</v>
      </c>
      <c r="I86" s="54" t="s">
        <v>454</v>
      </c>
    </row>
    <row r="87" spans="1:9">
      <c r="A87" s="54" t="s">
        <v>356</v>
      </c>
      <c r="B87" t="s">
        <v>475</v>
      </c>
      <c r="C87" t="s">
        <v>29</v>
      </c>
      <c r="E87" t="s">
        <v>163</v>
      </c>
      <c r="F87" t="s">
        <v>389</v>
      </c>
      <c r="G87" t="s">
        <v>21</v>
      </c>
      <c r="H87" t="s">
        <v>441</v>
      </c>
      <c r="I87" s="54" t="s">
        <v>454</v>
      </c>
    </row>
    <row r="88" spans="1:9">
      <c r="A88" s="54" t="s">
        <v>356</v>
      </c>
      <c r="B88" t="s">
        <v>475</v>
      </c>
      <c r="C88" t="s">
        <v>30</v>
      </c>
      <c r="E88" t="s">
        <v>163</v>
      </c>
      <c r="F88" t="s">
        <v>389</v>
      </c>
      <c r="G88" t="s">
        <v>21</v>
      </c>
      <c r="H88" t="s">
        <v>441</v>
      </c>
      <c r="I88" s="54" t="s">
        <v>454</v>
      </c>
    </row>
    <row r="89" spans="1:9">
      <c r="A89" s="54" t="s">
        <v>356</v>
      </c>
      <c r="B89" t="s">
        <v>475</v>
      </c>
      <c r="C89" t="s">
        <v>31</v>
      </c>
      <c r="E89" t="s">
        <v>163</v>
      </c>
      <c r="F89" t="s">
        <v>389</v>
      </c>
      <c r="G89" t="s">
        <v>21</v>
      </c>
      <c r="H89" t="s">
        <v>441</v>
      </c>
      <c r="I89" s="54" t="s">
        <v>454</v>
      </c>
    </row>
    <row r="90" spans="1:9">
      <c r="A90" s="54" t="s">
        <v>356</v>
      </c>
      <c r="B90" t="s">
        <v>475</v>
      </c>
      <c r="C90" t="s">
        <v>33</v>
      </c>
      <c r="E90" t="s">
        <v>163</v>
      </c>
      <c r="F90" t="s">
        <v>389</v>
      </c>
      <c r="G90" t="s">
        <v>21</v>
      </c>
      <c r="H90" t="s">
        <v>441</v>
      </c>
      <c r="I90" s="54" t="s">
        <v>454</v>
      </c>
    </row>
    <row r="91" spans="1:9">
      <c r="A91" s="54" t="s">
        <v>356</v>
      </c>
      <c r="B91" t="s">
        <v>475</v>
      </c>
      <c r="C91" t="s">
        <v>35</v>
      </c>
      <c r="D91">
        <v>0</v>
      </c>
      <c r="E91" t="s">
        <v>163</v>
      </c>
      <c r="F91" t="s">
        <v>389</v>
      </c>
      <c r="G91" t="s">
        <v>21</v>
      </c>
      <c r="H91" t="s">
        <v>441</v>
      </c>
      <c r="I91" s="54" t="s">
        <v>454</v>
      </c>
    </row>
    <row r="92" spans="1:9">
      <c r="A92" s="54" t="s">
        <v>356</v>
      </c>
      <c r="B92" t="s">
        <v>357</v>
      </c>
      <c r="C92" t="s">
        <v>28</v>
      </c>
      <c r="D92">
        <v>20</v>
      </c>
      <c r="E92" t="s">
        <v>165</v>
      </c>
      <c r="F92" t="s">
        <v>389</v>
      </c>
      <c r="G92" t="s">
        <v>21</v>
      </c>
      <c r="H92" t="s">
        <v>441</v>
      </c>
      <c r="I92" s="54" t="s">
        <v>167</v>
      </c>
    </row>
    <row r="93" spans="1:9">
      <c r="A93" s="54" t="s">
        <v>356</v>
      </c>
      <c r="B93" t="s">
        <v>357</v>
      </c>
      <c r="C93" t="s">
        <v>29</v>
      </c>
      <c r="D93">
        <v>2</v>
      </c>
      <c r="E93" t="s">
        <v>165</v>
      </c>
      <c r="F93" t="s">
        <v>389</v>
      </c>
      <c r="G93" t="s">
        <v>21</v>
      </c>
      <c r="H93" t="s">
        <v>441</v>
      </c>
      <c r="I93" s="54" t="s">
        <v>167</v>
      </c>
    </row>
    <row r="94" spans="1:9">
      <c r="A94" s="54" t="s">
        <v>356</v>
      </c>
      <c r="B94" t="s">
        <v>357</v>
      </c>
      <c r="C94" t="s">
        <v>30</v>
      </c>
      <c r="D94">
        <v>8</v>
      </c>
      <c r="E94" t="s">
        <v>165</v>
      </c>
      <c r="F94" t="s">
        <v>389</v>
      </c>
      <c r="G94" t="s">
        <v>21</v>
      </c>
      <c r="H94" t="s">
        <v>441</v>
      </c>
      <c r="I94" s="54" t="s">
        <v>167</v>
      </c>
    </row>
    <row r="95" spans="1:9">
      <c r="A95" s="54" t="s">
        <v>356</v>
      </c>
      <c r="B95" t="s">
        <v>357</v>
      </c>
      <c r="C95" t="s">
        <v>31</v>
      </c>
      <c r="D95">
        <v>10</v>
      </c>
      <c r="E95" t="s">
        <v>165</v>
      </c>
      <c r="F95" t="s">
        <v>389</v>
      </c>
      <c r="G95" t="s">
        <v>21</v>
      </c>
      <c r="H95" t="s">
        <v>441</v>
      </c>
      <c r="I95" s="54" t="s">
        <v>167</v>
      </c>
    </row>
    <row r="96" spans="1:9">
      <c r="A96" s="54" t="s">
        <v>356</v>
      </c>
      <c r="B96" t="s">
        <v>357</v>
      </c>
      <c r="C96" t="s">
        <v>33</v>
      </c>
      <c r="E96" t="s">
        <v>165</v>
      </c>
      <c r="F96" t="s">
        <v>389</v>
      </c>
      <c r="G96" t="s">
        <v>21</v>
      </c>
      <c r="H96" t="s">
        <v>441</v>
      </c>
      <c r="I96" s="54" t="s">
        <v>167</v>
      </c>
    </row>
    <row r="97" spans="1:9">
      <c r="A97" s="54" t="s">
        <v>356</v>
      </c>
      <c r="B97" t="s">
        <v>357</v>
      </c>
      <c r="C97" t="s">
        <v>35</v>
      </c>
      <c r="D97">
        <v>40</v>
      </c>
      <c r="E97" t="s">
        <v>165</v>
      </c>
      <c r="F97" t="s">
        <v>389</v>
      </c>
      <c r="G97" t="s">
        <v>21</v>
      </c>
      <c r="H97" t="s">
        <v>441</v>
      </c>
      <c r="I97" s="54" t="s">
        <v>167</v>
      </c>
    </row>
    <row r="98" spans="1:9">
      <c r="A98" s="54" t="s">
        <v>358</v>
      </c>
      <c r="B98" t="s">
        <v>359</v>
      </c>
      <c r="C98" t="s">
        <v>28</v>
      </c>
      <c r="D98">
        <v>22</v>
      </c>
      <c r="E98" t="s">
        <v>338</v>
      </c>
      <c r="F98" t="s">
        <v>389</v>
      </c>
      <c r="G98" t="s">
        <v>21</v>
      </c>
      <c r="H98" t="s">
        <v>441</v>
      </c>
      <c r="I98" s="54" t="s">
        <v>339</v>
      </c>
    </row>
    <row r="99" spans="1:9">
      <c r="A99" s="54" t="s">
        <v>358</v>
      </c>
      <c r="B99" t="s">
        <v>359</v>
      </c>
      <c r="C99" t="s">
        <v>29</v>
      </c>
      <c r="E99" t="s">
        <v>338</v>
      </c>
      <c r="F99" t="s">
        <v>389</v>
      </c>
      <c r="G99" t="s">
        <v>21</v>
      </c>
      <c r="H99" t="s">
        <v>441</v>
      </c>
      <c r="I99" s="54" t="s">
        <v>339</v>
      </c>
    </row>
    <row r="100" spans="1:9">
      <c r="A100" s="54" t="s">
        <v>358</v>
      </c>
      <c r="B100" t="s">
        <v>359</v>
      </c>
      <c r="C100" t="s">
        <v>30</v>
      </c>
      <c r="E100" t="s">
        <v>338</v>
      </c>
      <c r="F100" t="s">
        <v>389</v>
      </c>
      <c r="G100" t="s">
        <v>21</v>
      </c>
      <c r="H100" t="s">
        <v>441</v>
      </c>
      <c r="I100" s="54" t="s">
        <v>339</v>
      </c>
    </row>
    <row r="101" spans="1:9">
      <c r="A101" s="54" t="s">
        <v>358</v>
      </c>
      <c r="B101" t="s">
        <v>359</v>
      </c>
      <c r="C101" t="s">
        <v>31</v>
      </c>
      <c r="E101" t="s">
        <v>338</v>
      </c>
      <c r="F101" t="s">
        <v>389</v>
      </c>
      <c r="G101" t="s">
        <v>21</v>
      </c>
      <c r="H101" t="s">
        <v>441</v>
      </c>
      <c r="I101" s="54" t="s">
        <v>339</v>
      </c>
    </row>
    <row r="102" spans="1:9">
      <c r="A102" s="54" t="s">
        <v>358</v>
      </c>
      <c r="B102" t="s">
        <v>359</v>
      </c>
      <c r="C102" t="s">
        <v>33</v>
      </c>
      <c r="D102">
        <v>22</v>
      </c>
      <c r="E102" t="s">
        <v>338</v>
      </c>
      <c r="F102" t="s">
        <v>389</v>
      </c>
      <c r="G102" t="s">
        <v>21</v>
      </c>
      <c r="H102" t="s">
        <v>441</v>
      </c>
      <c r="I102" s="54" t="s">
        <v>339</v>
      </c>
    </row>
    <row r="103" spans="1:9">
      <c r="A103" s="54" t="s">
        <v>358</v>
      </c>
      <c r="B103" t="s">
        <v>359</v>
      </c>
      <c r="C103" t="s">
        <v>35</v>
      </c>
      <c r="D103">
        <v>44</v>
      </c>
      <c r="E103" t="s">
        <v>338</v>
      </c>
      <c r="F103" t="s">
        <v>389</v>
      </c>
      <c r="G103" t="s">
        <v>21</v>
      </c>
      <c r="H103" t="s">
        <v>441</v>
      </c>
      <c r="I103" s="54" t="s">
        <v>339</v>
      </c>
    </row>
    <row r="104" spans="1:9">
      <c r="A104" s="54" t="s">
        <v>358</v>
      </c>
      <c r="B104" t="s">
        <v>360</v>
      </c>
      <c r="C104" t="s">
        <v>28</v>
      </c>
      <c r="D104">
        <v>38</v>
      </c>
      <c r="E104" t="s">
        <v>343</v>
      </c>
      <c r="F104" t="s">
        <v>389</v>
      </c>
      <c r="G104" t="s">
        <v>21</v>
      </c>
      <c r="H104" t="s">
        <v>441</v>
      </c>
      <c r="I104" s="54" t="s">
        <v>344</v>
      </c>
    </row>
    <row r="105" spans="1:9">
      <c r="A105" s="54" t="s">
        <v>358</v>
      </c>
      <c r="B105" t="s">
        <v>360</v>
      </c>
      <c r="C105" t="s">
        <v>29</v>
      </c>
      <c r="D105">
        <v>6</v>
      </c>
      <c r="E105" t="s">
        <v>343</v>
      </c>
      <c r="F105" t="s">
        <v>389</v>
      </c>
      <c r="G105" t="s">
        <v>21</v>
      </c>
      <c r="H105" t="s">
        <v>441</v>
      </c>
      <c r="I105" s="54" t="s">
        <v>344</v>
      </c>
    </row>
    <row r="106" spans="1:9">
      <c r="A106" s="54" t="s">
        <v>358</v>
      </c>
      <c r="B106" t="s">
        <v>360</v>
      </c>
      <c r="C106" t="s">
        <v>30</v>
      </c>
      <c r="D106">
        <v>0</v>
      </c>
      <c r="E106" t="s">
        <v>343</v>
      </c>
      <c r="F106" t="s">
        <v>389</v>
      </c>
      <c r="G106" t="s">
        <v>21</v>
      </c>
      <c r="H106" t="s">
        <v>441</v>
      </c>
      <c r="I106" s="54" t="s">
        <v>344</v>
      </c>
    </row>
    <row r="107" spans="1:9">
      <c r="A107" s="54" t="s">
        <v>358</v>
      </c>
      <c r="B107" t="s">
        <v>360</v>
      </c>
      <c r="C107" t="s">
        <v>31</v>
      </c>
      <c r="D107">
        <v>0</v>
      </c>
      <c r="E107" t="s">
        <v>343</v>
      </c>
      <c r="F107" t="s">
        <v>389</v>
      </c>
      <c r="G107" t="s">
        <v>21</v>
      </c>
      <c r="H107" t="s">
        <v>441</v>
      </c>
      <c r="I107" s="54" t="s">
        <v>344</v>
      </c>
    </row>
    <row r="108" spans="1:9">
      <c r="A108" s="54" t="s">
        <v>358</v>
      </c>
      <c r="B108" t="s">
        <v>360</v>
      </c>
      <c r="C108" t="s">
        <v>33</v>
      </c>
      <c r="D108">
        <v>0</v>
      </c>
      <c r="E108" t="s">
        <v>343</v>
      </c>
      <c r="F108" t="s">
        <v>389</v>
      </c>
      <c r="G108" t="s">
        <v>21</v>
      </c>
      <c r="H108" t="s">
        <v>441</v>
      </c>
      <c r="I108" s="54" t="s">
        <v>344</v>
      </c>
    </row>
    <row r="109" spans="1:9">
      <c r="A109" s="54" t="s">
        <v>358</v>
      </c>
      <c r="B109" t="s">
        <v>360</v>
      </c>
      <c r="C109" t="s">
        <v>35</v>
      </c>
      <c r="D109">
        <v>44</v>
      </c>
      <c r="E109" t="s">
        <v>343</v>
      </c>
      <c r="F109" t="s">
        <v>389</v>
      </c>
      <c r="G109" t="s">
        <v>21</v>
      </c>
      <c r="H109" t="s">
        <v>441</v>
      </c>
      <c r="I109" s="54" t="s">
        <v>344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71DBD-013D-419A-ADD6-0FF09D50A2FD}">
  <dimension ref="A1:M25"/>
  <sheetViews>
    <sheetView workbookViewId="0"/>
  </sheetViews>
  <sheetFormatPr defaultRowHeight="1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6" bestFit="1" customWidth="1"/>
    <col min="9" max="9" width="14.85546875" bestFit="1" customWidth="1"/>
    <col min="10" max="10" width="12.7109375" bestFit="1" customWidth="1"/>
    <col min="11" max="11" width="14.42578125" bestFit="1" customWidth="1"/>
    <col min="12" max="12" width="12.140625" bestFit="1" customWidth="1"/>
    <col min="13" max="13" width="53" bestFit="1" customWidth="1"/>
  </cols>
  <sheetData>
    <row r="1" spans="1:13">
      <c r="A1" t="s">
        <v>351</v>
      </c>
      <c r="B1" t="s">
        <v>353</v>
      </c>
      <c r="C1" t="s">
        <v>50</v>
      </c>
      <c r="D1" t="s">
        <v>51</v>
      </c>
      <c r="E1" t="s">
        <v>52</v>
      </c>
      <c r="F1" t="s">
        <v>53</v>
      </c>
      <c r="G1" t="s">
        <v>54</v>
      </c>
      <c r="H1" t="s">
        <v>55</v>
      </c>
      <c r="I1" t="s">
        <v>332</v>
      </c>
      <c r="J1" t="s">
        <v>378</v>
      </c>
      <c r="K1" t="s">
        <v>352</v>
      </c>
      <c r="L1" t="s">
        <v>354</v>
      </c>
      <c r="M1" t="s">
        <v>333</v>
      </c>
    </row>
    <row r="2" spans="1:13">
      <c r="A2" s="54" t="s">
        <v>356</v>
      </c>
      <c r="B2" t="s">
        <v>391</v>
      </c>
      <c r="C2" t="s">
        <v>56</v>
      </c>
      <c r="D2" t="s">
        <v>57</v>
      </c>
      <c r="F2" t="s">
        <v>58</v>
      </c>
      <c r="G2">
        <v>1</v>
      </c>
      <c r="H2">
        <v>12</v>
      </c>
      <c r="I2" t="s">
        <v>5</v>
      </c>
      <c r="J2" t="s">
        <v>390</v>
      </c>
      <c r="K2" t="s">
        <v>21</v>
      </c>
      <c r="L2" t="s">
        <v>441</v>
      </c>
      <c r="M2" s="54" t="s">
        <v>8</v>
      </c>
    </row>
    <row r="3" spans="1:13">
      <c r="A3" s="54" t="s">
        <v>361</v>
      </c>
      <c r="B3" t="s">
        <v>393</v>
      </c>
      <c r="C3" t="s">
        <v>56</v>
      </c>
      <c r="D3" t="s">
        <v>57</v>
      </c>
      <c r="E3" t="s">
        <v>232</v>
      </c>
      <c r="F3" t="s">
        <v>392</v>
      </c>
      <c r="G3">
        <v>0.5</v>
      </c>
      <c r="H3">
        <v>6</v>
      </c>
      <c r="I3" t="s">
        <v>336</v>
      </c>
      <c r="J3" t="s">
        <v>390</v>
      </c>
      <c r="K3" t="s">
        <v>21</v>
      </c>
      <c r="L3" t="s">
        <v>441</v>
      </c>
      <c r="M3" s="54" t="s">
        <v>330</v>
      </c>
    </row>
    <row r="4" spans="1:13">
      <c r="A4" s="54" t="s">
        <v>361</v>
      </c>
      <c r="B4" t="s">
        <v>393</v>
      </c>
      <c r="C4" t="s">
        <v>59</v>
      </c>
      <c r="D4" t="s">
        <v>229</v>
      </c>
      <c r="E4" t="s">
        <v>267</v>
      </c>
      <c r="F4" t="s">
        <v>394</v>
      </c>
      <c r="G4">
        <v>0.5</v>
      </c>
      <c r="H4">
        <v>12</v>
      </c>
      <c r="I4" t="s">
        <v>336</v>
      </c>
      <c r="J4" t="s">
        <v>390</v>
      </c>
      <c r="K4" t="s">
        <v>21</v>
      </c>
      <c r="L4" t="s">
        <v>441</v>
      </c>
      <c r="M4" s="54" t="s">
        <v>330</v>
      </c>
    </row>
    <row r="5" spans="1:13">
      <c r="A5" s="54" t="s">
        <v>361</v>
      </c>
      <c r="B5" t="s">
        <v>396</v>
      </c>
      <c r="C5" t="s">
        <v>56</v>
      </c>
      <c r="D5" t="s">
        <v>229</v>
      </c>
      <c r="E5" t="s">
        <v>263</v>
      </c>
      <c r="F5" t="s">
        <v>395</v>
      </c>
      <c r="G5">
        <v>0.35</v>
      </c>
      <c r="H5">
        <v>6</v>
      </c>
      <c r="I5" t="s">
        <v>341</v>
      </c>
      <c r="J5" t="s">
        <v>390</v>
      </c>
      <c r="K5" t="s">
        <v>21</v>
      </c>
      <c r="L5" t="s">
        <v>441</v>
      </c>
      <c r="M5" s="54" t="s">
        <v>331</v>
      </c>
    </row>
    <row r="6" spans="1:13">
      <c r="A6" s="54" t="s">
        <v>361</v>
      </c>
      <c r="B6" t="s">
        <v>396</v>
      </c>
      <c r="C6" t="s">
        <v>59</v>
      </c>
      <c r="D6" t="s">
        <v>101</v>
      </c>
      <c r="E6" t="s">
        <v>252</v>
      </c>
      <c r="F6" t="s">
        <v>397</v>
      </c>
      <c r="G6">
        <v>0.65</v>
      </c>
      <c r="H6">
        <v>13</v>
      </c>
      <c r="I6" t="s">
        <v>341</v>
      </c>
      <c r="J6" t="s">
        <v>390</v>
      </c>
      <c r="K6" t="s">
        <v>21</v>
      </c>
      <c r="L6" t="s">
        <v>441</v>
      </c>
      <c r="M6" s="54" t="s">
        <v>331</v>
      </c>
    </row>
    <row r="7" spans="1:13">
      <c r="A7" s="54" t="s">
        <v>361</v>
      </c>
      <c r="B7" t="s">
        <v>399</v>
      </c>
      <c r="C7" t="s">
        <v>56</v>
      </c>
      <c r="D7" t="s">
        <v>101</v>
      </c>
      <c r="E7" t="s">
        <v>244</v>
      </c>
      <c r="F7" t="s">
        <v>398</v>
      </c>
      <c r="G7">
        <v>0.5</v>
      </c>
      <c r="H7">
        <v>6</v>
      </c>
      <c r="I7" t="s">
        <v>348</v>
      </c>
      <c r="J7" t="s">
        <v>390</v>
      </c>
      <c r="K7" t="s">
        <v>21</v>
      </c>
      <c r="L7" t="s">
        <v>441</v>
      </c>
      <c r="M7" s="54" t="s">
        <v>349</v>
      </c>
    </row>
    <row r="8" spans="1:13">
      <c r="A8" s="54" t="s">
        <v>361</v>
      </c>
      <c r="B8" t="s">
        <v>399</v>
      </c>
      <c r="C8" t="s">
        <v>59</v>
      </c>
      <c r="D8" t="s">
        <v>57</v>
      </c>
      <c r="E8" t="s">
        <v>234</v>
      </c>
      <c r="F8" t="s">
        <v>400</v>
      </c>
      <c r="G8">
        <v>0.5</v>
      </c>
      <c r="H8">
        <v>12</v>
      </c>
      <c r="I8" t="s">
        <v>348</v>
      </c>
      <c r="J8" t="s">
        <v>390</v>
      </c>
      <c r="K8" t="s">
        <v>21</v>
      </c>
      <c r="L8" t="s">
        <v>441</v>
      </c>
      <c r="M8" s="54" t="s">
        <v>349</v>
      </c>
    </row>
    <row r="9" spans="1:13">
      <c r="A9" s="54" t="s">
        <v>361</v>
      </c>
      <c r="B9" t="s">
        <v>402</v>
      </c>
      <c r="C9" t="s">
        <v>56</v>
      </c>
      <c r="D9" t="s">
        <v>146</v>
      </c>
      <c r="E9" t="s">
        <v>237</v>
      </c>
      <c r="F9" t="s">
        <v>401</v>
      </c>
      <c r="G9">
        <v>0.6</v>
      </c>
      <c r="H9">
        <v>28</v>
      </c>
      <c r="I9" t="s">
        <v>346</v>
      </c>
      <c r="J9" t="s">
        <v>390</v>
      </c>
      <c r="K9" t="s">
        <v>21</v>
      </c>
      <c r="L9" t="s">
        <v>441</v>
      </c>
      <c r="M9" s="54" t="s">
        <v>347</v>
      </c>
    </row>
    <row r="10" spans="1:13">
      <c r="A10" s="54" t="s">
        <v>361</v>
      </c>
      <c r="B10" t="s">
        <v>402</v>
      </c>
      <c r="C10" t="s">
        <v>59</v>
      </c>
      <c r="D10" t="s">
        <v>101</v>
      </c>
      <c r="E10" t="s">
        <v>244</v>
      </c>
      <c r="F10" t="s">
        <v>403</v>
      </c>
      <c r="G10">
        <v>0.4</v>
      </c>
      <c r="H10">
        <v>28</v>
      </c>
      <c r="I10" t="s">
        <v>346</v>
      </c>
      <c r="J10" t="s">
        <v>390</v>
      </c>
      <c r="K10" t="s">
        <v>21</v>
      </c>
      <c r="L10" t="s">
        <v>441</v>
      </c>
      <c r="M10" s="54" t="s">
        <v>347</v>
      </c>
    </row>
    <row r="11" spans="1:13">
      <c r="A11" s="54" t="s">
        <v>356</v>
      </c>
      <c r="B11" t="s">
        <v>458</v>
      </c>
      <c r="C11" t="s">
        <v>56</v>
      </c>
      <c r="D11" t="s">
        <v>101</v>
      </c>
      <c r="E11" t="s">
        <v>102</v>
      </c>
      <c r="F11" t="s">
        <v>103</v>
      </c>
      <c r="G11">
        <v>0.5</v>
      </c>
      <c r="H11">
        <v>6</v>
      </c>
      <c r="I11" t="s">
        <v>99</v>
      </c>
      <c r="J11" t="s">
        <v>390</v>
      </c>
      <c r="K11" t="s">
        <v>21</v>
      </c>
      <c r="L11" t="s">
        <v>441</v>
      </c>
      <c r="M11" s="54" t="s">
        <v>443</v>
      </c>
    </row>
    <row r="12" spans="1:13">
      <c r="A12" s="54" t="s">
        <v>356</v>
      </c>
      <c r="B12" t="s">
        <v>459</v>
      </c>
      <c r="C12" t="s">
        <v>56</v>
      </c>
      <c r="D12" t="s">
        <v>101</v>
      </c>
      <c r="E12" t="s">
        <v>102</v>
      </c>
      <c r="F12" t="s">
        <v>103</v>
      </c>
      <c r="G12">
        <v>0.5</v>
      </c>
      <c r="H12">
        <v>6</v>
      </c>
      <c r="I12" t="s">
        <v>125</v>
      </c>
      <c r="J12" t="s">
        <v>390</v>
      </c>
      <c r="K12" t="s">
        <v>21</v>
      </c>
      <c r="L12" t="s">
        <v>441</v>
      </c>
      <c r="M12" s="54" t="s">
        <v>126</v>
      </c>
    </row>
    <row r="13" spans="1:13">
      <c r="A13" s="54" t="s">
        <v>356</v>
      </c>
      <c r="B13" t="s">
        <v>460</v>
      </c>
      <c r="C13" t="s">
        <v>56</v>
      </c>
      <c r="D13" t="s">
        <v>101</v>
      </c>
      <c r="E13" t="s">
        <v>102</v>
      </c>
      <c r="F13" t="s">
        <v>103</v>
      </c>
      <c r="G13">
        <v>0.5</v>
      </c>
      <c r="H13">
        <v>6</v>
      </c>
      <c r="I13" t="s">
        <v>127</v>
      </c>
      <c r="J13" t="s">
        <v>390</v>
      </c>
      <c r="K13" t="s">
        <v>21</v>
      </c>
      <c r="L13" t="s">
        <v>441</v>
      </c>
      <c r="M13" s="54" t="s">
        <v>128</v>
      </c>
    </row>
    <row r="14" spans="1:13">
      <c r="A14" s="54" t="s">
        <v>356</v>
      </c>
      <c r="B14" t="s">
        <v>461</v>
      </c>
      <c r="C14" t="s">
        <v>56</v>
      </c>
      <c r="D14" t="s">
        <v>101</v>
      </c>
      <c r="E14" t="s">
        <v>102</v>
      </c>
      <c r="F14" t="s">
        <v>103</v>
      </c>
      <c r="G14">
        <v>0.5</v>
      </c>
      <c r="H14">
        <v>6</v>
      </c>
      <c r="I14" t="s">
        <v>129</v>
      </c>
      <c r="J14" t="s">
        <v>390</v>
      </c>
      <c r="K14" t="s">
        <v>21</v>
      </c>
      <c r="L14" t="s">
        <v>441</v>
      </c>
      <c r="M14" s="54" t="s">
        <v>130</v>
      </c>
    </row>
    <row r="15" spans="1:13">
      <c r="A15" s="54" t="s">
        <v>356</v>
      </c>
      <c r="B15" t="s">
        <v>462</v>
      </c>
      <c r="C15" t="s">
        <v>56</v>
      </c>
      <c r="D15" t="s">
        <v>101</v>
      </c>
      <c r="E15" t="s">
        <v>102</v>
      </c>
      <c r="F15" t="s">
        <v>103</v>
      </c>
      <c r="G15">
        <v>0.5</v>
      </c>
      <c r="H15">
        <v>6</v>
      </c>
      <c r="I15" t="s">
        <v>131</v>
      </c>
      <c r="J15" t="s">
        <v>390</v>
      </c>
      <c r="K15" t="s">
        <v>21</v>
      </c>
      <c r="L15" t="s">
        <v>441</v>
      </c>
      <c r="M15" s="54" t="s">
        <v>132</v>
      </c>
    </row>
    <row r="16" spans="1:13">
      <c r="A16" s="54" t="s">
        <v>356</v>
      </c>
      <c r="B16" t="s">
        <v>463</v>
      </c>
      <c r="C16" t="s">
        <v>56</v>
      </c>
      <c r="D16" t="s">
        <v>101</v>
      </c>
      <c r="E16" t="s">
        <v>102</v>
      </c>
      <c r="F16" t="s">
        <v>103</v>
      </c>
      <c r="G16">
        <v>0.5</v>
      </c>
      <c r="H16">
        <v>6</v>
      </c>
      <c r="I16" t="s">
        <v>133</v>
      </c>
      <c r="J16" t="s">
        <v>390</v>
      </c>
      <c r="K16" t="s">
        <v>21</v>
      </c>
      <c r="L16" t="s">
        <v>441</v>
      </c>
      <c r="M16" s="54" t="s">
        <v>134</v>
      </c>
    </row>
    <row r="17" spans="1:13">
      <c r="A17" s="54" t="s">
        <v>356</v>
      </c>
      <c r="B17" t="s">
        <v>464</v>
      </c>
      <c r="C17" t="s">
        <v>56</v>
      </c>
      <c r="D17" t="s">
        <v>101</v>
      </c>
      <c r="E17" t="s">
        <v>102</v>
      </c>
      <c r="F17" t="s">
        <v>103</v>
      </c>
      <c r="G17">
        <v>0.5</v>
      </c>
      <c r="H17">
        <v>6</v>
      </c>
      <c r="I17" t="s">
        <v>135</v>
      </c>
      <c r="J17" t="s">
        <v>390</v>
      </c>
      <c r="K17" t="s">
        <v>21</v>
      </c>
      <c r="L17" t="s">
        <v>441</v>
      </c>
      <c r="M17" s="54" t="s">
        <v>450</v>
      </c>
    </row>
    <row r="18" spans="1:13">
      <c r="A18" s="54" t="s">
        <v>356</v>
      </c>
      <c r="B18" t="s">
        <v>465</v>
      </c>
      <c r="C18" t="s">
        <v>56</v>
      </c>
      <c r="D18" t="s">
        <v>146</v>
      </c>
      <c r="E18" t="s">
        <v>102</v>
      </c>
      <c r="F18" t="s">
        <v>147</v>
      </c>
      <c r="G18">
        <v>1</v>
      </c>
      <c r="H18">
        <v>12</v>
      </c>
      <c r="I18" t="s">
        <v>137</v>
      </c>
      <c r="J18" t="s">
        <v>390</v>
      </c>
      <c r="K18" t="s">
        <v>21</v>
      </c>
      <c r="L18" t="s">
        <v>441</v>
      </c>
      <c r="M18" s="54" t="s">
        <v>452</v>
      </c>
    </row>
    <row r="19" spans="1:13">
      <c r="A19" s="54" t="s">
        <v>356</v>
      </c>
      <c r="B19" t="s">
        <v>466</v>
      </c>
      <c r="C19" t="s">
        <v>56</v>
      </c>
      <c r="D19" t="s">
        <v>101</v>
      </c>
      <c r="E19" t="s">
        <v>102</v>
      </c>
      <c r="F19" t="s">
        <v>103</v>
      </c>
      <c r="G19">
        <v>0.5</v>
      </c>
      <c r="H19">
        <v>6</v>
      </c>
      <c r="I19" t="s">
        <v>163</v>
      </c>
      <c r="J19" t="s">
        <v>390</v>
      </c>
      <c r="K19" t="s">
        <v>21</v>
      </c>
      <c r="L19" t="s">
        <v>441</v>
      </c>
      <c r="M19" s="54" t="s">
        <v>454</v>
      </c>
    </row>
    <row r="20" spans="1:13">
      <c r="A20" s="54" t="s">
        <v>356</v>
      </c>
      <c r="B20" t="s">
        <v>405</v>
      </c>
      <c r="C20" t="s">
        <v>56</v>
      </c>
      <c r="D20" t="s">
        <v>101</v>
      </c>
      <c r="E20" t="s">
        <v>102</v>
      </c>
      <c r="F20" t="s">
        <v>404</v>
      </c>
      <c r="G20">
        <v>0.3</v>
      </c>
      <c r="H20">
        <v>12</v>
      </c>
      <c r="I20" t="s">
        <v>165</v>
      </c>
      <c r="J20" t="s">
        <v>390</v>
      </c>
      <c r="K20" t="s">
        <v>21</v>
      </c>
      <c r="L20" t="s">
        <v>441</v>
      </c>
      <c r="M20" s="54" t="s">
        <v>167</v>
      </c>
    </row>
    <row r="21" spans="1:13">
      <c r="A21" s="54" t="s">
        <v>356</v>
      </c>
      <c r="B21" t="s">
        <v>405</v>
      </c>
      <c r="C21" t="s">
        <v>59</v>
      </c>
      <c r="D21" t="s">
        <v>146</v>
      </c>
      <c r="F21" t="s">
        <v>406</v>
      </c>
      <c r="G21">
        <v>0.7</v>
      </c>
      <c r="H21">
        <v>17</v>
      </c>
      <c r="I21" t="s">
        <v>165</v>
      </c>
      <c r="J21" t="s">
        <v>390</v>
      </c>
      <c r="K21" t="s">
        <v>21</v>
      </c>
      <c r="L21" t="s">
        <v>441</v>
      </c>
      <c r="M21" s="54" t="s">
        <v>167</v>
      </c>
    </row>
    <row r="22" spans="1:13">
      <c r="A22" s="54" t="s">
        <v>358</v>
      </c>
      <c r="B22" t="s">
        <v>409</v>
      </c>
      <c r="C22" t="s">
        <v>56</v>
      </c>
      <c r="D22" t="s">
        <v>229</v>
      </c>
      <c r="E22" t="s">
        <v>267</v>
      </c>
      <c r="F22" t="s">
        <v>407</v>
      </c>
      <c r="G22">
        <v>0.5</v>
      </c>
      <c r="H22" t="s">
        <v>408</v>
      </c>
      <c r="I22" t="s">
        <v>338</v>
      </c>
      <c r="J22" t="s">
        <v>390</v>
      </c>
      <c r="K22" t="s">
        <v>21</v>
      </c>
      <c r="L22" t="s">
        <v>441</v>
      </c>
      <c r="M22" s="54" t="s">
        <v>339</v>
      </c>
    </row>
    <row r="23" spans="1:13">
      <c r="A23" s="54" t="s">
        <v>358</v>
      </c>
      <c r="B23" t="s">
        <v>409</v>
      </c>
      <c r="C23" t="s">
        <v>59</v>
      </c>
      <c r="D23" t="s">
        <v>229</v>
      </c>
      <c r="E23" t="s">
        <v>267</v>
      </c>
      <c r="F23" t="s">
        <v>410</v>
      </c>
      <c r="G23">
        <v>0.5</v>
      </c>
      <c r="H23" t="s">
        <v>411</v>
      </c>
      <c r="I23" t="s">
        <v>338</v>
      </c>
      <c r="J23" t="s">
        <v>390</v>
      </c>
      <c r="K23" t="s">
        <v>21</v>
      </c>
      <c r="L23" t="s">
        <v>441</v>
      </c>
      <c r="M23" s="54" t="s">
        <v>339</v>
      </c>
    </row>
    <row r="24" spans="1:13">
      <c r="A24" s="54" t="s">
        <v>358</v>
      </c>
      <c r="B24" t="s">
        <v>413</v>
      </c>
      <c r="C24" t="s">
        <v>56</v>
      </c>
      <c r="D24" t="s">
        <v>229</v>
      </c>
      <c r="E24" t="s">
        <v>267</v>
      </c>
      <c r="F24" t="s">
        <v>412</v>
      </c>
      <c r="G24">
        <v>0.5</v>
      </c>
      <c r="H24">
        <v>8</v>
      </c>
      <c r="I24" t="s">
        <v>343</v>
      </c>
      <c r="J24" t="s">
        <v>390</v>
      </c>
      <c r="K24" t="s">
        <v>21</v>
      </c>
      <c r="L24" t="s">
        <v>441</v>
      </c>
      <c r="M24" s="54" t="s">
        <v>344</v>
      </c>
    </row>
    <row r="25" spans="1:13">
      <c r="A25" s="54" t="s">
        <v>358</v>
      </c>
      <c r="B25" t="s">
        <v>413</v>
      </c>
      <c r="C25" t="s">
        <v>59</v>
      </c>
      <c r="D25" t="s">
        <v>229</v>
      </c>
      <c r="E25" t="s">
        <v>267</v>
      </c>
      <c r="F25" t="s">
        <v>414</v>
      </c>
      <c r="G25">
        <v>0.5</v>
      </c>
      <c r="H25" t="s">
        <v>415</v>
      </c>
      <c r="I25" t="s">
        <v>343</v>
      </c>
      <c r="J25" t="s">
        <v>390</v>
      </c>
      <c r="K25" t="s">
        <v>21</v>
      </c>
      <c r="L25" t="s">
        <v>441</v>
      </c>
      <c r="M25" s="54" t="s">
        <v>344</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8D5D9-C950-4FF1-8236-BB4EE6ECC38A}">
  <dimension ref="A1:I28"/>
  <sheetViews>
    <sheetView workbookViewId="0"/>
  </sheetViews>
  <sheetFormatPr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4.42578125" bestFit="1" customWidth="1"/>
    <col min="8" max="8" width="12.140625" bestFit="1" customWidth="1"/>
    <col min="9" max="9" width="41.5703125" bestFit="1" customWidth="1"/>
  </cols>
  <sheetData>
    <row r="1" spans="1:9">
      <c r="A1" t="s">
        <v>351</v>
      </c>
      <c r="B1" t="s">
        <v>353</v>
      </c>
      <c r="C1" t="s">
        <v>39</v>
      </c>
      <c r="D1" t="s">
        <v>40</v>
      </c>
      <c r="E1" t="s">
        <v>332</v>
      </c>
      <c r="F1" t="s">
        <v>378</v>
      </c>
      <c r="G1" t="s">
        <v>352</v>
      </c>
      <c r="H1" t="s">
        <v>354</v>
      </c>
      <c r="I1" t="s">
        <v>333</v>
      </c>
    </row>
    <row r="2" spans="1:9">
      <c r="A2" s="54" t="s">
        <v>356</v>
      </c>
      <c r="B2" t="s">
        <v>455</v>
      </c>
      <c r="C2" t="s">
        <v>41</v>
      </c>
      <c r="D2" t="s">
        <v>42</v>
      </c>
      <c r="E2" t="s">
        <v>5</v>
      </c>
      <c r="F2" t="s">
        <v>416</v>
      </c>
      <c r="G2" t="s">
        <v>21</v>
      </c>
      <c r="H2" t="s">
        <v>441</v>
      </c>
      <c r="I2" s="54" t="s">
        <v>8</v>
      </c>
    </row>
    <row r="3" spans="1:9">
      <c r="A3" s="54" t="s">
        <v>356</v>
      </c>
      <c r="B3" t="s">
        <v>455</v>
      </c>
      <c r="C3" t="s">
        <v>43</v>
      </c>
      <c r="D3" t="s">
        <v>44</v>
      </c>
      <c r="E3" t="s">
        <v>5</v>
      </c>
      <c r="F3" t="s">
        <v>416</v>
      </c>
      <c r="G3" t="s">
        <v>21</v>
      </c>
      <c r="H3" t="s">
        <v>441</v>
      </c>
      <c r="I3" s="54" t="s">
        <v>8</v>
      </c>
    </row>
    <row r="4" spans="1:9">
      <c r="A4" s="54" t="s">
        <v>356</v>
      </c>
      <c r="B4" t="s">
        <v>455</v>
      </c>
      <c r="C4" t="s">
        <v>45</v>
      </c>
      <c r="D4" t="s">
        <v>46</v>
      </c>
      <c r="E4" t="s">
        <v>5</v>
      </c>
      <c r="F4" t="s">
        <v>416</v>
      </c>
      <c r="G4" t="s">
        <v>21</v>
      </c>
      <c r="H4" t="s">
        <v>441</v>
      </c>
      <c r="I4" s="54" t="s">
        <v>8</v>
      </c>
    </row>
    <row r="5" spans="1:9">
      <c r="A5" s="54" t="s">
        <v>361</v>
      </c>
      <c r="B5" t="s">
        <v>418</v>
      </c>
      <c r="C5" t="s">
        <v>41</v>
      </c>
      <c r="D5" t="s">
        <v>417</v>
      </c>
      <c r="E5" t="s">
        <v>336</v>
      </c>
      <c r="F5" t="s">
        <v>416</v>
      </c>
      <c r="G5" t="s">
        <v>21</v>
      </c>
      <c r="H5" t="s">
        <v>441</v>
      </c>
      <c r="I5" s="54" t="s">
        <v>330</v>
      </c>
    </row>
    <row r="6" spans="1:9">
      <c r="A6" s="54" t="s">
        <v>361</v>
      </c>
      <c r="B6" t="s">
        <v>418</v>
      </c>
      <c r="C6" t="s">
        <v>43</v>
      </c>
      <c r="D6" t="s">
        <v>419</v>
      </c>
      <c r="E6" t="s">
        <v>336</v>
      </c>
      <c r="F6" t="s">
        <v>416</v>
      </c>
      <c r="G6" t="s">
        <v>21</v>
      </c>
      <c r="H6" t="s">
        <v>441</v>
      </c>
      <c r="I6" s="54" t="s">
        <v>330</v>
      </c>
    </row>
    <row r="7" spans="1:9">
      <c r="A7" s="54" t="s">
        <v>361</v>
      </c>
      <c r="B7" t="s">
        <v>418</v>
      </c>
      <c r="C7" t="s">
        <v>45</v>
      </c>
      <c r="D7" t="s">
        <v>420</v>
      </c>
      <c r="E7" t="s">
        <v>336</v>
      </c>
      <c r="F7" t="s">
        <v>416</v>
      </c>
      <c r="G7" t="s">
        <v>21</v>
      </c>
      <c r="H7" t="s">
        <v>441</v>
      </c>
      <c r="I7" s="54" t="s">
        <v>330</v>
      </c>
    </row>
    <row r="8" spans="1:9">
      <c r="A8" s="54" t="s">
        <v>361</v>
      </c>
      <c r="B8" t="s">
        <v>422</v>
      </c>
      <c r="C8" t="s">
        <v>41</v>
      </c>
      <c r="D8" t="s">
        <v>421</v>
      </c>
      <c r="E8" t="s">
        <v>341</v>
      </c>
      <c r="F8" t="s">
        <v>416</v>
      </c>
      <c r="G8" t="s">
        <v>21</v>
      </c>
      <c r="H8" t="s">
        <v>441</v>
      </c>
      <c r="I8" s="54" t="s">
        <v>331</v>
      </c>
    </row>
    <row r="9" spans="1:9">
      <c r="A9" s="54" t="s">
        <v>361</v>
      </c>
      <c r="B9" t="s">
        <v>422</v>
      </c>
      <c r="C9" t="s">
        <v>43</v>
      </c>
      <c r="D9" t="s">
        <v>423</v>
      </c>
      <c r="E9" t="s">
        <v>341</v>
      </c>
      <c r="F9" t="s">
        <v>416</v>
      </c>
      <c r="G9" t="s">
        <v>21</v>
      </c>
      <c r="H9" t="s">
        <v>441</v>
      </c>
      <c r="I9" s="54" t="s">
        <v>331</v>
      </c>
    </row>
    <row r="10" spans="1:9">
      <c r="A10" s="54" t="s">
        <v>361</v>
      </c>
      <c r="B10" t="s">
        <v>422</v>
      </c>
      <c r="C10" t="s">
        <v>45</v>
      </c>
      <c r="D10" t="s">
        <v>424</v>
      </c>
      <c r="E10" t="s">
        <v>341</v>
      </c>
      <c r="F10" t="s">
        <v>416</v>
      </c>
      <c r="G10" t="s">
        <v>21</v>
      </c>
      <c r="H10" t="s">
        <v>441</v>
      </c>
      <c r="I10" s="54" t="s">
        <v>331</v>
      </c>
    </row>
    <row r="11" spans="1:9">
      <c r="A11" s="54" t="s">
        <v>361</v>
      </c>
      <c r="B11" t="s">
        <v>426</v>
      </c>
      <c r="C11" t="s">
        <v>41</v>
      </c>
      <c r="D11" t="s">
        <v>425</v>
      </c>
      <c r="E11" t="s">
        <v>348</v>
      </c>
      <c r="F11" t="s">
        <v>416</v>
      </c>
      <c r="G11" t="s">
        <v>21</v>
      </c>
      <c r="H11" t="s">
        <v>441</v>
      </c>
      <c r="I11" s="54" t="s">
        <v>349</v>
      </c>
    </row>
    <row r="12" spans="1:9">
      <c r="A12" s="54" t="s">
        <v>361</v>
      </c>
      <c r="B12" t="s">
        <v>426</v>
      </c>
      <c r="C12" t="s">
        <v>43</v>
      </c>
      <c r="D12" t="s">
        <v>427</v>
      </c>
      <c r="E12" t="s">
        <v>348</v>
      </c>
      <c r="F12" t="s">
        <v>416</v>
      </c>
      <c r="G12" t="s">
        <v>21</v>
      </c>
      <c r="H12" t="s">
        <v>441</v>
      </c>
      <c r="I12" s="54" t="s">
        <v>349</v>
      </c>
    </row>
    <row r="13" spans="1:9">
      <c r="A13" s="54" t="s">
        <v>361</v>
      </c>
      <c r="B13" t="s">
        <v>426</v>
      </c>
      <c r="C13" t="s">
        <v>45</v>
      </c>
      <c r="D13" t="s">
        <v>428</v>
      </c>
      <c r="E13" t="s">
        <v>348</v>
      </c>
      <c r="F13" t="s">
        <v>416</v>
      </c>
      <c r="G13" t="s">
        <v>21</v>
      </c>
      <c r="H13" t="s">
        <v>441</v>
      </c>
      <c r="I13" s="54" t="s">
        <v>349</v>
      </c>
    </row>
    <row r="14" spans="1:9">
      <c r="A14" s="54" t="s">
        <v>361</v>
      </c>
      <c r="B14" t="s">
        <v>430</v>
      </c>
      <c r="C14" t="s">
        <v>41</v>
      </c>
      <c r="D14" t="s">
        <v>429</v>
      </c>
      <c r="E14" t="s">
        <v>346</v>
      </c>
      <c r="F14" t="s">
        <v>416</v>
      </c>
      <c r="G14" t="s">
        <v>21</v>
      </c>
      <c r="H14" t="s">
        <v>441</v>
      </c>
      <c r="I14" s="54" t="s">
        <v>347</v>
      </c>
    </row>
    <row r="15" spans="1:9">
      <c r="A15" s="54" t="s">
        <v>361</v>
      </c>
      <c r="B15" t="s">
        <v>430</v>
      </c>
      <c r="C15" t="s">
        <v>43</v>
      </c>
      <c r="D15" t="s">
        <v>431</v>
      </c>
      <c r="E15" t="s">
        <v>346</v>
      </c>
      <c r="F15" t="s">
        <v>416</v>
      </c>
      <c r="G15" t="s">
        <v>21</v>
      </c>
      <c r="H15" t="s">
        <v>441</v>
      </c>
      <c r="I15" s="54" t="s">
        <v>347</v>
      </c>
    </row>
    <row r="16" spans="1:9">
      <c r="A16" s="54" t="s">
        <v>361</v>
      </c>
      <c r="B16" t="s">
        <v>430</v>
      </c>
      <c r="C16" t="s">
        <v>45</v>
      </c>
      <c r="D16" t="s">
        <v>432</v>
      </c>
      <c r="E16" t="s">
        <v>346</v>
      </c>
      <c r="F16" t="s">
        <v>416</v>
      </c>
      <c r="G16" t="s">
        <v>21</v>
      </c>
      <c r="H16" t="s">
        <v>441</v>
      </c>
      <c r="I16" s="54" t="s">
        <v>347</v>
      </c>
    </row>
    <row r="17" spans="1:9">
      <c r="A17" s="54" t="s">
        <v>356</v>
      </c>
      <c r="B17" t="s">
        <v>456</v>
      </c>
      <c r="C17" t="s">
        <v>41</v>
      </c>
      <c r="D17" t="s">
        <v>142</v>
      </c>
      <c r="E17" t="s">
        <v>137</v>
      </c>
      <c r="F17" t="s">
        <v>416</v>
      </c>
      <c r="G17" t="s">
        <v>21</v>
      </c>
      <c r="H17" t="s">
        <v>441</v>
      </c>
      <c r="I17" s="54" t="s">
        <v>452</v>
      </c>
    </row>
    <row r="18" spans="1:9">
      <c r="A18" s="54" t="s">
        <v>356</v>
      </c>
      <c r="B18" t="s">
        <v>456</v>
      </c>
      <c r="C18" t="s">
        <v>43</v>
      </c>
      <c r="D18" t="s">
        <v>457</v>
      </c>
      <c r="E18" t="s">
        <v>137</v>
      </c>
      <c r="F18" t="s">
        <v>416</v>
      </c>
      <c r="G18" t="s">
        <v>21</v>
      </c>
      <c r="H18" t="s">
        <v>441</v>
      </c>
      <c r="I18" s="54" t="s">
        <v>452</v>
      </c>
    </row>
    <row r="19" spans="1:9">
      <c r="A19" s="54" t="s">
        <v>356</v>
      </c>
      <c r="B19" t="s">
        <v>456</v>
      </c>
      <c r="C19" t="s">
        <v>45</v>
      </c>
      <c r="D19" t="s">
        <v>144</v>
      </c>
      <c r="E19" t="s">
        <v>137</v>
      </c>
      <c r="F19" t="s">
        <v>416</v>
      </c>
      <c r="G19" t="s">
        <v>21</v>
      </c>
      <c r="H19" t="s">
        <v>441</v>
      </c>
      <c r="I19" s="54" t="s">
        <v>452</v>
      </c>
    </row>
    <row r="20" spans="1:9">
      <c r="A20" s="54" t="s">
        <v>356</v>
      </c>
      <c r="B20" t="s">
        <v>456</v>
      </c>
      <c r="C20" t="s">
        <v>47</v>
      </c>
      <c r="D20" t="s">
        <v>145</v>
      </c>
      <c r="E20" t="s">
        <v>137</v>
      </c>
      <c r="F20" t="s">
        <v>416</v>
      </c>
      <c r="G20" t="s">
        <v>21</v>
      </c>
      <c r="H20" t="s">
        <v>441</v>
      </c>
      <c r="I20" s="54" t="s">
        <v>452</v>
      </c>
    </row>
    <row r="21" spans="1:9">
      <c r="A21" s="54" t="s">
        <v>356</v>
      </c>
      <c r="B21" t="s">
        <v>433</v>
      </c>
      <c r="C21" t="s">
        <v>41</v>
      </c>
      <c r="D21" t="s">
        <v>175</v>
      </c>
      <c r="E21" t="s">
        <v>165</v>
      </c>
      <c r="F21" t="s">
        <v>416</v>
      </c>
      <c r="G21" t="s">
        <v>21</v>
      </c>
      <c r="H21" t="s">
        <v>441</v>
      </c>
      <c r="I21" s="54" t="s">
        <v>167</v>
      </c>
    </row>
    <row r="22" spans="1:9">
      <c r="A22" s="54" t="s">
        <v>356</v>
      </c>
      <c r="B22" t="s">
        <v>433</v>
      </c>
      <c r="C22" t="s">
        <v>43</v>
      </c>
      <c r="D22" t="s">
        <v>176</v>
      </c>
      <c r="E22" t="s">
        <v>165</v>
      </c>
      <c r="F22" t="s">
        <v>416</v>
      </c>
      <c r="G22" t="s">
        <v>21</v>
      </c>
      <c r="H22" t="s">
        <v>441</v>
      </c>
      <c r="I22" s="54" t="s">
        <v>167</v>
      </c>
    </row>
    <row r="23" spans="1:9">
      <c r="A23" s="54" t="s">
        <v>356</v>
      </c>
      <c r="B23" t="s">
        <v>433</v>
      </c>
      <c r="C23" t="s">
        <v>45</v>
      </c>
      <c r="D23" t="s">
        <v>177</v>
      </c>
      <c r="E23" t="s">
        <v>165</v>
      </c>
      <c r="F23" t="s">
        <v>416</v>
      </c>
      <c r="G23" t="s">
        <v>21</v>
      </c>
      <c r="H23" t="s">
        <v>441</v>
      </c>
      <c r="I23" s="54" t="s">
        <v>167</v>
      </c>
    </row>
    <row r="24" spans="1:9">
      <c r="A24" s="54" t="s">
        <v>358</v>
      </c>
      <c r="B24" t="s">
        <v>435</v>
      </c>
      <c r="C24" t="s">
        <v>41</v>
      </c>
      <c r="D24" t="s">
        <v>434</v>
      </c>
      <c r="E24" t="s">
        <v>338</v>
      </c>
      <c r="F24" t="s">
        <v>416</v>
      </c>
      <c r="G24" t="s">
        <v>21</v>
      </c>
      <c r="H24" t="s">
        <v>441</v>
      </c>
      <c r="I24" s="54" t="s">
        <v>339</v>
      </c>
    </row>
    <row r="25" spans="1:9">
      <c r="A25" s="54" t="s">
        <v>358</v>
      </c>
      <c r="B25" t="s">
        <v>435</v>
      </c>
      <c r="C25" t="s">
        <v>43</v>
      </c>
      <c r="D25" t="s">
        <v>436</v>
      </c>
      <c r="E25" t="s">
        <v>338</v>
      </c>
      <c r="F25" t="s">
        <v>416</v>
      </c>
      <c r="G25" t="s">
        <v>21</v>
      </c>
      <c r="H25" t="s">
        <v>441</v>
      </c>
      <c r="I25" s="54" t="s">
        <v>339</v>
      </c>
    </row>
    <row r="26" spans="1:9">
      <c r="A26" s="54" t="s">
        <v>358</v>
      </c>
      <c r="B26" t="s">
        <v>435</v>
      </c>
      <c r="C26" t="s">
        <v>45</v>
      </c>
      <c r="D26" t="s">
        <v>437</v>
      </c>
      <c r="E26" t="s">
        <v>338</v>
      </c>
      <c r="F26" t="s">
        <v>416</v>
      </c>
      <c r="G26" t="s">
        <v>21</v>
      </c>
      <c r="H26" t="s">
        <v>441</v>
      </c>
      <c r="I26" s="54" t="s">
        <v>339</v>
      </c>
    </row>
    <row r="27" spans="1:9">
      <c r="A27" s="54" t="s">
        <v>358</v>
      </c>
      <c r="B27" t="s">
        <v>439</v>
      </c>
      <c r="C27" t="s">
        <v>41</v>
      </c>
      <c r="D27" t="s">
        <v>438</v>
      </c>
      <c r="E27" t="s">
        <v>343</v>
      </c>
      <c r="F27" t="s">
        <v>416</v>
      </c>
      <c r="G27" t="s">
        <v>21</v>
      </c>
      <c r="H27" t="s">
        <v>441</v>
      </c>
      <c r="I27" s="54" t="s">
        <v>344</v>
      </c>
    </row>
    <row r="28" spans="1:9">
      <c r="A28" s="54" t="s">
        <v>358</v>
      </c>
      <c r="B28" t="s">
        <v>439</v>
      </c>
      <c r="C28" t="s">
        <v>43</v>
      </c>
      <c r="D28" t="s">
        <v>440</v>
      </c>
      <c r="E28" t="s">
        <v>343</v>
      </c>
      <c r="F28" t="s">
        <v>416</v>
      </c>
      <c r="G28" t="s">
        <v>21</v>
      </c>
      <c r="H28" t="s">
        <v>441</v>
      </c>
      <c r="I28" s="54" t="s">
        <v>344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5EF33-E562-46F5-958B-04F7B2B323CB}">
  <dimension ref="A1:I146"/>
  <sheetViews>
    <sheetView workbookViewId="0"/>
  </sheetViews>
  <sheetFormatPr defaultRowHeight="15"/>
  <cols>
    <col min="1" max="1" width="49" bestFit="1" customWidth="1"/>
    <col min="2" max="2" width="13.42578125" bestFit="1" customWidth="1"/>
    <col min="3" max="3" width="14.5703125" bestFit="1" customWidth="1"/>
    <col min="4" max="4" width="53.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351</v>
      </c>
      <c r="B1" t="s">
        <v>353</v>
      </c>
      <c r="C1" t="s">
        <v>1</v>
      </c>
      <c r="D1" t="s">
        <v>2</v>
      </c>
      <c r="E1" t="s">
        <v>332</v>
      </c>
      <c r="F1" t="s">
        <v>378</v>
      </c>
      <c r="G1" t="s">
        <v>352</v>
      </c>
      <c r="H1" t="s">
        <v>354</v>
      </c>
      <c r="I1" t="s">
        <v>333</v>
      </c>
    </row>
    <row r="2" spans="1:9">
      <c r="A2" s="54" t="s">
        <v>356</v>
      </c>
      <c r="B2" t="s">
        <v>377</v>
      </c>
      <c r="C2" t="s">
        <v>4</v>
      </c>
      <c r="D2" t="s">
        <v>5</v>
      </c>
      <c r="E2" t="s">
        <v>5</v>
      </c>
      <c r="F2" t="s">
        <v>367</v>
      </c>
      <c r="G2" t="s">
        <v>21</v>
      </c>
      <c r="H2" t="s">
        <v>441</v>
      </c>
      <c r="I2" s="54" t="s">
        <v>8</v>
      </c>
    </row>
    <row r="3" spans="1:9">
      <c r="A3" s="54" t="s">
        <v>356</v>
      </c>
      <c r="B3" t="s">
        <v>377</v>
      </c>
      <c r="C3" t="s">
        <v>7</v>
      </c>
      <c r="D3" t="s">
        <v>8</v>
      </c>
      <c r="E3" t="s">
        <v>5</v>
      </c>
      <c r="F3" t="s">
        <v>367</v>
      </c>
      <c r="G3" t="s">
        <v>21</v>
      </c>
      <c r="H3" t="s">
        <v>441</v>
      </c>
      <c r="I3" s="54" t="s">
        <v>8</v>
      </c>
    </row>
    <row r="4" spans="1:9">
      <c r="A4" s="54" t="s">
        <v>356</v>
      </c>
      <c r="B4" t="s">
        <v>377</v>
      </c>
      <c r="C4" t="s">
        <v>9</v>
      </c>
      <c r="D4">
        <v>20</v>
      </c>
      <c r="E4" t="s">
        <v>5</v>
      </c>
      <c r="F4" t="s">
        <v>367</v>
      </c>
      <c r="G4" t="s">
        <v>21</v>
      </c>
      <c r="H4" t="s">
        <v>441</v>
      </c>
      <c r="I4" s="54" t="s">
        <v>8</v>
      </c>
    </row>
    <row r="5" spans="1:9">
      <c r="A5" s="54" t="s">
        <v>356</v>
      </c>
      <c r="B5" t="s">
        <v>377</v>
      </c>
      <c r="C5" t="s">
        <v>10</v>
      </c>
      <c r="D5">
        <v>2</v>
      </c>
      <c r="E5" t="s">
        <v>5</v>
      </c>
      <c r="F5" t="s">
        <v>367</v>
      </c>
      <c r="G5" t="s">
        <v>21</v>
      </c>
      <c r="H5" t="s">
        <v>441</v>
      </c>
      <c r="I5" s="54" t="s">
        <v>8</v>
      </c>
    </row>
    <row r="6" spans="1:9">
      <c r="A6" s="54" t="s">
        <v>356</v>
      </c>
      <c r="B6" t="s">
        <v>377</v>
      </c>
      <c r="C6" t="s">
        <v>12</v>
      </c>
      <c r="D6">
        <v>4</v>
      </c>
      <c r="E6" t="s">
        <v>5</v>
      </c>
      <c r="F6" t="s">
        <v>367</v>
      </c>
      <c r="G6" t="s">
        <v>21</v>
      </c>
      <c r="H6" t="s">
        <v>441</v>
      </c>
      <c r="I6" s="54" t="s">
        <v>8</v>
      </c>
    </row>
    <row r="7" spans="1:9">
      <c r="A7" s="54" t="s">
        <v>356</v>
      </c>
      <c r="B7" t="s">
        <v>377</v>
      </c>
      <c r="C7" t="s">
        <v>14</v>
      </c>
      <c r="D7" t="s">
        <v>15</v>
      </c>
      <c r="E7" t="s">
        <v>5</v>
      </c>
      <c r="F7" t="s">
        <v>367</v>
      </c>
      <c r="G7" t="s">
        <v>21</v>
      </c>
      <c r="H7" t="s">
        <v>441</v>
      </c>
      <c r="I7" s="54" t="s">
        <v>8</v>
      </c>
    </row>
    <row r="8" spans="1:9">
      <c r="A8" s="54" t="s">
        <v>356</v>
      </c>
      <c r="B8" t="s">
        <v>377</v>
      </c>
      <c r="C8" t="s">
        <v>17</v>
      </c>
      <c r="D8" t="s">
        <v>18</v>
      </c>
      <c r="E8" t="s">
        <v>5</v>
      </c>
      <c r="F8" t="s">
        <v>367</v>
      </c>
      <c r="G8" t="s">
        <v>21</v>
      </c>
      <c r="H8" t="s">
        <v>441</v>
      </c>
      <c r="I8" s="54" t="s">
        <v>8</v>
      </c>
    </row>
    <row r="9" spans="1:9">
      <c r="A9" s="54" t="s">
        <v>356</v>
      </c>
      <c r="B9" t="s">
        <v>377</v>
      </c>
      <c r="C9" t="s">
        <v>20</v>
      </c>
      <c r="D9" t="s">
        <v>21</v>
      </c>
      <c r="E9" t="s">
        <v>5</v>
      </c>
      <c r="F9" t="s">
        <v>367</v>
      </c>
      <c r="G9" t="s">
        <v>21</v>
      </c>
      <c r="H9" t="s">
        <v>441</v>
      </c>
      <c r="I9" s="54" t="s">
        <v>8</v>
      </c>
    </row>
    <row r="10" spans="1:9">
      <c r="A10" s="54" t="s">
        <v>356</v>
      </c>
      <c r="B10" t="s">
        <v>377</v>
      </c>
      <c r="D10" t="s">
        <v>23</v>
      </c>
      <c r="E10" t="s">
        <v>5</v>
      </c>
      <c r="F10" t="s">
        <v>367</v>
      </c>
      <c r="G10" t="s">
        <v>21</v>
      </c>
      <c r="H10" t="s">
        <v>441</v>
      </c>
      <c r="I10" s="54" t="s">
        <v>8</v>
      </c>
    </row>
    <row r="11" spans="1:9">
      <c r="A11" s="54" t="s">
        <v>361</v>
      </c>
      <c r="B11" t="s">
        <v>373</v>
      </c>
      <c r="C11" t="s">
        <v>4</v>
      </c>
      <c r="D11" t="s">
        <v>334</v>
      </c>
      <c r="E11" t="s">
        <v>334</v>
      </c>
      <c r="F11" t="s">
        <v>367</v>
      </c>
      <c r="G11" t="s">
        <v>21</v>
      </c>
      <c r="H11" t="s">
        <v>441</v>
      </c>
      <c r="I11" s="54" t="s">
        <v>335</v>
      </c>
    </row>
    <row r="12" spans="1:9">
      <c r="A12" s="54" t="s">
        <v>361</v>
      </c>
      <c r="B12" t="s">
        <v>373</v>
      </c>
      <c r="C12" t="s">
        <v>7</v>
      </c>
      <c r="D12" t="s">
        <v>335</v>
      </c>
      <c r="E12" t="s">
        <v>334</v>
      </c>
      <c r="F12" t="s">
        <v>367</v>
      </c>
      <c r="G12" t="s">
        <v>21</v>
      </c>
      <c r="H12" t="s">
        <v>441</v>
      </c>
      <c r="I12" s="54" t="s">
        <v>335</v>
      </c>
    </row>
    <row r="13" spans="1:9">
      <c r="A13" s="54" t="s">
        <v>361</v>
      </c>
      <c r="B13" t="s">
        <v>373</v>
      </c>
      <c r="C13" t="s">
        <v>9</v>
      </c>
      <c r="E13" t="s">
        <v>334</v>
      </c>
      <c r="F13" t="s">
        <v>367</v>
      </c>
      <c r="G13" t="s">
        <v>21</v>
      </c>
      <c r="H13" t="s">
        <v>441</v>
      </c>
      <c r="I13" s="54" t="s">
        <v>335</v>
      </c>
    </row>
    <row r="14" spans="1:9">
      <c r="A14" s="54" t="s">
        <v>361</v>
      </c>
      <c r="B14" t="s">
        <v>373</v>
      </c>
      <c r="C14" t="s">
        <v>10</v>
      </c>
      <c r="E14" t="s">
        <v>334</v>
      </c>
      <c r="F14" t="s">
        <v>367</v>
      </c>
      <c r="G14" t="s">
        <v>21</v>
      </c>
      <c r="H14" t="s">
        <v>441</v>
      </c>
      <c r="I14" s="54" t="s">
        <v>335</v>
      </c>
    </row>
    <row r="15" spans="1:9">
      <c r="A15" s="54" t="s">
        <v>361</v>
      </c>
      <c r="B15" t="s">
        <v>373</v>
      </c>
      <c r="C15" t="s">
        <v>12</v>
      </c>
      <c r="E15" t="s">
        <v>334</v>
      </c>
      <c r="F15" t="s">
        <v>367</v>
      </c>
      <c r="G15" t="s">
        <v>21</v>
      </c>
      <c r="H15" t="s">
        <v>441</v>
      </c>
      <c r="I15" s="54" t="s">
        <v>335</v>
      </c>
    </row>
    <row r="16" spans="1:9">
      <c r="A16" s="54" t="s">
        <v>361</v>
      </c>
      <c r="B16" t="s">
        <v>373</v>
      </c>
      <c r="C16" t="s">
        <v>14</v>
      </c>
      <c r="E16" t="s">
        <v>334</v>
      </c>
      <c r="F16" t="s">
        <v>367</v>
      </c>
      <c r="G16" t="s">
        <v>21</v>
      </c>
      <c r="H16" t="s">
        <v>441</v>
      </c>
      <c r="I16" s="54" t="s">
        <v>335</v>
      </c>
    </row>
    <row r="17" spans="1:9">
      <c r="A17" s="54" t="s">
        <v>361</v>
      </c>
      <c r="B17" t="s">
        <v>373</v>
      </c>
      <c r="C17" t="s">
        <v>17</v>
      </c>
      <c r="D17" t="s">
        <v>238</v>
      </c>
      <c r="E17" t="s">
        <v>334</v>
      </c>
      <c r="F17" t="s">
        <v>367</v>
      </c>
      <c r="G17" t="s">
        <v>21</v>
      </c>
      <c r="H17" t="s">
        <v>441</v>
      </c>
      <c r="I17" s="54" t="s">
        <v>335</v>
      </c>
    </row>
    <row r="18" spans="1:9">
      <c r="A18" s="54" t="s">
        <v>361</v>
      </c>
      <c r="B18" t="s">
        <v>373</v>
      </c>
      <c r="C18" t="s">
        <v>20</v>
      </c>
      <c r="E18" t="s">
        <v>334</v>
      </c>
      <c r="F18" t="s">
        <v>367</v>
      </c>
      <c r="G18" t="s">
        <v>21</v>
      </c>
      <c r="H18" t="s">
        <v>441</v>
      </c>
      <c r="I18" s="54" t="s">
        <v>335</v>
      </c>
    </row>
    <row r="19" spans="1:9">
      <c r="A19" s="54" t="s">
        <v>361</v>
      </c>
      <c r="B19" t="s">
        <v>371</v>
      </c>
      <c r="C19" t="s">
        <v>4</v>
      </c>
      <c r="D19" t="s">
        <v>336</v>
      </c>
      <c r="E19" t="s">
        <v>336</v>
      </c>
      <c r="F19" t="s">
        <v>367</v>
      </c>
      <c r="G19" t="s">
        <v>21</v>
      </c>
      <c r="H19" t="s">
        <v>441</v>
      </c>
      <c r="I19" s="54" t="s">
        <v>330</v>
      </c>
    </row>
    <row r="20" spans="1:9">
      <c r="A20" s="54" t="s">
        <v>361</v>
      </c>
      <c r="B20" t="s">
        <v>371</v>
      </c>
      <c r="C20" t="s">
        <v>7</v>
      </c>
      <c r="D20" t="s">
        <v>372</v>
      </c>
      <c r="E20" t="s">
        <v>336</v>
      </c>
      <c r="F20" t="s">
        <v>367</v>
      </c>
      <c r="G20" t="s">
        <v>21</v>
      </c>
      <c r="H20" t="s">
        <v>441</v>
      </c>
      <c r="I20" s="54" t="s">
        <v>330</v>
      </c>
    </row>
    <row r="21" spans="1:9">
      <c r="A21" s="54" t="s">
        <v>361</v>
      </c>
      <c r="B21" t="s">
        <v>371</v>
      </c>
      <c r="C21" t="s">
        <v>9</v>
      </c>
      <c r="D21">
        <v>20</v>
      </c>
      <c r="E21" t="s">
        <v>336</v>
      </c>
      <c r="F21" t="s">
        <v>367</v>
      </c>
      <c r="G21" t="s">
        <v>21</v>
      </c>
      <c r="H21" t="s">
        <v>441</v>
      </c>
      <c r="I21" s="54" t="s">
        <v>330</v>
      </c>
    </row>
    <row r="22" spans="1:9">
      <c r="A22" s="54" t="s">
        <v>361</v>
      </c>
      <c r="B22" t="s">
        <v>371</v>
      </c>
      <c r="C22" t="s">
        <v>10</v>
      </c>
      <c r="D22">
        <v>1</v>
      </c>
      <c r="E22" t="s">
        <v>336</v>
      </c>
      <c r="F22" t="s">
        <v>367</v>
      </c>
      <c r="G22" t="s">
        <v>21</v>
      </c>
      <c r="H22" t="s">
        <v>441</v>
      </c>
      <c r="I22" s="54" t="s">
        <v>330</v>
      </c>
    </row>
    <row r="23" spans="1:9">
      <c r="A23" s="54" t="s">
        <v>361</v>
      </c>
      <c r="B23" t="s">
        <v>371</v>
      </c>
      <c r="C23" t="s">
        <v>12</v>
      </c>
      <c r="D23">
        <v>4</v>
      </c>
      <c r="E23" t="s">
        <v>336</v>
      </c>
      <c r="F23" t="s">
        <v>367</v>
      </c>
      <c r="G23" t="s">
        <v>21</v>
      </c>
      <c r="H23" t="s">
        <v>441</v>
      </c>
      <c r="I23" s="54" t="s">
        <v>330</v>
      </c>
    </row>
    <row r="24" spans="1:9">
      <c r="A24" s="54" t="s">
        <v>361</v>
      </c>
      <c r="B24" t="s">
        <v>371</v>
      </c>
      <c r="C24" t="s">
        <v>14</v>
      </c>
      <c r="D24" t="s">
        <v>337</v>
      </c>
      <c r="E24" t="s">
        <v>336</v>
      </c>
      <c r="F24" t="s">
        <v>367</v>
      </c>
      <c r="G24" t="s">
        <v>21</v>
      </c>
      <c r="H24" t="s">
        <v>441</v>
      </c>
      <c r="I24" s="54" t="s">
        <v>330</v>
      </c>
    </row>
    <row r="25" spans="1:9">
      <c r="A25" s="54" t="s">
        <v>361</v>
      </c>
      <c r="B25" t="s">
        <v>371</v>
      </c>
      <c r="C25" t="s">
        <v>17</v>
      </c>
      <c r="D25" t="s">
        <v>18</v>
      </c>
      <c r="E25" t="s">
        <v>336</v>
      </c>
      <c r="F25" t="s">
        <v>367</v>
      </c>
      <c r="G25" t="s">
        <v>21</v>
      </c>
      <c r="H25" t="s">
        <v>441</v>
      </c>
      <c r="I25" s="54" t="s">
        <v>330</v>
      </c>
    </row>
    <row r="26" spans="1:9">
      <c r="A26" s="54" t="s">
        <v>361</v>
      </c>
      <c r="B26" t="s">
        <v>371</v>
      </c>
      <c r="C26" t="s">
        <v>20</v>
      </c>
      <c r="D26" t="s">
        <v>173</v>
      </c>
      <c r="E26" t="s">
        <v>336</v>
      </c>
      <c r="F26" t="s">
        <v>367</v>
      </c>
      <c r="G26" t="s">
        <v>21</v>
      </c>
      <c r="H26" t="s">
        <v>441</v>
      </c>
      <c r="I26" s="54" t="s">
        <v>330</v>
      </c>
    </row>
    <row r="27" spans="1:9">
      <c r="A27" s="54" t="s">
        <v>361</v>
      </c>
      <c r="B27" t="s">
        <v>370</v>
      </c>
      <c r="C27" t="s">
        <v>4</v>
      </c>
      <c r="D27" t="s">
        <v>341</v>
      </c>
      <c r="E27" t="s">
        <v>341</v>
      </c>
      <c r="F27" t="s">
        <v>367</v>
      </c>
      <c r="G27" t="s">
        <v>21</v>
      </c>
      <c r="H27" t="s">
        <v>441</v>
      </c>
      <c r="I27" s="54" t="s">
        <v>331</v>
      </c>
    </row>
    <row r="28" spans="1:9">
      <c r="A28" s="54" t="s">
        <v>361</v>
      </c>
      <c r="B28" t="s">
        <v>370</v>
      </c>
      <c r="C28" t="s">
        <v>7</v>
      </c>
      <c r="D28" t="s">
        <v>331</v>
      </c>
      <c r="E28" t="s">
        <v>341</v>
      </c>
      <c r="F28" t="s">
        <v>367</v>
      </c>
      <c r="G28" t="s">
        <v>21</v>
      </c>
      <c r="H28" t="s">
        <v>441</v>
      </c>
      <c r="I28" s="54" t="s">
        <v>331</v>
      </c>
    </row>
    <row r="29" spans="1:9">
      <c r="A29" s="54" t="s">
        <v>361</v>
      </c>
      <c r="B29" t="s">
        <v>370</v>
      </c>
      <c r="C29" t="s">
        <v>9</v>
      </c>
      <c r="D29">
        <v>20</v>
      </c>
      <c r="E29" t="s">
        <v>341</v>
      </c>
      <c r="F29" t="s">
        <v>367</v>
      </c>
      <c r="G29" t="s">
        <v>21</v>
      </c>
      <c r="H29" t="s">
        <v>441</v>
      </c>
      <c r="I29" s="54" t="s">
        <v>331</v>
      </c>
    </row>
    <row r="30" spans="1:9">
      <c r="A30" s="54" t="s">
        <v>361</v>
      </c>
      <c r="B30" t="s">
        <v>370</v>
      </c>
      <c r="C30" t="s">
        <v>10</v>
      </c>
      <c r="D30">
        <v>2</v>
      </c>
      <c r="E30" t="s">
        <v>341</v>
      </c>
      <c r="F30" t="s">
        <v>367</v>
      </c>
      <c r="G30" t="s">
        <v>21</v>
      </c>
      <c r="H30" t="s">
        <v>441</v>
      </c>
      <c r="I30" s="54" t="s">
        <v>331</v>
      </c>
    </row>
    <row r="31" spans="1:9">
      <c r="A31" s="54" t="s">
        <v>361</v>
      </c>
      <c r="B31" t="s">
        <v>370</v>
      </c>
      <c r="C31" t="s">
        <v>12</v>
      </c>
      <c r="D31">
        <v>4</v>
      </c>
      <c r="E31" t="s">
        <v>341</v>
      </c>
      <c r="F31" t="s">
        <v>367</v>
      </c>
      <c r="G31" t="s">
        <v>21</v>
      </c>
      <c r="H31" t="s">
        <v>441</v>
      </c>
      <c r="I31" s="54" t="s">
        <v>331</v>
      </c>
    </row>
    <row r="32" spans="1:9">
      <c r="A32" s="54" t="s">
        <v>361</v>
      </c>
      <c r="B32" t="s">
        <v>370</v>
      </c>
      <c r="C32" t="s">
        <v>14</v>
      </c>
      <c r="D32" t="s">
        <v>342</v>
      </c>
      <c r="E32" t="s">
        <v>341</v>
      </c>
      <c r="F32" t="s">
        <v>367</v>
      </c>
      <c r="G32" t="s">
        <v>21</v>
      </c>
      <c r="H32" t="s">
        <v>441</v>
      </c>
      <c r="I32" s="54" t="s">
        <v>331</v>
      </c>
    </row>
    <row r="33" spans="1:9">
      <c r="A33" s="54" t="s">
        <v>361</v>
      </c>
      <c r="B33" t="s">
        <v>370</v>
      </c>
      <c r="C33" t="s">
        <v>17</v>
      </c>
      <c r="D33" t="s">
        <v>18</v>
      </c>
      <c r="E33" t="s">
        <v>341</v>
      </c>
      <c r="F33" t="s">
        <v>367</v>
      </c>
      <c r="G33" t="s">
        <v>21</v>
      </c>
      <c r="H33" t="s">
        <v>441</v>
      </c>
      <c r="I33" s="54" t="s">
        <v>331</v>
      </c>
    </row>
    <row r="34" spans="1:9">
      <c r="A34" s="54" t="s">
        <v>361</v>
      </c>
      <c r="B34" t="s">
        <v>370</v>
      </c>
      <c r="C34" t="s">
        <v>20</v>
      </c>
      <c r="D34" t="s">
        <v>282</v>
      </c>
      <c r="E34" t="s">
        <v>341</v>
      </c>
      <c r="F34" t="s">
        <v>367</v>
      </c>
      <c r="G34" t="s">
        <v>21</v>
      </c>
      <c r="H34" t="s">
        <v>441</v>
      </c>
      <c r="I34" s="54" t="s">
        <v>331</v>
      </c>
    </row>
    <row r="35" spans="1:9">
      <c r="A35" s="54" t="s">
        <v>361</v>
      </c>
      <c r="B35" t="s">
        <v>368</v>
      </c>
      <c r="C35" t="s">
        <v>4</v>
      </c>
      <c r="D35" t="s">
        <v>348</v>
      </c>
      <c r="E35" t="s">
        <v>348</v>
      </c>
      <c r="F35" t="s">
        <v>367</v>
      </c>
      <c r="G35" t="s">
        <v>21</v>
      </c>
      <c r="H35" t="s">
        <v>441</v>
      </c>
      <c r="I35" s="54" t="s">
        <v>349</v>
      </c>
    </row>
    <row r="36" spans="1:9">
      <c r="A36" s="54" t="s">
        <v>361</v>
      </c>
      <c r="B36" t="s">
        <v>368</v>
      </c>
      <c r="C36" t="s">
        <v>7</v>
      </c>
      <c r="D36" t="s">
        <v>349</v>
      </c>
      <c r="E36" t="s">
        <v>348</v>
      </c>
      <c r="F36" t="s">
        <v>367</v>
      </c>
      <c r="G36" t="s">
        <v>21</v>
      </c>
      <c r="H36" t="s">
        <v>441</v>
      </c>
      <c r="I36" s="54" t="s">
        <v>349</v>
      </c>
    </row>
    <row r="37" spans="1:9">
      <c r="A37" s="54" t="s">
        <v>361</v>
      </c>
      <c r="B37" t="s">
        <v>368</v>
      </c>
      <c r="C37" t="s">
        <v>9</v>
      </c>
      <c r="D37">
        <v>20</v>
      </c>
      <c r="E37" t="s">
        <v>348</v>
      </c>
      <c r="F37" t="s">
        <v>367</v>
      </c>
      <c r="G37" t="s">
        <v>21</v>
      </c>
      <c r="H37" t="s">
        <v>441</v>
      </c>
      <c r="I37" s="54" t="s">
        <v>349</v>
      </c>
    </row>
    <row r="38" spans="1:9">
      <c r="A38" s="54" t="s">
        <v>361</v>
      </c>
      <c r="B38" t="s">
        <v>368</v>
      </c>
      <c r="C38" t="s">
        <v>10</v>
      </c>
      <c r="D38">
        <v>1</v>
      </c>
      <c r="E38" t="s">
        <v>348</v>
      </c>
      <c r="F38" t="s">
        <v>367</v>
      </c>
      <c r="G38" t="s">
        <v>21</v>
      </c>
      <c r="H38" t="s">
        <v>441</v>
      </c>
      <c r="I38" s="54" t="s">
        <v>349</v>
      </c>
    </row>
    <row r="39" spans="1:9">
      <c r="A39" s="54" t="s">
        <v>361</v>
      </c>
      <c r="B39" t="s">
        <v>368</v>
      </c>
      <c r="C39" t="s">
        <v>12</v>
      </c>
      <c r="D39">
        <v>6</v>
      </c>
      <c r="E39" t="s">
        <v>348</v>
      </c>
      <c r="F39" t="s">
        <v>367</v>
      </c>
      <c r="G39" t="s">
        <v>21</v>
      </c>
      <c r="H39" t="s">
        <v>441</v>
      </c>
      <c r="I39" s="54" t="s">
        <v>349</v>
      </c>
    </row>
    <row r="40" spans="1:9">
      <c r="A40" s="54" t="s">
        <v>361</v>
      </c>
      <c r="B40" t="s">
        <v>368</v>
      </c>
      <c r="C40" t="s">
        <v>14</v>
      </c>
      <c r="D40" t="s">
        <v>350</v>
      </c>
      <c r="E40" t="s">
        <v>348</v>
      </c>
      <c r="F40" t="s">
        <v>367</v>
      </c>
      <c r="G40" t="s">
        <v>21</v>
      </c>
      <c r="H40" t="s">
        <v>441</v>
      </c>
      <c r="I40" s="54" t="s">
        <v>349</v>
      </c>
    </row>
    <row r="41" spans="1:9">
      <c r="A41" s="54" t="s">
        <v>361</v>
      </c>
      <c r="B41" t="s">
        <v>368</v>
      </c>
      <c r="C41" t="s">
        <v>17</v>
      </c>
      <c r="D41" t="s">
        <v>171</v>
      </c>
      <c r="E41" t="s">
        <v>348</v>
      </c>
      <c r="F41" t="s">
        <v>367</v>
      </c>
      <c r="G41" t="s">
        <v>21</v>
      </c>
      <c r="H41" t="s">
        <v>441</v>
      </c>
      <c r="I41" s="54" t="s">
        <v>349</v>
      </c>
    </row>
    <row r="42" spans="1:9">
      <c r="A42" s="54" t="s">
        <v>361</v>
      </c>
      <c r="B42" t="s">
        <v>368</v>
      </c>
      <c r="C42" t="s">
        <v>20</v>
      </c>
      <c r="D42" t="s">
        <v>277</v>
      </c>
      <c r="E42" t="s">
        <v>348</v>
      </c>
      <c r="F42" t="s">
        <v>367</v>
      </c>
      <c r="G42" t="s">
        <v>21</v>
      </c>
      <c r="H42" t="s">
        <v>441</v>
      </c>
      <c r="I42" s="54" t="s">
        <v>349</v>
      </c>
    </row>
    <row r="43" spans="1:9">
      <c r="A43" s="54" t="s">
        <v>361</v>
      </c>
      <c r="B43" t="s">
        <v>369</v>
      </c>
      <c r="C43" t="s">
        <v>4</v>
      </c>
      <c r="D43" t="s">
        <v>346</v>
      </c>
      <c r="E43" t="s">
        <v>346</v>
      </c>
      <c r="F43" t="s">
        <v>367</v>
      </c>
      <c r="G43" t="s">
        <v>21</v>
      </c>
      <c r="H43" t="s">
        <v>441</v>
      </c>
      <c r="I43" s="54" t="s">
        <v>347</v>
      </c>
    </row>
    <row r="44" spans="1:9">
      <c r="A44" s="54" t="s">
        <v>361</v>
      </c>
      <c r="B44" t="s">
        <v>369</v>
      </c>
      <c r="C44" t="s">
        <v>7</v>
      </c>
      <c r="D44" t="s">
        <v>347</v>
      </c>
      <c r="E44" t="s">
        <v>346</v>
      </c>
      <c r="F44" t="s">
        <v>367</v>
      </c>
      <c r="G44" t="s">
        <v>21</v>
      </c>
      <c r="H44" t="s">
        <v>441</v>
      </c>
      <c r="I44" s="54" t="s">
        <v>347</v>
      </c>
    </row>
    <row r="45" spans="1:9">
      <c r="A45" s="54" t="s">
        <v>361</v>
      </c>
      <c r="B45" t="s">
        <v>369</v>
      </c>
      <c r="C45" t="s">
        <v>9</v>
      </c>
      <c r="D45">
        <v>40</v>
      </c>
      <c r="E45" t="s">
        <v>346</v>
      </c>
      <c r="F45" t="s">
        <v>367</v>
      </c>
      <c r="G45" t="s">
        <v>21</v>
      </c>
      <c r="H45" t="s">
        <v>441</v>
      </c>
      <c r="I45" s="54" t="s">
        <v>347</v>
      </c>
    </row>
    <row r="46" spans="1:9">
      <c r="A46" s="54" t="s">
        <v>361</v>
      </c>
      <c r="B46" t="s">
        <v>369</v>
      </c>
      <c r="C46" t="s">
        <v>10</v>
      </c>
      <c r="D46" t="s">
        <v>230</v>
      </c>
      <c r="E46" t="s">
        <v>346</v>
      </c>
      <c r="F46" t="s">
        <v>367</v>
      </c>
      <c r="G46" t="s">
        <v>21</v>
      </c>
      <c r="H46" t="s">
        <v>441</v>
      </c>
      <c r="I46" s="54" t="s">
        <v>347</v>
      </c>
    </row>
    <row r="47" spans="1:9">
      <c r="A47" s="54" t="s">
        <v>361</v>
      </c>
      <c r="B47" t="s">
        <v>369</v>
      </c>
      <c r="C47" t="s">
        <v>12</v>
      </c>
      <c r="D47">
        <v>6</v>
      </c>
      <c r="E47" t="s">
        <v>346</v>
      </c>
      <c r="F47" t="s">
        <v>367</v>
      </c>
      <c r="G47" t="s">
        <v>21</v>
      </c>
      <c r="H47" t="s">
        <v>441</v>
      </c>
      <c r="I47" s="54" t="s">
        <v>347</v>
      </c>
    </row>
    <row r="48" spans="1:9">
      <c r="A48" s="54" t="s">
        <v>361</v>
      </c>
      <c r="B48" t="s">
        <v>369</v>
      </c>
      <c r="C48" t="s">
        <v>14</v>
      </c>
      <c r="E48" t="s">
        <v>346</v>
      </c>
      <c r="F48" t="s">
        <v>367</v>
      </c>
      <c r="G48" t="s">
        <v>21</v>
      </c>
      <c r="H48" t="s">
        <v>441</v>
      </c>
      <c r="I48" s="54" t="s">
        <v>347</v>
      </c>
    </row>
    <row r="49" spans="1:9">
      <c r="A49" s="54" t="s">
        <v>361</v>
      </c>
      <c r="B49" t="s">
        <v>369</v>
      </c>
      <c r="C49" t="s">
        <v>17</v>
      </c>
      <c r="D49" t="s">
        <v>240</v>
      </c>
      <c r="E49" t="s">
        <v>346</v>
      </c>
      <c r="F49" t="s">
        <v>367</v>
      </c>
      <c r="G49" t="s">
        <v>21</v>
      </c>
      <c r="H49" t="s">
        <v>441</v>
      </c>
      <c r="I49" s="54" t="s">
        <v>347</v>
      </c>
    </row>
    <row r="50" spans="1:9">
      <c r="A50" s="54" t="s">
        <v>361</v>
      </c>
      <c r="B50" t="s">
        <v>369</v>
      </c>
      <c r="C50" t="s">
        <v>20</v>
      </c>
      <c r="D50" t="s">
        <v>173</v>
      </c>
      <c r="E50" t="s">
        <v>346</v>
      </c>
      <c r="F50" t="s">
        <v>367</v>
      </c>
      <c r="G50" t="s">
        <v>21</v>
      </c>
      <c r="H50" t="s">
        <v>441</v>
      </c>
      <c r="I50" s="54" t="s">
        <v>347</v>
      </c>
    </row>
    <row r="51" spans="1:9">
      <c r="A51" s="54" t="s">
        <v>356</v>
      </c>
      <c r="B51" t="s">
        <v>442</v>
      </c>
      <c r="C51" t="s">
        <v>4</v>
      </c>
      <c r="D51" t="s">
        <v>99</v>
      </c>
      <c r="E51" t="s">
        <v>99</v>
      </c>
      <c r="F51" t="s">
        <v>367</v>
      </c>
      <c r="G51" t="s">
        <v>21</v>
      </c>
      <c r="H51" t="s">
        <v>441</v>
      </c>
      <c r="I51" s="54" t="s">
        <v>443</v>
      </c>
    </row>
    <row r="52" spans="1:9">
      <c r="A52" s="54" t="s">
        <v>356</v>
      </c>
      <c r="B52" t="s">
        <v>442</v>
      </c>
      <c r="C52" t="s">
        <v>7</v>
      </c>
      <c r="D52" t="s">
        <v>100</v>
      </c>
      <c r="E52" t="s">
        <v>99</v>
      </c>
      <c r="F52" t="s">
        <v>367</v>
      </c>
      <c r="G52" t="s">
        <v>21</v>
      </c>
      <c r="H52" t="s">
        <v>441</v>
      </c>
      <c r="I52" s="54" t="s">
        <v>443</v>
      </c>
    </row>
    <row r="53" spans="1:9">
      <c r="A53" s="54" t="s">
        <v>356</v>
      </c>
      <c r="B53" t="s">
        <v>442</v>
      </c>
      <c r="C53" t="s">
        <v>9</v>
      </c>
      <c r="E53" t="s">
        <v>99</v>
      </c>
      <c r="F53" t="s">
        <v>367</v>
      </c>
      <c r="G53" t="s">
        <v>21</v>
      </c>
      <c r="H53" t="s">
        <v>441</v>
      </c>
      <c r="I53" s="54" t="s">
        <v>443</v>
      </c>
    </row>
    <row r="54" spans="1:9">
      <c r="A54" s="54" t="s">
        <v>356</v>
      </c>
      <c r="B54" t="s">
        <v>442</v>
      </c>
      <c r="C54" t="s">
        <v>10</v>
      </c>
      <c r="E54" t="s">
        <v>99</v>
      </c>
      <c r="F54" t="s">
        <v>367</v>
      </c>
      <c r="G54" t="s">
        <v>21</v>
      </c>
      <c r="H54" t="s">
        <v>441</v>
      </c>
      <c r="I54" s="54" t="s">
        <v>443</v>
      </c>
    </row>
    <row r="55" spans="1:9">
      <c r="A55" s="54" t="s">
        <v>356</v>
      </c>
      <c r="B55" t="s">
        <v>442</v>
      </c>
      <c r="C55" t="s">
        <v>12</v>
      </c>
      <c r="E55" t="s">
        <v>99</v>
      </c>
      <c r="F55" t="s">
        <v>367</v>
      </c>
      <c r="G55" t="s">
        <v>21</v>
      </c>
      <c r="H55" t="s">
        <v>441</v>
      </c>
      <c r="I55" s="54" t="s">
        <v>443</v>
      </c>
    </row>
    <row r="56" spans="1:9">
      <c r="A56" s="54" t="s">
        <v>356</v>
      </c>
      <c r="B56" t="s">
        <v>442</v>
      </c>
      <c r="C56" t="s">
        <v>14</v>
      </c>
      <c r="E56" t="s">
        <v>99</v>
      </c>
      <c r="F56" t="s">
        <v>367</v>
      </c>
      <c r="G56" t="s">
        <v>21</v>
      </c>
      <c r="H56" t="s">
        <v>441</v>
      </c>
      <c r="I56" s="54" t="s">
        <v>443</v>
      </c>
    </row>
    <row r="57" spans="1:9">
      <c r="A57" s="54" t="s">
        <v>356</v>
      </c>
      <c r="B57" t="s">
        <v>442</v>
      </c>
      <c r="C57" t="s">
        <v>17</v>
      </c>
      <c r="E57" t="s">
        <v>99</v>
      </c>
      <c r="F57" t="s">
        <v>367</v>
      </c>
      <c r="G57" t="s">
        <v>21</v>
      </c>
      <c r="H57" t="s">
        <v>441</v>
      </c>
      <c r="I57" s="54" t="s">
        <v>443</v>
      </c>
    </row>
    <row r="58" spans="1:9">
      <c r="A58" s="54" t="s">
        <v>356</v>
      </c>
      <c r="B58" t="s">
        <v>442</v>
      </c>
      <c r="C58" t="s">
        <v>20</v>
      </c>
      <c r="E58" t="s">
        <v>99</v>
      </c>
      <c r="F58" t="s">
        <v>367</v>
      </c>
      <c r="G58" t="s">
        <v>21</v>
      </c>
      <c r="H58" t="s">
        <v>441</v>
      </c>
      <c r="I58" s="54" t="s">
        <v>443</v>
      </c>
    </row>
    <row r="59" spans="1:9">
      <c r="A59" s="54" t="s">
        <v>356</v>
      </c>
      <c r="B59" t="s">
        <v>444</v>
      </c>
      <c r="C59" t="s">
        <v>4</v>
      </c>
      <c r="D59" t="s">
        <v>125</v>
      </c>
      <c r="E59" t="s">
        <v>125</v>
      </c>
      <c r="F59" t="s">
        <v>367</v>
      </c>
      <c r="G59" t="s">
        <v>21</v>
      </c>
      <c r="H59" t="s">
        <v>441</v>
      </c>
      <c r="I59" s="54" t="s">
        <v>126</v>
      </c>
    </row>
    <row r="60" spans="1:9">
      <c r="A60" s="54" t="s">
        <v>356</v>
      </c>
      <c r="B60" t="s">
        <v>444</v>
      </c>
      <c r="C60" t="s">
        <v>7</v>
      </c>
      <c r="D60" t="s">
        <v>126</v>
      </c>
      <c r="E60" t="s">
        <v>125</v>
      </c>
      <c r="F60" t="s">
        <v>367</v>
      </c>
      <c r="G60" t="s">
        <v>21</v>
      </c>
      <c r="H60" t="s">
        <v>441</v>
      </c>
      <c r="I60" s="54" t="s">
        <v>126</v>
      </c>
    </row>
    <row r="61" spans="1:9">
      <c r="A61" s="54" t="s">
        <v>356</v>
      </c>
      <c r="B61" t="s">
        <v>444</v>
      </c>
      <c r="C61" t="s">
        <v>9</v>
      </c>
      <c r="E61" t="s">
        <v>125</v>
      </c>
      <c r="F61" t="s">
        <v>367</v>
      </c>
      <c r="G61" t="s">
        <v>21</v>
      </c>
      <c r="H61" t="s">
        <v>441</v>
      </c>
      <c r="I61" s="54" t="s">
        <v>126</v>
      </c>
    </row>
    <row r="62" spans="1:9">
      <c r="A62" s="54" t="s">
        <v>356</v>
      </c>
      <c r="B62" t="s">
        <v>444</v>
      </c>
      <c r="C62" t="s">
        <v>10</v>
      </c>
      <c r="E62" t="s">
        <v>125</v>
      </c>
      <c r="F62" t="s">
        <v>367</v>
      </c>
      <c r="G62" t="s">
        <v>21</v>
      </c>
      <c r="H62" t="s">
        <v>441</v>
      </c>
      <c r="I62" s="54" t="s">
        <v>126</v>
      </c>
    </row>
    <row r="63" spans="1:9">
      <c r="A63" s="54" t="s">
        <v>356</v>
      </c>
      <c r="B63" t="s">
        <v>444</v>
      </c>
      <c r="C63" t="s">
        <v>12</v>
      </c>
      <c r="E63" t="s">
        <v>125</v>
      </c>
      <c r="F63" t="s">
        <v>367</v>
      </c>
      <c r="G63" t="s">
        <v>21</v>
      </c>
      <c r="H63" t="s">
        <v>441</v>
      </c>
      <c r="I63" s="54" t="s">
        <v>126</v>
      </c>
    </row>
    <row r="64" spans="1:9">
      <c r="A64" s="54" t="s">
        <v>356</v>
      </c>
      <c r="B64" t="s">
        <v>444</v>
      </c>
      <c r="C64" t="s">
        <v>14</v>
      </c>
      <c r="E64" t="s">
        <v>125</v>
      </c>
      <c r="F64" t="s">
        <v>367</v>
      </c>
      <c r="G64" t="s">
        <v>21</v>
      </c>
      <c r="H64" t="s">
        <v>441</v>
      </c>
      <c r="I64" s="54" t="s">
        <v>126</v>
      </c>
    </row>
    <row r="65" spans="1:9">
      <c r="A65" s="54" t="s">
        <v>356</v>
      </c>
      <c r="B65" t="s">
        <v>444</v>
      </c>
      <c r="C65" t="s">
        <v>17</v>
      </c>
      <c r="E65" t="s">
        <v>125</v>
      </c>
      <c r="F65" t="s">
        <v>367</v>
      </c>
      <c r="G65" t="s">
        <v>21</v>
      </c>
      <c r="H65" t="s">
        <v>441</v>
      </c>
      <c r="I65" s="54" t="s">
        <v>126</v>
      </c>
    </row>
    <row r="66" spans="1:9">
      <c r="A66" s="54" t="s">
        <v>356</v>
      </c>
      <c r="B66" t="s">
        <v>444</v>
      </c>
      <c r="C66" t="s">
        <v>20</v>
      </c>
      <c r="E66" t="s">
        <v>125</v>
      </c>
      <c r="F66" t="s">
        <v>367</v>
      </c>
      <c r="G66" t="s">
        <v>21</v>
      </c>
      <c r="H66" t="s">
        <v>441</v>
      </c>
      <c r="I66" s="54" t="s">
        <v>126</v>
      </c>
    </row>
    <row r="67" spans="1:9">
      <c r="A67" s="54" t="s">
        <v>356</v>
      </c>
      <c r="B67" t="s">
        <v>445</v>
      </c>
      <c r="C67" t="s">
        <v>4</v>
      </c>
      <c r="D67" t="s">
        <v>127</v>
      </c>
      <c r="E67" t="s">
        <v>127</v>
      </c>
      <c r="F67" t="s">
        <v>367</v>
      </c>
      <c r="G67" t="s">
        <v>21</v>
      </c>
      <c r="H67" t="s">
        <v>441</v>
      </c>
      <c r="I67" s="54" t="s">
        <v>128</v>
      </c>
    </row>
    <row r="68" spans="1:9">
      <c r="A68" s="54" t="s">
        <v>356</v>
      </c>
      <c r="B68" t="s">
        <v>445</v>
      </c>
      <c r="C68" t="s">
        <v>7</v>
      </c>
      <c r="D68" t="s">
        <v>128</v>
      </c>
      <c r="E68" t="s">
        <v>127</v>
      </c>
      <c r="F68" t="s">
        <v>367</v>
      </c>
      <c r="G68" t="s">
        <v>21</v>
      </c>
      <c r="H68" t="s">
        <v>441</v>
      </c>
      <c r="I68" s="54" t="s">
        <v>128</v>
      </c>
    </row>
    <row r="69" spans="1:9">
      <c r="A69" s="54" t="s">
        <v>356</v>
      </c>
      <c r="B69" t="s">
        <v>445</v>
      </c>
      <c r="C69" t="s">
        <v>9</v>
      </c>
      <c r="E69" t="s">
        <v>127</v>
      </c>
      <c r="F69" t="s">
        <v>367</v>
      </c>
      <c r="G69" t="s">
        <v>21</v>
      </c>
      <c r="H69" t="s">
        <v>441</v>
      </c>
      <c r="I69" s="54" t="s">
        <v>128</v>
      </c>
    </row>
    <row r="70" spans="1:9">
      <c r="A70" s="54" t="s">
        <v>356</v>
      </c>
      <c r="B70" t="s">
        <v>445</v>
      </c>
      <c r="C70" t="s">
        <v>10</v>
      </c>
      <c r="E70" t="s">
        <v>127</v>
      </c>
      <c r="F70" t="s">
        <v>367</v>
      </c>
      <c r="G70" t="s">
        <v>21</v>
      </c>
      <c r="H70" t="s">
        <v>441</v>
      </c>
      <c r="I70" s="54" t="s">
        <v>128</v>
      </c>
    </row>
    <row r="71" spans="1:9">
      <c r="A71" s="54" t="s">
        <v>356</v>
      </c>
      <c r="B71" t="s">
        <v>445</v>
      </c>
      <c r="C71" t="s">
        <v>12</v>
      </c>
      <c r="E71" t="s">
        <v>127</v>
      </c>
      <c r="F71" t="s">
        <v>367</v>
      </c>
      <c r="G71" t="s">
        <v>21</v>
      </c>
      <c r="H71" t="s">
        <v>441</v>
      </c>
      <c r="I71" s="54" t="s">
        <v>128</v>
      </c>
    </row>
    <row r="72" spans="1:9">
      <c r="A72" s="54" t="s">
        <v>356</v>
      </c>
      <c r="B72" t="s">
        <v>445</v>
      </c>
      <c r="C72" t="s">
        <v>14</v>
      </c>
      <c r="E72" t="s">
        <v>127</v>
      </c>
      <c r="F72" t="s">
        <v>367</v>
      </c>
      <c r="G72" t="s">
        <v>21</v>
      </c>
      <c r="H72" t="s">
        <v>441</v>
      </c>
      <c r="I72" s="54" t="s">
        <v>128</v>
      </c>
    </row>
    <row r="73" spans="1:9">
      <c r="A73" s="54" t="s">
        <v>356</v>
      </c>
      <c r="B73" t="s">
        <v>445</v>
      </c>
      <c r="C73" t="s">
        <v>17</v>
      </c>
      <c r="E73" t="s">
        <v>127</v>
      </c>
      <c r="F73" t="s">
        <v>367</v>
      </c>
      <c r="G73" t="s">
        <v>21</v>
      </c>
      <c r="H73" t="s">
        <v>441</v>
      </c>
      <c r="I73" s="54" t="s">
        <v>128</v>
      </c>
    </row>
    <row r="74" spans="1:9">
      <c r="A74" s="54" t="s">
        <v>356</v>
      </c>
      <c r="B74" t="s">
        <v>445</v>
      </c>
      <c r="C74" t="s">
        <v>20</v>
      </c>
      <c r="E74" t="s">
        <v>127</v>
      </c>
      <c r="F74" t="s">
        <v>367</v>
      </c>
      <c r="G74" t="s">
        <v>21</v>
      </c>
      <c r="H74" t="s">
        <v>441</v>
      </c>
      <c r="I74" s="54" t="s">
        <v>128</v>
      </c>
    </row>
    <row r="75" spans="1:9">
      <c r="A75" s="54" t="s">
        <v>356</v>
      </c>
      <c r="B75" t="s">
        <v>446</v>
      </c>
      <c r="C75" t="s">
        <v>4</v>
      </c>
      <c r="D75" t="s">
        <v>129</v>
      </c>
      <c r="E75" t="s">
        <v>129</v>
      </c>
      <c r="F75" t="s">
        <v>367</v>
      </c>
      <c r="G75" t="s">
        <v>21</v>
      </c>
      <c r="H75" t="s">
        <v>441</v>
      </c>
      <c r="I75" s="54" t="s">
        <v>130</v>
      </c>
    </row>
    <row r="76" spans="1:9">
      <c r="A76" s="54" t="s">
        <v>356</v>
      </c>
      <c r="B76" t="s">
        <v>446</v>
      </c>
      <c r="C76" t="s">
        <v>7</v>
      </c>
      <c r="D76" t="s">
        <v>130</v>
      </c>
      <c r="E76" t="s">
        <v>129</v>
      </c>
      <c r="F76" t="s">
        <v>367</v>
      </c>
      <c r="G76" t="s">
        <v>21</v>
      </c>
      <c r="H76" t="s">
        <v>441</v>
      </c>
      <c r="I76" s="54" t="s">
        <v>130</v>
      </c>
    </row>
    <row r="77" spans="1:9">
      <c r="A77" s="54" t="s">
        <v>356</v>
      </c>
      <c r="B77" t="s">
        <v>446</v>
      </c>
      <c r="C77" t="s">
        <v>9</v>
      </c>
      <c r="E77" t="s">
        <v>129</v>
      </c>
      <c r="F77" t="s">
        <v>367</v>
      </c>
      <c r="G77" t="s">
        <v>21</v>
      </c>
      <c r="H77" t="s">
        <v>441</v>
      </c>
      <c r="I77" s="54" t="s">
        <v>130</v>
      </c>
    </row>
    <row r="78" spans="1:9">
      <c r="A78" s="54" t="s">
        <v>356</v>
      </c>
      <c r="B78" t="s">
        <v>446</v>
      </c>
      <c r="C78" t="s">
        <v>10</v>
      </c>
      <c r="E78" t="s">
        <v>129</v>
      </c>
      <c r="F78" t="s">
        <v>367</v>
      </c>
      <c r="G78" t="s">
        <v>21</v>
      </c>
      <c r="H78" t="s">
        <v>441</v>
      </c>
      <c r="I78" s="54" t="s">
        <v>130</v>
      </c>
    </row>
    <row r="79" spans="1:9">
      <c r="A79" s="54" t="s">
        <v>356</v>
      </c>
      <c r="B79" t="s">
        <v>446</v>
      </c>
      <c r="C79" t="s">
        <v>12</v>
      </c>
      <c r="E79" t="s">
        <v>129</v>
      </c>
      <c r="F79" t="s">
        <v>367</v>
      </c>
      <c r="G79" t="s">
        <v>21</v>
      </c>
      <c r="H79" t="s">
        <v>441</v>
      </c>
      <c r="I79" s="54" t="s">
        <v>130</v>
      </c>
    </row>
    <row r="80" spans="1:9">
      <c r="A80" s="54" t="s">
        <v>356</v>
      </c>
      <c r="B80" t="s">
        <v>446</v>
      </c>
      <c r="C80" t="s">
        <v>14</v>
      </c>
      <c r="E80" t="s">
        <v>129</v>
      </c>
      <c r="F80" t="s">
        <v>367</v>
      </c>
      <c r="G80" t="s">
        <v>21</v>
      </c>
      <c r="H80" t="s">
        <v>441</v>
      </c>
      <c r="I80" s="54" t="s">
        <v>130</v>
      </c>
    </row>
    <row r="81" spans="1:9">
      <c r="A81" s="54" t="s">
        <v>356</v>
      </c>
      <c r="B81" t="s">
        <v>446</v>
      </c>
      <c r="C81" t="s">
        <v>17</v>
      </c>
      <c r="E81" t="s">
        <v>129</v>
      </c>
      <c r="F81" t="s">
        <v>367</v>
      </c>
      <c r="G81" t="s">
        <v>21</v>
      </c>
      <c r="H81" t="s">
        <v>441</v>
      </c>
      <c r="I81" s="54" t="s">
        <v>130</v>
      </c>
    </row>
    <row r="82" spans="1:9">
      <c r="A82" s="54" t="s">
        <v>356</v>
      </c>
      <c r="B82" t="s">
        <v>446</v>
      </c>
      <c r="C82" t="s">
        <v>20</v>
      </c>
      <c r="E82" t="s">
        <v>129</v>
      </c>
      <c r="F82" t="s">
        <v>367</v>
      </c>
      <c r="G82" t="s">
        <v>21</v>
      </c>
      <c r="H82" t="s">
        <v>441</v>
      </c>
      <c r="I82" s="54" t="s">
        <v>130</v>
      </c>
    </row>
    <row r="83" spans="1:9">
      <c r="A83" s="54" t="s">
        <v>356</v>
      </c>
      <c r="B83" t="s">
        <v>447</v>
      </c>
      <c r="C83" t="s">
        <v>4</v>
      </c>
      <c r="D83" t="s">
        <v>131</v>
      </c>
      <c r="E83" t="s">
        <v>131</v>
      </c>
      <c r="F83" t="s">
        <v>367</v>
      </c>
      <c r="G83" t="s">
        <v>21</v>
      </c>
      <c r="H83" t="s">
        <v>441</v>
      </c>
      <c r="I83" s="54" t="s">
        <v>132</v>
      </c>
    </row>
    <row r="84" spans="1:9">
      <c r="A84" s="54" t="s">
        <v>356</v>
      </c>
      <c r="B84" t="s">
        <v>447</v>
      </c>
      <c r="C84" t="s">
        <v>7</v>
      </c>
      <c r="D84" t="s">
        <v>132</v>
      </c>
      <c r="E84" t="s">
        <v>131</v>
      </c>
      <c r="F84" t="s">
        <v>367</v>
      </c>
      <c r="G84" t="s">
        <v>21</v>
      </c>
      <c r="H84" t="s">
        <v>441</v>
      </c>
      <c r="I84" s="54" t="s">
        <v>132</v>
      </c>
    </row>
    <row r="85" spans="1:9">
      <c r="A85" s="54" t="s">
        <v>356</v>
      </c>
      <c r="B85" t="s">
        <v>447</v>
      </c>
      <c r="C85" t="s">
        <v>9</v>
      </c>
      <c r="E85" t="s">
        <v>131</v>
      </c>
      <c r="F85" t="s">
        <v>367</v>
      </c>
      <c r="G85" t="s">
        <v>21</v>
      </c>
      <c r="H85" t="s">
        <v>441</v>
      </c>
      <c r="I85" s="54" t="s">
        <v>132</v>
      </c>
    </row>
    <row r="86" spans="1:9">
      <c r="A86" s="54" t="s">
        <v>356</v>
      </c>
      <c r="B86" t="s">
        <v>447</v>
      </c>
      <c r="C86" t="s">
        <v>10</v>
      </c>
      <c r="E86" t="s">
        <v>131</v>
      </c>
      <c r="F86" t="s">
        <v>367</v>
      </c>
      <c r="G86" t="s">
        <v>21</v>
      </c>
      <c r="H86" t="s">
        <v>441</v>
      </c>
      <c r="I86" s="54" t="s">
        <v>132</v>
      </c>
    </row>
    <row r="87" spans="1:9">
      <c r="A87" s="54" t="s">
        <v>356</v>
      </c>
      <c r="B87" t="s">
        <v>447</v>
      </c>
      <c r="C87" t="s">
        <v>12</v>
      </c>
      <c r="E87" t="s">
        <v>131</v>
      </c>
      <c r="F87" t="s">
        <v>367</v>
      </c>
      <c r="G87" t="s">
        <v>21</v>
      </c>
      <c r="H87" t="s">
        <v>441</v>
      </c>
      <c r="I87" s="54" t="s">
        <v>132</v>
      </c>
    </row>
    <row r="88" spans="1:9">
      <c r="A88" s="54" t="s">
        <v>356</v>
      </c>
      <c r="B88" t="s">
        <v>447</v>
      </c>
      <c r="C88" t="s">
        <v>14</v>
      </c>
      <c r="E88" t="s">
        <v>131</v>
      </c>
      <c r="F88" t="s">
        <v>367</v>
      </c>
      <c r="G88" t="s">
        <v>21</v>
      </c>
      <c r="H88" t="s">
        <v>441</v>
      </c>
      <c r="I88" s="54" t="s">
        <v>132</v>
      </c>
    </row>
    <row r="89" spans="1:9">
      <c r="A89" s="54" t="s">
        <v>356</v>
      </c>
      <c r="B89" t="s">
        <v>447</v>
      </c>
      <c r="C89" t="s">
        <v>17</v>
      </c>
      <c r="E89" t="s">
        <v>131</v>
      </c>
      <c r="F89" t="s">
        <v>367</v>
      </c>
      <c r="G89" t="s">
        <v>21</v>
      </c>
      <c r="H89" t="s">
        <v>441</v>
      </c>
      <c r="I89" s="54" t="s">
        <v>132</v>
      </c>
    </row>
    <row r="90" spans="1:9">
      <c r="A90" s="54" t="s">
        <v>356</v>
      </c>
      <c r="B90" t="s">
        <v>447</v>
      </c>
      <c r="C90" t="s">
        <v>20</v>
      </c>
      <c r="E90" t="s">
        <v>131</v>
      </c>
      <c r="F90" t="s">
        <v>367</v>
      </c>
      <c r="G90" t="s">
        <v>21</v>
      </c>
      <c r="H90" t="s">
        <v>441</v>
      </c>
      <c r="I90" s="54" t="s">
        <v>132</v>
      </c>
    </row>
    <row r="91" spans="1:9">
      <c r="A91" s="54" t="s">
        <v>356</v>
      </c>
      <c r="B91" t="s">
        <v>448</v>
      </c>
      <c r="C91" t="s">
        <v>4</v>
      </c>
      <c r="D91" t="s">
        <v>133</v>
      </c>
      <c r="E91" t="s">
        <v>133</v>
      </c>
      <c r="F91" t="s">
        <v>367</v>
      </c>
      <c r="G91" t="s">
        <v>21</v>
      </c>
      <c r="H91" t="s">
        <v>441</v>
      </c>
      <c r="I91" s="54" t="s">
        <v>134</v>
      </c>
    </row>
    <row r="92" spans="1:9">
      <c r="A92" s="54" t="s">
        <v>356</v>
      </c>
      <c r="B92" t="s">
        <v>448</v>
      </c>
      <c r="C92" t="s">
        <v>7</v>
      </c>
      <c r="D92" t="s">
        <v>134</v>
      </c>
      <c r="E92" t="s">
        <v>133</v>
      </c>
      <c r="F92" t="s">
        <v>367</v>
      </c>
      <c r="G92" t="s">
        <v>21</v>
      </c>
      <c r="H92" t="s">
        <v>441</v>
      </c>
      <c r="I92" s="54" t="s">
        <v>134</v>
      </c>
    </row>
    <row r="93" spans="1:9">
      <c r="A93" s="54" t="s">
        <v>356</v>
      </c>
      <c r="B93" t="s">
        <v>448</v>
      </c>
      <c r="C93" t="s">
        <v>9</v>
      </c>
      <c r="E93" t="s">
        <v>133</v>
      </c>
      <c r="F93" t="s">
        <v>367</v>
      </c>
      <c r="G93" t="s">
        <v>21</v>
      </c>
      <c r="H93" t="s">
        <v>441</v>
      </c>
      <c r="I93" s="54" t="s">
        <v>134</v>
      </c>
    </row>
    <row r="94" spans="1:9">
      <c r="A94" s="54" t="s">
        <v>356</v>
      </c>
      <c r="B94" t="s">
        <v>448</v>
      </c>
      <c r="C94" t="s">
        <v>10</v>
      </c>
      <c r="E94" t="s">
        <v>133</v>
      </c>
      <c r="F94" t="s">
        <v>367</v>
      </c>
      <c r="G94" t="s">
        <v>21</v>
      </c>
      <c r="H94" t="s">
        <v>441</v>
      </c>
      <c r="I94" s="54" t="s">
        <v>134</v>
      </c>
    </row>
    <row r="95" spans="1:9">
      <c r="A95" s="54" t="s">
        <v>356</v>
      </c>
      <c r="B95" t="s">
        <v>448</v>
      </c>
      <c r="C95" t="s">
        <v>12</v>
      </c>
      <c r="E95" t="s">
        <v>133</v>
      </c>
      <c r="F95" t="s">
        <v>367</v>
      </c>
      <c r="G95" t="s">
        <v>21</v>
      </c>
      <c r="H95" t="s">
        <v>441</v>
      </c>
      <c r="I95" s="54" t="s">
        <v>134</v>
      </c>
    </row>
    <row r="96" spans="1:9">
      <c r="A96" s="54" t="s">
        <v>356</v>
      </c>
      <c r="B96" t="s">
        <v>448</v>
      </c>
      <c r="C96" t="s">
        <v>14</v>
      </c>
      <c r="E96" t="s">
        <v>133</v>
      </c>
      <c r="F96" t="s">
        <v>367</v>
      </c>
      <c r="G96" t="s">
        <v>21</v>
      </c>
      <c r="H96" t="s">
        <v>441</v>
      </c>
      <c r="I96" s="54" t="s">
        <v>134</v>
      </c>
    </row>
    <row r="97" spans="1:9">
      <c r="A97" s="54" t="s">
        <v>356</v>
      </c>
      <c r="B97" t="s">
        <v>448</v>
      </c>
      <c r="C97" t="s">
        <v>17</v>
      </c>
      <c r="E97" t="s">
        <v>133</v>
      </c>
      <c r="F97" t="s">
        <v>367</v>
      </c>
      <c r="G97" t="s">
        <v>21</v>
      </c>
      <c r="H97" t="s">
        <v>441</v>
      </c>
      <c r="I97" s="54" t="s">
        <v>134</v>
      </c>
    </row>
    <row r="98" spans="1:9">
      <c r="A98" s="54" t="s">
        <v>356</v>
      </c>
      <c r="B98" t="s">
        <v>448</v>
      </c>
      <c r="C98" t="s">
        <v>20</v>
      </c>
      <c r="E98" t="s">
        <v>133</v>
      </c>
      <c r="F98" t="s">
        <v>367</v>
      </c>
      <c r="G98" t="s">
        <v>21</v>
      </c>
      <c r="H98" t="s">
        <v>441</v>
      </c>
      <c r="I98" s="54" t="s">
        <v>134</v>
      </c>
    </row>
    <row r="99" spans="1:9">
      <c r="A99" s="54" t="s">
        <v>356</v>
      </c>
      <c r="B99" t="s">
        <v>449</v>
      </c>
      <c r="C99" t="s">
        <v>4</v>
      </c>
      <c r="D99" t="s">
        <v>135</v>
      </c>
      <c r="E99" t="s">
        <v>135</v>
      </c>
      <c r="F99" t="s">
        <v>367</v>
      </c>
      <c r="G99" t="s">
        <v>21</v>
      </c>
      <c r="H99" t="s">
        <v>441</v>
      </c>
      <c r="I99" s="54" t="s">
        <v>450</v>
      </c>
    </row>
    <row r="100" spans="1:9">
      <c r="A100" s="54" t="s">
        <v>356</v>
      </c>
      <c r="B100" t="s">
        <v>449</v>
      </c>
      <c r="C100" t="s">
        <v>7</v>
      </c>
      <c r="D100" t="s">
        <v>136</v>
      </c>
      <c r="E100" t="s">
        <v>135</v>
      </c>
      <c r="F100" t="s">
        <v>367</v>
      </c>
      <c r="G100" t="s">
        <v>21</v>
      </c>
      <c r="H100" t="s">
        <v>441</v>
      </c>
      <c r="I100" s="54" t="s">
        <v>450</v>
      </c>
    </row>
    <row r="101" spans="1:9">
      <c r="A101" s="54" t="s">
        <v>356</v>
      </c>
      <c r="B101" t="s">
        <v>449</v>
      </c>
      <c r="C101" t="s">
        <v>9</v>
      </c>
      <c r="E101" t="s">
        <v>135</v>
      </c>
      <c r="F101" t="s">
        <v>367</v>
      </c>
      <c r="G101" t="s">
        <v>21</v>
      </c>
      <c r="H101" t="s">
        <v>441</v>
      </c>
      <c r="I101" s="54" t="s">
        <v>450</v>
      </c>
    </row>
    <row r="102" spans="1:9">
      <c r="A102" s="54" t="s">
        <v>356</v>
      </c>
      <c r="B102" t="s">
        <v>449</v>
      </c>
      <c r="C102" t="s">
        <v>10</v>
      </c>
      <c r="E102" t="s">
        <v>135</v>
      </c>
      <c r="F102" t="s">
        <v>367</v>
      </c>
      <c r="G102" t="s">
        <v>21</v>
      </c>
      <c r="H102" t="s">
        <v>441</v>
      </c>
      <c r="I102" s="54" t="s">
        <v>450</v>
      </c>
    </row>
    <row r="103" spans="1:9">
      <c r="A103" s="54" t="s">
        <v>356</v>
      </c>
      <c r="B103" t="s">
        <v>449</v>
      </c>
      <c r="C103" t="s">
        <v>12</v>
      </c>
      <c r="E103" t="s">
        <v>135</v>
      </c>
      <c r="F103" t="s">
        <v>367</v>
      </c>
      <c r="G103" t="s">
        <v>21</v>
      </c>
      <c r="H103" t="s">
        <v>441</v>
      </c>
      <c r="I103" s="54" t="s">
        <v>450</v>
      </c>
    </row>
    <row r="104" spans="1:9">
      <c r="A104" s="54" t="s">
        <v>356</v>
      </c>
      <c r="B104" t="s">
        <v>449</v>
      </c>
      <c r="C104" t="s">
        <v>14</v>
      </c>
      <c r="E104" t="s">
        <v>135</v>
      </c>
      <c r="F104" t="s">
        <v>367</v>
      </c>
      <c r="G104" t="s">
        <v>21</v>
      </c>
      <c r="H104" t="s">
        <v>441</v>
      </c>
      <c r="I104" s="54" t="s">
        <v>450</v>
      </c>
    </row>
    <row r="105" spans="1:9">
      <c r="A105" s="54" t="s">
        <v>356</v>
      </c>
      <c r="B105" t="s">
        <v>449</v>
      </c>
      <c r="C105" t="s">
        <v>17</v>
      </c>
      <c r="E105" t="s">
        <v>135</v>
      </c>
      <c r="F105" t="s">
        <v>367</v>
      </c>
      <c r="G105" t="s">
        <v>21</v>
      </c>
      <c r="H105" t="s">
        <v>441</v>
      </c>
      <c r="I105" s="54" t="s">
        <v>450</v>
      </c>
    </row>
    <row r="106" spans="1:9">
      <c r="A106" s="54" t="s">
        <v>356</v>
      </c>
      <c r="B106" t="s">
        <v>449</v>
      </c>
      <c r="C106" t="s">
        <v>20</v>
      </c>
      <c r="E106" t="s">
        <v>135</v>
      </c>
      <c r="F106" t="s">
        <v>367</v>
      </c>
      <c r="G106" t="s">
        <v>21</v>
      </c>
      <c r="H106" t="s">
        <v>441</v>
      </c>
      <c r="I106" s="54" t="s">
        <v>450</v>
      </c>
    </row>
    <row r="107" spans="1:9">
      <c r="A107" s="54" t="s">
        <v>356</v>
      </c>
      <c r="B107" t="s">
        <v>451</v>
      </c>
      <c r="C107" t="s">
        <v>4</v>
      </c>
      <c r="D107" t="s">
        <v>137</v>
      </c>
      <c r="E107" t="s">
        <v>137</v>
      </c>
      <c r="F107" t="s">
        <v>367</v>
      </c>
      <c r="G107" t="s">
        <v>21</v>
      </c>
      <c r="H107" t="s">
        <v>441</v>
      </c>
      <c r="I107" s="54" t="s">
        <v>452</v>
      </c>
    </row>
    <row r="108" spans="1:9">
      <c r="A108" s="54" t="s">
        <v>356</v>
      </c>
      <c r="B108" t="s">
        <v>451</v>
      </c>
      <c r="C108" t="s">
        <v>7</v>
      </c>
      <c r="D108" t="s">
        <v>139</v>
      </c>
      <c r="E108" t="s">
        <v>137</v>
      </c>
      <c r="F108" t="s">
        <v>367</v>
      </c>
      <c r="G108" t="s">
        <v>21</v>
      </c>
      <c r="H108" t="s">
        <v>441</v>
      </c>
      <c r="I108" s="54" t="s">
        <v>452</v>
      </c>
    </row>
    <row r="109" spans="1:9">
      <c r="A109" s="54" t="s">
        <v>356</v>
      </c>
      <c r="B109" t="s">
        <v>451</v>
      </c>
      <c r="C109" t="s">
        <v>9</v>
      </c>
      <c r="D109">
        <v>20</v>
      </c>
      <c r="E109" t="s">
        <v>137</v>
      </c>
      <c r="F109" t="s">
        <v>367</v>
      </c>
      <c r="G109" t="s">
        <v>21</v>
      </c>
      <c r="H109" t="s">
        <v>441</v>
      </c>
      <c r="I109" s="54" t="s">
        <v>452</v>
      </c>
    </row>
    <row r="110" spans="1:9">
      <c r="A110" s="54" t="s">
        <v>356</v>
      </c>
      <c r="B110" t="s">
        <v>451</v>
      </c>
      <c r="C110" t="s">
        <v>10</v>
      </c>
      <c r="D110">
        <v>1</v>
      </c>
      <c r="E110" t="s">
        <v>137</v>
      </c>
      <c r="F110" t="s">
        <v>367</v>
      </c>
      <c r="G110" t="s">
        <v>21</v>
      </c>
      <c r="H110" t="s">
        <v>441</v>
      </c>
      <c r="I110" s="54" t="s">
        <v>452</v>
      </c>
    </row>
    <row r="111" spans="1:9">
      <c r="A111" s="54" t="s">
        <v>356</v>
      </c>
      <c r="B111" t="s">
        <v>451</v>
      </c>
      <c r="C111" t="s">
        <v>12</v>
      </c>
      <c r="D111">
        <v>6</v>
      </c>
      <c r="E111" t="s">
        <v>137</v>
      </c>
      <c r="F111" t="s">
        <v>367</v>
      </c>
      <c r="G111" t="s">
        <v>21</v>
      </c>
      <c r="H111" t="s">
        <v>441</v>
      </c>
      <c r="I111" s="54" t="s">
        <v>452</v>
      </c>
    </row>
    <row r="112" spans="1:9">
      <c r="A112" s="54" t="s">
        <v>356</v>
      </c>
      <c r="B112" t="s">
        <v>451</v>
      </c>
      <c r="C112" t="s">
        <v>14</v>
      </c>
      <c r="D112" t="s">
        <v>140</v>
      </c>
      <c r="E112" t="s">
        <v>137</v>
      </c>
      <c r="F112" t="s">
        <v>367</v>
      </c>
      <c r="G112" t="s">
        <v>21</v>
      </c>
      <c r="H112" t="s">
        <v>441</v>
      </c>
      <c r="I112" s="54" t="s">
        <v>452</v>
      </c>
    </row>
    <row r="113" spans="1:9">
      <c r="A113" s="54" t="s">
        <v>356</v>
      </c>
      <c r="B113" t="s">
        <v>451</v>
      </c>
      <c r="C113" t="s">
        <v>17</v>
      </c>
      <c r="D113" t="s">
        <v>18</v>
      </c>
      <c r="E113" t="s">
        <v>137</v>
      </c>
      <c r="F113" t="s">
        <v>367</v>
      </c>
      <c r="G113" t="s">
        <v>21</v>
      </c>
      <c r="H113" t="s">
        <v>441</v>
      </c>
      <c r="I113" s="54" t="s">
        <v>452</v>
      </c>
    </row>
    <row r="114" spans="1:9">
      <c r="A114" s="54" t="s">
        <v>356</v>
      </c>
      <c r="B114" t="s">
        <v>451</v>
      </c>
      <c r="C114" t="s">
        <v>20</v>
      </c>
      <c r="D114" t="s">
        <v>21</v>
      </c>
      <c r="E114" t="s">
        <v>137</v>
      </c>
      <c r="F114" t="s">
        <v>367</v>
      </c>
      <c r="G114" t="s">
        <v>21</v>
      </c>
      <c r="H114" t="s">
        <v>441</v>
      </c>
      <c r="I114" s="54" t="s">
        <v>452</v>
      </c>
    </row>
    <row r="115" spans="1:9">
      <c r="A115" s="54" t="s">
        <v>356</v>
      </c>
      <c r="B115" t="s">
        <v>453</v>
      </c>
      <c r="C115" t="s">
        <v>4</v>
      </c>
      <c r="D115" t="s">
        <v>163</v>
      </c>
      <c r="E115" t="s">
        <v>163</v>
      </c>
      <c r="F115" t="s">
        <v>367</v>
      </c>
      <c r="G115" t="s">
        <v>21</v>
      </c>
      <c r="H115" t="s">
        <v>441</v>
      </c>
      <c r="I115" s="54" t="s">
        <v>454</v>
      </c>
    </row>
    <row r="116" spans="1:9">
      <c r="A116" s="54" t="s">
        <v>356</v>
      </c>
      <c r="B116" t="s">
        <v>453</v>
      </c>
      <c r="C116" t="s">
        <v>7</v>
      </c>
      <c r="D116" t="s">
        <v>164</v>
      </c>
      <c r="E116" t="s">
        <v>163</v>
      </c>
      <c r="F116" t="s">
        <v>367</v>
      </c>
      <c r="G116" t="s">
        <v>21</v>
      </c>
      <c r="H116" t="s">
        <v>441</v>
      </c>
      <c r="I116" s="54" t="s">
        <v>454</v>
      </c>
    </row>
    <row r="117" spans="1:9">
      <c r="A117" s="54" t="s">
        <v>356</v>
      </c>
      <c r="B117" t="s">
        <v>453</v>
      </c>
      <c r="C117" t="s">
        <v>9</v>
      </c>
      <c r="E117" t="s">
        <v>163</v>
      </c>
      <c r="F117" t="s">
        <v>367</v>
      </c>
      <c r="G117" t="s">
        <v>21</v>
      </c>
      <c r="H117" t="s">
        <v>441</v>
      </c>
      <c r="I117" s="54" t="s">
        <v>454</v>
      </c>
    </row>
    <row r="118" spans="1:9">
      <c r="A118" s="54" t="s">
        <v>356</v>
      </c>
      <c r="B118" t="s">
        <v>453</v>
      </c>
      <c r="C118" t="s">
        <v>10</v>
      </c>
      <c r="E118" t="s">
        <v>163</v>
      </c>
      <c r="F118" t="s">
        <v>367</v>
      </c>
      <c r="G118" t="s">
        <v>21</v>
      </c>
      <c r="H118" t="s">
        <v>441</v>
      </c>
      <c r="I118" s="54" t="s">
        <v>454</v>
      </c>
    </row>
    <row r="119" spans="1:9">
      <c r="A119" s="54" t="s">
        <v>356</v>
      </c>
      <c r="B119" t="s">
        <v>453</v>
      </c>
      <c r="C119" t="s">
        <v>12</v>
      </c>
      <c r="E119" t="s">
        <v>163</v>
      </c>
      <c r="F119" t="s">
        <v>367</v>
      </c>
      <c r="G119" t="s">
        <v>21</v>
      </c>
      <c r="H119" t="s">
        <v>441</v>
      </c>
      <c r="I119" s="54" t="s">
        <v>454</v>
      </c>
    </row>
    <row r="120" spans="1:9">
      <c r="A120" s="54" t="s">
        <v>356</v>
      </c>
      <c r="B120" t="s">
        <v>453</v>
      </c>
      <c r="C120" t="s">
        <v>14</v>
      </c>
      <c r="E120" t="s">
        <v>163</v>
      </c>
      <c r="F120" t="s">
        <v>367</v>
      </c>
      <c r="G120" t="s">
        <v>21</v>
      </c>
      <c r="H120" t="s">
        <v>441</v>
      </c>
      <c r="I120" s="54" t="s">
        <v>454</v>
      </c>
    </row>
    <row r="121" spans="1:9">
      <c r="A121" s="54" t="s">
        <v>356</v>
      </c>
      <c r="B121" t="s">
        <v>453</v>
      </c>
      <c r="C121" t="s">
        <v>17</v>
      </c>
      <c r="E121" t="s">
        <v>163</v>
      </c>
      <c r="F121" t="s">
        <v>367</v>
      </c>
      <c r="G121" t="s">
        <v>21</v>
      </c>
      <c r="H121" t="s">
        <v>441</v>
      </c>
      <c r="I121" s="54" t="s">
        <v>454</v>
      </c>
    </row>
    <row r="122" spans="1:9">
      <c r="A122" s="54" t="s">
        <v>356</v>
      </c>
      <c r="B122" t="s">
        <v>453</v>
      </c>
      <c r="C122" t="s">
        <v>20</v>
      </c>
      <c r="E122" t="s">
        <v>163</v>
      </c>
      <c r="F122" t="s">
        <v>367</v>
      </c>
      <c r="G122" t="s">
        <v>21</v>
      </c>
      <c r="H122" t="s">
        <v>441</v>
      </c>
      <c r="I122" s="54" t="s">
        <v>454</v>
      </c>
    </row>
    <row r="123" spans="1:9">
      <c r="A123" s="54" t="s">
        <v>356</v>
      </c>
      <c r="B123" t="s">
        <v>376</v>
      </c>
      <c r="C123" t="s">
        <v>4</v>
      </c>
      <c r="D123" t="s">
        <v>165</v>
      </c>
      <c r="E123" t="s">
        <v>165</v>
      </c>
      <c r="F123" t="s">
        <v>367</v>
      </c>
      <c r="G123" t="s">
        <v>21</v>
      </c>
      <c r="H123" t="s">
        <v>441</v>
      </c>
      <c r="I123" s="54" t="s">
        <v>167</v>
      </c>
    </row>
    <row r="124" spans="1:9">
      <c r="A124" s="54" t="s">
        <v>356</v>
      </c>
      <c r="B124" t="s">
        <v>376</v>
      </c>
      <c r="C124" t="s">
        <v>7</v>
      </c>
      <c r="D124" t="s">
        <v>167</v>
      </c>
      <c r="E124" t="s">
        <v>165</v>
      </c>
      <c r="F124" t="s">
        <v>367</v>
      </c>
      <c r="G124" t="s">
        <v>21</v>
      </c>
      <c r="H124" t="s">
        <v>441</v>
      </c>
      <c r="I124" s="54" t="s">
        <v>167</v>
      </c>
    </row>
    <row r="125" spans="1:9">
      <c r="A125" s="54" t="s">
        <v>356</v>
      </c>
      <c r="B125" t="s">
        <v>376</v>
      </c>
      <c r="C125" t="s">
        <v>9</v>
      </c>
      <c r="D125">
        <v>20</v>
      </c>
      <c r="E125" t="s">
        <v>165</v>
      </c>
      <c r="F125" t="s">
        <v>367</v>
      </c>
      <c r="G125" t="s">
        <v>21</v>
      </c>
      <c r="H125" t="s">
        <v>441</v>
      </c>
      <c r="I125" s="54" t="s">
        <v>167</v>
      </c>
    </row>
    <row r="126" spans="1:9">
      <c r="A126" s="54" t="s">
        <v>356</v>
      </c>
      <c r="B126" t="s">
        <v>376</v>
      </c>
      <c r="C126" t="s">
        <v>10</v>
      </c>
      <c r="D126">
        <v>1</v>
      </c>
      <c r="E126" t="s">
        <v>165</v>
      </c>
      <c r="F126" t="s">
        <v>367</v>
      </c>
      <c r="G126" t="s">
        <v>21</v>
      </c>
      <c r="H126" t="s">
        <v>441</v>
      </c>
      <c r="I126" s="54" t="s">
        <v>167</v>
      </c>
    </row>
    <row r="127" spans="1:9">
      <c r="A127" s="54" t="s">
        <v>356</v>
      </c>
      <c r="B127" t="s">
        <v>376</v>
      </c>
      <c r="C127" t="s">
        <v>12</v>
      </c>
      <c r="D127">
        <v>6</v>
      </c>
      <c r="E127" t="s">
        <v>165</v>
      </c>
      <c r="F127" t="s">
        <v>367</v>
      </c>
      <c r="G127" t="s">
        <v>21</v>
      </c>
      <c r="H127" t="s">
        <v>441</v>
      </c>
      <c r="I127" s="54" t="s">
        <v>167</v>
      </c>
    </row>
    <row r="128" spans="1:9">
      <c r="A128" s="54" t="s">
        <v>356</v>
      </c>
      <c r="B128" t="s">
        <v>376</v>
      </c>
      <c r="C128" t="s">
        <v>14</v>
      </c>
      <c r="D128" t="s">
        <v>169</v>
      </c>
      <c r="E128" t="s">
        <v>165</v>
      </c>
      <c r="F128" t="s">
        <v>367</v>
      </c>
      <c r="G128" t="s">
        <v>21</v>
      </c>
      <c r="H128" t="s">
        <v>441</v>
      </c>
      <c r="I128" s="54" t="s">
        <v>167</v>
      </c>
    </row>
    <row r="129" spans="1:9">
      <c r="A129" s="54" t="s">
        <v>356</v>
      </c>
      <c r="B129" t="s">
        <v>376</v>
      </c>
      <c r="C129" t="s">
        <v>17</v>
      </c>
      <c r="D129" t="s">
        <v>171</v>
      </c>
      <c r="E129" t="s">
        <v>165</v>
      </c>
      <c r="F129" t="s">
        <v>367</v>
      </c>
      <c r="G129" t="s">
        <v>21</v>
      </c>
      <c r="H129" t="s">
        <v>441</v>
      </c>
      <c r="I129" s="54" t="s">
        <v>167</v>
      </c>
    </row>
    <row r="130" spans="1:9">
      <c r="A130" s="54" t="s">
        <v>356</v>
      </c>
      <c r="B130" t="s">
        <v>376</v>
      </c>
      <c r="C130" t="s">
        <v>20</v>
      </c>
      <c r="D130" t="s">
        <v>173</v>
      </c>
      <c r="E130" t="s">
        <v>165</v>
      </c>
      <c r="F130" t="s">
        <v>367</v>
      </c>
      <c r="G130" t="s">
        <v>21</v>
      </c>
      <c r="H130" t="s">
        <v>441</v>
      </c>
      <c r="I130" s="54" t="s">
        <v>167</v>
      </c>
    </row>
    <row r="131" spans="1:9">
      <c r="A131" s="54" t="s">
        <v>358</v>
      </c>
      <c r="B131" t="s">
        <v>375</v>
      </c>
      <c r="C131" t="s">
        <v>4</v>
      </c>
      <c r="D131" t="s">
        <v>338</v>
      </c>
      <c r="E131" t="s">
        <v>338</v>
      </c>
      <c r="F131" t="s">
        <v>367</v>
      </c>
      <c r="G131" t="s">
        <v>21</v>
      </c>
      <c r="H131" t="s">
        <v>441</v>
      </c>
      <c r="I131" s="54" t="s">
        <v>339</v>
      </c>
    </row>
    <row r="132" spans="1:9">
      <c r="A132" s="54" t="s">
        <v>358</v>
      </c>
      <c r="B132" t="s">
        <v>375</v>
      </c>
      <c r="C132" t="s">
        <v>7</v>
      </c>
      <c r="D132" t="s">
        <v>339</v>
      </c>
      <c r="E132" t="s">
        <v>338</v>
      </c>
      <c r="F132" t="s">
        <v>367</v>
      </c>
      <c r="G132" t="s">
        <v>21</v>
      </c>
      <c r="H132" t="s">
        <v>441</v>
      </c>
      <c r="I132" s="54" t="s">
        <v>339</v>
      </c>
    </row>
    <row r="133" spans="1:9">
      <c r="A133" s="54" t="s">
        <v>358</v>
      </c>
      <c r="B133" t="s">
        <v>375</v>
      </c>
      <c r="C133" t="s">
        <v>9</v>
      </c>
      <c r="D133">
        <v>20</v>
      </c>
      <c r="E133" t="s">
        <v>338</v>
      </c>
      <c r="F133" t="s">
        <v>367</v>
      </c>
      <c r="G133" t="s">
        <v>21</v>
      </c>
      <c r="H133" t="s">
        <v>441</v>
      </c>
      <c r="I133" s="54" t="s">
        <v>339</v>
      </c>
    </row>
    <row r="134" spans="1:9">
      <c r="A134" s="54" t="s">
        <v>358</v>
      </c>
      <c r="B134" t="s">
        <v>375</v>
      </c>
      <c r="C134" t="s">
        <v>10</v>
      </c>
      <c r="D134">
        <v>1</v>
      </c>
      <c r="E134" t="s">
        <v>338</v>
      </c>
      <c r="F134" t="s">
        <v>367</v>
      </c>
      <c r="G134" t="s">
        <v>21</v>
      </c>
      <c r="H134" t="s">
        <v>441</v>
      </c>
      <c r="I134" s="54" t="s">
        <v>339</v>
      </c>
    </row>
    <row r="135" spans="1:9">
      <c r="A135" s="54" t="s">
        <v>358</v>
      </c>
      <c r="B135" t="s">
        <v>375</v>
      </c>
      <c r="C135" t="s">
        <v>12</v>
      </c>
      <c r="D135">
        <v>4</v>
      </c>
      <c r="E135" t="s">
        <v>338</v>
      </c>
      <c r="F135" t="s">
        <v>367</v>
      </c>
      <c r="G135" t="s">
        <v>21</v>
      </c>
      <c r="H135" t="s">
        <v>441</v>
      </c>
      <c r="I135" s="54" t="s">
        <v>339</v>
      </c>
    </row>
    <row r="136" spans="1:9">
      <c r="A136" s="54" t="s">
        <v>358</v>
      </c>
      <c r="B136" t="s">
        <v>375</v>
      </c>
      <c r="C136" t="s">
        <v>14</v>
      </c>
      <c r="D136" t="s">
        <v>340</v>
      </c>
      <c r="E136" t="s">
        <v>338</v>
      </c>
      <c r="F136" t="s">
        <v>367</v>
      </c>
      <c r="G136" t="s">
        <v>21</v>
      </c>
      <c r="H136" t="s">
        <v>441</v>
      </c>
      <c r="I136" s="54" t="s">
        <v>339</v>
      </c>
    </row>
    <row r="137" spans="1:9">
      <c r="A137" s="54" t="s">
        <v>358</v>
      </c>
      <c r="B137" t="s">
        <v>375</v>
      </c>
      <c r="C137" t="s">
        <v>17</v>
      </c>
      <c r="D137" t="s">
        <v>18</v>
      </c>
      <c r="E137" t="s">
        <v>338</v>
      </c>
      <c r="F137" t="s">
        <v>367</v>
      </c>
      <c r="G137" t="s">
        <v>21</v>
      </c>
      <c r="H137" t="s">
        <v>441</v>
      </c>
      <c r="I137" s="54" t="s">
        <v>339</v>
      </c>
    </row>
    <row r="138" spans="1:9">
      <c r="A138" s="54" t="s">
        <v>358</v>
      </c>
      <c r="B138" t="s">
        <v>375</v>
      </c>
      <c r="C138" t="s">
        <v>20</v>
      </c>
      <c r="D138" t="s">
        <v>282</v>
      </c>
      <c r="E138" t="s">
        <v>338</v>
      </c>
      <c r="F138" t="s">
        <v>367</v>
      </c>
      <c r="G138" t="s">
        <v>21</v>
      </c>
      <c r="H138" t="s">
        <v>441</v>
      </c>
      <c r="I138" s="54" t="s">
        <v>339</v>
      </c>
    </row>
    <row r="139" spans="1:9">
      <c r="A139" s="54" t="s">
        <v>358</v>
      </c>
      <c r="B139" t="s">
        <v>374</v>
      </c>
      <c r="C139" t="s">
        <v>4</v>
      </c>
      <c r="D139" t="s">
        <v>343</v>
      </c>
      <c r="E139" t="s">
        <v>343</v>
      </c>
      <c r="F139" t="s">
        <v>367</v>
      </c>
      <c r="G139" t="s">
        <v>21</v>
      </c>
      <c r="H139" t="s">
        <v>441</v>
      </c>
      <c r="I139" s="54" t="s">
        <v>344</v>
      </c>
    </row>
    <row r="140" spans="1:9">
      <c r="A140" s="54" t="s">
        <v>358</v>
      </c>
      <c r="B140" t="s">
        <v>374</v>
      </c>
      <c r="C140" t="s">
        <v>7</v>
      </c>
      <c r="D140" t="s">
        <v>344</v>
      </c>
      <c r="E140" t="s">
        <v>343</v>
      </c>
      <c r="F140" t="s">
        <v>367</v>
      </c>
      <c r="G140" t="s">
        <v>21</v>
      </c>
      <c r="H140" t="s">
        <v>441</v>
      </c>
      <c r="I140" s="54" t="s">
        <v>344</v>
      </c>
    </row>
    <row r="141" spans="1:9">
      <c r="A141" s="54" t="s">
        <v>358</v>
      </c>
      <c r="B141" t="s">
        <v>374</v>
      </c>
      <c r="C141" t="s">
        <v>9</v>
      </c>
      <c r="D141">
        <v>20</v>
      </c>
      <c r="E141" t="s">
        <v>343</v>
      </c>
      <c r="F141" t="s">
        <v>367</v>
      </c>
      <c r="G141" t="s">
        <v>21</v>
      </c>
      <c r="H141" t="s">
        <v>441</v>
      </c>
      <c r="I141" s="54" t="s">
        <v>344</v>
      </c>
    </row>
    <row r="142" spans="1:9">
      <c r="A142" s="54" t="s">
        <v>358</v>
      </c>
      <c r="B142" t="s">
        <v>374</v>
      </c>
      <c r="C142" t="s">
        <v>10</v>
      </c>
      <c r="D142">
        <v>2</v>
      </c>
      <c r="E142" t="s">
        <v>343</v>
      </c>
      <c r="F142" t="s">
        <v>367</v>
      </c>
      <c r="G142" t="s">
        <v>21</v>
      </c>
      <c r="H142" t="s">
        <v>441</v>
      </c>
      <c r="I142" s="54" t="s">
        <v>344</v>
      </c>
    </row>
    <row r="143" spans="1:9">
      <c r="A143" s="54" t="s">
        <v>358</v>
      </c>
      <c r="B143" t="s">
        <v>374</v>
      </c>
      <c r="C143" t="s">
        <v>12</v>
      </c>
      <c r="D143">
        <v>5</v>
      </c>
      <c r="E143" t="s">
        <v>343</v>
      </c>
      <c r="F143" t="s">
        <v>367</v>
      </c>
      <c r="G143" t="s">
        <v>21</v>
      </c>
      <c r="H143" t="s">
        <v>441</v>
      </c>
      <c r="I143" s="54" t="s">
        <v>344</v>
      </c>
    </row>
    <row r="144" spans="1:9">
      <c r="A144" s="54" t="s">
        <v>358</v>
      </c>
      <c r="B144" t="s">
        <v>374</v>
      </c>
      <c r="C144" t="s">
        <v>14</v>
      </c>
      <c r="D144" t="s">
        <v>345</v>
      </c>
      <c r="E144" t="s">
        <v>343</v>
      </c>
      <c r="F144" t="s">
        <v>367</v>
      </c>
      <c r="G144" t="s">
        <v>21</v>
      </c>
      <c r="H144" t="s">
        <v>441</v>
      </c>
      <c r="I144" s="54" t="s">
        <v>344</v>
      </c>
    </row>
    <row r="145" spans="1:9">
      <c r="A145" s="54" t="s">
        <v>358</v>
      </c>
      <c r="B145" t="s">
        <v>374</v>
      </c>
      <c r="C145" t="s">
        <v>17</v>
      </c>
      <c r="D145" t="s">
        <v>18</v>
      </c>
      <c r="E145" t="s">
        <v>343</v>
      </c>
      <c r="F145" t="s">
        <v>367</v>
      </c>
      <c r="G145" t="s">
        <v>21</v>
      </c>
      <c r="H145" t="s">
        <v>441</v>
      </c>
      <c r="I145" s="54" t="s">
        <v>344</v>
      </c>
    </row>
    <row r="146" spans="1:9">
      <c r="A146" s="54" t="s">
        <v>358</v>
      </c>
      <c r="B146" t="s">
        <v>374</v>
      </c>
      <c r="C146" t="s">
        <v>20</v>
      </c>
      <c r="D146" t="s">
        <v>173</v>
      </c>
      <c r="E146" t="s">
        <v>343</v>
      </c>
      <c r="F146" t="s">
        <v>367</v>
      </c>
      <c r="G146" t="s">
        <v>21</v>
      </c>
      <c r="H146" t="s">
        <v>441</v>
      </c>
      <c r="I146" s="54" t="s">
        <v>344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defaultRowHeight="15"/>
  <cols>
    <col min="7" max="7" width="11.28515625" customWidth="1"/>
    <col min="10" max="10" width="19.28515625" bestFit="1" customWidth="1"/>
    <col min="19" max="19" width="28.28515625" customWidth="1"/>
    <col min="20" max="20" width="16.140625" customWidth="1"/>
  </cols>
  <sheetData>
    <row r="4" spans="3:10">
      <c r="C4" t="s">
        <v>226</v>
      </c>
      <c r="E4" t="s">
        <v>227</v>
      </c>
      <c r="G4" t="s">
        <v>227</v>
      </c>
      <c r="J4" t="s">
        <v>228</v>
      </c>
    </row>
    <row r="7" spans="3:10" ht="15.75" customHeight="1">
      <c r="C7" s="7">
        <v>1</v>
      </c>
      <c r="E7" t="s">
        <v>41</v>
      </c>
      <c r="G7" t="s">
        <v>146</v>
      </c>
      <c r="J7" t="s">
        <v>65</v>
      </c>
    </row>
    <row r="8" spans="3:10">
      <c r="C8" s="7">
        <v>2</v>
      </c>
      <c r="E8" t="s">
        <v>43</v>
      </c>
      <c r="G8" t="s">
        <v>229</v>
      </c>
      <c r="J8" t="s">
        <v>108</v>
      </c>
    </row>
    <row r="9" spans="3:10">
      <c r="C9" s="7" t="s">
        <v>230</v>
      </c>
      <c r="E9" t="s">
        <v>45</v>
      </c>
      <c r="G9" t="s">
        <v>101</v>
      </c>
      <c r="J9" t="s">
        <v>67</v>
      </c>
    </row>
    <row r="10" spans="3:10">
      <c r="E10" t="s">
        <v>47</v>
      </c>
      <c r="G10" t="s">
        <v>30</v>
      </c>
      <c r="J10" t="s">
        <v>69</v>
      </c>
    </row>
    <row r="11" spans="3:10">
      <c r="C11" s="7">
        <v>3</v>
      </c>
      <c r="E11" t="s">
        <v>48</v>
      </c>
      <c r="G11" t="s">
        <v>57</v>
      </c>
      <c r="J11" t="s">
        <v>231</v>
      </c>
    </row>
    <row r="12" spans="3:10">
      <c r="C12" s="7">
        <v>4</v>
      </c>
      <c r="J12" t="s">
        <v>106</v>
      </c>
    </row>
    <row r="13" spans="3:10">
      <c r="C13" s="7">
        <v>5</v>
      </c>
      <c r="J13" t="s">
        <v>181</v>
      </c>
    </row>
    <row r="14" spans="3:10">
      <c r="C14" s="7">
        <v>6</v>
      </c>
      <c r="G14" t="s">
        <v>52</v>
      </c>
      <c r="J14" t="s">
        <v>211</v>
      </c>
    </row>
    <row r="15" spans="3:10">
      <c r="C15" s="7">
        <v>7</v>
      </c>
      <c r="G15" t="s">
        <v>232</v>
      </c>
      <c r="J15" t="s">
        <v>233</v>
      </c>
    </row>
    <row r="16" spans="3:10">
      <c r="G16" t="s">
        <v>234</v>
      </c>
      <c r="J16" t="s">
        <v>235</v>
      </c>
    </row>
    <row r="17" spans="3:20">
      <c r="C17" t="s">
        <v>236</v>
      </c>
      <c r="G17" t="s">
        <v>237</v>
      </c>
    </row>
    <row r="18" spans="3:20">
      <c r="C18" t="s">
        <v>238</v>
      </c>
      <c r="G18" t="s">
        <v>239</v>
      </c>
    </row>
    <row r="19" spans="3:20">
      <c r="C19" t="s">
        <v>240</v>
      </c>
      <c r="G19" t="s">
        <v>102</v>
      </c>
      <c r="J19" t="s">
        <v>241</v>
      </c>
      <c r="K19" t="s">
        <v>242</v>
      </c>
    </row>
    <row r="20" spans="3:20">
      <c r="C20" t="s">
        <v>243</v>
      </c>
      <c r="G20" t="s">
        <v>244</v>
      </c>
      <c r="J20" t="s">
        <v>65</v>
      </c>
      <c r="K20" t="s">
        <v>148</v>
      </c>
      <c r="O20" s="9" t="s">
        <v>245</v>
      </c>
      <c r="S20" s="14" t="s">
        <v>246</v>
      </c>
      <c r="T20" s="15" t="s">
        <v>247</v>
      </c>
    </row>
    <row r="21" spans="3:20">
      <c r="C21" t="s">
        <v>171</v>
      </c>
      <c r="G21" t="s">
        <v>248</v>
      </c>
      <c r="J21" t="s">
        <v>65</v>
      </c>
      <c r="K21" t="s">
        <v>105</v>
      </c>
      <c r="O21" t="str" cm="1">
        <f t="array" ref="O21:O26">_xlfn._xlws.FILTER(LISTS_Table[Skill],LISTS_Table[Category]="Scientific Knowledge")</f>
        <v>Critical thinking</v>
      </c>
      <c r="S21" s="16" t="s">
        <v>65</v>
      </c>
      <c r="T21" s="17" t="s">
        <v>249</v>
      </c>
    </row>
    <row r="22" spans="3:20">
      <c r="C22" t="s">
        <v>18</v>
      </c>
      <c r="G22" t="s">
        <v>250</v>
      </c>
      <c r="J22" t="s">
        <v>65</v>
      </c>
      <c r="K22" t="s">
        <v>104</v>
      </c>
      <c r="O22" t="str">
        <v>Scientific literacy</v>
      </c>
      <c r="S22" s="18" t="s">
        <v>108</v>
      </c>
      <c r="T22" s="19" t="s">
        <v>251</v>
      </c>
    </row>
    <row r="23" spans="3:20">
      <c r="G23" t="s">
        <v>252</v>
      </c>
      <c r="J23" t="s">
        <v>65</v>
      </c>
      <c r="K23" t="s">
        <v>207</v>
      </c>
      <c r="O23" t="str">
        <v>Information retrieval</v>
      </c>
      <c r="S23" s="16" t="s">
        <v>67</v>
      </c>
      <c r="T23" s="17" t="s">
        <v>253</v>
      </c>
    </row>
    <row r="24" spans="3:20">
      <c r="G24" t="s">
        <v>254</v>
      </c>
      <c r="J24" t="s">
        <v>65</v>
      </c>
      <c r="K24" t="s">
        <v>208</v>
      </c>
      <c r="O24" t="str">
        <v>Knowledge synthesis</v>
      </c>
      <c r="S24" s="18" t="s">
        <v>69</v>
      </c>
      <c r="T24" s="19" t="s">
        <v>255</v>
      </c>
    </row>
    <row r="25" spans="3:20">
      <c r="G25" t="s">
        <v>256</v>
      </c>
      <c r="J25" t="s">
        <v>65</v>
      </c>
      <c r="K25" t="s">
        <v>257</v>
      </c>
      <c r="O25" t="str">
        <v>Domian-specfic analytical skills</v>
      </c>
      <c r="S25" s="16" t="s">
        <v>231</v>
      </c>
      <c r="T25" s="17" t="s">
        <v>258</v>
      </c>
    </row>
    <row r="26" spans="3:20">
      <c r="C26" t="s">
        <v>259</v>
      </c>
      <c r="G26" t="s">
        <v>260</v>
      </c>
      <c r="J26" t="s">
        <v>108</v>
      </c>
      <c r="K26" t="s">
        <v>261</v>
      </c>
      <c r="O26" t="str">
        <v>Evidence evaluation</v>
      </c>
      <c r="S26" s="18" t="s">
        <v>106</v>
      </c>
      <c r="T26" s="19" t="s">
        <v>106</v>
      </c>
    </row>
    <row r="27" spans="3:20">
      <c r="C27" t="s">
        <v>262</v>
      </c>
      <c r="G27" t="s">
        <v>263</v>
      </c>
      <c r="J27" t="s">
        <v>108</v>
      </c>
      <c r="K27" t="s">
        <v>264</v>
      </c>
      <c r="S27" s="16" t="s">
        <v>181</v>
      </c>
      <c r="T27" s="17" t="s">
        <v>265</v>
      </c>
    </row>
    <row r="28" spans="3:20">
      <c r="C28" t="s">
        <v>266</v>
      </c>
      <c r="G28" t="s">
        <v>267</v>
      </c>
      <c r="J28" t="s">
        <v>108</v>
      </c>
      <c r="K28" t="s">
        <v>123</v>
      </c>
      <c r="O28" s="6" t="s">
        <v>268</v>
      </c>
      <c r="S28" s="18" t="s">
        <v>211</v>
      </c>
      <c r="T28" s="19" t="s">
        <v>269</v>
      </c>
    </row>
    <row r="29" spans="3:20">
      <c r="C29" t="s">
        <v>21</v>
      </c>
      <c r="J29" t="s">
        <v>108</v>
      </c>
      <c r="K29" t="s">
        <v>270</v>
      </c>
      <c r="O29" t="str" cm="1">
        <f t="array" ref="O29:O34">_xlfn._xlws.FILTER(LISTS_Table[Skill],LISTS_Table[Category]="Technical Skills")</f>
        <v>Laboratory/clinical techniques</v>
      </c>
      <c r="S29" s="16" t="s">
        <v>233</v>
      </c>
      <c r="T29" s="17" t="s">
        <v>271</v>
      </c>
    </row>
    <row r="30" spans="3:20">
      <c r="C30" t="s">
        <v>272</v>
      </c>
      <c r="J30" t="s">
        <v>108</v>
      </c>
      <c r="K30" t="s">
        <v>109</v>
      </c>
      <c r="O30" t="str">
        <v>Data collection</v>
      </c>
      <c r="S30" s="13" t="s">
        <v>235</v>
      </c>
      <c r="T30" s="11" t="s">
        <v>273</v>
      </c>
    </row>
    <row r="31" spans="3:20">
      <c r="C31" t="s">
        <v>274</v>
      </c>
      <c r="J31" t="s">
        <v>108</v>
      </c>
      <c r="K31" t="s">
        <v>275</v>
      </c>
      <c r="O31" t="str">
        <v>Data analysis</v>
      </c>
    </row>
    <row r="32" spans="3:20">
      <c r="C32" t="s">
        <v>173</v>
      </c>
      <c r="J32" t="s">
        <v>67</v>
      </c>
      <c r="K32" t="s">
        <v>70</v>
      </c>
      <c r="O32" t="str">
        <v>Digital literacy</v>
      </c>
    </row>
    <row r="33" spans="3:15">
      <c r="C33" t="s">
        <v>276</v>
      </c>
      <c r="J33" t="s">
        <v>67</v>
      </c>
      <c r="K33" t="s">
        <v>209</v>
      </c>
      <c r="O33" t="str">
        <v>Equipment and technology utilisation</v>
      </c>
    </row>
    <row r="34" spans="3:15">
      <c r="C34" t="s">
        <v>277</v>
      </c>
      <c r="J34" t="s">
        <v>67</v>
      </c>
      <c r="K34" t="s">
        <v>66</v>
      </c>
      <c r="O34" t="str">
        <v>Technical proficiency</v>
      </c>
    </row>
    <row r="35" spans="3:15">
      <c r="C35" t="s">
        <v>278</v>
      </c>
      <c r="J35" t="s">
        <v>67</v>
      </c>
      <c r="K35" t="s">
        <v>68</v>
      </c>
    </row>
    <row r="36" spans="3:15">
      <c r="C36" t="s">
        <v>279</v>
      </c>
      <c r="J36" t="s">
        <v>67</v>
      </c>
      <c r="K36" t="s">
        <v>280</v>
      </c>
      <c r="O36" s="9" t="s">
        <v>281</v>
      </c>
    </row>
    <row r="37" spans="3:15">
      <c r="C37" t="s">
        <v>282</v>
      </c>
      <c r="J37" t="s">
        <v>67</v>
      </c>
      <c r="K37" t="s">
        <v>283</v>
      </c>
      <c r="O37" t="str" cm="1">
        <f t="array" ref="O37:O42">_xlfn._xlws.FILTER(LISTS_Table[Skill],LISTS_Table[Category]="Application of Knowledge and skills")</f>
        <v>Decision-making</v>
      </c>
    </row>
    <row r="38" spans="3:15">
      <c r="J38" t="s">
        <v>69</v>
      </c>
      <c r="K38" t="s">
        <v>284</v>
      </c>
      <c r="O38" t="str">
        <v>Translational practice</v>
      </c>
    </row>
    <row r="39" spans="3:15">
      <c r="J39" t="s">
        <v>69</v>
      </c>
      <c r="K39" t="s">
        <v>285</v>
      </c>
      <c r="O39" t="str">
        <v>Contextual application</v>
      </c>
    </row>
    <row r="40" spans="3:15">
      <c r="J40" t="s">
        <v>69</v>
      </c>
      <c r="K40" t="s">
        <v>286</v>
      </c>
      <c r="O40" t="str">
        <v>Professional judgement</v>
      </c>
    </row>
    <row r="41" spans="3:15">
      <c r="J41" t="s">
        <v>69</v>
      </c>
      <c r="K41" t="s">
        <v>287</v>
      </c>
      <c r="O41" t="str">
        <v>Adaptability</v>
      </c>
    </row>
    <row r="42" spans="3:15">
      <c r="J42" t="s">
        <v>69</v>
      </c>
      <c r="K42" t="s">
        <v>183</v>
      </c>
      <c r="O42" t="str">
        <v>Risk assessment</v>
      </c>
    </row>
    <row r="43" spans="3:15">
      <c r="J43" t="s">
        <v>69</v>
      </c>
      <c r="K43" t="s">
        <v>288</v>
      </c>
    </row>
    <row r="44" spans="3:15">
      <c r="J44" t="s">
        <v>231</v>
      </c>
      <c r="K44" t="s">
        <v>289</v>
      </c>
      <c r="O44" s="8" t="s">
        <v>69</v>
      </c>
    </row>
    <row r="45" spans="3:15">
      <c r="J45" t="s">
        <v>231</v>
      </c>
      <c r="K45" t="s">
        <v>290</v>
      </c>
      <c r="O45" t="str" cm="1">
        <f t="array" ref="O45:O50">_xlfn._xlws.FILTER(LISTS_Table[Skill],LISTS_Table[Category]="Understanding and use of research")</f>
        <v>Reserch literacy</v>
      </c>
    </row>
    <row r="46" spans="3:15">
      <c r="J46" t="s">
        <v>231</v>
      </c>
      <c r="K46" t="s">
        <v>291</v>
      </c>
      <c r="O46" t="str">
        <v>Literature searching</v>
      </c>
    </row>
    <row r="47" spans="3:15">
      <c r="J47" t="s">
        <v>231</v>
      </c>
      <c r="K47" t="s">
        <v>292</v>
      </c>
      <c r="O47" t="str">
        <v>Critical appraisal</v>
      </c>
    </row>
    <row r="48" spans="3:15">
      <c r="J48" t="s">
        <v>231</v>
      </c>
      <c r="K48" t="s">
        <v>293</v>
      </c>
      <c r="O48" t="str">
        <v>Data interpretation</v>
      </c>
    </row>
    <row r="49" spans="10:15">
      <c r="J49" t="s">
        <v>231</v>
      </c>
      <c r="K49" t="s">
        <v>294</v>
      </c>
      <c r="O49" t="str">
        <v>Evidne-based practice</v>
      </c>
    </row>
    <row r="50" spans="10:15">
      <c r="J50" t="s">
        <v>231</v>
      </c>
      <c r="K50" t="s">
        <v>295</v>
      </c>
      <c r="O50" t="str">
        <v>Research communication</v>
      </c>
    </row>
    <row r="51" spans="10:15">
      <c r="J51" t="s">
        <v>106</v>
      </c>
      <c r="K51" t="s">
        <v>296</v>
      </c>
    </row>
    <row r="52" spans="10:15">
      <c r="J52" t="s">
        <v>106</v>
      </c>
      <c r="K52" t="s">
        <v>107</v>
      </c>
      <c r="O52" s="8" t="s">
        <v>231</v>
      </c>
    </row>
    <row r="53" spans="10:15">
      <c r="J53" t="s">
        <v>106</v>
      </c>
      <c r="K53" t="s">
        <v>297</v>
      </c>
      <c r="O53" t="str" cm="1">
        <f t="array" ref="O53:O59">_xlfn._xlws.FILTER(LISTS_Table[Skill],LISTS_Table[Category]="Self-evaluation and professional development")</f>
        <v>Reflective practice</v>
      </c>
    </row>
    <row r="54" spans="10:15">
      <c r="J54" t="s">
        <v>106</v>
      </c>
      <c r="K54" t="s">
        <v>180</v>
      </c>
      <c r="O54" t="str">
        <v>Self-awareness</v>
      </c>
    </row>
    <row r="55" spans="10:15">
      <c r="J55" t="s">
        <v>106</v>
      </c>
      <c r="K55" t="s">
        <v>298</v>
      </c>
      <c r="O55" t="str">
        <v>Lifelong learning</v>
      </c>
    </row>
    <row r="56" spans="10:15">
      <c r="J56" t="s">
        <v>106</v>
      </c>
      <c r="K56" t="s">
        <v>299</v>
      </c>
      <c r="O56" t="str">
        <v>Personal development planning</v>
      </c>
    </row>
    <row r="57" spans="10:15">
      <c r="J57" t="s">
        <v>181</v>
      </c>
      <c r="K57" t="s">
        <v>210</v>
      </c>
      <c r="O57" t="str">
        <v>Resilience</v>
      </c>
    </row>
    <row r="58" spans="10:15">
      <c r="J58" t="s">
        <v>181</v>
      </c>
      <c r="K58" t="s">
        <v>300</v>
      </c>
      <c r="O58" t="str">
        <v>Initiative</v>
      </c>
    </row>
    <row r="59" spans="10:15">
      <c r="J59" t="s">
        <v>181</v>
      </c>
      <c r="K59" t="s">
        <v>301</v>
      </c>
      <c r="O59" t="str">
        <v>Accountability</v>
      </c>
    </row>
    <row r="60" spans="10:15">
      <c r="J60" t="s">
        <v>181</v>
      </c>
      <c r="K60" t="s">
        <v>182</v>
      </c>
    </row>
    <row r="61" spans="10:15">
      <c r="J61" t="s">
        <v>181</v>
      </c>
      <c r="K61" t="s">
        <v>302</v>
      </c>
      <c r="O61" s="10" t="s">
        <v>106</v>
      </c>
    </row>
    <row r="62" spans="10:15">
      <c r="J62" t="s">
        <v>181</v>
      </c>
      <c r="K62" t="s">
        <v>303</v>
      </c>
      <c r="O62" t="str" cm="1">
        <f t="array" ref="O62:O67">_xlfn._xlws.FILTER(LISTS_Table[Skill],LISTS_Table[Category]="Communication")</f>
        <v>Written communication</v>
      </c>
    </row>
    <row r="63" spans="10:15">
      <c r="J63" t="s">
        <v>211</v>
      </c>
      <c r="K63" t="s">
        <v>304</v>
      </c>
      <c r="O63" t="str">
        <v>Oral presentation</v>
      </c>
    </row>
    <row r="64" spans="10:15">
      <c r="J64" t="s">
        <v>211</v>
      </c>
      <c r="K64" t="s">
        <v>212</v>
      </c>
      <c r="O64" t="str">
        <v>Active listening</v>
      </c>
    </row>
    <row r="65" spans="10:15">
      <c r="J65" t="s">
        <v>211</v>
      </c>
      <c r="K65" t="s">
        <v>305</v>
      </c>
      <c r="O65" t="str">
        <v>Scientific writing</v>
      </c>
    </row>
    <row r="66" spans="10:15">
      <c r="J66" t="s">
        <v>211</v>
      </c>
      <c r="K66" t="s">
        <v>306</v>
      </c>
      <c r="O66" t="str">
        <v>Interpesronal communication</v>
      </c>
    </row>
    <row r="67" spans="10:15">
      <c r="J67" t="s">
        <v>211</v>
      </c>
      <c r="K67" t="s">
        <v>307</v>
      </c>
      <c r="O67" t="str">
        <v>Digital communication</v>
      </c>
    </row>
    <row r="68" spans="10:15">
      <c r="J68" t="s">
        <v>211</v>
      </c>
      <c r="K68" t="s">
        <v>308</v>
      </c>
    </row>
    <row r="69" spans="10:15">
      <c r="J69" t="s">
        <v>211</v>
      </c>
      <c r="K69" t="s">
        <v>309</v>
      </c>
      <c r="O69" s="10" t="s">
        <v>181</v>
      </c>
    </row>
    <row r="70" spans="10:15">
      <c r="J70" t="s">
        <v>211</v>
      </c>
      <c r="K70" t="s">
        <v>310</v>
      </c>
      <c r="O70" t="str" cm="1">
        <f t="array" ref="O70:O75">_xlfn._xlws.FILTER(LISTS_Table[Skill],LISTS_Table[Category]="Problem solving and impact")</f>
        <v>Analytical thinking</v>
      </c>
    </row>
    <row r="71" spans="10:15">
      <c r="J71" t="s">
        <v>211</v>
      </c>
      <c r="K71" t="s">
        <v>311</v>
      </c>
      <c r="O71" t="str">
        <v>problem identification</v>
      </c>
    </row>
    <row r="72" spans="10:15">
      <c r="J72" t="s">
        <v>233</v>
      </c>
      <c r="K72" t="s">
        <v>312</v>
      </c>
      <c r="O72" t="str">
        <v>Creative thinking</v>
      </c>
    </row>
    <row r="73" spans="10:15">
      <c r="J73" t="s">
        <v>233</v>
      </c>
      <c r="K73" t="s">
        <v>313</v>
      </c>
      <c r="O73" t="str">
        <v>Evidence-based decision making</v>
      </c>
    </row>
    <row r="74" spans="10:15">
      <c r="J74" t="s">
        <v>233</v>
      </c>
      <c r="K74" t="s">
        <v>314</v>
      </c>
      <c r="O74" t="str">
        <v>Innovation</v>
      </c>
    </row>
    <row r="75" spans="10:15">
      <c r="J75" t="s">
        <v>233</v>
      </c>
      <c r="K75" t="s">
        <v>315</v>
      </c>
      <c r="O75" t="str">
        <v>Evaluation of outcomes</v>
      </c>
    </row>
    <row r="76" spans="10:15">
      <c r="J76" t="s">
        <v>233</v>
      </c>
      <c r="K76" t="s">
        <v>316</v>
      </c>
    </row>
    <row r="77" spans="10:15">
      <c r="J77" t="s">
        <v>235</v>
      </c>
      <c r="K77" t="s">
        <v>317</v>
      </c>
      <c r="O77" s="10" t="s">
        <v>211</v>
      </c>
    </row>
    <row r="78" spans="10:15">
      <c r="J78" t="s">
        <v>235</v>
      </c>
      <c r="K78" t="s">
        <v>318</v>
      </c>
      <c r="O78" t="str" cm="1">
        <f t="array" ref="O78:O86">_xlfn._xlws.FILTER(LISTS_Table[Skill],LISTS_Table[Category]="Management of self and others")</f>
        <v>Leadership</v>
      </c>
    </row>
    <row r="79" spans="10:15">
      <c r="J79" t="s">
        <v>235</v>
      </c>
      <c r="K79" t="s">
        <v>319</v>
      </c>
      <c r="O79" t="str">
        <v>Coaching and mentoring</v>
      </c>
    </row>
    <row r="80" spans="10:15">
      <c r="J80" t="s">
        <v>235</v>
      </c>
      <c r="K80" t="s">
        <v>320</v>
      </c>
      <c r="O80" t="str">
        <v>Time management</v>
      </c>
    </row>
    <row r="81" spans="10:15">
      <c r="J81" t="s">
        <v>235</v>
      </c>
      <c r="K81" t="s">
        <v>321</v>
      </c>
      <c r="O81" t="str">
        <v>Organisation</v>
      </c>
    </row>
    <row r="82" spans="10:15">
      <c r="J82" t="s">
        <v>235</v>
      </c>
      <c r="K82" t="s">
        <v>322</v>
      </c>
      <c r="O82" t="str">
        <v>Delegation</v>
      </c>
    </row>
    <row r="83" spans="10:15">
      <c r="J83" t="s">
        <v>235</v>
      </c>
      <c r="K83" t="s">
        <v>323</v>
      </c>
      <c r="O83" t="str">
        <v>Conflict resolution</v>
      </c>
    </row>
    <row r="84" spans="10:15">
      <c r="O84" t="str">
        <v>Empathy</v>
      </c>
    </row>
    <row r="85" spans="10:15">
      <c r="O85" t="str">
        <v>Multi-tasking</v>
      </c>
    </row>
    <row r="86" spans="10:15">
      <c r="O86" t="str">
        <v>Resource management</v>
      </c>
    </row>
    <row r="88" spans="10:15">
      <c r="O88" s="8" t="s">
        <v>233</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324</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707968BB-CDD0-4B21-8494-8F158966F0D1}">
  <ds:schemaRefs>
    <ds:schemaRef ds:uri="http://schemas.microsoft.com/sharepoint/v3/contenttype/forms"/>
  </ds:schemaRefs>
</ds:datastoreItem>
</file>

<file path=customXml/itemProps2.xml><?xml version="1.0" encoding="utf-8"?>
<ds:datastoreItem xmlns:ds="http://schemas.openxmlformats.org/officeDocument/2006/customXml" ds:itemID="{4E3FA4C3-DC25-462F-8805-09E7A0CA0332}">
  <ds:schemaRefs>
    <ds:schemaRef ds:uri="http://purl.org/dc/terms/"/>
    <ds:schemaRef ds:uri="http://www.w3.org/XML/1998/namespace"/>
    <ds:schemaRef ds:uri="http://schemas.microsoft.com/office/2006/metadata/properties"/>
    <ds:schemaRef ds:uri="http://schemas.microsoft.com/office/2006/documentManagement/types"/>
    <ds:schemaRef ds:uri="http://purl.org/dc/elements/1.1/"/>
    <ds:schemaRef ds:uri="f1436123-e04c-43f8-b7d8-6e3401685a6a"/>
    <ds:schemaRef ds:uri="http://schemas.microsoft.com/office/infopath/2007/PartnerControls"/>
    <ds:schemaRef ds:uri="http://schemas.openxmlformats.org/package/2006/metadata/core-properties"/>
    <ds:schemaRef ds:uri="e2acc87f-978a-4c56-9887-574fe2c7e53e"/>
    <ds:schemaRef ds:uri="http://purl.org/dc/dcmitype/"/>
  </ds:schemaRefs>
</ds:datastoreItem>
</file>

<file path=customXml/itemProps3.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AFB4C9A-7163-4267-A6CC-09970556B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24</vt:i4>
      </vt:variant>
      <vt:variant>
        <vt:lpstr>Named Ranges</vt:lpstr>
      </vt:variant>
      <vt:variant>
        <vt:i4>1</vt:i4>
      </vt:variant>
    </vt:vector>
  </HeadingPairs>
  <TitlesOfParts>
    <vt:vector size="25" baseType="lpstr">
      <vt:lpstr>Sheet1</vt:lpstr>
      <vt:lpstr>4202SPS</vt:lpstr>
      <vt:lpstr>4401SPS</vt:lpstr>
      <vt:lpstr>5401SPS</vt:lpstr>
      <vt:lpstr>5402SPS</vt:lpstr>
      <vt:lpstr>5403SPS</vt:lpstr>
      <vt:lpstr>5404SPS</vt:lpstr>
      <vt:lpstr>5405SPS</vt:lpstr>
      <vt:lpstr>6404SPS</vt:lpstr>
      <vt:lpstr>6405SPS</vt:lpstr>
      <vt:lpstr>6403SPS</vt:lpstr>
      <vt:lpstr>6097SPS</vt:lpstr>
      <vt:lpstr>Module (13)</vt:lpstr>
      <vt:lpstr>6401SPS</vt:lpstr>
      <vt:lpstr>SC_ModuleOverview</vt:lpstr>
      <vt:lpstr>SC_Hours_Wide</vt:lpstr>
      <vt:lpstr>SC_Meta_Wide</vt:lpstr>
      <vt:lpstr>SC_SkillsCoverage</vt:lpstr>
      <vt:lpstr>SC_Mapping</vt:lpstr>
      <vt:lpstr>SC_Hours</vt:lpstr>
      <vt:lpstr>SC_Assess</vt:lpstr>
      <vt:lpstr>SC_LO</vt:lpstr>
      <vt:lpstr>SC_Meta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2026-09-30T15:43:46Z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