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tables/table76.xml" ContentType="application/vnd.openxmlformats-officedocument.spreadsheetml.table+xml"/>
  <Override PartName="/xl/tables/table77.xml" ContentType="application/vnd.openxmlformats-officedocument.spreadsheetml.table+xml"/>
  <Override PartName="/xl/tables/table78.xml" ContentType="application/vnd.openxmlformats-officedocument.spreadsheetml.table+xml"/>
  <Override PartName="/xl/tables/table79.xml" ContentType="application/vnd.openxmlformats-officedocument.spreadsheetml.table+xml"/>
  <Override PartName="/xl/tables/table80.xml" ContentType="application/vnd.openxmlformats-officedocument.spreadsheetml.table+xml"/>
  <Override PartName="/xl/tables/table81.xml" ContentType="application/vnd.openxmlformats-officedocument.spreadsheetml.table+xml"/>
  <Override PartName="/xl/tables/table82.xml" ContentType="application/vnd.openxmlformats-officedocument.spreadsheetml.table+xml"/>
  <Override PartName="/xl/tables/table83.xml" ContentType="application/vnd.openxmlformats-officedocument.spreadsheetml.table+xml"/>
  <Override PartName="/xl/tables/table84.xml" ContentType="application/vnd.openxmlformats-officedocument.spreadsheetml.table+xml"/>
  <Override PartName="/xl/tables/table85.xml" ContentType="application/vnd.openxmlformats-officedocument.spreadsheetml.table+xml"/>
  <Override PartName="/xl/tables/table86.xml" ContentType="application/vnd.openxmlformats-officedocument.spreadsheetml.table+xml"/>
  <Override PartName="/xl/tables/table87.xml" ContentType="application/vnd.openxmlformats-officedocument.spreadsheetml.table+xml"/>
  <Override PartName="/xl/tables/table88.xml" ContentType="application/vnd.openxmlformats-officedocument.spreadsheetml.table+xml"/>
  <Override PartName="/xl/tables/table89.xml" ContentType="application/vnd.openxmlformats-officedocument.spreadsheetml.table+xml"/>
  <Override PartName="/xl/tables/table90.xml" ContentType="application/vnd.openxmlformats-officedocument.spreadsheetml.table+xml"/>
  <Override PartName="/xl/tables/table91.xml" ContentType="application/vnd.openxmlformats-officedocument.spreadsheetml.table+xml"/>
  <Override PartName="/xl/tables/table92.xml" ContentType="application/vnd.openxmlformats-officedocument.spreadsheetml.table+xml"/>
  <Override PartName="/xl/tables/table93.xml" ContentType="application/vnd.openxmlformats-officedocument.spreadsheetml.table+xml"/>
  <Override PartName="/xl/tables/table94.xml" ContentType="application/vnd.openxmlformats-officedocument.spreadsheetml.table+xml"/>
  <Override PartName="/xl/tables/table95.xml" ContentType="application/vnd.openxmlformats-officedocument.spreadsheetml.table+xml"/>
  <Override PartName="/xl/tables/table96.xml" ContentType="application/vnd.openxmlformats-officedocument.spreadsheetml.table+xml"/>
  <Override PartName="/xl/tables/table97.xml" ContentType="application/vnd.openxmlformats-officedocument.spreadsheetml.table+xml"/>
  <Override PartName="/xl/tables/table98.xml" ContentType="application/vnd.openxmlformats-officedocument.spreadsheetml.table+xml"/>
  <Override PartName="/xl/tables/table99.xml" ContentType="application/vnd.openxmlformats-officedocument.spreadsheetml.table+xml"/>
  <Override PartName="/xl/tables/table100.xml" ContentType="application/vnd.openxmlformats-officedocument.spreadsheetml.table+xml"/>
  <Override PartName="/xl/tables/table101.xml" ContentType="application/vnd.openxmlformats-officedocument.spreadsheetml.table+xml"/>
  <Override PartName="/xl/tables/table102.xml" ContentType="application/vnd.openxmlformats-officedocument.spreadsheetml.table+xml"/>
  <Override PartName="/xl/tables/table103.xml" ContentType="application/vnd.openxmlformats-officedocument.spreadsheetml.table+xml"/>
  <Override PartName="/xl/tables/table104.xml" ContentType="application/vnd.openxmlformats-officedocument.spreadsheetml.table+xml"/>
  <Override PartName="/xl/tables/table105.xml" ContentType="application/vnd.openxmlformats-officedocument.spreadsheetml.table+xml"/>
  <Override PartName="/xl/tables/table106.xml" ContentType="application/vnd.openxmlformats-officedocument.spreadsheetml.table+xml"/>
  <Override PartName="/xl/tables/table107.xml" ContentType="application/vnd.openxmlformats-officedocument.spreadsheetml.table+xml"/>
  <Override PartName="/xl/tables/table108.xml" ContentType="application/vnd.openxmlformats-officedocument.spreadsheetml.table+xml"/>
  <Override PartName="/xl/tables/table109.xml" ContentType="application/vnd.openxmlformats-officedocument.spreadsheetml.table+xml"/>
  <Override PartName="/xl/tables/table110.xml" ContentType="application/vnd.openxmlformats-officedocument.spreadsheetml.table+xml"/>
  <Override PartName="/xl/tables/table111.xml" ContentType="application/vnd.openxmlformats-officedocument.spreadsheetml.table+xml"/>
  <Override PartName="/xl/tables/table112.xml" ContentType="application/vnd.openxmlformats-officedocument.spreadsheetml.table+xml"/>
  <Override PartName="/xl/tables/table113.xml" ContentType="application/vnd.openxmlformats-officedocument.spreadsheetml.table+xml"/>
  <Override PartName="/xl/tables/table114.xml" ContentType="application/vnd.openxmlformats-officedocument.spreadsheetml.table+xml"/>
  <Override PartName="/xl/tables/table115.xml" ContentType="application/vnd.openxmlformats-officedocument.spreadsheetml.table+xml"/>
  <Override PartName="/xl/tables/table116.xml" ContentType="application/vnd.openxmlformats-officedocument.spreadsheetml.table+xml"/>
  <Override PartName="/xl/tables/table117.xml" ContentType="application/vnd.openxmlformats-officedocument.spreadsheetml.table+xml"/>
  <Override PartName="/xl/tables/table118.xml" ContentType="application/vnd.openxmlformats-officedocument.spreadsheetml.table+xml"/>
  <Override PartName="/xl/tables/table119.xml" ContentType="application/vnd.openxmlformats-officedocument.spreadsheetml.table+xml"/>
  <Override PartName="/xl/tables/table120.xml" ContentType="application/vnd.openxmlformats-officedocument.spreadsheetml.table+xml"/>
  <Override PartName="/xl/tables/table121.xml" ContentType="application/vnd.openxmlformats-officedocument.spreadsheetml.table+xml"/>
  <Override PartName="/xl/queryTables/queryTable1.xml" ContentType="application/vnd.openxmlformats-officedocument.spreadsheetml.queryTable+xml"/>
  <Override PartName="/xl/tables/table122.xml" ContentType="application/vnd.openxmlformats-officedocument.spreadsheetml.table+xml"/>
  <Override PartName="/xl/queryTables/queryTable2.xml" ContentType="application/vnd.openxmlformats-officedocument.spreadsheetml.queryTable+xml"/>
  <Override PartName="/xl/tables/table123.xml" ContentType="application/vnd.openxmlformats-officedocument.spreadsheetml.table+xml"/>
  <Override PartName="/xl/queryTables/queryTable3.xml" ContentType="application/vnd.openxmlformats-officedocument.spreadsheetml.queryTable+xml"/>
  <Override PartName="/xl/tables/table124.xml" ContentType="application/vnd.openxmlformats-officedocument.spreadsheetml.table+xml"/>
  <Override PartName="/xl/queryTables/queryTable4.xml" ContentType="application/vnd.openxmlformats-officedocument.spreadsheetml.queryTable+xml"/>
  <Override PartName="/xl/tables/table125.xml" ContentType="application/vnd.openxmlformats-officedocument.spreadsheetml.table+xml"/>
  <Override PartName="/xl/queryTables/queryTable5.xml" ContentType="application/vnd.openxmlformats-officedocument.spreadsheetml.queryTable+xml"/>
  <Override PartName="/xl/tables/table126.xml" ContentType="application/vnd.openxmlformats-officedocument.spreadsheetml.table+xml"/>
  <Override PartName="/xl/queryTables/queryTable6.xml" ContentType="application/vnd.openxmlformats-officedocument.spreadsheetml.queryTable+xml"/>
  <Override PartName="/xl/tables/table127.xml" ContentType="application/vnd.openxmlformats-officedocument.spreadsheetml.table+xml"/>
  <Override PartName="/xl/queryTables/queryTable7.xml" ContentType="application/vnd.openxmlformats-officedocument.spreadsheetml.queryTable+xml"/>
  <Override PartName="/xl/tables/table128.xml" ContentType="application/vnd.openxmlformats-officedocument.spreadsheetml.table+xml"/>
  <Override PartName="/xl/queryTables/queryTable8.xml" ContentType="application/vnd.openxmlformats-officedocument.spreadsheetml.queryTable+xml"/>
  <Override PartName="/xl/tables/table129.xml" ContentType="application/vnd.openxmlformats-officedocument.spreadsheetml.table+xml"/>
  <Override PartName="/xl/queryTables/queryTable9.xml" ContentType="application/vnd.openxmlformats-officedocument.spreadsheetml.queryTable+xml"/>
  <Override PartName="/xl/tables/table130.xml" ContentType="application/vnd.openxmlformats-officedocument.spreadsheetml.table+xml"/>
  <Override PartName="/xl/tables/table13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06"/>
  <workbookPr codeName="ThisWorkbook"/>
  <mc:AlternateContent xmlns:mc="http://schemas.openxmlformats.org/markup-compatibility/2006">
    <mc:Choice Requires="x15">
      <x15ac:absPath xmlns:x15ac="http://schemas.microsoft.com/office/spreadsheetml/2010/11/ac" url="https://ljmu-my.sharepoint.com/personal/ecllric1_ljmu_ac_uk/Documents/Desktop/"/>
    </mc:Choice>
  </mc:AlternateContent>
  <xr:revisionPtr revIDLastSave="96" documentId="8_{091C7A7C-794E-4B3A-B5AF-0F1BB61242AB}" xr6:coauthVersionLast="47" xr6:coauthVersionMax="47" xr10:uidLastSave="{2476CAE3-831E-44A7-A2A9-2CEF10A07B98}"/>
  <bookViews>
    <workbookView xWindow="-120" yWindow="-120" windowWidth="29040" windowHeight="15720" firstSheet="5" activeTab="2" xr2:uid="{8D7B9789-0724-4FF2-A9AF-E462B2920CAC}"/>
  </bookViews>
  <sheets>
    <sheet name="4001SPS" sheetId="93" r:id="rId1"/>
    <sheet name="4003SPS" sheetId="75" r:id="rId2"/>
    <sheet name="4004SPS" sheetId="76" r:id="rId3"/>
    <sheet name="4006SPS" sheetId="77" r:id="rId4"/>
    <sheet name="5001SPS" sheetId="78" r:id="rId5"/>
    <sheet name="5014SPS" sheetId="79" r:id="rId6"/>
    <sheet name="5015SPS" sheetId="80" r:id="rId7"/>
    <sheet name="5005SPS" sheetId="81" r:id="rId8"/>
    <sheet name="6003SPS" sheetId="82" r:id="rId9"/>
    <sheet name="6004SPS" sheetId="83" r:id="rId10"/>
    <sheet name="6007SPS" sheetId="84" r:id="rId11"/>
    <sheet name="6008SPS" sheetId="85" r:id="rId12"/>
    <sheet name="SN_Meta_Wide" sheetId="99" r:id="rId13"/>
    <sheet name="SN_Module_Overview" sheetId="101" r:id="rId14"/>
    <sheet name="SN_Hours_Wide" sheetId="100" r:id="rId15"/>
    <sheet name="SN_SkillsCoverage" sheetId="102" r:id="rId16"/>
    <sheet name="SN_Mapping" sheetId="98" r:id="rId17"/>
    <sheet name="SN_Hours" sheetId="97" r:id="rId18"/>
    <sheet name="SN_Meta" sheetId="94" r:id="rId19"/>
    <sheet name="SN_Assess" sheetId="96" r:id="rId20"/>
    <sheet name="SN_LO" sheetId="95" r:id="rId21"/>
    <sheet name="LISTS" sheetId="4" r:id="rId22"/>
  </sheets>
  <definedNames>
    <definedName name="ApplicationofKnowledge">_xlfn.ANCHORARRAY(LISTS!$O$37)</definedName>
    <definedName name="Communication">_xlfn.ANCHORARRAY(LISTS!$O$62)</definedName>
    <definedName name="DeliveryEnvironment">_xlfn.ANCHORARRAY(LISTS!$O$89)</definedName>
    <definedName name="ExternalData_1" localSheetId="18" hidden="1">SN_Meta!$A$1:$I$137</definedName>
    <definedName name="ExternalData_2" localSheetId="20" hidden="1">SN_LO!$A$1:$I$53</definedName>
    <definedName name="ExternalData_3" localSheetId="19" hidden="1">SN_Assess!$A$1:$M$36</definedName>
    <definedName name="ExternalData_4" localSheetId="17" hidden="1">SN_Hours!$A$1:$I$103</definedName>
    <definedName name="ExternalData_5" localSheetId="16" hidden="1">SN_Mapping!$A$1:$K$209</definedName>
    <definedName name="ExternalData_6" localSheetId="12" hidden="1">SN_Meta_Wide!$A$1:$O$18</definedName>
    <definedName name="ExternalData_7" localSheetId="14" hidden="1">SN_Hours_Wide!$A$1:$N$18</definedName>
    <definedName name="ExternalData_8" localSheetId="13" hidden="1">SN_Module_Overview!$A$1:$I$18</definedName>
    <definedName name="ExternalData_9" localSheetId="15" hidden="1">SN_SkillsCoverage!$A$1:$E$65</definedName>
    <definedName name="MgmtSelf">_xlfn.ANCHORARRAY(LISTS!$O$78)</definedName>
    <definedName name="ProblemSolving">_xlfn.ANCHORARRAY(LISTS!$O$70)</definedName>
    <definedName name="ProfRelationships">_xlfn.ANCHORARRAY(LISTS!$O$96)</definedName>
    <definedName name="ScientificKnowledge">_xlfn.ANCHORARRAY(LISTS!$O$21)</definedName>
    <definedName name="SelfEvaluation">_xlfn.ANCHORARRAY(LISTS!$O$53)</definedName>
    <definedName name="SkillNameMap">LISTS!$S$20:$T$30</definedName>
    <definedName name="TechnicalSkills">_xlfn.ANCHORARRAY(LISTS!$O$29)</definedName>
    <definedName name="UnderstandingResearch">_xlfn.ANCHORARRAY(LISTS!$O$45)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D2" i="93" l="1"/>
  <c r="D24" i="93"/>
  <c r="C2" i="93"/>
  <c r="D24" i="85"/>
  <c r="D2" i="85"/>
  <c r="C2" i="85"/>
  <c r="D24" i="84"/>
  <c r="D2" i="84"/>
  <c r="C2" i="84"/>
  <c r="D24" i="83"/>
  <c r="D2" i="83"/>
  <c r="C2" i="83"/>
  <c r="D24" i="82"/>
  <c r="D2" i="82"/>
  <c r="C2" i="82"/>
  <c r="D24" i="81"/>
  <c r="D2" i="81"/>
  <c r="C2" i="81"/>
  <c r="D24" i="80"/>
  <c r="D2" i="80"/>
  <c r="C2" i="80"/>
  <c r="D24" i="79"/>
  <c r="D2" i="79"/>
  <c r="C2" i="79"/>
  <c r="D24" i="78"/>
  <c r="D2" i="78"/>
  <c r="C2" i="78"/>
  <c r="D24" i="77"/>
  <c r="D2" i="77"/>
  <c r="C2" i="77"/>
  <c r="D24" i="76"/>
  <c r="D2" i="76"/>
  <c r="C2" i="76"/>
  <c r="D24" i="75"/>
  <c r="D2" i="75"/>
  <c r="C2" i="75"/>
  <c r="O96" i="4" a="1"/>
  <c r="O96" i="4" s="1"/>
  <c r="O89" i="4" a="1"/>
  <c r="O89" i="4" s="1"/>
  <c r="O78" i="4" a="1"/>
  <c r="O78" i="4" s="1"/>
  <c r="O70" i="4" a="1"/>
  <c r="O70" i="4" s="1"/>
  <c r="O62" i="4" a="1"/>
  <c r="O62" i="4" s="1"/>
  <c r="O53" i="4" a="1"/>
  <c r="O53" i="4" s="1"/>
  <c r="O45" i="4" a="1"/>
  <c r="O45" i="4" s="1"/>
  <c r="O37" i="4" a="1"/>
  <c r="O37" i="4" s="1"/>
  <c r="O29" i="4" a="1"/>
  <c r="O29" i="4" s="1"/>
  <c r="O21" i="4" a="1"/>
  <c r="O21" i="4"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79ED035-9922-4D12-B356-A35A504F5001}" keepAlive="1" name="Query - fnItemTable" description="Connection to the 'fnItemTable' query in the workbook." type="5" refreshedVersion="0" background="1">
    <dbPr connection="Provider=Microsoft.Mashup.OleDb.1;Data Source=$Workbook$;Location=fnItemTable;Extended Properties=&quot;&quot;" command="SELECT * FROM [fnItemTable]"/>
  </connection>
  <connection id="2" xr16:uid="{DA29FB4F-39C1-4D10-ADE7-B45AB9DC3F9D}" keepAlive="1" name="Query - fnModuleOverview" description="Connection to the 'fnModuleOverview' query in the workbook." type="5" refreshedVersion="0" background="1">
    <dbPr connection="Provider=Microsoft.Mashup.OleDb.1;Data Source=$Workbook$;Location=fnModuleOverview;Extended Properties=&quot;&quot;" command="SELECT * FROM [fnModuleOverview]"/>
  </connection>
  <connection id="3" xr16:uid="{DBF4C215-A771-4F71-9F13-CE5E450EC9B7}" keepAlive="1" name="Query - fnParseTableName" description="Connection to the 'fnParseTableName' query in the workbook." type="5" refreshedVersion="0" background="1">
    <dbPr connection="Provider=Microsoft.Mashup.OleDb.1;Data Source=$Workbook$;Location=fnParseTableName;Extended Properties=&quot;&quot;" command="SELECT * FROM [fnParseTableName]"/>
  </connection>
  <connection id="4" xr16:uid="{974517FB-0E50-4DBC-ADF8-60894CD66225}" keepAlive="1" name="Query - fnPivotKeyValue" description="Connection to the 'fnPivotKeyValue' query in the workbook." type="5" refreshedVersion="0" background="1">
    <dbPr connection="Provider=Microsoft.Mashup.OleDb.1;Data Source=$Workbook$;Location=fnPivotKeyValue;Extended Properties=&quot;&quot;" command="SELECT * FROM [fnPivotKeyValue]"/>
  </connection>
  <connection id="5" xr16:uid="{C5C1A983-66C2-46C9-B180-AC7B2D041BEF}" keepAlive="1" name="Query - fnSkillsCoverage" description="Connection to the 'fnSkillsCoverage' query in the workbook." type="5" refreshedVersion="0" background="1">
    <dbPr connection="Provider=Microsoft.Mashup.OleDb.1;Data Source=$Workbook$;Location=fnSkillsCoverage;Extended Properties=&quot;&quot;" command="SELECT * FROM [fnSkillsCoverage]"/>
  </connection>
  <connection id="6" xr16:uid="{C4E60B8C-0A9F-4915-A52A-36F894D653C9}" keepAlive="1" name="Query - GetRegisterFileContent" description="Connection to the 'GetRegisterFileContent' query in the workbook." type="5" refreshedVersion="0" background="1">
    <dbPr connection="Provider=Microsoft.Mashup.OleDb.1;Data Source=$Workbook$;Location=GetRegisterFileContent;Extended Properties=&quot;&quot;" command="SELECT * FROM [GetRegisterFileContent]"/>
  </connection>
  <connection id="7" xr16:uid="{D3739B10-D8F6-42A3-880E-2EFC62295361}" keepAlive="1" name="Query - GetWorkbookFiles" description="Connection to the 'GetWorkbookFiles' query in the workbook." type="5" refreshedVersion="0" background="1">
    <dbPr connection="Provider=Microsoft.Mashup.OleDb.1;Data Source=$Workbook$;Location=GetWorkbookFiles;Extended Properties=&quot;&quot;" command="SELECT * FROM [GetWorkbookFiles]"/>
  </connection>
  <connection id="8" xr16:uid="{7208A358-B759-4176-8021-5406D93B92AC}" keepAlive="1" name="Query - GraduateSkillsCatalogue" description="Connection to the 'GraduateSkillsCatalogue' query in the workbook." type="5" refreshedVersion="0" background="1">
    <dbPr connection="Provider=Microsoft.Mashup.OleDb.1;Data Source=$Workbook$;Location=GraduateSkillsCatalogue;Extended Properties=&quot;&quot;" command="SELECT * FROM [GraduateSkillsCatalogue]"/>
  </connection>
  <connection id="9" xr16:uid="{6FC5B657-681C-4FF2-A819-25AB7E416F69}" keepAlive="1" name="Query - ModuleRegister" description="Connection to the 'ModuleRegister' query in the workbook." type="5" refreshedVersion="0" background="1">
    <dbPr connection="Provider=Microsoft.Mashup.OleDb.1;Data Source=$Workbook$;Location=ModuleRegister;Extended Properties=&quot;&quot;" command="SELECT * FROM [ModuleRegister]"/>
  </connection>
  <connection id="10" xr16:uid="{5188DB9F-FB55-4AB9-84E9-CDEAB02CAD94}" keepAlive="1" name="Query - RegisterBlocks" description="Connection to the 'RegisterBlocks' query in the workbook." type="5" refreshedVersion="0" background="1">
    <dbPr connection="Provider=Microsoft.Mashup.OleDb.1;Data Source=$Workbook$;Location=RegisterBlocks;Extended Properties=&quot;&quot;" command="SELECT * FROM [RegisterBlocks]"/>
  </connection>
  <connection id="11" xr16:uid="{D5BC82BC-C688-4EE4-A8AB-753A97635233}" keepAlive="1" name="Query - RelevantItems" description="Connection to the 'RelevantItems' query in the workbook." type="5" refreshedVersion="0" background="1">
    <dbPr connection="Provider=Microsoft.Mashup.OleDb.1;Data Source=$Workbook$;Location=RelevantItems;Extended Properties=&quot;&quot;" command="SELECT * FROM [RelevantItems]"/>
  </connection>
  <connection id="12" xr16:uid="{76368630-0CEF-425A-8738-A2B9A375C376}" keepAlive="1" name="Query - SharePointSiteRoot" description="Connection to the 'SharePointSiteRoot' query in the workbook." type="5" refreshedVersion="0" background="1">
    <dbPr connection="Provider=Microsoft.Mashup.OleDb.1;Data Source=$Workbook$;Location=SharePointSiteRoot;Extended Properties=&quot;&quot;" command="SELECT * FROM [SharePointSiteRoot]"/>
  </connection>
  <connection id="13" xr16:uid="{98073A92-846A-4C98-9EA7-36859EE37DAC}" keepAlive="1" name="Query - SN_Assess" description="Connection to the 'SN_Assess' query in the workbook." type="5" refreshedVersion="8" background="1" saveData="1">
    <dbPr connection="Provider=Microsoft.Mashup.OleDb.1;Data Source=$Workbook$;Location=SN_Assess;Extended Properties=&quot;&quot;" command="SELECT * FROM [SN_Assess]"/>
  </connection>
  <connection id="14" xr16:uid="{B21E6B42-2CC9-4480-9374-6C5AD21A9B81}" keepAlive="1" name="Query - SN_Hours" description="Connection to the 'SN_Hours' query in the workbook." type="5" refreshedVersion="8" background="1" saveData="1">
    <dbPr connection="Provider=Microsoft.Mashup.OleDb.1;Data Source=$Workbook$;Location=SN_Hours;Extended Properties=&quot;&quot;" command="SELECT * FROM [SN_Hours]"/>
  </connection>
  <connection id="15" xr16:uid="{CB98FF25-A993-4B97-BC3E-AACC00C78FF4}" keepAlive="1" name="Query - SN_Hours_Wide" description="Connection to the 'SN_Hours_Wide' query in the workbook." type="5" refreshedVersion="8" background="1" saveData="1">
    <dbPr connection="Provider=Microsoft.Mashup.OleDb.1;Data Source=$Workbook$;Location=SN_Hours_Wide;Extended Properties=&quot;&quot;" command="SELECT * FROM [SN_Hours_Wide]"/>
  </connection>
  <connection id="16" xr16:uid="{19002DC3-3AC5-4E93-888C-94B837CEB486}" keepAlive="1" name="Query - SN_LO" description="Connection to the 'SN_LO' query in the workbook." type="5" refreshedVersion="8" background="1" saveData="1">
    <dbPr connection="Provider=Microsoft.Mashup.OleDb.1;Data Source=$Workbook$;Location=SN_LO;Extended Properties=&quot;&quot;" command="SELECT * FROM [SN_LO]"/>
  </connection>
  <connection id="17" xr16:uid="{D914A453-2030-4844-A89A-F947EC0F6ABC}" keepAlive="1" name="Query - SN_Mapping" description="Connection to the 'SN_Mapping' query in the workbook." type="5" refreshedVersion="8" background="1" saveData="1">
    <dbPr connection="Provider=Microsoft.Mashup.OleDb.1;Data Source=$Workbook$;Location=SN_Mapping;Extended Properties=&quot;&quot;" command="SELECT * FROM [SN_Mapping]"/>
  </connection>
  <connection id="18" xr16:uid="{4F7A69B9-2CAD-4916-B467-DC6DF559777D}" keepAlive="1" name="Query - SN_Meta" description="Connection to the 'SN_Meta' query in the workbook." type="5" refreshedVersion="8" background="1" saveData="1">
    <dbPr connection="Provider=Microsoft.Mashup.OleDb.1;Data Source=$Workbook$;Location=SN_Meta;Extended Properties=&quot;&quot;" command="SELECT * FROM [SN_Meta]"/>
  </connection>
  <connection id="19" xr16:uid="{EBF2E43C-CA14-4E91-AC53-2EB080E8D049}" keepAlive="1" name="Query - SN_Meta_Wide" description="Connection to the 'SN_Meta_Wide' query in the workbook." type="5" refreshedVersion="8" background="1" saveData="1">
    <dbPr connection="Provider=Microsoft.Mashup.OleDb.1;Data Source=$Workbook$;Location=SN_Meta_Wide;Extended Properties=&quot;&quot;" command="SELECT * FROM [SN_Meta_Wide]"/>
  </connection>
  <connection id="20" xr16:uid="{CFCD897A-4249-46BA-B11C-3DF6FF8AE9BE}" keepAlive="1" name="Query - SN_Module_Overview" description="Connection to the 'SN_Module_Overview' query in the workbook." type="5" refreshedVersion="8" background="1" saveData="1">
    <dbPr connection="Provider=Microsoft.Mashup.OleDb.1;Data Source=$Workbook$;Location=SN_Module_Overview;Extended Properties=&quot;&quot;" command="SELECT * FROM [SN_Module_Overview]"/>
  </connection>
  <connection id="21" xr16:uid="{E5FF7E46-F9CF-4F9A-9377-850B6826EEAD}" keepAlive="1" name="Query - SN_SkillsCoverage" description="Connection to the 'SN_SkillsCoverage' query in the workbook." type="5" refreshedVersion="8" background="1" saveData="1">
    <dbPr connection="Provider=Microsoft.Mashup.OleDb.1;Data Source=$Workbook$;Location=SN_SkillsCoverage;Extended Properties=&quot;&quot;" command="SELECT * FROM [SN_SkillsCoverage]"/>
  </connection>
  <connection id="22" xr16:uid="{6D2EA10F-4559-44D5-B610-26DC6D99A709}" keepAlive="1" name="Query - SourceTables" description="Connection to the 'SourceTables' query in the workbook." type="5" refreshedVersion="0" background="1">
    <dbPr connection="Provider=Microsoft.Mashup.OleDb.1;Data Source=$Workbook$;Location=SourceTables;Extended Properties=&quot;&quot;" command="SELECT * FROM [SourceTables]"/>
  </connection>
  <connection id="23" xr16:uid="{81CBC8C1-1719-4766-A6F3-DB32759DB6D8}" keepAlive="1" name="Query - SourceTablesParsed" description="Connection to the 'SourceTablesParsed' query in the workbook." type="5" refreshedVersion="0" background="1">
    <dbPr connection="Provider=Microsoft.Mashup.OleDb.1;Data Source=$Workbook$;Location=SourceTablesParsed;Extended Properties=&quot;&quot;" command="SELECT * FROM [SourceTablesParsed]"/>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<sst xmlns="http://schemas.openxmlformats.org/spreadsheetml/2006/main" count="8027" uniqueCount="1011">
  <si>
    <t>Module Information</t>
  </si>
  <si>
    <t>Module Data</t>
  </si>
  <si>
    <t>Details</t>
  </si>
  <si>
    <t>Aims</t>
  </si>
  <si>
    <t>Module Code</t>
  </si>
  <si>
    <t>4001SPS</t>
  </si>
  <si>
    <t>To establish the foundations of professional practice: the practical toolkit of nutritional assessment, the standards and ethics of a regulated profession, and the beginnings of a practitioner identity that develops through the Professional Practice strand to Level 6.</t>
  </si>
  <si>
    <t>Module Title</t>
  </si>
  <si>
    <t>Professional Practice 1 in Sport Nutrition</t>
  </si>
  <si>
    <t>Credits</t>
  </si>
  <si>
    <t>Semester</t>
  </si>
  <si>
    <t>YL</t>
  </si>
  <si>
    <t>Outline Syllabus</t>
  </si>
  <si>
    <t>Level</t>
  </si>
  <si>
    <t>The practitioner toolkit (energy intake, energy expenditure, body composition, hydration); dietary assessment methods and dietary analysis software; the nutritional interview and consultation skills; professional identity and the UKVRN Standards of Ethics, Conduct and Performance; scope of practice and referral; equality, diversity, equity and inclusion in practice; record keeping, data management and confidentiality; responsible and ethical use of AI in practice; reflective practice and the Peer Learning Group.</t>
  </si>
  <si>
    <t>Module Leader</t>
  </si>
  <si>
    <t>Sam Moss</t>
  </si>
  <si>
    <t>Module Type</t>
  </si>
  <si>
    <t>Prof Practice Strand</t>
  </si>
  <si>
    <t>Programme(s)</t>
  </si>
  <si>
    <t>Sport Nutrition</t>
  </si>
  <si>
    <t>Module Overview</t>
  </si>
  <si>
    <t>This module introduces what it means to practice as a nutrition professional. You will build the core practical toolkit for assessing what people eat and how their bodies use energy, while learning the standards, ethics and scope of practice that govern the profession. Through consultation role-play and a Peer Learning Group, you begin to develop and reflect on your own practitioner identity, a thread that continues through Professional Practice 2 and into your final-year work.</t>
  </si>
  <si>
    <t>Contact Hours</t>
  </si>
  <si>
    <t>Component</t>
  </si>
  <si>
    <t>Lecture</t>
  </si>
  <si>
    <t>Seminar</t>
  </si>
  <si>
    <t>Practical</t>
  </si>
  <si>
    <t>Workshop</t>
  </si>
  <si>
    <t>Additional Information/Notes</t>
  </si>
  <si>
    <t>Online</t>
  </si>
  <si>
    <t>Formative - structured peer feedback on a task that tests professional practices, week 5, same criteria as AS2.</t>
  </si>
  <si>
    <t>Total</t>
  </si>
  <si>
    <t>AI-development touchpoint: an AI output audit exercise where students check an AI-generated assessment summary against their own recorded data and against primary sources.</t>
  </si>
  <si>
    <t>AI design. Both summative items are session-anchored and cannot be produced by a tool that did not attend, so security comes from the format, not from surveillance. The developmental AI work sits in the formative task, where the stakes are low and the skill being taught is verification.</t>
  </si>
  <si>
    <t>AfN (2025). CC1a (SH), CC1b (SH), CC1c (KH), CC2f (KH), CC2g (SH), CC3g (SH), CC4g (KH).</t>
  </si>
  <si>
    <t>Learning Outcomes</t>
  </si>
  <si>
    <t>After completing the module the student should be able to:</t>
  </si>
  <si>
    <t>Enhancement. Transition and belonging: PLG groups formed week 1 and held stable across the year. Graduate competency: Professional Relationships and Behaviours; Communication; Self-Evaluation.</t>
  </si>
  <si>
    <t>LO Number</t>
  </si>
  <si>
    <t>LO Description</t>
  </si>
  <si>
    <t>PLG reflection: weeks 3, 7 and 11. Prompt: Who am I becoming as a practitioner? Assessed via the reflective log.</t>
  </si>
  <si>
    <t>LO1</t>
  </si>
  <si>
    <t>(Apply) Select and demonstrate appropriate methods to assess energy intake, energy expenditure and body composition, justifying the method chosen for a given purpose.</t>
  </si>
  <si>
    <t>Golden thread: “Who am I becoming, and how do I know what I am measuring is true?” The module tracks a single developing practitioner identity, with each week adding one tool to the toolkit and one facet of professional conduct, so that by week 12 the student has both a populated portfolio and a defensible account of their own development.</t>
  </si>
  <si>
    <t>LO2</t>
  </si>
  <si>
    <t>(Understand) Explain the professional, ethical and legal expectations placed on a nutrition practitioner, including scope of practice and equality, diversity, equity and inclusion.</t>
  </si>
  <si>
    <t>LO3</t>
  </si>
  <si>
    <t>(Understand) Reflect on their own developing professional practice and identify areas for development.</t>
  </si>
  <si>
    <t>LO4</t>
  </si>
  <si>
    <t>LO5</t>
  </si>
  <si>
    <t>Assessment</t>
  </si>
  <si>
    <t>Assessment No</t>
  </si>
  <si>
    <t>Assessment Type</t>
  </si>
  <si>
    <t>Assessment Specific</t>
  </si>
  <si>
    <t>Assessment Description</t>
  </si>
  <si>
    <t>Weighting</t>
  </si>
  <si>
    <t>Due Week</t>
  </si>
  <si>
    <t>A1</t>
  </si>
  <si>
    <t>Portfolio</t>
  </si>
  <si>
    <t>Practitioner portfolio</t>
  </si>
  <si>
    <t>Assessment data collected in-session, with justification and interpretation. Tests MLO1 (Apply) and MLO2 (Understand). Thread A and B origin: this is where the consultation and measurement formats are first practised.</t>
  </si>
  <si>
    <t>A2</t>
  </si>
  <si>
    <t>PLG reflective log</t>
  </si>
  <si>
    <t>Entries written in-session, referencing named peers and the student’s own recorded consultation. Tests MLO2 and MLO3 (Understand).</t>
  </si>
  <si>
    <t>A3</t>
  </si>
  <si>
    <t>A4</t>
  </si>
  <si>
    <t>Assessment Mapping</t>
  </si>
  <si>
    <t>Graduate Skills Category</t>
  </si>
  <si>
    <t>Graduate Skill</t>
  </si>
  <si>
    <t>Self-evaluation and professional development</t>
  </si>
  <si>
    <t>Reflective practice</t>
  </si>
  <si>
    <t>Application of knowledge and skills</t>
  </si>
  <si>
    <t>Translational practice</t>
  </si>
  <si>
    <t>Communication</t>
  </si>
  <si>
    <t>Interpersonal communication</t>
  </si>
  <si>
    <t>Technical skills</t>
  </si>
  <si>
    <t>Data collection</t>
  </si>
  <si>
    <t>Professional relationships and behaviours</t>
  </si>
  <si>
    <t>Ethical practice</t>
  </si>
  <si>
    <t>Self-awareness</t>
  </si>
  <si>
    <t>Cultural awareness and competence</t>
  </si>
  <si>
    <t>Equipment and technology utilisation</t>
  </si>
  <si>
    <t>Professionalism</t>
  </si>
  <si>
    <t>Personal development planning</t>
  </si>
  <si>
    <t>Understanding the delivery environment</t>
  </si>
  <si>
    <t>Professional awareness</t>
  </si>
  <si>
    <t>Weekly Content</t>
  </si>
  <si>
    <t xml:space="preserve">Semester </t>
  </si>
  <si>
    <t>Week Number</t>
  </si>
  <si>
    <t>Weekly Content 1</t>
  </si>
  <si>
    <t>Weekly Content 2</t>
  </si>
  <si>
    <t>Weekly Content 3</t>
  </si>
  <si>
    <t>The nutrition professions and practitioner identity</t>
  </si>
  <si>
    <t>Who am I becoming - PLG groups formed</t>
  </si>
  <si>
    <t>PLG formation; professional-body landscape</t>
  </si>
  <si>
    <t>Standards, ethics and scope of practice</t>
  </si>
  <si>
    <t>The rules I will work within</t>
  </si>
  <si>
    <t>UKVRN standards workshop</t>
  </si>
  <si>
    <t>EDEI in nutrition practice</t>
  </si>
  <si>
    <t>Practising fairly</t>
  </si>
  <si>
    <t>Case discussion; belief, culture, access</t>
  </si>
  <si>
    <t>Assessing energy intake: dietary assessment methods</t>
  </si>
  <si>
    <t>First tool in the kit</t>
  </si>
  <si>
    <t>Workshop: 24h recall, food diary</t>
  </si>
  <si>
    <t>Dietary analysis software and interpretation</t>
  </si>
  <si>
    <t>Making the measurement mean something</t>
  </si>
  <si>
    <t>Digital Lab: dietary analysis software</t>
  </si>
  <si>
    <t>The nutritional interview (role-play strand)</t>
  </si>
  <si>
    <t>Formative checkpoint: practice consultation (rung 2)</t>
  </si>
  <si>
    <t>Role-play consultation with peer feedback</t>
  </si>
  <si>
    <t>Assessing energy expenditure</t>
  </si>
  <si>
    <t>Second tool in the kit</t>
  </si>
  <si>
    <t>Practical: expenditure estimation</t>
  </si>
  <si>
    <t>Body composition assessment</t>
  </si>
  <si>
    <t>Third tool, and its error</t>
  </si>
  <si>
    <t>Practical: anthropometry</t>
  </si>
  <si>
    <t>Is what I measured true? Verifying against evidence</t>
  </si>
  <si>
    <t>How do I know it is true - AI output audit</t>
  </si>
  <si>
    <t>AI-development session: audit an AI summary against own data</t>
  </si>
  <si>
    <t>Record keeping, data and confidentiality</t>
  </si>
  <si>
    <t>Handling a client’s data responsibly</t>
  </si>
  <si>
    <t>Data-management workshop</t>
  </si>
  <si>
    <t>Reflective practice and professional development</t>
  </si>
  <si>
    <t>Accounting for who I am becoming</t>
  </si>
  <si>
    <t>PLG reflective session</t>
  </si>
  <si>
    <t>Portfolio synthesis and assessment preparation</t>
  </si>
  <si>
    <t>Pulling the thread together</t>
  </si>
  <si>
    <t>Portfolio surgery; PLG log review</t>
  </si>
  <si>
    <t>4003SPS</t>
  </si>
  <si>
    <t>To establish the scientific foundations of human nutrition: what nutrients are, how they function, how requirements are derived, and the consequences of inadequate or excessive intake.</t>
  </si>
  <si>
    <t>Principles of Human Nutrition</t>
  </si>
  <si>
    <t>Nutrition and energy balance; carbohydrate, protein and fat (structure, function, food sources); water- and fat-soluble vitamins; minerals and trace elements; water, hydration and electrolyte balance; deriving Dietary Reference Values and their limitations; consequences of inadequate and excessive intake; introductory nutrition chemistry and the chemistry of food components.</t>
  </si>
  <si>
    <t>Richie Kirwan</t>
  </si>
  <si>
    <t>Core module</t>
  </si>
  <si>
    <t>Sport Nutrition/Human Biology</t>
  </si>
  <si>
    <t>This module builds the scientific foundations of human nutrition. You will follow each nutrient from the food on the plate to its function in the body and the consequences when intake is too little or too much, learning a method you can apply to any nutrient rather than a list to memorise. You will also learn how dietary reference values are derived and begin to evaluate real diets against them, underpinning the applied and clinical modules across the whole programme.</t>
  </si>
  <si>
    <t>Formative - weekly low-stakes quizzes with feedback aligned to the exam. Supervised dietary assessment role play with student feedback and content used in dietary analysis report</t>
  </si>
  <si>
    <t>AI-development touchpoint: an AI output audit - students verify an AI-generated dietary analysis report against their own work.</t>
  </si>
  <si>
    <t>AI design. Both summative items are secured, one by role-play anchoring and one by invigilation. The AI literacy work is developmental and formative, teaching verification at the exact point students are most likely to use these tools uncritically.</t>
  </si>
  <si>
    <t>AfN (2025). CC2a (KW), CC2b (KH), CC2c (KH), CC3a (KW), CC3d (KH), CC5a (KH)</t>
  </si>
  <si>
    <t>Golden thread: “Follow the nutrient from plate to function to deficiency.” Each nutrient group is traced along the same path - what it is, what it does, how much is needed, and what happens when intake is wrong - so students internalise a method they can apply to any nutrient rather than memorising a list.</t>
  </si>
  <si>
    <t>(Understand) Describe the functions, food sources and metabolic roles of the major and minor nutrients and the consequences of inappropriate intakes.</t>
  </si>
  <si>
    <t>(Apply) Apply Dietary Reference Values to evaluate the adequacy of a described diet and explain how those values are derived.</t>
  </si>
  <si>
    <t>(Understand) Explain the chemical properties of nutrients and food components that determine their nutritional behaviour.</t>
  </si>
  <si>
    <t>Report</t>
  </si>
  <si>
    <t>Dietary history role-play and dietary analysis report</t>
  </si>
  <si>
    <t>UNDER DISCUSSION: A1 design to be confirmed with the module leader (whether Human Biology students take part in the role-play, and the AI-developmental element). Partially secured. A short in-session dietary-history role-play (Thread A, foundational) generates the data; students then analyse the described dietary data against DRVs and identify likely inadequacies. Tests MLO1 (Understand) and MLO2 (Apply).</t>
  </si>
  <si>
    <t>Exam</t>
  </si>
  <si>
    <t>Invigilated computer examination</t>
  </si>
  <si>
    <t>An invigilated, computer-based exam covering multiple topics related to the scientific content covered throughout the module. Tests MLO1, MLO2 and MLO3. Action: check with IT whether AI can be blocked for the Canvas exam (no phones, bags etc.).</t>
  </si>
  <si>
    <t>Scientific knowledge</t>
  </si>
  <si>
    <t>Information retrieval</t>
  </si>
  <si>
    <t>Oral presentation</t>
  </si>
  <si>
    <t>Understanding and use of research</t>
  </si>
  <si>
    <t>Evidence-based practice</t>
  </si>
  <si>
    <t>Research literacy</t>
  </si>
  <si>
    <t>Domain-specific analytical skills</t>
  </si>
  <si>
    <t>Management of self and others</t>
  </si>
  <si>
    <t>Multi-tasking</t>
  </si>
  <si>
    <t>Problem solving and impact</t>
  </si>
  <si>
    <t>problem identification</t>
  </si>
  <si>
    <t>Evidence-based decision making</t>
  </si>
  <si>
    <t>Nutrition, energy and the plate-to-function idea</t>
  </si>
  <si>
    <t>Introducing the thread</t>
  </si>
  <si>
    <t>Lecture; the nutrient’s journey</t>
  </si>
  <si>
    <t>Introductory nutrition chemistry</t>
  </si>
  <si>
    <t>Why structure determines behaviour</t>
  </si>
  <si>
    <t>Chemistry of food components</t>
  </si>
  <si>
    <t>Carbohydrate: structure, function, sources</t>
  </si>
  <si>
    <t>Following carbohydrate</t>
  </si>
  <si>
    <t>Lecture and food-sources workshop</t>
  </si>
  <si>
    <t>Protein and amino acids</t>
  </si>
  <si>
    <t>Following protein</t>
  </si>
  <si>
    <t>Lecture; quality and sources</t>
  </si>
  <si>
    <t>Fat and fatty acids</t>
  </si>
  <si>
    <t>Following fat</t>
  </si>
  <si>
    <t>Lecture; food matrix intro</t>
  </si>
  <si>
    <t>Nutritics lecture and practical session</t>
  </si>
  <si>
    <t>Following macro- and micronutrients</t>
  </si>
  <si>
    <t>Food, recipe and dietary nutrient analysis and comparison</t>
  </si>
  <si>
    <t>Fat- and water-soluble vitamins</t>
  </si>
  <si>
    <t>Following the micronutrients</t>
  </si>
  <si>
    <t>Lecture; deficiency signs</t>
  </si>
  <si>
    <t>Minerals and trace elements</t>
  </si>
  <si>
    <t>Lecture; bioavailability</t>
  </si>
  <si>
    <t>Water, hydration and electrolytes</t>
  </si>
  <si>
    <t>Following water</t>
  </si>
  <si>
    <t>Lecture and applied examples</t>
  </si>
  <si>
    <t>Deriving Dietary Reference Values</t>
  </si>
  <si>
    <t>How much is enough, and how we know</t>
  </si>
  <si>
    <t>DRV derivation workshop</t>
  </si>
  <si>
    <t>Is this AI summary right? Verifying nutrient claims
Dietary history role-play (rung 1)</t>
  </si>
  <si>
    <t>End of the thread: deficiency and error
Formative practice</t>
  </si>
  <si>
    <t>AI-development session: audit nutrient summary vs DRVs
Dietary-history taking (formative role-play; generates the A1 data)</t>
  </si>
  <si>
    <t>Consolidation and exam preparation</t>
  </si>
  <si>
    <t>Whole journey reviewed</t>
  </si>
  <si>
    <t>Case-analysis practice; exam prep</t>
  </si>
  <si>
    <t>4004SPS</t>
  </si>
  <si>
    <t>To develop understanding of the biochemical and physiological processes involved in nutrient digestion, absorption, transport, metabolism and waste excretion, with emphasis on metabolic pathways, providing foundations for application at Level 5 and critical analysis at Level 6.</t>
  </si>
  <si>
    <t>Nutritional Biochemistry and Metabolism</t>
  </si>
  <si>
    <t>Digestion and absorption of nutrients; energy metabolism (glycolysis, glycogen synthesis and breakdown, beta-oxidation, TCA cycle, electron transport chain and gluconeogenesis); lipid transport and synthesis; protein metabolism, nitrogen balance and waste excretion; integration and regulation of metabolic pathways in fed, fasted and exercise states; metabolic dysregulation and non-communicable disease. Introduction to DNA, transcription, translation and basic cell signalling.</t>
  </si>
  <si>
    <t>Ian Davies</t>
  </si>
  <si>
    <t>This module introduces the biochemical foundations of sport nutrition, exploring how nutrients are digested, absorbed and metabolised to provide energy, build and repair tissues, and generate waste products, using examples from sport, exercise, and health. Through laboratory work you will generate and interpret  biochemical data, developing practical skills that build across the programme.</t>
  </si>
  <si>
    <t>Formative - Laboratory logbooks from practicals 1 and 2 receive feedback that students use to improve technique, calculations and recording before the practical examination. Data-interpretation activities and microteach rehearsal provide opportunities to practise, receive feedback and refine explanations before summative assessment.</t>
  </si>
  <si>
    <t>AI-development touchpoint: In a guided formative workshop, students first interpret biochemical data independently, then compare their interpretation with an AI-generated response. They identify errors, unsupported explanations and useful contributions, verify selected claims against suitable scientific sources, and justify what they retain, revise or reject. Guidance covers permitted use, transparent acknowledgement, data privacy and equitable access to tools.</t>
  </si>
  <si>
    <t>AI design. Both items are secured by their live or in-person nature.</t>
  </si>
  <si>
    <t>AfN (2025). CC2a (KW), CC2b (KH), CC2c (KH), CC2d (KH), CC2e (KW).</t>
  </si>
  <si>
    <t>Enhancement. Level calibration: cell signalling kept deliberately introductory (basic signalling and ATP generation) and signposted as the foundation for L5 Exercise Biochemistry. Graduate competency: Scientific Knowledge; Technical Skills.</t>
  </si>
  <si>
    <t>Additional note. Syllabus and weekly delivery.</t>
  </si>
  <si>
    <t>(Understand) Explain the principal biochemical pathways and how they are integrated and regulated in the fed and fasted states.</t>
  </si>
  <si>
    <t>Golden thread: “Explore dietary patterns from mouth to mitochondria and back out.” Contrasting dietary patterns link digestion, absorption, metabolism and waste excretion in one continuous story, complemented by the lab work.</t>
  </si>
  <si>
    <t>(Understand) Describe how metabolic pathways contribute to performance and health.</t>
  </si>
  <si>
    <t>(Analyse) Analyse and interpret biochemical and metabolic data to draw supported conclusions.</t>
  </si>
  <si>
    <t>In-person practical lab exam</t>
  </si>
  <si>
    <t>Two practice and training labs across the module, then one final in-person lab exam comprising a completed handwritten proforma and submission of the handwritten lab book. Tests MLO1 (Understand) and MLO3 (Analyse). Thread B origin: this is where lab competency and data interpretation are first assessed under secure conditions, maturing at L5 Exercise Biochemistry and L6 Molecular.</t>
  </si>
  <si>
    <t>Presentation</t>
  </si>
  <si>
    <t>Group mini-teach presentation</t>
  </si>
  <si>
    <t>Teach a scientific concept to a targeted group testing (Understand) MLO1 and MLO2.</t>
  </si>
  <si>
    <t>Scientific literacy</t>
  </si>
  <si>
    <t>Decision-making</t>
  </si>
  <si>
    <t>Laboratory/clinical techniques</t>
  </si>
  <si>
    <t>Data analysis</t>
  </si>
  <si>
    <t>Data interpretation</t>
  </si>
  <si>
    <t>Knowledge synthesis</t>
  </si>
  <si>
    <t>Coaching and mentoring</t>
  </si>
  <si>
    <t>Numeracy</t>
  </si>
  <si>
    <t>Teamwork</t>
  </si>
  <si>
    <t>The meal’s journey: module introduction, digestion and absorption</t>
  </si>
  <si>
    <t>Introducing the thread: how nutrients enter the body</t>
  </si>
  <si>
    <t>Overview lecture</t>
  </si>
  <si>
    <t>Carbohydrate metabolism: glycolysis and glycogen</t>
  </si>
  <si>
    <t>Fuelling from the meal/diet</t>
  </si>
  <si>
    <t>Lecture; pathway mapping. Practical lab 1 (formative)</t>
  </si>
  <si>
    <t>The TCA cycle and electron transport</t>
  </si>
  <si>
    <t>Extracting energy</t>
  </si>
  <si>
    <t>Lecture; ATP generation</t>
  </si>
  <si>
    <t>Lipid transport, storage and beta-oxidation</t>
  </si>
  <si>
    <t>Storing and burning fat</t>
  </si>
  <si>
    <t>Lecture; practical lab 2 (formative)</t>
  </si>
  <si>
    <t>Protein metabolism and nitrogen balance</t>
  </si>
  <si>
    <t>Building and turning over</t>
  </si>
  <si>
    <t>Lecture; formative checkpoint workshop: lab books returned</t>
  </si>
  <si>
    <t>Gluconeogenesis and the fasted state</t>
  </si>
  <si>
    <t>Maintaining fuel availability between meals</t>
  </si>
  <si>
    <t>Lecture; fed–fasted transition</t>
  </si>
  <si>
    <t>Curriculum enhancement week</t>
  </si>
  <si>
    <t>Consolidating and extending learning</t>
  </si>
  <si>
    <t>Programme enrichment activities</t>
  </si>
  <si>
    <t>Integration and regulation of metabolism</t>
  </si>
  <si>
    <t>The whole map connected</t>
  </si>
  <si>
    <t>Lecture; integration workshop. Lab exam</t>
  </si>
  <si>
    <t>Introduction to DNA, transcription, translation and basic cell signalling</t>
  </si>
  <si>
    <t>Introducing how genetic information produces proteins and how cells receive and respond to signals</t>
  </si>
  <si>
    <t>Lecture; foundational concepts developed further at L5 and L6</t>
  </si>
  <si>
    <t>Data day: comparing my interpretation with AI’s</t>
  </si>
  <si>
    <t>Evaluating explanations of the metabolic journey</t>
  </si>
  <si>
    <t>AI-development workshop: compare and justify own versus AI interpretation</t>
  </si>
  <si>
    <t>Metabolic regulation and dysfunction: implications for health and sporting performance</t>
  </si>
  <si>
    <t>Applying the metabolic map to understand health, exercise capacity and performance</t>
  </si>
  <si>
    <t>Lecture; applied sport and health cases. Introductory, developed further at L5 and L6</t>
  </si>
  <si>
    <t>Lab-exam preparation and mini-teach</t>
  </si>
  <si>
    <t>Retelling the whole journey</t>
  </si>
  <si>
    <t>Mini-teach rehearsal workshop</t>
  </si>
  <si>
    <t>4006SPS</t>
  </si>
  <si>
    <t>To introduce the principles of performance nutrition, building on Principles of Human Nutrition: how energy availability, macronutrient and micronutrient status and hydration affect performance, and how evidence-based, sport-specific recommendations are produced from position stands and consensus statements.</t>
  </si>
  <si>
    <t>Performance Nutrition</t>
  </si>
  <si>
    <t>The performance nutritionist’s role and scope; energy availability and relative energy deficiency in sport; carbohydrate, protein and fat for training and competition; hydration and electrolyte strategies; micronutrients of concern in athletic populations; periodised nutrition; sport-specific application (endurance, strength and power, team, weight-restricted); critical reading of position stands and consensus statements.</t>
  </si>
  <si>
    <t>Ian Sadler</t>
  </si>
  <si>
    <t>This module introduces the principles of performance nutrition, building on your foundational knowledge of nutrients and metabolism. Working with a single athlete case that develops week by week, you will examine how energy availability, macronutrients, hydration and micronutrient status affect performance, and learn to produce evidence-based, sport-specific recommendations from position stands and consensus statements. You will also begin to read the research critically and to weigh the strengths and limits of the evidence behind a recommendation.</t>
  </si>
  <si>
    <t>Formative - critical appraisal workshop on a single position stand (Thread C, first outing).</t>
  </si>
  <si>
    <t>AfN (2025). CC2d (KH), CC2g (SH), CC4f (SH), CC5a (KH), CC2h (KH).</t>
  </si>
  <si>
    <t>Enhancement. Thread C begins here: students first appraise position stands formatively at L4, evaluate them summatively at L5, and defend a position at L6. The AI evidence-search appendix is the Level 4 rung of the AI developmental thread (“check the machine’s homework”), preceding generate-and-refine at Level 5 and integrate-and-defend at Level 6. Graduate competency: Application of Knowledge and Skills; Understanding and Use of Research.</t>
  </si>
  <si>
    <t>Golden thread: “Build a recommendation for one athlete, one demand at a time.” A single athlete case is introduced in week 1 and revisited each week as a new demand (energy, carbohydrate, hydration and so on) is added, so the final recommendation is assembled across the module rather than written at the end.</t>
  </si>
  <si>
    <t>(Understand) Explain how energy availability, macronutrient and micronutrient status and hydration influence exercise performance.</t>
  </si>
  <si>
    <t>(Apply) Apply current position stands and consensus statements to produce evidence-based nutritional recommendations for a specified sport and context.</t>
  </si>
  <si>
    <t>(Analyse) Examine the strengths and limitations of the evidence underpinning a given nutritional recommendation.</t>
  </si>
  <si>
    <t>Case Study</t>
  </si>
  <si>
    <t>Position Stand report, 2,500 words (50%). Open, AI-development. Tests MLO2&amp;3 (Apply and Analyse).</t>
  </si>
  <si>
    <t>In Person Exam</t>
  </si>
  <si>
    <t>MCQ and Short answer question exam, 2h (50%).  Test MLO1 (Understand).</t>
  </si>
  <si>
    <t>Digital literacy</t>
  </si>
  <si>
    <t>Critical appraisal</t>
  </si>
  <si>
    <t>Literature searching</t>
  </si>
  <si>
    <t>Contextual application</t>
  </si>
  <si>
    <t>Policy interpretation</t>
  </si>
  <si>
    <t>The performance nutritionist and the case athlete</t>
  </si>
  <si>
    <t>Meet the athlete</t>
  </si>
  <si>
    <t>Case introduced</t>
  </si>
  <si>
    <t>Energy availability and RED-S</t>
  </si>
  <si>
    <t>The athlete’s energy demand</t>
  </si>
  <si>
    <t>Lecture; applied to case</t>
  </si>
  <si>
    <t>Carbohydrate for training and competition</t>
  </si>
  <si>
    <t>Fuelling the athlete</t>
  </si>
  <si>
    <t>Lecture; case update</t>
  </si>
  <si>
    <t>Protein for training adaptation</t>
  </si>
  <si>
    <t>Repairing the athlete</t>
  </si>
  <si>
    <t>Fat, and periodised fuelling</t>
  </si>
  <si>
    <t>Timing the athlete’s fuel</t>
  </si>
  <si>
    <t>Reading a position stand (Thread C)</t>
  </si>
  <si>
    <t>Formative checkpoint: appraisal workshop</t>
  </si>
  <si>
    <t>Critical appraisal of one position stand</t>
  </si>
  <si>
    <t>Hydration and electrolyte strategies</t>
  </si>
  <si>
    <t>Hydrating the athlete</t>
  </si>
  <si>
    <t>Micronutrients of concern in athletes</t>
  </si>
  <si>
    <t>Micronutrient risks</t>
  </si>
  <si>
    <t>AI search versus database search</t>
  </si>
  <si>
    <t>Evidencing the recommendation</t>
  </si>
  <si>
    <t>AI-development session: compare search methods</t>
  </si>
  <si>
    <t>Sport-specific application</t>
  </si>
  <si>
    <t>Tailoring to the sport</t>
  </si>
  <si>
    <t>Workshop across sport types</t>
  </si>
  <si>
    <t>Assembling the full recommendation</t>
  </si>
  <si>
    <t>The thread pulled together</t>
  </si>
  <si>
    <t>Case-build workshop</t>
  </si>
  <si>
    <t>Whole athlete reviewed</t>
  </si>
  <si>
    <t>Exam prep; case finalisation</t>
  </si>
  <si>
    <t>5001SPS</t>
  </si>
  <si>
    <t>To develop professional practice from foundational skill to applied competence, moving students from performing techniques to responding to real client complexity through behaviour change, communication and ethical reasoning.</t>
  </si>
  <si>
    <t>Professional Practice 2 in Sport Nutrition</t>
  </si>
  <si>
    <t>students move from performing a consultation to exercising professional judgement within one.</t>
  </si>
  <si>
    <r>
      <t>Indicative syllabus.</t>
    </r>
    <r>
      <rPr>
        <sz val="11"/>
        <color theme="1"/>
        <rFont val="Arial"/>
        <family val="2"/>
        <charset val="1"/>
      </rPr>
      <t xml:space="preserve"> Client-centred assessment and needs analysis; behaviour change theory and its application; designing, implementing and evaluating an intervention; communication for specialist and non-specialist audiences; health literacy and social marketing; the consultation with psychosocial complexity; professional judgement, boundaries and referral; evaluating own practice against professional standards; the Peer Learning Group.</t>
    </r>
  </si>
  <si>
    <t>This module develops your professional practice from performing techniques to exercising judgement with real clients. Building on Professional Practice 1, you will apply behaviour change theory, communication skills and ethical reasoning as you design interventions and respond to clients whose circumstances are more complex than any textbook case. Live consultation and continued Peer Learning Group reflection prepare you for the professional accountability expected in your final year.</t>
  </si>
  <si>
    <t>Formative - recorded practice consultation with peer and tutor feedback.</t>
  </si>
  <si>
    <t>AI design. AS1 is secured by being live; AS2 is deliberately open, with AI used as a drafting tool and the student’s contribution made visible through annotation and reflection. That pairing - one secured, one open - is the pattern repeated across the programme.</t>
  </si>
  <si>
    <t>AfN (2025). CC1a (SH), CC1b (SH/D), CC1c (SH), CC4d (SH), CC4e (SH), CC4f (SH), CC5d (KH).</t>
  </si>
  <si>
    <t>Enhancement. PLG groups reconstituted with continuity from L4. Graduate competency: Communication; Application of Knowledge and Skills; Management of Self, Others and Practice.</t>
  </si>
  <si>
    <t>Additional note. AI-development. A creative reflective artefact in which students may use AI to draft and are required to annotate their use and reflect on it. Tests MLO3 (Evaluate).</t>
  </si>
  <si>
    <t>Golden thread: “From technique to judgement: the same client, growing more complex.” The consultation skill practised at Level 4 is deepened week by week as psychosocial complexity is layered onto the client, so students move from performing a consultation to exercising professional judgement within one.</t>
  </si>
  <si>
    <t>(Create) Design an evidence-based nutritional intervention appropriate to a client’s circumstances, values and context, following a needs analysis.</t>
  </si>
  <si>
    <t>(Apply) Communicate nutritional information appropriately to a specified audience, adapting method and message.</t>
  </si>
  <si>
    <t>(Evaluate) Critically appraise their own professional practice against recognised professional standards.</t>
  </si>
  <si>
    <t>Individual Presentation</t>
  </si>
  <si>
    <t>Live consultation with case report (50%). Secured (live). Consultation conducted in-session with students provided with a client presenting psychosocial complexity prior to the consultation; the report must reference decisions taken in that session. Tests MLO1 (Create) and MLO2 (Apply). Thread A matures here: the format practised at L4 now carries complexity and higher weight.</t>
  </si>
  <si>
    <t>PLG creative professional-development portfolio</t>
  </si>
  <si>
    <t>Initiative</t>
  </si>
  <si>
    <t>Empathy</t>
  </si>
  <si>
    <t>Active listening</t>
  </si>
  <si>
    <t>Written communication</t>
  </si>
  <si>
    <t>Organisation</t>
  </si>
  <si>
    <t>Adaptability</t>
  </si>
  <si>
    <t>Resilience</t>
  </si>
  <si>
    <t>From L4 technique to L5 judgement</t>
  </si>
  <si>
    <t>Reintroducing the client</t>
  </si>
  <si>
    <t>PLG reconstituted; recap</t>
  </si>
  <si>
    <t>Client-centred assessment and needs analysis</t>
  </si>
  <si>
    <t>Understanding the client</t>
  </si>
  <si>
    <t>Needs-analysis workshop</t>
  </si>
  <si>
    <t>Behaviour change theory</t>
  </si>
  <si>
    <t>Why the client does what they do</t>
  </si>
  <si>
    <t>Lecture; theory to practice</t>
  </si>
  <si>
    <t>Designing a nutritional intervention</t>
  </si>
  <si>
    <t>Planning for the client</t>
  </si>
  <si>
    <t>Intervention-design workshop</t>
  </si>
  <si>
    <t>Communication and health literacy</t>
  </si>
  <si>
    <t>Reaching the client</t>
  </si>
  <si>
    <t>Audience-adaptation practical</t>
  </si>
  <si>
    <t>The consultation with complexity (rung 4)</t>
  </si>
  <si>
    <t>Formative checkpoint: recorded practice consultation</t>
  </si>
  <si>
    <t>Recorded consultation; peer and tutor feedback</t>
  </si>
  <si>
    <t>Professional judgement, boundaries, referral</t>
  </si>
  <si>
    <t>Knowing the limits</t>
  </si>
  <si>
    <t>Case-based decision workshop</t>
  </si>
  <si>
    <t>Implementing and evaluating the intervention</t>
  </si>
  <si>
    <t>Following through</t>
  </si>
  <si>
    <t>Evaluation-methods session</t>
  </si>
  <si>
    <t>Social marketing and public messaging</t>
  </si>
  <si>
    <t>Scaling the message</t>
  </si>
  <si>
    <t>Applied workshop</t>
  </si>
  <si>
    <t>Creative reflective practice and AI</t>
  </si>
  <si>
    <t>Accounting for my own practice</t>
  </si>
  <si>
    <t>AI-development session: creative artefact drafting</t>
  </si>
  <si>
    <t>Evaluating own practice against standards</t>
  </si>
  <si>
    <t>Judging myself</t>
  </si>
  <si>
    <t>Consultation synthesis and assessment preparation</t>
  </si>
  <si>
    <t>Thread pulled together</t>
  </si>
  <si>
    <t>Consultation rehearsal; portfolio surgery</t>
  </si>
  <si>
    <t>5014SPS</t>
  </si>
  <si>
    <t>To develop understanding of how food moves from production to consumer and how that journey shapes nutritional quality, sustainability and health, combining food systems analysis with the applied science of developing a sport nutrition product.</t>
  </si>
  <si>
    <t>Product Development for Sport Nutrition</t>
  </si>
  <si>
    <t>Global food supply chains (production, processing, manufacture, distribution, retail); staple foods, key nutrient sources, novel foods and alternative proteins; how production, processing, preservation, fortification and cooking affect composition and quality; the food matrix; sustainability, environmental impact and sustainable diets; national and international frameworks; political, ethical and economic dimensions of food production; food safety, quality, packaging and labelling; product development (formulation, sensory evaluation, practical work); regulation of nutrition and health claims.</t>
  </si>
  <si>
    <t>Katie Lane</t>
  </si>
  <si>
    <t>This module follows food from field to shelf to athlete, examining how that journey shapes nutritional quality, sustainability and health. You will analyse food supply chains and the environmental and ethical challenges of producing food sustainably, then apply that understanding to develop and defend your own sport nutrition product against a live brief. Sustainability is central to the module rather than an add-on, and you will work in various settings.</t>
  </si>
  <si>
    <t>Formative - laboratory and conceptual kitchen style practical sessions feeding the brief.</t>
  </si>
  <si>
    <t>AI design. The pitch is secured by live defence; the written analysis is the open, AI-development item. Standard pairing.</t>
  </si>
  <si>
    <t>AfN (2025). CC3a (KH), CC3b (KH), CC3c (SH), CC3f (SH), CC5e (SH). CC3e</t>
  </si>
  <si>
    <t>Enhancement. ESD is assessed directly in MLO2, not bolted on.</t>
  </si>
  <si>
    <t>Golden thread: “From field to shelf to athlete: develop a product and defend its journey.” A live product brief runs the whole module; each week examines one stage of the food journey and feeds a decision into the developing product, so sustainability and formulation are reasoned about together rather than separately.</t>
  </si>
  <si>
    <t>(Analyse) Analyse how food supply chains and methods of production and processing affect the nutritional quality and sustainability of food.</t>
  </si>
  <si>
    <t>(Evaluate) Critically evaluate the environmental, ethical and societal challenges of sustainable food production with reference to recognised frameworks.</t>
  </si>
  <si>
    <t>(Create) Develop and justify a sport nutrition product concept, evidencing formulation decisions and compliance with claims regulation.</t>
  </si>
  <si>
    <t>Group Presentation</t>
  </si>
  <si>
    <t>Product development brief and pitch (50%). Secured (live defence). Live brief input; pitch defended through Q and A. Tests MLO3 (Create) and MLO1 (Analyse) where formulation engages the supply chain. Thread D and the create-and-defend format; the live Q and A secures it.</t>
  </si>
  <si>
    <t>Lab Report</t>
  </si>
  <si>
    <t>Students will write a report based on the lab practical session. Food systems critical analysis (50%). Open, AI-development. Tests MLO1 (Analyse) and MLO2 (Evaluate). A synthesis task where AI genuinely helps; students submit an annotated AI-assisted draft or a prompt-and-refine record so their judgement is visible.</t>
  </si>
  <si>
    <t>Analytical thinking</t>
  </si>
  <si>
    <t>Technical proficiency</t>
  </si>
  <si>
    <t>Stakeholder awareness</t>
  </si>
  <si>
    <t>Creative thinking</t>
  </si>
  <si>
    <t>Innovation</t>
  </si>
  <si>
    <t>Resource management</t>
  </si>
  <si>
    <t>Time management</t>
  </si>
  <si>
    <t>Risk assessment</t>
  </si>
  <si>
    <t>Module outline and product development brief</t>
  </si>
  <si>
    <t>Brief introduced</t>
  </si>
  <si>
    <t>Live brief set with industry theme</t>
  </si>
  <si>
    <t>Models of product development</t>
  </si>
  <si>
    <t>Where product development starts</t>
  </si>
  <si>
    <t>Lecture; stage gate model evaluation.</t>
  </si>
  <si>
    <t>Primary production and supply chains, processing, sustainability, preservation and the food matrix</t>
  </si>
  <si>
    <t>Choosing ingredients</t>
  </si>
  <si>
    <t>Lecture; matrix, supply-chain mapping,</t>
  </si>
  <si>
    <t>Staple foods, novel foods, ultra processing, alternative proteins</t>
  </si>
  <si>
    <t>How processing changes food</t>
  </si>
  <si>
    <t>Ingredient-selection workshop
Practical (enzyme technology)</t>
  </si>
  <si>
    <t>Sustainability and environmental impact</t>
  </si>
  <si>
    <t>The journey’s footprint</t>
  </si>
  <si>
    <t>Lecture; frameworks introduced</t>
  </si>
  <si>
    <t>Sustainable diets and their frameworks
Political, ethical and economic dimensions</t>
  </si>
  <si>
    <t>Awareness of ingredient sustainability and legislation</t>
  </si>
  <si>
    <t>Sustainability mapping of pitch product ingredients</t>
  </si>
  <si>
    <t>Food allergens</t>
  </si>
  <si>
    <t>Awareness of safe products</t>
  </si>
  <si>
    <t>Food allergen qualification</t>
  </si>
  <si>
    <t>Formulation and sensory evaluation</t>
  </si>
  <si>
    <t>Building the product</t>
  </si>
  <si>
    <t>Lecture and exercise</t>
  </si>
  <si>
    <t>Food safety, quality, packaging</t>
  </si>
  <si>
    <t>Food hygiene</t>
  </si>
  <si>
    <t>Regulation of nutrition and health claims</t>
  </si>
  <si>
    <t>What I am allowed to say</t>
  </si>
  <si>
    <t>Practical; labelling
Claims-regulation workshop</t>
  </si>
  <si>
    <t>Refining the product and AI-assisted synthesis</t>
  </si>
  <si>
    <t>Drafting the lab report</t>
  </si>
  <si>
    <t>AI-development session: annotated draft</t>
  </si>
  <si>
    <t>Pitch rehearsal and assessment preparation</t>
  </si>
  <si>
    <t>Defending the journey</t>
  </si>
  <si>
    <t>Pitch practice with Q and A</t>
  </si>
  <si>
    <t>5015SPS</t>
  </si>
  <si>
    <t>To develop mechanistic understanding of how nutrition and exercise interact at the molecular and cellular level - nutrient sensing, signalling, appetite and energy-balance regulation, and training adaptation. Omics, nutrigenetics and precision nutrition are signposted here as a bridge and developed critically at Level 6 Molecular, so this module stays focused on applied exercise mechanism.</t>
  </si>
  <si>
    <t>Applied Nutrition and Exercise Biochemistry</t>
  </si>
  <si>
    <t>Substrate utilisation and metabolic flexibility during exercise; nutrient sensing and signalling (mTOR, AMPK, PGC-1 alpha); the molecular basis of training adaptation, train-low and nutrient-exercise interactions; muscle protein synthesis and breakdown; mitochondrial biogenesis; endocrine and regulatory control; hormonal control of appetite and satiety; the gut-brain axis and the gut microbiome and precision nutrition signposted as a bridge to Level 6.</t>
  </si>
  <si>
    <t>Kelsie Johnson</t>
  </si>
  <si>
    <t>This module explains why the body responds as it does to training and feeding, working from an applied question down to the underlying mechanism each week. You will study substrate use, nutrient signalling, training adaptation, appetite regulation and the gut microbiome, always in service of a performance or health question rather than as abstract biochemistry. The module bridges your Level 4 biochemistry to the gene-level and precision material you will meet in Molecular Nutrition and Genetics at Level 6.</t>
  </si>
  <si>
    <t>Formative - Data interpretation workshop.</t>
  </si>
  <si>
    <t>AI-development touchpoint: Appraise AI-generated marketing copy for a sport nutrition product, checking claims against evidence. (The direct-to-consumer genetic test critique moves up to L6 Molecular, where the nutrigenetics content now sits.)</t>
  </si>
  <si>
    <t>AI design. Both summative items are secured (own data, live explanation); the developmental AI work sits formatively.</t>
  </si>
  <si>
    <t>AfN (2025). CC2b (KH), CC2c (KH), CC2d (SH), CC2e (KH), CC5c (KH).</t>
  </si>
  <si>
    <t>Enhancement. Endocrine and regulatory-control content added for 5005, the appetite-regulation mechanism and gut microbiome. Nutrigenetics, nutrigenomics, omics and precision nutrition have been consolidated up at L6 Molecular rather than split across both modules, which removes the duplication and sharpens the level logic: applied exercise mechanism here, gene-level regulation and precision there. Graduate competency: Scientific Knowledge; Technical Skills; Understanding and Use of Research.</t>
  </si>
  <si>
    <t>Golden thread: “Why does the body respond to this exercise session and because of this nutrient?” Each week takes a training or feeding scenario and works down to the mechanism, so the molecular detail is always in service of an applied question rather than taught as abstract biochemistry.</t>
  </si>
  <si>
    <t>(Understand) Explain the molecular and physiological mechanisms through which nutrient availability, exercise and appetite regulation interact to control metabolic and adaptive responses.</t>
  </si>
  <si>
    <t>(Analyse) Analyse and interpret molecular and biochemical data to draw supported conclusions about nutritional and training interventions.</t>
  </si>
  <si>
    <t>(Apply) Communicate applied exercise and nutrition evidence for performance and health outcomes to a specified audience.</t>
  </si>
  <si>
    <t>Client Report</t>
  </si>
  <si>
    <t>Individual client-facing case report based on physiological data collected during a fasted versus fed exercise-nutrition laboratory investigation (50%). Students will analyse and interpret metabolic responses, explain the underlying biochemical mechanisms, and critically evaluate AI-generated nutrition advice using scientific literature. Secured through student-collected data and standardised AI appraisal. Assesses MLO1 (Understand) and MLO2 (Analyse), developing applied data interpretation and mechanistic reasoning appropriate to Level 5.</t>
  </si>
  <si>
    <t>Client explanation of biochemical rationale (rung 3) (50%). Secured (live). Students will deliver an individual, 15-minute face-to-face presentation, explaining the biochemical and physiological mechanisms underpinning an evidence-based exercise or nutrition recommendation for a specified client scenario. Students must translate complex scientific concepts into accessible, client-appropriate language and justify their recommendations using relevant scientific literature. The assessment is secured through live, individual delivery and assesses MLO3 (Apply).</t>
  </si>
  <si>
    <t>Scientific writing</t>
  </si>
  <si>
    <t>Professional judgement</t>
  </si>
  <si>
    <t>The applied question and the mechanism map</t>
  </si>
  <si>
    <t>Overview; scenario bank</t>
  </si>
  <si>
    <t>Substrate use and metabolic flexibility</t>
  </si>
  <si>
    <t>Why fuel use shifts in a session</t>
  </si>
  <si>
    <t>Lecture; data intro</t>
  </si>
  <si>
    <t>Nutrient sensing: mTOR, AMPK, PGC-1 alpha</t>
  </si>
  <si>
    <t>How the cell reads the session</t>
  </si>
  <si>
    <t>Lecture; signalling</t>
  </si>
  <si>
    <t>Molecular basis of training adaptation</t>
  </si>
  <si>
    <t>Why training changes the muscle</t>
  </si>
  <si>
    <t>Lecture; train-low</t>
  </si>
  <si>
    <t>Muscle protein synthesis and breakdown</t>
  </si>
  <si>
    <t>Why protein timing matters</t>
  </si>
  <si>
    <t>Lecture; data workshop</t>
  </si>
  <si>
    <t>Data interpretation workshop</t>
  </si>
  <si>
    <t>Formative checkpoint: reading the dataset</t>
  </si>
  <si>
    <t>Nutrient-exercise data practical</t>
  </si>
  <si>
    <t>Mitochondrial biogenesis</t>
  </si>
  <si>
    <t>Why endurance training works</t>
  </si>
  <si>
    <t>Lecture; applied</t>
  </si>
  <si>
    <t>Endocrine and regulatory control</t>
  </si>
  <si>
    <t>The hormonal layer</t>
  </si>
  <si>
    <t>Appetite and satiety: hormonal and neural control</t>
  </si>
  <si>
    <t>Why the athlete feels hungry</t>
  </si>
  <si>
    <t>Lecture; gut-brain axis</t>
  </si>
  <si>
    <t>The gut microbiome and energy balance</t>
  </si>
  <si>
    <t>The microbial layer</t>
  </si>
  <si>
    <t>Lecture; current evidence</t>
  </si>
  <si>
    <t>Can I trust this product’s claims?</t>
  </si>
  <si>
    <t>Applying mechanism to marketing</t>
  </si>
  <si>
    <t>AI-development session: appraise AI marketing copy</t>
  </si>
  <si>
    <t>Precision nutrition signpost; assessment preparation</t>
  </si>
  <si>
    <t>Bridge to L6; thread reviewed</t>
  </si>
  <si>
    <t>Lab-report surgery; client-explanation rehearsal</t>
  </si>
  <si>
    <t>5005SPS</t>
  </si>
  <si>
    <t>To examine nutritional requirements and eating behaviour across the life course, integrating biological, psychological and social perspectives, including sport and performance contexts across the lifespan and some consideration of special populations.</t>
  </si>
  <si>
    <t>Lifespan Nutrition and Eating Behaviour</t>
  </si>
  <si>
    <t>Nutrition across the life course (maternal and infant, childhood and adolescence, adulthood, older age); foetal programming and the developmental origins of health and disease; sport and performance contexts across the lifespan; psychosocial models of eating (restraint, disinhibition, intuitive and mindful eating); the food environment; socio-economic, cultural and religious determinants of intake; disordered eating and eating disorders (recognition, scope, referral); weight stigma and its effect on health outcomes; population-level dietary data; science communication.</t>
  </si>
  <si>
    <t>Lucy Richardson</t>
  </si>
  <si>
    <t>This module follows nutritional need and eating behaviour across the whole life course, from conception to older age, returning at each stage to the psychological, social and environmental pressures that shape what people actually eat. You will examine the determinants of intake, weight stigma and the food environment, and consider how practitioners work with individuals and populations whose relationship with food is shaped by far more than nutritional knowledge. Some content is sensitive, and the module is delivered with appropriate care and signposting.</t>
  </si>
  <si>
    <t>Formative - peer review of a draft communication element.</t>
  </si>
  <si>
    <t>AI design. The role-play is secured live; the case analysis is the open, AI-development item.</t>
  </si>
  <si>
    <t>AfN (2025). CC2e (SH), CC4a (SH), CC4b (KH), CC4c (KH), CC5c (SH), CC5f (SH), CC3g (SH).</t>
  </si>
  <si>
    <t>Enhancement. EDEI: heaviest EDEI load in the programme - weight stigma, socio-economic and cultural determinants are integral to MLO2, satisfying PLO 12. Wellbeing: disordered-eating content needs content warnings, signposting and a clear clinical-versus-lived-experience framing. Graduate competency: Communication; Understanding of the Delivery Environment; Professional Relationships and Behaviours.</t>
  </si>
  <si>
    <t>Golden thread: “The same person, across a lifetime and its pressures.” The module follows nutritional need and eating behaviour from conception to older age, returning at each stage to the psychosocial and environmental pressures that shape what a person actually eats, so biology and behaviour are always held together.</t>
  </si>
  <si>
    <t>(Evaluate) Critically evaluate how nutritional requirements and dietary patterns change across the life course and the psychological, social and environmental factors that shape them.</t>
  </si>
  <si>
    <t>(Analyse) Analyse the psychosocial and environmental determinants of eating behaviour and their implications for practice with individuals and population groups.</t>
  </si>
  <si>
    <t>(Apply) Conduct a life-stage-appropriate consultation, adapting communication and dietary advice to the individual’s circumstances.</t>
  </si>
  <si>
    <t>Life-stage role-play consultation (50%). Secured (live). A briefed client at a specified life stage (Thread A, specialist-population outing). Tests MLO3 (Apply).</t>
  </si>
  <si>
    <t>Life course case analysis (50%). Open, AI-development. Following the role-play, a named individual with defined social, cultural and economic circumstances. Tests MLO1 (Evaluate) and MLO2 (Analyse). AI permitted for drafting public-facing elements, with annotation.</t>
  </si>
  <si>
    <t>Service delivery</t>
  </si>
  <si>
    <t>Respect</t>
  </si>
  <si>
    <t>Digital communication</t>
  </si>
  <si>
    <t>The life course and the person we will follow</t>
  </si>
  <si>
    <t>Overview; life-course framing</t>
  </si>
  <si>
    <t>Maternal, infant nutrition and foetal programming</t>
  </si>
  <si>
    <t>The start of the life</t>
  </si>
  <si>
    <t>Lecture; Developmental Origins of Health and Disease</t>
  </si>
  <si>
    <t>Childhood and adolescence</t>
  </si>
  <si>
    <t>Growing up</t>
  </si>
  <si>
    <t>Lecture; sport contexts</t>
  </si>
  <si>
    <t>Adulthood and older age</t>
  </si>
  <si>
    <t>The later life</t>
  </si>
  <si>
    <t>Lecture; special populations</t>
  </si>
  <si>
    <t>Psychosocial models of eating behaviour</t>
  </si>
  <si>
    <t>Why the person eats as they do</t>
  </si>
  <si>
    <t>Lecture; restraint and disinhibition</t>
  </si>
  <si>
    <t>The food environment and determinants of intake</t>
  </si>
  <si>
    <t>The pressures around the person</t>
  </si>
  <si>
    <t>Formative checkpoint: communication draft review</t>
  </si>
  <si>
    <t>Socio-economic, cultural and religious determinants</t>
  </si>
  <si>
    <t>Fairness across a lifetime (EDEI)</t>
  </si>
  <si>
    <t>Case discussion</t>
  </si>
  <si>
    <t>Weight stigma and health outcomes (wellbeing-sensitive)</t>
  </si>
  <si>
    <t>The cost of stigma</t>
  </si>
  <si>
    <t>Lecture; signposting built in</t>
  </si>
  <si>
    <t>Disordered eating: recognition, scope, referral (wellbeing-sensitive)</t>
  </si>
  <si>
    <t>Knowing the limits of practice</t>
  </si>
  <si>
    <t>Lecture; content warning and support</t>
  </si>
  <si>
    <t>Life-stage consultation (rung 5)</t>
  </si>
  <si>
    <t>Meeting the person</t>
  </si>
  <si>
    <t>Role-play consultation practice</t>
  </si>
  <si>
    <t>Population data and science communication</t>
  </si>
  <si>
    <t>Speaking to the public</t>
  </si>
  <si>
    <t>AI-development session: drafting public-facing content</t>
  </si>
  <si>
    <t>Case synthesis and assessment preparation</t>
  </si>
  <si>
    <t>Case-analysis surgery; role-play rehearsal</t>
  </si>
  <si>
    <t>6003SPS</t>
  </si>
  <si>
    <t>To critically explore how nutrients and dietary bioactive compounds influence metabolism, molecular signalling and gene expression; how genetic variation contributes to individual responses to diet; and how these processes relate to energy balance, appetite, sporting performance and health. To critically evaluate the contribution and limitations of nutrigenetics, nutrigenomics and other omics technologies in advancing precision and personalised nutrition.</t>
  </si>
  <si>
    <t>Molecular Nutrition and Genetics</t>
  </si>
  <si>
    <t>Integration of nutrient metabolism, molecular signalling, protein function and gene expression; lipid and lipoprotein metabolism and regulation; nutrient-mediated transcriptional and post-transcriptional regulation; molecular actions of nutrients and dietary bioactive compounds; genetic variation and individual responses to feeding and exercise; molecular and genetic regulation of appetite, energy balance and muscle adaptation; nutrigenetics and nutrigenomics; applications and limitations of omics and multi-omics in precision and personalised nutrition; laboratory investigation and integrated analysis at molecular, protein and genetic levels.</t>
  </si>
  <si>
    <t>This module offers an in-depth, critical exploration of molecular nutrition and genetics, asking how precise nutrition can really be. You will examine how nutrients influence metabolic pathways and gene expression, how genetic variation shapes individual responses to diet, and the opportunities and limitations of omics technologies in precision and personalised nutrition. Laboratory investigation, data interpretation and critical appraisal bring together and extend the molecular understanding developed through Level 4 and Level 5 biochemistry/metabolism/physiology study, with applications to sporting performance and health.</t>
  </si>
  <si>
    <t>Formative - Laboratory logbooks and data-interpretation workshops provide feedback on procedures, analysis and integration of findings before AS1. Workshops 3 and 4 support AS2 through AI-output evaluation, evidence checking and case-analysis refinement, with feedback informing the final submission.</t>
  </si>
  <si>
    <t>AI design. AS1 uses data generated during supervised practical sessions, supported by a laboratory logbook and formative discussion of students’ analysis and interpretation. AS2 deliberately integrates AI, requiring students to demonstrate how they verify, challenge and refine outputs using scientific evidence. Assessment guidance clearly distinguishes permitted AI support from work requiring students’ own analysis and judgement.</t>
  </si>
  <si>
    <t>AfN (2025). CC2b (KH), CC2c (KH), CC2d (SH), CC2e (SH), CC2h (SH), CC2j (SH), CC5b (KH), CC5c (KH).</t>
  </si>
  <si>
    <t>Enhancement. Completes the biochemistry-to-molecular progression across L4 to L6 and consolidates laboratory competency. Graduate competency: Scientific Knowledge; Technical Skills; Understanding and Use of Research.</t>
  </si>
  <si>
    <t>Golden thread: “From genes and proteins to individual responses: how precise can nutrition really be?” Building on the introductory understanding of nutrient metabolism developed at Level 4 and its application to nutrition, exercise and adaptation at Level 5, this module critically explores nutrient action, molecular signalling, gene expression and genetic variation. Laboratory investigations integrate molecular, protein and genetic findings, while critical appraisal brings together evidence across study types. This completes the progression from biochemical foundations to evaluating how molecular understanding can inform precision and personalised nutrition for sporting performance and health, recognising where the evidence remains limited.</t>
  </si>
  <si>
    <t>PLG reflection: the Level 6 Peer Learning Group runs in this module in semester 1 and continues in 6007SPS in semester 2 (moved from 6004SPS, Oct 2026). Students stay in the same small group with the same tutor they have had since Level 4. Five sessions (weeks 2, 4, 6, 9 and 11, avoiding enrichment week 7 and the IPL day in week 8), adding 5 seminar hours. The tutor acts as a supervisor and students set the reflective agenda, bringing a practice moment or cross-module connection: Who have I become? What does my practice ask of me? The focus is the reflective thread, not the module content. Each session closes with a 10-minute in-session learning log entry and verbal feedforward. The entries carry forward and are assessed in 6007SPS A2 with the competency portfolio. TO DECIDE: whether a separate, smaller-weighted learning log item is added here.</t>
  </si>
  <si>
    <t>(Evaluate) Critically evaluate how nutrients influence metabolism, molecular signalling and gene expression, and the implications for exercise adaptation, sporting performance and health.</t>
  </si>
  <si>
    <t>(Analyse) Analyse and interpret biochemical and genetic data to develop evidence-based arguments and scientifically informed judgements in molecular nutrition.</t>
  </si>
  <si>
    <t>(Evaluate) Critically evaluate the opportunities and limitations of nutrigenetics, nutrigenomics and omics technologies in advancing precision and personalised nutrition for sporting performance and health.</t>
  </si>
  <si>
    <t>Advanced molecular laboratory report and laboratory logbook (50%). Secured assessment using students’ own experimental data. The logbook records laboratory procedures, observations and results; the report analyses and interprets findings from molecular, protein and genetic investigations, critically evaluating their significance and limitations. Assesses MLO1 (Evaluate) and MLO2 (Analyse). Thread B destination: integrates laboratory skills and scientific reasoning developed through three years of progressively more complex practical experience.</t>
  </si>
  <si>
    <t>AI-integrated molecular case study (50%). Open, AI-development. A critically evaluated, evidence-based case applying molecular, nutrigenetic and nutrigenomic concepts to sport, performance and health, incorporating transparent and critical use of generative AI - generate, fact-check, challenge and refine outputs. Tests MLO1, MLO2 and MLO3 (Analyse/Evaluate). Thread E destination: AI is used to a professional standard, with the student’s critical judgement forming the assessed element. Students analyse and interpret supplied biochemical and genetic case data to support their case analysis, distinguishing measured findings from proposed mechanisms and justified conclusions.</t>
  </si>
  <si>
    <t>Critical thinking</t>
  </si>
  <si>
    <t>Research communication</t>
  </si>
  <si>
    <t>Module introduction and cell membranes</t>
  </si>
  <si>
    <t>Introducing precision and personalised nutrition: membranes connect nutrient action, protein signalling and gene expression, providing a picture of the module ahead</t>
  </si>
  <si>
    <t>Lecture; module and assessment overview</t>
  </si>
  <si>
    <t>Molecular metabolism</t>
  </si>
  <si>
    <t>Understanding and measuring molecular responses to diet as a foundation for personalised nutrition</t>
  </si>
  <si>
    <t>Lecture; Laboratory 1: measurement and interpretation at the molecular level. Logbook begins; PLG session</t>
  </si>
  <si>
    <t>Nutrigenetics and nutrigenomics</t>
  </si>
  <si>
    <t>Connecting genetic variation and gene expression to protein function and individual responses to nutrition</t>
  </si>
  <si>
    <t>Lecture; Laboratory 2: protein analysis</t>
  </si>
  <si>
    <t>Genetics of obesity and energy balance</t>
  </si>
  <si>
    <t>Exploring how genetic variation contributes to differences in appetite, metabolism and nutritional needs</t>
  </si>
  <si>
    <t>Lecture; Workshop 1: scientific report writing and data interpretation; PLG session</t>
  </si>
  <si>
    <t>Genetics of muscle mass and sarcopenia</t>
  </si>
  <si>
    <t>Integrating genes, proteins and molecular outcomes to evaluate personalised nutrition for muscle health and adaptation</t>
  </si>
  <si>
    <t>Lecture; Laboratory 3: genetic analysis and integration of findings across the practical series</t>
  </si>
  <si>
    <t>Nutritional and exercise strategies for obesity</t>
  </si>
  <si>
    <t>Evaluating how molecular and genetic understanding can inform individualised strategies</t>
  </si>
  <si>
    <t>Lecture; Workshop 2: interpreting findings and developing evidence-based arguments. Formative checkpoint. Logbook review; PLG session</t>
  </si>
  <si>
    <t>Curriculum and teaching enrichment</t>
  </si>
  <si>
    <t>Nutrition and pharmacy interprofessional learning</t>
  </si>
  <si>
    <t>Considering individual nutritional needs through complementary professional perspectives</t>
  </si>
  <si>
    <t>IPL seminar/workshop day (6 hours)</t>
  </si>
  <si>
    <t>Cellular mechanisms in nutrition and exercise</t>
  </si>
  <si>
    <t>Connecting nutrient availability, cellular signalling and gene expression to metabolic health and training adaptation; evaluating implications for precision and personalised nutrition</t>
  </si>
  <si>
    <t>Lecture; research interpretation and group discussion; PLG session</t>
  </si>
  <si>
    <t>Nutrient sensing and molecular signalling</t>
  </si>
  <si>
    <t>Exploring how proteins translate nutrient availability into cellular responses and adaptation</t>
  </si>
  <si>
    <t>Muscle protein turnover, exercise and nutrition across ageing</t>
  </si>
  <si>
    <t>Integrating molecular mechanisms and individual variation to evaluate nutritional strategies for muscle health</t>
  </si>
  <si>
    <t>Lecture; Workshop 3: Use AI to generate explanations of molecular nutrition mechanisms and applications; critically evaluate their accuracy, supporting evidence and limitations against scientific literature; PLG session</t>
  </si>
  <si>
    <t>Module synthesis and assessment preparation</t>
  </si>
  <si>
    <t>Drawing together genes, proteins and molecular evidence to evaluate the opportunities and limitations of precision and personalised nutrition</t>
  </si>
  <si>
    <t>Use AI to help integrate genetic, protein and molecular findings in a nutrition case; critically evaluate and refine the resulting arguments, drawing on scientific evidence and feedback from Workshop 3.</t>
  </si>
  <si>
    <t>6004SPS</t>
  </si>
  <si>
    <t>To develop critical and professional judgement about supplement use in sport and to engage students with contemporary issues, evaluating efficacy, mechanisms of action, safety and regulation, and examining the practitioner’s anti-doping role and responsibilities.</t>
  </si>
  <si>
    <t>Sport Supplements and Contemporary Issues</t>
  </si>
  <si>
    <t>Evidence for ergogenic aids across strength, high-intensity, endurance and cognitive domains; molecular mechanisms underpinning supplement action; supplement regulation, quality assurance, batch testing and risks of contamination; intentional and unintentional doping and anti-doping rules and procedures; the practitioner’s role and responsibilities; contemporary and unresolved issues.</t>
  </si>
  <si>
    <t>Neil Chester</t>
  </si>
  <si>
    <t>This module develops the critical and professional judgement needed to advise on supplement use in sport. You will evaluate the efficacy, mechanism of action, safety and regulation around a range of ergogenic aids.  You will consider the risk of inadvertent doping associated with supplement use and as a sport nutritionist you will examine your anti-doping responsibilities and engage with a number of contemporary issues where the evidence is yet to be established. Throughout, you will work toward positions you can construct, justify and defend as an accountable practitioner.</t>
  </si>
  <si>
    <t>Formative - structured debate on a contested supplement.</t>
  </si>
  <si>
    <t>AI-development touchpoint: students may use AI to prepare the written statement provided they can defend every claim in the viva, which is itself a lesson in not over-trusting AI output.</t>
  </si>
  <si>
    <t>AI design. The viva is the securing mechanism and mirrors the professional reality of defending advice verbally to athletes, coaches and medical staff.</t>
  </si>
  <si>
    <t>AfN (2025). CC1a (D), CC2h (SH), CC3e (SH), CC5b (SH), CC5c (KH). CC3e lands here from Product Development, giving that competency a second home.</t>
  </si>
  <si>
    <t>Enhancement. Graduate competency: Problem Solving and Impact; Professional Relationships and Behaviours; Communication.</t>
  </si>
  <si>
    <t>Golden thread: “Would you put your name to this recommendation?” Every supplement and every contemporary issue is examined through the lens of professional accountability, so the module builds toward a position the student can defend rather than a set of facts they can recall.</t>
  </si>
  <si>
    <t>(Evaluate) Critically evaluate the efficacy, mechanisms of action and safety of ergogenic aids for specified exercise contexts.</t>
  </si>
  <si>
    <t>(Evaluate) Critically analyse the risks of inadvertent doping and evaluate the practitioner’s professional and ethical responsibilities within anti-doping frameworks.</t>
  </si>
  <si>
    <t>(Create) Construct and defend an evidence-based professional position on a contemporary issue where consensus is inconclusive.</t>
  </si>
  <si>
    <t>In Person 2h Exam</t>
  </si>
  <si>
    <t>The written exam will assess MLO1 and MLO2. Eight mid-length answers will be required to establish knowledge and understanding in terms of the efficacy and underpinning mechanisms of action of various supplements as well as risks and safeguards around the safety of supplements and role and responsibilities surrounding anti-doping.</t>
  </si>
  <si>
    <t>Individual Presentation with viva defence</t>
  </si>
  <si>
    <t>A professional position statement with viva defence will assess MLO3. Students will present a statement on a contemporary issue, defended through structured arguments of specific claims made. Thread C destination: the appraise-and-defend skill first practised at L4 and evaluated at L5 now reaches full viva defence.</t>
  </si>
  <si>
    <t>Integrity</t>
  </si>
  <si>
    <t>Evidence evaluation</t>
  </si>
  <si>
    <t>Accountability</t>
  </si>
  <si>
    <t>Introduction to the module. What is a supplement? Supplement use, regulation, accountability and the practitioner’s responsibilities.</t>
  </si>
  <si>
    <t>Framing the thread</t>
  </si>
  <si>
    <t>Lecture and workshop involving class-based tasks and discussion.</t>
  </si>
  <si>
    <t>Evidence for ergogenic aids in strength, power and high-intensity exercise.</t>
  </si>
  <si>
    <t>Would I recommend these?</t>
  </si>
  <si>
    <t>Lecture and lab practical to examine efficacy of supplement to aid high intensity exercise. Workshop to introduce assessment 2.</t>
  </si>
  <si>
    <t>Evidence for ergogenic aids in endurance exercise.</t>
  </si>
  <si>
    <t>Lecture, workshop and lab practical to examine efficacy of supplement to aid endurance exercise.</t>
  </si>
  <si>
    <t>Evidence for ergogenic aids for cognitive enhancement</t>
  </si>
  <si>
    <t>Lecture, workshop and lab practical to examine efficacy of supplement to aid cognition.</t>
  </si>
  <si>
    <t>Supplement regulation and quality assurance: Supplement risks and unintentional doping</t>
  </si>
  <si>
    <t>Can I trust the product? Awareness and risk mitigation</t>
  </si>
  <si>
    <t>Lecture, workshop and tasks related to risk mitigation strategies.</t>
  </si>
  <si>
    <t>Contested supplements debate: students will present arguments for and against the efficacy of supplements to assess understanding and support learning and skill development for assessment 1 and 2</t>
  </si>
  <si>
    <t>Formative checkpoint: structured debate</t>
  </si>
  <si>
    <t>Student led presentations and debate including peer challenge</t>
  </si>
  <si>
    <t>Contemporary issue: Drug use and anti-doping processes, rules and responsibilities</t>
  </si>
  <si>
    <t>What is the current landscape and what are my responsibilities as a practitioner.</t>
  </si>
  <si>
    <t>Lecture; discussion/debate; and workshop</t>
  </si>
  <si>
    <t>Contemporary issue: Making weight and monitoring progress.</t>
  </si>
  <si>
    <t>Strategies employed to make weight and methods to monitor body composition. What is the evidence?</t>
  </si>
  <si>
    <t>Lecture and lab practical/workshop.</t>
  </si>
  <si>
    <t>Contemporary issue: Plant based sustainable diets and the athlete</t>
  </si>
  <si>
    <t>The pros and cons of a plant-based diet to sustain athletic performance. What is the evidence?</t>
  </si>
  <si>
    <t>Lecture and workshop</t>
  </si>
  <si>
    <t>Contemporary issue: Gut health and probiotics and prebiotics</t>
  </si>
  <si>
    <t>The impact of probiotics and prebiotics on gut function and athletic performance. What is the evidence?</t>
  </si>
  <si>
    <t>Contemporary issue: Relative Energy Deficiency in Sport</t>
  </si>
  <si>
    <t>Concerns and evidence supporting REDs in terms of its occurrence and impact. What is the evidence?</t>
  </si>
  <si>
    <t>Position statement and viva preparation</t>
  </si>
  <si>
    <t>Putting my name to it</t>
  </si>
  <si>
    <t>Viva rehearsal; and exam feedforward</t>
  </si>
  <si>
    <t>6007SPS</t>
  </si>
  <si>
    <t>To examine critically the role of nutrition in supporting adaptation, recovery and long-term athlete health - recovery, immune function, injury, energy availability and the health consequences of sustained athletic demand - with authentic science communication to athlete populations.</t>
  </si>
  <si>
    <t>Sport Nutrition for Health, Adaptation and Recovery</t>
  </si>
  <si>
    <t>Nutritional support for training adaptation, nutrient timing and periodisation; recovery (glycogen resynthesis, protein for repair, rehydration, sleep); nutrition, immune function and illness risk; injury (nutritional support for healing, immobilisation, return to play); relative energy deficiency in sport (mechanisms, identification, management, referral); bone, endocrine and cardiovascular consequences of low energy availability; precision and personalised approaches to adaptation and recovery; long-term athlete health and duty of care; science communication.</t>
  </si>
  <si>
    <t>TBC</t>
  </si>
  <si>
    <t>This module looks beyond performance to the athlete who is also recovering, healing and staying well over the long term. You will critically examine nutrition for adaptation, recovery, immune function, injury and energy availability, and the health consequences of sustained athletic demand. Working with a real client group, you will produce evidence-based communication resources and reflect on what it means to support athlete health responsibly. Some content is sensitive and is delivered with appropriate care and signposting.</t>
  </si>
  <si>
    <t>Formative - case-conference session presenting initial reasoning for challenge.</t>
  </si>
  <si>
    <t>AI design. The group project is the open AI-development item; the individual reflection is secured by being personal and experiential. The reflection also requires students to account for their own AI use, closing the Thread E loop.</t>
  </si>
  <si>
    <t>AfN (2025). CC2d (SH), CC2e (SH), CC5c (SH), CC5e (SH), CC1a (D).</t>
  </si>
  <si>
    <t>Enhancement. Wellbeing: RED-S and low-energy-availability content requires careful framing and signposting, as in Lifespan. Graduate competency: Application of Knowledge and Skills; Professional Relationships and Behaviours; Communication.</t>
  </si>
  <si>
    <t>PLG reflection: the Level 6 Peer Learning Group continues here in semester 2 after starting in 6003SPS. Same group and tutor since Level 4. Five 50-minute sessions (weeks 2, 4, 6, 8 and 10), each closing with a 10-minute in-session learning log entry and verbal feedforward; at least two sessions are structured around completing the AfN and SENr competency portfolio. The ten entries from both modules, a 600-word integrative synthesis and the completed competency portfolio are submitted with A2.</t>
  </si>
  <si>
    <t>Golden thread: “Supporting the athlete who is not only performing but recovering, healing and staying well.” The module follows the athlete beyond performance into adaptation, recovery and long-term health, culminating in real communication resources co-produced with the physio clinic.</t>
  </si>
  <si>
    <t>(Evaluate) Critically evaluate the mechanisms by which nutritional strategies support adaptation, recovery and immune function.</t>
  </si>
  <si>
    <t>Evaluate) Critically appraise the evidence underpinning contemporary recovery and personalised nutrition practices, including their limitations.</t>
  </si>
  <si>
    <t>(Create) Produce evidence-based science communication resources for a specified athlete or specialist audience.</t>
  </si>
  <si>
    <t>(Evaluate) Critically reflect on their development as a practitioner and their readiness to practise, evidenced through the Peer Learning Group learning log and the completed competency portfolio.</t>
  </si>
  <si>
    <t>Science communication group project (50%). Open, AI-development. Working with the physio clinic for example, create resources supporting athlete rehabilitation. Tests MLO1 (Evaluate) and MLO3 (Create). Thread D destination: authentic, real-client communication; AI permitted for resource drafting with the process documented.</t>
  </si>
  <si>
    <t>Essay</t>
  </si>
  <si>
    <t>Individual critical reflection on the group project (50%). Secured (personal). Evaluation of process, AI use, and critical appraisal of the chosen recovery strategies and communication tools. Tests MLO2 and MLO4 (Evaluate). Anchored to the student’s own project experience, which AI cannot supply, and where accounting for AI use is part of the task. Also includes the Level 6 PLG learning log (ten in-session entries across 6003SPS and 6007SPS), a 600-word integrative synthesis and the completed AfN and SENr competency portfolio.</t>
  </si>
  <si>
    <t>Collaboration/multi-disciplinary working</t>
  </si>
  <si>
    <t>Leadership</t>
  </si>
  <si>
    <t>Conflict resolution</t>
  </si>
  <si>
    <t>Delegation</t>
  </si>
  <si>
    <t>Lifelong learning</t>
  </si>
  <si>
    <t>Evaluation of outcomes</t>
  </si>
  <si>
    <t>Organisational awareness</t>
  </si>
  <si>
    <t>Beyond performance: the recovering athlete</t>
  </si>
  <si>
    <t>Lecture Overview (2hr); physio-clinic brief set (workshop 2hr)</t>
  </si>
  <si>
    <t>Nutritional support for training adaptation</t>
  </si>
  <si>
    <t>Adapting well</t>
  </si>
  <si>
    <t>Lecture (2hr); timing and periodisation
Online (1 hr)
PLG session</t>
  </si>
  <si>
    <t>Recovery: glycogen, protein, rehydration, sleep</t>
  </si>
  <si>
    <t>Recovering well</t>
  </si>
  <si>
    <t>Lecture (2hr); applied
+
Science communication workshop (2hr)</t>
  </si>
  <si>
    <t>Nutrition, immune function and illness risk</t>
  </si>
  <si>
    <t>Staying well</t>
  </si>
  <si>
    <t>Lecture (2 hr)
Online (1 hr)
PLG session</t>
  </si>
  <si>
    <t>Injury: healing, immobilisation, return to play</t>
  </si>
  <si>
    <t>Healing well</t>
  </si>
  <si>
    <t>Lecture (2hr); applied cases (workshop 2hr)</t>
  </si>
  <si>
    <t>Case conference</t>
  </si>
  <si>
    <t>Formative checkpoint: reasoning presented for challenge</t>
  </si>
  <si>
    <t>Case-conference session (4hr workshop)
PLG session</t>
  </si>
  <si>
    <t>RED-S: mechanisms and identification (wellbeing-sensitive)</t>
  </si>
  <si>
    <t>When health is at risk</t>
  </si>
  <si>
    <t>Lecture; signposting built in (2hr)
+
Science communication workshop (2hr)</t>
  </si>
  <si>
    <t>Consequences of low energy availability (wellbeing-sensitive)</t>
  </si>
  <si>
    <t>The long-term cost</t>
  </si>
  <si>
    <t>Lecture (2hr); bone, endocrine, cardiovascular
Online (1hr)
PLG session</t>
  </si>
  <si>
    <t>Precision approaches to recovery</t>
  </si>
  <si>
    <t>Personalising recovery</t>
  </si>
  <si>
    <t>Lecture; (2hr)
+
Working with athletes workshop (2hr)</t>
  </si>
  <si>
    <t>Lecture: Long-term athlete health and duty of care</t>
  </si>
  <si>
    <t>The practitioner’s responsibility</t>
  </si>
  <si>
    <t>Lecture; referral (2hr)
Online (1 hr)
PLG session</t>
  </si>
  <si>
    <t>Co-producing communication resources with AI</t>
  </si>
  <si>
    <t>Speaking to the athlete</t>
  </si>
  <si>
    <t>AI-development session: resource drafting with physio clinic (workshop 4hr)</t>
  </si>
  <si>
    <t>Project synthesis and reflection preparation</t>
  </si>
  <si>
    <t>Group-project surgery; reflection prep
(workshop 4hr)</t>
  </si>
  <si>
    <t>6008SPS</t>
  </si>
  <si>
    <t>To provide an extended, embedded applied experience in which students take substantial supervised responsibility within a provider organisation, critically evaluate their own developing practice and the delivery environment in which it sits, design and conduct applied research addressing a question agreed with the provider, and communicate the findings to academic and organisational audiences, evidencing their readiness to practise.</t>
  </si>
  <si>
    <t>Extended Placement and Applied Research in Sport Nutrition (working title)</t>
  </si>
  <si>
    <t>The extended placement model and the provider partnership; preparing to practise: applications, interviews and provider matching; research in an applied setting and the nature of commissioned questions; the delivery environment: organisational structures, stakeholders, funding and governance; translating organisational need into an answerable research question; scope of practice, referral, risk and safeguarding; the placement agreement and tripartite goal setting; research design under real-world constraint: feasibility, sampling and access; ethics, research governance and data handling in external organisations; extended supervised practice within the provider setting; working within and alongside the multi-disciplinary team; supervised data collection, analysis and interpretation; the limitations of applied research and the claims it can support; evidencing competence and building the practice portfolio; critical evaluation of organisational constraint on nutrition practice; writing for academic and organisational audiences; declared and audited use of generative AI in professional and research communication; producing a provider-facing output; professional development planning; defending readiness to practise.</t>
  </si>
  <si>
    <t>Wendy Johnston</t>
  </si>
  <si>
    <t>Capstone: Professional Practice and Research Strands</t>
  </si>
  <si>
    <t>This 60-credit module is the capstone of Pathway B. You spend an extended period embedded with a placement provider (agreed during Level 5), taking real, supervised responsibility within their setting rather than observing it, and you answer a research question the provider has actually asked. The two strands are designed to feed each other: your practice gives you the understanding of the setting that makes the provider's question meaningful, and your research gives the organisation something it can use. You evidence your readiness to practise in a portfolio, report your research to academic standards, return a usable output to the provider, and defend all of this in a viva.</t>
  </si>
  <si>
    <t>Contact hours. Includes 160 placement hours not shown in the table above (total contact 220). The 9 PLG seminar hours have been moved to private study (Wendy to confirm). CHECK: the proforma gives private study 390 and total learning hours 610; a 60-credit module is 600 hours, so private study should be 380.</t>
  </si>
  <si>
    <t>Formative - Protocol sign-off in semester 1 week 6, reviewed by the academic and provider supervisors; an interim portfolio review with tripartite feedback in semester 2 week 3; and a mock viva and rehearsed dissemination with structured peer feedback in semester 2 week 6, using the A2 criteria and following the pattern established at Levels 4 and 5.</t>
  </si>
  <si>
    <t>AI-development touchpoint: Students draft an organisational summary of the provider setting and a provider-facing summary of their findings with generative AI, then audit both: the first against what they have observed in situ, and the second against their own data and analysis. They document the gap between a plausible generic account and the real setting, and where the model overstated certainty or smoothed away the limitations of an applied dataset.</t>
  </si>
  <si>
    <t>AI design. Both summative items are secured by construction. A1 rests on a dataset generated by the student within a specific partner setting; A2 rests on embedded practice the student alone has access to and is live and defended. The declared use of AI is itself examinable in the viva.</t>
  </si>
  <si>
    <t>AfN (2025). CC1a (D), CC3g (D), CC5a (D), CC5d (D). The extended duration allows CC3g to be evidenced through implementation and evaluation rather than design alone. Confirm the remaining research competencies against the mapping used for 6091SPS Major Project.</t>
  </si>
  <si>
    <t>Enhancement. Transition and belonging: extended embedding allows the student to move from visitor to team member and contributor. Knowledge exchange: the project returns a usable output to the provider, turning the placement into a genuine two-way partnership. Graduate competency: Management of Self and Others; Understanding the Delivery Environment; Professional Relationships and Behaviours; Self-Evaluation and Professional Development; Understanding and Use of Research; Technical Skills; Problem Solving and Impact; Communication.</t>
  </si>
  <si>
    <t>(Evaluate) Critically evaluate their own developing professional practice within an extended applied placement, justifying decisions taken in response to the demands of the setting.</t>
  </si>
  <si>
    <t>Additional note. Pathway B only. This single 60-credit module replaces the previous pairing of the 40-credit Extended Placement and the 20-credit Applied Research Project. Combining them keeps the capstone to two assessment items, removes duplicated teaching weeks, and lets the placement and research strands share one supervision, formative and assessment structure. Placement hours are 160 within a 600-hour module, leaving substantial time for preparation, supervision, research, portfolio development and reflection. The research question is identified with and approved by the provider during semester 1.</t>
  </si>
  <si>
    <t>(Evaluate) Critically appraise the delivery environment of the placement provider, including its stakeholders, constraints and governance, and the implications for nutrition practice within it.</t>
  </si>
  <si>
    <t>Golden thread: “Am I ready to practise, do I understand the world I am practising in, and what do I owe the people who asked the question?” The module brings the practitioner identity thread and the research thread to their destination together. Practice gives the student the understanding of the setting that makes the provider's question meaningful; the research returns something useful to the organisation. Each week adds evidence to the portfolio, moves the research question along, or deepens the student's account of the setting, and the viva defends all three.</t>
  </si>
  <si>
    <t>(Create) Design and conduct a piece of applied research addressing a question agreed with the placement provider, undertaken responsibly, safely and ethically.</t>
  </si>
  <si>
    <t>(Evaluate) Critically appraise the research findings and their limitations, justifying the methodological decisions taken within the constraints of an applied setting.</t>
  </si>
  <si>
    <t>(Create) Produce and defend a professional portfolio and a provider-facing output, that together evidence readiness to practise and communicate research findings to organisational audiences.</t>
  </si>
  <si>
    <t>Applied research report</t>
  </si>
  <si>
    <t>An academic report of the provider-commissioned research project, covering rationale, design, ethical conduct, findings and critical appraisal of limitations. Secured by construction: the dataset is generated by the student within a specific partner setting. Tests MLO3 and MLO4 (Create, Evaluate).</t>
  </si>
  <si>
    <t>Practice portfolio, provider output</t>
  </si>
  <si>
    <t>A practice portfolio built from the student's own supervised work across the placement (practice records, supervisor feedback, a critical account of the delivery environment, structured reflection, and the provider-facing research output with an audit of declared AI use). Tests MLO1, MLO2, MLO4 and MLO5 (Evaluate, Create).</t>
  </si>
  <si>
    <t>Viva</t>
  </si>
  <si>
    <t>Viva defence</t>
  </si>
  <si>
    <t>A 45-minute viva defence supported by the practice portfolio, opening with delivery of the provider-facing output. Secured (live). Tests MLO1, MLO2, MLO4 and MLO5 (Evaluate, Create). CHECK: this makes three summative items; the school framework allows a maximum of two.</t>
  </si>
  <si>
    <t>Introduction: the capstone, the provider partnership and the commissioned question</t>
  </si>
  <si>
    <t>Whose setting, and whose question?</t>
  </si>
  <si>
    <t>Provider fact files; skills audit; module briefing</t>
  </si>
  <si>
    <t>Preparing to practise and identifying a question with the provider</t>
  </si>
  <si>
    <t>Presenting who I am becoming</t>
  </si>
  <si>
    <t>Mock interview; provider matching; scoping meeting with the provider supervisor</t>
  </si>
  <si>
    <t>The delivery environment; from organisational need to researchable question</t>
  </si>
  <si>
    <t>Learning the world I am entering</t>
  </si>
  <si>
    <t>Organisational mapping exercise; question refinement workshop</t>
  </si>
  <si>
    <t>Scope, referral, risk and safeguarding; research design under real-world constraint</t>
  </si>
  <si>
    <t>Knowing my limits, and the setting's</t>
  </si>
  <si>
    <t>Pre-placement documentation and risk assessment; design clinic</t>
  </si>
  <si>
    <t>The placement agreement and tripartite goal setting; ethics, governance and data handling</t>
  </si>
  <si>
    <t>Doing this responsibly</t>
  </si>
  <si>
    <t>Tripartite meeting; ethics application workshop</t>
  </si>
  <si>
    <t>Extended placement begins; protocol agreed and approved</t>
  </si>
  <si>
    <t>Doing the work, committing to the plan</t>
  </si>
  <si>
    <t>Embedded supervised practice; protocol sign-off (formative)</t>
  </si>
  <si>
    <t>Consolidating role and responsibility; data collection in the applied setting</t>
  </si>
  <si>
    <t>Doing the work</t>
  </si>
  <si>
    <t>Embedded supervised practice; supervised data collection</t>
  </si>
  <si>
    <t>Working within the multi-disciplinary team; analysis and interpretation</t>
  </si>
  <si>
    <t>Who else shapes this work, and what does it show?</t>
  </si>
  <si>
    <t>Reflective session with the provider supervisor; analysis clinic</t>
  </si>
  <si>
    <t>Evidencing competence; the limitations of applied research</t>
  </si>
  <si>
    <t>Showing what I can do, and what I can claim</t>
  </si>
  <si>
    <t>Interim portfolio review (formative); critical appraisal seminar</t>
  </si>
  <si>
    <t>Critical evaluation of the delivery environment; writing for two audiences</t>
  </si>
  <si>
    <t>Understanding constraint, and translating what I found</t>
  </si>
  <si>
    <t>AI-development session: draft and audit an organisational summary and a provider-facing summary</t>
  </si>
  <si>
    <t>Producing the provider-facing output; professional development planning</t>
  </si>
  <si>
    <t>Giving something back, and where I go next</t>
  </si>
  <si>
    <t>Output workshop with peer review; PDP workshop</t>
  </si>
  <si>
    <t>Defending readiness to practise and the research</t>
  </si>
  <si>
    <t>Am I ready, and what do I owe the people who asked?</t>
  </si>
  <si>
    <t>Mock viva and rehearsed dissemination with peer feedback</t>
  </si>
  <si>
    <t>SourceWorkbook</t>
  </si>
  <si>
    <t>TableName</t>
  </si>
  <si>
    <t>ModuleCode</t>
  </si>
  <si>
    <t>ItemSuffix</t>
  </si>
  <si>
    <t>Programme</t>
  </si>
  <si>
    <t>ProgCode</t>
  </si>
  <si>
    <t>ModuleTitle</t>
  </si>
  <si>
    <t>Sport and Exercise Science - AllModuleProformas.xlsx</t>
  </si>
  <si>
    <t>4091SPS_Meta</t>
  </si>
  <si>
    <t>4091SPS</t>
  </si>
  <si>
    <t>Meta</t>
  </si>
  <si>
    <t>NUTR</t>
  </si>
  <si>
    <t>Research Methods 1</t>
  </si>
  <si>
    <t>Theodoors Bampouras</t>
  </si>
  <si>
    <t>Research Strand</t>
  </si>
  <si>
    <t>All Programmes</t>
  </si>
  <si>
    <t>4092SPS_Meta</t>
  </si>
  <si>
    <t>4092SPS</t>
  </si>
  <si>
    <t>Exercise Phys L4</t>
  </si>
  <si>
    <t>Fundamentals of Exercise Physiology</t>
  </si>
  <si>
    <t>Gemma Miller (TBC)</t>
  </si>
  <si>
    <t>Other combination</t>
  </si>
  <si>
    <t>5091SPS_Meta</t>
  </si>
  <si>
    <t>5091SPS</t>
  </si>
  <si>
    <t>Research Methods 2</t>
  </si>
  <si>
    <t>Jonathan Foulkes</t>
  </si>
  <si>
    <t>5092SPS_Meta</t>
  </si>
  <si>
    <t>5092SPS</t>
  </si>
  <si>
    <t>Physiological adaptations to exercise</t>
  </si>
  <si>
    <t>Pascale Kippelen</t>
  </si>
  <si>
    <t>6091SPS_Meta</t>
  </si>
  <si>
    <t>6091SPS</t>
  </si>
  <si>
    <t>Major Project</t>
  </si>
  <si>
    <t>Dave Low</t>
  </si>
  <si>
    <t>Research Project</t>
  </si>
  <si>
    <t>Sport_Nutrition_-_AllModuleProformas_updated.xlsx</t>
  </si>
  <si>
    <t>_4001SPS_Meta</t>
  </si>
  <si>
    <t>_4003SPS_Meta</t>
  </si>
  <si>
    <t>_4004SPS_Meta</t>
  </si>
  <si>
    <t>_4006SPS_Meta</t>
  </si>
  <si>
    <t>_5001SPS_Meta</t>
  </si>
  <si>
    <t>_5005SPS_Meta</t>
  </si>
  <si>
    <t>_5014SPS_Meta</t>
  </si>
  <si>
    <t>_5015SPS_Meta</t>
  </si>
  <si>
    <t>Exercise Biochemistry</t>
  </si>
  <si>
    <t>_6003SPS_Meta</t>
  </si>
  <si>
    <t>_6004SPS_Meta</t>
  </si>
  <si>
    <t>_6007SPS_Meta</t>
  </si>
  <si>
    <t>_6008SPS_Meta</t>
  </si>
  <si>
    <t>Capstone Placment Project</t>
  </si>
  <si>
    <t>Total Contact Hours</t>
  </si>
  <si>
    <t>Hours per Credit</t>
  </si>
  <si>
    <t>Online - synchronous</t>
  </si>
  <si>
    <t>4091SPS_Hours</t>
  </si>
  <si>
    <t>Hours</t>
  </si>
  <si>
    <t>4092SPS_Hours</t>
  </si>
  <si>
    <t>5091SPS_Hours</t>
  </si>
  <si>
    <t>5092SPS_Hours</t>
  </si>
  <si>
    <t>6091SPS_Hours</t>
  </si>
  <si>
    <t>_4001SPS_Hours</t>
  </si>
  <si>
    <t>_4003SPS_Hours</t>
  </si>
  <si>
    <t>_4004SPS_Hours</t>
  </si>
  <si>
    <t>_4006SPS_Hours</t>
  </si>
  <si>
    <t>_5001SPS_Hours</t>
  </si>
  <si>
    <t>_5005SPS_Hours</t>
  </si>
  <si>
    <t>_5014SPS_Hours</t>
  </si>
  <si>
    <t>_5015SPS_Hours</t>
  </si>
  <si>
    <t>_6003SPS_Hours</t>
  </si>
  <si>
    <t>_6004SPS_Hours</t>
  </si>
  <si>
    <t>_6007SPS_Hours</t>
  </si>
  <si>
    <t>_6008SPS_Hours</t>
  </si>
  <si>
    <t>Category</t>
  </si>
  <si>
    <t>Skill</t>
  </si>
  <si>
    <t>Modules Covering</t>
  </si>
  <si>
    <t>Module Count</t>
  </si>
  <si>
    <t>Covered</t>
  </si>
  <si>
    <t>Exercise Phys L4; Physiological adaptations to exercise; Major Project; Molecular Nutrition and Genetics</t>
  </si>
  <si>
    <t>Research Methods 1; Research Methods 2; Principles of Human Nutrition; Nutritional Biochemistry and Metabolism; Performance Nutrition</t>
  </si>
  <si>
    <t>Research Methods 1; Exercise Phys L4; Research Methods 2; Physiological adaptations to exercise; Major Project; Nutritional Biochemistry and Metabolism; Performance Nutrition; Professional Practice 2 in Sport Nutrition; Product Development for Sport Nutrition; Exercise Biochemistry; Lifespan Nutrition and Eating Behaviour; Molecular Nutrition and Genetics; Sport Supplements and Contemporary Issues; Sport Nutrition for Health, Adaptation and Recovery</t>
  </si>
  <si>
    <t>Research Methods 1; Research Methods 2; Professional Practice 1 in Sport Nutrition</t>
  </si>
  <si>
    <t>Major Project; Nutritional Biochemistry and Metabolism; Product Development for Sport Nutrition; Exercise Biochemistry; Molecular Nutrition and Genetics; Sport Supplements and Contemporary Issues</t>
  </si>
  <si>
    <t>Research Methods 1; Performance Nutrition; Product Development for Sport Nutrition; Sport Supplements and Contemporary Issues</t>
  </si>
  <si>
    <t>Research Methods 1; Exercise Phys L4; Research Methods 2; Physiological adaptations to exercise; Major Project; Nutritional Biochemistry and Metabolism; Exercise Biochemistry</t>
  </si>
  <si>
    <t>Physiological adaptations to exercise; Sport Supplements and Contemporary Issues; Capstone Placment Project</t>
  </si>
  <si>
    <t>Research Methods 1; Exercise Phys L4; Professional Practice 1 in Sport Nutrition; Professional Practice 2 in Sport Nutrition; Sport Nutrition for Health, Adaptation and Recovery; Capstone Placment Project</t>
  </si>
  <si>
    <t>Nutritional Biochemistry and Metabolism; Exercise Biochemistry; Molecular Nutrition and Genetics</t>
  </si>
  <si>
    <t>Exercise Phys L4; Major Project; Professional Practice 1 in Sport Nutrition; Capstone Placment Project</t>
  </si>
  <si>
    <t>Physiological adaptations to exercise; Nutritional Biochemistry and Metabolism; Exercise Biochemistry; Molecular Nutrition and Genetics; Capstone Placment Project</t>
  </si>
  <si>
    <t>Exercise Phys L4; Professional Practice 2 in Sport Nutrition</t>
  </si>
  <si>
    <t>Performance Nutrition; Molecular Nutrition and Genetics</t>
  </si>
  <si>
    <t>Exercise Phys L4; Major Project; Exercise Biochemistry; Capstone Placment Project</t>
  </si>
  <si>
    <t>Research Methods 2; Nutritional Biochemistry and Metabolism</t>
  </si>
  <si>
    <t>Major Project; Product Development for Sport Nutrition</t>
  </si>
  <si>
    <t>Research Methods 2; Physiological adaptations to exercise; Major Project; Principles of Human Nutrition; Nutritional Biochemistry and Metabolism; Product Development for Sport Nutrition; Sport Supplements and Contemporary Issues; Capstone Placment Project</t>
  </si>
  <si>
    <t>Research Methods 2; Performance Nutrition</t>
  </si>
  <si>
    <t>Professional Practice 1 in Sport Nutrition; Principles of Human Nutrition; Professional Practice 2 in Sport Nutrition; Lifespan Nutrition and Eating Behaviour; Sport Nutrition for Health, Adaptation and Recovery</t>
  </si>
  <si>
    <t>Research Methods 2; Physiological adaptations to exercise; Major Project; Exercise Biochemistry; Molecular Nutrition and Genetics</t>
  </si>
  <si>
    <t>Professional Practice 2 in Sport Nutrition; Lifespan Nutrition and Eating Behaviour</t>
  </si>
  <si>
    <t>Physiological adaptations to exercise; Professional Practice 2 in Sport Nutrition; Lifespan Nutrition and Eating Behaviour</t>
  </si>
  <si>
    <t>Major Project; Product Development for Sport Nutrition; Sport Supplements and Contemporary Issues</t>
  </si>
  <si>
    <t>Physiological adaptations to exercise; Major Project; Professional Practice 2 in Sport Nutrition</t>
  </si>
  <si>
    <t>Principles of Human Nutrition; Molecular Nutrition and Genetics; Capstone Placment Project</t>
  </si>
  <si>
    <t>Physiological adaptations to exercise; Performance Nutrition; Molecular Nutrition and Genetics; Sport Nutrition for Health, Adaptation and Recovery; Capstone Placment Project</t>
  </si>
  <si>
    <t>Principles of Human Nutrition; Lifespan Nutrition and Eating Behaviour</t>
  </si>
  <si>
    <t>Molecular Nutrition and Genetics; Sport Supplements and Contemporary Issues; Capstone Placment Project</t>
  </si>
  <si>
    <t>Professional Practice 1 in Sport Nutrition; Principles of Human Nutrition</t>
  </si>
  <si>
    <t>Professional Practice 1 in Sport Nutrition; Professional Practice 2 in Sport Nutrition; Sport Nutrition for Health, Adaptation and Recovery; Capstone Placment Project</t>
  </si>
  <si>
    <t>Professional Practice 1 in Sport Nutrition; Lifespan Nutrition and Eating Behaviour; Sport Supplements and Contemporary Issues</t>
  </si>
  <si>
    <t>Sport Nutrition for Health, Adaptation and Recovery; Capstone Placment Project</t>
  </si>
  <si>
    <t>Professional Practice 1 in Sport Nutrition; Lifespan Nutrition and Eating Behaviour</t>
  </si>
  <si>
    <t>Professional Practice 2 in Sport Nutrition; Sport Nutrition for Health, Adaptation and Recovery</t>
  </si>
  <si>
    <t>Professional Practice 1 in Sport Nutrition; Professional Practice 2 in Sport Nutrition; Lifespan Nutrition and Eating Behaviour</t>
  </si>
  <si>
    <t>Sport Supplements and Contemporary Issues; Sport Nutrition for Health, Adaptation and Recovery; Capstone Placment Project</t>
  </si>
  <si>
    <t>Professional Practice 1 in Sport Nutrition; Sport Supplements and Contemporary Issues</t>
  </si>
  <si>
    <t>Principles of Human Nutrition; Nutritional Biochemistry and Metabolism; Professional Practice 2 in Sport Nutrition</t>
  </si>
  <si>
    <t>Principles of Human Nutrition; Lifespan Nutrition and Eating Behaviour; Sport Nutrition for Health, Adaptation and Recovery</t>
  </si>
  <si>
    <t>Lifespan Nutrition and Eating Behaviour; Sport Nutrition for Health, Adaptation and Recovery</t>
  </si>
  <si>
    <t>Principles of Human Nutrition; Performance Nutrition; Sport Supplements and Contemporary Issues</t>
  </si>
  <si>
    <t>Nutritional Biochemistry and Metabolism; Professional Practice 2 in Sport Nutrition</t>
  </si>
  <si>
    <t>Nutritional Biochemistry and Metabolism; Product Development for Sport Nutrition; Sport Nutrition for Health, Adaptation and Recovery</t>
  </si>
  <si>
    <t>Performance Nutrition; Product Development for Sport Nutrition; Sport Supplements and Contemporary Issues</t>
  </si>
  <si>
    <t>Product Development for Sport Nutrition; Sport Nutrition for Health, Adaptation and Recovery; Capstone Placment Project</t>
  </si>
  <si>
    <t>4091SPS_Mapping</t>
  </si>
  <si>
    <t>Mapping</t>
  </si>
  <si>
    <t>4092SPS_Mapping</t>
  </si>
  <si>
    <t>5091SPS_Mapping</t>
  </si>
  <si>
    <t>5092SPS_Mapping</t>
  </si>
  <si>
    <t>6091SPS_Mapping</t>
  </si>
  <si>
    <t>_4001SPS_Mapping</t>
  </si>
  <si>
    <t>_4003SPS_Mapping</t>
  </si>
  <si>
    <t>_4004SPS_Mapping</t>
  </si>
  <si>
    <t>_4006SPS_Mapping</t>
  </si>
  <si>
    <t>_5001SPS_Mapping</t>
  </si>
  <si>
    <t>_5014SPS_Mapping</t>
  </si>
  <si>
    <t>_5015SPS_Mapping</t>
  </si>
  <si>
    <t>_5005SPS_Mapping</t>
  </si>
  <si>
    <t>_6003SPS_Mapping</t>
  </si>
  <si>
    <t>_6004SPS_Mapping</t>
  </si>
  <si>
    <t>_6007SPS_Mapping</t>
  </si>
  <si>
    <t>_6008SPS_Mapping</t>
  </si>
  <si>
    <t>4091SPS_Assess</t>
  </si>
  <si>
    <t>Online test with multiple-choice, fill in the gap or true/false questions. The questions are based around the content of the first 4 weeks. Practice questions will be available on Canvas.</t>
  </si>
  <si>
    <t>Assess</t>
  </si>
  <si>
    <t>Online exam, in-person and on campus, invigilated. Multiple-choice, fill in the gap or true/false questions. The questions are based around the remaining content (after 4 weeks) of the module. Practice questions will be available on Canvas.</t>
  </si>
  <si>
    <t>Assessment period</t>
  </si>
  <si>
    <t>4092SPS_Assess</t>
  </si>
  <si>
    <t>Lab Report Portfolio: Lab Report 1 Submission + Peer Review Activity + Reflection + Lab Report 2 Submission</t>
  </si>
  <si>
    <t xml:space="preserve">In person Online MCQ Exam </t>
  </si>
  <si>
    <t>5091SPS_Assess</t>
  </si>
  <si>
    <t>Group presentation demonstrating their analysis of a mixed-methods data set i.e. both qualitative and quantitative data</t>
  </si>
  <si>
    <t>Research Proposal outlining the design and methodology of a feasible study the student could undertake at L6 i.e. Dissertation Major Project</t>
  </si>
  <si>
    <t>Assessment Period</t>
  </si>
  <si>
    <t>5092SPS_Assess</t>
  </si>
  <si>
    <t>Using an experimental dataset provided and an AI-generated draft report, students will produce a scientific laboratory report that analyses and evaluates the physiological effects of exercise training in a specific population group</t>
  </si>
  <si>
    <t>Pro/con debate: working in groups, students will research, prepare, and participate in a structured debate on a controversial topic related to sport and exercise physiology</t>
  </si>
  <si>
    <t>Assessment week</t>
  </si>
  <si>
    <t>6091SPS_Assess</t>
  </si>
  <si>
    <t>Dissertation</t>
  </si>
  <si>
    <t>Students are required to submit a thesis that describes and reports the major project that they conducted using the scientific method, e.g., Introduction, Methods, Results and Discussion. This could be in the format of an Empirical type project or a Systeamtic Review type project. AI use will be allowed and will be assessed.</t>
  </si>
  <si>
    <t xml:space="preserve">Students are required to manage their own project throughout the year and produce, present and defend their major project </t>
  </si>
  <si>
    <t>_4001SPS_Assess</t>
  </si>
  <si>
    <t>_4003SPS_Assess</t>
  </si>
  <si>
    <t>_4004SPS_Assess</t>
  </si>
  <si>
    <t>_4006SPS_Assess</t>
  </si>
  <si>
    <t>_5001SPS_Assess</t>
  </si>
  <si>
    <t>_5014SPS_Assess</t>
  </si>
  <si>
    <t>_5015SPS_Assess</t>
  </si>
  <si>
    <t>_5005SPS_Assess</t>
  </si>
  <si>
    <t>_6003SPS_Assess</t>
  </si>
  <si>
    <t>_6004SPS_Assess</t>
  </si>
  <si>
    <t>_6007SPS_Assess</t>
  </si>
  <si>
    <t>_6008SPS_Assess</t>
  </si>
  <si>
    <t>4091SPS_LO</t>
  </si>
  <si>
    <t>Identify characteristics of different research designs</t>
  </si>
  <si>
    <t>LO</t>
  </si>
  <si>
    <t>Apply, interpret and report quantitative and qualitative techniques</t>
  </si>
  <si>
    <t>4092SPS_LO</t>
  </si>
  <si>
    <t>Describe the basic structure and function of key physiological systems and metabolic processes.</t>
  </si>
  <si>
    <t>Describe and explain how key physiological systems and metabolic processes respond to acute exercise.</t>
  </si>
  <si>
    <t>Collect, present and interpret physiological data using appropriate scientific methods and conventions.</t>
  </si>
  <si>
    <t>5091SPS_LO</t>
  </si>
  <si>
    <t>Deploy accurately established techniques of analysis and enquiry within a discipline</t>
  </si>
  <si>
    <t>Describe and comment upon aspects of current research, or equivalent advanced scholarship, in the discipline</t>
  </si>
  <si>
    <t>Manage their own learning, and to make use of scholarly reviews and primary sources (for example, refereed research articles and/or original materials appropriate to the discipline).</t>
  </si>
  <si>
    <t>5092SPS_LO</t>
  </si>
  <si>
    <t>Analyse and critically evaluate the physiological effects of sport and exercise interventions in diverse populations.</t>
  </si>
  <si>
    <t>Critically assess the impact of environmental factors, nutritional interventions, and disease states on physiological responses and adaptations to exercise training,</t>
  </si>
  <si>
    <t>6091SPS_LO</t>
  </si>
  <si>
    <t>Apply skills and competencies to conduct research in an area relevant to their programme of study</t>
  </si>
  <si>
    <t>Critically appraise the research in a written format as specified by the major project guidelines</t>
  </si>
  <si>
    <t>Present and defend the progress and summary of the project and its findings in a scientific manner</t>
  </si>
  <si>
    <t>_4001SPS_LO</t>
  </si>
  <si>
    <t>_4003SPS_LO</t>
  </si>
  <si>
    <t>_4004SPS_LO</t>
  </si>
  <si>
    <t>_4006SPS_LO</t>
  </si>
  <si>
    <t>_5001SPS_LO</t>
  </si>
  <si>
    <t>_5014SPS_LO</t>
  </si>
  <si>
    <t>_5015SPS_LO</t>
  </si>
  <si>
    <t>_5005SPS_LO</t>
  </si>
  <si>
    <t>_6003SPS_LO</t>
  </si>
  <si>
    <t>_6004SPS_LO</t>
  </si>
  <si>
    <t>_6007SPS_LO</t>
  </si>
  <si>
    <t>_6008SPS_LO</t>
  </si>
  <si>
    <t>Table 1</t>
  </si>
  <si>
    <t>Table 3</t>
  </si>
  <si>
    <t>Table 5</t>
  </si>
  <si>
    <t>Placement</t>
  </si>
  <si>
    <t>Scientific Knowledge</t>
  </si>
  <si>
    <t>Category text shown to user</t>
  </si>
  <si>
    <t>Defined Name</t>
  </si>
  <si>
    <t>Option module</t>
  </si>
  <si>
    <t>ScientificKnowledge</t>
  </si>
  <si>
    <t>Data Analysis</t>
  </si>
  <si>
    <t>TechnicalSkills</t>
  </si>
  <si>
    <t>Video</t>
  </si>
  <si>
    <t>ApplicationofKnowledge</t>
  </si>
  <si>
    <t>Infographic</t>
  </si>
  <si>
    <t>UnderstandingResearch</t>
  </si>
  <si>
    <t>Reflection</t>
  </si>
  <si>
    <t>SelfEvaluation</t>
  </si>
  <si>
    <t>Football Science</t>
  </si>
  <si>
    <t>Journal</t>
  </si>
  <si>
    <t>Physical Education</t>
  </si>
  <si>
    <t>MCQ Online Test</t>
  </si>
  <si>
    <t>ProblemSolving</t>
  </si>
  <si>
    <t>Sport and Exercise Science</t>
  </si>
  <si>
    <t>Technical Skills</t>
  </si>
  <si>
    <t>MgmtSelf</t>
  </si>
  <si>
    <t>Sport Coaching</t>
  </si>
  <si>
    <t>DeliveryEnvironment</t>
  </si>
  <si>
    <t>ProfRelationships</t>
  </si>
  <si>
    <t>Sport Psychology</t>
  </si>
  <si>
    <t>SES and FS</t>
  </si>
  <si>
    <t>SES, SC, PE</t>
  </si>
  <si>
    <t>SES and SN</t>
  </si>
  <si>
    <t>SC and PE</t>
  </si>
  <si>
    <t>Application of Knowledge &amp; Skills</t>
  </si>
  <si>
    <t>Professional relationships &amp; behaviours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</si>
</sst>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font>
      <sz val="11"/>
      <color theme="1"/>
      <name val="Aptos Narrow"/>
      <family val="2"/>
      <scheme val="minor"/>
    </font>
    <font>
      <b/>
      <sz val="11"/>
      <color theme="1"/>
      <name val="Aptos Narrow"/>
      <family val="2"/>
      <scheme val="minor"/>
    </font>
    <font>
      <sz val="8"/>
      <name val="Aptos Narrow"/>
      <family val="2"/>
      <scheme val="minor"/>
    </font>
    <font>
      <b/>
      <sz val="14"/>
      <color theme="1"/>
      <name val="Aptos Narrow"/>
      <family val="2"/>
      <scheme val="minor"/>
    </font>
    <font>
      <b/>
      <sz val="20"/>
      <color theme="1"/>
      <name val="Aptos Narrow"/>
      <family val="2"/>
      <scheme val="minor"/>
    </font>
    <font>
      <b/>
      <sz val="11"/>
      <color theme="0"/>
      <name val="Aptos Narrow"/>
      <family val="2"/>
      <scheme val="minor"/>
    </font>
    <font>
      <i/>
      <sz val="12"/>
      <color theme="1"/>
      <name val="Aptos Narrow"/>
      <family val="2"/>
    </font>
    <font>
      <sz val="11"/>
      <color theme="1"/>
      <name val="Arial"/>
      <family val="2"/>
      <charset val="1"/>
    </font>
    <font>
      <b/>
      <sz val="11"/>
      <color theme="1"/>
      <name val="Arial"/>
      <family val="2"/>
    </font>
    <font>
      <b/>
      <sz val="11"/>
      <color theme="1"/>
      <name val="Arial"/>
      <family val="2"/>
      <charset val="1"/>
    </font>
    <font>
      <i/>
      <sz val="11"/>
      <color theme="1"/>
      <name val="Arial"/>
      <family val="2"/>
      <charset val="1"/>
    </font>
    <font>
      <b/>
      <sz val="11"/>
      <color rgb="FF000000"/>
      <name val="Arial"/>
      <family val="2"/>
    </font>
    <font>
      <sz val="11"/>
      <color rgb="FF000000"/>
      <name val="Arial"/>
      <family val="2"/>
    </font>
    <font>
      <sz val="11"/>
      <name val="Arial"/>
    </font>
  </fonts>
  <fills count="7">
    <fill>
      <patternFill patternType="none"/>
    </fill>
    <fill>
      <patternFill patternType="gray125"/>
    </fill>
    <fill>
      <patternFill patternType="solid">
        <fgColor theme="4" tint="0.79998168889431442"/>
        <bgColor theme="4" tint="0.79998168889431442"/>
      </patternFill>
    </fill>
    <fill>
      <patternFill patternType="solid">
        <fgColor theme="4"/>
        <bgColor theme="4"/>
      </patternFill>
    </fill>
    <fill>
      <patternFill patternType="solid">
        <fgColor theme="0" tint="-0.14999847407452621"/>
        <bgColor indexed="64"/>
      </patternFill>
    </fill>
    <fill>
      <patternFill patternType="solid">
        <fgColor rgb="FFFFFF00"/>
        <bgColor indexed="64"/>
      </patternFill>
    </fill>
    <fill>
      <patternFill patternType="solid">
        <fgColor rgb="FFDDEBF7"/>
        <bgColor rgb="FF000000"/>
      </patternFill>
    </fill>
  </fills>
  <borders count="21">
    <border>
      <left/>
      <right/>
      <top/>
      <bottom/>
      <diagonal/>
    </border>
    <border>
      <left style="thin">
        <color theme="4" tint="0.39997558519241921"/>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theme="4" tint="0.39997558519241921"/>
      </right>
      <top style="thin">
        <color theme="4" tint="0.39997558519241921"/>
      </top>
      <bottom/>
      <diagonal/>
    </border>
    <border>
      <left style="thin">
        <color rgb="FF808080"/>
      </left>
      <right style="thin">
        <color rgb="FF808080"/>
      </right>
      <top style="thin">
        <color rgb="FF808080"/>
      </top>
      <bottom style="thin">
        <color rgb="FF808080"/>
      </bottom>
      <diagonal/>
    </border>
    <border>
      <left style="thin">
        <color rgb="FF808080"/>
      </left>
      <right style="thin">
        <color rgb="FFBFBFBF"/>
      </right>
      <top style="thin">
        <color rgb="FF808080"/>
      </top>
      <bottom style="thin">
        <color rgb="FF808080"/>
      </bottom>
      <diagonal/>
    </border>
    <border>
      <left style="thin">
        <color rgb="FFBFBFBF"/>
      </left>
      <right style="thin">
        <color rgb="FFBFBFBF"/>
      </right>
      <top style="thin">
        <color rgb="FF808080"/>
      </top>
      <bottom style="thin">
        <color rgb="FF808080"/>
      </bottom>
      <diagonal/>
    </border>
    <border>
      <left style="thin">
        <color rgb="FFBFBFBF"/>
      </left>
      <right style="thin">
        <color rgb="FF808080"/>
      </right>
      <top style="thin">
        <color rgb="FF808080"/>
      </top>
      <bottom style="thin">
        <color rgb="FF808080"/>
      </bottom>
      <diagonal/>
    </border>
    <border>
      <left style="thin">
        <color rgb="FF808080"/>
      </left>
      <right style="thin">
        <color rgb="FFBFBFBF"/>
      </right>
      <top style="thin">
        <color rgb="FF808080"/>
      </top>
      <bottom style="thin">
        <color indexed="64"/>
      </bottom>
      <diagonal/>
    </border>
    <border>
      <left style="thin">
        <color rgb="FFBFBFBF"/>
      </left>
      <right style="thin">
        <color rgb="FFBFBFBF"/>
      </right>
      <top style="thin">
        <color rgb="FF808080"/>
      </top>
      <bottom style="thin">
        <color indexed="64"/>
      </bottom>
      <diagonal/>
    </border>
    <border>
      <left style="thin">
        <color rgb="FFBFBFBF"/>
      </left>
      <right style="thin">
        <color rgb="FF808080"/>
      </right>
      <top style="thin">
        <color rgb="FF808080"/>
      </top>
      <bottom style="thin">
        <color indexed="64"/>
      </bottom>
      <diagonal/>
    </border>
    <border>
      <left style="thin">
        <color rgb="FF808080"/>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808080"/>
      </right>
      <top style="thin">
        <color rgb="FFBFBFBF"/>
      </top>
      <bottom style="thin">
        <color rgb="FFBFBFBF"/>
      </bottom>
      <diagonal/>
    </border>
    <border>
      <left style="thin">
        <color rgb="FF808080"/>
      </left>
      <right style="thin">
        <color rgb="FFBFBFBF"/>
      </right>
      <top style="thin">
        <color rgb="FFBFBFBF"/>
      </top>
      <bottom style="thin">
        <color rgb="FF808080"/>
      </bottom>
      <diagonal/>
    </border>
    <border>
      <left style="thin">
        <color rgb="FFBFBFBF"/>
      </left>
      <right style="thin">
        <color rgb="FFBFBFBF"/>
      </right>
      <top style="thin">
        <color rgb="FFBFBFBF"/>
      </top>
      <bottom style="thin">
        <color rgb="FF808080"/>
      </bottom>
      <diagonal/>
    </border>
    <border>
      <left style="thin">
        <color rgb="FFBFBFBF"/>
      </left>
      <right style="thin">
        <color rgb="FF808080"/>
      </right>
      <top style="thin">
        <color rgb="FFBFBFBF"/>
      </top>
      <bottom style="thin">
        <color rgb="FF808080"/>
      </bottom>
      <diagonal/>
    </border>
    <border>
      <left/>
      <right style="thin">
        <color rgb="FFBFBFBF"/>
      </right>
      <top style="thin">
        <color rgb="FFBFBFBF"/>
      </top>
      <bottom style="thin">
        <color rgb="FFBFBFBF"/>
      </bottom>
      <diagonal/>
    </border>
    <border>
      <left style="thin">
        <color rgb="FFBFBFBF"/>
      </left>
      <right style="thin">
        <color rgb="FFBFBFBF"/>
      </right>
      <top/>
      <bottom style="thin">
        <color rgb="FFBFBFBF"/>
      </bottom>
      <diagonal/>
    </border>
    <border>
      <left/>
      <right style="thin">
        <color rgb="FFBFBFBF"/>
      </right>
      <top/>
      <bottom style="thin">
        <color rgb="FFBFBFBF"/>
      </bottom>
      <diagonal/>
    </border>
  </borders>
  <cellStyleXfs count="1">
    <xf numFmtId="0" fontId="0" fillId="0" borderId="0"/>
  </cellStyleXfs>
  <cellXfs count="56">
    <xf numFmtId="0" fontId="0" fillId="0" borderId="0" xfId="0"/>
    <xf numFmtId="0" fontId="0" fillId="0" borderId="0" xfId="0" applyAlignment="1" applyProtection="1">
      <alignment horizontal="left" vertical="center" wrapText="1"/>
      <protection locked="0"/>
    </xf>
    <xf numFmtId="0" fontId="0" fillId="0" borderId="0" xfId="0" applyAlignment="1" applyProtection="1">
      <alignment horizontal="center" vertical="center" wrapText="1"/>
      <protection locked="0"/>
    </xf>
    <xf numFmtId="9" fontId="0" fillId="0" borderId="0" xfId="0" applyNumberFormat="1" applyAlignment="1" applyProtection="1">
      <alignment horizontal="left" vertical="center" wrapText="1"/>
      <protection locked="0"/>
    </xf>
    <xf numFmtId="0" fontId="0" fillId="0" borderId="0" xfId="0" applyProtection="1">
      <protection locked="0"/>
    </xf>
    <xf numFmtId="0" fontId="1" fillId="0" borderId="0" xfId="0" applyFont="1" applyProtection="1">
      <protection locked="0"/>
    </xf>
    <xf numFmtId="0" fontId="7" fillId="0" borderId="0" xfId="0" applyFont="1" applyProtection="1">
      <protection locked="0"/>
    </xf>
    <xf numFmtId="0" fontId="8" fillId="0" borderId="0" xfId="0" applyFont="1" applyProtection="1">
      <protection locked="0"/>
    </xf>
    <xf numFmtId="0" fontId="9" fillId="0" borderId="0" xfId="0" applyFont="1" applyProtection="1">
      <protection locked="0"/>
    </xf>
    <xf numFmtId="0" fontId="11" fillId="0" borderId="0" xfId="0" applyFont="1" applyProtection="1">
      <protection locked="0"/>
    </xf>
    <xf numFmtId="0" fontId="10" fillId="0" borderId="0" xfId="0" applyFont="1" applyProtection="1">
      <protection locked="0"/>
    </xf>
    <xf numFmtId="0" fontId="7" fillId="0" borderId="5" xfId="0" applyFont="1" applyBorder="1" applyProtection="1">
      <protection locked="0"/>
    </xf>
    <xf numFmtId="0" fontId="7" fillId="0" borderId="6" xfId="0" applyFont="1" applyBorder="1" applyProtection="1">
      <protection locked="0"/>
    </xf>
    <xf numFmtId="0" fontId="7" fillId="0" borderId="7" xfId="0" applyFont="1" applyBorder="1" applyProtection="1">
      <protection locked="0"/>
    </xf>
    <xf numFmtId="0" fontId="7" fillId="0" borderId="8" xfId="0" applyFont="1" applyBorder="1" applyProtection="1">
      <protection locked="0"/>
    </xf>
    <xf numFmtId="0" fontId="7" fillId="0" borderId="9" xfId="0" applyFont="1" applyBorder="1" applyProtection="1">
      <protection locked="0"/>
    </xf>
    <xf numFmtId="0" fontId="7" fillId="0" borderId="10" xfId="0" applyFont="1" applyBorder="1" applyProtection="1">
      <protection locked="0"/>
    </xf>
    <xf numFmtId="0" fontId="7" fillId="0" borderId="11" xfId="0" applyFont="1" applyBorder="1" applyProtection="1">
      <protection locked="0"/>
    </xf>
    <xf numFmtId="0" fontId="7" fillId="0" borderId="12" xfId="0" applyFont="1" applyBorder="1" applyProtection="1">
      <protection locked="0"/>
    </xf>
    <xf numFmtId="0" fontId="7" fillId="0" borderId="13" xfId="0" applyFont="1" applyBorder="1" applyProtection="1">
      <protection locked="0"/>
    </xf>
    <xf numFmtId="0" fontId="7" fillId="0" borderId="14" xfId="0" applyFont="1" applyBorder="1" applyProtection="1">
      <protection locked="0"/>
    </xf>
    <xf numFmtId="0" fontId="10" fillId="0" borderId="13" xfId="0" applyFont="1" applyBorder="1" applyProtection="1">
      <protection locked="0"/>
    </xf>
    <xf numFmtId="0" fontId="7" fillId="0" borderId="15" xfId="0" applyFont="1" applyBorder="1" applyProtection="1">
      <protection locked="0"/>
    </xf>
    <xf numFmtId="0" fontId="7" fillId="0" borderId="16" xfId="0" applyFont="1" applyBorder="1" applyProtection="1">
      <protection locked="0"/>
    </xf>
    <xf numFmtId="0" fontId="7" fillId="0" borderId="17" xfId="0" applyFont="1" applyBorder="1" applyProtection="1">
      <protection locked="0"/>
    </xf>
    <xf numFmtId="0" fontId="12" fillId="0" borderId="0" xfId="0" applyFont="1" applyProtection="1">
      <protection locked="0"/>
    </xf>
    <xf numFmtId="0" fontId="10" fillId="0" borderId="14" xfId="0" applyFont="1" applyBorder="1" applyProtection="1">
      <protection locked="0"/>
    </xf>
    <xf numFmtId="0" fontId="4" fillId="4" borderId="0" xfId="0" applyFont="1" applyFill="1"/>
    <xf numFmtId="0" fontId="1" fillId="0" borderId="0" xfId="0" applyFont="1" applyAlignment="1">
      <alignment horizontal="center" vertical="center" wrapText="1"/>
    </xf>
    <xf numFmtId="0" fontId="0" fillId="0" borderId="0" xfId="0" applyAlignment="1">
      <alignment vertical="center" wrapText="1"/>
    </xf>
    <xf numFmtId="0" fontId="3" fillId="0" borderId="0" xfId="0" applyFont="1" applyAlignment="1">
      <alignment vertical="center" wrapText="1"/>
    </xf>
    <xf numFmtId="0" fontId="1" fillId="0" borderId="0" xfId="0" applyFont="1" applyAlignment="1">
      <alignment horizontal="left" vertical="center" wrapText="1"/>
    </xf>
    <xf numFmtId="0" fontId="0" fillId="0" borderId="0" xfId="0" applyAlignment="1">
      <alignment horizontal="left" vertical="center" wrapText="1"/>
    </xf>
    <xf numFmtId="0" fontId="6" fillId="0" borderId="0" xfId="0" applyFont="1"/>
    <xf numFmtId="0" fontId="1" fillId="0" borderId="0" xfId="0" applyFont="1"/>
    <xf numFmtId="0" fontId="0" fillId="0" borderId="0" xfId="0" applyAlignment="1">
      <alignment horizontal="center"/>
    </xf>
    <xf numFmtId="0" fontId="1" fillId="0" borderId="0" xfId="0" applyFont="1" applyAlignment="1" applyProtection="1">
      <alignment horizontal="left" vertical="center" wrapText="1"/>
      <protection locked="0"/>
    </xf>
    <xf numFmtId="0" fontId="0" fillId="0" borderId="0" xfId="0" applyAlignment="1" applyProtection="1">
      <alignment horizontal="center"/>
      <protection locked="0"/>
    </xf>
    <xf numFmtId="0" fontId="1" fillId="0" borderId="0" xfId="0" applyFont="1" applyAlignment="1" applyProtection="1">
      <alignment horizontal="center" vertical="center" wrapText="1"/>
      <protection locked="0"/>
    </xf>
    <xf numFmtId="0" fontId="1" fillId="2" borderId="1" xfId="0" applyFont="1" applyFill="1" applyBorder="1"/>
    <xf numFmtId="0" fontId="5" fillId="3" borderId="3" xfId="0" applyFont="1" applyFill="1" applyBorder="1"/>
    <xf numFmtId="0" fontId="5" fillId="3" borderId="4" xfId="0" applyFont="1" applyFill="1" applyBorder="1"/>
    <xf numFmtId="0" fontId="0" fillId="2" borderId="3" xfId="0" applyFill="1" applyBorder="1"/>
    <xf numFmtId="0" fontId="0" fillId="2" borderId="4" xfId="0" applyFill="1" applyBorder="1"/>
    <xf numFmtId="0" fontId="0" fillId="0" borderId="3" xfId="0" applyBorder="1"/>
    <xf numFmtId="0" fontId="0" fillId="0" borderId="4" xfId="0" applyBorder="1"/>
    <xf numFmtId="0" fontId="0" fillId="0" borderId="1" xfId="0" applyBorder="1"/>
    <xf numFmtId="0" fontId="0" fillId="0" borderId="2" xfId="0" applyBorder="1"/>
    <xf numFmtId="0" fontId="0" fillId="2" borderId="1" xfId="0" applyFill="1" applyBorder="1"/>
    <xf numFmtId="0" fontId="1" fillId="0" borderId="1" xfId="0" applyFont="1" applyBorder="1"/>
    <xf numFmtId="0" fontId="9" fillId="5" borderId="0" xfId="0" applyFont="1" applyFill="1" applyProtection="1">
      <protection locked="0"/>
    </xf>
    <xf numFmtId="0" fontId="13" fillId="6" borderId="13" xfId="0" applyFont="1" applyFill="1" applyBorder="1" applyAlignment="1" applyProtection="1">
      <protection locked="0"/>
    </xf>
    <xf numFmtId="0" fontId="13" fillId="6" borderId="18" xfId="0" applyFont="1" applyFill="1" applyBorder="1" applyAlignment="1" applyProtection="1">
      <protection locked="0"/>
    </xf>
    <xf numFmtId="0" fontId="13" fillId="6" borderId="19" xfId="0" applyFont="1" applyFill="1" applyBorder="1" applyAlignment="1" applyProtection="1">
      <protection locked="0"/>
    </xf>
    <xf numFmtId="0" fontId="13" fillId="6" borderId="20" xfId="0" applyFont="1" applyFill="1" applyBorder="1" applyAlignment="1" applyProtection="1">
      <protection locked="0"/>
    </xf>
    <xf numFmtId="0" fontId="0" fillId="0" borderId="0" xfId="0" applyNumberFormat="1"/>
  </cellXfs>
  <cellStyles count="1">
    <cellStyle name="Normal" xfId="0" builtinId="0"/>
  </cellStyles>
  <dxfs count="563">
    <dxf>
      <protection locked="1" hidden="0"/>
    </dxf>
    <dxf>
      <protection locked="1" hidden="0"/>
    </dxf>
    <dxf>
      <protection locked="1" hidden="0"/>
    </dxf>
    <dxf>
      <protection locked="1" hidden="0"/>
    </dxf>
    <dxf>
      <protection locked="1" hidden="0"/>
    </dxf>
    <dxf>
      <protection locked="1" hidden="0"/>
    </dxf>
    <dxf>
      <protection locked="1" hidden="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1" hidden="0"/>
    </dxf>
    <dxf>
      <alignment horizontal="center"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protection locked="1"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0" hidden="0"/>
    </dxf>
    <dxf>
      <alignment horizontal="center" vertical="bottom" textRotation="0" wrapText="0" indent="0" justifyLastLine="0" shrinkToFit="0" readingOrder="0"/>
      <protection locked="0" hidden="0"/>
    </dxf>
    <dxf>
      <protection locked="0" hidden="0"/>
    </dxf>
    <dxf>
      <protection locked="1" hidden="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1" hidden="0"/>
    </dxf>
    <dxf>
      <alignment horizontal="center"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protection locked="1"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0" hidden="0"/>
    </dxf>
    <dxf>
      <alignment horizontal="center" vertical="bottom" textRotation="0" wrapText="0" indent="0" justifyLastLine="0" shrinkToFit="0" readingOrder="0"/>
      <protection locked="0" hidden="0"/>
    </dxf>
    <dxf>
      <protection locked="0" hidden="0"/>
    </dxf>
    <dxf>
      <protection locked="1" hidden="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1" hidden="0"/>
    </dxf>
    <dxf>
      <alignment horizontal="center"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protection locked="1"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0" hidden="0"/>
    </dxf>
    <dxf>
      <alignment horizontal="center" vertical="bottom" textRotation="0" wrapText="0" indent="0" justifyLastLine="0" shrinkToFit="0" readingOrder="0"/>
      <protection locked="0" hidden="0"/>
    </dxf>
    <dxf>
      <protection locked="0" hidden="0"/>
    </dxf>
    <dxf>
      <protection locked="1" hidden="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1" hidden="0"/>
    </dxf>
    <dxf>
      <alignment horizontal="center"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protection locked="1"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0" hidden="0"/>
    </dxf>
    <dxf>
      <alignment horizontal="center" vertical="bottom" textRotation="0" wrapText="0" indent="0" justifyLastLine="0" shrinkToFit="0" readingOrder="0"/>
      <protection locked="0" hidden="0"/>
    </dxf>
    <dxf>
      <protection locked="0" hidden="0"/>
    </dxf>
    <dxf>
      <protection locked="1" hidden="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1" hidden="0"/>
    </dxf>
    <dxf>
      <alignment horizontal="center"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protection locked="1"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0" hidden="0"/>
    </dxf>
    <dxf>
      <alignment horizontal="center" vertical="bottom" textRotation="0" wrapText="0" indent="0" justifyLastLine="0" shrinkToFit="0" readingOrder="0"/>
      <protection locked="0" hidden="0"/>
    </dxf>
    <dxf>
      <protection locked="0" hidden="0"/>
    </dxf>
    <dxf>
      <protection locked="1" hidden="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1" hidden="0"/>
    </dxf>
    <dxf>
      <alignment horizontal="center"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protection locked="1"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0" hidden="0"/>
    </dxf>
    <dxf>
      <alignment horizontal="center" vertical="bottom" textRotation="0" wrapText="0" indent="0" justifyLastLine="0" shrinkToFit="0" readingOrder="0"/>
      <protection locked="0" hidden="0"/>
    </dxf>
    <dxf>
      <protection locked="0" hidden="0"/>
    </dxf>
    <dxf>
      <protection locked="1" hidden="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1" hidden="0"/>
    </dxf>
    <dxf>
      <alignment horizontal="center"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protection locked="1"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0" hidden="0"/>
    </dxf>
    <dxf>
      <alignment horizontal="center" vertical="bottom" textRotation="0" wrapText="0" indent="0" justifyLastLine="0" shrinkToFit="0" readingOrder="0"/>
      <protection locked="0" hidden="0"/>
    </dxf>
    <dxf>
      <protection locked="0" hidden="0"/>
    </dxf>
    <dxf>
      <protection locked="1" hidden="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1" hidden="0"/>
    </dxf>
    <dxf>
      <alignment horizontal="center"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protection locked="1"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0" hidden="0"/>
    </dxf>
    <dxf>
      <alignment horizontal="center" vertical="bottom" textRotation="0" wrapText="0" indent="0" justifyLastLine="0" shrinkToFit="0" readingOrder="0"/>
      <protection locked="0" hidden="0"/>
    </dxf>
    <dxf>
      <protection locked="0" hidden="0"/>
    </dxf>
    <dxf>
      <protection locked="1" hidden="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1" hidden="0"/>
    </dxf>
    <dxf>
      <alignment horizontal="center"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protection locked="1"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0" hidden="0"/>
    </dxf>
    <dxf>
      <alignment horizontal="center" vertical="bottom" textRotation="0" wrapText="0" indent="0" justifyLastLine="0" shrinkToFit="0" readingOrder="0"/>
      <protection locked="0" hidden="0"/>
    </dxf>
    <dxf>
      <protection locked="0" hidden="0"/>
    </dxf>
    <dxf>
      <protection locked="1" hidden="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1" hidden="0"/>
    </dxf>
    <dxf>
      <alignment horizontal="center"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protection locked="1"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0" hidden="0"/>
    </dxf>
    <dxf>
      <alignment horizontal="center" vertical="bottom" textRotation="0" wrapText="0" indent="0" justifyLastLine="0" shrinkToFit="0" readingOrder="0"/>
      <protection locked="0" hidden="0"/>
    </dxf>
    <dxf>
      <protection locked="0" hidden="0"/>
    </dxf>
    <dxf>
      <protection locked="1" hidden="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1" hidden="0"/>
    </dxf>
    <dxf>
      <alignment horizontal="center"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protection locked="1"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0" hidden="0"/>
    </dxf>
    <dxf>
      <alignment horizontal="center" vertical="bottom" textRotation="0" wrapText="0" indent="0" justifyLastLine="0" shrinkToFit="0" readingOrder="0"/>
      <protection locked="0" hidden="0"/>
    </dxf>
    <dxf>
      <protection locked="0" hidden="0"/>
    </dxf>
    <dxf>
      <protection locked="1" hidden="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1" hidden="0"/>
    </dxf>
    <dxf>
      <alignment horizontal="center"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protection locked="1"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0" hidden="0"/>
    </dxf>
    <dxf>
      <alignment horizontal="center" vertical="bottom" textRotation="0" wrapText="0" indent="0" justifyLastLine="0" shrinkToFit="0" readingOrder="0"/>
      <protection locked="0" hidden="0"/>
    </dxf>
    <dxf>
      <protection locked="0" hidden="0"/>
    </dxf>
    <dxf>
      <protection locked="1" hidden="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protection locked="1" hidden="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onnections" Target="connections.xml"/><Relationship Id="rId32"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eetMetadata" Target="metadata.xml"/><Relationship Id="rId30" Type="http://schemas.openxmlformats.org/officeDocument/2006/relationships/customXml" Target="../customXml/item2.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6" connectionId="19" xr16:uid="{916DEAE3-AAEC-4370-89D4-2FE2ACD175E8}" autoFormatId="16" applyNumberFormats="0" applyBorderFormats="0" applyFontFormats="0" applyPatternFormats="0" applyAlignmentFormats="0" applyWidthHeightFormats="0">
  <queryTableRefresh nextId="16">
    <queryTableFields count="15">
      <queryTableField id="1" name="SourceWorkbook" tableColumnId="1"/>
      <queryTableField id="2" name="TableName" tableColumnId="2"/>
      <queryTableField id="3" name="ModuleCode" tableColumnId="3"/>
      <queryTableField id="4" name="ItemSuffix" tableColumnId="4"/>
      <queryTableField id="5" name="Programme" tableColumnId="5"/>
      <queryTableField id="6" name="ProgCode" tableColumnId="6"/>
      <queryTableField id="7" name="ModuleTitle" tableColumnId="7"/>
      <queryTableField id="8" name="Module Code" tableColumnId="8"/>
      <queryTableField id="9" name="Module Title" tableColumnId="9"/>
      <queryTableField id="10" name="Credits" tableColumnId="10"/>
      <queryTableField id="11" name="Semester" tableColumnId="11"/>
      <queryTableField id="12" name="Level" tableColumnId="12"/>
      <queryTableField id="13" name="Module Leader" tableColumnId="13"/>
      <queryTableField id="14" name="Module Type" tableColumnId="14"/>
      <queryTableField id="15" name="Programme(s)" tableColumnId="15"/>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8" connectionId="20" xr16:uid="{96849767-AECF-435C-A6E7-7570FB20FC20}" autoFormatId="16" applyNumberFormats="0" applyBorderFormats="0" applyFontFormats="0" applyPatternFormats="0" applyAlignmentFormats="0" applyWidthHeightFormats="0">
  <queryTableRefresh nextId="10">
    <queryTableFields count="9">
      <queryTableField id="1" name="ModuleCode" tableColumnId="1"/>
      <queryTableField id="2" name="ModuleTitle" tableColumnId="2"/>
      <queryTableField id="3" name="Level" tableColumnId="3"/>
      <queryTableField id="4" name="Semester" tableColumnId="4"/>
      <queryTableField id="5" name="Credits" tableColumnId="5"/>
      <queryTableField id="6" name="Module Leader" tableColumnId="6"/>
      <queryTableField id="7" name="Module Type" tableColumnId="7"/>
      <queryTableField id="8" name="Total Contact Hours" tableColumnId="8"/>
      <queryTableField id="9" name="Hours per Credit" tableColumnId="9"/>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7" connectionId="15" xr16:uid="{0F73619B-4FF7-4012-B940-790FDD4F4B4C}" autoFormatId="16" applyNumberFormats="0" applyBorderFormats="0" applyFontFormats="0" applyPatternFormats="0" applyAlignmentFormats="0" applyWidthHeightFormats="0">
  <queryTableRefresh nextId="15">
    <queryTableFields count="14">
      <queryTableField id="1" name="SourceWorkbook" tableColumnId="1"/>
      <queryTableField id="2" name="TableName" tableColumnId="2"/>
      <queryTableField id="3" name="ModuleCode" tableColumnId="3"/>
      <queryTableField id="4" name="ItemSuffix" tableColumnId="4"/>
      <queryTableField id="5" name="Programme" tableColumnId="5"/>
      <queryTableField id="6" name="ProgCode" tableColumnId="6"/>
      <queryTableField id="7" name="ModuleTitle" tableColumnId="7"/>
      <queryTableField id="8" name="Lecture" tableColumnId="8"/>
      <queryTableField id="9" name="Seminar" tableColumnId="9"/>
      <queryTableField id="10" name="Practical" tableColumnId="10"/>
      <queryTableField id="11" name="Workshop" tableColumnId="11"/>
      <queryTableField id="12" name="Online" tableColumnId="12"/>
      <queryTableField id="13" name="Total" tableColumnId="13"/>
      <queryTableField id="14" name="Online - synchronous" tableColumnId="14"/>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9" connectionId="21" xr16:uid="{1570BD5C-B538-4127-B793-44D261610559}" autoFormatId="16" applyNumberFormats="0" applyBorderFormats="0" applyFontFormats="0" applyPatternFormats="0" applyAlignmentFormats="0" applyWidthHeightFormats="0">
  <queryTableRefresh nextId="6">
    <queryTableFields count="5">
      <queryTableField id="1" name="Category" tableColumnId="1"/>
      <queryTableField id="2" name="Skill" tableColumnId="2"/>
      <queryTableField id="3" name="Modules Covering" tableColumnId="3"/>
      <queryTableField id="4" name="Module Count" tableColumnId="4"/>
      <queryTableField id="5" name="Covered" tableColumnId="5"/>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5" connectionId="17" xr16:uid="{045D08CE-44ED-47CA-8598-9E38F28A719D}" autoFormatId="16" applyNumberFormats="0" applyBorderFormats="0" applyFontFormats="0" applyPatternFormats="0" applyAlignmentFormats="0" applyWidthHeightFormats="0">
  <queryTableRefresh nextId="12">
    <queryTableFields count="11">
      <queryTableField id="1" name="SourceWorkbook" tableColumnId="1"/>
      <queryTableField id="2" name="TableName" tableColumnId="2"/>
      <queryTableField id="3" name="Assessment No" tableColumnId="3"/>
      <queryTableField id="4" name="LO Number" tableColumnId="4"/>
      <queryTableField id="5" name="Graduate Skills Category" tableColumnId="5"/>
      <queryTableField id="6" name="Graduate Skill" tableColumnId="6"/>
      <queryTableField id="7" name="ModuleCode" tableColumnId="7"/>
      <queryTableField id="8" name="ItemSuffix" tableColumnId="8"/>
      <queryTableField id="9" name="Programme" tableColumnId="9"/>
      <queryTableField id="10" name="ProgCode" tableColumnId="10"/>
      <queryTableField id="11" name="ModuleTitle" tableColumnId="11"/>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4" connectionId="14" xr16:uid="{EC183800-48D8-4C4D-B648-36369D233520}" autoFormatId="16" applyNumberFormats="0" applyBorderFormats="0" applyFontFormats="0" applyPatternFormats="0" applyAlignmentFormats="0" applyWidthHeightFormats="0">
  <queryTableRefresh nextId="10">
    <queryTableFields count="9">
      <queryTableField id="1" name="SourceWorkbook" tableColumnId="1"/>
      <queryTableField id="2" name="TableName" tableColumnId="2"/>
      <queryTableField id="3" name="Component" tableColumnId="3"/>
      <queryTableField id="4" name="Contact Hours" tableColumnId="4"/>
      <queryTableField id="5" name="ModuleCode" tableColumnId="5"/>
      <queryTableField id="6" name="ItemSuffix" tableColumnId="6"/>
      <queryTableField id="7" name="Programme" tableColumnId="7"/>
      <queryTableField id="8" name="ProgCode" tableColumnId="8"/>
      <queryTableField id="9" name="ModuleTitle" tableColumnId="9"/>
    </queryTableFields>
  </queryTableRefresh>
</queryTable>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ExternalData_1" connectionId="18" xr16:uid="{B6C2DCF2-8797-45F8-9F98-FF34A7BCD214}" autoFormatId="16" applyNumberFormats="0" applyBorderFormats="0" applyFontFormats="0" applyPatternFormats="0" applyAlignmentFormats="0" applyWidthHeightFormats="0">
  <queryTableRefresh nextId="10">
    <queryTableFields count="9">
      <queryTableField id="1" name="SourceWorkbook" tableColumnId="1"/>
      <queryTableField id="2" name="TableName" tableColumnId="2"/>
      <queryTableField id="3" name="Module Data" tableColumnId="3"/>
      <queryTableField id="4" name="Details" tableColumnId="4"/>
      <queryTableField id="5" name="ModuleCode" tableColumnId="5"/>
      <queryTableField id="6" name="ItemSuffix" tableColumnId="6"/>
      <queryTableField id="7" name="Programme" tableColumnId="7"/>
      <queryTableField id="8" name="ProgCode" tableColumnId="8"/>
      <queryTableField id="9" name="ModuleTitle" tableColumnId="9"/>
    </queryTableFields>
  </queryTableRefresh>
</queryTable>
</file>

<file path=xl/queryTables/queryTable8.xml><?xml version="1.0" encoding="utf-8"?>
<queryTable xmlns="http://schemas.openxmlformats.org/spreadsheetml/2006/main" xmlns:mc="http://schemas.openxmlformats.org/markup-compatibility/2006" xmlns:xr16="http://schemas.microsoft.com/office/spreadsheetml/2017/revision16" mc:Ignorable="xr16" name="ExternalData_3" connectionId="13" xr16:uid="{79C16526-1E7A-4102-8CBD-8443F4A11A28}" autoFormatId="16" applyNumberFormats="0" applyBorderFormats="0" applyFontFormats="0" applyPatternFormats="0" applyAlignmentFormats="0" applyWidthHeightFormats="0">
  <queryTableRefresh nextId="14">
    <queryTableFields count="13">
      <queryTableField id="1" name="SourceWorkbook" tableColumnId="1"/>
      <queryTableField id="2" name="TableName" tableColumnId="2"/>
      <queryTableField id="3" name="Assessment No" tableColumnId="3"/>
      <queryTableField id="4" name="Assessment Type" tableColumnId="4"/>
      <queryTableField id="5" name="Assessment Specific" tableColumnId="5"/>
      <queryTableField id="6" name="Assessment Description" tableColumnId="6"/>
      <queryTableField id="7" name="Weighting" tableColumnId="7"/>
      <queryTableField id="8" name="Due Week" tableColumnId="8"/>
      <queryTableField id="9" name="ModuleCode" tableColumnId="9"/>
      <queryTableField id="10" name="ItemSuffix" tableColumnId="10"/>
      <queryTableField id="11" name="Programme" tableColumnId="11"/>
      <queryTableField id="12" name="ProgCode" tableColumnId="12"/>
      <queryTableField id="13" name="ModuleTitle" tableColumnId="13"/>
    </queryTableFields>
  </queryTableRefresh>
</queryTable>
</file>

<file path=xl/queryTables/queryTable9.xml><?xml version="1.0" encoding="utf-8"?>
<queryTable xmlns="http://schemas.openxmlformats.org/spreadsheetml/2006/main" xmlns:mc="http://schemas.openxmlformats.org/markup-compatibility/2006" xmlns:xr16="http://schemas.microsoft.com/office/spreadsheetml/2017/revision16" mc:Ignorable="xr16" name="ExternalData_2" connectionId="16" xr16:uid="{2699240A-D0BF-43CF-A14C-6B1A7C54F244}" autoFormatId="16" applyNumberFormats="0" applyBorderFormats="0" applyFontFormats="0" applyPatternFormats="0" applyAlignmentFormats="0" applyWidthHeightFormats="0">
  <queryTableRefresh nextId="10">
    <queryTableFields count="9">
      <queryTableField id="1" name="SourceWorkbook" tableColumnId="1"/>
      <queryTableField id="2" name="TableName" tableColumnId="2"/>
      <queryTableField id="3" name="LO Number" tableColumnId="3"/>
      <queryTableField id="4" name="LO Description" tableColumnId="4"/>
      <queryTableField id="5" name="ModuleCode" tableColumnId="5"/>
      <queryTableField id="6" name="ItemSuffix" tableColumnId="6"/>
      <queryTableField id="7" name="Programme" tableColumnId="7"/>
      <queryTableField id="8" name="ProgCode" tableColumnId="8"/>
      <queryTableField id="9" name="ModuleTitle" tableColumnId="9"/>
    </queryTableFields>
  </queryTableRefresh>
</queryTable>
</file>

<file path=xl/tables/_rels/table12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12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12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12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125.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126.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_rels/table127.xml.rels><?xml version="1.0" encoding="UTF-8" standalone="yes"?>
<Relationships xmlns="http://schemas.openxmlformats.org/package/2006/relationships"><Relationship Id="rId1" Type="http://schemas.openxmlformats.org/officeDocument/2006/relationships/queryTable" Target="../queryTables/queryTable7.xml"/></Relationships>
</file>

<file path=xl/tables/_rels/table128.xml.rels><?xml version="1.0" encoding="UTF-8" standalone="yes"?>
<Relationships xmlns="http://schemas.openxmlformats.org/package/2006/relationships"><Relationship Id="rId1" Type="http://schemas.openxmlformats.org/officeDocument/2006/relationships/queryTable" Target="../queryTables/queryTable8.xml"/></Relationships>
</file>

<file path=xl/tables/_rels/table129.xml.rels><?xml version="1.0" encoding="UTF-8" standalone="yes"?>
<Relationships xmlns="http://schemas.openxmlformats.org/package/2006/relationships"><Relationship Id="rId1" Type="http://schemas.openxmlformats.org/officeDocument/2006/relationships/queryTable" Target="../queryTables/queryTable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4" xr:uid="{1414709A-4675-4471-85EE-DA0D00B4BFD4}" name="_4001SPS_Meta" displayName="_4001SPS_Meta" ref="C6:D14" totalsRowShown="0" headerRowDxfId="562" dataDxfId="561">
  <autoFilter ref="C6:D14" xr:uid="{CD75D2A7-14B1-4ABD-B64D-6E875F9BC652}">
    <filterColumn colId="0" hiddenButton="1"/>
    <filterColumn colId="1" hiddenButton="1"/>
  </autoFilter>
  <tableColumns count="2">
    <tableColumn id="1" xr3:uid="{8F10F388-99AB-4D28-B816-601553218F24}" name="Module Data" dataDxfId="560"/>
    <tableColumn id="2" xr3:uid="{AE7AA7A8-FBD0-4010-AD14-259A290F3DBF}" name="Details" dataDxfId="559"/>
  </tableColumns>
  <tableStyleInfo name="TableStyleMedium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5" xr:uid="{19D7E4CA-6D4B-4290-ADC9-EBD889ED7090}" name="_4001SPS_LO" displayName="_4001SPS_LO" ref="C28:D33" totalsRowShown="0" headerRowDxfId="558" dataDxfId="557">
  <autoFilter ref="C28:D33" xr:uid="{22316987-6BEB-4FAF-9619-BF9BE9909CFA}">
    <filterColumn colId="0" hiddenButton="1"/>
    <filterColumn colId="1" hiddenButton="1"/>
  </autoFilter>
  <tableColumns count="2">
    <tableColumn id="1" xr3:uid="{65874036-7B81-4E0E-AD1F-388C30468A0C}" name="LO Number" dataDxfId="556"/>
    <tableColumn id="2" xr3:uid="{AB5F4256-8EBE-42B2-864C-6175401C4B94}" name="LO Description" dataDxfId="555"/>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6" xr:uid="{94DF75FA-7885-457B-A760-4C33470CB4F2}" name="_4001SPS_Assess" displayName="_4001SPS_Assess" ref="C37:H41" totalsRowShown="0" headerRowDxfId="554" dataDxfId="553">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F1C107EB-6EF5-4321-A9D3-7F0F473733A9}" name="Assessment No" dataDxfId="552"/>
    <tableColumn id="2" xr3:uid="{A7D8377D-26A9-4C0C-89E5-2BBF15A2C53A}" name="Assessment Type" dataDxfId="551"/>
    <tableColumn id="7" xr3:uid="{902CD105-3E65-4D48-9EBC-28A512F14EA4}" name="Assessment Specific" dataDxfId="550"/>
    <tableColumn id="3" xr3:uid="{F0188AEF-B58B-42EE-B788-6BDBEC8A2666}" name="Assessment Description" dataDxfId="549"/>
    <tableColumn id="4" xr3:uid="{463AE76C-D818-4D0D-9C85-14C568E969CF}" name="Weighting" dataDxfId="548"/>
    <tableColumn id="5" xr3:uid="{F3A74D3A-9891-4785-8514-2F35F953399C}" name="Due Week" dataDxfId="547"/>
  </tableColumns>
  <tableStyleInfo name="TableStyleMedium3"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7" xr:uid="{134F8FF6-FA26-4083-80C6-B1D636160277}" name="_4001SPS_Weekly" displayName="_4001SPS_Weekly" ref="B70:F94" totalsRowShown="0" headerRowDxfId="546" dataDxfId="545">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1B3410E0-1738-4226-A94C-CA8EF9997135}" name="Semester " dataDxfId="544"/>
    <tableColumn id="2" xr3:uid="{779570F9-536A-4051-99E1-6CF566D7A0D1}" name="Week Number" dataDxfId="543"/>
    <tableColumn id="3" xr3:uid="{B34499F2-A07D-444A-9F9C-30E044383158}" name="Weekly Content 1" dataDxfId="542"/>
    <tableColumn id="4" xr3:uid="{F39D2B5F-C444-4352-91E8-C0744DF26B06}" name="Weekly Content 2" dataDxfId="541"/>
    <tableColumn id="5" xr3:uid="{694E2C5F-AF9A-4034-8744-D2347A9BD5B9}" name="Weekly Content 3" dataDxfId="540"/>
  </tableColumns>
  <tableStyleInfo name="TableStyleMedium4"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8" xr:uid="{8667F49A-5642-4195-9AEF-E5818E9EAE7C}" name="_4001SPS_Hours" displayName="_4001SPS_Hours" ref="C18:D24" totalsRowShown="0" headerRowDxfId="539" dataDxfId="538">
  <autoFilter ref="C18:D24" xr:uid="{B71A3569-AA65-4A4E-98A2-885F5C38B46D}">
    <filterColumn colId="0" hiddenButton="1"/>
    <filterColumn colId="1" hiddenButton="1"/>
  </autoFilter>
  <tableColumns count="2">
    <tableColumn id="1" xr3:uid="{AACE1E36-CD18-4943-8A94-8FD55C616649}" name="Component" dataDxfId="537"/>
    <tableColumn id="2" xr3:uid="{B1979956-177B-4D66-BF9C-2582ABBB4BF9}" name="Contact Hours" dataDxfId="536"/>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9" xr:uid="{6BC11C12-EA0A-40E7-AEE3-4C9A37EEC326}" name="_4001SPS_Mapping" displayName="_4001SPS_Mapping" ref="C45:F66" totalsRowShown="0" headerRowDxfId="535" dataDxfId="534">
  <autoFilter ref="C45:F66" xr:uid="{E0A841BB-B6D5-4048-B5F2-18CF9F502EBA}">
    <filterColumn colId="0" hiddenButton="1"/>
    <filterColumn colId="1" hiddenButton="1"/>
    <filterColumn colId="2" hiddenButton="1"/>
    <filterColumn colId="3" hiddenButton="1"/>
  </autoFilter>
  <tableColumns count="4">
    <tableColumn id="1" xr3:uid="{DF7309A3-37E0-4C87-875E-A6B27799A75B}" name="Assessment No" dataDxfId="533"/>
    <tableColumn id="2" xr3:uid="{BBF5102E-4D62-467D-89A8-6878CBB973B5}" name="LO Number" dataDxfId="532"/>
    <tableColumn id="3" xr3:uid="{19F9550F-E174-446A-8CD8-FB222F828FA2}" name="Graduate Skills Category" dataDxfId="531"/>
    <tableColumn id="4" xr3:uid="{22926E4B-AB40-45D5-A07C-199AB2307121}" name="Graduate Skill" dataDxfId="530"/>
  </tableColumns>
  <tableStyleInfo name="TableStyleMedium3"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0" xr:uid="{B1B8FE6F-CFA3-45B4-9B48-293E0069DBF8}" name="_4001SPS_Aims" displayName="_4001SPS_Aims" ref="F6:F8" totalsRowShown="0" headerRowDxfId="529" dataDxfId="528">
  <autoFilter ref="F6:F8" xr:uid="{9552138F-2332-4BC4-A585-0E13162881A5}"/>
  <tableColumns count="1">
    <tableColumn id="1" xr3:uid="{75179496-A8E3-4C17-A2D2-8AF29C0BD18A}" name="Aims" dataDxfId="527"/>
  </tableColumns>
  <tableStyleInfo name="TableStyleMedium6"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1" xr:uid="{50E39927-606F-4D55-95D1-99519B04C2BA}" name="_4001SPS_Syllabus" displayName="_4001SPS_Syllabus" ref="F10:F13" totalsRowShown="0" headerRowDxfId="526" dataDxfId="525">
  <autoFilter ref="F10:F13" xr:uid="{94F18F67-3F10-4F6E-A953-4FE3399B07F2}"/>
  <tableColumns count="1">
    <tableColumn id="1" xr3:uid="{C11B339B-A121-4F67-998C-0EB7843C79D2}" name="Outline Syllabus" dataDxfId="524"/>
  </tableColumns>
  <tableStyleInfo name="TableStyleMedium6"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2" xr:uid="{7E5EA307-5AA4-450B-8B5B-62AEA252D8BA}" name="_4001SPS_Overview" displayName="_4001SPS_Overview" ref="F15:F20" totalsRowShown="0" headerRowDxfId="523" dataDxfId="522">
  <autoFilter ref="F15:F20" xr:uid="{1B2BCD7B-6C15-4B1C-86BC-48FF83D8F225}"/>
  <tableColumns count="1">
    <tableColumn id="1" xr3:uid="{B644A5C6-F53D-4CAC-B23F-A22EE05D52F7}" name="Module Overview" dataDxfId="521"/>
  </tableColumns>
  <tableStyleInfo name="TableStyleMedium6"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3" xr:uid="{65D3AED5-41D6-4638-A570-DE51FA0102F6}" name="_4001SPS_Notes" displayName="_4001SPS_Notes" ref="F22:F33" totalsRowShown="0" headerRowDxfId="520" dataDxfId="519">
  <autoFilter ref="F22:F33" xr:uid="{D5968C0A-6D7E-4221-87EE-78A85A4039B3}"/>
  <tableColumns count="1">
    <tableColumn id="1" xr3:uid="{17E3BB4C-BB7C-4827-AAED-6C9AECAD47FE}" name="Additional Information/Notes" dataDxfId="518"/>
  </tableColumns>
  <tableStyleInfo name="TableStyleMedium6"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F8365005-B598-4738-B9AF-07D1E238BC9C}" name="_4003SPS_Meta" displayName="_4003SPS_Meta" ref="C6:D14" totalsRowShown="0" headerRowDxfId="517" dataDxfId="516">
  <autoFilter ref="C6:D14" xr:uid="{CD75D2A7-14B1-4ABD-B64D-6E875F9BC652}">
    <filterColumn colId="0" hiddenButton="1"/>
    <filterColumn colId="1" hiddenButton="1"/>
  </autoFilter>
  <tableColumns count="2">
    <tableColumn id="1" xr3:uid="{7B568BCE-928C-447D-BD05-0832B97C0D72}" name="Module Data" dataDxfId="515"/>
    <tableColumn id="2" xr3:uid="{706D7CC6-0EB1-4219-8291-567821A0A5B8}" name="Details" dataDxfId="514"/>
  </tableColumns>
  <tableStyleInfo name="TableStyleMedium6"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 xr:uid="{A7A07E87-B596-4463-9B78-6555D43A4B3D}" name="_4003SPS_LO" displayName="_4003SPS_LO" ref="C28:D33" totalsRowShown="0" headerRowDxfId="513" dataDxfId="512">
  <autoFilter ref="C28:D33" xr:uid="{22316987-6BEB-4FAF-9619-BF9BE9909CFA}">
    <filterColumn colId="0" hiddenButton="1"/>
    <filterColumn colId="1" hiddenButton="1"/>
  </autoFilter>
  <tableColumns count="2">
    <tableColumn id="1" xr3:uid="{C19B4674-B83E-4A42-A7E5-5468C8752F20}" name="LO Number" dataDxfId="511"/>
    <tableColumn id="2" xr3:uid="{78F135DA-0213-417E-88FD-2F76325B6D58}" name="LO Description" dataDxfId="510"/>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 xr:uid="{8F69EEF1-22B4-4163-8A76-0105B5FDEC70}" name="_4003SPS_Assess" displayName="_4003SPS_Assess" ref="C37:H41" totalsRowShown="0" headerRowDxfId="509" dataDxfId="508">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9892EAF8-7C5D-41E6-A727-FB21DB64B28D}" name="Assessment No" dataDxfId="507"/>
    <tableColumn id="2" xr3:uid="{43E55016-0B24-4AE6-8341-2CF6FE45EFE0}" name="Assessment Type" dataDxfId="506"/>
    <tableColumn id="7" xr3:uid="{74FB69C4-57FE-4D4F-92C7-425CCB32340D}" name="Assessment Specific" dataDxfId="505"/>
    <tableColumn id="3" xr3:uid="{F392CA10-65BB-49CE-8FEA-065DB3B1250A}" name="Assessment Description" dataDxfId="504"/>
    <tableColumn id="4" xr3:uid="{63105FFB-71CB-4889-BE3D-BA168F2B1D15}" name="Weighting" dataDxfId="503"/>
    <tableColumn id="5" xr3:uid="{942301B1-78DA-47AC-B487-4A82010FBC22}" name="Due Week" dataDxfId="502"/>
  </tableColumns>
  <tableStyleInfo name="TableStyleMedium3"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 xr:uid="{D89A5C6D-23F5-46A1-94E8-CF627C641E3E}" name="_4003SPS_Weekly" displayName="_4003SPS_Weekly" ref="B70:F94" totalsRowShown="0" headerRowDxfId="501" dataDxfId="50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1345FE91-A274-4410-84E7-94ACC245A1B0}" name="Semester " dataDxfId="499"/>
    <tableColumn id="2" xr3:uid="{D37085D6-4B13-4E18-BF1D-72E1D211C5E2}" name="Week Number" dataDxfId="498"/>
    <tableColumn id="3" xr3:uid="{E63B3791-EF8C-42D0-9D20-9E40C6780395}" name="Weekly Content 1" dataDxfId="497"/>
    <tableColumn id="4" xr3:uid="{B1BA8E95-AF48-472D-8022-4FFD3C39E6FD}" name="Weekly Content 2" dataDxfId="496"/>
    <tableColumn id="5" xr3:uid="{77ED77D2-DF2D-4913-862F-82B54D142645}" name="Weekly Content 3" dataDxfId="495"/>
  </tableColumns>
  <tableStyleInfo name="TableStyleMedium4"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 xr:uid="{13D81E92-9BBD-40B0-B885-F022CB13A68D}" name="_4003SPS_Hours" displayName="_4003SPS_Hours" ref="C18:D24" totalsRowShown="0" headerRowDxfId="494" dataDxfId="493">
  <autoFilter ref="C18:D24" xr:uid="{B71A3569-AA65-4A4E-98A2-885F5C38B46D}">
    <filterColumn colId="0" hiddenButton="1"/>
    <filterColumn colId="1" hiddenButton="1"/>
  </autoFilter>
  <tableColumns count="2">
    <tableColumn id="1" xr3:uid="{A4027C00-55EA-4E91-A17F-FC7D936AA12D}" name="Component" dataDxfId="492"/>
    <tableColumn id="2" xr3:uid="{2B461470-C937-400F-A861-E1EF437460FC}" name="Contact Hours" dataDxfId="491"/>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 xr:uid="{93DE5F36-B6B6-48CA-B033-B6C2A61B46F8}" name="_4003SPS_Mapping" displayName="_4003SPS_Mapping" ref="C45:F66" totalsRowShown="0" headerRowDxfId="490" dataDxfId="489">
  <autoFilter ref="C45:F66" xr:uid="{E0A841BB-B6D5-4048-B5F2-18CF9F502EBA}">
    <filterColumn colId="0" hiddenButton="1"/>
    <filterColumn colId="1" hiddenButton="1"/>
    <filterColumn colId="2" hiddenButton="1"/>
    <filterColumn colId="3" hiddenButton="1"/>
  </autoFilter>
  <tableColumns count="4">
    <tableColumn id="1" xr3:uid="{318F8255-76AC-4F17-ABBB-6A771AD200A7}" name="Assessment No" dataDxfId="488"/>
    <tableColumn id="2" xr3:uid="{01ED9B44-AD4B-499E-8D3C-3B9247E57323}" name="LO Number" dataDxfId="487"/>
    <tableColumn id="3" xr3:uid="{D52384A9-63E3-4ABE-86FB-4619A06E02AF}" name="Graduate Skills Category" dataDxfId="486"/>
    <tableColumn id="4" xr3:uid="{B45DCF04-04F9-4B36-A81D-CEBACC18D2E8}" name="Graduate Skill" dataDxfId="485"/>
  </tableColumns>
  <tableStyleInfo name="TableStyleMedium3"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 xr:uid="{3046BD9A-2B11-4104-9334-CBD68741AB03}" name="_4003SPS_Aims" displayName="_4003SPS_Aims" ref="F6:F8" totalsRowShown="0" headerRowDxfId="484" dataDxfId="483">
  <autoFilter ref="F6:F8" xr:uid="{9552138F-2332-4BC4-A585-0E13162881A5}"/>
  <tableColumns count="1">
    <tableColumn id="1" xr3:uid="{00C11AD8-5667-494A-85B4-23C210D1B918}" name="Aims" dataDxfId="482"/>
  </tableColumns>
  <tableStyleInfo name="TableStyleMedium6"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 xr:uid="{26B305FF-72A4-4559-8E2D-B9A63503D4FA}" name="_4003SPS_Syllabus" displayName="_4003SPS_Syllabus" ref="F10:F13" totalsRowShown="0" headerRowDxfId="481" dataDxfId="480">
  <autoFilter ref="F10:F13" xr:uid="{94F18F67-3F10-4F6E-A953-4FE3399B07F2}"/>
  <tableColumns count="1">
    <tableColumn id="1" xr3:uid="{8917F32D-2D78-4B3C-93BA-03E82057EA4B}" name="Outline Syllabus" dataDxfId="479"/>
  </tableColumns>
  <tableStyleInfo name="TableStyleMedium6"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 xr:uid="{8A8B96ED-8A76-44E9-8A2C-4B9FD261E59C}" name="_4003SPS_Overview" displayName="_4003SPS_Overview" ref="F15:F20" totalsRowShown="0" headerRowDxfId="478" dataDxfId="477">
  <autoFilter ref="F15:F20" xr:uid="{1B2BCD7B-6C15-4B1C-86BC-48FF83D8F225}"/>
  <tableColumns count="1">
    <tableColumn id="1" xr3:uid="{B53F9EDB-3125-4C5C-A219-EFA16F274EFC}" name="Module Overview" dataDxfId="476"/>
  </tableColumns>
  <tableStyleInfo name="TableStyleMedium6"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 xr:uid="{2B219707-18B1-442D-9B23-49B95E064644}" name="_4003SPS_Notes" displayName="_4003SPS_Notes" ref="F22:F33" totalsRowShown="0" headerRowDxfId="475" dataDxfId="474">
  <autoFilter ref="F22:F33" xr:uid="{D5968C0A-6D7E-4221-87EE-78A85A4039B3}"/>
  <tableColumns count="1">
    <tableColumn id="1" xr3:uid="{2E1C0BC3-8EFB-4AA5-A23B-DEAB35C7DEA7}" name="Additional Information/Notes" dataDxfId="473"/>
  </tableColumns>
  <tableStyleInfo name="TableStyleMedium6"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 xr:uid="{E9FA17F3-8510-4713-9EFA-F81B9896C75F}" name="_4004SPS_Meta" displayName="_4004SPS_Meta" ref="C6:D14" totalsRowShown="0" headerRowDxfId="472" dataDxfId="471">
  <autoFilter ref="C6:D14" xr:uid="{CD75D2A7-14B1-4ABD-B64D-6E875F9BC652}">
    <filterColumn colId="0" hiddenButton="1"/>
    <filterColumn colId="1" hiddenButton="1"/>
  </autoFilter>
  <tableColumns count="2">
    <tableColumn id="1" xr3:uid="{644E4444-F68A-4E74-BD5D-8748CD05A7D2}" name="Module Data" dataDxfId="470"/>
    <tableColumn id="2" xr3:uid="{AF6CCCE6-633B-4669-B570-EB4F893B50C4}" name="Details" dataDxfId="469"/>
  </tableColumns>
  <tableStyleInfo name="TableStyleMedium6"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 xr:uid="{A4EE75AE-77CE-4A68-A718-983DED4FF7A1}" name="_4004SPS_LO" displayName="_4004SPS_LO" ref="C28:D33" totalsRowShown="0" headerRowDxfId="468" dataDxfId="467">
  <autoFilter ref="C28:D33" xr:uid="{22316987-6BEB-4FAF-9619-BF9BE9909CFA}">
    <filterColumn colId="0" hiddenButton="1"/>
    <filterColumn colId="1" hiddenButton="1"/>
  </autoFilter>
  <tableColumns count="2">
    <tableColumn id="1" xr3:uid="{589112ED-5C99-4CD7-912A-F216AEC245F3}" name="LO Number" dataDxfId="466"/>
    <tableColumn id="2" xr3:uid="{D42319CA-BEAF-49C8-8EC7-B45F24386E7A}" name="LO Description" dataDxfId="465"/>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 xr:uid="{FCAE2B91-6BD8-4529-8B59-5DB7121B1D24}" name="_4004SPS_Assess" displayName="_4004SPS_Assess" ref="C37:H41" totalsRowShown="0" headerRowDxfId="464" dataDxfId="463">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6FED30EF-9DFC-4FCF-9A98-B1395296BD26}" name="Assessment No" dataDxfId="462"/>
    <tableColumn id="2" xr3:uid="{0C168E40-BC62-40F7-8494-D9D585BBF5DD}" name="Assessment Type" dataDxfId="461"/>
    <tableColumn id="7" xr3:uid="{03042C7C-BE5A-4EDB-B18A-F162688CAFDA}" name="Assessment Specific" dataDxfId="460"/>
    <tableColumn id="3" xr3:uid="{B536E57C-91CB-491F-8850-5E1F4FFB6EC2}" name="Assessment Description" dataDxfId="459"/>
    <tableColumn id="4" xr3:uid="{CFEF4DCA-7026-4AB8-9930-965F672B21EC}" name="Weighting" dataDxfId="458"/>
    <tableColumn id="5" xr3:uid="{268A91DF-58B1-43BF-A340-0E1D33705BAA}" name="Due Week" dataDxfId="457"/>
  </tableColumns>
  <tableStyleInfo name="TableStyleMedium3"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FAFDD563-D76D-4667-B964-69DE19A2F370}" name="_4004SPS_Weekly" displayName="_4004SPS_Weekly" ref="B70:F94" totalsRowShown="0" headerRowDxfId="456" dataDxfId="455">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2EC0DE77-F537-4352-B465-CD91C72B6257}" name="Semester " dataDxfId="454"/>
    <tableColumn id="2" xr3:uid="{916AD303-2708-4E40-8E0C-DE9D347BA8EA}" name="Week Number" dataDxfId="453"/>
    <tableColumn id="3" xr3:uid="{66580F8A-FF82-4503-9EBF-1B44DD45F9F5}" name="Weekly Content 1" dataDxfId="452"/>
    <tableColumn id="4" xr3:uid="{5E6D35EA-634F-45B1-8A96-068CB99E3BA7}" name="Weekly Content 2" dataDxfId="451"/>
    <tableColumn id="5" xr3:uid="{25F8B45E-A68A-40F6-AADD-D3228D0F228B}" name="Weekly Content 3" dataDxfId="450"/>
  </tableColumns>
  <tableStyleInfo name="TableStyleMedium4"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102355DE-CDC7-4C13-A897-B84D0D96A8FC}" name="_4004SPS_Hours" displayName="_4004SPS_Hours" ref="C18:D24" totalsRowShown="0" headerRowDxfId="449" dataDxfId="448">
  <autoFilter ref="C18:D24" xr:uid="{B71A3569-AA65-4A4E-98A2-885F5C38B46D}">
    <filterColumn colId="0" hiddenButton="1"/>
    <filterColumn colId="1" hiddenButton="1"/>
  </autoFilter>
  <tableColumns count="2">
    <tableColumn id="1" xr3:uid="{E6DA5AB3-0374-477C-BB37-91CD5B04A8A7}" name="Component" dataDxfId="447"/>
    <tableColumn id="2" xr3:uid="{25171EA2-F360-4480-9A69-30F0637E5E19}" name="Contact Hours" dataDxfId="446"/>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 xr:uid="{20E05B93-0CDB-4250-BCA8-9C03D039B5AA}" name="_4004SPS_Mapping" displayName="_4004SPS_Mapping" ref="C45:F66" totalsRowShown="0" headerRowDxfId="445" dataDxfId="444">
  <autoFilter ref="C45:F66" xr:uid="{E0A841BB-B6D5-4048-B5F2-18CF9F502EBA}">
    <filterColumn colId="0" hiddenButton="1"/>
    <filterColumn colId="1" hiddenButton="1"/>
    <filterColumn colId="2" hiddenButton="1"/>
    <filterColumn colId="3" hiddenButton="1"/>
  </autoFilter>
  <tableColumns count="4">
    <tableColumn id="1" xr3:uid="{5D5BD11A-55EF-4A54-875D-6C3259B55C2B}" name="Assessment No" dataDxfId="443"/>
    <tableColumn id="2" xr3:uid="{220CCF7F-D01D-41B9-83FA-AB3772B56C47}" name="LO Number" dataDxfId="442"/>
    <tableColumn id="3" xr3:uid="{35876AFA-8C5D-4EB6-A40B-8013521A5A47}" name="Graduate Skills Category" dataDxfId="441"/>
    <tableColumn id="4" xr3:uid="{8CC8B0ED-B11D-43C6-AB11-C69764FE383C}" name="Graduate Skill" dataDxfId="440"/>
  </tableColumns>
  <tableStyleInfo name="TableStyleMedium3"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 xr:uid="{AD421795-C657-4B23-85A2-74B0174B165C}" name="_4004SPS_Aims" displayName="_4004SPS_Aims" ref="F6:F8" totalsRowShown="0" headerRowDxfId="439" dataDxfId="438">
  <autoFilter ref="F6:F8" xr:uid="{9552138F-2332-4BC4-A585-0E13162881A5}"/>
  <tableColumns count="1">
    <tableColumn id="1" xr3:uid="{17C9A3A3-D0C1-421C-8D52-32617D054C2E}" name="Aims" dataDxfId="437"/>
  </tableColumns>
  <tableStyleInfo name="TableStyleMedium6"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1" xr:uid="{4C708692-CFFF-4D84-88A9-BCE4B09138E0}" name="_4004SPS_Syllabus" displayName="_4004SPS_Syllabus" ref="F10:F13" totalsRowShown="0" headerRowDxfId="436" dataDxfId="435">
  <autoFilter ref="F10:F13" xr:uid="{94F18F67-3F10-4F6E-A953-4FE3399B07F2}"/>
  <tableColumns count="1">
    <tableColumn id="1" xr3:uid="{D7FF23A0-D568-4D96-9868-A6319DCE887A}" name="Outline Syllabus" dataDxfId="434"/>
  </tableColumns>
  <tableStyleInfo name="TableStyleMedium6"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2" xr:uid="{54CADD0E-07B9-4D59-8E61-01F39F116463}" name="_4004SPS_Overview" displayName="_4004SPS_Overview" ref="F15:F20" totalsRowShown="0" headerRowDxfId="433" dataDxfId="432">
  <autoFilter ref="F15:F20" xr:uid="{1B2BCD7B-6C15-4B1C-86BC-48FF83D8F225}"/>
  <tableColumns count="1">
    <tableColumn id="1" xr3:uid="{E558D902-00D8-4FEB-8431-38F38D3FD8C5}" name="Module Overview" dataDxfId="431"/>
  </tableColumns>
  <tableStyleInfo name="TableStyleMedium6"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3" xr:uid="{AF1F5DED-CF26-4C92-A936-AD81E729AA08}" name="_4004SPS_Notes" displayName="_4004SPS_Notes" ref="F22:F33" totalsRowShown="0" headerRowDxfId="430" dataDxfId="429">
  <autoFilter ref="F22:F33" xr:uid="{D5968C0A-6D7E-4221-87EE-78A85A4039B3}"/>
  <tableColumns count="1">
    <tableColumn id="1" xr3:uid="{C6EF2F48-EFDC-40BF-8A10-F2C80BC78705}" name="Additional Information/Notes" dataDxfId="428"/>
  </tableColumns>
  <tableStyleInfo name="TableStyleMedium6"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4" xr:uid="{6C1815BC-3D96-4CE2-A3C0-E524ED84C584}" name="_4006SPS_Meta" displayName="_4006SPS_Meta" ref="C6:D14" totalsRowShown="0" headerRowDxfId="427" dataDxfId="426">
  <autoFilter ref="C6:D14" xr:uid="{CD75D2A7-14B1-4ABD-B64D-6E875F9BC652}">
    <filterColumn colId="0" hiddenButton="1"/>
    <filterColumn colId="1" hiddenButton="1"/>
  </autoFilter>
  <tableColumns count="2">
    <tableColumn id="1" xr3:uid="{5D38FCD1-7A3F-4025-AC69-E6A90C68A79E}" name="Module Data" dataDxfId="425"/>
    <tableColumn id="2" xr3:uid="{ACE861FD-0C1D-4D19-A0A8-AC83427FA81A}" name="Details" dataDxfId="424"/>
  </tableColumns>
  <tableStyleInfo name="TableStyleMedium6"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5" xr:uid="{D5D2633F-A72A-4EBD-BB0D-2D2560E496A6}" name="_4006SPS_LO" displayName="_4006SPS_LO" ref="C28:D33" totalsRowShown="0" headerRowDxfId="423" dataDxfId="422">
  <autoFilter ref="C28:D33" xr:uid="{22316987-6BEB-4FAF-9619-BF9BE9909CFA}">
    <filterColumn colId="0" hiddenButton="1"/>
    <filterColumn colId="1" hiddenButton="1"/>
  </autoFilter>
  <tableColumns count="2">
    <tableColumn id="1" xr3:uid="{92FDE3DF-EAC0-4CA6-A5B4-E15BAAC4A01D}" name="LO Number" dataDxfId="421"/>
    <tableColumn id="2" xr3:uid="{A384CFCB-55B0-46B7-AF9A-FAAC6022096A}" name="LO Description" dataDxfId="420"/>
  </tableColumns>
  <tableStyleInfo name="TableStyleMedium2"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6" xr:uid="{F820147B-082B-4FA1-97BA-0F1A0D69376D}" name="_4006SPS_Assess" displayName="_4006SPS_Assess" ref="C37:H41" totalsRowShown="0" headerRowDxfId="419" dataDxfId="418">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2063B804-9290-4363-A24F-BA34F88A89EF}" name="Assessment No" dataDxfId="417"/>
    <tableColumn id="2" xr3:uid="{390EF809-FA62-405F-B84C-B2AD571CEBAA}" name="Assessment Type" dataDxfId="416"/>
    <tableColumn id="7" xr3:uid="{2B1618E6-AA98-4A15-AE0C-79993F1BAFB7}" name="Assessment Specific" dataDxfId="415"/>
    <tableColumn id="3" xr3:uid="{138C3352-0967-40A6-A5BE-4B32DEC01ACB}" name="Assessment Description" dataDxfId="414"/>
    <tableColumn id="4" xr3:uid="{F4B4B6BF-3460-42E3-849C-1BBE242E83C3}" name="Weighting" dataDxfId="413"/>
    <tableColumn id="5" xr3:uid="{E52307F9-F56A-42FC-9A76-6A630F2C5B71}" name="Due Week" dataDxfId="412"/>
  </tableColumns>
  <tableStyleInfo name="TableStyleMedium3"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7" xr:uid="{036DF56C-F5DF-42FA-9C3E-466BEB6A9B25}" name="_4006SPS_Weekly" displayName="_4006SPS_Weekly" ref="B70:F94" totalsRowShown="0" headerRowDxfId="411" dataDxfId="41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A5D23D0B-4E1E-44F9-A154-416BAE9F0E6A}" name="Semester " dataDxfId="409"/>
    <tableColumn id="2" xr3:uid="{1B7B234D-0DD9-4913-9C62-18CC4E0FD5D6}" name="Week Number" dataDxfId="408"/>
    <tableColumn id="3" xr3:uid="{FDA6287D-7D09-41DC-96F1-E9BCD4B11D2E}" name="Weekly Content 1" dataDxfId="407"/>
    <tableColumn id="4" xr3:uid="{C104D628-2E09-432B-BC7A-B7E29838D1BD}" name="Weekly Content 2" dataDxfId="406"/>
    <tableColumn id="5" xr3:uid="{6CD950CC-83A5-4FD3-93FC-B284F6F6350E}" name="Weekly Content 3" dataDxfId="405"/>
  </tableColumns>
  <tableStyleInfo name="TableStyleMedium4"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8" xr:uid="{92B2FE4A-AD2A-4354-81FF-92DECA27A716}" name="_4006SPS_Hours" displayName="_4006SPS_Hours" ref="C18:D24" totalsRowShown="0" headerRowDxfId="404" dataDxfId="403">
  <autoFilter ref="C18:D24" xr:uid="{B71A3569-AA65-4A4E-98A2-885F5C38B46D}">
    <filterColumn colId="0" hiddenButton="1"/>
    <filterColumn colId="1" hiddenButton="1"/>
  </autoFilter>
  <tableColumns count="2">
    <tableColumn id="1" xr3:uid="{27F817B7-6395-4976-9120-60D5C9775BA5}" name="Component" dataDxfId="402"/>
    <tableColumn id="2" xr3:uid="{D9B68E50-AFDD-4B94-80F2-BAB157C2FF40}" name="Contact Hours" dataDxfId="401"/>
  </tableColumns>
  <tableStyleInfo name="TableStyleMedium2"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9" xr:uid="{BACD4F23-19CD-490A-863B-D357A075F62D}" name="_4006SPS_Mapping" displayName="_4006SPS_Mapping" ref="C45:F66" totalsRowShown="0" headerRowDxfId="400" dataDxfId="399">
  <autoFilter ref="C45:F66" xr:uid="{E0A841BB-B6D5-4048-B5F2-18CF9F502EBA}">
    <filterColumn colId="0" hiddenButton="1"/>
    <filterColumn colId="1" hiddenButton="1"/>
    <filterColumn colId="2" hiddenButton="1"/>
    <filterColumn colId="3" hiddenButton="1"/>
  </autoFilter>
  <tableColumns count="4">
    <tableColumn id="1" xr3:uid="{4320F17F-7532-4CD6-9873-A1CBAAFA9F7C}" name="Assessment No" dataDxfId="398"/>
    <tableColumn id="2" xr3:uid="{CF29F699-8C1A-4AC4-A563-FCBB128AC8F3}" name="LO Number" dataDxfId="397"/>
    <tableColumn id="3" xr3:uid="{B1082C18-E8C1-42F9-B74D-584EBA4A0A39}" name="Graduate Skills Category" dataDxfId="396"/>
    <tableColumn id="4" xr3:uid="{BD6D6488-ABFD-45B6-B06F-748690280986}" name="Graduate Skill" dataDxfId="395"/>
  </tableColumns>
  <tableStyleInfo name="TableStyleMedium3"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0" xr:uid="{0BD2BE49-9025-454E-A9D0-BE88D8AF0F0B}" name="_4006SPS_Aims" displayName="_4006SPS_Aims" ref="F6:F8" totalsRowShown="0" headerRowDxfId="394" dataDxfId="393">
  <autoFilter ref="F6:F8" xr:uid="{9552138F-2332-4BC4-A585-0E13162881A5}"/>
  <tableColumns count="1">
    <tableColumn id="1" xr3:uid="{E2B338AF-53C9-469A-B45D-DF4BE4CCBDD0}" name="Aims" dataDxfId="392"/>
  </tableColumns>
  <tableStyleInfo name="TableStyleMedium6"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1" xr:uid="{963A62B5-6BD6-4FF7-AC53-AE2CCA7AF0AD}" name="_4006SPS_Syllabus" displayName="_4006SPS_Syllabus" ref="F10:F13" totalsRowShown="0" headerRowDxfId="391" dataDxfId="390">
  <autoFilter ref="F10:F13" xr:uid="{94F18F67-3F10-4F6E-A953-4FE3399B07F2}"/>
  <tableColumns count="1">
    <tableColumn id="1" xr3:uid="{0B585185-EFA9-44AB-A953-91DF09E1C8F4}" name="Outline Syllabus" dataDxfId="389"/>
  </tableColumns>
  <tableStyleInfo name="TableStyleMedium6"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2" xr:uid="{49D78F64-BBE3-4F16-BBE6-34802F612A15}" name="_4006SPS_Overview" displayName="_4006SPS_Overview" ref="F15:F20" totalsRowShown="0" headerRowDxfId="388" dataDxfId="387">
  <autoFilter ref="F15:F20" xr:uid="{1B2BCD7B-6C15-4B1C-86BC-48FF83D8F225}"/>
  <tableColumns count="1">
    <tableColumn id="1" xr3:uid="{8DA5C005-FC9F-4CBE-A281-B2B92A53526A}" name="Module Overview" dataDxfId="386"/>
  </tableColumns>
  <tableStyleInfo name="TableStyleMedium6"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3" xr:uid="{3BE2516B-A7EA-432E-92EE-6643A09A6407}" name="_4006SPS_Notes" displayName="_4006SPS_Notes" ref="F22:F33" totalsRowShown="0" headerRowDxfId="385" dataDxfId="384">
  <autoFilter ref="F22:F33" xr:uid="{D5968C0A-6D7E-4221-87EE-78A85A4039B3}"/>
  <tableColumns count="1">
    <tableColumn id="1" xr3:uid="{D67854B5-D179-408B-A477-7F6E3033D84B}" name="Additional Information/Notes" dataDxfId="383"/>
  </tableColumns>
  <tableStyleInfo name="TableStyleMedium6"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4" xr:uid="{D3D9C059-9C0F-4D85-8B52-4BE4E2F3A820}" name="_5001SPS_Meta" displayName="_5001SPS_Meta" ref="C6:D14" totalsRowShown="0" headerRowDxfId="382" dataDxfId="381">
  <autoFilter ref="C6:D14" xr:uid="{CD75D2A7-14B1-4ABD-B64D-6E875F9BC652}">
    <filterColumn colId="0" hiddenButton="1"/>
    <filterColumn colId="1" hiddenButton="1"/>
  </autoFilter>
  <tableColumns count="2">
    <tableColumn id="1" xr3:uid="{294825A0-B000-4273-A73D-4BDF1B0EEF00}" name="Module Data" dataDxfId="380"/>
    <tableColumn id="2" xr3:uid="{BFFFACD7-D0A7-40F6-BF15-469686406C3F}" name="Details" dataDxfId="379"/>
  </tableColumns>
  <tableStyleInfo name="TableStyleMedium6"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5" xr:uid="{DD0C48BE-F6F8-4E15-8EEF-3079EE79AB53}" name="_5001SPS_LO" displayName="_5001SPS_LO" ref="C28:D33" totalsRowShown="0" headerRowDxfId="378" dataDxfId="377">
  <autoFilter ref="C28:D33" xr:uid="{22316987-6BEB-4FAF-9619-BF9BE9909CFA}">
    <filterColumn colId="0" hiddenButton="1"/>
    <filterColumn colId="1" hiddenButton="1"/>
  </autoFilter>
  <tableColumns count="2">
    <tableColumn id="1" xr3:uid="{EB0958A2-9E66-44D9-A8DF-610B48FE0AC6}" name="LO Number" dataDxfId="376"/>
    <tableColumn id="2" xr3:uid="{0F368925-4523-471B-A68D-184E05AABCF7}" name="LO Description" dataDxfId="375"/>
  </tableColumns>
  <tableStyleInfo name="TableStyleMedium2"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6" xr:uid="{FBE7F226-F525-4AEE-9051-8E8C19804E49}" name="_5001SPS_Assess" displayName="_5001SPS_Assess" ref="C37:H41" totalsRowShown="0" headerRowDxfId="374" dataDxfId="373">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1623195A-EACB-49C4-931F-4FDDF41A020A}" name="Assessment No" dataDxfId="372"/>
    <tableColumn id="2" xr3:uid="{1FA5C130-1C0E-45D6-8735-EA79A0166F2D}" name="Assessment Type" dataDxfId="371"/>
    <tableColumn id="7" xr3:uid="{34024CC2-5A32-45FD-95BD-978953E7F41B}" name="Assessment Specific" dataDxfId="370"/>
    <tableColumn id="3" xr3:uid="{5DA2B338-CCFE-4568-ACFD-CC8F0B883170}" name="Assessment Description" dataDxfId="369"/>
    <tableColumn id="4" xr3:uid="{597ADF95-B9B9-411B-8079-7F615E89550C}" name="Weighting" dataDxfId="368"/>
    <tableColumn id="5" xr3:uid="{A0D1FD19-8DF8-4595-ADE8-675937B4A7F4}" name="Due Week" dataDxfId="367"/>
  </tableColumns>
  <tableStyleInfo name="TableStyleMedium3"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7" xr:uid="{7F94D071-7B51-4AEF-B4B4-033ED66B10D3}" name="_5001SPS_Weekly" displayName="_5001SPS_Weekly" ref="B70:F94" totalsRowShown="0" headerRowDxfId="366" dataDxfId="365">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57BA6DA9-286D-48FA-A29C-33DB01958BBC}" name="Semester " dataDxfId="364"/>
    <tableColumn id="2" xr3:uid="{633971FF-9E7F-4A44-865E-D409908313D1}" name="Week Number" dataDxfId="363"/>
    <tableColumn id="3" xr3:uid="{77413702-BFB9-4DEA-BF99-C2A188E22509}" name="Weekly Content 1" dataDxfId="362"/>
    <tableColumn id="4" xr3:uid="{DD1B7D42-32B3-4CC2-9308-AD66B052F8DB}" name="Weekly Content 2" dataDxfId="361"/>
    <tableColumn id="5" xr3:uid="{504E9A1A-C43C-49D3-BB42-E4DD5A49EFCE}" name="Weekly Content 3" dataDxfId="360"/>
  </tableColumns>
  <tableStyleInfo name="TableStyleMedium4"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8" xr:uid="{E1658A09-6752-4A08-B64F-A2B57CA717E6}" name="_5001SPS_Hours" displayName="_5001SPS_Hours" ref="C18:D24" totalsRowShown="0" headerRowDxfId="359" dataDxfId="358">
  <autoFilter ref="C18:D24" xr:uid="{B71A3569-AA65-4A4E-98A2-885F5C38B46D}">
    <filterColumn colId="0" hiddenButton="1"/>
    <filterColumn colId="1" hiddenButton="1"/>
  </autoFilter>
  <tableColumns count="2">
    <tableColumn id="1" xr3:uid="{5D165BDB-09FC-4AAA-91DB-E67A247DFF72}" name="Component" dataDxfId="357"/>
    <tableColumn id="2" xr3:uid="{E28A3B10-E692-47D9-A3AD-18128B6A4794}" name="Contact Hours" dataDxfId="356"/>
  </tableColumns>
  <tableStyleInfo name="TableStyleMedium2"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9" xr:uid="{374EC906-9B9F-48BF-8818-9671FFE04486}" name="_5001SPS_Mapping" displayName="_5001SPS_Mapping" ref="C45:F66" totalsRowShown="0" headerRowDxfId="355" dataDxfId="354">
  <autoFilter ref="C45:F66" xr:uid="{E0A841BB-B6D5-4048-B5F2-18CF9F502EBA}">
    <filterColumn colId="0" hiddenButton="1"/>
    <filterColumn colId="1" hiddenButton="1"/>
    <filterColumn colId="2" hiddenButton="1"/>
    <filterColumn colId="3" hiddenButton="1"/>
  </autoFilter>
  <tableColumns count="4">
    <tableColumn id="1" xr3:uid="{BF66E6C2-D388-4188-90AD-9408AE3ED7DA}" name="Assessment No" dataDxfId="353"/>
    <tableColumn id="2" xr3:uid="{A7D6827C-7020-4950-BD3E-00625169C68E}" name="LO Number" dataDxfId="352"/>
    <tableColumn id="3" xr3:uid="{1F68EB03-6C47-4955-9791-229A42D1A45A}" name="Graduate Skills Category" dataDxfId="351"/>
    <tableColumn id="4" xr3:uid="{1FD832D4-8E97-4B72-9B09-606CF407E6C7}" name="Graduate Skill" dataDxfId="350"/>
  </tableColumns>
  <tableStyleInfo name="TableStyleMedium3"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0" xr:uid="{59817139-EB2F-4EEA-A5A5-14E06D17B2BD}" name="_5001SPS_Aims" displayName="_5001SPS_Aims" ref="F6:F8" totalsRowShown="0" headerRowDxfId="349" dataDxfId="348">
  <autoFilter ref="F6:F8" xr:uid="{9552138F-2332-4BC4-A585-0E13162881A5}"/>
  <tableColumns count="1">
    <tableColumn id="1" xr3:uid="{2EE5D059-BB6B-4406-AF24-CB56C5C24856}" name="Aims" dataDxfId="347"/>
  </tableColumns>
  <tableStyleInfo name="TableStyleMedium6"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1" xr:uid="{32FF468F-C8D3-4B79-9797-F22B3B7B3D03}" name="_5001SPS_Syllabus" displayName="_5001SPS_Syllabus" ref="F10:F13" totalsRowShown="0" headerRowDxfId="346" dataDxfId="345">
  <autoFilter ref="F10:F13" xr:uid="{94F18F67-3F10-4F6E-A953-4FE3399B07F2}"/>
  <tableColumns count="1">
    <tableColumn id="1" xr3:uid="{CF8ACDF4-0E48-466C-AF99-EC810B28E6AF}" name="Outline Syllabus" dataDxfId="344"/>
  </tableColumns>
  <tableStyleInfo name="TableStyleMedium6"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2" xr:uid="{38871805-3392-4A3F-AFF8-B6F3E2CBA152}" name="_5001SPS_Overview" displayName="_5001SPS_Overview" ref="F15:F20" totalsRowShown="0" headerRowDxfId="343" dataDxfId="342">
  <autoFilter ref="F15:F20" xr:uid="{1B2BCD7B-6C15-4B1C-86BC-48FF83D8F225}"/>
  <tableColumns count="1">
    <tableColumn id="1" xr3:uid="{C16E0E90-DC44-4185-AB55-C39332B32B2D}" name="Module Overview" dataDxfId="341"/>
  </tableColumns>
  <tableStyleInfo name="TableStyleMedium6"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3" xr:uid="{641172B8-C240-400A-88D4-1BDB4D30A1C9}" name="_5001SPS_Notes" displayName="_5001SPS_Notes" ref="F22:F33" totalsRowShown="0" headerRowDxfId="340" dataDxfId="339">
  <autoFilter ref="F22:F33" xr:uid="{D5968C0A-6D7E-4221-87EE-78A85A4039B3}"/>
  <tableColumns count="1">
    <tableColumn id="1" xr3:uid="{719B4DA9-E67A-4094-A58E-921C645096BE}" name="Additional Information/Notes" dataDxfId="338"/>
  </tableColumns>
  <tableStyleInfo name="TableStyleMedium6"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4" xr:uid="{C86E48D9-F82B-402B-A44C-BC8F8F7303D0}" name="_5014SPS_Meta" displayName="_5014SPS_Meta" ref="C6:D14" totalsRowShown="0" headerRowDxfId="337" dataDxfId="336">
  <autoFilter ref="C6:D14" xr:uid="{CD75D2A7-14B1-4ABD-B64D-6E875F9BC652}">
    <filterColumn colId="0" hiddenButton="1"/>
    <filterColumn colId="1" hiddenButton="1"/>
  </autoFilter>
  <tableColumns count="2">
    <tableColumn id="1" xr3:uid="{7833E623-ED87-40CE-93D2-B78B6A7D7E94}" name="Module Data" dataDxfId="335"/>
    <tableColumn id="2" xr3:uid="{0659839B-A1DA-4204-9267-1A4CC295A6EF}" name="Details" dataDxfId="334"/>
  </tableColumns>
  <tableStyleInfo name="TableStyleMedium6"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5" xr:uid="{E32A9936-076B-4BC2-B13B-069BFBBB1804}" name="_5014SPS_LO" displayName="_5014SPS_LO" ref="C28:D33" totalsRowShown="0" headerRowDxfId="333" dataDxfId="332">
  <autoFilter ref="C28:D33" xr:uid="{22316987-6BEB-4FAF-9619-BF9BE9909CFA}">
    <filterColumn colId="0" hiddenButton="1"/>
    <filterColumn colId="1" hiddenButton="1"/>
  </autoFilter>
  <tableColumns count="2">
    <tableColumn id="1" xr3:uid="{FEDC5FCD-23F6-4532-A565-C979DFEE6452}" name="LO Number" dataDxfId="331"/>
    <tableColumn id="2" xr3:uid="{1F64A8B9-B360-490C-BD12-64A29F9CF82F}" name="LO Description" dataDxfId="330"/>
  </tableColumns>
  <tableStyleInfo name="TableStyleMedium2"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6" xr:uid="{A199E17E-33E1-438A-8DFD-E5E7B9D9B6AD}" name="_5014SPS_Assess" displayName="_5014SPS_Assess" ref="C37:H41" totalsRowShown="0" headerRowDxfId="329" dataDxfId="328">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9257FCD3-320E-4A09-882E-104641C1FD58}" name="Assessment No" dataDxfId="327"/>
    <tableColumn id="2" xr3:uid="{0FE47FA8-B999-4405-B49D-E106E82A7509}" name="Assessment Type" dataDxfId="326"/>
    <tableColumn id="7" xr3:uid="{61D6D411-EDDD-4962-A754-A4B5EEB96263}" name="Assessment Specific" dataDxfId="325"/>
    <tableColumn id="3" xr3:uid="{1A288D47-FFDF-4BA0-94F1-9B647BE04DCC}" name="Assessment Description" dataDxfId="324"/>
    <tableColumn id="4" xr3:uid="{ED08857B-A938-490D-9B30-962DE64252AB}" name="Weighting" dataDxfId="323"/>
    <tableColumn id="5" xr3:uid="{581E13F4-4545-426B-8995-08E09758F5CB}" name="Due Week" dataDxfId="322"/>
  </tableColumns>
  <tableStyleInfo name="TableStyleMedium3"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7" xr:uid="{CBF4AD49-2241-4DE3-B6F1-0E1C2F3DE17D}" name="_5014SPS_Weekly" displayName="_5014SPS_Weekly" ref="B70:F94" totalsRowShown="0" headerRowDxfId="321" dataDxfId="32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D1DA16D2-1087-49A1-9BB0-8496A2968E4A}" name="Semester " dataDxfId="319"/>
    <tableColumn id="2" xr3:uid="{BED16F5A-D8C5-4300-A763-C0065F48E598}" name="Week Number" dataDxfId="318"/>
    <tableColumn id="3" xr3:uid="{1C3278D5-9F89-43C0-84A5-ACE6AE3BF8C8}" name="Weekly Content 1" dataDxfId="317"/>
    <tableColumn id="4" xr3:uid="{8ADEF497-35DC-4945-B42C-DCA4C8DB67C9}" name="Weekly Content 2" dataDxfId="316"/>
    <tableColumn id="5" xr3:uid="{E6B69E39-A78E-4994-8E8F-40C76F0002A1}" name="Weekly Content 3" dataDxfId="315"/>
  </tableColumns>
  <tableStyleInfo name="TableStyleMedium4"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8" xr:uid="{2E7FD2E5-9819-4DDA-9192-9962A61B1C4E}" name="_5014SPS_Hours" displayName="_5014SPS_Hours" ref="C18:D24" totalsRowShown="0" headerRowDxfId="314" dataDxfId="313">
  <autoFilter ref="C18:D24" xr:uid="{B71A3569-AA65-4A4E-98A2-885F5C38B46D}">
    <filterColumn colId="0" hiddenButton="1"/>
    <filterColumn colId="1" hiddenButton="1"/>
  </autoFilter>
  <tableColumns count="2">
    <tableColumn id="1" xr3:uid="{2FFE33E1-E3D8-499A-B70C-70494FCFC11F}" name="Component" dataDxfId="312"/>
    <tableColumn id="2" xr3:uid="{D8D74B7C-DED1-4107-9D9B-A69709137AF1}" name="Contact Hours" dataDxfId="311"/>
  </tableColumns>
  <tableStyleInfo name="TableStyleMedium2"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9" xr:uid="{568775CE-CA9A-402A-A796-7C84FDD56B4E}" name="_5014SPS_Mapping" displayName="_5014SPS_Mapping" ref="C45:F66" totalsRowShown="0" headerRowDxfId="310" dataDxfId="309">
  <autoFilter ref="C45:F66" xr:uid="{E0A841BB-B6D5-4048-B5F2-18CF9F502EBA}">
    <filterColumn colId="0" hiddenButton="1"/>
    <filterColumn colId="1" hiddenButton="1"/>
    <filterColumn colId="2" hiddenButton="1"/>
    <filterColumn colId="3" hiddenButton="1"/>
  </autoFilter>
  <tableColumns count="4">
    <tableColumn id="1" xr3:uid="{1EFBBED1-A4EE-4381-813E-E578917BA7ED}" name="Assessment No" dataDxfId="308"/>
    <tableColumn id="2" xr3:uid="{3DE98FE2-3138-46D6-BD99-F2FB47042775}" name="LO Number" dataDxfId="307"/>
    <tableColumn id="3" xr3:uid="{810A03D8-C153-4962-9C3C-D761D27C4A3F}" name="Graduate Skills Category" dataDxfId="306"/>
    <tableColumn id="4" xr3:uid="{C3B0D1F6-1274-4ED1-9705-01F40BB1E2F2}" name="Graduate Skill" dataDxfId="305"/>
  </tableColumns>
  <tableStyleInfo name="TableStyleMedium3"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0" xr:uid="{DF6D575A-6B50-40E0-9195-2B0B7EBAA31D}" name="_5014SPS_Aims" displayName="_5014SPS_Aims" ref="F6:F8" totalsRowShown="0" headerRowDxfId="304" dataDxfId="303">
  <autoFilter ref="F6:F8" xr:uid="{9552138F-2332-4BC4-A585-0E13162881A5}"/>
  <tableColumns count="1">
    <tableColumn id="1" xr3:uid="{C445F0C7-61B3-46CB-A56F-67D79AE54D5C}" name="Aims" dataDxfId="302"/>
  </tableColumns>
  <tableStyleInfo name="TableStyleMedium6"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1" xr:uid="{4737D9A0-1182-4F4B-8A02-69208479CE71}" name="_5014SPS_Syllabus" displayName="_5014SPS_Syllabus" ref="F10:F13" totalsRowShown="0" headerRowDxfId="301" dataDxfId="300">
  <autoFilter ref="F10:F13" xr:uid="{94F18F67-3F10-4F6E-A953-4FE3399B07F2}"/>
  <tableColumns count="1">
    <tableColumn id="1" xr3:uid="{CAABEA9D-6FBF-459A-AD97-585A17318A01}" name="Outline Syllabus" dataDxfId="299"/>
  </tableColumns>
  <tableStyleInfo name="TableStyleMedium6"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2" xr:uid="{235D63BF-CDCE-4B35-AC53-8391B5EC5408}" name="_5014SPS_Overview" displayName="_5014SPS_Overview" ref="F15:F20" totalsRowShown="0" headerRowDxfId="298" dataDxfId="297">
  <autoFilter ref="F15:F20" xr:uid="{1B2BCD7B-6C15-4B1C-86BC-48FF83D8F225}"/>
  <tableColumns count="1">
    <tableColumn id="1" xr3:uid="{A14625FC-0807-41B3-BEF3-09E7E979EFED}" name="Module Overview" dataDxfId="296"/>
  </tableColumns>
  <tableStyleInfo name="TableStyleMedium6"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3" xr:uid="{69E4EB89-A002-43BB-BD42-A6CBE09A1C1C}" name="_5014SPS_Notes" displayName="_5014SPS_Notes" ref="F22:F33" totalsRowShown="0" headerRowDxfId="295" dataDxfId="294">
  <autoFilter ref="F22:F33" xr:uid="{D5968C0A-6D7E-4221-87EE-78A85A4039B3}"/>
  <tableColumns count="1">
    <tableColumn id="1" xr3:uid="{0F69CA79-BA33-4E25-8FA9-233F7FC95036}" name="Additional Information/Notes" dataDxfId="293"/>
  </tableColumns>
  <tableStyleInfo name="TableStyleMedium6"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4" xr:uid="{17E94F5D-87D3-4DF8-986C-B28A1AFAD773}" name="_5015SPS_Meta" displayName="_5015SPS_Meta" ref="C6:D14" totalsRowShown="0" headerRowDxfId="292" dataDxfId="291">
  <autoFilter ref="C6:D14" xr:uid="{CD75D2A7-14B1-4ABD-B64D-6E875F9BC652}">
    <filterColumn colId="0" hiddenButton="1"/>
    <filterColumn colId="1" hiddenButton="1"/>
  </autoFilter>
  <tableColumns count="2">
    <tableColumn id="1" xr3:uid="{DC5E8FB2-F1EF-4C76-ADAD-8DF1D4236058}" name="Module Data" dataDxfId="290"/>
    <tableColumn id="2" xr3:uid="{3CEC4644-C90E-484A-BB04-BC7E2522484B}" name="Details" dataDxfId="289"/>
  </tableColumns>
  <tableStyleInfo name="TableStyleMedium6" showFirstColumn="0" showLastColumn="0" showRowStripes="1"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5" xr:uid="{9E236EF1-A2F6-44EA-9CD3-686F2C6247E0}" name="_5015SPS_LO" displayName="_5015SPS_LO" ref="C28:D33" totalsRowShown="0" headerRowDxfId="288" dataDxfId="287">
  <autoFilter ref="C28:D33" xr:uid="{22316987-6BEB-4FAF-9619-BF9BE9909CFA}">
    <filterColumn colId="0" hiddenButton="1"/>
    <filterColumn colId="1" hiddenButton="1"/>
  </autoFilter>
  <tableColumns count="2">
    <tableColumn id="1" xr3:uid="{96E1C0A4-F310-4104-877A-16C95A9DF8F8}" name="LO Number" dataDxfId="286"/>
    <tableColumn id="2" xr3:uid="{5193B932-1BB4-4665-BB60-1094CB27D2FB}" name="LO Description" dataDxfId="285"/>
  </tableColumns>
  <tableStyleInfo name="TableStyleMedium2" showFirstColumn="0" showLastColumn="0" showRowStripes="1"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6" xr:uid="{8FFE59E6-A839-4DF2-B28B-BA390FAAC7FF}" name="_5015SPS_Assess" displayName="_5015SPS_Assess" ref="C37:H41" totalsRowShown="0" headerRowDxfId="284" dataDxfId="283">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0154566D-F16C-483F-9906-53214A1163EC}" name="Assessment No" dataDxfId="282"/>
    <tableColumn id="2" xr3:uid="{F6CC8F23-24C9-49E1-A7E1-F0C42C5E4062}" name="Assessment Type" dataDxfId="281"/>
    <tableColumn id="7" xr3:uid="{23445359-B102-481A-9626-644EC1147971}" name="Assessment Specific" dataDxfId="280"/>
    <tableColumn id="3" xr3:uid="{09F68760-DB1D-47DA-9C3B-991E85819122}" name="Assessment Description" dataDxfId="279"/>
    <tableColumn id="4" xr3:uid="{9C4EFAF0-0549-4906-AB40-C8046612A4D0}" name="Weighting" dataDxfId="278"/>
    <tableColumn id="5" xr3:uid="{6867F2EF-8B96-4C7F-A3F0-4AD115D6B611}" name="Due Week" dataDxfId="277"/>
  </tableColumns>
  <tableStyleInfo name="TableStyleMedium3" showFirstColumn="0" showLastColumn="0" showRowStripes="1"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7" xr:uid="{563A272D-E3F6-4799-9E67-4B36BC407350}" name="_5015SPS_Weekly" displayName="_5015SPS_Weekly" ref="B70:F94" totalsRowShown="0" headerRowDxfId="276" dataDxfId="275">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DB0408B6-1C06-4309-B9B2-E387A6531EBC}" name="Semester " dataDxfId="274"/>
    <tableColumn id="2" xr3:uid="{3DC0D0B8-ED93-4FAA-ACD1-6A257B8D7D8B}" name="Week Number" dataDxfId="273"/>
    <tableColumn id="3" xr3:uid="{396A1CD9-0EA8-4576-AC19-41A37C40C78C}" name="Weekly Content 1" dataDxfId="272"/>
    <tableColumn id="4" xr3:uid="{27E6FFD2-4BB2-4380-B643-929F8059E10C}" name="Weekly Content 2" dataDxfId="271"/>
    <tableColumn id="5" xr3:uid="{5D410880-EC3B-476E-B727-61773B3F1720}" name="Weekly Content 3" dataDxfId="270"/>
  </tableColumns>
  <tableStyleInfo name="TableStyleMedium4" showFirstColumn="0" showLastColumn="0" showRowStripes="1"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8" xr:uid="{2034533F-3C96-4BBB-B91F-96B2BF107FF6}" name="_5015SPS_Hours" displayName="_5015SPS_Hours" ref="C18:D24" totalsRowShown="0" headerRowDxfId="269" dataDxfId="268">
  <autoFilter ref="C18:D24" xr:uid="{B71A3569-AA65-4A4E-98A2-885F5C38B46D}">
    <filterColumn colId="0" hiddenButton="1"/>
    <filterColumn colId="1" hiddenButton="1"/>
  </autoFilter>
  <tableColumns count="2">
    <tableColumn id="1" xr3:uid="{50ADF208-83C1-48D5-9F5C-65E697F266B7}" name="Component" dataDxfId="267"/>
    <tableColumn id="2" xr3:uid="{1EADC3A3-1557-4323-A40A-C84AEA0F188A}" name="Contact Hours" dataDxfId="266"/>
  </tableColumns>
  <tableStyleInfo name="TableStyleMedium2" showFirstColumn="0" showLastColumn="0" showRowStripes="1"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9" xr:uid="{5BB88119-4CEC-4B9F-9734-616397E661D4}" name="_5015SPS_Mapping" displayName="_5015SPS_Mapping" ref="C45:F66" totalsRowShown="0" headerRowDxfId="265" dataDxfId="264">
  <autoFilter ref="C45:F66" xr:uid="{E0A841BB-B6D5-4048-B5F2-18CF9F502EBA}">
    <filterColumn colId="0" hiddenButton="1"/>
    <filterColumn colId="1" hiddenButton="1"/>
    <filterColumn colId="2" hiddenButton="1"/>
    <filterColumn colId="3" hiddenButton="1"/>
  </autoFilter>
  <tableColumns count="4">
    <tableColumn id="1" xr3:uid="{4F176BC0-31BF-4358-B856-EFBB6BB7AAB0}" name="Assessment No" dataDxfId="263"/>
    <tableColumn id="2" xr3:uid="{162D175A-F572-46B3-8399-9FF334864C28}" name="LO Number" dataDxfId="262"/>
    <tableColumn id="3" xr3:uid="{4B8F87D6-8076-4256-870F-FFB0D542729A}" name="Graduate Skills Category" dataDxfId="261"/>
    <tableColumn id="4" xr3:uid="{3DB5254F-E5B1-45EA-B3FC-772579673F08}" name="Graduate Skill" dataDxfId="260"/>
  </tableColumns>
  <tableStyleInfo name="TableStyleMedium3" showFirstColumn="0" showLastColumn="0" showRowStripes="1" showColumnStripes="0"/>
</table>
</file>

<file path=xl/tables/table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0" xr:uid="{66D0C022-EFBE-4464-91FC-F436D7DFB43A}" name="_5015SPS_Aims" displayName="_5015SPS_Aims" ref="F6:F8" totalsRowShown="0" headerRowDxfId="259" dataDxfId="258">
  <autoFilter ref="F6:F8" xr:uid="{9552138F-2332-4BC4-A585-0E13162881A5}"/>
  <tableColumns count="1">
    <tableColumn id="1" xr3:uid="{D5911F00-3A12-4884-94FA-2461F2E6A773}" name="Aims" dataDxfId="257"/>
  </tableColumns>
  <tableStyleInfo name="TableStyleMedium6" showFirstColumn="0" showLastColumn="0" showRowStripes="1" showColumnStripes="0"/>
</table>
</file>

<file path=xl/tables/table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1" xr:uid="{5F89D8F4-40FF-4A85-91D9-660D46503FEA}" name="_5015SPS_Syllabus" displayName="_5015SPS_Syllabus" ref="F10:F13" totalsRowShown="0" headerRowDxfId="256" dataDxfId="255">
  <autoFilter ref="F10:F13" xr:uid="{94F18F67-3F10-4F6E-A953-4FE3399B07F2}"/>
  <tableColumns count="1">
    <tableColumn id="1" xr3:uid="{1984609B-7A7C-44AA-A114-5466EF451351}" name="Outline Syllabus" dataDxfId="254"/>
  </tableColumns>
  <tableStyleInfo name="TableStyleMedium6" showFirstColumn="0" showLastColumn="0" showRowStripes="1" showColumnStripes="0"/>
</table>
</file>

<file path=xl/tables/table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2" xr:uid="{2CE8D45C-F32D-403F-87CE-50D315C2F149}" name="_5015SPS_Overview" displayName="_5015SPS_Overview" ref="F15:F20" totalsRowShown="0" headerRowDxfId="253" dataDxfId="252">
  <autoFilter ref="F15:F20" xr:uid="{1B2BCD7B-6C15-4B1C-86BC-48FF83D8F225}"/>
  <tableColumns count="1">
    <tableColumn id="1" xr3:uid="{19A46962-3EFC-4EE2-ACCE-5363E30EDC4F}" name="Module Overview" dataDxfId="251"/>
  </tableColumns>
  <tableStyleInfo name="TableStyleMedium6" showFirstColumn="0" showLastColumn="0" showRowStripes="1" showColumnStripes="0"/>
</table>
</file>

<file path=xl/tables/table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3" xr:uid="{9A33D543-C10F-446B-A3DE-E3B66E260D5A}" name="_5015SPS_Notes" displayName="_5015SPS_Notes" ref="F22:F33" totalsRowShown="0" headerRowDxfId="250" dataDxfId="249">
  <autoFilter ref="F22:F33" xr:uid="{D5968C0A-6D7E-4221-87EE-78A85A4039B3}"/>
  <tableColumns count="1">
    <tableColumn id="1" xr3:uid="{EEDA3204-13C4-4B95-A550-B650C09B689D}" name="Additional Information/Notes" dataDxfId="248"/>
  </tableColumns>
  <tableStyleInfo name="TableStyleMedium6" showFirstColumn="0" showLastColumn="0" showRowStripes="1" showColumnStripes="0"/>
</table>
</file>

<file path=xl/tables/table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4" xr:uid="{74B2B836-FEE3-4D8C-A583-FCE8AD37DA97}" name="_5005SPS_Meta" displayName="_5005SPS_Meta" ref="C6:D14" totalsRowShown="0" headerRowDxfId="247" dataDxfId="246">
  <autoFilter ref="C6:D14" xr:uid="{CD75D2A7-14B1-4ABD-B64D-6E875F9BC652}">
    <filterColumn colId="0" hiddenButton="1"/>
    <filterColumn colId="1" hiddenButton="1"/>
  </autoFilter>
  <tableColumns count="2">
    <tableColumn id="1" xr3:uid="{4312B193-D095-44A4-B0FA-8864AE0BCBEF}" name="Module Data" dataDxfId="245"/>
    <tableColumn id="2" xr3:uid="{4F08D2F7-88F2-4061-857B-CBAD6623F570}" name="Details" dataDxfId="244"/>
  </tableColumns>
  <tableStyleInfo name="TableStyleMedium6" showFirstColumn="0" showLastColumn="0" showRowStripes="1" showColumnStripes="0"/>
</table>
</file>

<file path=xl/tables/table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5" xr:uid="{6B4EAB99-124D-42E9-8E49-DC0D3280A770}" name="_5005SPS_LO" displayName="_5005SPS_LO" ref="C28:D33" totalsRowShown="0" headerRowDxfId="243" dataDxfId="242">
  <autoFilter ref="C28:D33" xr:uid="{22316987-6BEB-4FAF-9619-BF9BE9909CFA}">
    <filterColumn colId="0" hiddenButton="1"/>
    <filterColumn colId="1" hiddenButton="1"/>
  </autoFilter>
  <tableColumns count="2">
    <tableColumn id="1" xr3:uid="{87282965-A2DA-4B4E-8D06-98090F28BEEF}" name="LO Number" dataDxfId="241"/>
    <tableColumn id="2" xr3:uid="{5860F21B-133F-4A88-A61B-07CF39BC7E21}" name="LO Description" dataDxfId="240"/>
  </tableColumns>
  <tableStyleInfo name="TableStyleMedium2" showFirstColumn="0" showLastColumn="0" showRowStripes="1" showColumnStripes="0"/>
</table>
</file>

<file path=xl/tables/table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6" xr:uid="{C3B225F4-04B9-42E5-AA5E-0B231BCFA0EF}" name="_5005SPS_Assess" displayName="_5005SPS_Assess" ref="C37:H41" totalsRowShown="0" headerRowDxfId="239" dataDxfId="238">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8DF47951-A7BD-47A8-B1ED-B6F5AF65DA1D}" name="Assessment No" dataDxfId="237"/>
    <tableColumn id="2" xr3:uid="{02E86080-DD71-4108-821B-E566F188DEA2}" name="Assessment Type" dataDxfId="236"/>
    <tableColumn id="7" xr3:uid="{47CA01EB-2FAC-4F47-BB5B-4ACF9B64B490}" name="Assessment Specific" dataDxfId="235"/>
    <tableColumn id="3" xr3:uid="{FBD48AF8-7B7F-4162-9266-C7CCFD60F0E7}" name="Assessment Description" dataDxfId="234"/>
    <tableColumn id="4" xr3:uid="{B1C6A884-1B35-475C-8890-451E2B62B45B}" name="Weighting" dataDxfId="233"/>
    <tableColumn id="5" xr3:uid="{52275FFC-C744-424D-9DA8-F4384F058801}" name="Due Week" dataDxfId="232"/>
  </tableColumns>
  <tableStyleInfo name="TableStyleMedium3" showFirstColumn="0" showLastColumn="0" showRowStripes="1" showColumnStripes="0"/>
</table>
</file>

<file path=xl/tables/table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7" xr:uid="{811C1444-7D9D-41F0-B07B-761DA8B67262}" name="_5005SPS_Weekly" displayName="_5005SPS_Weekly" ref="B70:F94" totalsRowShown="0" headerRowDxfId="231" dataDxfId="23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AA171258-098F-40B4-886F-EAA2D59C0870}" name="Semester " dataDxfId="229"/>
    <tableColumn id="2" xr3:uid="{F2C231FA-6829-4DDE-AADC-3E8FA43A1138}" name="Week Number" dataDxfId="228"/>
    <tableColumn id="3" xr3:uid="{BF2905C5-0007-47A2-850C-6A3A59009B1B}" name="Weekly Content 1" dataDxfId="227"/>
    <tableColumn id="4" xr3:uid="{87E349A9-C7DB-4B62-AE2D-73DF6FE87FF2}" name="Weekly Content 2" dataDxfId="226"/>
    <tableColumn id="5" xr3:uid="{9335E186-D4FA-4BC9-96F6-48CA2E66C8B8}" name="Weekly Content 3" dataDxfId="225"/>
  </tableColumns>
  <tableStyleInfo name="TableStyleMedium4" showFirstColumn="0" showLastColumn="0" showRowStripes="1" showColumnStripes="0"/>
</table>
</file>

<file path=xl/tables/table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8" xr:uid="{A93C3D93-C0B3-4DC1-A2AD-C094B48CCC3E}" name="_5005SPS_Hours" displayName="_5005SPS_Hours" ref="C18:D24" totalsRowShown="0" headerRowDxfId="224" dataDxfId="223">
  <autoFilter ref="C18:D24" xr:uid="{B71A3569-AA65-4A4E-98A2-885F5C38B46D}">
    <filterColumn colId="0" hiddenButton="1"/>
    <filterColumn colId="1" hiddenButton="1"/>
  </autoFilter>
  <tableColumns count="2">
    <tableColumn id="1" xr3:uid="{9CDDC04F-6E44-4B1D-B2F7-BCFB91288FF8}" name="Component" dataDxfId="222"/>
    <tableColumn id="2" xr3:uid="{0A78BA71-0A43-4908-AD5D-EAD433A8F0CB}" name="Contact Hours" dataDxfId="221"/>
  </tableColumns>
  <tableStyleInfo name="TableStyleMedium2" showFirstColumn="0" showLastColumn="0" showRowStripes="1" showColumnStripes="0"/>
</table>
</file>

<file path=xl/tables/table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9" xr:uid="{074D72A6-497B-41F6-AEDC-764E0477FB4D}" name="_5005SPS_Mapping" displayName="_5005SPS_Mapping" ref="C45:F66" totalsRowShown="0" headerRowDxfId="220" dataDxfId="219">
  <autoFilter ref="C45:F66" xr:uid="{E0A841BB-B6D5-4048-B5F2-18CF9F502EBA}">
    <filterColumn colId="0" hiddenButton="1"/>
    <filterColumn colId="1" hiddenButton="1"/>
    <filterColumn colId="2" hiddenButton="1"/>
    <filterColumn colId="3" hiddenButton="1"/>
  </autoFilter>
  <tableColumns count="4">
    <tableColumn id="1" xr3:uid="{EACDE5D0-DCC0-4C25-9632-DAE8298C79C4}" name="Assessment No" dataDxfId="218"/>
    <tableColumn id="2" xr3:uid="{38F835BE-5EB1-4FFA-8259-BEB6E39C8FA1}" name="LO Number" dataDxfId="217"/>
    <tableColumn id="3" xr3:uid="{C6B979A3-0E5A-464F-B5CD-CBA3047E98BE}" name="Graduate Skills Category" dataDxfId="216"/>
    <tableColumn id="4" xr3:uid="{2D7AD4B8-14A9-4533-A3C6-5E7125BAACC7}" name="Graduate Skill" dataDxfId="215"/>
  </tableColumns>
  <tableStyleInfo name="TableStyleMedium3" showFirstColumn="0" showLastColumn="0" showRowStripes="1" showColumnStripes="0"/>
</table>
</file>

<file path=xl/tables/table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0" xr:uid="{03DFB63D-58AB-47FF-9208-A470E9348B6F}" name="_5005SPS_Aims" displayName="_5005SPS_Aims" ref="F6:F8" totalsRowShown="0" headerRowDxfId="214" dataDxfId="213">
  <autoFilter ref="F6:F8" xr:uid="{9552138F-2332-4BC4-A585-0E13162881A5}"/>
  <tableColumns count="1">
    <tableColumn id="1" xr3:uid="{9E1F2909-CE11-40D2-90E4-0F2548AB10B2}" name="Aims" dataDxfId="212"/>
  </tableColumns>
  <tableStyleInfo name="TableStyleMedium6" showFirstColumn="0" showLastColumn="0" showRowStripes="1" showColumnStripes="0"/>
</table>
</file>

<file path=xl/tables/table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1" xr:uid="{5CFA8ECE-8F57-4ECA-B2A5-317B767EA53F}" name="_5005SPS_Syllabus" displayName="_5005SPS_Syllabus" ref="F10:F13" totalsRowShown="0" headerRowDxfId="211" dataDxfId="210">
  <autoFilter ref="F10:F13" xr:uid="{94F18F67-3F10-4F6E-A953-4FE3399B07F2}"/>
  <tableColumns count="1">
    <tableColumn id="1" xr3:uid="{454BC257-77E7-4C9C-B231-D65E8EE20325}" name="Outline Syllabus" dataDxfId="209"/>
  </tableColumns>
  <tableStyleInfo name="TableStyleMedium6" showFirstColumn="0" showLastColumn="0" showRowStripes="1" showColumnStripes="0"/>
</table>
</file>

<file path=xl/tables/table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2" xr:uid="{3CDE255B-3A1A-451C-A13C-91436E9FCF71}" name="_5005SPS_Overview" displayName="_5005SPS_Overview" ref="F15:F20" totalsRowShown="0" headerRowDxfId="208" dataDxfId="207">
  <autoFilter ref="F15:F20" xr:uid="{1B2BCD7B-6C15-4B1C-86BC-48FF83D8F225}"/>
  <tableColumns count="1">
    <tableColumn id="1" xr3:uid="{D37E1C0D-C9AF-4C78-BCFF-8B2CE993F50A}" name="Module Overview" dataDxfId="206"/>
  </tableColumns>
  <tableStyleInfo name="TableStyleMedium6" showFirstColumn="0" showLastColumn="0" showRowStripes="1" showColumnStripes="0"/>
</table>
</file>

<file path=xl/tables/table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3" xr:uid="{1D041108-8D42-47AB-9472-C648C6F01A1B}" name="_5005SPS_Notes" displayName="_5005SPS_Notes" ref="F22:F33" totalsRowShown="0" headerRowDxfId="205" dataDxfId="204">
  <autoFilter ref="F22:F33" xr:uid="{D5968C0A-6D7E-4221-87EE-78A85A4039B3}"/>
  <tableColumns count="1">
    <tableColumn id="1" xr3:uid="{E8342C1A-2B62-4E1C-B80B-B12917066000}" name="Additional Information/Notes" dataDxfId="203"/>
  </tableColumns>
  <tableStyleInfo name="TableStyleMedium6" showFirstColumn="0" showLastColumn="0" showRowStripes="1" showColumnStripes="0"/>
</table>
</file>

<file path=xl/tables/table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4" xr:uid="{85DC69C9-BE42-468F-B2BB-4E80EFAA9DB8}" name="_6003SPS_Meta" displayName="_6003SPS_Meta" ref="C6:D14" totalsRowShown="0" headerRowDxfId="202" dataDxfId="201">
  <autoFilter ref="C6:D14" xr:uid="{CD75D2A7-14B1-4ABD-B64D-6E875F9BC652}">
    <filterColumn colId="0" hiddenButton="1"/>
    <filterColumn colId="1" hiddenButton="1"/>
  </autoFilter>
  <tableColumns count="2">
    <tableColumn id="1" xr3:uid="{EB65BA05-1DE9-4FD7-BDBD-BDE47DF298A4}" name="Module Data" dataDxfId="200"/>
    <tableColumn id="2" xr3:uid="{310F2A93-D88D-4CC8-AC0C-C016B97380F6}" name="Details" dataDxfId="199"/>
  </tableColumns>
  <tableStyleInfo name="TableStyleMedium6" showFirstColumn="0" showLastColumn="0" showRowStripes="1" showColumnStripes="0"/>
</table>
</file>

<file path=xl/tables/table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5" xr:uid="{F0EF7517-CDCA-4E4C-9047-154277CCFA43}" name="_6003SPS_LO" displayName="_6003SPS_LO" ref="C28:D33" totalsRowShown="0" headerRowDxfId="198" dataDxfId="197">
  <autoFilter ref="C28:D33" xr:uid="{22316987-6BEB-4FAF-9619-BF9BE9909CFA}">
    <filterColumn colId="0" hiddenButton="1"/>
    <filterColumn colId="1" hiddenButton="1"/>
  </autoFilter>
  <tableColumns count="2">
    <tableColumn id="1" xr3:uid="{2DA2E0DF-8487-4F48-AD57-6C8EF1F6A824}" name="LO Number" dataDxfId="196"/>
    <tableColumn id="2" xr3:uid="{5F671E3D-DB5F-4A86-A8E8-215D497F640F}" name="LO Description" dataDxfId="195"/>
  </tableColumns>
  <tableStyleInfo name="TableStyleMedium2" showFirstColumn="0" showLastColumn="0" showRowStripes="1" showColumnStripes="0"/>
</table>
</file>

<file path=xl/tables/table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6" xr:uid="{1BB2DB77-32B9-47E3-B172-5236610AB17A}" name="_6003SPS_Assess" displayName="_6003SPS_Assess" ref="C37:H41" totalsRowShown="0" headerRowDxfId="194" dataDxfId="193">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D786E370-A6E2-472B-A06D-0B294D362273}" name="Assessment No" dataDxfId="192"/>
    <tableColumn id="2" xr3:uid="{99037CEE-E227-4DE7-AC0C-42C69784F090}" name="Assessment Type" dataDxfId="191"/>
    <tableColumn id="7" xr3:uid="{EE90A0B1-86AF-42EC-AB37-5E98D709E3E4}" name="Assessment Specific" dataDxfId="190"/>
    <tableColumn id="3" xr3:uid="{8B0C1721-2FDC-4C1A-AECE-975C6F1434A1}" name="Assessment Description" dataDxfId="189"/>
    <tableColumn id="4" xr3:uid="{876D72EC-520F-497B-8AC7-6AF0A5409783}" name="Weighting" dataDxfId="188"/>
    <tableColumn id="5" xr3:uid="{31A1A910-0DF5-428E-806F-6E026C606C3B}" name="Due Week" dataDxfId="187"/>
  </tableColumns>
  <tableStyleInfo name="TableStyleMedium3" showFirstColumn="0" showLastColumn="0" showRowStripes="1" showColumnStripes="0"/>
</table>
</file>

<file path=xl/tables/table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7" xr:uid="{407C2B80-44A8-4EFD-ACE8-01F8593CF4E1}" name="_6003SPS_Weekly" displayName="_6003SPS_Weekly" ref="B70:F94" totalsRowShown="0" headerRowDxfId="186" dataDxfId="185">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F8C77D5A-A698-44A7-A4E3-08630D8FD36A}" name="Semester " dataDxfId="184"/>
    <tableColumn id="2" xr3:uid="{8C49AFEC-B460-42E3-B373-FC0AB260F379}" name="Week Number" dataDxfId="183"/>
    <tableColumn id="3" xr3:uid="{A81B53B3-7EE2-4FDF-9110-0A8C17CA27E0}" name="Weekly Content 1" dataDxfId="182"/>
    <tableColumn id="4" xr3:uid="{362C63E5-C442-416C-9DB4-4F34D3EDDEF3}" name="Weekly Content 2" dataDxfId="181"/>
    <tableColumn id="5" xr3:uid="{E3C14089-4743-4CA8-9480-E777866BAF64}" name="Weekly Content 3" dataDxfId="180"/>
  </tableColumns>
  <tableStyleInfo name="TableStyleMedium4" showFirstColumn="0" showLastColumn="0" showRowStripes="1" showColumnStripes="0"/>
</table>
</file>

<file path=xl/tables/table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8" xr:uid="{6A30B449-6643-4D56-A6EF-AE96296A3D03}" name="_6003SPS_Hours" displayName="_6003SPS_Hours" ref="C18:D24" totalsRowShown="0" headerRowDxfId="179" dataDxfId="178">
  <autoFilter ref="C18:D24" xr:uid="{B71A3569-AA65-4A4E-98A2-885F5C38B46D}">
    <filterColumn colId="0" hiddenButton="1"/>
    <filterColumn colId="1" hiddenButton="1"/>
  </autoFilter>
  <tableColumns count="2">
    <tableColumn id="1" xr3:uid="{7C918E81-2521-4CC2-B784-37E43EEC3CDD}" name="Component" dataDxfId="177"/>
    <tableColumn id="2" xr3:uid="{0D2A69D7-E2F7-4C5C-8E4D-714C66054E76}" name="Contact Hours" dataDxfId="176"/>
  </tableColumns>
  <tableStyleInfo name="TableStyleMedium2" showFirstColumn="0" showLastColumn="0" showRowStripes="1" showColumnStripes="0"/>
</table>
</file>

<file path=xl/tables/table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9" xr:uid="{0723641A-ADF0-4C69-969E-9516C86FC569}" name="_6003SPS_Mapping" displayName="_6003SPS_Mapping" ref="C45:F66" totalsRowShown="0" headerRowDxfId="175" dataDxfId="174">
  <autoFilter ref="C45:F66" xr:uid="{E0A841BB-B6D5-4048-B5F2-18CF9F502EBA}">
    <filterColumn colId="0" hiddenButton="1"/>
    <filterColumn colId="1" hiddenButton="1"/>
    <filterColumn colId="2" hiddenButton="1"/>
    <filterColumn colId="3" hiddenButton="1"/>
  </autoFilter>
  <tableColumns count="4">
    <tableColumn id="1" xr3:uid="{B6420078-6983-409A-AD6E-9EAEEF45A138}" name="Assessment No" dataDxfId="173"/>
    <tableColumn id="2" xr3:uid="{8D3D6147-F8A2-4D54-BC97-772B8CE44EA3}" name="LO Number" dataDxfId="172"/>
    <tableColumn id="3" xr3:uid="{C41D8ED0-797F-45E8-B847-5F5796F9B51E}" name="Graduate Skills Category" dataDxfId="171"/>
    <tableColumn id="4" xr3:uid="{28997C86-0364-497D-A258-1C7BA682BCAA}" name="Graduate Skill" dataDxfId="170"/>
  </tableColumns>
  <tableStyleInfo name="TableStyleMedium3" showFirstColumn="0" showLastColumn="0" showRowStripes="1" showColumnStripes="0"/>
</table>
</file>

<file path=xl/tables/table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0" xr:uid="{17BE3C87-0560-4F04-B07A-C606EE2CC56D}" name="_6003SPS_Aims" displayName="_6003SPS_Aims" ref="F6:F8" totalsRowShown="0" headerRowDxfId="169" dataDxfId="168">
  <autoFilter ref="F6:F8" xr:uid="{9552138F-2332-4BC4-A585-0E13162881A5}"/>
  <tableColumns count="1">
    <tableColumn id="1" xr3:uid="{3E728AAA-21E1-43D6-98EC-781D610D5B5C}" name="Aims" dataDxfId="167"/>
  </tableColumns>
  <tableStyleInfo name="TableStyleMedium6" showFirstColumn="0" showLastColumn="0" showRowStripes="1" showColumnStripes="0"/>
</table>
</file>

<file path=xl/tables/table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1" xr:uid="{24DBD723-9435-4154-9659-24C8E488A767}" name="_6003SPS_Syllabus" displayName="_6003SPS_Syllabus" ref="F10:F13" totalsRowShown="0" headerRowDxfId="166" dataDxfId="165">
  <autoFilter ref="F10:F13" xr:uid="{94F18F67-3F10-4F6E-A953-4FE3399B07F2}"/>
  <tableColumns count="1">
    <tableColumn id="1" xr3:uid="{CAFF733E-EEBF-4C10-ACD1-A6DDCD33C63A}" name="Outline Syllabus" dataDxfId="164"/>
  </tableColumns>
  <tableStyleInfo name="TableStyleMedium6" showFirstColumn="0" showLastColumn="0" showRowStripes="1" showColumnStripes="0"/>
</table>
</file>

<file path=xl/tables/table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2" xr:uid="{C47F6AB6-EF50-4395-B0F7-E6C315358556}" name="_6003SPS_Overview" displayName="_6003SPS_Overview" ref="F15:F20" totalsRowShown="0" headerRowDxfId="163" dataDxfId="162">
  <autoFilter ref="F15:F20" xr:uid="{1B2BCD7B-6C15-4B1C-86BC-48FF83D8F225}"/>
  <tableColumns count="1">
    <tableColumn id="1" xr3:uid="{3D131B43-1A6C-42C4-B635-F81D00AEF103}" name="Module Overview" dataDxfId="161"/>
  </tableColumns>
  <tableStyleInfo name="TableStyleMedium6" showFirstColumn="0" showLastColumn="0" showRowStripes="1" showColumnStripes="0"/>
</table>
</file>

<file path=xl/tables/table9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3" xr:uid="{759B136A-3D50-4F87-9E82-4E8BACD02961}" name="_6003SPS_Notes" displayName="_6003SPS_Notes" ref="F22:F33" totalsRowShown="0" headerRowDxfId="160" dataDxfId="159">
  <autoFilter ref="F22:F33" xr:uid="{D5968C0A-6D7E-4221-87EE-78A85A4039B3}"/>
  <tableColumns count="1">
    <tableColumn id="1" xr3:uid="{DBD01D3B-64A5-4A59-96FF-8858AB682507}" name="Additional Information/Notes" dataDxfId="158"/>
  </tableColumns>
  <tableStyleInfo name="TableStyleMedium6" showFirstColumn="0" showLastColumn="0" showRowStripes="1" showColumnStripes="0"/>
</table>
</file>

<file path=xl/tables/table9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4" xr:uid="{5270F11D-EB2D-4D37-A0C7-A548812199C3}" name="_6004SPS_Meta" displayName="_6004SPS_Meta" ref="C6:D14" totalsRowShown="0" headerRowDxfId="157" dataDxfId="156">
  <autoFilter ref="C6:D14" xr:uid="{CD75D2A7-14B1-4ABD-B64D-6E875F9BC652}">
    <filterColumn colId="0" hiddenButton="1"/>
    <filterColumn colId="1" hiddenButton="1"/>
  </autoFilter>
  <tableColumns count="2">
    <tableColumn id="1" xr3:uid="{29D4E0BE-5C0F-4EF3-BF95-85E95BCEF890}" name="Module Data" dataDxfId="155"/>
    <tableColumn id="2" xr3:uid="{8CF62EB8-FFB4-436A-9EE3-575FDB15387F}" name="Details" dataDxfId="154"/>
  </tableColumns>
  <tableStyleInfo name="TableStyleMedium6" showFirstColumn="0" showLastColumn="0" showRowStripes="1" showColumnStripes="0"/>
</table>
</file>

<file path=xl/tables/table9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5" xr:uid="{237020EB-E434-4CF8-BA7F-AAE80EFFA7DE}" name="_6004SPS_LO" displayName="_6004SPS_LO" ref="C28:D33" totalsRowShown="0" headerRowDxfId="153" dataDxfId="152">
  <autoFilter ref="C28:D33" xr:uid="{22316987-6BEB-4FAF-9619-BF9BE9909CFA}">
    <filterColumn colId="0" hiddenButton="1"/>
    <filterColumn colId="1" hiddenButton="1"/>
  </autoFilter>
  <tableColumns count="2">
    <tableColumn id="1" xr3:uid="{ABACB5F8-1C23-4668-B7BA-EF2517F6F237}" name="LO Number" dataDxfId="151"/>
    <tableColumn id="2" xr3:uid="{16EFEC94-FB26-48E6-A1CD-F272E329A036}" name="LO Description" dataDxfId="150"/>
  </tableColumns>
  <tableStyleInfo name="TableStyleMedium2" showFirstColumn="0" showLastColumn="0" showRowStripes="1" showColumnStripes="0"/>
</table>
</file>

<file path=xl/tables/table9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6" xr:uid="{D1E80F96-254A-4374-9350-7B1F947FEA77}" name="_6004SPS_Assess" displayName="_6004SPS_Assess" ref="C37:H41" totalsRowShown="0" headerRowDxfId="149" dataDxfId="148">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60550122-E287-466F-A05A-EEEF3BC2A7B1}" name="Assessment No" dataDxfId="147"/>
    <tableColumn id="2" xr3:uid="{2BC12B11-B6CF-4E7C-B492-9E71A2A4DCFC}" name="Assessment Type" dataDxfId="146"/>
    <tableColumn id="7" xr3:uid="{F22466C0-E91B-4130-82AB-931BDD5DAFD5}" name="Assessment Specific" dataDxfId="145"/>
    <tableColumn id="3" xr3:uid="{A2D2688F-0CD2-442B-B2C4-399FA320B460}" name="Assessment Description" dataDxfId="144"/>
    <tableColumn id="4" xr3:uid="{9C3172F4-207C-490E-A1A4-3782CCE0F62E}" name="Weighting" dataDxfId="143"/>
    <tableColumn id="5" xr3:uid="{5D552087-F8C1-4DC6-AB58-461CAA57A675}" name="Due Week" dataDxfId="142"/>
  </tableColumns>
  <tableStyleInfo name="TableStyleMedium3" showFirstColumn="0" showLastColumn="0" showRowStripes="1" showColumnStripes="0"/>
</table>
</file>

<file path=xl/tables/table9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7" xr:uid="{A4E79B66-A399-44F9-AC05-30A8D8E4EFFC}" name="_6004SPS_Weekly" displayName="_6004SPS_Weekly" ref="B70:F94" totalsRowShown="0" headerRowDxfId="141" dataDxfId="14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761211FD-07C5-4C60-8E49-B011DF71603B}" name="Semester " dataDxfId="139"/>
    <tableColumn id="2" xr3:uid="{C3767A97-7DDC-4C9C-BAA0-36AD5C496EEE}" name="Week Number" dataDxfId="138"/>
    <tableColumn id="3" xr3:uid="{ECEBB099-0848-4BF9-A0F1-A91B05144BDE}" name="Weekly Content 1" dataDxfId="137"/>
    <tableColumn id="4" xr3:uid="{C2073020-3A29-4533-9629-7F40A8DD2B8B}" name="Weekly Content 2" dataDxfId="136"/>
    <tableColumn id="5" xr3:uid="{6345D17D-CE7F-4BE7-9354-5B3222EE1FDE}" name="Weekly Content 3" dataDxfId="135"/>
  </tableColumns>
  <tableStyleInfo name="TableStyleMedium4" showFirstColumn="0" showLastColumn="0" showRowStripes="1" showColumnStripes="0"/>
</table>
</file>

<file path=xl/tables/table9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8" xr:uid="{BDFBF6B0-B509-44BE-828C-EF93C1923EC6}" name="_6004SPS_Hours" displayName="_6004SPS_Hours" ref="C18:D24" totalsRowShown="0" headerRowDxfId="134" dataDxfId="133">
  <autoFilter ref="C18:D24" xr:uid="{B71A3569-AA65-4A4E-98A2-885F5C38B46D}">
    <filterColumn colId="0" hiddenButton="1"/>
    <filterColumn colId="1" hiddenButton="1"/>
  </autoFilter>
  <tableColumns count="2">
    <tableColumn id="1" xr3:uid="{B46B0870-C95C-4D4E-B01A-05CA40485288}" name="Component" dataDxfId="132"/>
    <tableColumn id="2" xr3:uid="{A34E191B-0F4D-40A9-98C4-DFC5C0ED5B03}" name="Contact Hours" dataDxfId="131"/>
  </tableColumns>
  <tableStyleInfo name="TableStyleMedium2" showFirstColumn="0" showLastColumn="0" showRowStripes="1" showColumnStripes="0"/>
</table>
</file>

<file path=xl/tables/table9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9" xr:uid="{F74075A1-DA58-473A-9E54-24D876995322}" name="_6004SPS_Mapping" displayName="_6004SPS_Mapping" ref="C45:F66" totalsRowShown="0" headerRowDxfId="130" dataDxfId="129">
  <autoFilter ref="C45:F66" xr:uid="{E0A841BB-B6D5-4048-B5F2-18CF9F502EBA}">
    <filterColumn colId="0" hiddenButton="1"/>
    <filterColumn colId="1" hiddenButton="1"/>
    <filterColumn colId="2" hiddenButton="1"/>
    <filterColumn colId="3" hiddenButton="1"/>
  </autoFilter>
  <tableColumns count="4">
    <tableColumn id="1" xr3:uid="{33F03CAC-37A3-4CB5-BBBE-230DBDFC5B6B}" name="Assessment No" dataDxfId="128"/>
    <tableColumn id="2" xr3:uid="{D948967E-B1D8-422E-BC05-E5DE64BFE116}" name="LO Number" dataDxfId="127"/>
    <tableColumn id="3" xr3:uid="{41BBFD1D-FBB9-4518-8884-EB40901F4694}" name="Graduate Skills Category" dataDxfId="126"/>
    <tableColumn id="4" xr3:uid="{913662D7-6EF1-491B-A990-50699C27238F}" name="Graduate Skill" dataDxfId="125"/>
  </tableColumns>
  <tableStyleInfo name="TableStyleMedium3" showFirstColumn="0" showLastColumn="0" showRowStripes="1" showColumnStripes="0"/>
</table>
</file>

<file path=xl/tables/table9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0" xr:uid="{5AE026F8-16C4-406D-B110-7288CB09E506}" name="_6004SPS_Aims" displayName="_6004SPS_Aims" ref="F6:F8" totalsRowShown="0" headerRowDxfId="124" dataDxfId="123">
  <autoFilter ref="F6:F8" xr:uid="{9552138F-2332-4BC4-A585-0E13162881A5}"/>
  <tableColumns count="1">
    <tableColumn id="1" xr3:uid="{2CF6523F-40A9-456F-8FAA-4363371E379D}" name="Aims" dataDxfId="122"/>
  </tableColumns>
  <tableStyleInfo name="TableStyleMedium6" showFirstColumn="0" showLastColumn="0" showRowStripes="1" showColumnStripes="0"/>
</table>
</file>

<file path=xl/tables/table9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1" xr:uid="{7E8C1BBC-E995-4B58-8CC6-9D5E3880A081}" name="_6004SPS_Syllabus" displayName="_6004SPS_Syllabus" ref="F10:F13" totalsRowShown="0" headerRowDxfId="121" dataDxfId="120">
  <autoFilter ref="F10:F13" xr:uid="{94F18F67-3F10-4F6E-A953-4FE3399B07F2}"/>
  <tableColumns count="1">
    <tableColumn id="1" xr3:uid="{5BDD719A-56F8-4CFB-8C2B-B09D9EFEEBC9}" name="Outline Syllabus" dataDxfId="119"/>
  </tableColumns>
  <tableStyleInfo name="TableStyleMedium6" showFirstColumn="0" showLastColumn="0" showRowStripes="1" showColumnStripes="0"/>
</table>
</file>

<file path=xl/tables/table9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2" xr:uid="{3B6B7C2B-C63A-4C91-BFC7-FEAD7D7A4AAB}" name="_6004SPS_Overview" displayName="_6004SPS_Overview" ref="F15:F20" totalsRowShown="0" headerRowDxfId="118" dataDxfId="117">
  <autoFilter ref="F15:F20" xr:uid="{1B2BCD7B-6C15-4B1C-86BC-48FF83D8F225}"/>
  <tableColumns count="1">
    <tableColumn id="1" xr3:uid="{6FA2E212-5F86-4DAE-AF6E-5A52409DCB13}" name="Module Overview" dataDxfId="116"/>
  </tableColumns>
  <tableStyleInfo name="TableStyleMedium6" showFirstColumn="0" showLastColumn="0" showRowStripes="1" showColumnStripes="0"/>
</table>
</file>

<file path=xl/tables/table10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3" xr:uid="{B8EDE4E8-58B3-4823-B749-470799FC0595}" name="_6004SPS_Notes" displayName="_6004SPS_Notes" ref="F22:F33" totalsRowShown="0" headerRowDxfId="115" dataDxfId="114">
  <autoFilter ref="F22:F33" xr:uid="{D5968C0A-6D7E-4221-87EE-78A85A4039B3}"/>
  <tableColumns count="1">
    <tableColumn id="1" xr3:uid="{8FE8F154-AB86-4DDE-9840-555725F99393}" name="Additional Information/Notes" dataDxfId="113"/>
  </tableColumns>
  <tableStyleInfo name="TableStyleMedium6" showFirstColumn="0" showLastColumn="0" showRowStripes="1" showColumnStripes="0"/>
</table>
</file>

<file path=xl/tables/table10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4" xr:uid="{EB3195DA-61BF-4DC3-AA26-8375196AC911}" name="_6007SPS_Meta" displayName="_6007SPS_Meta" ref="C6:D14" totalsRowShown="0" headerRowDxfId="112" dataDxfId="111">
  <autoFilter ref="C6:D14" xr:uid="{CD75D2A7-14B1-4ABD-B64D-6E875F9BC652}">
    <filterColumn colId="0" hiddenButton="1"/>
    <filterColumn colId="1" hiddenButton="1"/>
  </autoFilter>
  <tableColumns count="2">
    <tableColumn id="1" xr3:uid="{259296C2-F94D-4D8E-8A48-375C8B32976A}" name="Module Data" dataDxfId="110"/>
    <tableColumn id="2" xr3:uid="{FBE26AB7-C871-483E-8BF5-3102A6CBA6A9}" name="Details" dataDxfId="109"/>
  </tableColumns>
  <tableStyleInfo name="TableStyleMedium6" showFirstColumn="0" showLastColumn="0" showRowStripes="1" showColumnStripes="0"/>
</table>
</file>

<file path=xl/tables/table10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5" xr:uid="{0B0C6758-C764-42DF-8334-275486F59160}" name="_6007SPS_LO" displayName="_6007SPS_LO" ref="C28:D33" totalsRowShown="0" headerRowDxfId="108" dataDxfId="107">
  <autoFilter ref="C28:D33" xr:uid="{22316987-6BEB-4FAF-9619-BF9BE9909CFA}">
    <filterColumn colId="0" hiddenButton="1"/>
    <filterColumn colId="1" hiddenButton="1"/>
  </autoFilter>
  <tableColumns count="2">
    <tableColumn id="1" xr3:uid="{A4A042E5-B73A-4E95-83BE-374230EAEF75}" name="LO Number" dataDxfId="106"/>
    <tableColumn id="2" xr3:uid="{4CC50DE2-34DC-4FAA-BB54-72EB81C5A918}" name="LO Description" dataDxfId="105"/>
  </tableColumns>
  <tableStyleInfo name="TableStyleMedium2" showFirstColumn="0" showLastColumn="0" showRowStripes="1" showColumnStripes="0"/>
</table>
</file>

<file path=xl/tables/table10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6" xr:uid="{3825F8F9-FE98-45C9-AC62-4DE90913B2D5}" name="_6007SPS_Assess" displayName="_6007SPS_Assess" ref="C37:H41" totalsRowShown="0" headerRowDxfId="104" dataDxfId="103">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B86A69A5-1E61-43A0-B8A8-D409B7E2AEA6}" name="Assessment No" dataDxfId="102"/>
    <tableColumn id="2" xr3:uid="{846FFE48-B8E8-4A55-98C3-5451769A8EB5}" name="Assessment Type" dataDxfId="101"/>
    <tableColumn id="7" xr3:uid="{82AE06D6-F94C-441D-B6C3-297200BD5794}" name="Assessment Specific" dataDxfId="100"/>
    <tableColumn id="3" xr3:uid="{FEAAD1E7-46DD-4E01-9EEE-AB9037A04A09}" name="Assessment Description" dataDxfId="99"/>
    <tableColumn id="4" xr3:uid="{C4BFD846-DFE3-41AB-966C-3EFB00B2A790}" name="Weighting" dataDxfId="98"/>
    <tableColumn id="5" xr3:uid="{476F5563-CB55-4B33-88F8-D363824819FD}" name="Due Week" dataDxfId="97"/>
  </tableColumns>
  <tableStyleInfo name="TableStyleMedium3" showFirstColumn="0" showLastColumn="0" showRowStripes="1" showColumnStripes="0"/>
</table>
</file>

<file path=xl/tables/table10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7" xr:uid="{D46EDFDA-9AB0-4331-B17D-30F807C2D6D5}" name="_6007SPS_Weekly" displayName="_6007SPS_Weekly" ref="B70:F94" totalsRowShown="0" headerRowDxfId="96" dataDxfId="95">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A68B6C85-E233-4451-9163-94A920B533E6}" name="Semester " dataDxfId="94"/>
    <tableColumn id="2" xr3:uid="{B9620A06-7C82-4FF4-995F-02655A14B62E}" name="Week Number" dataDxfId="93"/>
    <tableColumn id="3" xr3:uid="{90BEA63A-0B10-4F26-B07B-76B2D9A73B94}" name="Weekly Content 1" dataDxfId="92"/>
    <tableColumn id="4" xr3:uid="{BA0A787E-3BAF-4419-9436-D40693419273}" name="Weekly Content 2" dataDxfId="91"/>
    <tableColumn id="5" xr3:uid="{3E95C25D-5EE2-483B-B9C6-B69D6222BD63}" name="Weekly Content 3" dataDxfId="90"/>
  </tableColumns>
  <tableStyleInfo name="TableStyleMedium4" showFirstColumn="0" showLastColumn="0" showRowStripes="1" showColumnStripes="0"/>
</table>
</file>

<file path=xl/tables/table10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8" xr:uid="{B7F0130C-63E7-417A-B41E-9C3A0D03AD17}" name="_6007SPS_Hours" displayName="_6007SPS_Hours" ref="C18:D24" totalsRowShown="0" headerRowDxfId="89" dataDxfId="88">
  <autoFilter ref="C18:D24" xr:uid="{B71A3569-AA65-4A4E-98A2-885F5C38B46D}">
    <filterColumn colId="0" hiddenButton="1"/>
    <filterColumn colId="1" hiddenButton="1"/>
  </autoFilter>
  <tableColumns count="2">
    <tableColumn id="1" xr3:uid="{17D1F957-8C58-47BC-9BD8-09011C101FC1}" name="Component" dataDxfId="87"/>
    <tableColumn id="2" xr3:uid="{F76831A8-1692-44D6-9D6D-3D5E7EBE7CB7}" name="Contact Hours" dataDxfId="86"/>
  </tableColumns>
  <tableStyleInfo name="TableStyleMedium2" showFirstColumn="0" showLastColumn="0" showRowStripes="1" showColumnStripes="0"/>
</table>
</file>

<file path=xl/tables/table10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9" xr:uid="{6E2263C1-7862-4289-A529-F692C072B024}" name="_6007SPS_Mapping" displayName="_6007SPS_Mapping" ref="C45:F66" totalsRowShown="0" headerRowDxfId="85" dataDxfId="84">
  <autoFilter ref="C45:F66" xr:uid="{E0A841BB-B6D5-4048-B5F2-18CF9F502EBA}">
    <filterColumn colId="0" hiddenButton="1"/>
    <filterColumn colId="1" hiddenButton="1"/>
    <filterColumn colId="2" hiddenButton="1"/>
    <filterColumn colId="3" hiddenButton="1"/>
  </autoFilter>
  <tableColumns count="4">
    <tableColumn id="1" xr3:uid="{5FF07F7A-0B59-4A66-94E8-2AA6F3FABE01}" name="Assessment No" dataDxfId="83"/>
    <tableColumn id="2" xr3:uid="{AFA09957-495C-47A6-9409-B82CF20C9FEE}" name="LO Number" dataDxfId="82"/>
    <tableColumn id="3" xr3:uid="{4A6EF506-39E0-4A77-AB9A-A419A13B11BA}" name="Graduate Skills Category" dataDxfId="81"/>
    <tableColumn id="4" xr3:uid="{1CC8553E-650D-4CC9-BCBD-8A5C77CF26BC}" name="Graduate Skill" dataDxfId="80"/>
  </tableColumns>
  <tableStyleInfo name="TableStyleMedium3" showFirstColumn="0" showLastColumn="0" showRowStripes="1" showColumnStripes="0"/>
</table>
</file>

<file path=xl/tables/table10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0" xr:uid="{F218F218-BF90-416D-B952-D9393923801D}" name="_6007SPS_Aims" displayName="_6007SPS_Aims" ref="F6:F8" totalsRowShown="0" headerRowDxfId="79" dataDxfId="78">
  <autoFilter ref="F6:F8" xr:uid="{9552138F-2332-4BC4-A585-0E13162881A5}"/>
  <tableColumns count="1">
    <tableColumn id="1" xr3:uid="{8B84DA76-C73A-484B-AB85-93CE53A85FF5}" name="Aims" dataDxfId="77"/>
  </tableColumns>
  <tableStyleInfo name="TableStyleMedium6" showFirstColumn="0" showLastColumn="0" showRowStripes="1" showColumnStripes="0"/>
</table>
</file>

<file path=xl/tables/table10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1" xr:uid="{9405DABE-6D82-46AB-84E5-8BBBD87BD0BB}" name="_6007SPS_Syllabus" displayName="_6007SPS_Syllabus" ref="F10:F13" totalsRowShown="0" headerRowDxfId="76" dataDxfId="75">
  <autoFilter ref="F10:F13" xr:uid="{94F18F67-3F10-4F6E-A953-4FE3399B07F2}"/>
  <tableColumns count="1">
    <tableColumn id="1" xr3:uid="{7BB23C35-AB5C-4E42-B2E9-C41B68F5AF1F}" name="Outline Syllabus" dataDxfId="74"/>
  </tableColumns>
  <tableStyleInfo name="TableStyleMedium6" showFirstColumn="0" showLastColumn="0" showRowStripes="1" showColumnStripes="0"/>
</table>
</file>

<file path=xl/tables/table10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2" xr:uid="{7AFB107C-53D3-4975-A4F4-CAB65BC99D03}" name="_6007SPS_Overview" displayName="_6007SPS_Overview" ref="F15:F20" totalsRowShown="0" headerRowDxfId="73" dataDxfId="72">
  <autoFilter ref="F15:F20" xr:uid="{1B2BCD7B-6C15-4B1C-86BC-48FF83D8F225}"/>
  <tableColumns count="1">
    <tableColumn id="1" xr3:uid="{A7EAB096-E6DB-40BE-B37B-256679A7DD5C}" name="Module Overview" dataDxfId="71"/>
  </tableColumns>
  <tableStyleInfo name="TableStyleMedium6" showFirstColumn="0" showLastColumn="0" showRowStripes="1" showColumnStripes="0"/>
</table>
</file>

<file path=xl/tables/table1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3" xr:uid="{D37E2A52-3152-415A-95CE-C4D6FD7B7CAC}" name="_6007SPS_Notes" displayName="_6007SPS_Notes" ref="F22:F33" totalsRowShown="0" headerRowDxfId="70" dataDxfId="69">
  <autoFilter ref="F22:F33" xr:uid="{D5968C0A-6D7E-4221-87EE-78A85A4039B3}"/>
  <tableColumns count="1">
    <tableColumn id="1" xr3:uid="{C72ADE2C-BCB8-499B-B1B7-EDB3A3B2FE5B}" name="Additional Information/Notes" dataDxfId="68"/>
  </tableColumns>
  <tableStyleInfo name="TableStyleMedium6" showFirstColumn="0" showLastColumn="0" showRowStripes="1" showColumnStripes="0"/>
</table>
</file>

<file path=xl/tables/table1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4" xr:uid="{40940089-4244-43F1-B97C-810AAAE444CF}" name="_6008SPS_Meta" displayName="_6008SPS_Meta" ref="C6:D14" totalsRowShown="0" headerRowDxfId="67" dataDxfId="66">
  <autoFilter ref="C6:D14" xr:uid="{CD75D2A7-14B1-4ABD-B64D-6E875F9BC652}">
    <filterColumn colId="0" hiddenButton="1"/>
    <filterColumn colId="1" hiddenButton="1"/>
  </autoFilter>
  <tableColumns count="2">
    <tableColumn id="1" xr3:uid="{070BBF13-BA41-4DE1-A713-FB0E8630711C}" name="Module Data" dataDxfId="65"/>
    <tableColumn id="2" xr3:uid="{0E3F0926-B28A-4EA7-AAE9-E35BEC0A4DF5}" name="Details" dataDxfId="64"/>
  </tableColumns>
  <tableStyleInfo name="TableStyleMedium6" showFirstColumn="0" showLastColumn="0" showRowStripes="1" showColumnStripes="0"/>
</table>
</file>

<file path=xl/tables/table1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5" xr:uid="{0696BD3D-C247-4096-9138-5992AFD94B43}" name="_6008SPS_LO" displayName="_6008SPS_LO" ref="C28:D33" totalsRowShown="0" headerRowDxfId="63" dataDxfId="62">
  <autoFilter ref="C28:D33" xr:uid="{22316987-6BEB-4FAF-9619-BF9BE9909CFA}">
    <filterColumn colId="0" hiddenButton="1"/>
    <filterColumn colId="1" hiddenButton="1"/>
  </autoFilter>
  <tableColumns count="2">
    <tableColumn id="1" xr3:uid="{6088F306-C9B4-4ED7-9EEC-A674129ECCC9}" name="LO Number" dataDxfId="61"/>
    <tableColumn id="2" xr3:uid="{43834854-BE01-444E-8E1C-AE64963B358A}" name="LO Description" dataDxfId="60"/>
  </tableColumns>
  <tableStyleInfo name="TableStyleMedium2" showFirstColumn="0" showLastColumn="0" showRowStripes="1" showColumnStripes="0"/>
</table>
</file>

<file path=xl/tables/table1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6" xr:uid="{F396ADA4-3F6E-4C44-8B94-249567CBD6BD}" name="_6008SPS_Assess" displayName="_6008SPS_Assess" ref="C37:H41" totalsRowShown="0" headerRowDxfId="59" dataDxfId="58">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D2E1276A-52B5-424B-9BBA-9CC123ECC641}" name="Assessment No" dataDxfId="57"/>
    <tableColumn id="2" xr3:uid="{E2407AF6-3C98-4FD1-B31B-CB85A955F2E3}" name="Assessment Type" dataDxfId="56"/>
    <tableColumn id="7" xr3:uid="{803004E8-4057-430E-BD7F-E6A122487416}" name="Assessment Specific" dataDxfId="55"/>
    <tableColumn id="3" xr3:uid="{E82EABFF-0858-4F25-A741-AD63FC636934}" name="Assessment Description" dataDxfId="54"/>
    <tableColumn id="4" xr3:uid="{C435B8B1-D65F-4F43-8C3B-45550CBDD4FC}" name="Weighting" dataDxfId="53"/>
    <tableColumn id="5" xr3:uid="{03FBD12C-63B3-45F3-8CCB-172C1C96BB7E}" name="Due Week" dataDxfId="52"/>
  </tableColumns>
  <tableStyleInfo name="TableStyleMedium3" showFirstColumn="0" showLastColumn="0" showRowStripes="1" showColumnStripes="0"/>
</table>
</file>

<file path=xl/tables/table1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7" xr:uid="{C8359A26-B512-45F8-8655-ACB9669F3576}" name="_6008SPS_Weekly" displayName="_6008SPS_Weekly" ref="B70:F94" totalsRowShown="0" headerRowDxfId="51" dataDxfId="5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92701B6C-B731-4332-A2BC-EDB90DA0F8C9}" name="Semester " dataDxfId="49"/>
    <tableColumn id="2" xr3:uid="{0DEEBD8D-895D-4DB2-9CAB-767B56867428}" name="Week Number" dataDxfId="48"/>
    <tableColumn id="3" xr3:uid="{7E2D8092-2899-4612-BA2F-D50BF49F0F02}" name="Weekly Content 1" dataDxfId="47"/>
    <tableColumn id="4" xr3:uid="{543E0828-8F90-405C-8DC4-A27DEA150475}" name="Weekly Content 2" dataDxfId="46"/>
    <tableColumn id="5" xr3:uid="{CFCB0F41-D4BE-4456-B805-D7551BF9E83C}" name="Weekly Content 3" dataDxfId="45"/>
  </tableColumns>
  <tableStyleInfo name="TableStyleMedium4" showFirstColumn="0" showLastColumn="0" showRowStripes="1" showColumnStripes="0"/>
</table>
</file>

<file path=xl/tables/table1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8" xr:uid="{AE8A534E-D29F-4551-AB97-6D70C45149F5}" name="_6008SPS_Hours" displayName="_6008SPS_Hours" ref="C18:D24" totalsRowShown="0" headerRowDxfId="44" dataDxfId="43">
  <autoFilter ref="C18:D24" xr:uid="{B71A3569-AA65-4A4E-98A2-885F5C38B46D}">
    <filterColumn colId="0" hiddenButton="1"/>
    <filterColumn colId="1" hiddenButton="1"/>
  </autoFilter>
  <tableColumns count="2">
    <tableColumn id="1" xr3:uid="{A95790DB-8258-4803-8284-4A4A89FC1A81}" name="Component" dataDxfId="42"/>
    <tableColumn id="2" xr3:uid="{F8CDBB8B-28A2-40B8-8AB1-6707537C499B}" name="Contact Hours" dataDxfId="41"/>
  </tableColumns>
  <tableStyleInfo name="TableStyleMedium2" showFirstColumn="0" showLastColumn="0" showRowStripes="1" showColumnStripes="0"/>
</table>
</file>

<file path=xl/tables/table1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9" xr:uid="{56D173C9-B42C-49E7-9D87-A5745A22D1C2}" name="_6008SPS_Mapping" displayName="_6008SPS_Mapping" ref="C45:F66" totalsRowShown="0" headerRowDxfId="40" dataDxfId="39">
  <autoFilter ref="C45:F66" xr:uid="{E0A841BB-B6D5-4048-B5F2-18CF9F502EBA}">
    <filterColumn colId="0" hiddenButton="1"/>
    <filterColumn colId="1" hiddenButton="1"/>
    <filterColumn colId="2" hiddenButton="1"/>
    <filterColumn colId="3" hiddenButton="1"/>
  </autoFilter>
  <tableColumns count="4">
    <tableColumn id="1" xr3:uid="{01E2F7EB-60A0-4C13-A872-0336F07EDF9F}" name="Assessment No" dataDxfId="38"/>
    <tableColumn id="2" xr3:uid="{0A9CFE48-B3C3-4D3C-9F56-3062488E96D8}" name="LO Number" dataDxfId="37"/>
    <tableColumn id="3" xr3:uid="{F14AC592-27AF-4E15-B730-92515D2D5861}" name="Graduate Skills Category" dataDxfId="36"/>
    <tableColumn id="4" xr3:uid="{33BA90E8-AAD8-435C-9AC1-A549EDBF7228}" name="Graduate Skill" dataDxfId="35"/>
  </tableColumns>
  <tableStyleInfo name="TableStyleMedium3" showFirstColumn="0" showLastColumn="0" showRowStripes="1" showColumnStripes="0"/>
</table>
</file>

<file path=xl/tables/table1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0" xr:uid="{2059C37A-58BE-4D59-894C-B91B91BF8452}" name="_6008SPS_Aims" displayName="_6008SPS_Aims" ref="F6:F8" totalsRowShown="0" headerRowDxfId="34" dataDxfId="33">
  <autoFilter ref="F6:F8" xr:uid="{9552138F-2332-4BC4-A585-0E13162881A5}"/>
  <tableColumns count="1">
    <tableColumn id="1" xr3:uid="{95B55738-9EA9-42EF-9542-C1E475114357}" name="Aims" dataDxfId="32"/>
  </tableColumns>
  <tableStyleInfo name="TableStyleMedium6" showFirstColumn="0" showLastColumn="0" showRowStripes="1" showColumnStripes="0"/>
</table>
</file>

<file path=xl/tables/table1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1" xr:uid="{D10F85BC-1345-43FC-B85A-FF83FDB98376}" name="_6008SPS_Syllabus" displayName="_6008SPS_Syllabus" ref="F10:F13" totalsRowShown="0" headerRowDxfId="31" dataDxfId="30">
  <autoFilter ref="F10:F13" xr:uid="{94F18F67-3F10-4F6E-A953-4FE3399B07F2}"/>
  <tableColumns count="1">
    <tableColumn id="1" xr3:uid="{773F3BC1-153C-4CA9-9626-F7014E9C09FC}" name="Outline Syllabus" dataDxfId="29"/>
  </tableColumns>
  <tableStyleInfo name="TableStyleMedium6" showFirstColumn="0" showLastColumn="0" showRowStripes="1" showColumnStripes="0"/>
</table>
</file>

<file path=xl/tables/table1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2" xr:uid="{9361160D-E085-4AC4-8943-5386B5E8545C}" name="_6008SPS_Overview" displayName="_6008SPS_Overview" ref="F15:F20" totalsRowShown="0" headerRowDxfId="28" dataDxfId="27">
  <autoFilter ref="F15:F20" xr:uid="{1B2BCD7B-6C15-4B1C-86BC-48FF83D8F225}"/>
  <tableColumns count="1">
    <tableColumn id="1" xr3:uid="{5AB497BE-0287-4B15-828E-068ECF632096}" name="Module Overview" dataDxfId="26"/>
  </tableColumns>
  <tableStyleInfo name="TableStyleMedium6" showFirstColumn="0" showLastColumn="0" showRowStripes="1" showColumnStripes="0"/>
</table>
</file>

<file path=xl/tables/table1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3" xr:uid="{2BD2469B-FE6E-4B79-8C1A-DBD7F029C0E0}" name="_6008SPS_Notes" displayName="_6008SPS_Notes" ref="F22:F33" totalsRowShown="0" headerRowDxfId="25" dataDxfId="24">
  <autoFilter ref="F22:F33" xr:uid="{D5968C0A-6D7E-4221-87EE-78A85A4039B3}"/>
  <tableColumns count="1">
    <tableColumn id="1" xr3:uid="{050403C8-321F-4DA4-B6C6-73EFBF9C2B3A}" name="Additional Information/Notes" dataDxfId="23"/>
  </tableColumns>
  <tableStyleInfo name="TableStyleMedium6" showFirstColumn="0" showLastColumn="0" showRowStripes="1" showColumnStripes="0"/>
</table>
</file>

<file path=xl/tables/table1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9D83EF05-D6CD-40F3-A3B0-B42FA58AE706}" name="SN_Meta_Wide" displayName="SN_Meta_Wide" ref="A1:O18" tableType="queryTable" totalsRowShown="0">
  <autoFilter ref="A1:O18" xr:uid="{9D83EF05-D6CD-40F3-A3B0-B42FA58AE706}"/>
  <tableColumns count="15">
    <tableColumn id="1" xr3:uid="{1D6F2E5D-907D-454A-BC2A-AA20F3AE8738}" uniqueName="1" name="SourceWorkbook" queryTableFieldId="1" dataDxfId="22"/>
    <tableColumn id="2" xr3:uid="{056A59DD-9EE6-4C2A-ACAA-89B6E46C910E}" uniqueName="2" name="TableName" queryTableFieldId="2"/>
    <tableColumn id="3" xr3:uid="{8DF6802B-D410-45AE-9D15-C50E9117609F}" uniqueName="3" name="ModuleCode" queryTableFieldId="3"/>
    <tableColumn id="4" xr3:uid="{E0C4B368-BA73-4CCE-A9F5-8922F5861C9B}" uniqueName="4" name="ItemSuffix" queryTableFieldId="4"/>
    <tableColumn id="5" xr3:uid="{2797B127-D16F-454E-84C7-272E31B7482A}" uniqueName="5" name="Programme" queryTableFieldId="5"/>
    <tableColumn id="6" xr3:uid="{D6F8079E-6D5C-4C36-BABE-28EB36E4012F}" uniqueName="6" name="ProgCode" queryTableFieldId="6"/>
    <tableColumn id="7" xr3:uid="{8D14C48D-CBC3-400E-81E9-6F0681692934}" uniqueName="7" name="ModuleTitle" queryTableFieldId="7" dataDxfId="21"/>
    <tableColumn id="8" xr3:uid="{DF7DA70B-93A0-40DD-98AA-4C08124C70BA}" uniqueName="8" name="Module Code" queryTableFieldId="8"/>
    <tableColumn id="9" xr3:uid="{FAAE5880-C92F-481C-8097-8F8322253A9B}" uniqueName="9" name="Module Title" queryTableFieldId="9"/>
    <tableColumn id="10" xr3:uid="{E6AE5C3B-DF30-49E7-8765-50C4DB804E41}" uniqueName="10" name="Credits" queryTableFieldId="10"/>
    <tableColumn id="11" xr3:uid="{A57425FF-B3CB-45A6-995C-75A6F4B8C891}" uniqueName="11" name="Semester" queryTableFieldId="11"/>
    <tableColumn id="12" xr3:uid="{6CD989A4-11EA-4B0A-A48A-1EE8E37FAC22}" uniqueName="12" name="Level" queryTableFieldId="12"/>
    <tableColumn id="13" xr3:uid="{CF4BAA35-2ABF-4C79-9029-1716BC66177D}" uniqueName="13" name="Module Leader" queryTableFieldId="13"/>
    <tableColumn id="14" xr3:uid="{3535CA93-28B3-4CB5-8CA6-08960EF98B3C}" uniqueName="14" name="Module Type" queryTableFieldId="14"/>
    <tableColumn id="15" xr3:uid="{76DCAC03-903D-4828-9953-4251AEB1E9C8}" uniqueName="15" name="Programme(s)" queryTableFieldId="15"/>
  </tableColumns>
  <tableStyleInfo name="TableStyleMedium7" showFirstColumn="0" showLastColumn="0" showRowStripes="1" showColumnStripes="0"/>
</table>
</file>

<file path=xl/tables/table1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F247321-C0E5-47F4-B08E-A84840CA9014}" name="SN_Module_Overview" displayName="SN_Module_Overview" ref="A1:I18" tableType="queryTable" totalsRowShown="0">
  <autoFilter ref="A1:I18" xr:uid="{0F247321-C0E5-47F4-B08E-A84840CA9014}"/>
  <tableColumns count="9">
    <tableColumn id="1" xr3:uid="{2AE1AA27-4E85-47A3-9B7D-64188709B2DC}" uniqueName="1" name="ModuleCode" queryTableFieldId="1"/>
    <tableColumn id="2" xr3:uid="{1FF69297-C8D7-43FE-BF7D-AD7F344C8A27}" uniqueName="2" name="ModuleTitle" queryTableFieldId="2" dataDxfId="20"/>
    <tableColumn id="3" xr3:uid="{6CF8F607-91ED-4067-82DD-CD2F50CFE063}" uniqueName="3" name="Level" queryTableFieldId="3"/>
    <tableColumn id="4" xr3:uid="{5C58CFE9-D357-4AE1-82E4-2332113240F9}" uniqueName="4" name="Semester" queryTableFieldId="4"/>
    <tableColumn id="5" xr3:uid="{960521E9-3C40-4061-96F5-CC49E6D374A2}" uniqueName="5" name="Credits" queryTableFieldId="5"/>
    <tableColumn id="6" xr3:uid="{4ECF8367-0AC8-4675-BDBE-97286FC526B9}" uniqueName="6" name="Module Leader" queryTableFieldId="6"/>
    <tableColumn id="7" xr3:uid="{70E8F0DF-346E-41B7-AB81-B5F8A7FBFA39}" uniqueName="7" name="Module Type" queryTableFieldId="7"/>
    <tableColumn id="8" xr3:uid="{525342BE-D77D-44B6-B21C-02CD9DC7383E}" uniqueName="8" name="Total Contact Hours" queryTableFieldId="8"/>
    <tableColumn id="9" xr3:uid="{E44A9F5F-5C8F-49E8-A973-89885A6FE04C}" uniqueName="9" name="Hours per Credit" queryTableFieldId="9"/>
  </tableColumns>
  <tableStyleInfo name="TableStyleMedium7" showFirstColumn="0" showLastColumn="0" showRowStripes="1" showColumnStripes="0"/>
</table>
</file>

<file path=xl/tables/table1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92E72646-0645-4A95-8C10-1DF55F132F8D}" name="SN_Hours_Wide" displayName="SN_Hours_Wide" ref="A1:N18" tableType="queryTable" totalsRowShown="0">
  <autoFilter ref="A1:N18" xr:uid="{92E72646-0645-4A95-8C10-1DF55F132F8D}"/>
  <tableColumns count="14">
    <tableColumn id="1" xr3:uid="{45B061DB-2DBB-4587-80A9-CD720342BD3F}" uniqueName="1" name="SourceWorkbook" queryTableFieldId="1" dataDxfId="19"/>
    <tableColumn id="2" xr3:uid="{1AD63889-1B3A-420A-A87F-5D153750BAA9}" uniqueName="2" name="TableName" queryTableFieldId="2"/>
    <tableColumn id="3" xr3:uid="{C02F5651-616C-4020-9A72-79AFE0DDCA0F}" uniqueName="3" name="ModuleCode" queryTableFieldId="3"/>
    <tableColumn id="4" xr3:uid="{3A667AEA-B302-45F7-ADF3-31315E680696}" uniqueName="4" name="ItemSuffix" queryTableFieldId="4"/>
    <tableColumn id="5" xr3:uid="{ABBFD919-0B4C-4CD6-982B-65F959951A67}" uniqueName="5" name="Programme" queryTableFieldId="5"/>
    <tableColumn id="6" xr3:uid="{1CE32898-254A-4828-8A2B-2761FB94361B}" uniqueName="6" name="ProgCode" queryTableFieldId="6"/>
    <tableColumn id="7" xr3:uid="{2DE5BB6A-EBA2-45F9-AE25-D299B13B1FE5}" uniqueName="7" name="ModuleTitle" queryTableFieldId="7" dataDxfId="18"/>
    <tableColumn id="8" xr3:uid="{C69C4945-9E46-45C5-8B2D-AA67FA114C8D}" uniqueName="8" name="Lecture" queryTableFieldId="8"/>
    <tableColumn id="9" xr3:uid="{D9C41D27-9B1D-420D-9C0F-46B281096372}" uniqueName="9" name="Seminar" queryTableFieldId="9"/>
    <tableColumn id="10" xr3:uid="{7439345E-72B5-4348-896D-D3A77582CB3B}" uniqueName="10" name="Practical" queryTableFieldId="10"/>
    <tableColumn id="11" xr3:uid="{B696B92F-8FAB-49E4-B391-5EA37D5C95EB}" uniqueName="11" name="Workshop" queryTableFieldId="11"/>
    <tableColumn id="12" xr3:uid="{4DABCD70-15B2-44FE-A5B2-D9E41B73B5FF}" uniqueName="12" name="Online" queryTableFieldId="12"/>
    <tableColumn id="13" xr3:uid="{86A4E1D7-7249-408A-A00F-98A7F4AE80F9}" uniqueName="13" name="Total" queryTableFieldId="13"/>
    <tableColumn id="14" xr3:uid="{C5C8CC49-8066-49D3-AC02-8A88598AA0A0}" uniqueName="14" name="Online - synchronous" queryTableFieldId="14"/>
  </tableColumns>
  <tableStyleInfo name="TableStyleMedium7" showFirstColumn="0" showLastColumn="0" showRowStripes="1" showColumnStripes="0"/>
</table>
</file>

<file path=xl/tables/table1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AB23B270-D800-42FF-B90C-0DC728DA4A31}" name="SN_SkillsCoverage" displayName="SN_SkillsCoverage" ref="A1:E65" tableType="queryTable" totalsRowShown="0">
  <autoFilter ref="A1:E65" xr:uid="{AB23B270-D800-42FF-B90C-0DC728DA4A31}"/>
  <tableColumns count="5">
    <tableColumn id="1" xr3:uid="{0726BA83-813F-45BA-B8A2-A202273E5C44}" uniqueName="1" name="Category" queryTableFieldId="1"/>
    <tableColumn id="2" xr3:uid="{FCA4B703-8D79-47EE-9AB0-B94BCAAE9804}" uniqueName="2" name="Skill" queryTableFieldId="2"/>
    <tableColumn id="3" xr3:uid="{231610F0-9DCE-4501-9308-DF8082FA7C22}" uniqueName="3" name="Modules Covering" queryTableFieldId="3" dataDxfId="17"/>
    <tableColumn id="4" xr3:uid="{7954AE73-89F2-4A97-B6A1-0B7ECD98F8B7}" uniqueName="4" name="Module Count" queryTableFieldId="4"/>
    <tableColumn id="5" xr3:uid="{13B0DAB1-7AE5-4991-B376-5A9938206F3F}" uniqueName="5" name="Covered" queryTableFieldId="5"/>
  </tableColumns>
  <tableStyleInfo name="TableStyleMedium7" showFirstColumn="0" showLastColumn="0" showRowStripes="1" showColumnStripes="0"/>
</table>
</file>

<file path=xl/tables/table1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DCD3492-99A2-440E-BCAB-D2B33A1A8D4D}" name="SN_Mapping" displayName="SN_Mapping" ref="A1:K209" tableType="queryTable" totalsRowShown="0">
  <autoFilter ref="A1:K209" xr:uid="{3DCD3492-99A2-440E-BCAB-D2B33A1A8D4D}"/>
  <tableColumns count="11">
    <tableColumn id="1" xr3:uid="{63B3E9FE-E530-45A9-93D7-2084EECF9193}" uniqueName="1" name="SourceWorkbook" queryTableFieldId="1" dataDxfId="16"/>
    <tableColumn id="2" xr3:uid="{D29DB0FF-09BA-433C-9CD6-DE794CDB4A8A}" uniqueName="2" name="TableName" queryTableFieldId="2"/>
    <tableColumn id="3" xr3:uid="{EC82B133-03A9-4857-A571-316889038AA8}" uniqueName="3" name="Assessment No" queryTableFieldId="3"/>
    <tableColumn id="4" xr3:uid="{D30D702C-EAC1-4714-AB70-362CBAC85F02}" uniqueName="4" name="LO Number" queryTableFieldId="4"/>
    <tableColumn id="5" xr3:uid="{AF96062E-6D0C-44ED-A85E-84BDA494A7EB}" uniqueName="5" name="Graduate Skills Category" queryTableFieldId="5"/>
    <tableColumn id="6" xr3:uid="{2A0D1BC8-C295-498D-A17C-700D12D5E303}" uniqueName="6" name="Graduate Skill" queryTableFieldId="6"/>
    <tableColumn id="7" xr3:uid="{6496B0F4-B06B-4DF8-8CA6-48000FA680AC}" uniqueName="7" name="ModuleCode" queryTableFieldId="7"/>
    <tableColumn id="8" xr3:uid="{2A72939B-1DB8-46A1-AFC8-45FEAE7F0D76}" uniqueName="8" name="ItemSuffix" queryTableFieldId="8"/>
    <tableColumn id="9" xr3:uid="{BF737CF9-A5B7-4E29-BB1E-E98F4C206F40}" uniqueName="9" name="Programme" queryTableFieldId="9"/>
    <tableColumn id="10" xr3:uid="{1CFFD257-0CB4-45DB-97CE-92F4D64CC47B}" uniqueName="10" name="ProgCode" queryTableFieldId="10"/>
    <tableColumn id="11" xr3:uid="{C8B7C1F6-45A6-47DE-B74E-2485B0B79CFF}" uniqueName="11" name="ModuleTitle" queryTableFieldId="11" dataDxfId="15"/>
  </tableColumns>
  <tableStyleInfo name="TableStyleMedium7" showFirstColumn="0" showLastColumn="0" showRowStripes="1" showColumnStripes="0"/>
</table>
</file>

<file path=xl/tables/table1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63A7AE2D-D9D0-4454-B1FA-F5FC924BBDCC}" name="SN_Hours" displayName="SN_Hours" ref="A1:I103" tableType="queryTable" totalsRowShown="0">
  <autoFilter ref="A1:I103" xr:uid="{63A7AE2D-D9D0-4454-B1FA-F5FC924BBDCC}"/>
  <tableColumns count="9">
    <tableColumn id="1" xr3:uid="{5E351629-EDCE-44CD-A0A9-6E7B36157926}" uniqueName="1" name="SourceWorkbook" queryTableFieldId="1" dataDxfId="14"/>
    <tableColumn id="2" xr3:uid="{146E6BCB-8E6E-45FB-B5BA-3564BE03A492}" uniqueName="2" name="TableName" queryTableFieldId="2"/>
    <tableColumn id="3" xr3:uid="{29DE99D7-FFA7-42A3-AB2B-3154BE18453B}" uniqueName="3" name="Component" queryTableFieldId="3"/>
    <tableColumn id="4" xr3:uid="{CCB8E40C-D156-4A8C-A556-34061AD326AD}" uniqueName="4" name="Contact Hours" queryTableFieldId="4"/>
    <tableColumn id="5" xr3:uid="{F0A325DB-B05F-484C-8494-EF81BD719F79}" uniqueName="5" name="ModuleCode" queryTableFieldId="5"/>
    <tableColumn id="6" xr3:uid="{F0901E72-C308-43B7-9FC5-48DC1F112DBB}" uniqueName="6" name="ItemSuffix" queryTableFieldId="6"/>
    <tableColumn id="7" xr3:uid="{2A45F51D-4BF9-4376-985B-3E517B3ADBDB}" uniqueName="7" name="Programme" queryTableFieldId="7"/>
    <tableColumn id="8" xr3:uid="{5FD535F5-FECB-4F43-B026-5AABCC82800F}" uniqueName="8" name="ProgCode" queryTableFieldId="8"/>
    <tableColumn id="9" xr3:uid="{E7E7126F-6AE3-4DDE-8DE8-9A8CB662C03E}" uniqueName="9" name="ModuleTitle" queryTableFieldId="9" dataDxfId="13"/>
  </tableColumns>
  <tableStyleInfo name="TableStyleMedium7" showFirstColumn="0" showLastColumn="0" showRowStripes="1" showColumnStripes="0"/>
</table>
</file>

<file path=xl/tables/table1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EEB8243-7495-4293-B333-D2DE792E9920}" name="SN_Meta" displayName="SN_Meta" ref="A1:I137" tableType="queryTable" totalsRowShown="0">
  <autoFilter ref="A1:I137" xr:uid="{DEEB8243-7495-4293-B333-D2DE792E9920}"/>
  <tableColumns count="9">
    <tableColumn id="1" xr3:uid="{8C508E04-57D2-4ADE-BBE9-4DE4CE466831}" uniqueName="1" name="SourceWorkbook" queryTableFieldId="1" dataDxfId="12"/>
    <tableColumn id="2" xr3:uid="{1C041896-A821-496B-8468-70AA31685BB1}" uniqueName="2" name="TableName" queryTableFieldId="2"/>
    <tableColumn id="3" xr3:uid="{B017B42B-57BB-4145-8C29-0D0AA8E85BF0}" uniqueName="3" name="Module Data" queryTableFieldId="3"/>
    <tableColumn id="4" xr3:uid="{B61898EC-6D2D-4E85-A4D1-5FB59562CE30}" uniqueName="4" name="Details" queryTableFieldId="4"/>
    <tableColumn id="5" xr3:uid="{3AD7DD78-94C4-4E4C-8770-2BE9F146AE6D}" uniqueName="5" name="ModuleCode" queryTableFieldId="5"/>
    <tableColumn id="6" xr3:uid="{A8FD403E-7849-4887-82CC-ACB874B92E09}" uniqueName="6" name="ItemSuffix" queryTableFieldId="6"/>
    <tableColumn id="7" xr3:uid="{397A0391-D978-408F-B933-D1CFD8A4A01F}" uniqueName="7" name="Programme" queryTableFieldId="7"/>
    <tableColumn id="8" xr3:uid="{461FA777-9679-4AF8-AB5B-FFC5161FF49E}" uniqueName="8" name="ProgCode" queryTableFieldId="8"/>
    <tableColumn id="9" xr3:uid="{F53740A3-9CDB-4750-8C9E-BD923DCED77E}" uniqueName="9" name="ModuleTitle" queryTableFieldId="9" dataDxfId="11"/>
  </tableColumns>
  <tableStyleInfo name="TableStyleMedium7" showFirstColumn="0" showLastColumn="0" showRowStripes="1" showColumnStripes="0"/>
</table>
</file>

<file path=xl/tables/table1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150048A8-A97E-437D-8B7C-2BE0C21D311A}" name="SN_Assess" displayName="SN_Assess" ref="A1:M36" tableType="queryTable" totalsRowShown="0">
  <autoFilter ref="A1:M36" xr:uid="{150048A8-A97E-437D-8B7C-2BE0C21D311A}"/>
  <tableColumns count="13">
    <tableColumn id="1" xr3:uid="{CDFB70A2-8E7E-43AC-B91D-025A3D5EF8F7}" uniqueName="1" name="SourceWorkbook" queryTableFieldId="1" dataDxfId="10"/>
    <tableColumn id="2" xr3:uid="{1B5D4028-3A23-45B0-9FCC-CF6FBCA5442D}" uniqueName="2" name="TableName" queryTableFieldId="2"/>
    <tableColumn id="3" xr3:uid="{D3FA7983-D23C-4C4F-8982-E4DDC914B625}" uniqueName="3" name="Assessment No" queryTableFieldId="3"/>
    <tableColumn id="4" xr3:uid="{2987CC06-0895-4EEE-800E-9028AB75840B}" uniqueName="4" name="Assessment Type" queryTableFieldId="4"/>
    <tableColumn id="5" xr3:uid="{4A1EDF53-9B66-493A-81FD-1D1361BE1025}" uniqueName="5" name="Assessment Specific" queryTableFieldId="5"/>
    <tableColumn id="6" xr3:uid="{7DBF2004-5DCA-46FC-B2A3-383178924505}" uniqueName="6" name="Assessment Description" queryTableFieldId="6"/>
    <tableColumn id="7" xr3:uid="{CD7A5A84-AD13-405B-B314-8A3ABB555AAD}" uniqueName="7" name="Weighting" queryTableFieldId="7"/>
    <tableColumn id="8" xr3:uid="{D59EB96C-2AC2-46D7-9469-7CFC544BF737}" uniqueName="8" name="Due Week" queryTableFieldId="8"/>
    <tableColumn id="9" xr3:uid="{B8076B52-F69E-478E-A25E-F90F9A0703FC}" uniqueName="9" name="ModuleCode" queryTableFieldId="9"/>
    <tableColumn id="10" xr3:uid="{5EE78A53-9DAF-48B6-9E0A-C500B745CBF2}" uniqueName="10" name="ItemSuffix" queryTableFieldId="10"/>
    <tableColumn id="11" xr3:uid="{73FBAC3E-EB1E-4CE3-8F61-EDD9929A6FDD}" uniqueName="11" name="Programme" queryTableFieldId="11"/>
    <tableColumn id="12" xr3:uid="{4B6F8765-2B3C-4AEB-BF2A-9CF1D4CAE986}" uniqueName="12" name="ProgCode" queryTableFieldId="12"/>
    <tableColumn id="13" xr3:uid="{5376C6A3-FB25-4B6B-B186-0D2A2E42FDD3}" uniqueName="13" name="ModuleTitle" queryTableFieldId="13" dataDxfId="9"/>
  </tableColumns>
  <tableStyleInfo name="TableStyleMedium7" showFirstColumn="0" showLastColumn="0" showRowStripes="1" showColumnStripes="0"/>
</table>
</file>

<file path=xl/tables/table1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D8454E5-7924-45F1-8F14-3F8A9BB1AD72}" name="SN_LO" displayName="SN_LO" ref="A1:I53" tableType="queryTable" totalsRowShown="0">
  <autoFilter ref="A1:I53" xr:uid="{DD8454E5-7924-45F1-8F14-3F8A9BB1AD72}"/>
  <tableColumns count="9">
    <tableColumn id="1" xr3:uid="{A6C0823E-8693-4936-9A6A-489E8BF10D94}" uniqueName="1" name="SourceWorkbook" queryTableFieldId="1" dataDxfId="8"/>
    <tableColumn id="2" xr3:uid="{88F774CD-B677-40FB-AAB0-3E32CC1166D6}" uniqueName="2" name="TableName" queryTableFieldId="2"/>
    <tableColumn id="3" xr3:uid="{E273EAF0-F943-4B64-AB90-DB451ADC9E5D}" uniqueName="3" name="LO Number" queryTableFieldId="3"/>
    <tableColumn id="4" xr3:uid="{9997DBAA-4E76-433D-B405-FD6FF85B159C}" uniqueName="4" name="LO Description" queryTableFieldId="4"/>
    <tableColumn id="5" xr3:uid="{19E3E733-DA2C-46C9-BE7F-BAA5D7DF96B2}" uniqueName="5" name="ModuleCode" queryTableFieldId="5"/>
    <tableColumn id="6" xr3:uid="{7C8BA71F-A8CC-405F-9B40-6FB3004F8CDD}" uniqueName="6" name="ItemSuffix" queryTableFieldId="6"/>
    <tableColumn id="7" xr3:uid="{EF976653-1D9E-479D-A56F-7EB28AA8D3AF}" uniqueName="7" name="Programme" queryTableFieldId="7"/>
    <tableColumn id="8" xr3:uid="{026EB71A-D490-453A-8F09-65509F50FFE8}" uniqueName="8" name="ProgCode" queryTableFieldId="8"/>
    <tableColumn id="9" xr3:uid="{8326C0FD-8413-4002-A891-305E78409160}" uniqueName="9" name="ModuleTitle" queryTableFieldId="9" dataDxfId="7"/>
  </tableColumns>
  <tableStyleInfo name="TableStyleMedium7" showFirstColumn="0" showLastColumn="0" showRowStripes="1" showColumnStripes="0"/>
</table>
</file>

<file path=xl/tables/table1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A28D849E-6EFC-4A5A-932B-B6AE93050561}" name="LISTS_Assess" displayName="LISTS_Assess" ref="G14:G28" totalsRowShown="0" headerRowDxfId="6" dataDxfId="5">
  <autoFilter ref="G14:G28" xr:uid="{A28D849E-6EFC-4A5A-932B-B6AE93050561}"/>
  <tableColumns count="1">
    <tableColumn id="1" xr3:uid="{F9243E19-CFCD-47CF-90F4-B3457FC6A715}" name="Assessment Specific" dataDxfId="4"/>
  </tableColumns>
  <tableStyleInfo name="TableStyleMedium2" showFirstColumn="0" showLastColumn="0" showRowStripes="1" showColumnStripes="0"/>
</table>
</file>

<file path=xl/tables/table1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BD39377-1E4D-4F11-AC33-A85FBA00A712}" name="LISTS_Table" displayName="LISTS_Table" ref="J19:K83" totalsRowShown="0" headerRowDxfId="3" dataDxfId="2">
  <autoFilter ref="J19:K83" xr:uid="{EBD39377-1E4D-4F11-AC33-A85FBA00A712}"/>
  <tableColumns count="2">
    <tableColumn id="1" xr3:uid="{88D4BEFB-0FE7-43D9-9144-A385F91AD367}" name="Category" dataDxfId="1"/>
    <tableColumn id="2" xr3:uid="{F16DBD3E-74AC-4DBC-9629-934DF2FB76A6}" name="Skill"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table" Target="../tables/table7.xml"/><Relationship Id="rId3" Type="http://schemas.openxmlformats.org/officeDocument/2006/relationships/table" Target="../tables/table2.xml"/><Relationship Id="rId7" Type="http://schemas.openxmlformats.org/officeDocument/2006/relationships/table" Target="../tables/table6.xml"/><Relationship Id="rId2" Type="http://schemas.openxmlformats.org/officeDocument/2006/relationships/table" Target="../tables/table1.xml"/><Relationship Id="rId1" Type="http://schemas.openxmlformats.org/officeDocument/2006/relationships/printerSettings" Target="../printerSettings/printerSettings1.bin"/><Relationship Id="rId6" Type="http://schemas.openxmlformats.org/officeDocument/2006/relationships/table" Target="../tables/table5.xml"/><Relationship Id="rId11" Type="http://schemas.openxmlformats.org/officeDocument/2006/relationships/table" Target="../tables/table10.xml"/><Relationship Id="rId5" Type="http://schemas.openxmlformats.org/officeDocument/2006/relationships/table" Target="../tables/table4.xml"/><Relationship Id="rId10" Type="http://schemas.openxmlformats.org/officeDocument/2006/relationships/table" Target="../tables/table9.xml"/><Relationship Id="rId4" Type="http://schemas.openxmlformats.org/officeDocument/2006/relationships/table" Target="../tables/table3.xml"/><Relationship Id="rId9" Type="http://schemas.openxmlformats.org/officeDocument/2006/relationships/table" Target="../tables/table8.xml"/></Relationships>
</file>

<file path=xl/worksheets/_rels/sheet2.xml.rels><?xml version="1.0" encoding="UTF-8" standalone="yes"?>
<Relationships xmlns="http://schemas.openxmlformats.org/package/2006/relationships"><Relationship Id="rId8" Type="http://schemas.openxmlformats.org/officeDocument/2006/relationships/table" Target="../tables/table17.xml"/><Relationship Id="rId3" Type="http://schemas.openxmlformats.org/officeDocument/2006/relationships/table" Target="../tables/table12.xml"/><Relationship Id="rId7" Type="http://schemas.openxmlformats.org/officeDocument/2006/relationships/table" Target="../tables/table16.xml"/><Relationship Id="rId2" Type="http://schemas.openxmlformats.org/officeDocument/2006/relationships/table" Target="../tables/table11.xml"/><Relationship Id="rId1" Type="http://schemas.openxmlformats.org/officeDocument/2006/relationships/printerSettings" Target="../printerSettings/printerSettings2.bin"/><Relationship Id="rId6" Type="http://schemas.openxmlformats.org/officeDocument/2006/relationships/table" Target="../tables/table15.xml"/><Relationship Id="rId11" Type="http://schemas.openxmlformats.org/officeDocument/2006/relationships/table" Target="../tables/table20.xml"/><Relationship Id="rId5" Type="http://schemas.openxmlformats.org/officeDocument/2006/relationships/table" Target="../tables/table14.xml"/><Relationship Id="rId10" Type="http://schemas.openxmlformats.org/officeDocument/2006/relationships/table" Target="../tables/table19.xml"/><Relationship Id="rId4" Type="http://schemas.openxmlformats.org/officeDocument/2006/relationships/table" Target="../tables/table13.xml"/><Relationship Id="rId9" Type="http://schemas.openxmlformats.org/officeDocument/2006/relationships/table" Target="../tables/table18.xml"/></Relationships>
</file>

<file path=xl/worksheets/_rels/sheet3.xml.rels><?xml version="1.0" encoding="UTF-8" standalone="yes"?>
<Relationships xmlns="http://schemas.openxmlformats.org/package/2006/relationships"><Relationship Id="rId8" Type="http://schemas.openxmlformats.org/officeDocument/2006/relationships/table" Target="../tables/table27.xml"/><Relationship Id="rId3" Type="http://schemas.openxmlformats.org/officeDocument/2006/relationships/table" Target="../tables/table22.xml"/><Relationship Id="rId7" Type="http://schemas.openxmlformats.org/officeDocument/2006/relationships/table" Target="../tables/table26.xml"/><Relationship Id="rId2" Type="http://schemas.openxmlformats.org/officeDocument/2006/relationships/table" Target="../tables/table21.xml"/><Relationship Id="rId1" Type="http://schemas.openxmlformats.org/officeDocument/2006/relationships/printerSettings" Target="../printerSettings/printerSettings3.bin"/><Relationship Id="rId6" Type="http://schemas.openxmlformats.org/officeDocument/2006/relationships/table" Target="../tables/table25.xml"/><Relationship Id="rId11" Type="http://schemas.openxmlformats.org/officeDocument/2006/relationships/table" Target="../tables/table30.xml"/><Relationship Id="rId5" Type="http://schemas.openxmlformats.org/officeDocument/2006/relationships/table" Target="../tables/table24.xml"/><Relationship Id="rId10" Type="http://schemas.openxmlformats.org/officeDocument/2006/relationships/table" Target="../tables/table29.xml"/><Relationship Id="rId4" Type="http://schemas.openxmlformats.org/officeDocument/2006/relationships/table" Target="../tables/table23.xml"/><Relationship Id="rId9" Type="http://schemas.openxmlformats.org/officeDocument/2006/relationships/table" Target="../tables/table28.xml"/></Relationships>
</file>

<file path=xl/worksheets/_rels/sheet4.xml.rels><?xml version="1.0" encoding="UTF-8" standalone="yes"?>
<Relationships xmlns="http://schemas.openxmlformats.org/package/2006/relationships"><Relationship Id="rId8" Type="http://schemas.openxmlformats.org/officeDocument/2006/relationships/table" Target="../tables/table37.xml"/><Relationship Id="rId3" Type="http://schemas.openxmlformats.org/officeDocument/2006/relationships/table" Target="../tables/table32.xml"/><Relationship Id="rId7" Type="http://schemas.openxmlformats.org/officeDocument/2006/relationships/table" Target="../tables/table36.xml"/><Relationship Id="rId2" Type="http://schemas.openxmlformats.org/officeDocument/2006/relationships/table" Target="../tables/table31.xml"/><Relationship Id="rId1" Type="http://schemas.openxmlformats.org/officeDocument/2006/relationships/printerSettings" Target="../printerSettings/printerSettings4.bin"/><Relationship Id="rId6" Type="http://schemas.openxmlformats.org/officeDocument/2006/relationships/table" Target="../tables/table35.xml"/><Relationship Id="rId11" Type="http://schemas.openxmlformats.org/officeDocument/2006/relationships/table" Target="../tables/table40.xml"/><Relationship Id="rId5" Type="http://schemas.openxmlformats.org/officeDocument/2006/relationships/table" Target="../tables/table34.xml"/><Relationship Id="rId10" Type="http://schemas.openxmlformats.org/officeDocument/2006/relationships/table" Target="../tables/table39.xml"/><Relationship Id="rId4" Type="http://schemas.openxmlformats.org/officeDocument/2006/relationships/table" Target="../tables/table33.xml"/><Relationship Id="rId9" Type="http://schemas.openxmlformats.org/officeDocument/2006/relationships/table" Target="../tables/table38.xml"/></Relationships>
</file>

<file path=xl/worksheets/_rels/sheet5.xml.rels><?xml version="1.0" encoding="UTF-8" standalone="yes"?>
<Relationships xmlns="http://schemas.openxmlformats.org/package/2006/relationships"><Relationship Id="rId8" Type="http://schemas.openxmlformats.org/officeDocument/2006/relationships/table" Target="../tables/table47.xml"/><Relationship Id="rId3" Type="http://schemas.openxmlformats.org/officeDocument/2006/relationships/table" Target="../tables/table42.xml"/><Relationship Id="rId7" Type="http://schemas.openxmlformats.org/officeDocument/2006/relationships/table" Target="../tables/table46.xml"/><Relationship Id="rId2" Type="http://schemas.openxmlformats.org/officeDocument/2006/relationships/table" Target="../tables/table41.xml"/><Relationship Id="rId1" Type="http://schemas.openxmlformats.org/officeDocument/2006/relationships/printerSettings" Target="../printerSettings/printerSettings5.bin"/><Relationship Id="rId6" Type="http://schemas.openxmlformats.org/officeDocument/2006/relationships/table" Target="../tables/table45.xml"/><Relationship Id="rId11" Type="http://schemas.openxmlformats.org/officeDocument/2006/relationships/table" Target="../tables/table50.xml"/><Relationship Id="rId5" Type="http://schemas.openxmlformats.org/officeDocument/2006/relationships/table" Target="../tables/table44.xml"/><Relationship Id="rId10" Type="http://schemas.openxmlformats.org/officeDocument/2006/relationships/table" Target="../tables/table49.xml"/><Relationship Id="rId4" Type="http://schemas.openxmlformats.org/officeDocument/2006/relationships/table" Target="../tables/table43.xml"/><Relationship Id="rId9" Type="http://schemas.openxmlformats.org/officeDocument/2006/relationships/table" Target="../tables/table48.xml"/></Relationships>
</file>

<file path=xl/worksheets/_rels/sheet6.xml.rels><?xml version="1.0" encoding="UTF-8" standalone="yes"?>
<Relationships xmlns="http://schemas.openxmlformats.org/package/2006/relationships"><Relationship Id="rId8" Type="http://schemas.openxmlformats.org/officeDocument/2006/relationships/table" Target="../tables/table57.xml"/><Relationship Id="rId3" Type="http://schemas.openxmlformats.org/officeDocument/2006/relationships/table" Target="../tables/table52.xml"/><Relationship Id="rId7" Type="http://schemas.openxmlformats.org/officeDocument/2006/relationships/table" Target="../tables/table56.xml"/><Relationship Id="rId2" Type="http://schemas.openxmlformats.org/officeDocument/2006/relationships/table" Target="../tables/table51.xml"/><Relationship Id="rId1" Type="http://schemas.openxmlformats.org/officeDocument/2006/relationships/printerSettings" Target="../printerSettings/printerSettings6.bin"/><Relationship Id="rId6" Type="http://schemas.openxmlformats.org/officeDocument/2006/relationships/table" Target="../tables/table55.xml"/><Relationship Id="rId11" Type="http://schemas.openxmlformats.org/officeDocument/2006/relationships/table" Target="../tables/table60.xml"/><Relationship Id="rId5" Type="http://schemas.openxmlformats.org/officeDocument/2006/relationships/table" Target="../tables/table54.xml"/><Relationship Id="rId10" Type="http://schemas.openxmlformats.org/officeDocument/2006/relationships/table" Target="../tables/table59.xml"/><Relationship Id="rId4" Type="http://schemas.openxmlformats.org/officeDocument/2006/relationships/table" Target="../tables/table53.xml"/><Relationship Id="rId9" Type="http://schemas.openxmlformats.org/officeDocument/2006/relationships/table" Target="../tables/table58.xml"/></Relationships>
</file>

<file path=xl/worksheets/_rels/sheet7.xml.rels><?xml version="1.0" encoding="UTF-8" standalone="yes"?>
<Relationships xmlns="http://schemas.openxmlformats.org/package/2006/relationships"><Relationship Id="rId8" Type="http://schemas.openxmlformats.org/officeDocument/2006/relationships/table" Target="../tables/table67.xml"/><Relationship Id="rId3" Type="http://schemas.openxmlformats.org/officeDocument/2006/relationships/table" Target="../tables/table62.xml"/><Relationship Id="rId7" Type="http://schemas.openxmlformats.org/officeDocument/2006/relationships/table" Target="../tables/table66.xml"/><Relationship Id="rId2" Type="http://schemas.openxmlformats.org/officeDocument/2006/relationships/table" Target="../tables/table61.xml"/><Relationship Id="rId1" Type="http://schemas.openxmlformats.org/officeDocument/2006/relationships/printerSettings" Target="../printerSettings/printerSettings7.bin"/><Relationship Id="rId6" Type="http://schemas.openxmlformats.org/officeDocument/2006/relationships/table" Target="../tables/table65.xml"/><Relationship Id="rId11" Type="http://schemas.openxmlformats.org/officeDocument/2006/relationships/table" Target="../tables/table70.xml"/><Relationship Id="rId5" Type="http://schemas.openxmlformats.org/officeDocument/2006/relationships/table" Target="../tables/table64.xml"/><Relationship Id="rId10" Type="http://schemas.openxmlformats.org/officeDocument/2006/relationships/table" Target="../tables/table69.xml"/><Relationship Id="rId4" Type="http://schemas.openxmlformats.org/officeDocument/2006/relationships/table" Target="../tables/table63.xml"/><Relationship Id="rId9" Type="http://schemas.openxmlformats.org/officeDocument/2006/relationships/table" Target="../tables/table68.xml"/></Relationships>
</file>

<file path=xl/worksheets/_rels/sheet8.xml.rels><?xml version="1.0" encoding="UTF-8" standalone="yes"?>
<Relationships xmlns="http://schemas.openxmlformats.org/package/2006/relationships"><Relationship Id="rId8" Type="http://schemas.openxmlformats.org/officeDocument/2006/relationships/table" Target="../tables/table77.xml"/><Relationship Id="rId3" Type="http://schemas.openxmlformats.org/officeDocument/2006/relationships/table" Target="../tables/table72.xml"/><Relationship Id="rId7" Type="http://schemas.openxmlformats.org/officeDocument/2006/relationships/table" Target="../tables/table76.xml"/><Relationship Id="rId2" Type="http://schemas.openxmlformats.org/officeDocument/2006/relationships/table" Target="../tables/table71.xml"/><Relationship Id="rId1" Type="http://schemas.openxmlformats.org/officeDocument/2006/relationships/printerSettings" Target="../printerSettings/printerSettings8.bin"/><Relationship Id="rId6" Type="http://schemas.openxmlformats.org/officeDocument/2006/relationships/table" Target="../tables/table75.xml"/><Relationship Id="rId11" Type="http://schemas.openxmlformats.org/officeDocument/2006/relationships/table" Target="../tables/table80.xml"/><Relationship Id="rId5" Type="http://schemas.openxmlformats.org/officeDocument/2006/relationships/table" Target="../tables/table74.xml"/><Relationship Id="rId10" Type="http://schemas.openxmlformats.org/officeDocument/2006/relationships/table" Target="../tables/table79.xml"/><Relationship Id="rId4" Type="http://schemas.openxmlformats.org/officeDocument/2006/relationships/table" Target="../tables/table73.xml"/><Relationship Id="rId9" Type="http://schemas.openxmlformats.org/officeDocument/2006/relationships/table" Target="../tables/table78.xml"/></Relationships>
</file>

<file path=xl/worksheets/_rels/sheet9.xml.rels><?xml version="1.0" encoding="UTF-8" standalone="yes"?>
<Relationships xmlns="http://schemas.openxmlformats.org/package/2006/relationships"><Relationship Id="rId8" Type="http://schemas.openxmlformats.org/officeDocument/2006/relationships/table" Target="../tables/table87.xml"/><Relationship Id="rId3" Type="http://schemas.openxmlformats.org/officeDocument/2006/relationships/table" Target="../tables/table82.xml"/><Relationship Id="rId7" Type="http://schemas.openxmlformats.org/officeDocument/2006/relationships/table" Target="../tables/table86.xml"/><Relationship Id="rId2" Type="http://schemas.openxmlformats.org/officeDocument/2006/relationships/table" Target="../tables/table81.xml"/><Relationship Id="rId1" Type="http://schemas.openxmlformats.org/officeDocument/2006/relationships/printerSettings" Target="../printerSettings/printerSettings9.bin"/><Relationship Id="rId6" Type="http://schemas.openxmlformats.org/officeDocument/2006/relationships/table" Target="../tables/table85.xml"/><Relationship Id="rId11" Type="http://schemas.openxmlformats.org/officeDocument/2006/relationships/table" Target="../tables/table90.xml"/><Relationship Id="rId5" Type="http://schemas.openxmlformats.org/officeDocument/2006/relationships/table" Target="../tables/table84.xml"/><Relationship Id="rId10" Type="http://schemas.openxmlformats.org/officeDocument/2006/relationships/table" Target="../tables/table89.xml"/><Relationship Id="rId4" Type="http://schemas.openxmlformats.org/officeDocument/2006/relationships/table" Target="../tables/table83.xml"/><Relationship Id="rId9" Type="http://schemas.openxmlformats.org/officeDocument/2006/relationships/table" Target="../tables/table88.xml"/></Relationships>
</file>

<file path=xl/worksheets/_rels/sheet10.xml.rels><?xml version="1.0" encoding="UTF-8" standalone="yes"?>
<Relationships xmlns="http://schemas.openxmlformats.org/package/2006/relationships"><Relationship Id="rId8" Type="http://schemas.openxmlformats.org/officeDocument/2006/relationships/table" Target="../tables/table97.xml"/><Relationship Id="rId3" Type="http://schemas.openxmlformats.org/officeDocument/2006/relationships/table" Target="../tables/table92.xml"/><Relationship Id="rId7" Type="http://schemas.openxmlformats.org/officeDocument/2006/relationships/table" Target="../tables/table96.xml"/><Relationship Id="rId2" Type="http://schemas.openxmlformats.org/officeDocument/2006/relationships/table" Target="../tables/table91.xml"/><Relationship Id="rId1" Type="http://schemas.openxmlformats.org/officeDocument/2006/relationships/printerSettings" Target="../printerSettings/printerSettings10.bin"/><Relationship Id="rId6" Type="http://schemas.openxmlformats.org/officeDocument/2006/relationships/table" Target="../tables/table95.xml"/><Relationship Id="rId11" Type="http://schemas.openxmlformats.org/officeDocument/2006/relationships/table" Target="../tables/table100.xml"/><Relationship Id="rId5" Type="http://schemas.openxmlformats.org/officeDocument/2006/relationships/table" Target="../tables/table94.xml"/><Relationship Id="rId10" Type="http://schemas.openxmlformats.org/officeDocument/2006/relationships/table" Target="../tables/table99.xml"/><Relationship Id="rId4" Type="http://schemas.openxmlformats.org/officeDocument/2006/relationships/table" Target="../tables/table93.xml"/><Relationship Id="rId9" Type="http://schemas.openxmlformats.org/officeDocument/2006/relationships/table" Target="../tables/table98.xml"/></Relationships>
</file>

<file path=xl/worksheets/_rels/sheet11.xml.rels><?xml version="1.0" encoding="UTF-8" standalone="yes"?>
<Relationships xmlns="http://schemas.openxmlformats.org/package/2006/relationships"><Relationship Id="rId8" Type="http://schemas.openxmlformats.org/officeDocument/2006/relationships/table" Target="../tables/table107.xml"/><Relationship Id="rId3" Type="http://schemas.openxmlformats.org/officeDocument/2006/relationships/table" Target="../tables/table102.xml"/><Relationship Id="rId7" Type="http://schemas.openxmlformats.org/officeDocument/2006/relationships/table" Target="../tables/table106.xml"/><Relationship Id="rId2" Type="http://schemas.openxmlformats.org/officeDocument/2006/relationships/table" Target="../tables/table101.xml"/><Relationship Id="rId1" Type="http://schemas.openxmlformats.org/officeDocument/2006/relationships/printerSettings" Target="../printerSettings/printerSettings11.bin"/><Relationship Id="rId6" Type="http://schemas.openxmlformats.org/officeDocument/2006/relationships/table" Target="../tables/table105.xml"/><Relationship Id="rId11" Type="http://schemas.openxmlformats.org/officeDocument/2006/relationships/table" Target="../tables/table110.xml"/><Relationship Id="rId5" Type="http://schemas.openxmlformats.org/officeDocument/2006/relationships/table" Target="../tables/table104.xml"/><Relationship Id="rId10" Type="http://schemas.openxmlformats.org/officeDocument/2006/relationships/table" Target="../tables/table109.xml"/><Relationship Id="rId4" Type="http://schemas.openxmlformats.org/officeDocument/2006/relationships/table" Target="../tables/table103.xml"/><Relationship Id="rId9" Type="http://schemas.openxmlformats.org/officeDocument/2006/relationships/table" Target="../tables/table108.xml"/></Relationships>
</file>

<file path=xl/worksheets/_rels/sheet12.xml.rels><?xml version="1.0" encoding="UTF-8" standalone="yes"?>
<Relationships xmlns="http://schemas.openxmlformats.org/package/2006/relationships"><Relationship Id="rId8" Type="http://schemas.openxmlformats.org/officeDocument/2006/relationships/table" Target="../tables/table117.xml"/><Relationship Id="rId3" Type="http://schemas.openxmlformats.org/officeDocument/2006/relationships/table" Target="../tables/table112.xml"/><Relationship Id="rId7" Type="http://schemas.openxmlformats.org/officeDocument/2006/relationships/table" Target="../tables/table116.xml"/><Relationship Id="rId2" Type="http://schemas.openxmlformats.org/officeDocument/2006/relationships/table" Target="../tables/table111.xml"/><Relationship Id="rId1" Type="http://schemas.openxmlformats.org/officeDocument/2006/relationships/printerSettings" Target="../printerSettings/printerSettings12.bin"/><Relationship Id="rId6" Type="http://schemas.openxmlformats.org/officeDocument/2006/relationships/table" Target="../tables/table115.xml"/><Relationship Id="rId11" Type="http://schemas.openxmlformats.org/officeDocument/2006/relationships/table" Target="../tables/table120.xml"/><Relationship Id="rId5" Type="http://schemas.openxmlformats.org/officeDocument/2006/relationships/table" Target="../tables/table114.xml"/><Relationship Id="rId10" Type="http://schemas.openxmlformats.org/officeDocument/2006/relationships/table" Target="../tables/table119.xml"/><Relationship Id="rId4" Type="http://schemas.openxmlformats.org/officeDocument/2006/relationships/table" Target="../tables/table113.xml"/><Relationship Id="rId9" Type="http://schemas.openxmlformats.org/officeDocument/2006/relationships/table" Target="../tables/table118.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21.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22.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23.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24.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25.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26.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27.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128.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129.xml"/></Relationships>
</file>

<file path=xl/worksheets/_rels/sheet22.xml.rels><?xml version="1.0" encoding="UTF-8" standalone="yes"?>
<Relationships xmlns="http://schemas.openxmlformats.org/package/2006/relationships"><Relationship Id="rId2" Type="http://schemas.openxmlformats.org/officeDocument/2006/relationships/table" Target="../tables/table131.xml"/><Relationship Id="rId1" Type="http://schemas.openxmlformats.org/officeDocument/2006/relationships/table" Target="../tables/table13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D79C83-4B63-438B-8ADB-C2BAECC10A91}">
  <sheetPr codeName="Sheet1"/>
  <dimension ref="B2:H94"/>
  <sheetViews>
    <sheetView showGridLines="0" topLeftCell="A34" zoomScale="85" zoomScaleNormal="85" workbookViewId="0">
      <selection activeCell="C57" sqref="C57:F57"/>
    </sheetView>
  </sheetViews>
  <sheetFormatPr defaultRowHeight="15"/>
  <cols>
    <col min="3" max="3" width="33.28515625" customWidth="1"/>
    <col min="4" max="4" width="51.5703125" customWidth="1"/>
    <col min="5" max="5" width="67.28515625" customWidth="1"/>
    <col min="6" max="6" width="63.140625" customWidth="1"/>
    <col min="7" max="7" width="12.42578125" customWidth="1"/>
    <col min="8" max="8" width="15.5703125" customWidth="1"/>
    <col min="9" max="9" width="14.7109375" customWidth="1"/>
  </cols>
  <sheetData>
    <row r="2" spans="2:6" ht="26.25">
      <c r="C2" s="27" t="str">
        <f>D7</f>
        <v>4001SPS</v>
      </c>
      <c r="D2" s="27" t="str">
        <f>D8</f>
        <v>Professional Practice 1 in Sport Nutrition</v>
      </c>
    </row>
    <row r="3" spans="2:6">
      <c r="B3" s="28"/>
      <c r="C3" s="28"/>
    </row>
    <row r="4" spans="2:6">
      <c r="B4" s="29"/>
      <c r="C4" s="29"/>
    </row>
    <row r="5" spans="2:6" ht="18.75">
      <c r="B5" s="29"/>
      <c r="C5" s="30" t="s">
        <v>0</v>
      </c>
    </row>
    <row r="6" spans="2:6">
      <c r="B6" s="29"/>
      <c r="C6" s="31" t="s">
        <v>1</v>
      </c>
      <c r="D6" s="32" t="s">
        <v>2</v>
      </c>
      <c r="E6" s="32"/>
      <c r="F6" t="s">
        <v>3</v>
      </c>
    </row>
    <row r="7" spans="2:6">
      <c r="B7" s="29"/>
      <c r="C7" s="36" t="s">
        <v>4</v>
      </c>
      <c r="D7" s="1" t="s">
        <v>5</v>
      </c>
      <c r="E7" s="32"/>
      <c r="F7" s="6" t="s">
        <v>6</v>
      </c>
    </row>
    <row r="8" spans="2:6">
      <c r="B8" s="29"/>
      <c r="C8" s="36" t="s">
        <v>7</v>
      </c>
      <c r="D8" s="6" t="s">
        <v>8</v>
      </c>
      <c r="E8" s="32"/>
      <c r="F8" s="4"/>
    </row>
    <row r="9" spans="2:6">
      <c r="C9" s="36" t="s">
        <v>9</v>
      </c>
      <c r="D9" s="1">
        <v>20</v>
      </c>
      <c r="E9" s="32"/>
    </row>
    <row r="10" spans="2:6">
      <c r="C10" s="36" t="s">
        <v>10</v>
      </c>
      <c r="D10" s="1" t="s">
        <v>11</v>
      </c>
      <c r="E10" s="32"/>
      <c r="F10" t="s">
        <v>12</v>
      </c>
    </row>
    <row r="11" spans="2:6">
      <c r="C11" s="36" t="s">
        <v>13</v>
      </c>
      <c r="D11" s="1">
        <v>4</v>
      </c>
      <c r="E11" s="32"/>
      <c r="F11" s="7" t="s">
        <v>14</v>
      </c>
    </row>
    <row r="12" spans="2:6">
      <c r="C12" s="36" t="s">
        <v>15</v>
      </c>
      <c r="D12" s="1" t="s">
        <v>16</v>
      </c>
      <c r="E12" s="32"/>
      <c r="F12" s="4"/>
    </row>
    <row r="13" spans="2:6">
      <c r="C13" s="36" t="s">
        <v>17</v>
      </c>
      <c r="D13" s="1" t="s">
        <v>18</v>
      </c>
      <c r="E13" s="32"/>
      <c r="F13" s="4"/>
    </row>
    <row r="14" spans="2:6">
      <c r="C14" s="36" t="s">
        <v>19</v>
      </c>
      <c r="D14" s="1" t="s">
        <v>20</v>
      </c>
      <c r="E14" s="32"/>
    </row>
    <row r="15" spans="2:6">
      <c r="C15" s="31"/>
      <c r="D15" s="32"/>
      <c r="E15" s="32"/>
      <c r="F15" t="s">
        <v>21</v>
      </c>
    </row>
    <row r="16" spans="2:6">
      <c r="C16" s="31"/>
      <c r="D16" s="32"/>
      <c r="E16" s="32"/>
      <c r="F16" s="6" t="s">
        <v>22</v>
      </c>
    </row>
    <row r="17" spans="3:6" ht="18.75">
      <c r="C17" s="30" t="s">
        <v>23</v>
      </c>
      <c r="D17" s="32"/>
      <c r="E17" s="32"/>
      <c r="F17" s="4"/>
    </row>
    <row r="18" spans="3:6">
      <c r="C18" s="31" t="s">
        <v>24</v>
      </c>
      <c r="D18" s="28" t="s">
        <v>23</v>
      </c>
      <c r="E18" s="32"/>
      <c r="F18" s="9"/>
    </row>
    <row r="19" spans="3:6">
      <c r="C19" s="36" t="s">
        <v>25</v>
      </c>
      <c r="D19" s="2">
        <v>20</v>
      </c>
      <c r="E19" s="32"/>
      <c r="F19" s="4"/>
    </row>
    <row r="20" spans="3:6">
      <c r="C20" s="36" t="s">
        <v>26</v>
      </c>
      <c r="D20" s="2">
        <v>10</v>
      </c>
      <c r="E20" s="32"/>
      <c r="F20" s="4"/>
    </row>
    <row r="21" spans="3:6">
      <c r="C21" s="36" t="s">
        <v>27</v>
      </c>
      <c r="D21" s="2">
        <v>6</v>
      </c>
      <c r="E21" s="32"/>
    </row>
    <row r="22" spans="3:6">
      <c r="C22" s="36" t="s">
        <v>28</v>
      </c>
      <c r="D22" s="2">
        <v>14</v>
      </c>
      <c r="E22" s="32"/>
      <c r="F22" t="s">
        <v>29</v>
      </c>
    </row>
    <row r="23" spans="3:6">
      <c r="C23" s="36" t="s">
        <v>30</v>
      </c>
      <c r="D23" s="2"/>
      <c r="E23" s="32"/>
      <c r="F23" s="8" t="s">
        <v>31</v>
      </c>
    </row>
    <row r="24" spans="3:6">
      <c r="C24" s="36" t="s">
        <v>32</v>
      </c>
      <c r="D24" s="28">
        <f>SUM(D19:D23)</f>
        <v>50</v>
      </c>
      <c r="E24" s="32"/>
      <c r="F24" s="8" t="s">
        <v>33</v>
      </c>
    </row>
    <row r="25" spans="3:6">
      <c r="F25" s="8" t="s">
        <v>34</v>
      </c>
    </row>
    <row r="26" spans="3:6">
      <c r="F26" s="8" t="s">
        <v>35</v>
      </c>
    </row>
    <row r="27" spans="3:6" ht="18.75">
      <c r="C27" s="30" t="s">
        <v>36</v>
      </c>
      <c r="D27" s="33" t="s">
        <v>37</v>
      </c>
      <c r="F27" s="8" t="s">
        <v>38</v>
      </c>
    </row>
    <row r="28" spans="3:6">
      <c r="C28" s="31" t="s">
        <v>39</v>
      </c>
      <c r="D28" s="31" t="s">
        <v>40</v>
      </c>
      <c r="E28" s="31"/>
      <c r="F28" s="8" t="s">
        <v>41</v>
      </c>
    </row>
    <row r="29" spans="3:6">
      <c r="C29" s="36" t="s">
        <v>42</v>
      </c>
      <c r="D29" s="8" t="s">
        <v>43</v>
      </c>
      <c r="E29" s="32"/>
      <c r="F29" s="10" t="s">
        <v>44</v>
      </c>
    </row>
    <row r="30" spans="3:6">
      <c r="C30" s="36" t="s">
        <v>45</v>
      </c>
      <c r="D30" s="8" t="s">
        <v>46</v>
      </c>
      <c r="E30" s="32"/>
      <c r="F30" s="4"/>
    </row>
    <row r="31" spans="3:6">
      <c r="C31" s="36" t="s">
        <v>47</v>
      </c>
      <c r="D31" s="8" t="s">
        <v>48</v>
      </c>
      <c r="E31" s="32"/>
      <c r="F31" s="4"/>
    </row>
    <row r="32" spans="3:6">
      <c r="C32" s="36" t="s">
        <v>49</v>
      </c>
      <c r="D32" s="1"/>
      <c r="E32" s="32"/>
      <c r="F32" s="4"/>
    </row>
    <row r="33" spans="3:8">
      <c r="C33" s="36" t="s">
        <v>50</v>
      </c>
      <c r="D33" s="1"/>
      <c r="E33" s="32"/>
      <c r="F33" s="4"/>
    </row>
    <row r="36" spans="3:8" ht="18.75">
      <c r="C36" s="30" t="s">
        <v>51</v>
      </c>
    </row>
    <row r="37" spans="3:8">
      <c r="C37" s="31" t="s">
        <v>52</v>
      </c>
      <c r="D37" s="31" t="s">
        <v>53</v>
      </c>
      <c r="E37" s="31" t="s">
        <v>54</v>
      </c>
      <c r="F37" s="31" t="s">
        <v>55</v>
      </c>
      <c r="G37" s="31" t="s">
        <v>56</v>
      </c>
      <c r="H37" s="31" t="s">
        <v>57</v>
      </c>
    </row>
    <row r="38" spans="3:8">
      <c r="C38" s="36" t="s">
        <v>58</v>
      </c>
      <c r="D38" s="1" t="s">
        <v>59</v>
      </c>
      <c r="E38" s="8" t="s">
        <v>60</v>
      </c>
      <c r="F38" s="6" t="s">
        <v>61</v>
      </c>
      <c r="G38" s="3">
        <v>0.5</v>
      </c>
      <c r="H38" s="1">
        <v>12</v>
      </c>
    </row>
    <row r="39" spans="3:8">
      <c r="C39" s="36" t="s">
        <v>62</v>
      </c>
      <c r="D39" s="1" t="s">
        <v>59</v>
      </c>
      <c r="E39" s="8" t="s">
        <v>63</v>
      </c>
      <c r="F39" s="6" t="s">
        <v>64</v>
      </c>
      <c r="G39" s="3">
        <v>0.5</v>
      </c>
      <c r="H39" s="1">
        <v>32</v>
      </c>
    </row>
    <row r="40" spans="3:8">
      <c r="C40" s="36" t="s">
        <v>65</v>
      </c>
      <c r="D40" s="4"/>
      <c r="E40" s="4"/>
      <c r="F40" s="4"/>
      <c r="G40" s="4"/>
      <c r="H40" s="4"/>
    </row>
    <row r="41" spans="3:8">
      <c r="C41" s="36" t="s">
        <v>66</v>
      </c>
      <c r="D41" s="4"/>
      <c r="E41" s="4"/>
      <c r="F41" s="4"/>
      <c r="G41" s="4"/>
      <c r="H41" s="4"/>
    </row>
    <row r="42" spans="3:8">
      <c r="C42" s="31"/>
    </row>
    <row r="44" spans="3:8" ht="18.75">
      <c r="C44" s="30" t="s">
        <v>67</v>
      </c>
      <c r="D44" s="33"/>
    </row>
    <row r="45" spans="3:8">
      <c r="C45" s="28" t="s">
        <v>52</v>
      </c>
      <c r="D45" s="28" t="s">
        <v>39</v>
      </c>
      <c r="E45" s="28" t="s">
        <v>68</v>
      </c>
      <c r="F45" s="28" t="s">
        <v>69</v>
      </c>
    </row>
    <row r="46" spans="3:8">
      <c r="C46" s="5" t="s">
        <v>58</v>
      </c>
      <c r="D46" s="4" t="s">
        <v>42</v>
      </c>
      <c r="E46" s="4" t="s">
        <v>70</v>
      </c>
      <c r="F46" s="4" t="s">
        <v>71</v>
      </c>
    </row>
    <row r="47" spans="3:8">
      <c r="C47" s="5" t="s">
        <v>58</v>
      </c>
      <c r="D47" s="4" t="s">
        <v>45</v>
      </c>
      <c r="E47" s="4" t="s">
        <v>72</v>
      </c>
      <c r="F47" s="4" t="s">
        <v>73</v>
      </c>
    </row>
    <row r="48" spans="3:8">
      <c r="C48" s="5" t="s">
        <v>58</v>
      </c>
      <c r="D48" s="4" t="s">
        <v>45</v>
      </c>
      <c r="E48" s="4" t="s">
        <v>74</v>
      </c>
      <c r="F48" s="4" t="s">
        <v>75</v>
      </c>
    </row>
    <row r="49" spans="3:6">
      <c r="C49" s="5" t="s">
        <v>58</v>
      </c>
      <c r="D49" s="4" t="s">
        <v>42</v>
      </c>
      <c r="E49" s="4" t="s">
        <v>76</v>
      </c>
      <c r="F49" s="4" t="s">
        <v>77</v>
      </c>
    </row>
    <row r="50" spans="3:6">
      <c r="C50" s="5" t="s">
        <v>58</v>
      </c>
      <c r="D50" s="4" t="s">
        <v>45</v>
      </c>
      <c r="E50" s="4" t="s">
        <v>78</v>
      </c>
      <c r="F50" s="4" t="s">
        <v>79</v>
      </c>
    </row>
    <row r="51" spans="3:6">
      <c r="C51" s="5" t="s">
        <v>62</v>
      </c>
      <c r="D51" s="4" t="s">
        <v>45</v>
      </c>
      <c r="E51" s="4" t="s">
        <v>70</v>
      </c>
      <c r="F51" s="4" t="s">
        <v>80</v>
      </c>
    </row>
    <row r="52" spans="3:6">
      <c r="C52" s="5" t="s">
        <v>62</v>
      </c>
      <c r="D52" s="4" t="s">
        <v>47</v>
      </c>
      <c r="E52" s="4" t="s">
        <v>74</v>
      </c>
      <c r="F52" s="4" t="s">
        <v>75</v>
      </c>
    </row>
    <row r="53" spans="3:6">
      <c r="C53" s="5" t="s">
        <v>62</v>
      </c>
      <c r="D53" s="4" t="s">
        <v>45</v>
      </c>
      <c r="E53" s="4" t="s">
        <v>78</v>
      </c>
      <c r="F53" s="4" t="s">
        <v>81</v>
      </c>
    </row>
    <row r="54" spans="3:6">
      <c r="C54" s="5" t="s">
        <v>58</v>
      </c>
      <c r="D54" s="4" t="s">
        <v>42</v>
      </c>
      <c r="E54" s="4" t="s">
        <v>76</v>
      </c>
      <c r="F54" s="4" t="s">
        <v>82</v>
      </c>
    </row>
    <row r="55" spans="3:6">
      <c r="C55" s="5" t="s">
        <v>58</v>
      </c>
      <c r="D55" s="4" t="s">
        <v>45</v>
      </c>
      <c r="E55" s="4" t="s">
        <v>78</v>
      </c>
      <c r="F55" s="4" t="s">
        <v>83</v>
      </c>
    </row>
    <row r="56" spans="3:6">
      <c r="C56" s="5" t="s">
        <v>62</v>
      </c>
      <c r="D56" s="4" t="s">
        <v>47</v>
      </c>
      <c r="E56" s="4" t="s">
        <v>70</v>
      </c>
      <c r="F56" s="4" t="s">
        <v>84</v>
      </c>
    </row>
    <row r="57" spans="3:6">
      <c r="C57" s="51" t="s">
        <v>58</v>
      </c>
      <c r="D57" s="52" t="s">
        <v>45</v>
      </c>
      <c r="E57" s="52" t="s">
        <v>85</v>
      </c>
      <c r="F57" s="52" t="s">
        <v>86</v>
      </c>
    </row>
    <row r="58" spans="3:6">
      <c r="C58" s="5"/>
      <c r="D58" s="4"/>
      <c r="E58" s="4"/>
      <c r="F58" s="4"/>
    </row>
    <row r="59" spans="3:6">
      <c r="C59" s="5"/>
      <c r="D59" s="4"/>
      <c r="E59" s="4"/>
      <c r="F59" s="4"/>
    </row>
    <row r="60" spans="3:6">
      <c r="C60" s="5"/>
      <c r="D60" s="4"/>
      <c r="E60" s="4"/>
      <c r="F60" s="4"/>
    </row>
    <row r="61" spans="3:6">
      <c r="C61" s="5"/>
      <c r="D61" s="4"/>
      <c r="E61" s="4"/>
      <c r="F61" s="4"/>
    </row>
    <row r="62" spans="3:6">
      <c r="C62" s="5"/>
      <c r="D62" s="4"/>
      <c r="E62" s="4"/>
      <c r="F62" s="4"/>
    </row>
    <row r="63" spans="3:6">
      <c r="C63" s="5"/>
      <c r="D63" s="4"/>
      <c r="E63" s="4"/>
      <c r="F63" s="4"/>
    </row>
    <row r="64" spans="3:6">
      <c r="C64" s="5"/>
      <c r="D64" s="4"/>
      <c r="E64" s="4"/>
      <c r="F64" s="4"/>
    </row>
    <row r="65" spans="2:6">
      <c r="C65" s="5"/>
      <c r="D65" s="4"/>
      <c r="E65" s="4"/>
      <c r="F65" s="4"/>
    </row>
    <row r="66" spans="2:6">
      <c r="C66" s="5"/>
      <c r="D66" s="4"/>
      <c r="E66" s="4"/>
      <c r="F66" s="4"/>
    </row>
    <row r="69" spans="2:6" ht="18.75">
      <c r="C69" s="30" t="s">
        <v>87</v>
      </c>
    </row>
    <row r="70" spans="2:6">
      <c r="B70" t="s">
        <v>88</v>
      </c>
      <c r="C70" s="28" t="s">
        <v>89</v>
      </c>
      <c r="D70" s="28" t="s">
        <v>90</v>
      </c>
      <c r="E70" s="28" t="s">
        <v>91</v>
      </c>
      <c r="F70" s="28" t="s">
        <v>92</v>
      </c>
    </row>
    <row r="71" spans="2:6">
      <c r="B71" s="37">
        <v>1</v>
      </c>
      <c r="C71" s="38">
        <v>1</v>
      </c>
      <c r="D71" s="11" t="s">
        <v>93</v>
      </c>
      <c r="E71" s="6" t="s">
        <v>94</v>
      </c>
      <c r="F71" s="6" t="s">
        <v>95</v>
      </c>
    </row>
    <row r="72" spans="2:6">
      <c r="B72" s="37">
        <v>1</v>
      </c>
      <c r="C72" s="38">
        <v>2</v>
      </c>
      <c r="D72" s="6" t="s">
        <v>96</v>
      </c>
      <c r="E72" s="11" t="s">
        <v>97</v>
      </c>
      <c r="F72" s="6" t="s">
        <v>98</v>
      </c>
    </row>
    <row r="73" spans="2:6">
      <c r="B73" s="37">
        <v>1</v>
      </c>
      <c r="C73" s="38">
        <v>3</v>
      </c>
      <c r="D73" s="6" t="s">
        <v>99</v>
      </c>
      <c r="E73" s="6" t="s">
        <v>100</v>
      </c>
      <c r="F73" s="11" t="s">
        <v>101</v>
      </c>
    </row>
    <row r="74" spans="2:6">
      <c r="B74" s="37">
        <v>1</v>
      </c>
      <c r="C74" s="38">
        <v>4</v>
      </c>
      <c r="D74" s="11" t="s">
        <v>102</v>
      </c>
      <c r="E74" s="6" t="s">
        <v>103</v>
      </c>
      <c r="F74" s="6" t="s">
        <v>104</v>
      </c>
    </row>
    <row r="75" spans="2:6">
      <c r="B75" s="37">
        <v>1</v>
      </c>
      <c r="C75" s="38">
        <v>5</v>
      </c>
      <c r="D75" s="6" t="s">
        <v>105</v>
      </c>
      <c r="E75" s="11" t="s">
        <v>106</v>
      </c>
      <c r="F75" s="6" t="s">
        <v>107</v>
      </c>
    </row>
    <row r="76" spans="2:6">
      <c r="B76" s="37">
        <v>1</v>
      </c>
      <c r="C76" s="38">
        <v>6</v>
      </c>
      <c r="D76" s="6" t="s">
        <v>108</v>
      </c>
      <c r="E76" s="10" t="s">
        <v>109</v>
      </c>
      <c r="F76" s="6" t="s">
        <v>110</v>
      </c>
    </row>
    <row r="77" spans="2:6">
      <c r="B77" s="37">
        <v>1</v>
      </c>
      <c r="C77" s="38">
        <v>7</v>
      </c>
      <c r="D77" s="6" t="s">
        <v>111</v>
      </c>
      <c r="E77" s="11" t="s">
        <v>112</v>
      </c>
      <c r="F77" s="6" t="s">
        <v>113</v>
      </c>
    </row>
    <row r="78" spans="2:6">
      <c r="B78" s="37">
        <v>1</v>
      </c>
      <c r="C78" s="38">
        <v>8</v>
      </c>
      <c r="D78" s="6" t="s">
        <v>114</v>
      </c>
      <c r="E78" s="6" t="s">
        <v>115</v>
      </c>
      <c r="F78" s="6" t="s">
        <v>116</v>
      </c>
    </row>
    <row r="79" spans="2:6">
      <c r="B79" s="37">
        <v>1</v>
      </c>
      <c r="C79" s="38">
        <v>9</v>
      </c>
      <c r="D79" s="11" t="s">
        <v>117</v>
      </c>
      <c r="E79" s="6" t="s">
        <v>118</v>
      </c>
      <c r="F79" s="6" t="s">
        <v>119</v>
      </c>
    </row>
    <row r="80" spans="2:6">
      <c r="B80" s="37">
        <v>1</v>
      </c>
      <c r="C80" s="38">
        <v>10</v>
      </c>
      <c r="D80" s="12" t="s">
        <v>120</v>
      </c>
      <c r="E80" s="13" t="s">
        <v>121</v>
      </c>
      <c r="F80" s="14" t="s">
        <v>122</v>
      </c>
    </row>
    <row r="81" spans="2:6">
      <c r="B81" s="37">
        <v>1</v>
      </c>
      <c r="C81" s="38">
        <v>11</v>
      </c>
      <c r="D81" s="12" t="s">
        <v>123</v>
      </c>
      <c r="E81" s="13" t="s">
        <v>124</v>
      </c>
      <c r="F81" s="14" t="s">
        <v>125</v>
      </c>
    </row>
    <row r="82" spans="2:6">
      <c r="B82" s="37">
        <v>1</v>
      </c>
      <c r="C82" s="38">
        <v>12</v>
      </c>
      <c r="D82" s="12" t="s">
        <v>126</v>
      </c>
      <c r="E82" s="13" t="s">
        <v>127</v>
      </c>
      <c r="F82" s="14" t="s">
        <v>128</v>
      </c>
    </row>
    <row r="83" spans="2:6">
      <c r="B83" s="37">
        <v>2</v>
      </c>
      <c r="C83" s="38">
        <v>1</v>
      </c>
      <c r="D83" s="1"/>
      <c r="E83" s="1"/>
      <c r="F83" s="1"/>
    </row>
    <row r="84" spans="2:6">
      <c r="B84" s="37">
        <v>2</v>
      </c>
      <c r="C84" s="38">
        <v>2</v>
      </c>
      <c r="D84" s="1"/>
      <c r="E84" s="1"/>
      <c r="F84" s="1"/>
    </row>
    <row r="85" spans="2:6">
      <c r="B85" s="37">
        <v>2</v>
      </c>
      <c r="C85" s="38">
        <v>3</v>
      </c>
      <c r="D85" s="1"/>
      <c r="E85" s="1"/>
      <c r="F85" s="1"/>
    </row>
    <row r="86" spans="2:6">
      <c r="B86" s="37">
        <v>2</v>
      </c>
      <c r="C86" s="38">
        <v>4</v>
      </c>
      <c r="D86" s="1"/>
      <c r="E86" s="1"/>
      <c r="F86" s="1"/>
    </row>
    <row r="87" spans="2:6">
      <c r="B87" s="37">
        <v>2</v>
      </c>
      <c r="C87" s="38">
        <v>5</v>
      </c>
      <c r="D87" s="1"/>
      <c r="E87" s="1"/>
      <c r="F87" s="1"/>
    </row>
    <row r="88" spans="2:6">
      <c r="B88" s="37">
        <v>2</v>
      </c>
      <c r="C88" s="38">
        <v>6</v>
      </c>
      <c r="D88" s="1"/>
      <c r="E88" s="1"/>
      <c r="F88" s="1"/>
    </row>
    <row r="89" spans="2:6">
      <c r="B89" s="37">
        <v>2</v>
      </c>
      <c r="C89" s="38">
        <v>7</v>
      </c>
      <c r="D89" s="1"/>
      <c r="E89" s="1"/>
      <c r="F89" s="1"/>
    </row>
    <row r="90" spans="2:6">
      <c r="B90" s="37">
        <v>2</v>
      </c>
      <c r="C90" s="38">
        <v>8</v>
      </c>
      <c r="D90" s="1"/>
      <c r="E90" s="1"/>
      <c r="F90" s="1"/>
    </row>
    <row r="91" spans="2:6">
      <c r="B91" s="37">
        <v>2</v>
      </c>
      <c r="C91" s="38">
        <v>9</v>
      </c>
      <c r="D91" s="1"/>
      <c r="E91" s="1"/>
      <c r="F91" s="1"/>
    </row>
    <row r="92" spans="2:6">
      <c r="B92" s="37">
        <v>2</v>
      </c>
      <c r="C92" s="38">
        <v>10</v>
      </c>
      <c r="D92" s="1"/>
      <c r="E92" s="1"/>
      <c r="F92" s="1"/>
    </row>
    <row r="93" spans="2:6">
      <c r="B93" s="37">
        <v>2</v>
      </c>
      <c r="C93" s="38">
        <v>11</v>
      </c>
      <c r="D93" s="1"/>
      <c r="E93" s="1"/>
      <c r="F93" s="1"/>
    </row>
    <row r="94" spans="2:6">
      <c r="B94" s="37">
        <v>2</v>
      </c>
      <c r="C94" s="38">
        <v>12</v>
      </c>
      <c r="D94" s="1"/>
      <c r="E94" s="1"/>
      <c r="F94" s="1"/>
    </row>
  </sheetData>
  <sheetProtection sheet="1" objects="1" scenarios="1" formatCells="0" formatColumns="0" formatRows="0" insertHyperlinks="0"/>
  <dataValidations count="4">
    <dataValidation type="list" allowBlank="1" showInputMessage="1" showErrorMessage="1" sqref="F46:F56 F58:F66" xr:uid="{E384A8D8-2515-4FB4-9A11-39224E1C065B}">
      <formula1>INDIRECT(VLOOKUP($E46, SkillNameMap, 2, FALSE))</formula1>
    </dataValidation>
    <dataValidation type="list" allowBlank="1" showInputMessage="1" showErrorMessage="1" sqref="E40:E41" xr:uid="{42DE33D6-5230-4EAD-911F-BB5BD54277F2}">
      <formula1>INDIRECT("LISTAssess[Assessment Specific]")</formula1>
    </dataValidation>
    <dataValidation type="whole" showInputMessage="1" showErrorMessage="1" error="This is not a realistic number of contact hours please change" sqref="D19" xr:uid="{10DA0BDB-6881-4DE2-8527-3C1CEEABB2A7}">
      <formula1>0</formula1>
      <formula2>80</formula2>
    </dataValidation>
    <dataValidation type="whole" showInputMessage="1" showErrorMessage="1" error="This is not a realistic number of contact hours please reduce" sqref="D20:D23" xr:uid="{E48C1905-2C10-4874-A717-610D2C32F199}">
      <formula1>0</formula1>
      <formula2>80</formula2>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49E86CF4-8108-4F51-B073-02276940F342}">
          <x14:formula1>
            <xm:f>LISTS!$J$7:$J$16</xm:f>
          </x14:formula1>
          <xm:sqref>E46:E56 E58:E66</xm:sqref>
        </x14:dataValidation>
        <x14:dataValidation type="list" allowBlank="1" showInputMessage="1" showErrorMessage="1" xr:uid="{06465257-54DA-440C-A18F-A20A74E289A8}">
          <x14:formula1>
            <xm:f>LISTS!$E$7:$E$11</xm:f>
          </x14:formula1>
          <xm:sqref>D46:D56 D58:D66</xm:sqref>
        </x14:dataValidation>
        <x14:dataValidation type="list" allowBlank="1" showInputMessage="1" showErrorMessage="1" xr:uid="{92190BF3-9D32-4DB4-A8BA-763515453B32}">
          <x14:formula1>
            <xm:f>LISTS!$G$7:$G$11</xm:f>
          </x14:formula1>
          <xm:sqref>D38:D42</xm:sqref>
        </x14:dataValidation>
        <x14:dataValidation type="list" allowBlank="1" showInputMessage="1" showErrorMessage="1" xr:uid="{9C410528-EEF6-42C6-92FD-9BC401213F1A}">
          <x14:formula1>
            <xm:f>LISTS!$C$11:$C$15</xm:f>
          </x14:formula1>
          <xm:sqref>D11</xm:sqref>
        </x14:dataValidation>
        <x14:dataValidation type="list" allowBlank="1" showInputMessage="1" showErrorMessage="1" xr:uid="{5F355864-A09D-4BF0-A234-3B9D71AC5817}">
          <x14:formula1>
            <xm:f>LISTS!$C$7:$C$9</xm:f>
          </x14:formula1>
          <xm:sqref>D10</xm:sqref>
        </x14:dataValidation>
        <x14:dataValidation type="list" allowBlank="1" showInputMessage="1" showErrorMessage="1" xr:uid="{3E88FD4F-65B0-4FA6-855E-DADD7E372352}">
          <x14:formula1>
            <xm:f>LISTS!$C$17:$C$22</xm:f>
          </x14:formula1>
          <xm:sqref>D13</xm:sqref>
        </x14:dataValidation>
        <x14:dataValidation type="list" allowBlank="1" showInputMessage="1" showErrorMessage="1" xr:uid="{D7C64E59-53DD-4059-A4BB-E06393A734C2}">
          <x14:formula1>
            <xm:f>LISTS!$C$26:$C$37</xm:f>
          </x14:formula1>
          <xm:sqref>D14</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6E7B7A-D282-4FA8-AE69-A4F29B437E85}">
  <sheetPr codeName="Sheet2"/>
  <dimension ref="B2:H94"/>
  <sheetViews>
    <sheetView showGridLines="0" topLeftCell="A29" zoomScale="85" zoomScaleNormal="85" workbookViewId="0">
      <selection activeCell="C55" sqref="C55:F56"/>
    </sheetView>
  </sheetViews>
  <sheetFormatPr defaultRowHeight="15"/>
  <cols>
    <col min="3" max="3" width="33.28515625" customWidth="1"/>
    <col min="4" max="4" width="51.5703125" customWidth="1"/>
    <col min="5" max="5" width="67.28515625" customWidth="1"/>
    <col min="6" max="6" width="63.140625" customWidth="1"/>
    <col min="7" max="7" width="12.42578125" customWidth="1"/>
    <col min="8" max="8" width="15.5703125" customWidth="1"/>
    <col min="9" max="9" width="14.7109375" customWidth="1"/>
  </cols>
  <sheetData>
    <row r="2" spans="2:6" ht="26.25">
      <c r="C2" s="27" t="str">
        <f>D7</f>
        <v>4003SPS</v>
      </c>
      <c r="D2" s="27" t="str">
        <f>D8</f>
        <v>Principles of Human Nutrition</v>
      </c>
    </row>
    <row r="3" spans="2:6">
      <c r="B3" s="28"/>
      <c r="C3" s="28"/>
    </row>
    <row r="4" spans="2:6">
      <c r="B4" s="29"/>
      <c r="C4" s="29"/>
    </row>
    <row r="5" spans="2:6" ht="18.75">
      <c r="B5" s="29"/>
      <c r="C5" s="30" t="s">
        <v>0</v>
      </c>
    </row>
    <row r="6" spans="2:6">
      <c r="B6" s="29"/>
      <c r="C6" s="31" t="s">
        <v>1</v>
      </c>
      <c r="D6" s="32" t="s">
        <v>2</v>
      </c>
      <c r="E6" s="32"/>
      <c r="F6" t="s">
        <v>3</v>
      </c>
    </row>
    <row r="7" spans="2:6">
      <c r="B7" s="29"/>
      <c r="C7" s="36" t="s">
        <v>4</v>
      </c>
      <c r="D7" s="1" t="s">
        <v>129</v>
      </c>
      <c r="E7" s="32"/>
      <c r="F7" s="6" t="s">
        <v>130</v>
      </c>
    </row>
    <row r="8" spans="2:6">
      <c r="B8" s="29"/>
      <c r="C8" s="36" t="s">
        <v>7</v>
      </c>
      <c r="D8" s="6" t="s">
        <v>131</v>
      </c>
      <c r="E8" s="32"/>
      <c r="F8" s="4"/>
    </row>
    <row r="9" spans="2:6">
      <c r="C9" s="36" t="s">
        <v>9</v>
      </c>
      <c r="D9" s="1">
        <v>20</v>
      </c>
      <c r="E9" s="32"/>
    </row>
    <row r="10" spans="2:6">
      <c r="C10" s="36" t="s">
        <v>10</v>
      </c>
      <c r="D10" s="1">
        <v>1</v>
      </c>
      <c r="E10" s="32"/>
      <c r="F10" t="s">
        <v>12</v>
      </c>
    </row>
    <row r="11" spans="2:6">
      <c r="C11" s="36" t="s">
        <v>13</v>
      </c>
      <c r="D11" s="1">
        <v>4</v>
      </c>
      <c r="E11" s="32"/>
      <c r="F11" s="6" t="s">
        <v>132</v>
      </c>
    </row>
    <row r="12" spans="2:6">
      <c r="C12" s="36" t="s">
        <v>15</v>
      </c>
      <c r="D12" s="1" t="s">
        <v>133</v>
      </c>
      <c r="E12" s="32"/>
      <c r="F12" s="4"/>
    </row>
    <row r="13" spans="2:6">
      <c r="C13" s="36" t="s">
        <v>17</v>
      </c>
      <c r="D13" s="1" t="s">
        <v>134</v>
      </c>
      <c r="E13" s="32"/>
      <c r="F13" s="4"/>
    </row>
    <row r="14" spans="2:6">
      <c r="C14" s="36" t="s">
        <v>19</v>
      </c>
      <c r="D14" s="1" t="s">
        <v>135</v>
      </c>
      <c r="E14" s="32"/>
    </row>
    <row r="15" spans="2:6">
      <c r="C15" s="31"/>
      <c r="D15" s="32"/>
      <c r="E15" s="32"/>
      <c r="F15" t="s">
        <v>21</v>
      </c>
    </row>
    <row r="16" spans="2:6">
      <c r="C16" s="31"/>
      <c r="D16" s="32"/>
      <c r="E16" s="32"/>
      <c r="F16" s="6" t="s">
        <v>136</v>
      </c>
    </row>
    <row r="17" spans="3:6" ht="18.75">
      <c r="C17" s="30" t="s">
        <v>23</v>
      </c>
      <c r="D17" s="32"/>
      <c r="E17" s="32"/>
      <c r="F17" s="4"/>
    </row>
    <row r="18" spans="3:6">
      <c r="C18" s="31" t="s">
        <v>24</v>
      </c>
      <c r="D18" s="28" t="s">
        <v>23</v>
      </c>
      <c r="E18" s="32"/>
      <c r="F18" s="4"/>
    </row>
    <row r="19" spans="3:6">
      <c r="C19" s="36" t="s">
        <v>25</v>
      </c>
      <c r="D19" s="2">
        <v>16</v>
      </c>
      <c r="E19" s="32"/>
      <c r="F19" s="4"/>
    </row>
    <row r="20" spans="3:6">
      <c r="C20" s="36" t="s">
        <v>26</v>
      </c>
      <c r="D20" s="2">
        <v>12</v>
      </c>
      <c r="E20" s="32"/>
      <c r="F20" s="4"/>
    </row>
    <row r="21" spans="3:6">
      <c r="C21" s="36" t="s">
        <v>27</v>
      </c>
      <c r="D21" s="2">
        <v>9</v>
      </c>
      <c r="E21" s="32"/>
    </row>
    <row r="22" spans="3:6">
      <c r="C22" s="36" t="s">
        <v>28</v>
      </c>
      <c r="D22" s="2">
        <v>4</v>
      </c>
      <c r="E22" s="32"/>
      <c r="F22" t="s">
        <v>29</v>
      </c>
    </row>
    <row r="23" spans="3:6">
      <c r="C23" s="36" t="s">
        <v>30</v>
      </c>
      <c r="D23" s="2"/>
      <c r="E23" s="32"/>
      <c r="F23" s="8" t="s">
        <v>137</v>
      </c>
    </row>
    <row r="24" spans="3:6">
      <c r="C24" s="36" t="s">
        <v>32</v>
      </c>
      <c r="D24" s="28">
        <f>SUM(D19:D23)</f>
        <v>41</v>
      </c>
      <c r="E24" s="32"/>
      <c r="F24" s="8" t="s">
        <v>138</v>
      </c>
    </row>
    <row r="25" spans="3:6">
      <c r="F25" s="8" t="s">
        <v>139</v>
      </c>
    </row>
    <row r="26" spans="3:6">
      <c r="F26" s="8" t="s">
        <v>140</v>
      </c>
    </row>
    <row r="27" spans="3:6" ht="18.75">
      <c r="C27" s="30" t="s">
        <v>36</v>
      </c>
      <c r="D27" s="33" t="s">
        <v>37</v>
      </c>
      <c r="F27" s="8" t="s">
        <v>141</v>
      </c>
    </row>
    <row r="28" spans="3:6">
      <c r="C28" s="31" t="s">
        <v>39</v>
      </c>
      <c r="D28" s="31" t="s">
        <v>40</v>
      </c>
      <c r="E28" s="31"/>
      <c r="F28" s="4"/>
    </row>
    <row r="29" spans="3:6">
      <c r="C29" s="36" t="s">
        <v>42</v>
      </c>
      <c r="D29" s="8" t="s">
        <v>142</v>
      </c>
      <c r="E29" s="32"/>
      <c r="F29" s="4"/>
    </row>
    <row r="30" spans="3:6">
      <c r="C30" s="36" t="s">
        <v>45</v>
      </c>
      <c r="D30" s="8" t="s">
        <v>143</v>
      </c>
      <c r="E30" s="32"/>
      <c r="F30" s="4"/>
    </row>
    <row r="31" spans="3:6">
      <c r="C31" s="36" t="s">
        <v>47</v>
      </c>
      <c r="D31" s="8" t="s">
        <v>144</v>
      </c>
      <c r="E31" s="32"/>
      <c r="F31" s="4"/>
    </row>
    <row r="32" spans="3:6">
      <c r="C32" s="36" t="s">
        <v>49</v>
      </c>
      <c r="D32" s="1"/>
      <c r="E32" s="32"/>
      <c r="F32" s="4"/>
    </row>
    <row r="33" spans="3:8">
      <c r="C33" s="36" t="s">
        <v>50</v>
      </c>
      <c r="D33" s="1"/>
      <c r="E33" s="32"/>
      <c r="F33" s="4"/>
    </row>
    <row r="36" spans="3:8" ht="18.75">
      <c r="C36" s="30" t="s">
        <v>51</v>
      </c>
    </row>
    <row r="37" spans="3:8">
      <c r="C37" s="31" t="s">
        <v>52</v>
      </c>
      <c r="D37" s="31" t="s">
        <v>53</v>
      </c>
      <c r="E37" s="31" t="s">
        <v>54</v>
      </c>
      <c r="F37" s="31" t="s">
        <v>55</v>
      </c>
      <c r="G37" s="31" t="s">
        <v>56</v>
      </c>
      <c r="H37" s="31" t="s">
        <v>57</v>
      </c>
    </row>
    <row r="38" spans="3:8">
      <c r="C38" s="36" t="s">
        <v>58</v>
      </c>
      <c r="D38" s="1" t="s">
        <v>145</v>
      </c>
      <c r="E38" s="8" t="s">
        <v>146</v>
      </c>
      <c r="F38" s="50" t="s">
        <v>147</v>
      </c>
      <c r="G38" s="3">
        <v>0.5</v>
      </c>
      <c r="H38" s="1">
        <v>16</v>
      </c>
    </row>
    <row r="39" spans="3:8">
      <c r="C39" s="36" t="s">
        <v>62</v>
      </c>
      <c r="D39" s="1" t="s">
        <v>148</v>
      </c>
      <c r="E39" s="8" t="s">
        <v>149</v>
      </c>
      <c r="F39" s="1" t="s">
        <v>150</v>
      </c>
      <c r="G39" s="3">
        <v>0.5</v>
      </c>
      <c r="H39" s="1">
        <v>17</v>
      </c>
    </row>
    <row r="40" spans="3:8">
      <c r="C40" s="36" t="s">
        <v>65</v>
      </c>
      <c r="D40" s="4"/>
      <c r="E40" s="4"/>
      <c r="F40" s="4"/>
      <c r="G40" s="4"/>
      <c r="H40" s="4"/>
    </row>
    <row r="41" spans="3:8">
      <c r="C41" s="36" t="s">
        <v>66</v>
      </c>
      <c r="D41" s="4"/>
      <c r="E41" s="4"/>
      <c r="F41" s="4"/>
      <c r="G41" s="4"/>
      <c r="H41" s="4"/>
    </row>
    <row r="42" spans="3:8">
      <c r="C42" s="31"/>
    </row>
    <row r="44" spans="3:8" ht="18.75">
      <c r="C44" s="30" t="s">
        <v>67</v>
      </c>
      <c r="D44" s="33"/>
    </row>
    <row r="45" spans="3:8">
      <c r="C45" s="28" t="s">
        <v>52</v>
      </c>
      <c r="D45" s="28" t="s">
        <v>39</v>
      </c>
      <c r="E45" s="28" t="s">
        <v>68</v>
      </c>
      <c r="F45" s="28" t="s">
        <v>69</v>
      </c>
    </row>
    <row r="46" spans="3:8">
      <c r="C46" s="5" t="s">
        <v>58</v>
      </c>
      <c r="D46" s="4" t="s">
        <v>42</v>
      </c>
      <c r="E46" s="4" t="s">
        <v>151</v>
      </c>
      <c r="F46" s="4" t="s">
        <v>152</v>
      </c>
    </row>
    <row r="47" spans="3:8">
      <c r="C47" s="5" t="s">
        <v>58</v>
      </c>
      <c r="D47" s="4" t="s">
        <v>42</v>
      </c>
      <c r="E47" s="4" t="s">
        <v>74</v>
      </c>
      <c r="F47" s="4" t="s">
        <v>153</v>
      </c>
    </row>
    <row r="48" spans="3:8">
      <c r="C48" s="5" t="s">
        <v>58</v>
      </c>
      <c r="D48" s="4" t="s">
        <v>45</v>
      </c>
      <c r="E48" s="4" t="s">
        <v>74</v>
      </c>
      <c r="F48" s="4" t="s">
        <v>75</v>
      </c>
    </row>
    <row r="49" spans="3:6">
      <c r="C49" s="5" t="s">
        <v>58</v>
      </c>
      <c r="D49" s="4" t="s">
        <v>45</v>
      </c>
      <c r="E49" s="4" t="s">
        <v>154</v>
      </c>
      <c r="F49" s="4" t="s">
        <v>155</v>
      </c>
    </row>
    <row r="50" spans="3:6">
      <c r="C50" s="5" t="s">
        <v>62</v>
      </c>
      <c r="D50" s="4" t="s">
        <v>45</v>
      </c>
      <c r="E50" s="4" t="s">
        <v>151</v>
      </c>
      <c r="F50" s="4" t="s">
        <v>152</v>
      </c>
    </row>
    <row r="51" spans="3:6">
      <c r="C51" s="5" t="s">
        <v>62</v>
      </c>
      <c r="D51" s="4" t="s">
        <v>45</v>
      </c>
      <c r="E51" s="4" t="s">
        <v>72</v>
      </c>
      <c r="F51" s="4" t="s">
        <v>73</v>
      </c>
    </row>
    <row r="52" spans="3:6">
      <c r="C52" s="5" t="s">
        <v>62</v>
      </c>
      <c r="D52" s="4" t="s">
        <v>42</v>
      </c>
      <c r="E52" s="4" t="s">
        <v>154</v>
      </c>
      <c r="F52" s="4" t="s">
        <v>156</v>
      </c>
    </row>
    <row r="53" spans="3:6">
      <c r="C53" s="5" t="s">
        <v>62</v>
      </c>
      <c r="D53" s="4" t="s">
        <v>47</v>
      </c>
      <c r="E53" s="4" t="s">
        <v>151</v>
      </c>
      <c r="F53" s="4" t="s">
        <v>157</v>
      </c>
    </row>
    <row r="54" spans="3:6">
      <c r="C54" s="5" t="s">
        <v>58</v>
      </c>
      <c r="D54" s="4" t="s">
        <v>45</v>
      </c>
      <c r="E54" s="4" t="s">
        <v>158</v>
      </c>
      <c r="F54" s="4" t="s">
        <v>159</v>
      </c>
    </row>
    <row r="55" spans="3:6">
      <c r="C55" s="51" t="s">
        <v>58</v>
      </c>
      <c r="D55" s="52" t="s">
        <v>45</v>
      </c>
      <c r="E55" s="52" t="s">
        <v>160</v>
      </c>
      <c r="F55" s="52" t="s">
        <v>161</v>
      </c>
    </row>
    <row r="56" spans="3:6">
      <c r="C56" s="53" t="s">
        <v>58</v>
      </c>
      <c r="D56" s="54" t="s">
        <v>45</v>
      </c>
      <c r="E56" s="54" t="s">
        <v>160</v>
      </c>
      <c r="F56" s="54" t="s">
        <v>162</v>
      </c>
    </row>
    <row r="57" spans="3:6">
      <c r="C57" s="5"/>
      <c r="D57" s="4"/>
      <c r="E57" s="4"/>
      <c r="F57" s="4"/>
    </row>
    <row r="58" spans="3:6">
      <c r="C58" s="5"/>
      <c r="D58" s="4"/>
      <c r="E58" s="4"/>
      <c r="F58" s="4"/>
    </row>
    <row r="59" spans="3:6">
      <c r="C59" s="5"/>
      <c r="D59" s="4"/>
      <c r="E59" s="4"/>
      <c r="F59" s="4"/>
    </row>
    <row r="60" spans="3:6">
      <c r="C60" s="5"/>
      <c r="D60" s="4"/>
      <c r="E60" s="4"/>
      <c r="F60" s="4"/>
    </row>
    <row r="61" spans="3:6">
      <c r="C61" s="5"/>
      <c r="D61" s="4"/>
      <c r="E61" s="4"/>
      <c r="F61" s="4"/>
    </row>
    <row r="62" spans="3:6">
      <c r="C62" s="5"/>
      <c r="D62" s="4"/>
      <c r="E62" s="4"/>
      <c r="F62" s="4"/>
    </row>
    <row r="63" spans="3:6">
      <c r="C63" s="5"/>
      <c r="D63" s="4"/>
      <c r="E63" s="4"/>
      <c r="F63" s="4"/>
    </row>
    <row r="64" spans="3:6">
      <c r="C64" s="5"/>
      <c r="D64" s="4"/>
      <c r="E64" s="4"/>
      <c r="F64" s="4"/>
    </row>
    <row r="65" spans="2:6">
      <c r="C65" s="5"/>
      <c r="D65" s="4"/>
      <c r="E65" s="4"/>
      <c r="F65" s="4"/>
    </row>
    <row r="66" spans="2:6">
      <c r="C66" s="5"/>
      <c r="D66" s="4"/>
      <c r="E66" s="4"/>
      <c r="F66" s="4"/>
    </row>
    <row r="69" spans="2:6" ht="18.75">
      <c r="C69" s="30" t="s">
        <v>87</v>
      </c>
    </row>
    <row r="70" spans="2:6">
      <c r="B70" t="s">
        <v>88</v>
      </c>
      <c r="C70" s="28" t="s">
        <v>89</v>
      </c>
      <c r="D70" s="28" t="s">
        <v>90</v>
      </c>
      <c r="E70" s="28" t="s">
        <v>91</v>
      </c>
      <c r="F70" s="28" t="s">
        <v>92</v>
      </c>
    </row>
    <row r="71" spans="2:6">
      <c r="B71" s="37">
        <v>1</v>
      </c>
      <c r="C71" s="38">
        <v>1</v>
      </c>
      <c r="D71" s="12" t="s">
        <v>163</v>
      </c>
      <c r="E71" s="13" t="s">
        <v>164</v>
      </c>
      <c r="F71" s="14" t="s">
        <v>165</v>
      </c>
    </row>
    <row r="72" spans="2:6">
      <c r="B72" s="37">
        <v>1</v>
      </c>
      <c r="C72" s="38">
        <v>2</v>
      </c>
      <c r="D72" s="15" t="s">
        <v>166</v>
      </c>
      <c r="E72" s="16" t="s">
        <v>167</v>
      </c>
      <c r="F72" s="17" t="s">
        <v>168</v>
      </c>
    </row>
    <row r="73" spans="2:6">
      <c r="B73" s="37">
        <v>1</v>
      </c>
      <c r="C73" s="38">
        <v>3</v>
      </c>
      <c r="D73" s="18" t="s">
        <v>169</v>
      </c>
      <c r="E73" s="19" t="s">
        <v>170</v>
      </c>
      <c r="F73" s="20" t="s">
        <v>171</v>
      </c>
    </row>
    <row r="74" spans="2:6">
      <c r="B74" s="37">
        <v>1</v>
      </c>
      <c r="C74" s="38">
        <v>4</v>
      </c>
      <c r="D74" s="18" t="s">
        <v>172</v>
      </c>
      <c r="E74" s="19" t="s">
        <v>173</v>
      </c>
      <c r="F74" s="20" t="s">
        <v>174</v>
      </c>
    </row>
    <row r="75" spans="2:6">
      <c r="B75" s="37">
        <v>1</v>
      </c>
      <c r="C75" s="38">
        <v>5</v>
      </c>
      <c r="D75" s="18" t="s">
        <v>175</v>
      </c>
      <c r="E75" s="19" t="s">
        <v>176</v>
      </c>
      <c r="F75" s="20" t="s">
        <v>177</v>
      </c>
    </row>
    <row r="76" spans="2:6">
      <c r="B76" s="37">
        <v>1</v>
      </c>
      <c r="C76" s="38">
        <v>6</v>
      </c>
      <c r="D76" s="18" t="s">
        <v>178</v>
      </c>
      <c r="E76" s="21" t="s">
        <v>179</v>
      </c>
      <c r="F76" s="20" t="s">
        <v>180</v>
      </c>
    </row>
    <row r="77" spans="2:6">
      <c r="B77" s="37">
        <v>1</v>
      </c>
      <c r="C77" s="38">
        <v>7</v>
      </c>
      <c r="D77" s="18" t="s">
        <v>181</v>
      </c>
      <c r="E77" s="19" t="s">
        <v>182</v>
      </c>
      <c r="F77" s="20" t="s">
        <v>183</v>
      </c>
    </row>
    <row r="78" spans="2:6">
      <c r="B78" s="37">
        <v>1</v>
      </c>
      <c r="C78" s="38">
        <v>8</v>
      </c>
      <c r="D78" s="18" t="s">
        <v>184</v>
      </c>
      <c r="E78" s="19" t="s">
        <v>182</v>
      </c>
      <c r="F78" s="20" t="s">
        <v>185</v>
      </c>
    </row>
    <row r="79" spans="2:6">
      <c r="B79" s="37">
        <v>1</v>
      </c>
      <c r="C79" s="38">
        <v>9</v>
      </c>
      <c r="D79" s="18" t="s">
        <v>186</v>
      </c>
      <c r="E79" s="19" t="s">
        <v>187</v>
      </c>
      <c r="F79" s="20" t="s">
        <v>188</v>
      </c>
    </row>
    <row r="80" spans="2:6">
      <c r="B80" s="37">
        <v>1</v>
      </c>
      <c r="C80" s="38">
        <v>10</v>
      </c>
      <c r="D80" s="18" t="s">
        <v>189</v>
      </c>
      <c r="E80" s="19" t="s">
        <v>190</v>
      </c>
      <c r="F80" s="20" t="s">
        <v>191</v>
      </c>
    </row>
    <row r="81" spans="2:6">
      <c r="B81" s="37">
        <v>1</v>
      </c>
      <c r="C81" s="38">
        <v>11</v>
      </c>
      <c r="D81" s="18" t="s">
        <v>192</v>
      </c>
      <c r="E81" s="19" t="s">
        <v>193</v>
      </c>
      <c r="F81" s="20" t="s">
        <v>194</v>
      </c>
    </row>
    <row r="82" spans="2:6">
      <c r="B82" s="37">
        <v>1</v>
      </c>
      <c r="C82" s="38">
        <v>12</v>
      </c>
      <c r="D82" s="22" t="s">
        <v>195</v>
      </c>
      <c r="E82" s="23" t="s">
        <v>196</v>
      </c>
      <c r="F82" s="24" t="s">
        <v>197</v>
      </c>
    </row>
    <row r="83" spans="2:6">
      <c r="B83" s="37">
        <v>2</v>
      </c>
      <c r="C83" s="38">
        <v>1</v>
      </c>
      <c r="D83" s="1"/>
      <c r="E83" s="1"/>
      <c r="F83" s="1"/>
    </row>
    <row r="84" spans="2:6">
      <c r="B84" s="37">
        <v>2</v>
      </c>
      <c r="C84" s="38">
        <v>2</v>
      </c>
      <c r="D84" s="1"/>
      <c r="E84" s="1"/>
      <c r="F84" s="1"/>
    </row>
    <row r="85" spans="2:6">
      <c r="B85" s="37">
        <v>2</v>
      </c>
      <c r="C85" s="38">
        <v>3</v>
      </c>
      <c r="D85" s="1"/>
      <c r="E85" s="1"/>
      <c r="F85" s="1"/>
    </row>
    <row r="86" spans="2:6">
      <c r="B86" s="37">
        <v>2</v>
      </c>
      <c r="C86" s="38">
        <v>4</v>
      </c>
      <c r="D86" s="1"/>
      <c r="E86" s="1"/>
      <c r="F86" s="1"/>
    </row>
    <row r="87" spans="2:6">
      <c r="B87" s="37">
        <v>2</v>
      </c>
      <c r="C87" s="38">
        <v>5</v>
      </c>
      <c r="D87" s="1"/>
      <c r="E87" s="1"/>
      <c r="F87" s="1"/>
    </row>
    <row r="88" spans="2:6">
      <c r="B88" s="37">
        <v>2</v>
      </c>
      <c r="C88" s="38">
        <v>6</v>
      </c>
      <c r="D88" s="1"/>
      <c r="E88" s="1"/>
      <c r="F88" s="1"/>
    </row>
    <row r="89" spans="2:6">
      <c r="B89" s="37">
        <v>2</v>
      </c>
      <c r="C89" s="38">
        <v>7</v>
      </c>
      <c r="D89" s="1"/>
      <c r="E89" s="1"/>
      <c r="F89" s="1"/>
    </row>
    <row r="90" spans="2:6">
      <c r="B90" s="37">
        <v>2</v>
      </c>
      <c r="C90" s="38">
        <v>8</v>
      </c>
      <c r="D90" s="1"/>
      <c r="E90" s="1"/>
      <c r="F90" s="1"/>
    </row>
    <row r="91" spans="2:6">
      <c r="B91" s="37">
        <v>2</v>
      </c>
      <c r="C91" s="38">
        <v>9</v>
      </c>
      <c r="D91" s="1"/>
      <c r="E91" s="1"/>
      <c r="F91" s="1"/>
    </row>
    <row r="92" spans="2:6">
      <c r="B92" s="37">
        <v>2</v>
      </c>
      <c r="C92" s="38">
        <v>10</v>
      </c>
      <c r="D92" s="1"/>
      <c r="E92" s="1"/>
      <c r="F92" s="1"/>
    </row>
    <row r="93" spans="2:6">
      <c r="B93" s="37">
        <v>2</v>
      </c>
      <c r="C93" s="38">
        <v>11</v>
      </c>
      <c r="D93" s="1"/>
      <c r="E93" s="1"/>
      <c r="F93" s="1"/>
    </row>
    <row r="94" spans="2:6">
      <c r="B94" s="37">
        <v>2</v>
      </c>
      <c r="C94" s="38">
        <v>12</v>
      </c>
      <c r="D94" s="1"/>
      <c r="E94" s="1"/>
      <c r="F94" s="1"/>
    </row>
  </sheetData>
  <sheetProtection sheet="1" objects="1" scenarios="1" formatCells="0" formatColumns="0" formatRows="0" insertHyperlinks="0"/>
  <dataValidations count="4">
    <dataValidation type="list" allowBlank="1" showInputMessage="1" showErrorMessage="1" sqref="F46:F54 F57:F66" xr:uid="{199417CD-50E7-40D5-ADCF-61994B27264E}">
      <formula1>INDIRECT(VLOOKUP($E46, SkillNameMap, 2, FALSE))</formula1>
    </dataValidation>
    <dataValidation type="list" allowBlank="1" showInputMessage="1" showErrorMessage="1" sqref="E40:E41" xr:uid="{9A8779B4-6AB6-45B5-A32C-6D89EAF36C8E}">
      <formula1>INDIRECT("LISTAssess[Assessment Specific]")</formula1>
    </dataValidation>
    <dataValidation type="whole" showInputMessage="1" showErrorMessage="1" error="This is not a realistic number of contact hours please change" sqref="D19" xr:uid="{DA3D6AB5-532B-4E6E-B5DD-7DD3330DB48F}">
      <formula1>0</formula1>
      <formula2>80</formula2>
    </dataValidation>
    <dataValidation type="whole" showInputMessage="1" showErrorMessage="1" error="This is not a realistic number of contact hours please reduce" sqref="D20:D23" xr:uid="{3732E239-C09D-43A7-9D17-84966769CD9A}">
      <formula1>0</formula1>
      <formula2>80</formula2>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5C65280C-5249-4CA6-9640-3CC5D292F59A}">
          <x14:formula1>
            <xm:f>LISTS!$J$7:$J$16</xm:f>
          </x14:formula1>
          <xm:sqref>E46:E54 E57:E66</xm:sqref>
        </x14:dataValidation>
        <x14:dataValidation type="list" allowBlank="1" showInputMessage="1" showErrorMessage="1" xr:uid="{009B3F76-CBC5-41A8-84DE-D4AD00A25980}">
          <x14:formula1>
            <xm:f>LISTS!$E$7:$E$11</xm:f>
          </x14:formula1>
          <xm:sqref>D46:D54 D57:D66</xm:sqref>
        </x14:dataValidation>
        <x14:dataValidation type="list" allowBlank="1" showInputMessage="1" showErrorMessage="1" xr:uid="{E4C466FC-4B20-43FE-83BB-6DB372D1E2AF}">
          <x14:formula1>
            <xm:f>LISTS!$G$7:$G$11</xm:f>
          </x14:formula1>
          <xm:sqref>D38:D42</xm:sqref>
        </x14:dataValidation>
        <x14:dataValidation type="list" allowBlank="1" showInputMessage="1" showErrorMessage="1" xr:uid="{FDF99DCE-273A-4E69-9925-00724A3BE75B}">
          <x14:formula1>
            <xm:f>LISTS!$C$11:$C$15</xm:f>
          </x14:formula1>
          <xm:sqref>D11</xm:sqref>
        </x14:dataValidation>
        <x14:dataValidation type="list" allowBlank="1" showInputMessage="1" showErrorMessage="1" xr:uid="{B71F4674-23DF-4DB6-881E-607B855CE61E}">
          <x14:formula1>
            <xm:f>LISTS!$C$7:$C$9</xm:f>
          </x14:formula1>
          <xm:sqref>D10</xm:sqref>
        </x14:dataValidation>
        <x14:dataValidation type="list" allowBlank="1" showInputMessage="1" showErrorMessage="1" xr:uid="{13441B70-6771-46A0-B42D-7619C487A66C}">
          <x14:formula1>
            <xm:f>LISTS!$C$17:$C$22</xm:f>
          </x14:formula1>
          <xm:sqref>D13</xm:sqref>
        </x14:dataValidation>
        <x14:dataValidation type="list" allowBlank="1" showInputMessage="1" showErrorMessage="1" xr:uid="{27FAA946-26BF-4A0D-A78A-94B40A846A90}">
          <x14:formula1>
            <xm:f>LISTS!$C$26:$C$37</xm:f>
          </x14:formula1>
          <xm:sqref>D14</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215F39-4768-4BDC-BBAF-EDA933F6EC41}">
  <sheetPr codeName="Sheet3"/>
  <dimension ref="B2:H94"/>
  <sheetViews>
    <sheetView showGridLines="0" tabSelected="1" topLeftCell="B29" zoomScale="85" zoomScaleNormal="85" workbookViewId="0">
      <selection activeCell="C55" sqref="C55:F57"/>
    </sheetView>
  </sheetViews>
  <sheetFormatPr defaultRowHeight="15"/>
  <cols>
    <col min="3" max="3" width="33.28515625" customWidth="1"/>
    <col min="4" max="4" width="51.5703125" customWidth="1"/>
    <col min="5" max="5" width="67.28515625" customWidth="1"/>
    <col min="6" max="6" width="63.140625" customWidth="1"/>
    <col min="7" max="7" width="12.42578125" customWidth="1"/>
    <col min="8" max="8" width="15.5703125" customWidth="1"/>
    <col min="9" max="9" width="14.7109375" customWidth="1"/>
  </cols>
  <sheetData>
    <row r="2" spans="2:6" ht="26.25">
      <c r="C2" s="27" t="str">
        <f>D7</f>
        <v>4004SPS</v>
      </c>
      <c r="D2" s="27" t="str">
        <f>D8</f>
        <v>Nutritional Biochemistry and Metabolism</v>
      </c>
    </row>
    <row r="3" spans="2:6">
      <c r="B3" s="28"/>
      <c r="C3" s="28"/>
    </row>
    <row r="4" spans="2:6">
      <c r="B4" s="29"/>
      <c r="C4" s="29"/>
    </row>
    <row r="5" spans="2:6" ht="18.75">
      <c r="B5" s="29"/>
      <c r="C5" s="30" t="s">
        <v>0</v>
      </c>
    </row>
    <row r="6" spans="2:6">
      <c r="B6" s="29"/>
      <c r="C6" s="31" t="s">
        <v>1</v>
      </c>
      <c r="D6" s="32" t="s">
        <v>2</v>
      </c>
      <c r="E6" s="32"/>
      <c r="F6" t="s">
        <v>3</v>
      </c>
    </row>
    <row r="7" spans="2:6">
      <c r="B7" s="29"/>
      <c r="C7" s="36" t="s">
        <v>4</v>
      </c>
      <c r="D7" s="1" t="s">
        <v>198</v>
      </c>
      <c r="E7" s="32"/>
      <c r="F7" s="6" t="s">
        <v>199</v>
      </c>
    </row>
    <row r="8" spans="2:6">
      <c r="B8" s="29"/>
      <c r="C8" s="36" t="s">
        <v>7</v>
      </c>
      <c r="D8" s="6" t="s">
        <v>200</v>
      </c>
      <c r="E8" s="32"/>
      <c r="F8" s="4"/>
    </row>
    <row r="9" spans="2:6">
      <c r="C9" s="36" t="s">
        <v>9</v>
      </c>
      <c r="D9" s="1">
        <v>20</v>
      </c>
      <c r="E9" s="32"/>
    </row>
    <row r="10" spans="2:6">
      <c r="C10" s="36" t="s">
        <v>10</v>
      </c>
      <c r="D10" s="1">
        <v>2</v>
      </c>
      <c r="E10" s="32"/>
      <c r="F10" t="s">
        <v>12</v>
      </c>
    </row>
    <row r="11" spans="2:6">
      <c r="C11" s="36" t="s">
        <v>13</v>
      </c>
      <c r="D11" s="1">
        <v>4</v>
      </c>
      <c r="E11" s="32"/>
      <c r="F11" s="6" t="s">
        <v>201</v>
      </c>
    </row>
    <row r="12" spans="2:6">
      <c r="C12" s="36" t="s">
        <v>15</v>
      </c>
      <c r="D12" s="1" t="s">
        <v>202</v>
      </c>
      <c r="E12" s="32"/>
      <c r="F12" s="4"/>
    </row>
    <row r="13" spans="2:6">
      <c r="C13" s="36" t="s">
        <v>17</v>
      </c>
      <c r="D13" s="1" t="s">
        <v>134</v>
      </c>
      <c r="E13" s="32"/>
      <c r="F13" s="4"/>
    </row>
    <row r="14" spans="2:6">
      <c r="C14" s="36" t="s">
        <v>19</v>
      </c>
      <c r="D14" s="1" t="s">
        <v>20</v>
      </c>
      <c r="E14" s="32"/>
    </row>
    <row r="15" spans="2:6">
      <c r="C15" s="31"/>
      <c r="D15" s="32"/>
      <c r="E15" s="32"/>
      <c r="F15" t="s">
        <v>21</v>
      </c>
    </row>
    <row r="16" spans="2:6">
      <c r="C16" s="31"/>
      <c r="D16" s="32"/>
      <c r="E16" s="32"/>
      <c r="F16" s="6" t="s">
        <v>203</v>
      </c>
    </row>
    <row r="17" spans="3:6" ht="18.75">
      <c r="C17" s="30" t="s">
        <v>23</v>
      </c>
      <c r="D17" s="32"/>
      <c r="E17" s="32"/>
      <c r="F17" s="4"/>
    </row>
    <row r="18" spans="3:6">
      <c r="C18" s="31" t="s">
        <v>24</v>
      </c>
      <c r="D18" s="28" t="s">
        <v>23</v>
      </c>
      <c r="E18" s="32"/>
      <c r="F18" s="4"/>
    </row>
    <row r="19" spans="3:6">
      <c r="C19" s="36" t="s">
        <v>25</v>
      </c>
      <c r="D19" s="2">
        <v>26</v>
      </c>
      <c r="E19" s="32"/>
      <c r="F19" s="4"/>
    </row>
    <row r="20" spans="3:6">
      <c r="C20" s="36" t="s">
        <v>26</v>
      </c>
      <c r="D20" s="2"/>
      <c r="E20" s="32"/>
      <c r="F20" s="4"/>
    </row>
    <row r="21" spans="3:6">
      <c r="C21" s="36" t="s">
        <v>27</v>
      </c>
      <c r="D21" s="2">
        <v>9</v>
      </c>
      <c r="E21" s="32"/>
    </row>
    <row r="22" spans="3:6">
      <c r="C22" s="36" t="s">
        <v>28</v>
      </c>
      <c r="D22" s="2">
        <v>5</v>
      </c>
      <c r="E22" s="32"/>
      <c r="F22" t="s">
        <v>29</v>
      </c>
    </row>
    <row r="23" spans="3:6">
      <c r="C23" s="36" t="s">
        <v>30</v>
      </c>
      <c r="D23" s="2"/>
      <c r="E23" s="32"/>
      <c r="F23" s="8" t="s">
        <v>204</v>
      </c>
    </row>
    <row r="24" spans="3:6">
      <c r="C24" s="36" t="s">
        <v>32</v>
      </c>
      <c r="D24" s="28">
        <f>SUM(D19:D23)</f>
        <v>40</v>
      </c>
      <c r="E24" s="32"/>
      <c r="F24" s="8" t="s">
        <v>205</v>
      </c>
    </row>
    <row r="25" spans="3:6">
      <c r="F25" s="8" t="s">
        <v>206</v>
      </c>
    </row>
    <row r="26" spans="3:6">
      <c r="F26" s="8" t="s">
        <v>207</v>
      </c>
    </row>
    <row r="27" spans="3:6" ht="18.75">
      <c r="C27" s="30" t="s">
        <v>36</v>
      </c>
      <c r="D27" s="33" t="s">
        <v>37</v>
      </c>
      <c r="F27" s="8" t="s">
        <v>208</v>
      </c>
    </row>
    <row r="28" spans="3:6">
      <c r="C28" s="31" t="s">
        <v>39</v>
      </c>
      <c r="D28" s="31" t="s">
        <v>40</v>
      </c>
      <c r="E28" s="31"/>
      <c r="F28" s="8" t="s">
        <v>209</v>
      </c>
    </row>
    <row r="29" spans="3:6">
      <c r="C29" s="36" t="s">
        <v>42</v>
      </c>
      <c r="D29" s="8" t="s">
        <v>210</v>
      </c>
      <c r="E29" s="32"/>
      <c r="F29" s="8" t="s">
        <v>211</v>
      </c>
    </row>
    <row r="30" spans="3:6">
      <c r="C30" s="36" t="s">
        <v>45</v>
      </c>
      <c r="D30" s="25" t="s">
        <v>212</v>
      </c>
      <c r="E30" s="32"/>
      <c r="F30" s="4"/>
    </row>
    <row r="31" spans="3:6">
      <c r="C31" s="36" t="s">
        <v>47</v>
      </c>
      <c r="D31" s="25" t="s">
        <v>213</v>
      </c>
      <c r="E31" s="32"/>
      <c r="F31" s="4"/>
    </row>
    <row r="32" spans="3:6">
      <c r="C32" s="36" t="s">
        <v>49</v>
      </c>
      <c r="D32" s="1"/>
      <c r="E32" s="32"/>
      <c r="F32" s="4"/>
    </row>
    <row r="33" spans="3:8">
      <c r="C33" s="36" t="s">
        <v>50</v>
      </c>
      <c r="D33" s="1"/>
      <c r="E33" s="32"/>
      <c r="F33" s="4"/>
    </row>
    <row r="36" spans="3:8" ht="18.75">
      <c r="C36" s="30" t="s">
        <v>51</v>
      </c>
    </row>
    <row r="37" spans="3:8">
      <c r="C37" s="31" t="s">
        <v>52</v>
      </c>
      <c r="D37" s="31" t="s">
        <v>53</v>
      </c>
      <c r="E37" s="31" t="s">
        <v>54</v>
      </c>
      <c r="F37" s="31" t="s">
        <v>55</v>
      </c>
      <c r="G37" s="31" t="s">
        <v>56</v>
      </c>
      <c r="H37" s="31" t="s">
        <v>57</v>
      </c>
    </row>
    <row r="38" spans="3:8">
      <c r="C38" s="36" t="s">
        <v>58</v>
      </c>
      <c r="D38" s="1" t="s">
        <v>148</v>
      </c>
      <c r="E38" s="8" t="s">
        <v>214</v>
      </c>
      <c r="F38" s="6" t="s">
        <v>215</v>
      </c>
      <c r="G38" s="3">
        <v>0.5</v>
      </c>
      <c r="H38" s="1">
        <v>25</v>
      </c>
    </row>
    <row r="39" spans="3:8">
      <c r="C39" s="36" t="s">
        <v>62</v>
      </c>
      <c r="D39" s="1" t="s">
        <v>216</v>
      </c>
      <c r="E39" s="8" t="s">
        <v>217</v>
      </c>
      <c r="F39" s="1" t="s">
        <v>218</v>
      </c>
      <c r="G39" s="3">
        <v>0.5</v>
      </c>
      <c r="H39" s="1">
        <v>32</v>
      </c>
    </row>
    <row r="40" spans="3:8">
      <c r="C40" s="36" t="s">
        <v>65</v>
      </c>
      <c r="D40" s="4"/>
      <c r="E40" s="4"/>
      <c r="F40" s="4"/>
      <c r="G40" s="4"/>
      <c r="H40" s="4"/>
    </row>
    <row r="41" spans="3:8">
      <c r="C41" s="36" t="s">
        <v>66</v>
      </c>
      <c r="D41" s="4"/>
      <c r="E41" s="4"/>
      <c r="F41" s="4"/>
      <c r="G41" s="4"/>
      <c r="H41" s="4"/>
    </row>
    <row r="42" spans="3:8">
      <c r="C42" s="31"/>
    </row>
    <row r="44" spans="3:8" ht="18.75">
      <c r="C44" s="30" t="s">
        <v>67</v>
      </c>
      <c r="D44" s="33"/>
    </row>
    <row r="45" spans="3:8">
      <c r="C45" s="28" t="s">
        <v>52</v>
      </c>
      <c r="D45" s="28" t="s">
        <v>39</v>
      </c>
      <c r="E45" s="28" t="s">
        <v>68</v>
      </c>
      <c r="F45" s="28" t="s">
        <v>69</v>
      </c>
    </row>
    <row r="46" spans="3:8">
      <c r="C46" s="5" t="s">
        <v>58</v>
      </c>
      <c r="D46" s="4" t="s">
        <v>42</v>
      </c>
      <c r="E46" s="4" t="s">
        <v>151</v>
      </c>
      <c r="F46" s="4" t="s">
        <v>152</v>
      </c>
    </row>
    <row r="47" spans="3:8">
      <c r="C47" s="5" t="s">
        <v>58</v>
      </c>
      <c r="D47" s="4" t="s">
        <v>42</v>
      </c>
      <c r="E47" s="4" t="s">
        <v>151</v>
      </c>
      <c r="F47" s="4" t="s">
        <v>219</v>
      </c>
    </row>
    <row r="48" spans="3:8">
      <c r="C48" s="5" t="s">
        <v>58</v>
      </c>
      <c r="D48" s="4" t="s">
        <v>47</v>
      </c>
      <c r="E48" s="4" t="s">
        <v>72</v>
      </c>
      <c r="F48" s="4" t="s">
        <v>220</v>
      </c>
    </row>
    <row r="49" spans="3:6">
      <c r="C49" s="5" t="s">
        <v>58</v>
      </c>
      <c r="D49" s="4" t="s">
        <v>42</v>
      </c>
      <c r="E49" s="4" t="s">
        <v>76</v>
      </c>
      <c r="F49" s="4" t="s">
        <v>221</v>
      </c>
    </row>
    <row r="50" spans="3:6">
      <c r="C50" s="5" t="s">
        <v>58</v>
      </c>
      <c r="D50" s="4" t="s">
        <v>47</v>
      </c>
      <c r="E50" s="4" t="s">
        <v>76</v>
      </c>
      <c r="F50" s="4" t="s">
        <v>222</v>
      </c>
    </row>
    <row r="51" spans="3:6">
      <c r="C51" s="5" t="s">
        <v>58</v>
      </c>
      <c r="D51" s="4" t="s">
        <v>47</v>
      </c>
      <c r="E51" s="4" t="s">
        <v>154</v>
      </c>
      <c r="F51" s="4" t="s">
        <v>223</v>
      </c>
    </row>
    <row r="52" spans="3:6">
      <c r="C52" s="5" t="s">
        <v>62</v>
      </c>
      <c r="D52" s="4" t="s">
        <v>42</v>
      </c>
      <c r="E52" s="4" t="s">
        <v>74</v>
      </c>
      <c r="F52" s="4" t="s">
        <v>153</v>
      </c>
    </row>
    <row r="53" spans="3:6">
      <c r="C53" s="5" t="s">
        <v>62</v>
      </c>
      <c r="D53" s="4" t="s">
        <v>45</v>
      </c>
      <c r="E53" s="4" t="s">
        <v>151</v>
      </c>
      <c r="F53" s="4" t="s">
        <v>224</v>
      </c>
    </row>
    <row r="54" spans="3:6">
      <c r="C54" s="5" t="s">
        <v>62</v>
      </c>
      <c r="D54" s="4" t="s">
        <v>45</v>
      </c>
      <c r="E54" s="4" t="s">
        <v>158</v>
      </c>
      <c r="F54" s="4" t="s">
        <v>225</v>
      </c>
    </row>
    <row r="55" spans="3:6">
      <c r="C55" s="51" t="s">
        <v>58</v>
      </c>
      <c r="D55" s="52" t="s">
        <v>47</v>
      </c>
      <c r="E55" s="52" t="s">
        <v>76</v>
      </c>
      <c r="F55" s="52" t="s">
        <v>226</v>
      </c>
    </row>
    <row r="56" spans="3:6">
      <c r="C56" s="53" t="s">
        <v>58</v>
      </c>
      <c r="D56" s="54" t="s">
        <v>47</v>
      </c>
      <c r="E56" s="54" t="s">
        <v>158</v>
      </c>
      <c r="F56" s="54" t="s">
        <v>159</v>
      </c>
    </row>
    <row r="57" spans="3:6">
      <c r="C57" s="53" t="s">
        <v>62</v>
      </c>
      <c r="D57" s="54" t="s">
        <v>42</v>
      </c>
      <c r="E57" s="54" t="s">
        <v>78</v>
      </c>
      <c r="F57" s="54" t="s">
        <v>227</v>
      </c>
    </row>
    <row r="58" spans="3:6">
      <c r="C58" s="5"/>
      <c r="D58" s="4"/>
      <c r="E58" s="4"/>
      <c r="F58" s="4"/>
    </row>
    <row r="59" spans="3:6">
      <c r="C59" s="5"/>
      <c r="D59" s="4"/>
      <c r="E59" s="4"/>
      <c r="F59" s="4"/>
    </row>
    <row r="60" spans="3:6">
      <c r="C60" s="5"/>
      <c r="D60" s="4"/>
      <c r="E60" s="4"/>
      <c r="F60" s="4"/>
    </row>
    <row r="61" spans="3:6">
      <c r="C61" s="5"/>
      <c r="D61" s="4"/>
      <c r="E61" s="4"/>
      <c r="F61" s="4"/>
    </row>
    <row r="62" spans="3:6">
      <c r="C62" s="5"/>
      <c r="D62" s="4"/>
      <c r="E62" s="4"/>
      <c r="F62" s="4"/>
    </row>
    <row r="63" spans="3:6">
      <c r="C63" s="5"/>
      <c r="D63" s="4"/>
      <c r="E63" s="4"/>
      <c r="F63" s="4"/>
    </row>
    <row r="64" spans="3:6">
      <c r="C64" s="5"/>
      <c r="D64" s="4"/>
      <c r="E64" s="4"/>
      <c r="F64" s="4"/>
    </row>
    <row r="65" spans="2:6">
      <c r="C65" s="5"/>
      <c r="D65" s="4"/>
      <c r="E65" s="4"/>
      <c r="F65" s="4"/>
    </row>
    <row r="66" spans="2:6">
      <c r="C66" s="5"/>
      <c r="D66" s="4"/>
      <c r="E66" s="4"/>
      <c r="F66" s="4"/>
    </row>
    <row r="69" spans="2:6" ht="18.75">
      <c r="C69" s="30" t="s">
        <v>87</v>
      </c>
    </row>
    <row r="70" spans="2:6">
      <c r="B70" t="s">
        <v>88</v>
      </c>
      <c r="C70" s="28" t="s">
        <v>89</v>
      </c>
      <c r="D70" s="28" t="s">
        <v>90</v>
      </c>
      <c r="E70" s="28" t="s">
        <v>91</v>
      </c>
      <c r="F70" s="28" t="s">
        <v>92</v>
      </c>
    </row>
    <row r="71" spans="2:6">
      <c r="B71" s="37">
        <v>1</v>
      </c>
      <c r="C71" s="38">
        <v>1</v>
      </c>
      <c r="D71" s="1"/>
      <c r="E71" s="1"/>
      <c r="F71" s="1"/>
    </row>
    <row r="72" spans="2:6">
      <c r="B72" s="37">
        <v>1</v>
      </c>
      <c r="C72" s="38">
        <v>2</v>
      </c>
      <c r="D72" s="1"/>
      <c r="E72" s="1"/>
      <c r="F72" s="1"/>
    </row>
    <row r="73" spans="2:6">
      <c r="B73" s="37">
        <v>1</v>
      </c>
      <c r="C73" s="38">
        <v>3</v>
      </c>
      <c r="D73" s="1"/>
      <c r="E73" s="1"/>
      <c r="F73" s="1"/>
    </row>
    <row r="74" spans="2:6">
      <c r="B74" s="37">
        <v>1</v>
      </c>
      <c r="C74" s="38">
        <v>4</v>
      </c>
      <c r="D74" s="1"/>
      <c r="E74" s="1"/>
      <c r="F74" s="1"/>
    </row>
    <row r="75" spans="2:6">
      <c r="B75" s="37">
        <v>1</v>
      </c>
      <c r="C75" s="38">
        <v>5</v>
      </c>
      <c r="D75" s="1"/>
      <c r="E75" s="1"/>
      <c r="F75" s="1"/>
    </row>
    <row r="76" spans="2:6">
      <c r="B76" s="37">
        <v>1</v>
      </c>
      <c r="C76" s="38">
        <v>6</v>
      </c>
      <c r="D76" s="1"/>
      <c r="E76" s="1"/>
      <c r="F76" s="1"/>
    </row>
    <row r="77" spans="2:6">
      <c r="B77" s="37">
        <v>1</v>
      </c>
      <c r="C77" s="38">
        <v>7</v>
      </c>
      <c r="D77" s="1"/>
      <c r="E77" s="1"/>
      <c r="F77" s="1"/>
    </row>
    <row r="78" spans="2:6">
      <c r="B78" s="37">
        <v>1</v>
      </c>
      <c r="C78" s="38">
        <v>8</v>
      </c>
      <c r="D78" s="1"/>
      <c r="E78" s="1"/>
      <c r="F78" s="1"/>
    </row>
    <row r="79" spans="2:6">
      <c r="B79" s="37">
        <v>1</v>
      </c>
      <c r="C79" s="38">
        <v>9</v>
      </c>
      <c r="D79" s="1"/>
      <c r="E79" s="1"/>
      <c r="F79" s="1"/>
    </row>
    <row r="80" spans="2:6">
      <c r="B80" s="37">
        <v>1</v>
      </c>
      <c r="C80" s="38">
        <v>10</v>
      </c>
      <c r="D80" s="1"/>
      <c r="E80" s="1"/>
      <c r="F80" s="1"/>
    </row>
    <row r="81" spans="2:6">
      <c r="B81" s="37">
        <v>1</v>
      </c>
      <c r="C81" s="38">
        <v>11</v>
      </c>
      <c r="D81" s="1"/>
      <c r="E81" s="1"/>
      <c r="F81" s="1"/>
    </row>
    <row r="82" spans="2:6">
      <c r="B82" s="37">
        <v>1</v>
      </c>
      <c r="C82" s="38">
        <v>12</v>
      </c>
      <c r="D82" s="1"/>
      <c r="E82" s="1"/>
      <c r="F82" s="1"/>
    </row>
    <row r="83" spans="2:6">
      <c r="B83" s="37">
        <v>2</v>
      </c>
      <c r="C83" s="38">
        <v>1</v>
      </c>
      <c r="D83" s="15" t="s">
        <v>228</v>
      </c>
      <c r="E83" s="16" t="s">
        <v>229</v>
      </c>
      <c r="F83" s="17" t="s">
        <v>230</v>
      </c>
    </row>
    <row r="84" spans="2:6">
      <c r="B84" s="37">
        <v>2</v>
      </c>
      <c r="C84" s="38">
        <v>2</v>
      </c>
      <c r="D84" s="18" t="s">
        <v>231</v>
      </c>
      <c r="E84" s="19" t="s">
        <v>232</v>
      </c>
      <c r="F84" s="20" t="s">
        <v>233</v>
      </c>
    </row>
    <row r="85" spans="2:6">
      <c r="B85" s="37">
        <v>2</v>
      </c>
      <c r="C85" s="38">
        <v>3</v>
      </c>
      <c r="D85" s="18" t="s">
        <v>234</v>
      </c>
      <c r="E85" s="19" t="s">
        <v>235</v>
      </c>
      <c r="F85" s="20" t="s">
        <v>236</v>
      </c>
    </row>
    <row r="86" spans="2:6">
      <c r="B86" s="37">
        <v>2</v>
      </c>
      <c r="C86" s="38">
        <v>4</v>
      </c>
      <c r="D86" s="18" t="s">
        <v>237</v>
      </c>
      <c r="E86" s="19" t="s">
        <v>238</v>
      </c>
      <c r="F86" s="20" t="s">
        <v>239</v>
      </c>
    </row>
    <row r="87" spans="2:6">
      <c r="B87" s="37">
        <v>2</v>
      </c>
      <c r="C87" s="38">
        <v>5</v>
      </c>
      <c r="D87" s="18" t="s">
        <v>240</v>
      </c>
      <c r="E87" s="19" t="s">
        <v>241</v>
      </c>
      <c r="F87" s="20" t="s">
        <v>242</v>
      </c>
    </row>
    <row r="88" spans="2:6">
      <c r="B88" s="37">
        <v>2</v>
      </c>
      <c r="C88" s="38">
        <v>6</v>
      </c>
      <c r="D88" s="18" t="s">
        <v>243</v>
      </c>
      <c r="E88" s="19" t="s">
        <v>244</v>
      </c>
      <c r="F88" s="26" t="s">
        <v>245</v>
      </c>
    </row>
    <row r="89" spans="2:6">
      <c r="B89" s="37">
        <v>2</v>
      </c>
      <c r="C89" s="38">
        <v>7</v>
      </c>
      <c r="D89" s="18" t="s">
        <v>246</v>
      </c>
      <c r="E89" s="19" t="s">
        <v>247</v>
      </c>
      <c r="F89" s="20" t="s">
        <v>248</v>
      </c>
    </row>
    <row r="90" spans="2:6">
      <c r="B90" s="37">
        <v>2</v>
      </c>
      <c r="C90" s="38">
        <v>8</v>
      </c>
      <c r="D90" s="18" t="s">
        <v>249</v>
      </c>
      <c r="E90" s="19" t="s">
        <v>250</v>
      </c>
      <c r="F90" s="20" t="s">
        <v>251</v>
      </c>
    </row>
    <row r="91" spans="2:6">
      <c r="B91" s="37">
        <v>2</v>
      </c>
      <c r="C91" s="38">
        <v>9</v>
      </c>
      <c r="D91" s="18" t="s">
        <v>252</v>
      </c>
      <c r="E91" s="19" t="s">
        <v>253</v>
      </c>
      <c r="F91" s="20" t="s">
        <v>254</v>
      </c>
    </row>
    <row r="92" spans="2:6">
      <c r="B92" s="37">
        <v>2</v>
      </c>
      <c r="C92" s="38">
        <v>10</v>
      </c>
      <c r="D92" s="18" t="s">
        <v>255</v>
      </c>
      <c r="E92" s="19" t="s">
        <v>256</v>
      </c>
      <c r="F92" s="20" t="s">
        <v>257</v>
      </c>
    </row>
    <row r="93" spans="2:6">
      <c r="B93" s="37">
        <v>2</v>
      </c>
      <c r="C93" s="38">
        <v>11</v>
      </c>
      <c r="D93" s="18" t="s">
        <v>258</v>
      </c>
      <c r="E93" s="19" t="s">
        <v>259</v>
      </c>
      <c r="F93" s="20" t="s">
        <v>260</v>
      </c>
    </row>
    <row r="94" spans="2:6">
      <c r="B94" s="37">
        <v>2</v>
      </c>
      <c r="C94" s="38">
        <v>12</v>
      </c>
      <c r="D94" s="22" t="s">
        <v>261</v>
      </c>
      <c r="E94" s="23" t="s">
        <v>262</v>
      </c>
      <c r="F94" s="24" t="s">
        <v>263</v>
      </c>
    </row>
  </sheetData>
  <sheetProtection sheet="1" objects="1" scenarios="1" formatCells="0" formatColumns="0" formatRows="0" insertHyperlinks="0"/>
  <dataValidations count="4">
    <dataValidation type="whole" showInputMessage="1" showErrorMessage="1" error="This is not a realistic number of contact hours please reduce" sqref="D20:D23" xr:uid="{06524273-2360-4C43-9154-4A480587EC5E}">
      <formula1>0</formula1>
      <formula2>80</formula2>
    </dataValidation>
    <dataValidation type="whole" showInputMessage="1" showErrorMessage="1" error="This is not a realistic number of contact hours please change" sqref="D19" xr:uid="{7B949394-BE34-4CC9-A9D6-7A75315A2DBB}">
      <formula1>0</formula1>
      <formula2>80</formula2>
    </dataValidation>
    <dataValidation type="list" allowBlank="1" showInputMessage="1" showErrorMessage="1" sqref="E40:E41" xr:uid="{B9D0113D-C789-41AE-B9C8-690F6C7A67B0}">
      <formula1>INDIRECT("LISTAssess[Assessment Specific]")</formula1>
    </dataValidation>
    <dataValidation type="list" allowBlank="1" showInputMessage="1" showErrorMessage="1" sqref="F46:F54 F58:F66" xr:uid="{3D662EF6-94E1-4350-B3D5-9F339CA0FD80}">
      <formula1>INDIRECT(VLOOKUP($E46, SkillNameMap, 2, 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D03A4CC7-9A30-452E-97E5-E03FCC9419A4}">
          <x14:formula1>
            <xm:f>LISTS!$C$26:$C$37</xm:f>
          </x14:formula1>
          <xm:sqref>D14</xm:sqref>
        </x14:dataValidation>
        <x14:dataValidation type="list" allowBlank="1" showInputMessage="1" showErrorMessage="1" xr:uid="{B7DB85EB-DFB5-437F-BA0C-32D4D2070C4D}">
          <x14:formula1>
            <xm:f>LISTS!$C$17:$C$22</xm:f>
          </x14:formula1>
          <xm:sqref>D13</xm:sqref>
        </x14:dataValidation>
        <x14:dataValidation type="list" allowBlank="1" showInputMessage="1" showErrorMessage="1" xr:uid="{82DFBB4E-D28E-4403-815A-4704BBB7702D}">
          <x14:formula1>
            <xm:f>LISTS!$C$7:$C$9</xm:f>
          </x14:formula1>
          <xm:sqref>D10</xm:sqref>
        </x14:dataValidation>
        <x14:dataValidation type="list" allowBlank="1" showInputMessage="1" showErrorMessage="1" xr:uid="{D8278727-60ED-4240-AED9-43FB98158BAE}">
          <x14:formula1>
            <xm:f>LISTS!$C$11:$C$15</xm:f>
          </x14:formula1>
          <xm:sqref>D11</xm:sqref>
        </x14:dataValidation>
        <x14:dataValidation type="list" allowBlank="1" showInputMessage="1" showErrorMessage="1" xr:uid="{7F080A95-6299-4905-8FCE-548941111CEB}">
          <x14:formula1>
            <xm:f>LISTS!$G$7:$G$11</xm:f>
          </x14:formula1>
          <xm:sqref>D38:D42</xm:sqref>
        </x14:dataValidation>
        <x14:dataValidation type="list" allowBlank="1" showInputMessage="1" showErrorMessage="1" xr:uid="{DD24076C-D431-4B83-8FB6-3800945C7C90}">
          <x14:formula1>
            <xm:f>LISTS!$E$7:$E$11</xm:f>
          </x14:formula1>
          <xm:sqref>D46:D54 D58:D66</xm:sqref>
        </x14:dataValidation>
        <x14:dataValidation type="list" allowBlank="1" showInputMessage="1" showErrorMessage="1" xr:uid="{C1ACB768-367A-4765-AEE3-B6D50718CC09}">
          <x14:formula1>
            <xm:f>LISTS!$J$7:$J$16</xm:f>
          </x14:formula1>
          <xm:sqref>E46:E54 E58:E66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EFDFE9-F6DD-4E3D-9B0A-EE0E4450ED7C}">
  <sheetPr codeName="Sheet4"/>
  <dimension ref="B2:H94"/>
  <sheetViews>
    <sheetView showGridLines="0" topLeftCell="A39" zoomScale="85" zoomScaleNormal="85" workbookViewId="0">
      <selection activeCell="C53" sqref="C53:F53"/>
    </sheetView>
  </sheetViews>
  <sheetFormatPr defaultRowHeight="15"/>
  <cols>
    <col min="3" max="3" width="33.28515625" customWidth="1"/>
    <col min="4" max="4" width="51.5703125" customWidth="1"/>
    <col min="5" max="5" width="67.28515625" customWidth="1"/>
    <col min="6" max="6" width="63.140625" customWidth="1"/>
    <col min="7" max="7" width="12.42578125" customWidth="1"/>
    <col min="8" max="8" width="15.5703125" customWidth="1"/>
    <col min="9" max="9" width="14.7109375" customWidth="1"/>
  </cols>
  <sheetData>
    <row r="2" spans="2:6" ht="26.25">
      <c r="C2" s="27" t="str">
        <f>D7</f>
        <v>4006SPS</v>
      </c>
      <c r="D2" s="27" t="str">
        <f>D8</f>
        <v>Performance Nutrition</v>
      </c>
    </row>
    <row r="3" spans="2:6">
      <c r="B3" s="28"/>
      <c r="C3" s="28"/>
    </row>
    <row r="4" spans="2:6">
      <c r="B4" s="29"/>
      <c r="C4" s="29"/>
    </row>
    <row r="5" spans="2:6" ht="18.75">
      <c r="B5" s="29"/>
      <c r="C5" s="30" t="s">
        <v>0</v>
      </c>
    </row>
    <row r="6" spans="2:6">
      <c r="B6" s="29"/>
      <c r="C6" s="31" t="s">
        <v>1</v>
      </c>
      <c r="D6" s="32" t="s">
        <v>2</v>
      </c>
      <c r="E6" s="32"/>
      <c r="F6" t="s">
        <v>3</v>
      </c>
    </row>
    <row r="7" spans="2:6">
      <c r="B7" s="29"/>
      <c r="C7" s="36" t="s">
        <v>4</v>
      </c>
      <c r="D7" s="1" t="s">
        <v>264</v>
      </c>
      <c r="E7" s="32"/>
      <c r="F7" s="6" t="s">
        <v>265</v>
      </c>
    </row>
    <row r="8" spans="2:6">
      <c r="B8" s="29"/>
      <c r="C8" s="36" t="s">
        <v>7</v>
      </c>
      <c r="D8" s="6" t="s">
        <v>266</v>
      </c>
      <c r="E8" s="32"/>
      <c r="F8" s="4"/>
    </row>
    <row r="9" spans="2:6">
      <c r="C9" s="36" t="s">
        <v>9</v>
      </c>
      <c r="D9" s="1">
        <v>20</v>
      </c>
      <c r="E9" s="32"/>
    </row>
    <row r="10" spans="2:6">
      <c r="C10" s="36" t="s">
        <v>10</v>
      </c>
      <c r="D10" s="1">
        <v>2</v>
      </c>
      <c r="E10" s="32"/>
      <c r="F10" t="s">
        <v>12</v>
      </c>
    </row>
    <row r="11" spans="2:6">
      <c r="C11" s="36" t="s">
        <v>13</v>
      </c>
      <c r="D11" s="1">
        <v>4</v>
      </c>
      <c r="E11" s="32"/>
      <c r="F11" s="6" t="s">
        <v>267</v>
      </c>
    </row>
    <row r="12" spans="2:6">
      <c r="C12" s="36" t="s">
        <v>15</v>
      </c>
      <c r="D12" s="1" t="s">
        <v>268</v>
      </c>
      <c r="E12" s="32"/>
      <c r="F12" s="4"/>
    </row>
    <row r="13" spans="2:6">
      <c r="C13" s="36" t="s">
        <v>17</v>
      </c>
      <c r="D13" s="1" t="s">
        <v>134</v>
      </c>
      <c r="E13" s="32"/>
      <c r="F13" s="4"/>
    </row>
    <row r="14" spans="2:6">
      <c r="C14" s="36" t="s">
        <v>19</v>
      </c>
      <c r="D14" s="1" t="s">
        <v>20</v>
      </c>
      <c r="E14" s="32"/>
    </row>
    <row r="15" spans="2:6">
      <c r="C15" s="31"/>
      <c r="D15" s="32"/>
      <c r="E15" s="32"/>
      <c r="F15" t="s">
        <v>21</v>
      </c>
    </row>
    <row r="16" spans="2:6">
      <c r="C16" s="31"/>
      <c r="D16" s="32"/>
      <c r="E16" s="32"/>
      <c r="F16" s="6" t="s">
        <v>269</v>
      </c>
    </row>
    <row r="17" spans="3:6" ht="18.75">
      <c r="C17" s="30" t="s">
        <v>23</v>
      </c>
      <c r="D17" s="32"/>
      <c r="E17" s="32"/>
      <c r="F17" s="4"/>
    </row>
    <row r="18" spans="3:6">
      <c r="C18" s="31" t="s">
        <v>24</v>
      </c>
      <c r="D18" s="28" t="s">
        <v>23</v>
      </c>
      <c r="E18" s="32"/>
      <c r="F18" s="4"/>
    </row>
    <row r="19" spans="3:6">
      <c r="C19" s="36" t="s">
        <v>25</v>
      </c>
      <c r="D19" s="2">
        <v>22</v>
      </c>
      <c r="E19" s="32"/>
      <c r="F19" s="4"/>
    </row>
    <row r="20" spans="3:6">
      <c r="C20" s="36" t="s">
        <v>26</v>
      </c>
      <c r="D20" s="2"/>
      <c r="E20" s="32"/>
      <c r="F20" s="4"/>
    </row>
    <row r="21" spans="3:6">
      <c r="C21" s="36" t="s">
        <v>27</v>
      </c>
      <c r="D21" s="2">
        <v>8</v>
      </c>
      <c r="E21" s="32"/>
    </row>
    <row r="22" spans="3:6">
      <c r="C22" s="36" t="s">
        <v>28</v>
      </c>
      <c r="D22" s="2">
        <v>14</v>
      </c>
      <c r="E22" s="32"/>
      <c r="F22" t="s">
        <v>29</v>
      </c>
    </row>
    <row r="23" spans="3:6">
      <c r="C23" s="36" t="s">
        <v>30</v>
      </c>
      <c r="D23" s="2"/>
      <c r="E23" s="32"/>
      <c r="F23" s="8" t="s">
        <v>270</v>
      </c>
    </row>
    <row r="24" spans="3:6">
      <c r="C24" s="36" t="s">
        <v>32</v>
      </c>
      <c r="D24" s="28">
        <f>SUM(D19:D23)</f>
        <v>44</v>
      </c>
      <c r="E24" s="32"/>
      <c r="F24" s="8" t="s">
        <v>271</v>
      </c>
    </row>
    <row r="25" spans="3:6">
      <c r="F25" s="8" t="s">
        <v>272</v>
      </c>
    </row>
    <row r="26" spans="3:6">
      <c r="F26" s="8" t="s">
        <v>209</v>
      </c>
    </row>
    <row r="27" spans="3:6" ht="18.75">
      <c r="C27" s="30" t="s">
        <v>36</v>
      </c>
      <c r="D27" s="33" t="s">
        <v>37</v>
      </c>
      <c r="F27" s="8" t="s">
        <v>273</v>
      </c>
    </row>
    <row r="28" spans="3:6">
      <c r="C28" s="31" t="s">
        <v>39</v>
      </c>
      <c r="D28" s="31" t="s">
        <v>40</v>
      </c>
      <c r="E28" s="31"/>
      <c r="F28" s="4"/>
    </row>
    <row r="29" spans="3:6">
      <c r="C29" s="36" t="s">
        <v>42</v>
      </c>
      <c r="D29" s="8" t="s">
        <v>274</v>
      </c>
      <c r="E29" s="32"/>
      <c r="F29" s="4"/>
    </row>
    <row r="30" spans="3:6">
      <c r="C30" s="36" t="s">
        <v>45</v>
      </c>
      <c r="D30" s="25" t="s">
        <v>275</v>
      </c>
      <c r="E30" s="32"/>
      <c r="F30" s="4"/>
    </row>
    <row r="31" spans="3:6">
      <c r="C31" s="36" t="s">
        <v>47</v>
      </c>
      <c r="D31" s="25" t="s">
        <v>276</v>
      </c>
      <c r="E31" s="32"/>
      <c r="F31" s="4"/>
    </row>
    <row r="32" spans="3:6">
      <c r="C32" s="36" t="s">
        <v>49</v>
      </c>
      <c r="D32" s="1"/>
      <c r="E32" s="32"/>
      <c r="F32" s="4"/>
    </row>
    <row r="33" spans="3:8">
      <c r="C33" s="36" t="s">
        <v>50</v>
      </c>
      <c r="D33" s="1"/>
      <c r="E33" s="32"/>
      <c r="F33" s="4"/>
    </row>
    <row r="36" spans="3:8" ht="18.75">
      <c r="C36" s="30" t="s">
        <v>51</v>
      </c>
    </row>
    <row r="37" spans="3:8">
      <c r="C37" s="31" t="s">
        <v>52</v>
      </c>
      <c r="D37" s="31" t="s">
        <v>53</v>
      </c>
      <c r="E37" s="31" t="s">
        <v>54</v>
      </c>
      <c r="F37" s="31" t="s">
        <v>55</v>
      </c>
      <c r="G37" s="31" t="s">
        <v>56</v>
      </c>
      <c r="H37" s="31" t="s">
        <v>57</v>
      </c>
    </row>
    <row r="38" spans="3:8">
      <c r="C38" s="36" t="s">
        <v>58</v>
      </c>
      <c r="D38" s="1" t="s">
        <v>145</v>
      </c>
      <c r="E38" s="1" t="s">
        <v>277</v>
      </c>
      <c r="F38" s="8" t="s">
        <v>278</v>
      </c>
      <c r="G38" s="3">
        <v>0.5</v>
      </c>
      <c r="H38" s="1">
        <v>32</v>
      </c>
    </row>
    <row r="39" spans="3:8">
      <c r="C39" s="36" t="s">
        <v>62</v>
      </c>
      <c r="D39" s="1" t="s">
        <v>148</v>
      </c>
      <c r="E39" s="1" t="s">
        <v>279</v>
      </c>
      <c r="F39" s="1" t="s">
        <v>280</v>
      </c>
      <c r="G39" s="3">
        <v>0.5</v>
      </c>
      <c r="H39" s="1">
        <v>33</v>
      </c>
    </row>
    <row r="40" spans="3:8">
      <c r="C40" s="36" t="s">
        <v>65</v>
      </c>
      <c r="D40" s="4"/>
      <c r="E40" s="4"/>
      <c r="F40" s="4"/>
      <c r="G40" s="4"/>
      <c r="H40" s="4"/>
    </row>
    <row r="41" spans="3:8">
      <c r="C41" s="36" t="s">
        <v>66</v>
      </c>
      <c r="D41" s="4"/>
      <c r="E41" s="4"/>
      <c r="F41" s="4"/>
      <c r="G41" s="4"/>
      <c r="H41" s="4"/>
    </row>
    <row r="42" spans="3:8">
      <c r="C42" s="31"/>
    </row>
    <row r="44" spans="3:8" ht="18.75">
      <c r="C44" s="30" t="s">
        <v>67</v>
      </c>
      <c r="D44" s="33"/>
    </row>
    <row r="45" spans="3:8">
      <c r="C45" s="28" t="s">
        <v>52</v>
      </c>
      <c r="D45" s="28" t="s">
        <v>39</v>
      </c>
      <c r="E45" s="28" t="s">
        <v>68</v>
      </c>
      <c r="F45" s="28" t="s">
        <v>69</v>
      </c>
    </row>
    <row r="46" spans="3:8">
      <c r="C46" s="5" t="s">
        <v>58</v>
      </c>
      <c r="D46" s="4" t="s">
        <v>47</v>
      </c>
      <c r="E46" s="4" t="s">
        <v>151</v>
      </c>
      <c r="F46" s="4" t="s">
        <v>152</v>
      </c>
    </row>
    <row r="47" spans="3:8">
      <c r="C47" s="5" t="s">
        <v>58</v>
      </c>
      <c r="D47" s="4" t="s">
        <v>47</v>
      </c>
      <c r="E47" s="4" t="s">
        <v>76</v>
      </c>
      <c r="F47" s="4" t="s">
        <v>281</v>
      </c>
    </row>
    <row r="48" spans="3:8">
      <c r="C48" s="5" t="s">
        <v>58</v>
      </c>
      <c r="D48" s="4" t="s">
        <v>47</v>
      </c>
      <c r="E48" s="4" t="s">
        <v>154</v>
      </c>
      <c r="F48" s="4" t="s">
        <v>282</v>
      </c>
    </row>
    <row r="49" spans="3:6">
      <c r="C49" s="5" t="s">
        <v>58</v>
      </c>
      <c r="D49" s="4" t="s">
        <v>47</v>
      </c>
      <c r="E49" s="4" t="s">
        <v>154</v>
      </c>
      <c r="F49" s="4" t="s">
        <v>283</v>
      </c>
    </row>
    <row r="50" spans="3:6">
      <c r="C50" s="5" t="s">
        <v>62</v>
      </c>
      <c r="D50" s="4" t="s">
        <v>42</v>
      </c>
      <c r="E50" s="4" t="s">
        <v>151</v>
      </c>
      <c r="F50" s="4" t="s">
        <v>219</v>
      </c>
    </row>
    <row r="51" spans="3:6">
      <c r="C51" s="5" t="s">
        <v>62</v>
      </c>
      <c r="D51" s="4" t="s">
        <v>45</v>
      </c>
      <c r="E51" s="4" t="s">
        <v>160</v>
      </c>
      <c r="F51" s="4" t="s">
        <v>162</v>
      </c>
    </row>
    <row r="52" spans="3:6">
      <c r="C52" s="5" t="s">
        <v>62</v>
      </c>
      <c r="D52" s="4" t="s">
        <v>45</v>
      </c>
      <c r="E52" s="4" t="s">
        <v>72</v>
      </c>
      <c r="F52" s="4" t="s">
        <v>284</v>
      </c>
    </row>
    <row r="53" spans="3:6">
      <c r="C53" s="51" t="s">
        <v>58</v>
      </c>
      <c r="D53" s="52" t="s">
        <v>45</v>
      </c>
      <c r="E53" s="52" t="s">
        <v>85</v>
      </c>
      <c r="F53" s="52" t="s">
        <v>285</v>
      </c>
    </row>
    <row r="54" spans="3:6">
      <c r="C54" s="5"/>
      <c r="D54" s="4"/>
      <c r="E54" s="4"/>
      <c r="F54" s="4"/>
    </row>
    <row r="55" spans="3:6">
      <c r="C55" s="5"/>
      <c r="D55" s="4"/>
      <c r="E55" s="4"/>
      <c r="F55" s="4"/>
    </row>
    <row r="56" spans="3:6">
      <c r="C56" s="5"/>
      <c r="D56" s="4"/>
      <c r="E56" s="4"/>
      <c r="F56" s="4"/>
    </row>
    <row r="57" spans="3:6">
      <c r="C57" s="5"/>
      <c r="D57" s="4"/>
      <c r="E57" s="4"/>
      <c r="F57" s="4"/>
    </row>
    <row r="58" spans="3:6">
      <c r="C58" s="5"/>
      <c r="D58" s="4"/>
      <c r="E58" s="4"/>
      <c r="F58" s="4"/>
    </row>
    <row r="59" spans="3:6">
      <c r="C59" s="5"/>
      <c r="D59" s="4"/>
      <c r="E59" s="4"/>
      <c r="F59" s="4"/>
    </row>
    <row r="60" spans="3:6">
      <c r="C60" s="5"/>
      <c r="D60" s="4"/>
      <c r="E60" s="4"/>
      <c r="F60" s="4"/>
    </row>
    <row r="61" spans="3:6">
      <c r="C61" s="5"/>
      <c r="D61" s="4"/>
      <c r="E61" s="4"/>
      <c r="F61" s="4"/>
    </row>
    <row r="62" spans="3:6">
      <c r="C62" s="5"/>
      <c r="D62" s="4"/>
      <c r="E62" s="4"/>
      <c r="F62" s="4"/>
    </row>
    <row r="63" spans="3:6">
      <c r="C63" s="5"/>
      <c r="D63" s="4"/>
      <c r="E63" s="4"/>
      <c r="F63" s="4"/>
    </row>
    <row r="64" spans="3:6">
      <c r="C64" s="5"/>
      <c r="D64" s="4"/>
      <c r="E64" s="4"/>
      <c r="F64" s="4"/>
    </row>
    <row r="65" spans="2:6">
      <c r="C65" s="5"/>
      <c r="D65" s="4"/>
      <c r="E65" s="4"/>
      <c r="F65" s="4"/>
    </row>
    <row r="66" spans="2:6">
      <c r="C66" s="5"/>
      <c r="D66" s="4"/>
      <c r="E66" s="4"/>
      <c r="F66" s="4"/>
    </row>
    <row r="69" spans="2:6" ht="18.75">
      <c r="C69" s="30" t="s">
        <v>87</v>
      </c>
    </row>
    <row r="70" spans="2:6">
      <c r="B70" t="s">
        <v>88</v>
      </c>
      <c r="C70" s="28" t="s">
        <v>89</v>
      </c>
      <c r="D70" s="28" t="s">
        <v>90</v>
      </c>
      <c r="E70" s="28" t="s">
        <v>91</v>
      </c>
      <c r="F70" s="28" t="s">
        <v>92</v>
      </c>
    </row>
    <row r="71" spans="2:6">
      <c r="B71" s="37">
        <v>1</v>
      </c>
      <c r="C71" s="38">
        <v>1</v>
      </c>
      <c r="D71" s="1"/>
      <c r="E71" s="1"/>
      <c r="F71" s="1"/>
    </row>
    <row r="72" spans="2:6">
      <c r="B72" s="37">
        <v>1</v>
      </c>
      <c r="C72" s="38">
        <v>2</v>
      </c>
      <c r="D72" s="1"/>
      <c r="E72" s="1"/>
      <c r="F72" s="1"/>
    </row>
    <row r="73" spans="2:6">
      <c r="B73" s="37">
        <v>1</v>
      </c>
      <c r="C73" s="38">
        <v>3</v>
      </c>
      <c r="D73" s="1"/>
      <c r="E73" s="1"/>
      <c r="F73" s="1"/>
    </row>
    <row r="74" spans="2:6">
      <c r="B74" s="37">
        <v>1</v>
      </c>
      <c r="C74" s="38">
        <v>4</v>
      </c>
      <c r="D74" s="1"/>
      <c r="E74" s="1"/>
      <c r="F74" s="1"/>
    </row>
    <row r="75" spans="2:6">
      <c r="B75" s="37">
        <v>1</v>
      </c>
      <c r="C75" s="38">
        <v>5</v>
      </c>
      <c r="D75" s="1"/>
      <c r="E75" s="1"/>
      <c r="F75" s="1"/>
    </row>
    <row r="76" spans="2:6">
      <c r="B76" s="37">
        <v>1</v>
      </c>
      <c r="C76" s="38">
        <v>6</v>
      </c>
      <c r="D76" s="1"/>
      <c r="E76" s="1"/>
      <c r="F76" s="1"/>
    </row>
    <row r="77" spans="2:6">
      <c r="B77" s="37">
        <v>1</v>
      </c>
      <c r="C77" s="38">
        <v>7</v>
      </c>
      <c r="D77" s="1"/>
      <c r="E77" s="1"/>
      <c r="F77" s="1"/>
    </row>
    <row r="78" spans="2:6">
      <c r="B78" s="37">
        <v>1</v>
      </c>
      <c r="C78" s="38">
        <v>8</v>
      </c>
      <c r="D78" s="1"/>
      <c r="E78" s="1"/>
      <c r="F78" s="1"/>
    </row>
    <row r="79" spans="2:6">
      <c r="B79" s="37">
        <v>1</v>
      </c>
      <c r="C79" s="38">
        <v>9</v>
      </c>
      <c r="D79" s="1"/>
      <c r="E79" s="1"/>
      <c r="F79" s="1"/>
    </row>
    <row r="80" spans="2:6">
      <c r="B80" s="37">
        <v>1</v>
      </c>
      <c r="C80" s="38">
        <v>10</v>
      </c>
      <c r="D80" s="1"/>
      <c r="E80" s="1"/>
      <c r="F80" s="1"/>
    </row>
    <row r="81" spans="2:6">
      <c r="B81" s="37">
        <v>1</v>
      </c>
      <c r="C81" s="38">
        <v>11</v>
      </c>
      <c r="D81" s="1"/>
      <c r="E81" s="1"/>
      <c r="F81" s="1"/>
    </row>
    <row r="82" spans="2:6">
      <c r="B82" s="37">
        <v>1</v>
      </c>
      <c r="C82" s="38">
        <v>12</v>
      </c>
      <c r="D82" s="1"/>
      <c r="E82" s="1"/>
      <c r="F82" s="1"/>
    </row>
    <row r="83" spans="2:6">
      <c r="B83" s="37">
        <v>2</v>
      </c>
      <c r="C83" s="38">
        <v>1</v>
      </c>
      <c r="D83" s="15" t="s">
        <v>286</v>
      </c>
      <c r="E83" s="16" t="s">
        <v>287</v>
      </c>
      <c r="F83" s="17" t="s">
        <v>288</v>
      </c>
    </row>
    <row r="84" spans="2:6">
      <c r="B84" s="37">
        <v>2</v>
      </c>
      <c r="C84" s="38">
        <v>2</v>
      </c>
      <c r="D84" s="18" t="s">
        <v>289</v>
      </c>
      <c r="E84" s="19" t="s">
        <v>290</v>
      </c>
      <c r="F84" s="20" t="s">
        <v>291</v>
      </c>
    </row>
    <row r="85" spans="2:6">
      <c r="B85" s="37">
        <v>2</v>
      </c>
      <c r="C85" s="38">
        <v>3</v>
      </c>
      <c r="D85" s="18" t="s">
        <v>292</v>
      </c>
      <c r="E85" s="19" t="s">
        <v>293</v>
      </c>
      <c r="F85" s="20" t="s">
        <v>294</v>
      </c>
    </row>
    <row r="86" spans="2:6">
      <c r="B86" s="37">
        <v>2</v>
      </c>
      <c r="C86" s="38">
        <v>4</v>
      </c>
      <c r="D86" s="18" t="s">
        <v>295</v>
      </c>
      <c r="E86" s="19" t="s">
        <v>296</v>
      </c>
      <c r="F86" s="20" t="s">
        <v>294</v>
      </c>
    </row>
    <row r="87" spans="2:6">
      <c r="B87" s="37">
        <v>2</v>
      </c>
      <c r="C87" s="38">
        <v>5</v>
      </c>
      <c r="D87" s="18" t="s">
        <v>297</v>
      </c>
      <c r="E87" s="19" t="s">
        <v>298</v>
      </c>
      <c r="F87" s="20" t="s">
        <v>294</v>
      </c>
    </row>
    <row r="88" spans="2:6">
      <c r="B88" s="37">
        <v>2</v>
      </c>
      <c r="C88" s="38">
        <v>6</v>
      </c>
      <c r="D88" s="18" t="s">
        <v>299</v>
      </c>
      <c r="E88" s="21" t="s">
        <v>300</v>
      </c>
      <c r="F88" s="20" t="s">
        <v>301</v>
      </c>
    </row>
    <row r="89" spans="2:6">
      <c r="B89" s="37">
        <v>2</v>
      </c>
      <c r="C89" s="38">
        <v>7</v>
      </c>
      <c r="D89" s="18" t="s">
        <v>302</v>
      </c>
      <c r="E89" s="19" t="s">
        <v>303</v>
      </c>
      <c r="F89" s="20" t="s">
        <v>294</v>
      </c>
    </row>
    <row r="90" spans="2:6">
      <c r="B90" s="37">
        <v>2</v>
      </c>
      <c r="C90" s="38">
        <v>8</v>
      </c>
      <c r="D90" s="18" t="s">
        <v>304</v>
      </c>
      <c r="E90" s="19" t="s">
        <v>305</v>
      </c>
      <c r="F90" s="20" t="s">
        <v>294</v>
      </c>
    </row>
    <row r="91" spans="2:6">
      <c r="B91" s="37">
        <v>2</v>
      </c>
      <c r="C91" s="38">
        <v>9</v>
      </c>
      <c r="D91" s="18" t="s">
        <v>306</v>
      </c>
      <c r="E91" s="19" t="s">
        <v>307</v>
      </c>
      <c r="F91" s="20" t="s">
        <v>308</v>
      </c>
    </row>
    <row r="92" spans="2:6">
      <c r="B92" s="37">
        <v>2</v>
      </c>
      <c r="C92" s="38">
        <v>10</v>
      </c>
      <c r="D92" s="18" t="s">
        <v>309</v>
      </c>
      <c r="E92" s="19" t="s">
        <v>310</v>
      </c>
      <c r="F92" s="20" t="s">
        <v>311</v>
      </c>
    </row>
    <row r="93" spans="2:6">
      <c r="B93" s="37">
        <v>2</v>
      </c>
      <c r="C93" s="38">
        <v>11</v>
      </c>
      <c r="D93" s="18" t="s">
        <v>312</v>
      </c>
      <c r="E93" s="19" t="s">
        <v>313</v>
      </c>
      <c r="F93" s="20" t="s">
        <v>314</v>
      </c>
    </row>
    <row r="94" spans="2:6">
      <c r="B94" s="37">
        <v>2</v>
      </c>
      <c r="C94" s="38">
        <v>12</v>
      </c>
      <c r="D94" s="22" t="s">
        <v>195</v>
      </c>
      <c r="E94" s="23" t="s">
        <v>315</v>
      </c>
      <c r="F94" s="24" t="s">
        <v>316</v>
      </c>
    </row>
  </sheetData>
  <sheetProtection sheet="1" objects="1" scenarios="1" formatCells="0" formatColumns="0" formatRows="0" insertHyperlinks="0"/>
  <dataValidations count="4">
    <dataValidation type="list" allowBlank="1" showInputMessage="1" showErrorMessage="1" sqref="E38:E41" xr:uid="{30ED3A3D-A6E5-45DA-A072-4863AA8C1558}">
      <formula1>INDIRECT("LISTAssess[Assessment Specific]")</formula1>
    </dataValidation>
    <dataValidation type="whole" showInputMessage="1" showErrorMessage="1" error="This is not a realistic number of contact hours please change" sqref="D19" xr:uid="{ED7F7914-6C28-4D8E-B268-3CD5BA4E3144}">
      <formula1>0</formula1>
      <formula2>80</formula2>
    </dataValidation>
    <dataValidation type="whole" showInputMessage="1" showErrorMessage="1" error="This is not a realistic number of contact hours please reduce" sqref="D20:D23" xr:uid="{7D2F483B-63CE-4110-AF1C-80CF6D50C7FA}">
      <formula1>0</formula1>
      <formula2>80</formula2>
    </dataValidation>
    <dataValidation type="list" allowBlank="1" showInputMessage="1" showErrorMessage="1" sqref="F46:F52 F54:F66" xr:uid="{9437D9A6-E43C-4167-888C-72EAD0F96263}">
      <formula1>INDIRECT(VLOOKUP($E46,SkillNameMap,2,FALSE))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BD1D28E8-E44D-43D6-AB31-6906AFB76CC7}">
          <x14:formula1>
            <xm:f>LISTS!$G$7:$G$11</xm:f>
          </x14:formula1>
          <xm:sqref>D38:D42</xm:sqref>
        </x14:dataValidation>
        <x14:dataValidation type="list" allowBlank="1" showInputMessage="1" showErrorMessage="1" xr:uid="{4307F0DB-5179-49DE-9F56-B0D376451B8E}">
          <x14:formula1>
            <xm:f>LISTS!$C$11:$C$15</xm:f>
          </x14:formula1>
          <xm:sqref>D11</xm:sqref>
        </x14:dataValidation>
        <x14:dataValidation type="list" allowBlank="1" showInputMessage="1" showErrorMessage="1" xr:uid="{881415EC-E12E-4E20-BF7A-6A7CDB9E721E}">
          <x14:formula1>
            <xm:f>LISTS!$C$7:$C$9</xm:f>
          </x14:formula1>
          <xm:sqref>D10</xm:sqref>
        </x14:dataValidation>
        <x14:dataValidation type="list" allowBlank="1" showInputMessage="1" showErrorMessage="1" xr:uid="{264E4697-DBBE-457A-A30D-C8272EF12344}">
          <x14:formula1>
            <xm:f>LISTS!$C$17:$C$22</xm:f>
          </x14:formula1>
          <xm:sqref>D13</xm:sqref>
        </x14:dataValidation>
        <x14:dataValidation type="list" allowBlank="1" showInputMessage="1" showErrorMessage="1" xr:uid="{849644AB-3E82-4044-91E7-7C031EBB1D3B}">
          <x14:formula1>
            <xm:f>LISTS!$C$26:$C$37</xm:f>
          </x14:formula1>
          <xm:sqref>D14</xm:sqref>
        </x14:dataValidation>
        <x14:dataValidation type="list" allowBlank="1" showInputMessage="1" showErrorMessage="1" xr:uid="{8A1593AF-AF33-44A4-BD5D-F2DC41EAA86E}">
          <x14:formula1>
            <xm:f>LISTS!$J$7:$J$16</xm:f>
          </x14:formula1>
          <xm:sqref>E46:E52 E54:E66</xm:sqref>
        </x14:dataValidation>
        <x14:dataValidation type="list" allowBlank="1" showInputMessage="1" showErrorMessage="1" xr:uid="{13524674-6569-4444-A927-B70E751D7616}">
          <x14:formula1>
            <xm:f>LISTS!$E$7:$E$11</xm:f>
          </x14:formula1>
          <xm:sqref>D46:D49 D51:D52 D54:D66</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CED139-4EE0-4CD6-B60A-E51D5ED74DE8}">
  <sheetPr codeName="Sheet5"/>
  <dimension ref="B2:H94"/>
  <sheetViews>
    <sheetView showGridLines="0" topLeftCell="B44" zoomScale="85" zoomScaleNormal="85" workbookViewId="0">
      <selection activeCell="C56" sqref="C56:F59"/>
    </sheetView>
  </sheetViews>
  <sheetFormatPr defaultRowHeight="15"/>
  <cols>
    <col min="3" max="3" width="33.28515625" customWidth="1"/>
    <col min="4" max="4" width="51.5703125" customWidth="1"/>
    <col min="5" max="5" width="67.28515625" customWidth="1"/>
    <col min="6" max="6" width="63.140625" customWidth="1"/>
    <col min="7" max="7" width="12.42578125" customWidth="1"/>
    <col min="8" max="8" width="15.5703125" customWidth="1"/>
    <col min="9" max="9" width="14.7109375" customWidth="1"/>
  </cols>
  <sheetData>
    <row r="2" spans="2:6" ht="26.25">
      <c r="C2" s="27" t="str">
        <f>D7</f>
        <v>5001SPS</v>
      </c>
      <c r="D2" s="27" t="str">
        <f>D8</f>
        <v>Professional Practice 2 in Sport Nutrition</v>
      </c>
    </row>
    <row r="3" spans="2:6">
      <c r="B3" s="28"/>
      <c r="C3" s="28"/>
    </row>
    <row r="4" spans="2:6">
      <c r="B4" s="29"/>
      <c r="C4" s="29"/>
    </row>
    <row r="5" spans="2:6" ht="18.75">
      <c r="B5" s="29"/>
      <c r="C5" s="30" t="s">
        <v>0</v>
      </c>
    </row>
    <row r="6" spans="2:6">
      <c r="B6" s="29"/>
      <c r="C6" s="31" t="s">
        <v>1</v>
      </c>
      <c r="D6" s="32" t="s">
        <v>2</v>
      </c>
      <c r="E6" s="32"/>
      <c r="F6" t="s">
        <v>3</v>
      </c>
    </row>
    <row r="7" spans="2:6">
      <c r="B7" s="29"/>
      <c r="C7" s="36" t="s">
        <v>4</v>
      </c>
      <c r="D7" s="1" t="s">
        <v>317</v>
      </c>
      <c r="E7" s="32"/>
      <c r="F7" s="6" t="s">
        <v>318</v>
      </c>
    </row>
    <row r="8" spans="2:6">
      <c r="B8" s="29"/>
      <c r="C8" s="36" t="s">
        <v>7</v>
      </c>
      <c r="D8" s="6" t="s">
        <v>319</v>
      </c>
      <c r="E8" s="32"/>
      <c r="F8" s="4"/>
    </row>
    <row r="9" spans="2:6">
      <c r="C9" s="36" t="s">
        <v>9</v>
      </c>
      <c r="D9" s="1">
        <v>20</v>
      </c>
      <c r="E9" s="32"/>
    </row>
    <row r="10" spans="2:6">
      <c r="C10" s="36" t="s">
        <v>10</v>
      </c>
      <c r="D10" s="1" t="s">
        <v>11</v>
      </c>
      <c r="E10" s="32"/>
      <c r="F10" t="s">
        <v>12</v>
      </c>
    </row>
    <row r="11" spans="2:6">
      <c r="C11" s="36" t="s">
        <v>13</v>
      </c>
      <c r="D11" s="1">
        <v>5</v>
      </c>
      <c r="E11" s="32"/>
      <c r="F11" s="6" t="s">
        <v>320</v>
      </c>
    </row>
    <row r="12" spans="2:6">
      <c r="C12" s="36" t="s">
        <v>15</v>
      </c>
      <c r="D12" s="1" t="s">
        <v>16</v>
      </c>
      <c r="E12" s="32"/>
      <c r="F12" s="8" t="s">
        <v>321</v>
      </c>
    </row>
    <row r="13" spans="2:6">
      <c r="C13" s="36" t="s">
        <v>17</v>
      </c>
      <c r="D13" s="1" t="s">
        <v>18</v>
      </c>
      <c r="E13" s="32"/>
      <c r="F13" s="4"/>
    </row>
    <row r="14" spans="2:6">
      <c r="C14" s="36" t="s">
        <v>19</v>
      </c>
      <c r="D14" s="1" t="s">
        <v>20</v>
      </c>
      <c r="E14" s="32"/>
    </row>
    <row r="15" spans="2:6">
      <c r="C15" s="31"/>
      <c r="D15" s="32"/>
      <c r="E15" s="32"/>
      <c r="F15" t="s">
        <v>21</v>
      </c>
    </row>
    <row r="16" spans="2:6">
      <c r="C16" s="31"/>
      <c r="D16" s="32"/>
      <c r="E16" s="32"/>
      <c r="F16" s="6" t="s">
        <v>322</v>
      </c>
    </row>
    <row r="17" spans="3:6" ht="18.75">
      <c r="C17" s="30" t="s">
        <v>23</v>
      </c>
      <c r="D17" s="32"/>
      <c r="E17" s="32"/>
      <c r="F17" s="4"/>
    </row>
    <row r="18" spans="3:6">
      <c r="C18" s="31" t="s">
        <v>24</v>
      </c>
      <c r="D18" s="28" t="s">
        <v>23</v>
      </c>
      <c r="E18" s="32"/>
      <c r="F18" s="4"/>
    </row>
    <row r="19" spans="3:6">
      <c r="C19" s="36" t="s">
        <v>25</v>
      </c>
      <c r="D19" s="2">
        <v>8</v>
      </c>
      <c r="E19" s="32"/>
      <c r="F19" s="4"/>
    </row>
    <row r="20" spans="3:6">
      <c r="C20" s="36" t="s">
        <v>26</v>
      </c>
      <c r="D20" s="2">
        <v>10</v>
      </c>
      <c r="E20" s="32"/>
      <c r="F20" s="4"/>
    </row>
    <row r="21" spans="3:6">
      <c r="C21" s="36" t="s">
        <v>27</v>
      </c>
      <c r="D21" s="2"/>
      <c r="E21" s="32"/>
    </row>
    <row r="22" spans="3:6">
      <c r="C22" s="36" t="s">
        <v>28</v>
      </c>
      <c r="D22" s="2">
        <v>32</v>
      </c>
      <c r="E22" s="32"/>
      <c r="F22" t="s">
        <v>29</v>
      </c>
    </row>
    <row r="23" spans="3:6">
      <c r="C23" s="36" t="s">
        <v>30</v>
      </c>
      <c r="D23" s="2"/>
      <c r="E23" s="32"/>
      <c r="F23" s="8" t="s">
        <v>323</v>
      </c>
    </row>
    <row r="24" spans="3:6">
      <c r="C24" s="36" t="s">
        <v>32</v>
      </c>
      <c r="D24" s="28">
        <f>SUM(D19:D23)</f>
        <v>50</v>
      </c>
      <c r="E24" s="32"/>
      <c r="F24" s="8" t="s">
        <v>324</v>
      </c>
    </row>
    <row r="25" spans="3:6">
      <c r="F25" s="8" t="s">
        <v>325</v>
      </c>
    </row>
    <row r="26" spans="3:6">
      <c r="F26" s="8" t="s">
        <v>326</v>
      </c>
    </row>
    <row r="27" spans="3:6" ht="18.75">
      <c r="C27" s="30" t="s">
        <v>36</v>
      </c>
      <c r="D27" s="33" t="s">
        <v>37</v>
      </c>
      <c r="F27" s="8" t="s">
        <v>327</v>
      </c>
    </row>
    <row r="28" spans="3:6">
      <c r="C28" s="31" t="s">
        <v>39</v>
      </c>
      <c r="D28" s="31" t="s">
        <v>40</v>
      </c>
      <c r="E28" s="31"/>
      <c r="F28" s="8" t="s">
        <v>328</v>
      </c>
    </row>
    <row r="29" spans="3:6">
      <c r="C29" s="36" t="s">
        <v>42</v>
      </c>
      <c r="D29" s="8" t="s">
        <v>329</v>
      </c>
      <c r="E29" s="32"/>
      <c r="F29" s="8"/>
    </row>
    <row r="30" spans="3:6">
      <c r="C30" s="36" t="s">
        <v>45</v>
      </c>
      <c r="D30" s="25" t="s">
        <v>330</v>
      </c>
      <c r="E30" s="32"/>
      <c r="F30" s="4"/>
    </row>
    <row r="31" spans="3:6">
      <c r="C31" s="36" t="s">
        <v>47</v>
      </c>
      <c r="D31" s="25" t="s">
        <v>331</v>
      </c>
      <c r="E31" s="32"/>
      <c r="F31" s="4"/>
    </row>
    <row r="32" spans="3:6">
      <c r="C32" s="36" t="s">
        <v>49</v>
      </c>
      <c r="D32" s="1"/>
      <c r="E32" s="32"/>
      <c r="F32" s="4"/>
    </row>
    <row r="33" spans="3:8">
      <c r="C33" s="36" t="s">
        <v>50</v>
      </c>
      <c r="D33" s="1"/>
      <c r="E33" s="32"/>
      <c r="F33" s="4"/>
    </row>
    <row r="36" spans="3:8" ht="18.75">
      <c r="C36" s="30" t="s">
        <v>51</v>
      </c>
    </row>
    <row r="37" spans="3:8">
      <c r="C37" s="31" t="s">
        <v>52</v>
      </c>
      <c r="D37" s="31" t="s">
        <v>53</v>
      </c>
      <c r="E37" s="31" t="s">
        <v>54</v>
      </c>
      <c r="F37" s="31" t="s">
        <v>55</v>
      </c>
      <c r="G37" s="31" t="s">
        <v>56</v>
      </c>
      <c r="H37" s="31" t="s">
        <v>57</v>
      </c>
    </row>
    <row r="38" spans="3:8">
      <c r="C38" s="36" t="s">
        <v>58</v>
      </c>
      <c r="D38" s="1" t="s">
        <v>216</v>
      </c>
      <c r="E38" s="1" t="s">
        <v>332</v>
      </c>
      <c r="F38" s="8" t="s">
        <v>333</v>
      </c>
      <c r="G38" s="3">
        <v>0.5</v>
      </c>
      <c r="H38" s="1">
        <v>8</v>
      </c>
    </row>
    <row r="39" spans="3:8">
      <c r="C39" s="36" t="s">
        <v>62</v>
      </c>
      <c r="D39" s="1" t="s">
        <v>59</v>
      </c>
      <c r="E39" s="1" t="s">
        <v>332</v>
      </c>
      <c r="F39" s="8" t="s">
        <v>334</v>
      </c>
      <c r="G39" s="3">
        <v>0.5</v>
      </c>
      <c r="H39" s="1">
        <v>32</v>
      </c>
    </row>
    <row r="40" spans="3:8">
      <c r="C40" s="36" t="s">
        <v>65</v>
      </c>
      <c r="D40" s="4"/>
      <c r="E40" s="4"/>
      <c r="F40" s="4"/>
      <c r="G40" s="4"/>
      <c r="H40" s="4"/>
    </row>
    <row r="41" spans="3:8">
      <c r="C41" s="36" t="s">
        <v>66</v>
      </c>
      <c r="D41" s="4"/>
      <c r="E41" s="4"/>
      <c r="F41" s="4"/>
      <c r="G41" s="4"/>
      <c r="H41" s="4"/>
    </row>
    <row r="42" spans="3:8">
      <c r="C42" s="31"/>
    </row>
    <row r="44" spans="3:8" ht="18.75">
      <c r="C44" s="30" t="s">
        <v>67</v>
      </c>
      <c r="D44" s="33"/>
    </row>
    <row r="45" spans="3:8">
      <c r="C45" s="28" t="s">
        <v>52</v>
      </c>
      <c r="D45" s="28" t="s">
        <v>39</v>
      </c>
      <c r="E45" s="28" t="s">
        <v>68</v>
      </c>
      <c r="F45" s="28" t="s">
        <v>69</v>
      </c>
    </row>
    <row r="46" spans="3:8">
      <c r="C46" s="5" t="s">
        <v>58</v>
      </c>
      <c r="D46" s="4" t="s">
        <v>42</v>
      </c>
      <c r="E46" s="4" t="s">
        <v>72</v>
      </c>
      <c r="F46" s="4" t="s">
        <v>73</v>
      </c>
    </row>
    <row r="47" spans="3:8">
      <c r="C47" s="5" t="s">
        <v>58</v>
      </c>
      <c r="D47" s="4" t="s">
        <v>42</v>
      </c>
      <c r="E47" s="4" t="s">
        <v>70</v>
      </c>
      <c r="F47" s="4" t="s">
        <v>335</v>
      </c>
    </row>
    <row r="48" spans="3:8">
      <c r="C48" s="5" t="s">
        <v>58</v>
      </c>
      <c r="D48" s="4" t="s">
        <v>45</v>
      </c>
      <c r="E48" s="4" t="s">
        <v>151</v>
      </c>
      <c r="F48" s="4" t="s">
        <v>219</v>
      </c>
    </row>
    <row r="49" spans="3:6">
      <c r="C49" s="5" t="s">
        <v>58</v>
      </c>
      <c r="D49" s="4" t="s">
        <v>42</v>
      </c>
      <c r="E49" s="4" t="s">
        <v>158</v>
      </c>
      <c r="F49" s="4" t="s">
        <v>336</v>
      </c>
    </row>
    <row r="50" spans="3:6">
      <c r="C50" s="5" t="s">
        <v>58</v>
      </c>
      <c r="D50" s="4" t="s">
        <v>45</v>
      </c>
      <c r="E50" s="4" t="s">
        <v>74</v>
      </c>
      <c r="F50" s="4" t="s">
        <v>337</v>
      </c>
    </row>
    <row r="51" spans="3:6">
      <c r="C51" s="5" t="s">
        <v>62</v>
      </c>
      <c r="D51" s="4" t="s">
        <v>47</v>
      </c>
      <c r="E51" s="4" t="s">
        <v>74</v>
      </c>
      <c r="F51" s="4" t="s">
        <v>338</v>
      </c>
    </row>
    <row r="52" spans="3:6">
      <c r="C52" s="5" t="s">
        <v>62</v>
      </c>
      <c r="D52" s="4" t="s">
        <v>47</v>
      </c>
      <c r="E52" s="4" t="s">
        <v>70</v>
      </c>
      <c r="F52" s="4" t="s">
        <v>71</v>
      </c>
    </row>
    <row r="53" spans="3:6">
      <c r="C53" s="5" t="s">
        <v>62</v>
      </c>
      <c r="D53" s="4" t="s">
        <v>47</v>
      </c>
      <c r="E53" s="4" t="s">
        <v>158</v>
      </c>
      <c r="F53" s="4" t="s">
        <v>339</v>
      </c>
    </row>
    <row r="54" spans="3:6">
      <c r="C54" s="5" t="s">
        <v>58</v>
      </c>
      <c r="D54" s="4" t="s">
        <v>45</v>
      </c>
      <c r="E54" s="4" t="s">
        <v>72</v>
      </c>
      <c r="F54" s="4" t="s">
        <v>340</v>
      </c>
    </row>
    <row r="55" spans="3:6">
      <c r="C55" s="5" t="s">
        <v>62</v>
      </c>
      <c r="D55" s="4" t="s">
        <v>47</v>
      </c>
      <c r="E55" s="4" t="s">
        <v>70</v>
      </c>
      <c r="F55" s="4" t="s">
        <v>341</v>
      </c>
    </row>
    <row r="56" spans="3:6">
      <c r="C56" s="51" t="s">
        <v>58</v>
      </c>
      <c r="D56" s="52" t="s">
        <v>45</v>
      </c>
      <c r="E56" s="52" t="s">
        <v>158</v>
      </c>
      <c r="F56" s="52" t="s">
        <v>159</v>
      </c>
    </row>
    <row r="57" spans="3:6">
      <c r="C57" s="53" t="s">
        <v>58</v>
      </c>
      <c r="D57" s="54" t="s">
        <v>45</v>
      </c>
      <c r="E57" s="54" t="s">
        <v>78</v>
      </c>
      <c r="F57" s="54" t="s">
        <v>83</v>
      </c>
    </row>
    <row r="58" spans="3:6">
      <c r="C58" s="53" t="s">
        <v>58</v>
      </c>
      <c r="D58" s="54" t="s">
        <v>42</v>
      </c>
      <c r="E58" s="54" t="s">
        <v>158</v>
      </c>
      <c r="F58" s="54" t="s">
        <v>225</v>
      </c>
    </row>
    <row r="59" spans="3:6">
      <c r="C59" s="53" t="s">
        <v>62</v>
      </c>
      <c r="D59" s="54" t="s">
        <v>47</v>
      </c>
      <c r="E59" s="54" t="s">
        <v>70</v>
      </c>
      <c r="F59" s="54" t="s">
        <v>80</v>
      </c>
    </row>
    <row r="60" spans="3:6">
      <c r="C60" s="5"/>
      <c r="D60" s="4"/>
      <c r="E60" s="4"/>
      <c r="F60" s="4"/>
    </row>
    <row r="61" spans="3:6">
      <c r="C61" s="5"/>
      <c r="D61" s="4"/>
      <c r="E61" s="4"/>
      <c r="F61" s="4"/>
    </row>
    <row r="62" spans="3:6">
      <c r="C62" s="5"/>
      <c r="D62" s="4"/>
      <c r="E62" s="4"/>
      <c r="F62" s="4"/>
    </row>
    <row r="63" spans="3:6">
      <c r="C63" s="5"/>
      <c r="D63" s="4"/>
      <c r="E63" s="4"/>
      <c r="F63" s="4"/>
    </row>
    <row r="64" spans="3:6">
      <c r="C64" s="5"/>
      <c r="D64" s="4"/>
      <c r="E64" s="4"/>
      <c r="F64" s="4"/>
    </row>
    <row r="65" spans="2:6">
      <c r="C65" s="5"/>
      <c r="D65" s="4"/>
      <c r="E65" s="4"/>
      <c r="F65" s="4"/>
    </row>
    <row r="66" spans="2:6">
      <c r="C66" s="5"/>
      <c r="D66" s="4"/>
      <c r="E66" s="4"/>
      <c r="F66" s="4"/>
    </row>
    <row r="69" spans="2:6" ht="18.75">
      <c r="C69" s="30" t="s">
        <v>87</v>
      </c>
    </row>
    <row r="70" spans="2:6">
      <c r="B70" t="s">
        <v>88</v>
      </c>
      <c r="C70" s="28" t="s">
        <v>89</v>
      </c>
      <c r="D70" s="28" t="s">
        <v>90</v>
      </c>
      <c r="E70" s="28" t="s">
        <v>91</v>
      </c>
      <c r="F70" s="28" t="s">
        <v>92</v>
      </c>
    </row>
    <row r="71" spans="2:6">
      <c r="B71" s="37">
        <v>1</v>
      </c>
      <c r="C71" s="38">
        <v>1</v>
      </c>
      <c r="D71" s="15" t="s">
        <v>342</v>
      </c>
      <c r="E71" s="16" t="s">
        <v>343</v>
      </c>
      <c r="F71" s="17" t="s">
        <v>344</v>
      </c>
    </row>
    <row r="72" spans="2:6">
      <c r="B72" s="37">
        <v>1</v>
      </c>
      <c r="C72" s="38">
        <v>2</v>
      </c>
      <c r="D72" s="18" t="s">
        <v>345</v>
      </c>
      <c r="E72" s="19" t="s">
        <v>346</v>
      </c>
      <c r="F72" s="20" t="s">
        <v>347</v>
      </c>
    </row>
    <row r="73" spans="2:6">
      <c r="B73" s="37">
        <v>1</v>
      </c>
      <c r="C73" s="38">
        <v>3</v>
      </c>
      <c r="D73" s="18" t="s">
        <v>348</v>
      </c>
      <c r="E73" s="19" t="s">
        <v>349</v>
      </c>
      <c r="F73" s="20" t="s">
        <v>350</v>
      </c>
    </row>
    <row r="74" spans="2:6">
      <c r="B74" s="37">
        <v>1</v>
      </c>
      <c r="C74" s="38">
        <v>4</v>
      </c>
      <c r="D74" s="18" t="s">
        <v>351</v>
      </c>
      <c r="E74" s="19" t="s">
        <v>352</v>
      </c>
      <c r="F74" s="20" t="s">
        <v>353</v>
      </c>
    </row>
    <row r="75" spans="2:6">
      <c r="B75" s="37">
        <v>1</v>
      </c>
      <c r="C75" s="38">
        <v>5</v>
      </c>
      <c r="D75" s="18" t="s">
        <v>354</v>
      </c>
      <c r="E75" s="19" t="s">
        <v>355</v>
      </c>
      <c r="F75" s="20" t="s">
        <v>356</v>
      </c>
    </row>
    <row r="76" spans="2:6">
      <c r="B76" s="37">
        <v>1</v>
      </c>
      <c r="C76" s="38">
        <v>6</v>
      </c>
      <c r="D76" s="18" t="s">
        <v>357</v>
      </c>
      <c r="E76" s="21" t="s">
        <v>358</v>
      </c>
      <c r="F76" s="20" t="s">
        <v>359</v>
      </c>
    </row>
    <row r="77" spans="2:6">
      <c r="B77" s="37">
        <v>1</v>
      </c>
      <c r="C77" s="38">
        <v>7</v>
      </c>
      <c r="D77" s="18" t="s">
        <v>360</v>
      </c>
      <c r="E77" s="19" t="s">
        <v>361</v>
      </c>
      <c r="F77" s="20" t="s">
        <v>362</v>
      </c>
    </row>
    <row r="78" spans="2:6">
      <c r="B78" s="37">
        <v>1</v>
      </c>
      <c r="C78" s="38">
        <v>8</v>
      </c>
      <c r="D78" s="18" t="s">
        <v>363</v>
      </c>
      <c r="E78" s="19" t="s">
        <v>364</v>
      </c>
      <c r="F78" s="20" t="s">
        <v>365</v>
      </c>
    </row>
    <row r="79" spans="2:6">
      <c r="B79" s="37">
        <v>1</v>
      </c>
      <c r="C79" s="38">
        <v>9</v>
      </c>
      <c r="D79" s="18" t="s">
        <v>366</v>
      </c>
      <c r="E79" s="19" t="s">
        <v>367</v>
      </c>
      <c r="F79" s="20" t="s">
        <v>368</v>
      </c>
    </row>
    <row r="80" spans="2:6">
      <c r="B80" s="37">
        <v>1</v>
      </c>
      <c r="C80" s="38">
        <v>10</v>
      </c>
      <c r="D80" s="18" t="s">
        <v>369</v>
      </c>
      <c r="E80" s="19" t="s">
        <v>370</v>
      </c>
      <c r="F80" s="20" t="s">
        <v>371</v>
      </c>
    </row>
    <row r="81" spans="2:6">
      <c r="B81" s="37">
        <v>1</v>
      </c>
      <c r="C81" s="38">
        <v>11</v>
      </c>
      <c r="D81" s="18" t="s">
        <v>372</v>
      </c>
      <c r="E81" s="19" t="s">
        <v>373</v>
      </c>
      <c r="F81" s="20" t="s">
        <v>125</v>
      </c>
    </row>
    <row r="82" spans="2:6">
      <c r="B82" s="37">
        <v>1</v>
      </c>
      <c r="C82" s="38">
        <v>12</v>
      </c>
      <c r="D82" s="22" t="s">
        <v>374</v>
      </c>
      <c r="E82" s="23" t="s">
        <v>375</v>
      </c>
      <c r="F82" s="24" t="s">
        <v>376</v>
      </c>
    </row>
    <row r="83" spans="2:6">
      <c r="B83" s="37">
        <v>2</v>
      </c>
      <c r="C83" s="38">
        <v>1</v>
      </c>
      <c r="D83" s="1"/>
      <c r="E83" s="1"/>
      <c r="F83" s="1"/>
    </row>
    <row r="84" spans="2:6">
      <c r="B84" s="37">
        <v>2</v>
      </c>
      <c r="C84" s="38">
        <v>2</v>
      </c>
      <c r="D84" s="1"/>
      <c r="E84" s="1"/>
      <c r="F84" s="1"/>
    </row>
    <row r="85" spans="2:6">
      <c r="B85" s="37">
        <v>2</v>
      </c>
      <c r="C85" s="38">
        <v>3</v>
      </c>
      <c r="D85" s="1"/>
      <c r="E85" s="1"/>
      <c r="F85" s="1"/>
    </row>
    <row r="86" spans="2:6">
      <c r="B86" s="37">
        <v>2</v>
      </c>
      <c r="C86" s="38">
        <v>4</v>
      </c>
      <c r="D86" s="1"/>
      <c r="E86" s="1"/>
      <c r="F86" s="1"/>
    </row>
    <row r="87" spans="2:6">
      <c r="B87" s="37">
        <v>2</v>
      </c>
      <c r="C87" s="38">
        <v>5</v>
      </c>
      <c r="D87" s="1"/>
      <c r="E87" s="1"/>
      <c r="F87" s="1"/>
    </row>
    <row r="88" spans="2:6">
      <c r="B88" s="37">
        <v>2</v>
      </c>
      <c r="C88" s="38">
        <v>6</v>
      </c>
      <c r="D88" s="1"/>
      <c r="E88" s="1"/>
      <c r="F88" s="1"/>
    </row>
    <row r="89" spans="2:6">
      <c r="B89" s="37">
        <v>2</v>
      </c>
      <c r="C89" s="38">
        <v>7</v>
      </c>
      <c r="D89" s="1"/>
      <c r="E89" s="1"/>
      <c r="F89" s="1"/>
    </row>
    <row r="90" spans="2:6">
      <c r="B90" s="37">
        <v>2</v>
      </c>
      <c r="C90" s="38">
        <v>8</v>
      </c>
      <c r="D90" s="1"/>
      <c r="E90" s="1"/>
      <c r="F90" s="1"/>
    </row>
    <row r="91" spans="2:6">
      <c r="B91" s="37">
        <v>2</v>
      </c>
      <c r="C91" s="38">
        <v>9</v>
      </c>
      <c r="D91" s="1"/>
      <c r="E91" s="1"/>
      <c r="F91" s="1"/>
    </row>
    <row r="92" spans="2:6">
      <c r="B92" s="37">
        <v>2</v>
      </c>
      <c r="C92" s="38">
        <v>10</v>
      </c>
      <c r="D92" s="1"/>
      <c r="E92" s="1"/>
      <c r="F92" s="1"/>
    </row>
    <row r="93" spans="2:6">
      <c r="B93" s="37">
        <v>2</v>
      </c>
      <c r="C93" s="38">
        <v>11</v>
      </c>
      <c r="D93" s="1"/>
      <c r="E93" s="1"/>
      <c r="F93" s="1"/>
    </row>
    <row r="94" spans="2:6">
      <c r="B94" s="37">
        <v>2</v>
      </c>
      <c r="C94" s="38">
        <v>12</v>
      </c>
      <c r="D94" s="1"/>
      <c r="E94" s="1"/>
      <c r="F94" s="1"/>
    </row>
  </sheetData>
  <sheetProtection sheet="1" objects="1" scenarios="1" formatCells="0" formatColumns="0" formatRows="0" insertHyperlinks="0"/>
  <dataValidations count="4">
    <dataValidation type="whole" showInputMessage="1" showErrorMessage="1" error="This is not a realistic number of contact hours please reduce" sqref="D20:D23" xr:uid="{4CD06D9F-B01B-4457-970D-A06930C54E93}">
      <formula1>0</formula1>
      <formula2>80</formula2>
    </dataValidation>
    <dataValidation type="whole" showInputMessage="1" showErrorMessage="1" error="This is not a realistic number of contact hours please change" sqref="D19" xr:uid="{63F672F2-9C2D-49E0-B21F-66A62EA27310}">
      <formula1>0</formula1>
      <formula2>80</formula2>
    </dataValidation>
    <dataValidation type="list" allowBlank="1" showInputMessage="1" showErrorMessage="1" sqref="E38:E41" xr:uid="{DFA2EEE3-AB9D-4F7C-8E30-3C3C00872C8A}">
      <formula1>INDIRECT("LISTAssess[Assessment Specific]")</formula1>
    </dataValidation>
    <dataValidation type="list" allowBlank="1" showInputMessage="1" showErrorMessage="1" sqref="F46:F55 F60:F66" xr:uid="{BD0B3AD5-4A05-466E-9EAF-E466604786A1}">
      <formula1>INDIRECT(VLOOKUP($E46, SkillNameMap, 2, 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39735843-EE1A-45FF-B467-A90D5F8EC861}">
          <x14:formula1>
            <xm:f>LISTS!$C$26:$C$37</xm:f>
          </x14:formula1>
          <xm:sqref>D14</xm:sqref>
        </x14:dataValidation>
        <x14:dataValidation type="list" allowBlank="1" showInputMessage="1" showErrorMessage="1" xr:uid="{681495C4-F231-4E60-A408-2A29AE659913}">
          <x14:formula1>
            <xm:f>LISTS!$C$17:$C$22</xm:f>
          </x14:formula1>
          <xm:sqref>D13</xm:sqref>
        </x14:dataValidation>
        <x14:dataValidation type="list" allowBlank="1" showInputMessage="1" showErrorMessage="1" xr:uid="{F64EA1C2-314E-47D2-98EB-EB9128A71684}">
          <x14:formula1>
            <xm:f>LISTS!$C$7:$C$9</xm:f>
          </x14:formula1>
          <xm:sqref>D10</xm:sqref>
        </x14:dataValidation>
        <x14:dataValidation type="list" allowBlank="1" showInputMessage="1" showErrorMessage="1" xr:uid="{983858DF-F117-4ABC-BB76-AC82A216171D}">
          <x14:formula1>
            <xm:f>LISTS!$C$11:$C$15</xm:f>
          </x14:formula1>
          <xm:sqref>D11</xm:sqref>
        </x14:dataValidation>
        <x14:dataValidation type="list" allowBlank="1" showInputMessage="1" showErrorMessage="1" xr:uid="{20095D0C-07FE-4EE7-BFEC-317D253839B4}">
          <x14:formula1>
            <xm:f>LISTS!$G$7:$G$11</xm:f>
          </x14:formula1>
          <xm:sqref>D38:D42</xm:sqref>
        </x14:dataValidation>
        <x14:dataValidation type="list" allowBlank="1" showInputMessage="1" showErrorMessage="1" xr:uid="{1AB77DFB-5427-40D4-BAEB-24C786FA7A86}">
          <x14:formula1>
            <xm:f>LISTS!$E$7:$E$11</xm:f>
          </x14:formula1>
          <xm:sqref>D46:D55 D60:D66</xm:sqref>
        </x14:dataValidation>
        <x14:dataValidation type="list" allowBlank="1" showInputMessage="1" showErrorMessage="1" xr:uid="{EB948922-0A22-4BD6-8094-4C6953146F85}">
          <x14:formula1>
            <xm:f>LISTS!$J$7:$J$16</xm:f>
          </x14:formula1>
          <xm:sqref>E46:E55 E60:E66</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847D3E-176C-4A98-919A-BC8974D66F1E}">
  <sheetPr codeName="Sheet6"/>
  <dimension ref="B2:H94"/>
  <sheetViews>
    <sheetView showGridLines="0" topLeftCell="A41" zoomScale="85" zoomScaleNormal="85" workbookViewId="0">
      <selection activeCell="C57" sqref="C57:F59"/>
    </sheetView>
  </sheetViews>
  <sheetFormatPr defaultRowHeight="15"/>
  <cols>
    <col min="3" max="3" width="33.28515625" customWidth="1"/>
    <col min="4" max="4" width="51.5703125" customWidth="1"/>
    <col min="5" max="5" width="67.28515625" customWidth="1"/>
    <col min="6" max="6" width="63.140625" customWidth="1"/>
    <col min="7" max="7" width="12.42578125" customWidth="1"/>
    <col min="8" max="8" width="15.5703125" customWidth="1"/>
    <col min="9" max="9" width="14.7109375" customWidth="1"/>
  </cols>
  <sheetData>
    <row r="2" spans="2:6" ht="26.25">
      <c r="C2" s="27" t="str">
        <f>D7</f>
        <v>5014SPS</v>
      </c>
      <c r="D2" s="27" t="str">
        <f>D8</f>
        <v>Product Development for Sport Nutrition</v>
      </c>
    </row>
    <row r="3" spans="2:6">
      <c r="B3" s="28"/>
      <c r="C3" s="28"/>
    </row>
    <row r="4" spans="2:6">
      <c r="B4" s="29"/>
      <c r="C4" s="29"/>
    </row>
    <row r="5" spans="2:6" ht="18.75">
      <c r="B5" s="29"/>
      <c r="C5" s="30" t="s">
        <v>0</v>
      </c>
    </row>
    <row r="6" spans="2:6">
      <c r="B6" s="29"/>
      <c r="C6" s="31" t="s">
        <v>1</v>
      </c>
      <c r="D6" s="32" t="s">
        <v>2</v>
      </c>
      <c r="E6" s="32"/>
      <c r="F6" t="s">
        <v>3</v>
      </c>
    </row>
    <row r="7" spans="2:6">
      <c r="B7" s="29"/>
      <c r="C7" s="36" t="s">
        <v>4</v>
      </c>
      <c r="D7" s="1" t="s">
        <v>377</v>
      </c>
      <c r="E7" s="32"/>
      <c r="F7" s="6" t="s">
        <v>378</v>
      </c>
    </row>
    <row r="8" spans="2:6">
      <c r="B8" s="29"/>
      <c r="C8" s="36" t="s">
        <v>7</v>
      </c>
      <c r="D8" s="6" t="s">
        <v>379</v>
      </c>
      <c r="E8" s="32"/>
      <c r="F8" s="4"/>
    </row>
    <row r="9" spans="2:6">
      <c r="C9" s="36" t="s">
        <v>9</v>
      </c>
      <c r="D9" s="1">
        <v>20</v>
      </c>
      <c r="E9" s="32"/>
    </row>
    <row r="10" spans="2:6">
      <c r="C10" s="36" t="s">
        <v>10</v>
      </c>
      <c r="D10" s="1">
        <v>1</v>
      </c>
      <c r="E10" s="32"/>
      <c r="F10" t="s">
        <v>12</v>
      </c>
    </row>
    <row r="11" spans="2:6">
      <c r="C11" s="36" t="s">
        <v>13</v>
      </c>
      <c r="D11" s="1">
        <v>5</v>
      </c>
      <c r="E11" s="32"/>
      <c r="F11" s="6" t="s">
        <v>380</v>
      </c>
    </row>
    <row r="12" spans="2:6">
      <c r="C12" s="36" t="s">
        <v>15</v>
      </c>
      <c r="D12" s="1" t="s">
        <v>381</v>
      </c>
      <c r="E12" s="32"/>
      <c r="F12" s="4"/>
    </row>
    <row r="13" spans="2:6">
      <c r="C13" s="36" t="s">
        <v>17</v>
      </c>
      <c r="D13" s="1" t="s">
        <v>134</v>
      </c>
      <c r="E13" s="32"/>
      <c r="F13" s="4"/>
    </row>
    <row r="14" spans="2:6">
      <c r="C14" s="36" t="s">
        <v>19</v>
      </c>
      <c r="D14" s="1" t="s">
        <v>20</v>
      </c>
      <c r="E14" s="32"/>
    </row>
    <row r="15" spans="2:6">
      <c r="C15" s="31"/>
      <c r="D15" s="32"/>
      <c r="E15" s="32"/>
      <c r="F15" t="s">
        <v>21</v>
      </c>
    </row>
    <row r="16" spans="2:6">
      <c r="C16" s="31"/>
      <c r="D16" s="32"/>
      <c r="E16" s="32"/>
      <c r="F16" s="6" t="s">
        <v>382</v>
      </c>
    </row>
    <row r="17" spans="3:6" ht="18.75">
      <c r="C17" s="30" t="s">
        <v>23</v>
      </c>
      <c r="D17" s="32"/>
      <c r="E17" s="32"/>
      <c r="F17" s="4"/>
    </row>
    <row r="18" spans="3:6">
      <c r="C18" s="31" t="s">
        <v>24</v>
      </c>
      <c r="D18" s="28" t="s">
        <v>23</v>
      </c>
      <c r="E18" s="32"/>
      <c r="F18" s="4"/>
    </row>
    <row r="19" spans="3:6">
      <c r="C19" s="36" t="s">
        <v>25</v>
      </c>
      <c r="D19" s="2">
        <v>14</v>
      </c>
      <c r="E19" s="32"/>
      <c r="F19" s="4"/>
    </row>
    <row r="20" spans="3:6">
      <c r="C20" s="36" t="s">
        <v>26</v>
      </c>
      <c r="D20" s="2">
        <v>14</v>
      </c>
      <c r="E20" s="32"/>
      <c r="F20" s="4"/>
    </row>
    <row r="21" spans="3:6">
      <c r="C21" s="36" t="s">
        <v>27</v>
      </c>
      <c r="D21" s="2">
        <v>3</v>
      </c>
      <c r="E21" s="32"/>
    </row>
    <row r="22" spans="3:6">
      <c r="C22" s="36" t="s">
        <v>28</v>
      </c>
      <c r="D22" s="2">
        <v>9</v>
      </c>
      <c r="E22" s="32"/>
      <c r="F22" t="s">
        <v>29</v>
      </c>
    </row>
    <row r="23" spans="3:6">
      <c r="C23" s="36" t="s">
        <v>30</v>
      </c>
      <c r="D23" s="2">
        <v>0</v>
      </c>
      <c r="E23" s="32"/>
      <c r="F23" s="8" t="s">
        <v>383</v>
      </c>
    </row>
    <row r="24" spans="3:6">
      <c r="C24" s="36" t="s">
        <v>32</v>
      </c>
      <c r="D24" s="28">
        <f>SUM(D19:D23)</f>
        <v>40</v>
      </c>
      <c r="E24" s="32"/>
      <c r="F24" s="8" t="s">
        <v>384</v>
      </c>
    </row>
    <row r="25" spans="3:6">
      <c r="F25" s="8" t="s">
        <v>385</v>
      </c>
    </row>
    <row r="26" spans="3:6">
      <c r="F26" s="8" t="s">
        <v>386</v>
      </c>
    </row>
    <row r="27" spans="3:6" ht="18.75">
      <c r="C27" s="30" t="s">
        <v>36</v>
      </c>
      <c r="D27" s="33" t="s">
        <v>37</v>
      </c>
      <c r="F27" s="8" t="s">
        <v>387</v>
      </c>
    </row>
    <row r="28" spans="3:6">
      <c r="C28" s="31" t="s">
        <v>39</v>
      </c>
      <c r="D28" s="31" t="s">
        <v>40</v>
      </c>
      <c r="E28" s="31"/>
      <c r="F28" s="8"/>
    </row>
    <row r="29" spans="3:6">
      <c r="C29" s="36" t="s">
        <v>42</v>
      </c>
      <c r="D29" s="8" t="s">
        <v>388</v>
      </c>
      <c r="E29" s="32"/>
      <c r="F29" s="4"/>
    </row>
    <row r="30" spans="3:6">
      <c r="C30" s="36" t="s">
        <v>45</v>
      </c>
      <c r="D30" s="25" t="s">
        <v>389</v>
      </c>
      <c r="E30" s="32"/>
      <c r="F30" s="4"/>
    </row>
    <row r="31" spans="3:6">
      <c r="C31" s="36" t="s">
        <v>47</v>
      </c>
      <c r="D31" s="25" t="s">
        <v>390</v>
      </c>
      <c r="E31" s="32"/>
      <c r="F31" s="4"/>
    </row>
    <row r="32" spans="3:6">
      <c r="C32" s="36" t="s">
        <v>49</v>
      </c>
      <c r="D32" s="1"/>
      <c r="E32" s="32"/>
      <c r="F32" s="4"/>
    </row>
    <row r="33" spans="3:8">
      <c r="C33" s="36" t="s">
        <v>50</v>
      </c>
      <c r="D33" s="1"/>
      <c r="E33" s="32"/>
      <c r="F33" s="4"/>
    </row>
    <row r="36" spans="3:8" ht="18.75">
      <c r="C36" s="30" t="s">
        <v>51</v>
      </c>
    </row>
    <row r="37" spans="3:8">
      <c r="C37" s="31" t="s">
        <v>52</v>
      </c>
      <c r="D37" s="31" t="s">
        <v>53</v>
      </c>
      <c r="E37" s="31" t="s">
        <v>54</v>
      </c>
      <c r="F37" s="31" t="s">
        <v>55</v>
      </c>
      <c r="G37" s="31" t="s">
        <v>56</v>
      </c>
      <c r="H37" s="31" t="s">
        <v>57</v>
      </c>
    </row>
    <row r="38" spans="3:8">
      <c r="C38" s="36" t="s">
        <v>58</v>
      </c>
      <c r="D38" s="1" t="s">
        <v>216</v>
      </c>
      <c r="E38" s="1" t="s">
        <v>391</v>
      </c>
      <c r="F38" s="8" t="s">
        <v>392</v>
      </c>
      <c r="G38" s="3">
        <v>0.5</v>
      </c>
      <c r="H38" s="1">
        <v>12</v>
      </c>
    </row>
    <row r="39" spans="3:8">
      <c r="C39" s="36" t="s">
        <v>62</v>
      </c>
      <c r="D39" s="1" t="s">
        <v>145</v>
      </c>
      <c r="E39" s="1" t="s">
        <v>393</v>
      </c>
      <c r="F39" s="8" t="s">
        <v>394</v>
      </c>
      <c r="G39" s="3">
        <v>0.5</v>
      </c>
      <c r="H39" s="1">
        <v>17</v>
      </c>
    </row>
    <row r="40" spans="3:8">
      <c r="C40" s="36" t="s">
        <v>65</v>
      </c>
      <c r="D40" s="4"/>
      <c r="E40" s="4"/>
      <c r="F40" s="4"/>
      <c r="G40" s="4"/>
      <c r="H40" s="4"/>
    </row>
    <row r="41" spans="3:8">
      <c r="C41" s="36" t="s">
        <v>66</v>
      </c>
      <c r="D41" s="4"/>
      <c r="E41" s="4"/>
      <c r="F41" s="4"/>
      <c r="G41" s="4"/>
      <c r="H41" s="4"/>
    </row>
    <row r="42" spans="3:8">
      <c r="C42" s="31"/>
    </row>
    <row r="44" spans="3:8" ht="18.75">
      <c r="C44" s="30" t="s">
        <v>67</v>
      </c>
      <c r="D44" s="33"/>
    </row>
    <row r="45" spans="3:8">
      <c r="C45" s="28" t="s">
        <v>52</v>
      </c>
      <c r="D45" s="28" t="s">
        <v>39</v>
      </c>
      <c r="E45" s="28" t="s">
        <v>68</v>
      </c>
      <c r="F45" s="28" t="s">
        <v>69</v>
      </c>
    </row>
    <row r="46" spans="3:8">
      <c r="C46" s="5" t="s">
        <v>58</v>
      </c>
      <c r="D46" s="4" t="s">
        <v>42</v>
      </c>
      <c r="E46" s="4" t="s">
        <v>74</v>
      </c>
      <c r="F46" s="4" t="s">
        <v>153</v>
      </c>
    </row>
    <row r="47" spans="3:8">
      <c r="C47" s="5" t="s">
        <v>58</v>
      </c>
      <c r="D47" s="4" t="s">
        <v>42</v>
      </c>
      <c r="E47" s="4" t="s">
        <v>151</v>
      </c>
      <c r="F47" s="4" t="s">
        <v>224</v>
      </c>
    </row>
    <row r="48" spans="3:8">
      <c r="C48" s="5" t="s">
        <v>58</v>
      </c>
      <c r="D48" s="4" t="s">
        <v>47</v>
      </c>
      <c r="E48" s="4" t="s">
        <v>160</v>
      </c>
      <c r="F48" s="4" t="s">
        <v>395</v>
      </c>
    </row>
    <row r="49" spans="3:6">
      <c r="C49" s="5" t="s">
        <v>58</v>
      </c>
      <c r="D49" s="4" t="s">
        <v>47</v>
      </c>
      <c r="E49" s="4" t="s">
        <v>76</v>
      </c>
      <c r="F49" s="4" t="s">
        <v>396</v>
      </c>
    </row>
    <row r="50" spans="3:6">
      <c r="C50" s="5" t="s">
        <v>58</v>
      </c>
      <c r="D50" s="4" t="s">
        <v>47</v>
      </c>
      <c r="E50" s="4" t="s">
        <v>85</v>
      </c>
      <c r="F50" s="4" t="s">
        <v>397</v>
      </c>
    </row>
    <row r="51" spans="3:6">
      <c r="C51" s="5" t="s">
        <v>62</v>
      </c>
      <c r="D51" s="4" t="s">
        <v>42</v>
      </c>
      <c r="E51" s="4" t="s">
        <v>151</v>
      </c>
      <c r="F51" s="4" t="s">
        <v>219</v>
      </c>
    </row>
    <row r="52" spans="3:6">
      <c r="C52" s="5" t="s">
        <v>62</v>
      </c>
      <c r="D52" s="4" t="s">
        <v>45</v>
      </c>
      <c r="E52" s="4" t="s">
        <v>72</v>
      </c>
      <c r="F52" s="4" t="s">
        <v>284</v>
      </c>
    </row>
    <row r="53" spans="3:6">
      <c r="C53" s="5" t="s">
        <v>62</v>
      </c>
      <c r="D53" s="4" t="s">
        <v>45</v>
      </c>
      <c r="E53" s="4" t="s">
        <v>85</v>
      </c>
      <c r="F53" s="4" t="s">
        <v>285</v>
      </c>
    </row>
    <row r="54" spans="3:6">
      <c r="C54" s="5" t="s">
        <v>58</v>
      </c>
      <c r="D54" s="4" t="s">
        <v>47</v>
      </c>
      <c r="E54" s="4" t="s">
        <v>160</v>
      </c>
      <c r="F54" s="4" t="s">
        <v>398</v>
      </c>
    </row>
    <row r="55" spans="3:6">
      <c r="C55" s="5" t="s">
        <v>58</v>
      </c>
      <c r="D55" s="4" t="s">
        <v>47</v>
      </c>
      <c r="E55" s="4" t="s">
        <v>160</v>
      </c>
      <c r="F55" s="4" t="s">
        <v>399</v>
      </c>
    </row>
    <row r="56" spans="3:6">
      <c r="C56" s="5" t="s">
        <v>62</v>
      </c>
      <c r="D56" s="4" t="s">
        <v>45</v>
      </c>
      <c r="E56" s="4" t="s">
        <v>158</v>
      </c>
      <c r="F56" s="4" t="s">
        <v>400</v>
      </c>
    </row>
    <row r="57" spans="3:6">
      <c r="C57" s="51" t="s">
        <v>58</v>
      </c>
      <c r="D57" s="52" t="s">
        <v>47</v>
      </c>
      <c r="E57" s="52" t="s">
        <v>78</v>
      </c>
      <c r="F57" s="52" t="s">
        <v>227</v>
      </c>
    </row>
    <row r="58" spans="3:6">
      <c r="C58" s="53" t="s">
        <v>58</v>
      </c>
      <c r="D58" s="54" t="s">
        <v>47</v>
      </c>
      <c r="E58" s="54" t="s">
        <v>158</v>
      </c>
      <c r="F58" s="54" t="s">
        <v>401</v>
      </c>
    </row>
    <row r="59" spans="3:6">
      <c r="C59" s="53" t="s">
        <v>58</v>
      </c>
      <c r="D59" s="54" t="s">
        <v>47</v>
      </c>
      <c r="E59" s="54" t="s">
        <v>72</v>
      </c>
      <c r="F59" s="54" t="s">
        <v>402</v>
      </c>
    </row>
    <row r="60" spans="3:6">
      <c r="C60" s="5"/>
      <c r="D60" s="4"/>
      <c r="E60" s="4"/>
      <c r="F60" s="4"/>
    </row>
    <row r="61" spans="3:6">
      <c r="C61" s="5"/>
      <c r="D61" s="4"/>
      <c r="E61" s="4"/>
      <c r="F61" s="4"/>
    </row>
    <row r="62" spans="3:6">
      <c r="C62" s="5"/>
      <c r="D62" s="4"/>
      <c r="E62" s="4"/>
      <c r="F62" s="4"/>
    </row>
    <row r="63" spans="3:6">
      <c r="C63" s="5"/>
      <c r="D63" s="4"/>
      <c r="E63" s="4"/>
      <c r="F63" s="4"/>
    </row>
    <row r="64" spans="3:6">
      <c r="C64" s="5"/>
      <c r="D64" s="4"/>
      <c r="E64" s="4"/>
      <c r="F64" s="4"/>
    </row>
    <row r="65" spans="2:6">
      <c r="C65" s="5"/>
      <c r="D65" s="4"/>
      <c r="E65" s="4"/>
      <c r="F65" s="4"/>
    </row>
    <row r="66" spans="2:6">
      <c r="C66" s="5"/>
      <c r="D66" s="4"/>
      <c r="E66" s="4"/>
      <c r="F66" s="4"/>
    </row>
    <row r="69" spans="2:6" ht="18.75">
      <c r="C69" s="30" t="s">
        <v>87</v>
      </c>
    </row>
    <row r="70" spans="2:6">
      <c r="B70" t="s">
        <v>88</v>
      </c>
      <c r="C70" s="28" t="s">
        <v>89</v>
      </c>
      <c r="D70" s="28" t="s">
        <v>90</v>
      </c>
      <c r="E70" s="28" t="s">
        <v>91</v>
      </c>
      <c r="F70" s="28" t="s">
        <v>92</v>
      </c>
    </row>
    <row r="71" spans="2:6">
      <c r="B71" s="37">
        <v>1</v>
      </c>
      <c r="C71" s="38">
        <v>1</v>
      </c>
      <c r="D71" s="15" t="s">
        <v>403</v>
      </c>
      <c r="E71" s="16" t="s">
        <v>404</v>
      </c>
      <c r="F71" s="17" t="s">
        <v>405</v>
      </c>
    </row>
    <row r="72" spans="2:6">
      <c r="B72" s="37">
        <v>1</v>
      </c>
      <c r="C72" s="38">
        <v>2</v>
      </c>
      <c r="D72" s="18" t="s">
        <v>406</v>
      </c>
      <c r="E72" s="19" t="s">
        <v>407</v>
      </c>
      <c r="F72" s="20" t="s">
        <v>408</v>
      </c>
    </row>
    <row r="73" spans="2:6">
      <c r="B73" s="37">
        <v>1</v>
      </c>
      <c r="C73" s="38">
        <v>3</v>
      </c>
      <c r="D73" s="18" t="s">
        <v>409</v>
      </c>
      <c r="E73" s="19" t="s">
        <v>410</v>
      </c>
      <c r="F73" s="20" t="s">
        <v>411</v>
      </c>
    </row>
    <row r="74" spans="2:6">
      <c r="B74" s="37">
        <v>1</v>
      </c>
      <c r="C74" s="38">
        <v>4</v>
      </c>
      <c r="D74" s="18" t="s">
        <v>412</v>
      </c>
      <c r="E74" s="19" t="s">
        <v>413</v>
      </c>
      <c r="F74" s="20" t="s">
        <v>414</v>
      </c>
    </row>
    <row r="75" spans="2:6">
      <c r="B75" s="37">
        <v>1</v>
      </c>
      <c r="C75" s="38">
        <v>5</v>
      </c>
      <c r="D75" s="18" t="s">
        <v>415</v>
      </c>
      <c r="E75" s="19" t="s">
        <v>416</v>
      </c>
      <c r="F75" s="20" t="s">
        <v>417</v>
      </c>
    </row>
    <row r="76" spans="2:6">
      <c r="B76" s="37">
        <v>1</v>
      </c>
      <c r="C76" s="38">
        <v>6</v>
      </c>
      <c r="D76" s="18" t="s">
        <v>418</v>
      </c>
      <c r="E76" s="21" t="s">
        <v>419</v>
      </c>
      <c r="F76" s="20" t="s">
        <v>420</v>
      </c>
    </row>
    <row r="77" spans="2:6">
      <c r="B77" s="37">
        <v>1</v>
      </c>
      <c r="C77" s="38">
        <v>7</v>
      </c>
      <c r="D77" s="18" t="s">
        <v>421</v>
      </c>
      <c r="E77" s="19" t="s">
        <v>422</v>
      </c>
      <c r="F77" s="20" t="s">
        <v>423</v>
      </c>
    </row>
    <row r="78" spans="2:6">
      <c r="B78" s="37">
        <v>1</v>
      </c>
      <c r="C78" s="38">
        <v>8</v>
      </c>
      <c r="D78" s="18" t="s">
        <v>424</v>
      </c>
      <c r="E78" s="19" t="s">
        <v>425</v>
      </c>
      <c r="F78" s="20" t="s">
        <v>426</v>
      </c>
    </row>
    <row r="79" spans="2:6">
      <c r="B79" s="37">
        <v>1</v>
      </c>
      <c r="C79" s="38">
        <v>9</v>
      </c>
      <c r="D79" s="18" t="s">
        <v>427</v>
      </c>
      <c r="E79" s="19" t="s">
        <v>422</v>
      </c>
      <c r="F79" s="20" t="s">
        <v>428</v>
      </c>
    </row>
    <row r="80" spans="2:6">
      <c r="B80" s="37">
        <v>1</v>
      </c>
      <c r="C80" s="38">
        <v>10</v>
      </c>
      <c r="D80" s="18" t="s">
        <v>429</v>
      </c>
      <c r="E80" s="19" t="s">
        <v>430</v>
      </c>
      <c r="F80" s="20" t="s">
        <v>431</v>
      </c>
    </row>
    <row r="81" spans="2:6">
      <c r="B81" s="37">
        <v>1</v>
      </c>
      <c r="C81" s="38">
        <v>11</v>
      </c>
      <c r="D81" s="18" t="s">
        <v>432</v>
      </c>
      <c r="E81" s="19" t="s">
        <v>433</v>
      </c>
      <c r="F81" s="20" t="s">
        <v>434</v>
      </c>
    </row>
    <row r="82" spans="2:6">
      <c r="B82" s="37">
        <v>1</v>
      </c>
      <c r="C82" s="38">
        <v>12</v>
      </c>
      <c r="D82" s="22" t="s">
        <v>435</v>
      </c>
      <c r="E82" s="23" t="s">
        <v>436</v>
      </c>
      <c r="F82" s="24" t="s">
        <v>437</v>
      </c>
    </row>
    <row r="83" spans="2:6">
      <c r="B83" s="37">
        <v>2</v>
      </c>
      <c r="C83" s="38">
        <v>1</v>
      </c>
      <c r="D83" s="1"/>
      <c r="E83" s="1"/>
      <c r="F83" s="1"/>
    </row>
    <row r="84" spans="2:6">
      <c r="B84" s="37">
        <v>2</v>
      </c>
      <c r="C84" s="38">
        <v>2</v>
      </c>
      <c r="D84" s="1"/>
      <c r="E84" s="1"/>
      <c r="F84" s="1"/>
    </row>
    <row r="85" spans="2:6">
      <c r="B85" s="37">
        <v>2</v>
      </c>
      <c r="C85" s="38">
        <v>3</v>
      </c>
      <c r="D85" s="1"/>
      <c r="E85" s="1"/>
      <c r="F85" s="1"/>
    </row>
    <row r="86" spans="2:6">
      <c r="B86" s="37">
        <v>2</v>
      </c>
      <c r="C86" s="38">
        <v>4</v>
      </c>
      <c r="D86" s="1"/>
      <c r="E86" s="1"/>
      <c r="F86" s="1"/>
    </row>
    <row r="87" spans="2:6">
      <c r="B87" s="37">
        <v>2</v>
      </c>
      <c r="C87" s="38">
        <v>5</v>
      </c>
      <c r="D87" s="1"/>
      <c r="E87" s="1"/>
      <c r="F87" s="1"/>
    </row>
    <row r="88" spans="2:6">
      <c r="B88" s="37">
        <v>2</v>
      </c>
      <c r="C88" s="38">
        <v>6</v>
      </c>
      <c r="D88" s="1"/>
      <c r="E88" s="1"/>
      <c r="F88" s="1"/>
    </row>
    <row r="89" spans="2:6">
      <c r="B89" s="37">
        <v>2</v>
      </c>
      <c r="C89" s="38">
        <v>7</v>
      </c>
      <c r="D89" s="1"/>
      <c r="E89" s="1"/>
      <c r="F89" s="1"/>
    </row>
    <row r="90" spans="2:6">
      <c r="B90" s="37">
        <v>2</v>
      </c>
      <c r="C90" s="38">
        <v>8</v>
      </c>
      <c r="D90" s="1"/>
      <c r="E90" s="1"/>
      <c r="F90" s="1"/>
    </row>
    <row r="91" spans="2:6">
      <c r="B91" s="37">
        <v>2</v>
      </c>
      <c r="C91" s="38">
        <v>9</v>
      </c>
      <c r="D91" s="1"/>
      <c r="E91" s="1"/>
      <c r="F91" s="1"/>
    </row>
    <row r="92" spans="2:6">
      <c r="B92" s="37">
        <v>2</v>
      </c>
      <c r="C92" s="38">
        <v>10</v>
      </c>
      <c r="D92" s="1"/>
      <c r="E92" s="1"/>
      <c r="F92" s="1"/>
    </row>
    <row r="93" spans="2:6">
      <c r="B93" s="37">
        <v>2</v>
      </c>
      <c r="C93" s="38">
        <v>11</v>
      </c>
      <c r="D93" s="1"/>
      <c r="E93" s="1"/>
      <c r="F93" s="1"/>
    </row>
    <row r="94" spans="2:6">
      <c r="B94" s="37">
        <v>2</v>
      </c>
      <c r="C94" s="38">
        <v>12</v>
      </c>
      <c r="D94" s="1"/>
      <c r="E94" s="1"/>
      <c r="F94" s="1"/>
    </row>
  </sheetData>
  <sheetProtection sheet="1" objects="1" scenarios="1" formatCells="0" formatColumns="0" formatRows="0" insertHyperlinks="0"/>
  <dataValidations count="4">
    <dataValidation type="list" allowBlank="1" showInputMessage="1" showErrorMessage="1" sqref="F46:F56 F60:F66" xr:uid="{A6F5F47F-6866-478E-9880-CF9E3CF9BFDA}">
      <formula1>INDIRECT(VLOOKUP($E46, SkillNameMap, 2, FALSE))</formula1>
    </dataValidation>
    <dataValidation type="list" allowBlank="1" showInputMessage="1" showErrorMessage="1" sqref="E38:E41" xr:uid="{6B033663-DA4C-4E1E-ACA3-197C23B3DA27}">
      <formula1>INDIRECT("LISTAssess[Assessment Specific]")</formula1>
    </dataValidation>
    <dataValidation type="whole" showInputMessage="1" showErrorMessage="1" error="This is not a realistic number of contact hours please change" sqref="D19" xr:uid="{002B1BD8-24F6-46FD-A0E4-8333C78B8357}">
      <formula1>0</formula1>
      <formula2>80</formula2>
    </dataValidation>
    <dataValidation type="whole" showInputMessage="1" showErrorMessage="1" error="This is not a realistic number of contact hours please reduce" sqref="D20:D23" xr:uid="{E4839EC2-0B62-4F96-A8C1-2B68B106BEF1}">
      <formula1>0</formula1>
      <formula2>80</formula2>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F8A31BEF-5E3B-417C-9E73-D27481A5C886}">
          <x14:formula1>
            <xm:f>LISTS!$J$7:$J$16</xm:f>
          </x14:formula1>
          <xm:sqref>E46:E56 E60:E66</xm:sqref>
        </x14:dataValidation>
        <x14:dataValidation type="list" allowBlank="1" showInputMessage="1" showErrorMessage="1" xr:uid="{4A234C3A-C5D8-4DCE-A391-988FDC67A9B9}">
          <x14:formula1>
            <xm:f>LISTS!$E$7:$E$11</xm:f>
          </x14:formula1>
          <xm:sqref>D46:D56 D60:D66</xm:sqref>
        </x14:dataValidation>
        <x14:dataValidation type="list" allowBlank="1" showInputMessage="1" showErrorMessage="1" xr:uid="{3192E7A5-766C-4AB3-9259-83B852E400AB}">
          <x14:formula1>
            <xm:f>LISTS!$G$7:$G$11</xm:f>
          </x14:formula1>
          <xm:sqref>D38:D42</xm:sqref>
        </x14:dataValidation>
        <x14:dataValidation type="list" allowBlank="1" showInputMessage="1" showErrorMessage="1" xr:uid="{71464BA5-EA7B-4280-8E21-FEA97DF76E39}">
          <x14:formula1>
            <xm:f>LISTS!$C$11:$C$15</xm:f>
          </x14:formula1>
          <xm:sqref>D11</xm:sqref>
        </x14:dataValidation>
        <x14:dataValidation type="list" allowBlank="1" showInputMessage="1" showErrorMessage="1" xr:uid="{ED74EE7F-E73A-4E7D-BB1B-77B834D943C7}">
          <x14:formula1>
            <xm:f>LISTS!$C$7:$C$9</xm:f>
          </x14:formula1>
          <xm:sqref>D10</xm:sqref>
        </x14:dataValidation>
        <x14:dataValidation type="list" allowBlank="1" showInputMessage="1" showErrorMessage="1" xr:uid="{F88D41F7-E6D7-4EA0-ABD2-42A925615DAA}">
          <x14:formula1>
            <xm:f>LISTS!$C$17:$C$22</xm:f>
          </x14:formula1>
          <xm:sqref>D13</xm:sqref>
        </x14:dataValidation>
        <x14:dataValidation type="list" allowBlank="1" showInputMessage="1" showErrorMessage="1" xr:uid="{799447E1-E0B9-422D-8078-3D88555E8F5B}">
          <x14:formula1>
            <xm:f>LISTS!$C$26:$C$37</xm:f>
          </x14:formula1>
          <xm:sqref>D14</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B23168-6B81-47CF-B045-12BB97D9E5BE}">
  <sheetPr codeName="Sheet7"/>
  <dimension ref="B2:H94"/>
  <sheetViews>
    <sheetView showGridLines="0" zoomScale="85" zoomScaleNormal="85" workbookViewId="0">
      <selection activeCell="D24" sqref="D24"/>
    </sheetView>
  </sheetViews>
  <sheetFormatPr defaultRowHeight="15"/>
  <cols>
    <col min="3" max="3" width="33.28515625" customWidth="1"/>
    <col min="4" max="4" width="51.5703125" customWidth="1"/>
    <col min="5" max="5" width="67.28515625" customWidth="1"/>
    <col min="6" max="6" width="63.140625" customWidth="1"/>
    <col min="7" max="7" width="12.42578125" customWidth="1"/>
    <col min="8" max="8" width="15.5703125" customWidth="1"/>
    <col min="9" max="9" width="14.7109375" customWidth="1"/>
  </cols>
  <sheetData>
    <row r="2" spans="2:6" ht="26.25">
      <c r="C2" s="27" t="str">
        <f>D7</f>
        <v>5015SPS</v>
      </c>
      <c r="D2" s="27" t="str">
        <f>D8</f>
        <v>Applied Nutrition and Exercise Biochemistry</v>
      </c>
    </row>
    <row r="3" spans="2:6">
      <c r="B3" s="28"/>
      <c r="C3" s="28"/>
    </row>
    <row r="4" spans="2:6">
      <c r="B4" s="29"/>
      <c r="C4" s="29"/>
    </row>
    <row r="5" spans="2:6" ht="18.75">
      <c r="B5" s="29"/>
      <c r="C5" s="30" t="s">
        <v>0</v>
      </c>
    </row>
    <row r="6" spans="2:6">
      <c r="B6" s="29"/>
      <c r="C6" s="31" t="s">
        <v>1</v>
      </c>
      <c r="D6" s="32" t="s">
        <v>2</v>
      </c>
      <c r="E6" s="32"/>
      <c r="F6" t="s">
        <v>3</v>
      </c>
    </row>
    <row r="7" spans="2:6">
      <c r="B7" s="29"/>
      <c r="C7" s="36" t="s">
        <v>4</v>
      </c>
      <c r="D7" s="1" t="s">
        <v>438</v>
      </c>
      <c r="E7" s="32"/>
      <c r="F7" s="6" t="s">
        <v>439</v>
      </c>
    </row>
    <row r="8" spans="2:6">
      <c r="B8" s="29"/>
      <c r="C8" s="36" t="s">
        <v>7</v>
      </c>
      <c r="D8" s="6" t="s">
        <v>440</v>
      </c>
      <c r="E8" s="32"/>
      <c r="F8" s="4"/>
    </row>
    <row r="9" spans="2:6">
      <c r="C9" s="36" t="s">
        <v>9</v>
      </c>
      <c r="D9" s="1">
        <v>20</v>
      </c>
      <c r="E9" s="32"/>
    </row>
    <row r="10" spans="2:6">
      <c r="C10" s="36" t="s">
        <v>10</v>
      </c>
      <c r="D10" s="1">
        <v>2</v>
      </c>
      <c r="E10" s="32"/>
      <c r="F10" t="s">
        <v>12</v>
      </c>
    </row>
    <row r="11" spans="2:6">
      <c r="C11" s="36" t="s">
        <v>13</v>
      </c>
      <c r="D11" s="1">
        <v>5</v>
      </c>
      <c r="E11" s="32"/>
      <c r="F11" s="6" t="s">
        <v>441</v>
      </c>
    </row>
    <row r="12" spans="2:6">
      <c r="C12" s="36" t="s">
        <v>15</v>
      </c>
      <c r="D12" s="1" t="s">
        <v>442</v>
      </c>
      <c r="E12" s="32"/>
      <c r="F12" s="4"/>
    </row>
    <row r="13" spans="2:6">
      <c r="C13" s="36" t="s">
        <v>17</v>
      </c>
      <c r="D13" s="1" t="s">
        <v>134</v>
      </c>
      <c r="E13" s="32"/>
      <c r="F13" s="4"/>
    </row>
    <row r="14" spans="2:6">
      <c r="C14" s="36" t="s">
        <v>19</v>
      </c>
      <c r="D14" s="1" t="s">
        <v>20</v>
      </c>
      <c r="E14" s="32"/>
    </row>
    <row r="15" spans="2:6">
      <c r="C15" s="31"/>
      <c r="D15" s="32"/>
      <c r="E15" s="32"/>
      <c r="F15" t="s">
        <v>21</v>
      </c>
    </row>
    <row r="16" spans="2:6">
      <c r="C16" s="31"/>
      <c r="D16" s="32"/>
      <c r="E16" s="32"/>
      <c r="F16" s="6" t="s">
        <v>443</v>
      </c>
    </row>
    <row r="17" spans="3:6" ht="18.75">
      <c r="C17" s="30" t="s">
        <v>23</v>
      </c>
      <c r="D17" s="32"/>
      <c r="E17" s="32"/>
      <c r="F17" s="4"/>
    </row>
    <row r="18" spans="3:6">
      <c r="C18" s="31" t="s">
        <v>24</v>
      </c>
      <c r="D18" s="28" t="s">
        <v>23</v>
      </c>
      <c r="E18" s="32"/>
      <c r="F18" s="4"/>
    </row>
    <row r="19" spans="3:6">
      <c r="C19" s="36" t="s">
        <v>25</v>
      </c>
      <c r="D19" s="2">
        <v>26</v>
      </c>
      <c r="E19" s="32"/>
      <c r="F19" s="4"/>
    </row>
    <row r="20" spans="3:6">
      <c r="C20" s="36" t="s">
        <v>26</v>
      </c>
      <c r="D20" s="2">
        <v>5</v>
      </c>
      <c r="E20" s="32"/>
      <c r="F20" s="4"/>
    </row>
    <row r="21" spans="3:6">
      <c r="C21" s="36" t="s">
        <v>27</v>
      </c>
      <c r="D21" s="2">
        <v>9</v>
      </c>
      <c r="E21" s="32"/>
    </row>
    <row r="22" spans="3:6">
      <c r="C22" s="36" t="s">
        <v>28</v>
      </c>
      <c r="D22" s="2"/>
      <c r="E22" s="32"/>
      <c r="F22" t="s">
        <v>29</v>
      </c>
    </row>
    <row r="23" spans="3:6">
      <c r="C23" s="36" t="s">
        <v>30</v>
      </c>
      <c r="D23" s="2"/>
      <c r="E23" s="32"/>
      <c r="F23" s="8" t="s">
        <v>444</v>
      </c>
    </row>
    <row r="24" spans="3:6">
      <c r="C24" s="36" t="s">
        <v>32</v>
      </c>
      <c r="D24" s="28">
        <f>SUM(D19:D23)</f>
        <v>40</v>
      </c>
      <c r="E24" s="32"/>
      <c r="F24" s="8" t="s">
        <v>445</v>
      </c>
    </row>
    <row r="25" spans="3:6">
      <c r="F25" s="8" t="s">
        <v>446</v>
      </c>
    </row>
    <row r="26" spans="3:6">
      <c r="F26" s="8" t="s">
        <v>447</v>
      </c>
    </row>
    <row r="27" spans="3:6" ht="18.75">
      <c r="C27" s="30" t="s">
        <v>36</v>
      </c>
      <c r="D27" s="33" t="s">
        <v>37</v>
      </c>
      <c r="F27" s="8" t="s">
        <v>448</v>
      </c>
    </row>
    <row r="28" spans="3:6">
      <c r="C28" s="31" t="s">
        <v>39</v>
      </c>
      <c r="D28" s="31" t="s">
        <v>40</v>
      </c>
      <c r="E28" s="31"/>
      <c r="F28" s="8" t="s">
        <v>449</v>
      </c>
    </row>
    <row r="29" spans="3:6">
      <c r="C29" s="36" t="s">
        <v>42</v>
      </c>
      <c r="D29" s="8" t="s">
        <v>450</v>
      </c>
      <c r="E29" s="32"/>
      <c r="F29" s="8"/>
    </row>
    <row r="30" spans="3:6">
      <c r="C30" s="36" t="s">
        <v>45</v>
      </c>
      <c r="D30" s="25" t="s">
        <v>451</v>
      </c>
      <c r="E30" s="32"/>
      <c r="F30" s="4"/>
    </row>
    <row r="31" spans="3:6">
      <c r="C31" s="36" t="s">
        <v>47</v>
      </c>
      <c r="D31" s="25" t="s">
        <v>452</v>
      </c>
      <c r="E31" s="32"/>
      <c r="F31" s="4"/>
    </row>
    <row r="32" spans="3:6">
      <c r="C32" s="36" t="s">
        <v>49</v>
      </c>
      <c r="D32" s="1"/>
      <c r="E32" s="32"/>
      <c r="F32" s="4"/>
    </row>
    <row r="33" spans="3:8">
      <c r="C33" s="36" t="s">
        <v>50</v>
      </c>
      <c r="D33" s="1"/>
      <c r="E33" s="32"/>
      <c r="F33" s="4"/>
    </row>
    <row r="36" spans="3:8" ht="18.75">
      <c r="C36" s="30" t="s">
        <v>51</v>
      </c>
    </row>
    <row r="37" spans="3:8">
      <c r="C37" s="31" t="s">
        <v>52</v>
      </c>
      <c r="D37" s="31" t="s">
        <v>53</v>
      </c>
      <c r="E37" s="31" t="s">
        <v>54</v>
      </c>
      <c r="F37" s="31" t="s">
        <v>55</v>
      </c>
      <c r="G37" s="31" t="s">
        <v>56</v>
      </c>
      <c r="H37" s="31" t="s">
        <v>57</v>
      </c>
    </row>
    <row r="38" spans="3:8">
      <c r="C38" s="36" t="s">
        <v>58</v>
      </c>
      <c r="D38" s="1" t="s">
        <v>145</v>
      </c>
      <c r="E38" s="1" t="s">
        <v>453</v>
      </c>
      <c r="F38" s="8" t="s">
        <v>454</v>
      </c>
      <c r="G38" s="3">
        <v>0.5</v>
      </c>
      <c r="H38" s="1">
        <v>23</v>
      </c>
    </row>
    <row r="39" spans="3:8">
      <c r="C39" s="36" t="s">
        <v>62</v>
      </c>
      <c r="D39" s="1" t="s">
        <v>216</v>
      </c>
      <c r="E39" s="1" t="s">
        <v>332</v>
      </c>
      <c r="F39" s="8" t="s">
        <v>455</v>
      </c>
      <c r="G39" s="3">
        <v>0.5</v>
      </c>
      <c r="H39" s="1">
        <v>27</v>
      </c>
    </row>
    <row r="40" spans="3:8">
      <c r="C40" s="36" t="s">
        <v>65</v>
      </c>
      <c r="D40" s="4"/>
      <c r="E40" s="4"/>
      <c r="F40" s="4"/>
      <c r="G40" s="4"/>
      <c r="H40" s="4"/>
    </row>
    <row r="41" spans="3:8">
      <c r="C41" s="36" t="s">
        <v>66</v>
      </c>
      <c r="D41" s="4"/>
      <c r="E41" s="4"/>
      <c r="F41" s="4"/>
      <c r="G41" s="4"/>
      <c r="H41" s="4"/>
    </row>
    <row r="42" spans="3:8">
      <c r="C42" s="31"/>
    </row>
    <row r="44" spans="3:8" ht="18.75">
      <c r="C44" s="30" t="s">
        <v>67</v>
      </c>
      <c r="D44" s="33"/>
    </row>
    <row r="45" spans="3:8">
      <c r="C45" s="28" t="s">
        <v>52</v>
      </c>
      <c r="D45" s="28" t="s">
        <v>39</v>
      </c>
      <c r="E45" s="28" t="s">
        <v>68</v>
      </c>
      <c r="F45" s="28" t="s">
        <v>69</v>
      </c>
    </row>
    <row r="46" spans="3:8">
      <c r="C46" s="5" t="s">
        <v>58</v>
      </c>
      <c r="D46" s="4" t="s">
        <v>42</v>
      </c>
      <c r="E46" s="4" t="s">
        <v>151</v>
      </c>
      <c r="F46" s="4" t="s">
        <v>219</v>
      </c>
    </row>
    <row r="47" spans="3:8">
      <c r="C47" s="5" t="s">
        <v>58</v>
      </c>
      <c r="D47" s="4" t="s">
        <v>45</v>
      </c>
      <c r="E47" s="4" t="s">
        <v>74</v>
      </c>
      <c r="F47" s="4" t="s">
        <v>456</v>
      </c>
    </row>
    <row r="48" spans="3:8">
      <c r="C48" s="5" t="s">
        <v>58</v>
      </c>
      <c r="D48" s="4" t="s">
        <v>42</v>
      </c>
      <c r="E48" s="4" t="s">
        <v>76</v>
      </c>
      <c r="F48" s="4" t="s">
        <v>221</v>
      </c>
    </row>
    <row r="49" spans="3:6">
      <c r="C49" s="5" t="s">
        <v>58</v>
      </c>
      <c r="D49" s="4" t="s">
        <v>45</v>
      </c>
      <c r="E49" s="4" t="s">
        <v>76</v>
      </c>
      <c r="F49" s="4" t="s">
        <v>222</v>
      </c>
    </row>
    <row r="50" spans="3:6">
      <c r="C50" s="5" t="s">
        <v>58</v>
      </c>
      <c r="D50" s="4" t="s">
        <v>45</v>
      </c>
      <c r="E50" s="4" t="s">
        <v>154</v>
      </c>
      <c r="F50" s="4" t="s">
        <v>223</v>
      </c>
    </row>
    <row r="51" spans="3:6">
      <c r="C51" s="5" t="s">
        <v>62</v>
      </c>
      <c r="D51" s="4" t="s">
        <v>47</v>
      </c>
      <c r="E51" s="4" t="s">
        <v>151</v>
      </c>
      <c r="F51" s="4" t="s">
        <v>224</v>
      </c>
    </row>
    <row r="52" spans="3:6">
      <c r="C52" s="5" t="s">
        <v>62</v>
      </c>
      <c r="D52" s="4" t="s">
        <v>47</v>
      </c>
      <c r="E52" s="4" t="s">
        <v>72</v>
      </c>
      <c r="F52" s="4" t="s">
        <v>457</v>
      </c>
    </row>
    <row r="53" spans="3:6">
      <c r="C53" s="5"/>
      <c r="D53" s="4"/>
      <c r="E53" s="4"/>
      <c r="F53" s="4"/>
    </row>
    <row r="54" spans="3:6">
      <c r="C54" s="5"/>
      <c r="D54" s="4"/>
      <c r="E54" s="4"/>
      <c r="F54" s="4"/>
    </row>
    <row r="55" spans="3:6">
      <c r="C55" s="5"/>
      <c r="D55" s="4"/>
      <c r="E55" s="4"/>
      <c r="F55" s="4"/>
    </row>
    <row r="56" spans="3:6">
      <c r="C56" s="5"/>
      <c r="D56" s="4"/>
      <c r="E56" s="4"/>
      <c r="F56" s="4"/>
    </row>
    <row r="57" spans="3:6">
      <c r="C57" s="5"/>
      <c r="D57" s="4"/>
      <c r="E57" s="4"/>
      <c r="F57" s="4"/>
    </row>
    <row r="58" spans="3:6">
      <c r="C58" s="5"/>
      <c r="D58" s="4"/>
      <c r="E58" s="4"/>
      <c r="F58" s="4"/>
    </row>
    <row r="59" spans="3:6">
      <c r="C59" s="5"/>
      <c r="D59" s="4"/>
      <c r="E59" s="4"/>
      <c r="F59" s="4"/>
    </row>
    <row r="60" spans="3:6">
      <c r="C60" s="5"/>
      <c r="D60" s="4"/>
      <c r="E60" s="4"/>
      <c r="F60" s="4"/>
    </row>
    <row r="61" spans="3:6">
      <c r="C61" s="5"/>
      <c r="D61" s="4"/>
      <c r="E61" s="4"/>
      <c r="F61" s="4"/>
    </row>
    <row r="62" spans="3:6">
      <c r="C62" s="5"/>
      <c r="D62" s="4"/>
      <c r="E62" s="4"/>
      <c r="F62" s="4"/>
    </row>
    <row r="63" spans="3:6">
      <c r="C63" s="5"/>
      <c r="D63" s="4"/>
      <c r="E63" s="4"/>
      <c r="F63" s="4"/>
    </row>
    <row r="64" spans="3:6">
      <c r="C64" s="5"/>
      <c r="D64" s="4"/>
      <c r="E64" s="4"/>
      <c r="F64" s="4"/>
    </row>
    <row r="65" spans="2:6">
      <c r="C65" s="5"/>
      <c r="D65" s="4"/>
      <c r="E65" s="4"/>
      <c r="F65" s="4"/>
    </row>
    <row r="66" spans="2:6">
      <c r="C66" s="5"/>
      <c r="D66" s="4"/>
      <c r="E66" s="4"/>
      <c r="F66" s="4"/>
    </row>
    <row r="69" spans="2:6" ht="18.75">
      <c r="C69" s="30" t="s">
        <v>87</v>
      </c>
    </row>
    <row r="70" spans="2:6">
      <c r="B70" t="s">
        <v>88</v>
      </c>
      <c r="C70" s="28" t="s">
        <v>89</v>
      </c>
      <c r="D70" s="28" t="s">
        <v>90</v>
      </c>
      <c r="E70" s="28" t="s">
        <v>91</v>
      </c>
      <c r="F70" s="28" t="s">
        <v>92</v>
      </c>
    </row>
    <row r="71" spans="2:6">
      <c r="B71" s="37">
        <v>1</v>
      </c>
      <c r="C71" s="38">
        <v>1</v>
      </c>
      <c r="D71" s="1"/>
      <c r="E71" s="1"/>
      <c r="F71" s="1"/>
    </row>
    <row r="72" spans="2:6">
      <c r="B72" s="37">
        <v>1</v>
      </c>
      <c r="C72" s="38">
        <v>2</v>
      </c>
      <c r="D72" s="1"/>
      <c r="E72" s="1"/>
      <c r="F72" s="1"/>
    </row>
    <row r="73" spans="2:6">
      <c r="B73" s="37">
        <v>1</v>
      </c>
      <c r="C73" s="38">
        <v>3</v>
      </c>
      <c r="D73" s="1"/>
      <c r="E73" s="1"/>
      <c r="F73" s="1"/>
    </row>
    <row r="74" spans="2:6">
      <c r="B74" s="37">
        <v>1</v>
      </c>
      <c r="C74" s="38">
        <v>4</v>
      </c>
      <c r="D74" s="1"/>
      <c r="E74" s="1"/>
      <c r="F74" s="1"/>
    </row>
    <row r="75" spans="2:6">
      <c r="B75" s="37">
        <v>1</v>
      </c>
      <c r="C75" s="38">
        <v>5</v>
      </c>
      <c r="D75" s="1"/>
      <c r="E75" s="1"/>
      <c r="F75" s="1"/>
    </row>
    <row r="76" spans="2:6">
      <c r="B76" s="37">
        <v>1</v>
      </c>
      <c r="C76" s="38">
        <v>6</v>
      </c>
      <c r="D76" s="1"/>
      <c r="E76" s="1"/>
      <c r="F76" s="1"/>
    </row>
    <row r="77" spans="2:6">
      <c r="B77" s="37">
        <v>1</v>
      </c>
      <c r="C77" s="38">
        <v>7</v>
      </c>
      <c r="D77" s="1"/>
      <c r="E77" s="1"/>
      <c r="F77" s="1"/>
    </row>
    <row r="78" spans="2:6">
      <c r="B78" s="37">
        <v>1</v>
      </c>
      <c r="C78" s="38">
        <v>8</v>
      </c>
      <c r="D78" s="1"/>
      <c r="E78" s="1"/>
      <c r="F78" s="1"/>
    </row>
    <row r="79" spans="2:6">
      <c r="B79" s="37">
        <v>1</v>
      </c>
      <c r="C79" s="38">
        <v>9</v>
      </c>
      <c r="D79" s="1"/>
      <c r="E79" s="1"/>
      <c r="F79" s="1"/>
    </row>
    <row r="80" spans="2:6">
      <c r="B80" s="37">
        <v>1</v>
      </c>
      <c r="C80" s="38">
        <v>10</v>
      </c>
      <c r="D80" s="1"/>
      <c r="E80" s="1"/>
      <c r="F80" s="1"/>
    </row>
    <row r="81" spans="2:6">
      <c r="B81" s="37">
        <v>1</v>
      </c>
      <c r="C81" s="38">
        <v>11</v>
      </c>
      <c r="D81" s="1"/>
      <c r="E81" s="1"/>
      <c r="F81" s="1"/>
    </row>
    <row r="82" spans="2:6">
      <c r="B82" s="37">
        <v>1</v>
      </c>
      <c r="C82" s="38">
        <v>12</v>
      </c>
      <c r="D82" s="1"/>
      <c r="E82" s="1"/>
      <c r="F82" s="1"/>
    </row>
    <row r="83" spans="2:6">
      <c r="B83" s="37">
        <v>2</v>
      </c>
      <c r="C83" s="38">
        <v>1</v>
      </c>
      <c r="D83" s="15" t="s">
        <v>458</v>
      </c>
      <c r="E83" s="16" t="s">
        <v>164</v>
      </c>
      <c r="F83" s="17" t="s">
        <v>459</v>
      </c>
    </row>
    <row r="84" spans="2:6">
      <c r="B84" s="37">
        <v>2</v>
      </c>
      <c r="C84" s="38">
        <v>2</v>
      </c>
      <c r="D84" s="18" t="s">
        <v>460</v>
      </c>
      <c r="E84" s="19" t="s">
        <v>461</v>
      </c>
      <c r="F84" s="20" t="s">
        <v>462</v>
      </c>
    </row>
    <row r="85" spans="2:6">
      <c r="B85" s="37">
        <v>2</v>
      </c>
      <c r="C85" s="38">
        <v>3</v>
      </c>
      <c r="D85" s="18" t="s">
        <v>463</v>
      </c>
      <c r="E85" s="19" t="s">
        <v>464</v>
      </c>
      <c r="F85" s="20" t="s">
        <v>465</v>
      </c>
    </row>
    <row r="86" spans="2:6">
      <c r="B86" s="37">
        <v>2</v>
      </c>
      <c r="C86" s="38">
        <v>4</v>
      </c>
      <c r="D86" s="18" t="s">
        <v>466</v>
      </c>
      <c r="E86" s="19" t="s">
        <v>467</v>
      </c>
      <c r="F86" s="20" t="s">
        <v>468</v>
      </c>
    </row>
    <row r="87" spans="2:6">
      <c r="B87" s="37">
        <v>2</v>
      </c>
      <c r="C87" s="38">
        <v>5</v>
      </c>
      <c r="D87" s="18" t="s">
        <v>469</v>
      </c>
      <c r="E87" s="19" t="s">
        <v>470</v>
      </c>
      <c r="F87" s="20" t="s">
        <v>471</v>
      </c>
    </row>
    <row r="88" spans="2:6">
      <c r="B88" s="37">
        <v>2</v>
      </c>
      <c r="C88" s="38">
        <v>6</v>
      </c>
      <c r="D88" s="18" t="s">
        <v>472</v>
      </c>
      <c r="E88" s="21" t="s">
        <v>473</v>
      </c>
      <c r="F88" s="20" t="s">
        <v>474</v>
      </c>
    </row>
    <row r="89" spans="2:6">
      <c r="B89" s="37">
        <v>2</v>
      </c>
      <c r="C89" s="38">
        <v>7</v>
      </c>
      <c r="D89" s="18" t="s">
        <v>475</v>
      </c>
      <c r="E89" s="19" t="s">
        <v>476</v>
      </c>
      <c r="F89" s="20" t="s">
        <v>477</v>
      </c>
    </row>
    <row r="90" spans="2:6">
      <c r="B90" s="37">
        <v>2</v>
      </c>
      <c r="C90" s="38">
        <v>8</v>
      </c>
      <c r="D90" s="18" t="s">
        <v>478</v>
      </c>
      <c r="E90" s="19" t="s">
        <v>479</v>
      </c>
      <c r="F90" s="20" t="s">
        <v>25</v>
      </c>
    </row>
    <row r="91" spans="2:6">
      <c r="B91" s="37">
        <v>2</v>
      </c>
      <c r="C91" s="38">
        <v>9</v>
      </c>
      <c r="D91" s="18" t="s">
        <v>480</v>
      </c>
      <c r="E91" s="19" t="s">
        <v>481</v>
      </c>
      <c r="F91" s="20" t="s">
        <v>482</v>
      </c>
    </row>
    <row r="92" spans="2:6">
      <c r="B92" s="37">
        <v>2</v>
      </c>
      <c r="C92" s="38">
        <v>10</v>
      </c>
      <c r="D92" s="18" t="s">
        <v>483</v>
      </c>
      <c r="E92" s="19" t="s">
        <v>484</v>
      </c>
      <c r="F92" s="20" t="s">
        <v>485</v>
      </c>
    </row>
    <row r="93" spans="2:6">
      <c r="B93" s="37">
        <v>2</v>
      </c>
      <c r="C93" s="38">
        <v>11</v>
      </c>
      <c r="D93" s="18" t="s">
        <v>486</v>
      </c>
      <c r="E93" s="19" t="s">
        <v>487</v>
      </c>
      <c r="F93" s="20" t="s">
        <v>488</v>
      </c>
    </row>
    <row r="94" spans="2:6">
      <c r="B94" s="37">
        <v>2</v>
      </c>
      <c r="C94" s="38">
        <v>12</v>
      </c>
      <c r="D94" s="22" t="s">
        <v>489</v>
      </c>
      <c r="E94" s="23" t="s">
        <v>490</v>
      </c>
      <c r="F94" s="24" t="s">
        <v>491</v>
      </c>
    </row>
  </sheetData>
  <sheetProtection sheet="1" objects="1" scenarios="1" formatCells="0" formatColumns="0" formatRows="0" insertHyperlinks="0"/>
  <dataValidations count="4">
    <dataValidation type="whole" showInputMessage="1" showErrorMessage="1" error="This is not a realistic number of contact hours please reduce" sqref="D20:D23" xr:uid="{DCF1D4CF-AD13-4549-94DF-DAD7372507FF}">
      <formula1>0</formula1>
      <formula2>80</formula2>
    </dataValidation>
    <dataValidation type="whole" showInputMessage="1" showErrorMessage="1" error="This is not a realistic number of contact hours please change" sqref="D19" xr:uid="{2EFE7054-9BF0-4E34-9260-CE2CA4E53AC1}">
      <formula1>0</formula1>
      <formula2>80</formula2>
    </dataValidation>
    <dataValidation type="list" allowBlank="1" showInputMessage="1" showErrorMessage="1" sqref="E38:E41" xr:uid="{8FAAA275-BBC0-49B8-8FE4-71328DF55B6F}">
      <formula1>INDIRECT("LISTAssess[Assessment Specific]")</formula1>
    </dataValidation>
    <dataValidation type="list" allowBlank="1" showInputMessage="1" showErrorMessage="1" sqref="F46:F66" xr:uid="{E1682273-6EEC-4437-BA8D-462547C84EF8}">
      <formula1>INDIRECT(VLOOKUP($E46, SkillNameMap, 2, 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3D8F5AA3-C895-4B95-9912-EF67DA280821}">
          <x14:formula1>
            <xm:f>LISTS!$C$26:$C$37</xm:f>
          </x14:formula1>
          <xm:sqref>D14</xm:sqref>
        </x14:dataValidation>
        <x14:dataValidation type="list" allowBlank="1" showInputMessage="1" showErrorMessage="1" xr:uid="{703F0AA5-3DD9-4205-B10E-84D20D77F5DF}">
          <x14:formula1>
            <xm:f>LISTS!$C$17:$C$22</xm:f>
          </x14:formula1>
          <xm:sqref>D13</xm:sqref>
        </x14:dataValidation>
        <x14:dataValidation type="list" allowBlank="1" showInputMessage="1" showErrorMessage="1" xr:uid="{204C63EF-139E-4DCF-87C5-C1413D76F08F}">
          <x14:formula1>
            <xm:f>LISTS!$C$7:$C$9</xm:f>
          </x14:formula1>
          <xm:sqref>D10</xm:sqref>
        </x14:dataValidation>
        <x14:dataValidation type="list" allowBlank="1" showInputMessage="1" showErrorMessage="1" xr:uid="{02A4F4B2-CA44-4C0F-951D-7C349BD7AFEB}">
          <x14:formula1>
            <xm:f>LISTS!$C$11:$C$15</xm:f>
          </x14:formula1>
          <xm:sqref>D11</xm:sqref>
        </x14:dataValidation>
        <x14:dataValidation type="list" allowBlank="1" showInputMessage="1" showErrorMessage="1" xr:uid="{D6C3DA59-44C9-4E4B-8893-5EEB7E17375D}">
          <x14:formula1>
            <xm:f>LISTS!$G$7:$G$11</xm:f>
          </x14:formula1>
          <xm:sqref>D38:D42</xm:sqref>
        </x14:dataValidation>
        <x14:dataValidation type="list" allowBlank="1" showInputMessage="1" showErrorMessage="1" xr:uid="{1A267CA5-0348-4F32-BF79-432FCFC02438}">
          <x14:formula1>
            <xm:f>LISTS!$E$7:$E$11</xm:f>
          </x14:formula1>
          <xm:sqref>D46:D66</xm:sqref>
        </x14:dataValidation>
        <x14:dataValidation type="list" allowBlank="1" showInputMessage="1" showErrorMessage="1" xr:uid="{BE7A30BD-1760-4896-BACE-8BCA87088F96}">
          <x14:formula1>
            <xm:f>LISTS!$J$7:$J$16</xm:f>
          </x14:formula1>
          <xm:sqref>E46:E66</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034455-5C9F-407B-9192-42F597732675}">
  <sheetPr codeName="Sheet8"/>
  <dimension ref="B2:H94"/>
  <sheetViews>
    <sheetView showGridLines="0" topLeftCell="A44" zoomScale="85" zoomScaleNormal="85" workbookViewId="0">
      <selection activeCell="C56" sqref="C56:F59"/>
    </sheetView>
  </sheetViews>
  <sheetFormatPr defaultRowHeight="15"/>
  <cols>
    <col min="3" max="3" width="33.28515625" customWidth="1"/>
    <col min="4" max="4" width="51.5703125" customWidth="1"/>
    <col min="5" max="5" width="67.28515625" customWidth="1"/>
    <col min="6" max="6" width="63.140625" customWidth="1"/>
    <col min="7" max="7" width="12.42578125" customWidth="1"/>
    <col min="8" max="8" width="15.5703125" customWidth="1"/>
    <col min="9" max="9" width="14.7109375" customWidth="1"/>
  </cols>
  <sheetData>
    <row r="2" spans="2:6" ht="26.25">
      <c r="C2" s="27" t="str">
        <f>D7</f>
        <v>5005SPS</v>
      </c>
      <c r="D2" s="27" t="str">
        <f>D8</f>
        <v>Lifespan Nutrition and Eating Behaviour</v>
      </c>
    </row>
    <row r="3" spans="2:6">
      <c r="B3" s="28"/>
      <c r="C3" s="28"/>
    </row>
    <row r="4" spans="2:6">
      <c r="B4" s="29"/>
      <c r="C4" s="29"/>
    </row>
    <row r="5" spans="2:6" ht="18.75">
      <c r="B5" s="29"/>
      <c r="C5" s="30" t="s">
        <v>0</v>
      </c>
    </row>
    <row r="6" spans="2:6">
      <c r="B6" s="29"/>
      <c r="C6" s="31" t="s">
        <v>1</v>
      </c>
      <c r="D6" s="32" t="s">
        <v>2</v>
      </c>
      <c r="E6" s="32"/>
      <c r="F6" t="s">
        <v>3</v>
      </c>
    </row>
    <row r="7" spans="2:6">
      <c r="B7" s="29"/>
      <c r="C7" s="36" t="s">
        <v>4</v>
      </c>
      <c r="D7" s="1" t="s">
        <v>492</v>
      </c>
      <c r="E7" s="32"/>
      <c r="F7" s="6" t="s">
        <v>493</v>
      </c>
    </row>
    <row r="8" spans="2:6">
      <c r="B8" s="29"/>
      <c r="C8" s="36" t="s">
        <v>7</v>
      </c>
      <c r="D8" s="6" t="s">
        <v>494</v>
      </c>
      <c r="E8" s="32"/>
      <c r="F8" s="4"/>
    </row>
    <row r="9" spans="2:6">
      <c r="C9" s="36" t="s">
        <v>9</v>
      </c>
      <c r="D9" s="1">
        <v>20</v>
      </c>
      <c r="E9" s="32"/>
    </row>
    <row r="10" spans="2:6">
      <c r="C10" s="36" t="s">
        <v>10</v>
      </c>
      <c r="D10" s="1">
        <v>2</v>
      </c>
      <c r="E10" s="32"/>
      <c r="F10" t="s">
        <v>12</v>
      </c>
    </row>
    <row r="11" spans="2:6">
      <c r="C11" s="36" t="s">
        <v>13</v>
      </c>
      <c r="D11" s="1">
        <v>5</v>
      </c>
      <c r="E11" s="32"/>
      <c r="F11" s="6" t="s">
        <v>495</v>
      </c>
    </row>
    <row r="12" spans="2:6">
      <c r="C12" s="36" t="s">
        <v>15</v>
      </c>
      <c r="D12" s="1" t="s">
        <v>496</v>
      </c>
      <c r="E12" s="32"/>
      <c r="F12" s="4"/>
    </row>
    <row r="13" spans="2:6">
      <c r="C13" s="36" t="s">
        <v>17</v>
      </c>
      <c r="D13" s="1" t="s">
        <v>134</v>
      </c>
      <c r="E13" s="32"/>
      <c r="F13" s="4"/>
    </row>
    <row r="14" spans="2:6">
      <c r="C14" s="36" t="s">
        <v>19</v>
      </c>
      <c r="D14" s="1" t="s">
        <v>20</v>
      </c>
      <c r="E14" s="32"/>
    </row>
    <row r="15" spans="2:6">
      <c r="C15" s="31"/>
      <c r="D15" s="32"/>
      <c r="E15" s="32"/>
      <c r="F15" t="s">
        <v>21</v>
      </c>
    </row>
    <row r="16" spans="2:6">
      <c r="C16" s="31"/>
      <c r="D16" s="32"/>
      <c r="E16" s="32"/>
      <c r="F16" s="6" t="s">
        <v>497</v>
      </c>
    </row>
    <row r="17" spans="3:6" ht="18.75">
      <c r="C17" s="30" t="s">
        <v>23</v>
      </c>
      <c r="D17" s="32"/>
      <c r="E17" s="32"/>
      <c r="F17" s="4"/>
    </row>
    <row r="18" spans="3:6">
      <c r="C18" s="31" t="s">
        <v>24</v>
      </c>
      <c r="D18" s="28" t="s">
        <v>23</v>
      </c>
      <c r="E18" s="32"/>
      <c r="F18" s="4"/>
    </row>
    <row r="19" spans="3:6">
      <c r="C19" s="36" t="s">
        <v>25</v>
      </c>
      <c r="D19" s="2">
        <v>20</v>
      </c>
      <c r="E19" s="32"/>
      <c r="F19" s="4"/>
    </row>
    <row r="20" spans="3:6">
      <c r="C20" s="36" t="s">
        <v>26</v>
      </c>
      <c r="D20" s="2"/>
      <c r="E20" s="32"/>
      <c r="F20" s="4"/>
    </row>
    <row r="21" spans="3:6">
      <c r="C21" s="36" t="s">
        <v>27</v>
      </c>
      <c r="D21" s="2"/>
      <c r="E21" s="32"/>
    </row>
    <row r="22" spans="3:6">
      <c r="C22" s="36" t="s">
        <v>28</v>
      </c>
      <c r="D22" s="2">
        <v>20</v>
      </c>
      <c r="E22" s="32"/>
      <c r="F22" t="s">
        <v>29</v>
      </c>
    </row>
    <row r="23" spans="3:6">
      <c r="C23" s="36" t="s">
        <v>30</v>
      </c>
      <c r="D23" s="2"/>
      <c r="E23" s="32"/>
      <c r="F23" s="8" t="s">
        <v>498</v>
      </c>
    </row>
    <row r="24" spans="3:6">
      <c r="C24" s="36" t="s">
        <v>32</v>
      </c>
      <c r="D24" s="28">
        <f>SUM(D19:D23)</f>
        <v>40</v>
      </c>
      <c r="E24" s="32"/>
      <c r="F24" s="8" t="s">
        <v>499</v>
      </c>
    </row>
    <row r="25" spans="3:6">
      <c r="F25" s="8" t="s">
        <v>500</v>
      </c>
    </row>
    <row r="26" spans="3:6">
      <c r="F26" s="8" t="s">
        <v>501</v>
      </c>
    </row>
    <row r="27" spans="3:6" ht="18.75">
      <c r="C27" s="30" t="s">
        <v>36</v>
      </c>
      <c r="D27" s="33" t="s">
        <v>37</v>
      </c>
      <c r="F27" s="8" t="s">
        <v>502</v>
      </c>
    </row>
    <row r="28" spans="3:6">
      <c r="C28" s="31" t="s">
        <v>39</v>
      </c>
      <c r="D28" s="31" t="s">
        <v>40</v>
      </c>
      <c r="E28" s="31"/>
      <c r="F28" s="8"/>
    </row>
    <row r="29" spans="3:6">
      <c r="C29" s="36" t="s">
        <v>42</v>
      </c>
      <c r="D29" s="8" t="s">
        <v>503</v>
      </c>
      <c r="E29" s="32"/>
      <c r="F29" s="4"/>
    </row>
    <row r="30" spans="3:6">
      <c r="C30" s="36" t="s">
        <v>45</v>
      </c>
      <c r="D30" s="25" t="s">
        <v>504</v>
      </c>
      <c r="E30" s="32"/>
      <c r="F30" s="4"/>
    </row>
    <row r="31" spans="3:6">
      <c r="C31" s="36" t="s">
        <v>47</v>
      </c>
      <c r="D31" s="25" t="s">
        <v>505</v>
      </c>
      <c r="E31" s="32"/>
      <c r="F31" s="4"/>
    </row>
    <row r="32" spans="3:6">
      <c r="C32" s="36" t="s">
        <v>49</v>
      </c>
      <c r="D32" s="1"/>
      <c r="E32" s="32"/>
      <c r="F32" s="4"/>
    </row>
    <row r="33" spans="3:8">
      <c r="C33" s="36" t="s">
        <v>50</v>
      </c>
      <c r="D33" s="1"/>
      <c r="E33" s="32"/>
      <c r="F33" s="4"/>
    </row>
    <row r="36" spans="3:8" ht="18.75">
      <c r="C36" s="30" t="s">
        <v>51</v>
      </c>
    </row>
    <row r="37" spans="3:8">
      <c r="C37" s="31" t="s">
        <v>52</v>
      </c>
      <c r="D37" s="31" t="s">
        <v>53</v>
      </c>
      <c r="E37" s="31" t="s">
        <v>54</v>
      </c>
      <c r="F37" s="31" t="s">
        <v>55</v>
      </c>
      <c r="G37" s="31" t="s">
        <v>56</v>
      </c>
      <c r="H37" s="31" t="s">
        <v>57</v>
      </c>
    </row>
    <row r="38" spans="3:8">
      <c r="C38" s="36" t="s">
        <v>58</v>
      </c>
      <c r="D38" s="1" t="s">
        <v>216</v>
      </c>
      <c r="E38" s="1" t="s">
        <v>332</v>
      </c>
      <c r="F38" s="8" t="s">
        <v>506</v>
      </c>
      <c r="G38" s="3">
        <v>0.5</v>
      </c>
      <c r="H38" s="1">
        <v>25</v>
      </c>
    </row>
    <row r="39" spans="3:8">
      <c r="C39" s="36" t="s">
        <v>62</v>
      </c>
      <c r="D39" s="1" t="s">
        <v>145</v>
      </c>
      <c r="E39" s="1" t="s">
        <v>277</v>
      </c>
      <c r="F39" s="8" t="s">
        <v>507</v>
      </c>
      <c r="G39" s="3">
        <v>0.5</v>
      </c>
      <c r="H39" s="1">
        <v>32</v>
      </c>
    </row>
    <row r="40" spans="3:8">
      <c r="C40" s="36" t="s">
        <v>65</v>
      </c>
      <c r="D40" s="4"/>
      <c r="E40" s="4"/>
      <c r="F40" s="4"/>
      <c r="G40" s="4"/>
      <c r="H40" s="4"/>
    </row>
    <row r="41" spans="3:8">
      <c r="C41" s="36" t="s">
        <v>66</v>
      </c>
      <c r="D41" s="4"/>
      <c r="E41" s="4"/>
      <c r="F41" s="4"/>
      <c r="G41" s="4"/>
      <c r="H41" s="4"/>
    </row>
    <row r="42" spans="3:8">
      <c r="C42" s="31"/>
    </row>
    <row r="44" spans="3:8" ht="18.75">
      <c r="C44" s="30" t="s">
        <v>67</v>
      </c>
      <c r="D44" s="33"/>
    </row>
    <row r="45" spans="3:8">
      <c r="C45" s="28" t="s">
        <v>52</v>
      </c>
      <c r="D45" s="28" t="s">
        <v>39</v>
      </c>
      <c r="E45" s="28" t="s">
        <v>68</v>
      </c>
      <c r="F45" s="28" t="s">
        <v>69</v>
      </c>
    </row>
    <row r="46" spans="3:8">
      <c r="C46" s="5" t="s">
        <v>58</v>
      </c>
      <c r="D46" s="4" t="s">
        <v>47</v>
      </c>
      <c r="E46" s="4" t="s">
        <v>72</v>
      </c>
      <c r="F46" s="4" t="s">
        <v>73</v>
      </c>
    </row>
    <row r="47" spans="3:8">
      <c r="C47" s="5" t="s">
        <v>58</v>
      </c>
      <c r="D47" s="4" t="s">
        <v>47</v>
      </c>
      <c r="E47" s="4" t="s">
        <v>154</v>
      </c>
      <c r="F47" s="4" t="s">
        <v>155</v>
      </c>
    </row>
    <row r="48" spans="3:8">
      <c r="C48" s="5" t="s">
        <v>58</v>
      </c>
      <c r="D48" s="4" t="s">
        <v>47</v>
      </c>
      <c r="E48" s="4" t="s">
        <v>74</v>
      </c>
      <c r="F48" s="4" t="s">
        <v>337</v>
      </c>
    </row>
    <row r="49" spans="3:6">
      <c r="C49" s="5" t="s">
        <v>58</v>
      </c>
      <c r="D49" s="4" t="s">
        <v>47</v>
      </c>
      <c r="E49" s="4" t="s">
        <v>78</v>
      </c>
      <c r="F49" s="4" t="s">
        <v>81</v>
      </c>
    </row>
    <row r="50" spans="3:6">
      <c r="C50" s="5" t="s">
        <v>62</v>
      </c>
      <c r="D50" s="4" t="s">
        <v>42</v>
      </c>
      <c r="E50" s="4" t="s">
        <v>160</v>
      </c>
      <c r="F50" s="4" t="s">
        <v>161</v>
      </c>
    </row>
    <row r="51" spans="3:6">
      <c r="C51" s="5" t="s">
        <v>62</v>
      </c>
      <c r="D51" s="4" t="s">
        <v>42</v>
      </c>
      <c r="E51" s="4" t="s">
        <v>70</v>
      </c>
      <c r="F51" s="4" t="s">
        <v>335</v>
      </c>
    </row>
    <row r="52" spans="3:6">
      <c r="C52" s="5" t="s">
        <v>62</v>
      </c>
      <c r="D52" s="4" t="s">
        <v>45</v>
      </c>
      <c r="E52" s="4" t="s">
        <v>151</v>
      </c>
      <c r="F52" s="4" t="s">
        <v>219</v>
      </c>
    </row>
    <row r="53" spans="3:6">
      <c r="C53" s="5" t="s">
        <v>62</v>
      </c>
      <c r="D53" s="4" t="s">
        <v>45</v>
      </c>
      <c r="E53" s="4" t="s">
        <v>85</v>
      </c>
      <c r="F53" s="4" t="s">
        <v>508</v>
      </c>
    </row>
    <row r="54" spans="3:6">
      <c r="C54" s="5" t="s">
        <v>62</v>
      </c>
      <c r="D54" s="4" t="s">
        <v>45</v>
      </c>
      <c r="E54" s="4" t="s">
        <v>78</v>
      </c>
      <c r="F54" s="4" t="s">
        <v>79</v>
      </c>
    </row>
    <row r="55" spans="3:6">
      <c r="C55" s="5" t="s">
        <v>58</v>
      </c>
      <c r="D55" s="4" t="s">
        <v>47</v>
      </c>
      <c r="E55" s="4" t="s">
        <v>78</v>
      </c>
      <c r="F55" s="4" t="s">
        <v>509</v>
      </c>
    </row>
    <row r="56" spans="3:6">
      <c r="C56" s="51" t="s">
        <v>58</v>
      </c>
      <c r="D56" s="52" t="s">
        <v>47</v>
      </c>
      <c r="E56" s="52" t="s">
        <v>158</v>
      </c>
      <c r="F56" s="52" t="s">
        <v>336</v>
      </c>
    </row>
    <row r="57" spans="3:6">
      <c r="C57" s="53" t="s">
        <v>58</v>
      </c>
      <c r="D57" s="54" t="s">
        <v>47</v>
      </c>
      <c r="E57" s="54" t="s">
        <v>78</v>
      </c>
      <c r="F57" s="54" t="s">
        <v>83</v>
      </c>
    </row>
    <row r="58" spans="3:6">
      <c r="C58" s="53" t="s">
        <v>58</v>
      </c>
      <c r="D58" s="54" t="s">
        <v>47</v>
      </c>
      <c r="E58" s="54" t="s">
        <v>72</v>
      </c>
      <c r="F58" s="54" t="s">
        <v>340</v>
      </c>
    </row>
    <row r="59" spans="3:6">
      <c r="C59" s="53" t="s">
        <v>62</v>
      </c>
      <c r="D59" s="54" t="s">
        <v>45</v>
      </c>
      <c r="E59" s="54" t="s">
        <v>74</v>
      </c>
      <c r="F59" s="54" t="s">
        <v>510</v>
      </c>
    </row>
    <row r="60" spans="3:6">
      <c r="C60" s="5"/>
      <c r="D60" s="4"/>
      <c r="E60" s="4"/>
      <c r="F60" s="4"/>
    </row>
    <row r="61" spans="3:6">
      <c r="C61" s="5"/>
      <c r="D61" s="4"/>
      <c r="E61" s="4"/>
      <c r="F61" s="4"/>
    </row>
    <row r="62" spans="3:6">
      <c r="C62" s="5"/>
      <c r="D62" s="4"/>
      <c r="E62" s="4"/>
      <c r="F62" s="4"/>
    </row>
    <row r="63" spans="3:6">
      <c r="C63" s="5"/>
      <c r="D63" s="4"/>
      <c r="E63" s="4"/>
      <c r="F63" s="4"/>
    </row>
    <row r="64" spans="3:6">
      <c r="C64" s="5"/>
      <c r="D64" s="4"/>
      <c r="E64" s="4"/>
      <c r="F64" s="4"/>
    </row>
    <row r="65" spans="2:6">
      <c r="C65" s="5"/>
      <c r="D65" s="4"/>
      <c r="E65" s="4"/>
      <c r="F65" s="4"/>
    </row>
    <row r="66" spans="2:6">
      <c r="C66" s="5"/>
      <c r="D66" s="4"/>
      <c r="E66" s="4"/>
      <c r="F66" s="4"/>
    </row>
    <row r="69" spans="2:6" ht="18.75">
      <c r="C69" s="30" t="s">
        <v>87</v>
      </c>
    </row>
    <row r="70" spans="2:6">
      <c r="B70" t="s">
        <v>88</v>
      </c>
      <c r="C70" s="28" t="s">
        <v>89</v>
      </c>
      <c r="D70" s="28" t="s">
        <v>90</v>
      </c>
      <c r="E70" s="28" t="s">
        <v>91</v>
      </c>
      <c r="F70" s="28" t="s">
        <v>92</v>
      </c>
    </row>
    <row r="71" spans="2:6">
      <c r="B71" s="37">
        <v>1</v>
      </c>
      <c r="C71" s="38">
        <v>1</v>
      </c>
      <c r="D71" s="1"/>
      <c r="E71" s="1"/>
      <c r="F71" s="1"/>
    </row>
    <row r="72" spans="2:6">
      <c r="B72" s="37">
        <v>1</v>
      </c>
      <c r="C72" s="38">
        <v>2</v>
      </c>
      <c r="D72" s="1"/>
      <c r="E72" s="1"/>
      <c r="F72" s="1"/>
    </row>
    <row r="73" spans="2:6">
      <c r="B73" s="37">
        <v>1</v>
      </c>
      <c r="C73" s="38">
        <v>3</v>
      </c>
      <c r="D73" s="1"/>
      <c r="E73" s="1"/>
      <c r="F73" s="1"/>
    </row>
    <row r="74" spans="2:6">
      <c r="B74" s="37">
        <v>1</v>
      </c>
      <c r="C74" s="38">
        <v>4</v>
      </c>
      <c r="D74" s="1"/>
      <c r="E74" s="1"/>
      <c r="F74" s="1"/>
    </row>
    <row r="75" spans="2:6">
      <c r="B75" s="37">
        <v>1</v>
      </c>
      <c r="C75" s="38">
        <v>5</v>
      </c>
      <c r="D75" s="1"/>
      <c r="E75" s="1"/>
      <c r="F75" s="1"/>
    </row>
    <row r="76" spans="2:6">
      <c r="B76" s="37">
        <v>1</v>
      </c>
      <c r="C76" s="38">
        <v>6</v>
      </c>
      <c r="D76" s="1"/>
      <c r="E76" s="1"/>
      <c r="F76" s="1"/>
    </row>
    <row r="77" spans="2:6">
      <c r="B77" s="37">
        <v>1</v>
      </c>
      <c r="C77" s="38">
        <v>7</v>
      </c>
      <c r="D77" s="1"/>
      <c r="E77" s="1"/>
      <c r="F77" s="1"/>
    </row>
    <row r="78" spans="2:6">
      <c r="B78" s="37">
        <v>1</v>
      </c>
      <c r="C78" s="38">
        <v>8</v>
      </c>
      <c r="D78" s="1"/>
      <c r="E78" s="1"/>
      <c r="F78" s="1"/>
    </row>
    <row r="79" spans="2:6">
      <c r="B79" s="37">
        <v>1</v>
      </c>
      <c r="C79" s="38">
        <v>9</v>
      </c>
      <c r="D79" s="1"/>
      <c r="E79" s="1"/>
      <c r="F79" s="1"/>
    </row>
    <row r="80" spans="2:6">
      <c r="B80" s="37">
        <v>1</v>
      </c>
      <c r="C80" s="38">
        <v>10</v>
      </c>
      <c r="D80" s="1"/>
      <c r="E80" s="1"/>
      <c r="F80" s="1"/>
    </row>
    <row r="81" spans="2:6">
      <c r="B81" s="37">
        <v>1</v>
      </c>
      <c r="C81" s="38">
        <v>11</v>
      </c>
      <c r="D81" s="1"/>
      <c r="E81" s="1"/>
      <c r="F81" s="1"/>
    </row>
    <row r="82" spans="2:6">
      <c r="B82" s="37">
        <v>1</v>
      </c>
      <c r="C82" s="38">
        <v>12</v>
      </c>
      <c r="D82" s="1"/>
      <c r="E82" s="1"/>
      <c r="F82" s="1"/>
    </row>
    <row r="83" spans="2:6">
      <c r="B83" s="37">
        <v>2</v>
      </c>
      <c r="C83" s="38">
        <v>1</v>
      </c>
      <c r="D83" s="15" t="s">
        <v>511</v>
      </c>
      <c r="E83" s="16" t="s">
        <v>164</v>
      </c>
      <c r="F83" s="17" t="s">
        <v>512</v>
      </c>
    </row>
    <row r="84" spans="2:6">
      <c r="B84" s="37">
        <v>2</v>
      </c>
      <c r="C84" s="38">
        <v>2</v>
      </c>
      <c r="D84" s="18" t="s">
        <v>513</v>
      </c>
      <c r="E84" s="19" t="s">
        <v>514</v>
      </c>
      <c r="F84" s="20" t="s">
        <v>515</v>
      </c>
    </row>
    <row r="85" spans="2:6">
      <c r="B85" s="37">
        <v>2</v>
      </c>
      <c r="C85" s="38">
        <v>3</v>
      </c>
      <c r="D85" s="18" t="s">
        <v>516</v>
      </c>
      <c r="E85" s="19" t="s">
        <v>517</v>
      </c>
      <c r="F85" s="20" t="s">
        <v>518</v>
      </c>
    </row>
    <row r="86" spans="2:6">
      <c r="B86" s="37">
        <v>2</v>
      </c>
      <c r="C86" s="38">
        <v>4</v>
      </c>
      <c r="D86" s="18" t="s">
        <v>519</v>
      </c>
      <c r="E86" s="19" t="s">
        <v>520</v>
      </c>
      <c r="F86" s="20" t="s">
        <v>521</v>
      </c>
    </row>
    <row r="87" spans="2:6">
      <c r="B87" s="37">
        <v>2</v>
      </c>
      <c r="C87" s="38">
        <v>5</v>
      </c>
      <c r="D87" s="18" t="s">
        <v>522</v>
      </c>
      <c r="E87" s="19" t="s">
        <v>523</v>
      </c>
      <c r="F87" s="20" t="s">
        <v>524</v>
      </c>
    </row>
    <row r="88" spans="2:6">
      <c r="B88" s="37">
        <v>2</v>
      </c>
      <c r="C88" s="38">
        <v>6</v>
      </c>
      <c r="D88" s="18" t="s">
        <v>525</v>
      </c>
      <c r="E88" s="19" t="s">
        <v>526</v>
      </c>
      <c r="F88" s="26" t="s">
        <v>527</v>
      </c>
    </row>
    <row r="89" spans="2:6">
      <c r="B89" s="37">
        <v>2</v>
      </c>
      <c r="C89" s="38">
        <v>7</v>
      </c>
      <c r="D89" s="18" t="s">
        <v>528</v>
      </c>
      <c r="E89" s="19" t="s">
        <v>529</v>
      </c>
      <c r="F89" s="20" t="s">
        <v>530</v>
      </c>
    </row>
    <row r="90" spans="2:6">
      <c r="B90" s="37">
        <v>2</v>
      </c>
      <c r="C90" s="38">
        <v>8</v>
      </c>
      <c r="D90" s="18" t="s">
        <v>531</v>
      </c>
      <c r="E90" s="19" t="s">
        <v>532</v>
      </c>
      <c r="F90" s="20" t="s">
        <v>533</v>
      </c>
    </row>
    <row r="91" spans="2:6">
      <c r="B91" s="37">
        <v>2</v>
      </c>
      <c r="C91" s="38">
        <v>9</v>
      </c>
      <c r="D91" s="18" t="s">
        <v>534</v>
      </c>
      <c r="E91" s="19" t="s">
        <v>535</v>
      </c>
      <c r="F91" s="20" t="s">
        <v>536</v>
      </c>
    </row>
    <row r="92" spans="2:6">
      <c r="B92" s="37">
        <v>2</v>
      </c>
      <c r="C92" s="38">
        <v>10</v>
      </c>
      <c r="D92" s="18" t="s">
        <v>537</v>
      </c>
      <c r="E92" s="19" t="s">
        <v>538</v>
      </c>
      <c r="F92" s="20" t="s">
        <v>539</v>
      </c>
    </row>
    <row r="93" spans="2:6">
      <c r="B93" s="37">
        <v>2</v>
      </c>
      <c r="C93" s="38">
        <v>11</v>
      </c>
      <c r="D93" s="18" t="s">
        <v>540</v>
      </c>
      <c r="E93" s="19" t="s">
        <v>541</v>
      </c>
      <c r="F93" s="20" t="s">
        <v>542</v>
      </c>
    </row>
    <row r="94" spans="2:6">
      <c r="B94" s="37">
        <v>2</v>
      </c>
      <c r="C94" s="38">
        <v>12</v>
      </c>
      <c r="D94" s="22" t="s">
        <v>543</v>
      </c>
      <c r="E94" s="23" t="s">
        <v>375</v>
      </c>
      <c r="F94" s="24" t="s">
        <v>544</v>
      </c>
    </row>
  </sheetData>
  <sheetProtection sheet="1" objects="1" scenarios="1" formatCells="0" formatColumns="0" formatRows="0" insertHyperlinks="0"/>
  <dataValidations count="4">
    <dataValidation type="list" allowBlank="1" showInputMessage="1" showErrorMessage="1" sqref="F46:F55 F60:F66" xr:uid="{6DEBE8EC-2B57-4380-910E-0A2154580682}">
      <formula1>INDIRECT(VLOOKUP($E46, SkillNameMap, 2, FALSE))</formula1>
    </dataValidation>
    <dataValidation type="list" allowBlank="1" showInputMessage="1" showErrorMessage="1" sqref="E38:E41" xr:uid="{6274686E-0972-4BC0-8A91-115628F0C35E}">
      <formula1>INDIRECT("LISTAssess[Assessment Specific]")</formula1>
    </dataValidation>
    <dataValidation type="whole" showInputMessage="1" showErrorMessage="1" error="This is not a realistic number of contact hours please change" sqref="D19" xr:uid="{D71B7080-AED5-4BD2-BC61-46D1FB03F689}">
      <formula1>0</formula1>
      <formula2>80</formula2>
    </dataValidation>
    <dataValidation type="whole" showInputMessage="1" showErrorMessage="1" error="This is not a realistic number of contact hours please reduce" sqref="D20:D23" xr:uid="{50629AB0-717B-48FC-8FF1-8B4D77B3991E}">
      <formula1>0</formula1>
      <formula2>80</formula2>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96DA8F40-9192-4741-B2FE-57A9C46482DF}">
          <x14:formula1>
            <xm:f>LISTS!$J$7:$J$16</xm:f>
          </x14:formula1>
          <xm:sqref>E46:E55 E60:E66</xm:sqref>
        </x14:dataValidation>
        <x14:dataValidation type="list" allowBlank="1" showInputMessage="1" showErrorMessage="1" xr:uid="{A4EF2000-8BB6-4BFE-B91D-91E943534494}">
          <x14:formula1>
            <xm:f>LISTS!$E$7:$E$11</xm:f>
          </x14:formula1>
          <xm:sqref>D46:D55 D60:D66</xm:sqref>
        </x14:dataValidation>
        <x14:dataValidation type="list" allowBlank="1" showInputMessage="1" showErrorMessage="1" xr:uid="{C6D73155-D6B3-465B-BEF7-0FA25E168DED}">
          <x14:formula1>
            <xm:f>LISTS!$G$7:$G$11</xm:f>
          </x14:formula1>
          <xm:sqref>D38:D42</xm:sqref>
        </x14:dataValidation>
        <x14:dataValidation type="list" allowBlank="1" showInputMessage="1" showErrorMessage="1" xr:uid="{B0028DB5-73A5-49CC-9F11-A5A6090C114A}">
          <x14:formula1>
            <xm:f>LISTS!$C$11:$C$15</xm:f>
          </x14:formula1>
          <xm:sqref>D11</xm:sqref>
        </x14:dataValidation>
        <x14:dataValidation type="list" allowBlank="1" showInputMessage="1" showErrorMessage="1" xr:uid="{B42E3CF9-1ABB-4684-872B-EC2BAFBA300F}">
          <x14:formula1>
            <xm:f>LISTS!$C$7:$C$9</xm:f>
          </x14:formula1>
          <xm:sqref>D10</xm:sqref>
        </x14:dataValidation>
        <x14:dataValidation type="list" allowBlank="1" showInputMessage="1" showErrorMessage="1" xr:uid="{A8C95E66-AD61-4BFC-ABB4-381106E7EE30}">
          <x14:formula1>
            <xm:f>LISTS!$C$17:$C$22</xm:f>
          </x14:formula1>
          <xm:sqref>D13</xm:sqref>
        </x14:dataValidation>
        <x14:dataValidation type="list" allowBlank="1" showInputMessage="1" showErrorMessage="1" xr:uid="{6D716C63-5AE4-4FD1-B40D-675960865ED5}">
          <x14:formula1>
            <xm:f>LISTS!$C$26:$C$37</xm:f>
          </x14:formula1>
          <xm:sqref>D14</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393CBE-AC61-4382-834C-8132B542CACA}">
  <sheetPr codeName="Sheet9"/>
  <dimension ref="B2:H94"/>
  <sheetViews>
    <sheetView showGridLines="0" topLeftCell="B41" zoomScale="85" zoomScaleNormal="85" workbookViewId="0">
      <selection activeCell="C55" sqref="C55:F55"/>
    </sheetView>
  </sheetViews>
  <sheetFormatPr defaultRowHeight="15"/>
  <cols>
    <col min="3" max="3" width="33.28515625" customWidth="1"/>
    <col min="4" max="4" width="51.5703125" customWidth="1"/>
    <col min="5" max="5" width="67.28515625" customWidth="1"/>
    <col min="6" max="6" width="63.140625" customWidth="1"/>
    <col min="7" max="7" width="12.42578125" customWidth="1"/>
    <col min="8" max="8" width="15.5703125" customWidth="1"/>
    <col min="9" max="9" width="14.7109375" customWidth="1"/>
  </cols>
  <sheetData>
    <row r="2" spans="2:6" ht="26.25">
      <c r="C2" s="27" t="str">
        <f>D7</f>
        <v>6003SPS</v>
      </c>
      <c r="D2" s="27" t="str">
        <f>D8</f>
        <v>Molecular Nutrition and Genetics</v>
      </c>
    </row>
    <row r="3" spans="2:6">
      <c r="B3" s="28"/>
      <c r="C3" s="28"/>
    </row>
    <row r="4" spans="2:6">
      <c r="B4" s="29"/>
      <c r="C4" s="29"/>
    </row>
    <row r="5" spans="2:6" ht="18.75">
      <c r="B5" s="29"/>
      <c r="C5" s="30" t="s">
        <v>0</v>
      </c>
    </row>
    <row r="6" spans="2:6">
      <c r="B6" s="29"/>
      <c r="C6" s="31" t="s">
        <v>1</v>
      </c>
      <c r="D6" s="32" t="s">
        <v>2</v>
      </c>
      <c r="E6" s="32"/>
      <c r="F6" t="s">
        <v>3</v>
      </c>
    </row>
    <row r="7" spans="2:6">
      <c r="B7" s="29"/>
      <c r="C7" s="36" t="s">
        <v>4</v>
      </c>
      <c r="D7" s="1" t="s">
        <v>545</v>
      </c>
      <c r="E7" s="32"/>
      <c r="F7" s="6" t="s">
        <v>546</v>
      </c>
    </row>
    <row r="8" spans="2:6">
      <c r="B8" s="29"/>
      <c r="C8" s="36" t="s">
        <v>7</v>
      </c>
      <c r="D8" s="6" t="s">
        <v>547</v>
      </c>
      <c r="E8" s="32"/>
      <c r="F8" s="4"/>
    </row>
    <row r="9" spans="2:6">
      <c r="C9" s="36" t="s">
        <v>9</v>
      </c>
      <c r="D9" s="1">
        <v>20</v>
      </c>
      <c r="E9" s="32"/>
    </row>
    <row r="10" spans="2:6">
      <c r="C10" s="36" t="s">
        <v>10</v>
      </c>
      <c r="D10" s="1">
        <v>1</v>
      </c>
      <c r="E10" s="32"/>
      <c r="F10" t="s">
        <v>12</v>
      </c>
    </row>
    <row r="11" spans="2:6">
      <c r="C11" s="36" t="s">
        <v>13</v>
      </c>
      <c r="D11" s="1">
        <v>6</v>
      </c>
      <c r="E11" s="32"/>
      <c r="F11" s="6" t="s">
        <v>548</v>
      </c>
    </row>
    <row r="12" spans="2:6">
      <c r="C12" s="36" t="s">
        <v>15</v>
      </c>
      <c r="D12" s="1" t="s">
        <v>202</v>
      </c>
      <c r="E12" s="32"/>
      <c r="F12" s="4"/>
    </row>
    <row r="13" spans="2:6">
      <c r="C13" s="36" t="s">
        <v>17</v>
      </c>
      <c r="D13" s="1" t="s">
        <v>134</v>
      </c>
      <c r="E13" s="32"/>
      <c r="F13" s="4"/>
    </row>
    <row r="14" spans="2:6">
      <c r="C14" s="36" t="s">
        <v>19</v>
      </c>
      <c r="D14" s="1" t="s">
        <v>20</v>
      </c>
      <c r="E14" s="32"/>
    </row>
    <row r="15" spans="2:6">
      <c r="C15" s="31"/>
      <c r="D15" s="32"/>
      <c r="E15" s="32"/>
      <c r="F15" t="s">
        <v>21</v>
      </c>
    </row>
    <row r="16" spans="2:6">
      <c r="C16" s="31"/>
      <c r="D16" s="32"/>
      <c r="E16" s="32"/>
      <c r="F16" s="6" t="s">
        <v>549</v>
      </c>
    </row>
    <row r="17" spans="3:6" ht="18.75">
      <c r="C17" s="30" t="s">
        <v>23</v>
      </c>
      <c r="D17" s="32"/>
      <c r="E17" s="32"/>
      <c r="F17" s="4"/>
    </row>
    <row r="18" spans="3:6">
      <c r="C18" s="31" t="s">
        <v>24</v>
      </c>
      <c r="D18" s="28" t="s">
        <v>23</v>
      </c>
      <c r="E18" s="32"/>
      <c r="F18" s="4"/>
    </row>
    <row r="19" spans="3:6">
      <c r="C19" s="36" t="s">
        <v>25</v>
      </c>
      <c r="D19" s="2">
        <v>18</v>
      </c>
      <c r="E19" s="32"/>
      <c r="F19" s="4"/>
    </row>
    <row r="20" spans="3:6">
      <c r="C20" s="36" t="s">
        <v>26</v>
      </c>
      <c r="D20" s="2">
        <v>11</v>
      </c>
      <c r="E20" s="32"/>
      <c r="F20" s="4"/>
    </row>
    <row r="21" spans="3:6">
      <c r="C21" s="36" t="s">
        <v>27</v>
      </c>
      <c r="D21" s="2">
        <v>9</v>
      </c>
      <c r="E21" s="32"/>
    </row>
    <row r="22" spans="3:6">
      <c r="C22" s="36" t="s">
        <v>28</v>
      </c>
      <c r="D22" s="2">
        <v>7</v>
      </c>
      <c r="E22" s="32"/>
      <c r="F22" t="s">
        <v>29</v>
      </c>
    </row>
    <row r="23" spans="3:6">
      <c r="C23" s="36" t="s">
        <v>30</v>
      </c>
      <c r="D23" s="2">
        <v>0</v>
      </c>
      <c r="E23" s="32"/>
      <c r="F23" s="8" t="s">
        <v>550</v>
      </c>
    </row>
    <row r="24" spans="3:6">
      <c r="C24" s="36" t="s">
        <v>32</v>
      </c>
      <c r="D24" s="28">
        <f>SUM(D19:D23)</f>
        <v>45</v>
      </c>
      <c r="E24" s="32"/>
      <c r="F24" s="8" t="s">
        <v>551</v>
      </c>
    </row>
    <row r="25" spans="3:6">
      <c r="F25" s="8" t="s">
        <v>552</v>
      </c>
    </row>
    <row r="26" spans="3:6">
      <c r="F26" s="8" t="s">
        <v>553</v>
      </c>
    </row>
    <row r="27" spans="3:6" ht="18.75">
      <c r="C27" s="30" t="s">
        <v>36</v>
      </c>
      <c r="D27" s="33" t="s">
        <v>37</v>
      </c>
      <c r="F27" s="8" t="s">
        <v>554</v>
      </c>
    </row>
    <row r="28" spans="3:6">
      <c r="C28" s="31" t="s">
        <v>39</v>
      </c>
      <c r="D28" s="31" t="s">
        <v>40</v>
      </c>
      <c r="E28" s="31"/>
      <c r="F28" s="8" t="s">
        <v>555</v>
      </c>
    </row>
    <row r="29" spans="3:6">
      <c r="C29" s="36" t="s">
        <v>42</v>
      </c>
      <c r="D29" s="8" t="s">
        <v>556</v>
      </c>
      <c r="E29" s="32"/>
      <c r="F29" s="4"/>
    </row>
    <row r="30" spans="3:6">
      <c r="C30" s="36" t="s">
        <v>45</v>
      </c>
      <c r="D30" s="25" t="s">
        <v>557</v>
      </c>
      <c r="E30" s="32"/>
      <c r="F30" s="4"/>
    </row>
    <row r="31" spans="3:6">
      <c r="C31" s="36" t="s">
        <v>47</v>
      </c>
      <c r="D31" s="25" t="s">
        <v>558</v>
      </c>
      <c r="E31" s="32"/>
      <c r="F31" s="4"/>
    </row>
    <row r="32" spans="3:6">
      <c r="C32" s="36" t="s">
        <v>49</v>
      </c>
      <c r="D32" s="1"/>
      <c r="E32" s="32"/>
      <c r="F32" s="4"/>
    </row>
    <row r="33" spans="3:8">
      <c r="C33" s="36" t="s">
        <v>50</v>
      </c>
      <c r="D33" s="1"/>
      <c r="E33" s="32"/>
      <c r="F33" s="4"/>
    </row>
    <row r="36" spans="3:8" ht="18.75">
      <c r="C36" s="30" t="s">
        <v>51</v>
      </c>
    </row>
    <row r="37" spans="3:8">
      <c r="C37" s="31" t="s">
        <v>52</v>
      </c>
      <c r="D37" s="31" t="s">
        <v>53</v>
      </c>
      <c r="E37" s="31" t="s">
        <v>54</v>
      </c>
      <c r="F37" s="31" t="s">
        <v>55</v>
      </c>
      <c r="G37" s="31" t="s">
        <v>56</v>
      </c>
      <c r="H37" s="31" t="s">
        <v>57</v>
      </c>
    </row>
    <row r="38" spans="3:8" ht="135">
      <c r="C38" s="36" t="s">
        <v>58</v>
      </c>
      <c r="D38" s="1" t="s">
        <v>145</v>
      </c>
      <c r="E38" s="1" t="s">
        <v>393</v>
      </c>
      <c r="F38" s="1" t="s">
        <v>559</v>
      </c>
      <c r="G38" s="3">
        <v>0.5</v>
      </c>
      <c r="H38" s="1">
        <v>8</v>
      </c>
    </row>
    <row r="39" spans="3:8" ht="165">
      <c r="C39" s="36" t="s">
        <v>62</v>
      </c>
      <c r="D39" s="1" t="s">
        <v>145</v>
      </c>
      <c r="E39" s="1" t="s">
        <v>277</v>
      </c>
      <c r="F39" s="1" t="s">
        <v>560</v>
      </c>
      <c r="G39" s="3">
        <v>0.5</v>
      </c>
      <c r="H39" s="1">
        <v>17</v>
      </c>
    </row>
    <row r="40" spans="3:8">
      <c r="C40" s="36" t="s">
        <v>65</v>
      </c>
      <c r="D40" s="4"/>
      <c r="E40" s="4"/>
      <c r="F40" s="4"/>
      <c r="G40" s="4"/>
      <c r="H40" s="4"/>
    </row>
    <row r="41" spans="3:8">
      <c r="C41" s="36" t="s">
        <v>66</v>
      </c>
      <c r="D41" s="4"/>
      <c r="E41" s="4"/>
      <c r="F41" s="4"/>
      <c r="G41" s="4"/>
      <c r="H41" s="4"/>
    </row>
    <row r="42" spans="3:8">
      <c r="C42" s="31"/>
    </row>
    <row r="44" spans="3:8" ht="18.75">
      <c r="C44" s="30" t="s">
        <v>67</v>
      </c>
      <c r="D44" s="33"/>
    </row>
    <row r="45" spans="3:8">
      <c r="C45" s="28" t="s">
        <v>52</v>
      </c>
      <c r="D45" s="28" t="s">
        <v>39</v>
      </c>
      <c r="E45" s="28" t="s">
        <v>68</v>
      </c>
      <c r="F45" s="28" t="s">
        <v>69</v>
      </c>
    </row>
    <row r="46" spans="3:8">
      <c r="C46" s="5" t="s">
        <v>58</v>
      </c>
      <c r="D46" s="4" t="s">
        <v>42</v>
      </c>
      <c r="E46" s="4" t="s">
        <v>151</v>
      </c>
      <c r="F46" s="4" t="s">
        <v>219</v>
      </c>
    </row>
    <row r="47" spans="3:8">
      <c r="C47" s="5" t="s">
        <v>58</v>
      </c>
      <c r="D47" s="4" t="s">
        <v>42</v>
      </c>
      <c r="E47" s="4" t="s">
        <v>154</v>
      </c>
      <c r="F47" s="4" t="s">
        <v>156</v>
      </c>
    </row>
    <row r="48" spans="3:8">
      <c r="C48" s="5" t="s">
        <v>58</v>
      </c>
      <c r="D48" s="4" t="s">
        <v>45</v>
      </c>
      <c r="E48" s="4" t="s">
        <v>151</v>
      </c>
      <c r="F48" s="4" t="s">
        <v>224</v>
      </c>
    </row>
    <row r="49" spans="3:6">
      <c r="C49" s="5" t="s">
        <v>58</v>
      </c>
      <c r="D49" s="4" t="s">
        <v>45</v>
      </c>
      <c r="E49" s="4" t="s">
        <v>76</v>
      </c>
      <c r="F49" s="4" t="s">
        <v>221</v>
      </c>
    </row>
    <row r="50" spans="3:6">
      <c r="C50" s="5" t="s">
        <v>58</v>
      </c>
      <c r="D50" s="4" t="s">
        <v>45</v>
      </c>
      <c r="E50" s="4" t="s">
        <v>76</v>
      </c>
      <c r="F50" s="4" t="s">
        <v>222</v>
      </c>
    </row>
    <row r="51" spans="3:6">
      <c r="C51" s="5" t="s">
        <v>62</v>
      </c>
      <c r="D51" s="4" t="s">
        <v>42</v>
      </c>
      <c r="E51" s="4" t="s">
        <v>74</v>
      </c>
      <c r="F51" s="4" t="s">
        <v>456</v>
      </c>
    </row>
    <row r="52" spans="3:6">
      <c r="C52" s="5" t="s">
        <v>62</v>
      </c>
      <c r="D52" s="4" t="s">
        <v>45</v>
      </c>
      <c r="E52" s="4" t="s">
        <v>154</v>
      </c>
      <c r="F52" s="4" t="s">
        <v>282</v>
      </c>
    </row>
    <row r="53" spans="3:6">
      <c r="C53" s="5" t="s">
        <v>62</v>
      </c>
      <c r="D53" s="4" t="s">
        <v>47</v>
      </c>
      <c r="E53" s="4" t="s">
        <v>151</v>
      </c>
      <c r="F53" s="4" t="s">
        <v>561</v>
      </c>
    </row>
    <row r="54" spans="3:6">
      <c r="C54" s="5" t="s">
        <v>62</v>
      </c>
      <c r="D54" s="4" t="s">
        <v>47</v>
      </c>
      <c r="E54" s="4" t="s">
        <v>76</v>
      </c>
      <c r="F54" s="4" t="s">
        <v>281</v>
      </c>
    </row>
    <row r="55" spans="3:6">
      <c r="C55" s="51" t="s">
        <v>58</v>
      </c>
      <c r="D55" s="52" t="s">
        <v>45</v>
      </c>
      <c r="E55" s="52" t="s">
        <v>154</v>
      </c>
      <c r="F55" s="52" t="s">
        <v>562</v>
      </c>
    </row>
    <row r="56" spans="3:6">
      <c r="C56" s="5"/>
      <c r="D56" s="4"/>
      <c r="E56" s="4"/>
      <c r="F56" s="4"/>
    </row>
    <row r="57" spans="3:6">
      <c r="C57" s="5"/>
      <c r="D57" s="4"/>
      <c r="E57" s="4"/>
      <c r="F57" s="4"/>
    </row>
    <row r="58" spans="3:6">
      <c r="C58" s="5"/>
      <c r="D58" s="4"/>
      <c r="E58" s="4"/>
      <c r="F58" s="4"/>
    </row>
    <row r="59" spans="3:6">
      <c r="C59" s="5"/>
      <c r="D59" s="4"/>
      <c r="E59" s="4"/>
      <c r="F59" s="4"/>
    </row>
    <row r="60" spans="3:6">
      <c r="C60" s="5"/>
      <c r="D60" s="4"/>
      <c r="E60" s="4"/>
      <c r="F60" s="4"/>
    </row>
    <row r="61" spans="3:6">
      <c r="C61" s="5"/>
      <c r="D61" s="4"/>
      <c r="E61" s="4"/>
      <c r="F61" s="4"/>
    </row>
    <row r="62" spans="3:6">
      <c r="C62" s="5"/>
      <c r="D62" s="4"/>
      <c r="E62" s="4"/>
      <c r="F62" s="4"/>
    </row>
    <row r="63" spans="3:6">
      <c r="C63" s="5"/>
      <c r="D63" s="4"/>
      <c r="E63" s="4"/>
      <c r="F63" s="4"/>
    </row>
    <row r="64" spans="3:6">
      <c r="C64" s="5"/>
      <c r="D64" s="4"/>
      <c r="E64" s="4"/>
      <c r="F64" s="4"/>
    </row>
    <row r="65" spans="2:6">
      <c r="C65" s="5"/>
      <c r="D65" s="4"/>
      <c r="E65" s="4"/>
      <c r="F65" s="4"/>
    </row>
    <row r="66" spans="2:6">
      <c r="C66" s="5"/>
      <c r="D66" s="4"/>
      <c r="E66" s="4"/>
      <c r="F66" s="4"/>
    </row>
    <row r="69" spans="2:6" ht="18.75">
      <c r="C69" s="30" t="s">
        <v>87</v>
      </c>
    </row>
    <row r="70" spans="2:6">
      <c r="B70" t="s">
        <v>88</v>
      </c>
      <c r="C70" s="28" t="s">
        <v>89</v>
      </c>
      <c r="D70" s="28" t="s">
        <v>90</v>
      </c>
      <c r="E70" s="28" t="s">
        <v>91</v>
      </c>
      <c r="F70" s="28" t="s">
        <v>92</v>
      </c>
    </row>
    <row r="71" spans="2:6">
      <c r="B71" s="37">
        <v>1</v>
      </c>
      <c r="C71" s="38">
        <v>1</v>
      </c>
      <c r="D71" s="15" t="s">
        <v>563</v>
      </c>
      <c r="E71" s="16" t="s">
        <v>564</v>
      </c>
      <c r="F71" s="17" t="s">
        <v>565</v>
      </c>
    </row>
    <row r="72" spans="2:6">
      <c r="B72" s="37">
        <v>1</v>
      </c>
      <c r="C72" s="38">
        <v>2</v>
      </c>
      <c r="D72" s="18" t="s">
        <v>566</v>
      </c>
      <c r="E72" s="19" t="s">
        <v>567</v>
      </c>
      <c r="F72" s="20" t="s">
        <v>568</v>
      </c>
    </row>
    <row r="73" spans="2:6">
      <c r="B73" s="37">
        <v>1</v>
      </c>
      <c r="C73" s="38">
        <v>3</v>
      </c>
      <c r="D73" s="18" t="s">
        <v>569</v>
      </c>
      <c r="E73" s="19" t="s">
        <v>570</v>
      </c>
      <c r="F73" s="20" t="s">
        <v>571</v>
      </c>
    </row>
    <row r="74" spans="2:6">
      <c r="B74" s="37">
        <v>1</v>
      </c>
      <c r="C74" s="38">
        <v>4</v>
      </c>
      <c r="D74" s="18" t="s">
        <v>572</v>
      </c>
      <c r="E74" s="19" t="s">
        <v>573</v>
      </c>
      <c r="F74" s="20" t="s">
        <v>574</v>
      </c>
    </row>
    <row r="75" spans="2:6">
      <c r="B75" s="37">
        <v>1</v>
      </c>
      <c r="C75" s="38">
        <v>5</v>
      </c>
      <c r="D75" s="18" t="s">
        <v>575</v>
      </c>
      <c r="E75" s="19" t="s">
        <v>576</v>
      </c>
      <c r="F75" s="20" t="s">
        <v>577</v>
      </c>
    </row>
    <row r="76" spans="2:6">
      <c r="B76" s="37">
        <v>1</v>
      </c>
      <c r="C76" s="38">
        <v>6</v>
      </c>
      <c r="D76" s="18" t="s">
        <v>578</v>
      </c>
      <c r="E76" s="19" t="s">
        <v>579</v>
      </c>
      <c r="F76" s="26" t="s">
        <v>580</v>
      </c>
    </row>
    <row r="77" spans="2:6">
      <c r="B77" s="37">
        <v>1</v>
      </c>
      <c r="C77" s="38">
        <v>7</v>
      </c>
      <c r="D77" s="18" t="s">
        <v>581</v>
      </c>
      <c r="E77" s="19" t="s">
        <v>247</v>
      </c>
      <c r="F77" s="20" t="s">
        <v>248</v>
      </c>
    </row>
    <row r="78" spans="2:6">
      <c r="B78" s="37">
        <v>1</v>
      </c>
      <c r="C78" s="38">
        <v>8</v>
      </c>
      <c r="D78" s="18" t="s">
        <v>582</v>
      </c>
      <c r="E78" s="19" t="s">
        <v>583</v>
      </c>
      <c r="F78" s="20" t="s">
        <v>584</v>
      </c>
    </row>
    <row r="79" spans="2:6">
      <c r="B79" s="37">
        <v>1</v>
      </c>
      <c r="C79" s="38">
        <v>9</v>
      </c>
      <c r="D79" s="18" t="s">
        <v>585</v>
      </c>
      <c r="E79" s="19" t="s">
        <v>586</v>
      </c>
      <c r="F79" s="20" t="s">
        <v>587</v>
      </c>
    </row>
    <row r="80" spans="2:6">
      <c r="B80" s="37">
        <v>1</v>
      </c>
      <c r="C80" s="38">
        <v>10</v>
      </c>
      <c r="D80" s="18" t="s">
        <v>588</v>
      </c>
      <c r="E80" s="19" t="s">
        <v>589</v>
      </c>
      <c r="F80" s="20" t="s">
        <v>25</v>
      </c>
    </row>
    <row r="81" spans="2:6">
      <c r="B81" s="37">
        <v>1</v>
      </c>
      <c r="C81" s="38">
        <v>11</v>
      </c>
      <c r="D81" s="18" t="s">
        <v>590</v>
      </c>
      <c r="E81" s="19" t="s">
        <v>591</v>
      </c>
      <c r="F81" s="20" t="s">
        <v>592</v>
      </c>
    </row>
    <row r="82" spans="2:6">
      <c r="B82" s="37">
        <v>1</v>
      </c>
      <c r="C82" s="38">
        <v>12</v>
      </c>
      <c r="D82" s="22" t="s">
        <v>593</v>
      </c>
      <c r="E82" s="23" t="s">
        <v>594</v>
      </c>
      <c r="F82" s="24" t="s">
        <v>595</v>
      </c>
    </row>
    <row r="83" spans="2:6">
      <c r="B83" s="37">
        <v>2</v>
      </c>
      <c r="C83" s="38">
        <v>1</v>
      </c>
      <c r="D83" s="1"/>
      <c r="E83" s="1"/>
      <c r="F83" s="1"/>
    </row>
    <row r="84" spans="2:6">
      <c r="B84" s="37">
        <v>2</v>
      </c>
      <c r="C84" s="38">
        <v>2</v>
      </c>
      <c r="D84" s="1"/>
      <c r="E84" s="1"/>
      <c r="F84" s="1"/>
    </row>
    <row r="85" spans="2:6">
      <c r="B85" s="37">
        <v>2</v>
      </c>
      <c r="C85" s="38">
        <v>3</v>
      </c>
      <c r="D85" s="1"/>
      <c r="E85" s="1"/>
      <c r="F85" s="1"/>
    </row>
    <row r="86" spans="2:6">
      <c r="B86" s="37">
        <v>2</v>
      </c>
      <c r="C86" s="38">
        <v>4</v>
      </c>
      <c r="D86" s="1"/>
      <c r="E86" s="1"/>
      <c r="F86" s="1"/>
    </row>
    <row r="87" spans="2:6">
      <c r="B87" s="37">
        <v>2</v>
      </c>
      <c r="C87" s="38">
        <v>5</v>
      </c>
      <c r="D87" s="1"/>
      <c r="E87" s="1"/>
      <c r="F87" s="1"/>
    </row>
    <row r="88" spans="2:6">
      <c r="B88" s="37">
        <v>2</v>
      </c>
      <c r="C88" s="38">
        <v>6</v>
      </c>
      <c r="D88" s="1"/>
      <c r="E88" s="1"/>
      <c r="F88" s="1"/>
    </row>
    <row r="89" spans="2:6">
      <c r="B89" s="37">
        <v>2</v>
      </c>
      <c r="C89" s="38">
        <v>7</v>
      </c>
      <c r="D89" s="1"/>
      <c r="E89" s="1"/>
      <c r="F89" s="1"/>
    </row>
    <row r="90" spans="2:6">
      <c r="B90" s="37">
        <v>2</v>
      </c>
      <c r="C90" s="38">
        <v>8</v>
      </c>
      <c r="D90" s="1"/>
      <c r="E90" s="1"/>
      <c r="F90" s="1"/>
    </row>
    <row r="91" spans="2:6">
      <c r="B91" s="37">
        <v>2</v>
      </c>
      <c r="C91" s="38">
        <v>9</v>
      </c>
      <c r="D91" s="1"/>
      <c r="E91" s="1"/>
      <c r="F91" s="1"/>
    </row>
    <row r="92" spans="2:6">
      <c r="B92" s="37">
        <v>2</v>
      </c>
      <c r="C92" s="38">
        <v>10</v>
      </c>
      <c r="D92" s="1"/>
      <c r="E92" s="1"/>
      <c r="F92" s="1"/>
    </row>
    <row r="93" spans="2:6">
      <c r="B93" s="37">
        <v>2</v>
      </c>
      <c r="C93" s="38">
        <v>11</v>
      </c>
      <c r="D93" s="1"/>
      <c r="E93" s="1"/>
      <c r="F93" s="1"/>
    </row>
    <row r="94" spans="2:6">
      <c r="B94" s="37">
        <v>2</v>
      </c>
      <c r="C94" s="38">
        <v>12</v>
      </c>
      <c r="D94" s="1"/>
      <c r="E94" s="1"/>
      <c r="F94" s="1"/>
    </row>
  </sheetData>
  <sheetProtection sheet="1" objects="1" scenarios="1" formatCells="0" formatColumns="0" formatRows="0" insertHyperlinks="0"/>
  <dataValidations count="4">
    <dataValidation type="whole" showInputMessage="1" showErrorMessage="1" error="This is not a realistic number of contact hours please reduce" sqref="D20:D23" xr:uid="{739D2576-B862-4853-8753-8DF65DD1B8E0}">
      <formula1>0</formula1>
      <formula2>80</formula2>
    </dataValidation>
    <dataValidation type="whole" showInputMessage="1" showErrorMessage="1" error="This is not a realistic number of contact hours please change" sqref="D19" xr:uid="{FBECA4FB-7A34-4FDD-80A9-474CB8B74418}">
      <formula1>0</formula1>
      <formula2>80</formula2>
    </dataValidation>
    <dataValidation type="list" allowBlank="1" showInputMessage="1" showErrorMessage="1" sqref="E38:E41" xr:uid="{A62A3AA1-D3B0-45A3-A998-2D56857427B0}">
      <formula1>INDIRECT("LISTAssess[Assessment Specific]")</formula1>
    </dataValidation>
    <dataValidation type="list" allowBlank="1" showInputMessage="1" showErrorMessage="1" sqref="F46:F54 F56:F66" xr:uid="{18E884D7-F12C-48DC-A53D-24BA4F0CF85C}">
      <formula1>INDIRECT(VLOOKUP($E46, SkillNameMap, 2, 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A52E779B-E821-4CC1-9128-54996FA802EC}">
          <x14:formula1>
            <xm:f>LISTS!$C$26:$C$37</xm:f>
          </x14:formula1>
          <xm:sqref>D14</xm:sqref>
        </x14:dataValidation>
        <x14:dataValidation type="list" allowBlank="1" showInputMessage="1" showErrorMessage="1" xr:uid="{A5CAE7BB-8764-4881-8FF8-F1033AED8BE0}">
          <x14:formula1>
            <xm:f>LISTS!$C$17:$C$22</xm:f>
          </x14:formula1>
          <xm:sqref>D13</xm:sqref>
        </x14:dataValidation>
        <x14:dataValidation type="list" allowBlank="1" showInputMessage="1" showErrorMessage="1" xr:uid="{07FDBC41-34BD-47AA-9E59-E456FC441771}">
          <x14:formula1>
            <xm:f>LISTS!$C$7:$C$9</xm:f>
          </x14:formula1>
          <xm:sqref>D10</xm:sqref>
        </x14:dataValidation>
        <x14:dataValidation type="list" allowBlank="1" showInputMessage="1" showErrorMessage="1" xr:uid="{35EAF739-973D-4E61-84C4-4B4FF2170971}">
          <x14:formula1>
            <xm:f>LISTS!$C$11:$C$15</xm:f>
          </x14:formula1>
          <xm:sqref>D11</xm:sqref>
        </x14:dataValidation>
        <x14:dataValidation type="list" allowBlank="1" showInputMessage="1" showErrorMessage="1" xr:uid="{90A7C72D-3610-4C02-9AF7-59AF8571FA64}">
          <x14:formula1>
            <xm:f>LISTS!$G$7:$G$11</xm:f>
          </x14:formula1>
          <xm:sqref>D38:D42</xm:sqref>
        </x14:dataValidation>
        <x14:dataValidation type="list" allowBlank="1" showInputMessage="1" showErrorMessage="1" xr:uid="{1DC85910-ED19-4EA2-94B1-66EC223ACFC1}">
          <x14:formula1>
            <xm:f>LISTS!$E$7:$E$11</xm:f>
          </x14:formula1>
          <xm:sqref>D46:D54 D56:D66</xm:sqref>
        </x14:dataValidation>
        <x14:dataValidation type="list" allowBlank="1" showInputMessage="1" showErrorMessage="1" xr:uid="{2751552D-9CB1-43E7-81A0-A1705BDEC705}">
          <x14:formula1>
            <xm:f>LISTS!$J$7:$J$16</xm:f>
          </x14:formula1>
          <xm:sqref>E46:E54 E56:E66</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5D08AE-A3E7-4649-AF94-9902578E541A}">
  <sheetPr codeName="Sheet10"/>
  <dimension ref="B2:H94"/>
  <sheetViews>
    <sheetView showGridLines="0" topLeftCell="B29" zoomScale="85" zoomScaleNormal="85" workbookViewId="0">
      <selection activeCell="C58" sqref="C58:F59"/>
    </sheetView>
  </sheetViews>
  <sheetFormatPr defaultRowHeight="15"/>
  <cols>
    <col min="3" max="3" width="33.28515625" customWidth="1"/>
    <col min="4" max="4" width="51.5703125" customWidth="1"/>
    <col min="5" max="5" width="67.28515625" customWidth="1"/>
    <col min="6" max="6" width="63.140625" customWidth="1"/>
    <col min="7" max="7" width="12.42578125" customWidth="1"/>
    <col min="8" max="8" width="15.5703125" customWidth="1"/>
    <col min="9" max="9" width="14.7109375" customWidth="1"/>
  </cols>
  <sheetData>
    <row r="2" spans="2:6" ht="26.25">
      <c r="C2" s="27" t="str">
        <f>D7</f>
        <v>6004SPS</v>
      </c>
      <c r="D2" s="27" t="str">
        <f>D8</f>
        <v>Sport Supplements and Contemporary Issues</v>
      </c>
    </row>
    <row r="3" spans="2:6">
      <c r="B3" s="28"/>
      <c r="C3" s="28"/>
    </row>
    <row r="4" spans="2:6">
      <c r="B4" s="29"/>
      <c r="C4" s="29"/>
    </row>
    <row r="5" spans="2:6" ht="18.75">
      <c r="B5" s="29"/>
      <c r="C5" s="30" t="s">
        <v>0</v>
      </c>
    </row>
    <row r="6" spans="2:6">
      <c r="B6" s="29"/>
      <c r="C6" s="31" t="s">
        <v>1</v>
      </c>
      <c r="D6" s="32" t="s">
        <v>2</v>
      </c>
      <c r="E6" s="32"/>
      <c r="F6" t="s">
        <v>3</v>
      </c>
    </row>
    <row r="7" spans="2:6">
      <c r="B7" s="29"/>
      <c r="C7" s="36" t="s">
        <v>4</v>
      </c>
      <c r="D7" s="1" t="s">
        <v>596</v>
      </c>
      <c r="E7" s="32"/>
      <c r="F7" s="6" t="s">
        <v>597</v>
      </c>
    </row>
    <row r="8" spans="2:6">
      <c r="B8" s="29"/>
      <c r="C8" s="36" t="s">
        <v>7</v>
      </c>
      <c r="D8" s="6" t="s">
        <v>598</v>
      </c>
      <c r="E8" s="32"/>
      <c r="F8" s="4"/>
    </row>
    <row r="9" spans="2:6">
      <c r="C9" s="36" t="s">
        <v>9</v>
      </c>
      <c r="D9" s="1">
        <v>20</v>
      </c>
      <c r="E9" s="32"/>
    </row>
    <row r="10" spans="2:6">
      <c r="C10" s="36" t="s">
        <v>10</v>
      </c>
      <c r="D10" s="1">
        <v>1</v>
      </c>
      <c r="E10" s="32"/>
      <c r="F10" t="s">
        <v>12</v>
      </c>
    </row>
    <row r="11" spans="2:6">
      <c r="C11" s="36" t="s">
        <v>13</v>
      </c>
      <c r="D11" s="1">
        <v>6</v>
      </c>
      <c r="E11" s="32"/>
      <c r="F11" s="6" t="s">
        <v>599</v>
      </c>
    </row>
    <row r="12" spans="2:6">
      <c r="C12" s="36" t="s">
        <v>15</v>
      </c>
      <c r="D12" s="1" t="s">
        <v>600</v>
      </c>
      <c r="E12" s="32"/>
      <c r="F12" s="4"/>
    </row>
    <row r="13" spans="2:6">
      <c r="C13" s="36" t="s">
        <v>17</v>
      </c>
      <c r="D13" s="1" t="s">
        <v>134</v>
      </c>
      <c r="E13" s="32"/>
      <c r="F13" s="4"/>
    </row>
    <row r="14" spans="2:6">
      <c r="C14" s="36" t="s">
        <v>19</v>
      </c>
      <c r="D14" s="1" t="s">
        <v>20</v>
      </c>
      <c r="E14" s="32"/>
    </row>
    <row r="15" spans="2:6">
      <c r="C15" s="31"/>
      <c r="D15" s="32"/>
      <c r="E15" s="32"/>
      <c r="F15" t="s">
        <v>21</v>
      </c>
    </row>
    <row r="16" spans="2:6">
      <c r="C16" s="31"/>
      <c r="D16" s="32"/>
      <c r="E16" s="32"/>
      <c r="F16" s="6" t="s">
        <v>601</v>
      </c>
    </row>
    <row r="17" spans="3:6" ht="18.75">
      <c r="C17" s="30" t="s">
        <v>23</v>
      </c>
      <c r="D17" s="32"/>
      <c r="E17" s="32"/>
      <c r="F17" s="4"/>
    </row>
    <row r="18" spans="3:6">
      <c r="C18" s="31" t="s">
        <v>24</v>
      </c>
      <c r="D18" s="28" t="s">
        <v>23</v>
      </c>
      <c r="E18" s="32"/>
      <c r="F18" s="4"/>
    </row>
    <row r="19" spans="3:6">
      <c r="C19" s="36" t="s">
        <v>25</v>
      </c>
      <c r="D19" s="2">
        <v>22</v>
      </c>
      <c r="E19" s="32"/>
      <c r="F19" s="4"/>
    </row>
    <row r="20" spans="3:6">
      <c r="C20" s="36" t="s">
        <v>26</v>
      </c>
      <c r="D20" s="2"/>
      <c r="E20" s="32"/>
      <c r="F20" s="4"/>
    </row>
    <row r="21" spans="3:6">
      <c r="C21" s="36" t="s">
        <v>27</v>
      </c>
      <c r="D21" s="2">
        <v>7</v>
      </c>
      <c r="E21" s="32"/>
    </row>
    <row r="22" spans="3:6">
      <c r="C22" s="36" t="s">
        <v>28</v>
      </c>
      <c r="D22" s="2">
        <v>11</v>
      </c>
      <c r="E22" s="32"/>
      <c r="F22" t="s">
        <v>29</v>
      </c>
    </row>
    <row r="23" spans="3:6">
      <c r="C23" s="36" t="s">
        <v>30</v>
      </c>
      <c r="D23" s="2"/>
      <c r="E23" s="32"/>
      <c r="F23" s="8" t="s">
        <v>602</v>
      </c>
    </row>
    <row r="24" spans="3:6">
      <c r="C24" s="36" t="s">
        <v>32</v>
      </c>
      <c r="D24" s="28">
        <f>SUM(D19:D23)</f>
        <v>40</v>
      </c>
      <c r="E24" s="32"/>
      <c r="F24" s="8" t="s">
        <v>603</v>
      </c>
    </row>
    <row r="25" spans="3:6">
      <c r="F25" s="8" t="s">
        <v>604</v>
      </c>
    </row>
    <row r="26" spans="3:6">
      <c r="F26" s="8" t="s">
        <v>605</v>
      </c>
    </row>
    <row r="27" spans="3:6" ht="18.75">
      <c r="C27" s="30" t="s">
        <v>36</v>
      </c>
      <c r="D27" s="33" t="s">
        <v>37</v>
      </c>
      <c r="F27" s="8" t="s">
        <v>606</v>
      </c>
    </row>
    <row r="28" spans="3:6">
      <c r="C28" s="31" t="s">
        <v>39</v>
      </c>
      <c r="D28" s="31" t="s">
        <v>40</v>
      </c>
      <c r="E28" s="31"/>
      <c r="F28" s="8" t="s">
        <v>607</v>
      </c>
    </row>
    <row r="29" spans="3:6">
      <c r="C29" s="36" t="s">
        <v>42</v>
      </c>
      <c r="D29" s="8" t="s">
        <v>608</v>
      </c>
      <c r="E29" s="32"/>
      <c r="F29" s="8"/>
    </row>
    <row r="30" spans="3:6">
      <c r="C30" s="36" t="s">
        <v>45</v>
      </c>
      <c r="D30" s="25" t="s">
        <v>609</v>
      </c>
      <c r="E30" s="32"/>
      <c r="F30" s="4"/>
    </row>
    <row r="31" spans="3:6">
      <c r="C31" s="36" t="s">
        <v>47</v>
      </c>
      <c r="D31" s="25" t="s">
        <v>610</v>
      </c>
      <c r="E31" s="32"/>
      <c r="F31" s="4"/>
    </row>
    <row r="32" spans="3:6">
      <c r="C32" s="36" t="s">
        <v>49</v>
      </c>
      <c r="D32" s="1"/>
      <c r="E32" s="32"/>
      <c r="F32" s="4"/>
    </row>
    <row r="33" spans="3:8">
      <c r="C33" s="36" t="s">
        <v>50</v>
      </c>
      <c r="D33" s="1"/>
      <c r="E33" s="32"/>
      <c r="F33" s="4"/>
    </row>
    <row r="36" spans="3:8" ht="18.75">
      <c r="C36" s="30" t="s">
        <v>51</v>
      </c>
    </row>
    <row r="37" spans="3:8">
      <c r="C37" s="31" t="s">
        <v>52</v>
      </c>
      <c r="D37" s="31" t="s">
        <v>53</v>
      </c>
      <c r="E37" s="31" t="s">
        <v>54</v>
      </c>
      <c r="F37" s="31" t="s">
        <v>55</v>
      </c>
      <c r="G37" s="31" t="s">
        <v>56</v>
      </c>
      <c r="H37" s="31" t="s">
        <v>57</v>
      </c>
    </row>
    <row r="38" spans="3:8">
      <c r="C38" s="36" t="s">
        <v>58</v>
      </c>
      <c r="D38" s="1" t="s">
        <v>148</v>
      </c>
      <c r="E38" s="1" t="s">
        <v>611</v>
      </c>
      <c r="F38" s="6" t="s">
        <v>612</v>
      </c>
      <c r="G38" s="3">
        <v>0.5</v>
      </c>
      <c r="H38" s="1">
        <v>17</v>
      </c>
    </row>
    <row r="39" spans="3:8">
      <c r="C39" s="36" t="s">
        <v>62</v>
      </c>
      <c r="D39" s="1" t="s">
        <v>216</v>
      </c>
      <c r="E39" s="1" t="s">
        <v>613</v>
      </c>
      <c r="F39" s="8" t="s">
        <v>614</v>
      </c>
      <c r="G39" s="3">
        <v>0.5</v>
      </c>
      <c r="H39" s="1">
        <v>12</v>
      </c>
    </row>
    <row r="40" spans="3:8">
      <c r="C40" s="36" t="s">
        <v>65</v>
      </c>
      <c r="D40" s="4"/>
      <c r="E40" s="4"/>
      <c r="F40" s="4"/>
      <c r="G40" s="4"/>
      <c r="H40" s="4"/>
    </row>
    <row r="41" spans="3:8">
      <c r="C41" s="36" t="s">
        <v>66</v>
      </c>
      <c r="D41" s="4"/>
      <c r="E41" s="4"/>
      <c r="F41" s="4"/>
      <c r="G41" s="4"/>
      <c r="H41" s="4"/>
    </row>
    <row r="42" spans="3:8">
      <c r="C42" s="31"/>
    </row>
    <row r="44" spans="3:8" ht="18.75">
      <c r="C44" s="30" t="s">
        <v>67</v>
      </c>
      <c r="D44" s="33"/>
    </row>
    <row r="45" spans="3:8">
      <c r="C45" s="28" t="s">
        <v>52</v>
      </c>
      <c r="D45" s="28" t="s">
        <v>39</v>
      </c>
      <c r="E45" s="28" t="s">
        <v>68</v>
      </c>
      <c r="F45" s="28" t="s">
        <v>69</v>
      </c>
    </row>
    <row r="46" spans="3:8">
      <c r="C46" s="5" t="s">
        <v>58</v>
      </c>
      <c r="D46" s="4" t="s">
        <v>42</v>
      </c>
      <c r="E46" s="4" t="s">
        <v>151</v>
      </c>
      <c r="F46" s="4" t="s">
        <v>219</v>
      </c>
    </row>
    <row r="47" spans="3:8">
      <c r="C47" s="5" t="s">
        <v>58</v>
      </c>
      <c r="D47" s="4" t="s">
        <v>45</v>
      </c>
      <c r="E47" s="4" t="s">
        <v>151</v>
      </c>
      <c r="F47" s="4" t="s">
        <v>224</v>
      </c>
    </row>
    <row r="48" spans="3:8">
      <c r="C48" s="5" t="s">
        <v>58</v>
      </c>
      <c r="D48" s="4" t="s">
        <v>45</v>
      </c>
      <c r="E48" s="4" t="s">
        <v>154</v>
      </c>
      <c r="F48" s="4" t="s">
        <v>562</v>
      </c>
    </row>
    <row r="49" spans="3:6">
      <c r="C49" s="5" t="s">
        <v>58</v>
      </c>
      <c r="D49" s="4" t="s">
        <v>45</v>
      </c>
      <c r="E49" s="4" t="s">
        <v>78</v>
      </c>
      <c r="F49" s="4" t="s">
        <v>79</v>
      </c>
    </row>
    <row r="50" spans="3:6">
      <c r="C50" s="5" t="s">
        <v>62</v>
      </c>
      <c r="D50" s="4" t="s">
        <v>42</v>
      </c>
      <c r="E50" s="4" t="s">
        <v>72</v>
      </c>
      <c r="F50" s="4" t="s">
        <v>284</v>
      </c>
    </row>
    <row r="51" spans="3:6">
      <c r="C51" s="5" t="s">
        <v>62</v>
      </c>
      <c r="D51" s="4" t="s">
        <v>47</v>
      </c>
      <c r="E51" s="4" t="s">
        <v>74</v>
      </c>
      <c r="F51" s="4" t="s">
        <v>153</v>
      </c>
    </row>
    <row r="52" spans="3:6">
      <c r="C52" s="5" t="s">
        <v>62</v>
      </c>
      <c r="D52" s="4" t="s">
        <v>47</v>
      </c>
      <c r="E52" s="4" t="s">
        <v>154</v>
      </c>
      <c r="F52" s="4" t="s">
        <v>562</v>
      </c>
    </row>
    <row r="53" spans="3:6">
      <c r="C53" s="5" t="s">
        <v>62</v>
      </c>
      <c r="D53" s="4" t="s">
        <v>47</v>
      </c>
      <c r="E53" s="4" t="s">
        <v>160</v>
      </c>
      <c r="F53" s="4" t="s">
        <v>162</v>
      </c>
    </row>
    <row r="54" spans="3:6">
      <c r="C54" s="5" t="s">
        <v>62</v>
      </c>
      <c r="D54" s="4" t="s">
        <v>47</v>
      </c>
      <c r="E54" s="4" t="s">
        <v>78</v>
      </c>
      <c r="F54" s="4" t="s">
        <v>615</v>
      </c>
    </row>
    <row r="55" spans="3:6">
      <c r="C55" s="5" t="s">
        <v>58</v>
      </c>
      <c r="D55" s="4" t="s">
        <v>42</v>
      </c>
      <c r="E55" s="4" t="s">
        <v>151</v>
      </c>
      <c r="F55" s="4" t="s">
        <v>616</v>
      </c>
    </row>
    <row r="56" spans="3:6">
      <c r="C56" s="5" t="s">
        <v>58</v>
      </c>
      <c r="D56" s="4" t="s">
        <v>45</v>
      </c>
      <c r="E56" s="4" t="s">
        <v>72</v>
      </c>
      <c r="F56" s="4" t="s">
        <v>402</v>
      </c>
    </row>
    <row r="57" spans="3:6">
      <c r="C57" s="5" t="s">
        <v>58</v>
      </c>
      <c r="D57" s="4" t="s">
        <v>45</v>
      </c>
      <c r="E57" s="4" t="s">
        <v>85</v>
      </c>
      <c r="F57" s="4" t="s">
        <v>86</v>
      </c>
    </row>
    <row r="58" spans="3:6">
      <c r="C58" s="51" t="s">
        <v>58</v>
      </c>
      <c r="D58" s="52" t="s">
        <v>45</v>
      </c>
      <c r="E58" s="52" t="s">
        <v>85</v>
      </c>
      <c r="F58" s="52" t="s">
        <v>285</v>
      </c>
    </row>
    <row r="59" spans="3:6">
      <c r="C59" s="53" t="s">
        <v>62</v>
      </c>
      <c r="D59" s="54" t="s">
        <v>47</v>
      </c>
      <c r="E59" s="54" t="s">
        <v>70</v>
      </c>
      <c r="F59" s="54" t="s">
        <v>617</v>
      </c>
    </row>
    <row r="60" spans="3:6">
      <c r="C60" s="5"/>
      <c r="D60" s="4"/>
      <c r="E60" s="4"/>
      <c r="F60" s="4"/>
    </row>
    <row r="61" spans="3:6">
      <c r="C61" s="5"/>
      <c r="D61" s="4"/>
      <c r="E61" s="4"/>
      <c r="F61" s="4"/>
    </row>
    <row r="62" spans="3:6">
      <c r="C62" s="5"/>
      <c r="D62" s="4"/>
      <c r="E62" s="4"/>
      <c r="F62" s="4"/>
    </row>
    <row r="63" spans="3:6">
      <c r="C63" s="5"/>
      <c r="D63" s="4"/>
      <c r="E63" s="4"/>
      <c r="F63" s="4"/>
    </row>
    <row r="64" spans="3:6">
      <c r="C64" s="5"/>
      <c r="D64" s="4"/>
      <c r="E64" s="4"/>
      <c r="F64" s="4"/>
    </row>
    <row r="65" spans="2:6">
      <c r="C65" s="5"/>
      <c r="D65" s="4"/>
      <c r="E65" s="4"/>
      <c r="F65" s="4"/>
    </row>
    <row r="66" spans="2:6">
      <c r="C66" s="5"/>
      <c r="D66" s="4"/>
      <c r="E66" s="4"/>
      <c r="F66" s="4"/>
    </row>
    <row r="69" spans="2:6" ht="18.75">
      <c r="C69" s="30" t="s">
        <v>87</v>
      </c>
    </row>
    <row r="70" spans="2:6">
      <c r="B70" t="s">
        <v>88</v>
      </c>
      <c r="C70" s="28" t="s">
        <v>89</v>
      </c>
      <c r="D70" s="28" t="s">
        <v>90</v>
      </c>
      <c r="E70" s="28" t="s">
        <v>91</v>
      </c>
      <c r="F70" s="28" t="s">
        <v>92</v>
      </c>
    </row>
    <row r="71" spans="2:6">
      <c r="B71" s="37">
        <v>1</v>
      </c>
      <c r="C71" s="38">
        <v>1</v>
      </c>
      <c r="D71" s="15" t="s">
        <v>618</v>
      </c>
      <c r="E71" s="16" t="s">
        <v>619</v>
      </c>
      <c r="F71" s="17" t="s">
        <v>620</v>
      </c>
    </row>
    <row r="72" spans="2:6">
      <c r="B72" s="37">
        <v>1</v>
      </c>
      <c r="C72" s="38">
        <v>2</v>
      </c>
      <c r="D72" s="18" t="s">
        <v>621</v>
      </c>
      <c r="E72" s="19" t="s">
        <v>622</v>
      </c>
      <c r="F72" s="20" t="s">
        <v>623</v>
      </c>
    </row>
    <row r="73" spans="2:6">
      <c r="B73" s="37">
        <v>1</v>
      </c>
      <c r="C73" s="38">
        <v>3</v>
      </c>
      <c r="D73" s="18" t="s">
        <v>624</v>
      </c>
      <c r="E73" s="19" t="s">
        <v>622</v>
      </c>
      <c r="F73" s="20" t="s">
        <v>625</v>
      </c>
    </row>
    <row r="74" spans="2:6">
      <c r="B74" s="37">
        <v>1</v>
      </c>
      <c r="C74" s="38">
        <v>4</v>
      </c>
      <c r="D74" s="18" t="s">
        <v>626</v>
      </c>
      <c r="E74" s="19" t="s">
        <v>622</v>
      </c>
      <c r="F74" s="20" t="s">
        <v>627</v>
      </c>
    </row>
    <row r="75" spans="2:6">
      <c r="B75" s="37">
        <v>1</v>
      </c>
      <c r="C75" s="38">
        <v>5</v>
      </c>
      <c r="D75" s="18" t="s">
        <v>628</v>
      </c>
      <c r="E75" s="19" t="s">
        <v>629</v>
      </c>
      <c r="F75" s="20" t="s">
        <v>630</v>
      </c>
    </row>
    <row r="76" spans="2:6">
      <c r="B76" s="37">
        <v>1</v>
      </c>
      <c r="C76" s="38">
        <v>6</v>
      </c>
      <c r="D76" s="18" t="s">
        <v>631</v>
      </c>
      <c r="E76" s="21" t="s">
        <v>632</v>
      </c>
      <c r="F76" s="20" t="s">
        <v>633</v>
      </c>
    </row>
    <row r="77" spans="2:6">
      <c r="B77" s="37">
        <v>1</v>
      </c>
      <c r="C77" s="38">
        <v>7</v>
      </c>
      <c r="D77" s="18" t="s">
        <v>634</v>
      </c>
      <c r="E77" s="19" t="s">
        <v>635</v>
      </c>
      <c r="F77" s="20" t="s">
        <v>636</v>
      </c>
    </row>
    <row r="78" spans="2:6">
      <c r="B78" s="37">
        <v>1</v>
      </c>
      <c r="C78" s="38">
        <v>8</v>
      </c>
      <c r="D78" s="18" t="s">
        <v>637</v>
      </c>
      <c r="E78" s="19" t="s">
        <v>638</v>
      </c>
      <c r="F78" s="20" t="s">
        <v>639</v>
      </c>
    </row>
    <row r="79" spans="2:6">
      <c r="B79" s="37">
        <v>1</v>
      </c>
      <c r="C79" s="38">
        <v>9</v>
      </c>
      <c r="D79" s="18" t="s">
        <v>640</v>
      </c>
      <c r="E79" s="19" t="s">
        <v>641</v>
      </c>
      <c r="F79" s="20" t="s">
        <v>642</v>
      </c>
    </row>
    <row r="80" spans="2:6">
      <c r="B80" s="37">
        <v>1</v>
      </c>
      <c r="C80" s="38">
        <v>10</v>
      </c>
      <c r="D80" s="18" t="s">
        <v>643</v>
      </c>
      <c r="E80" s="19" t="s">
        <v>644</v>
      </c>
      <c r="F80" s="20" t="s">
        <v>642</v>
      </c>
    </row>
    <row r="81" spans="2:6">
      <c r="B81" s="37">
        <v>1</v>
      </c>
      <c r="C81" s="38">
        <v>11</v>
      </c>
      <c r="D81" s="18" t="s">
        <v>645</v>
      </c>
      <c r="E81" s="19" t="s">
        <v>646</v>
      </c>
      <c r="F81" s="20" t="s">
        <v>642</v>
      </c>
    </row>
    <row r="82" spans="2:6">
      <c r="B82" s="37">
        <v>1</v>
      </c>
      <c r="C82" s="38">
        <v>12</v>
      </c>
      <c r="D82" s="22" t="s">
        <v>647</v>
      </c>
      <c r="E82" s="23" t="s">
        <v>648</v>
      </c>
      <c r="F82" s="24" t="s">
        <v>649</v>
      </c>
    </row>
    <row r="83" spans="2:6">
      <c r="B83" s="37">
        <v>2</v>
      </c>
      <c r="C83" s="38">
        <v>1</v>
      </c>
      <c r="D83" s="1"/>
      <c r="E83" s="1"/>
      <c r="F83" s="1"/>
    </row>
    <row r="84" spans="2:6">
      <c r="B84" s="37">
        <v>2</v>
      </c>
      <c r="C84" s="38">
        <v>2</v>
      </c>
      <c r="D84" s="1"/>
      <c r="E84" s="1"/>
      <c r="F84" s="1"/>
    </row>
    <row r="85" spans="2:6">
      <c r="B85" s="37">
        <v>2</v>
      </c>
      <c r="C85" s="38">
        <v>3</v>
      </c>
      <c r="D85" s="1"/>
      <c r="E85" s="1"/>
      <c r="F85" s="1"/>
    </row>
    <row r="86" spans="2:6">
      <c r="B86" s="37">
        <v>2</v>
      </c>
      <c r="C86" s="38">
        <v>4</v>
      </c>
      <c r="D86" s="1"/>
      <c r="E86" s="1"/>
      <c r="F86" s="1"/>
    </row>
    <row r="87" spans="2:6">
      <c r="B87" s="37">
        <v>2</v>
      </c>
      <c r="C87" s="38">
        <v>5</v>
      </c>
      <c r="D87" s="1"/>
      <c r="E87" s="1"/>
      <c r="F87" s="1"/>
    </row>
    <row r="88" spans="2:6">
      <c r="B88" s="37">
        <v>2</v>
      </c>
      <c r="C88" s="38">
        <v>6</v>
      </c>
      <c r="D88" s="1"/>
      <c r="E88" s="1"/>
      <c r="F88" s="1"/>
    </row>
    <row r="89" spans="2:6">
      <c r="B89" s="37">
        <v>2</v>
      </c>
      <c r="C89" s="38">
        <v>7</v>
      </c>
      <c r="D89" s="1"/>
      <c r="E89" s="1"/>
      <c r="F89" s="1"/>
    </row>
    <row r="90" spans="2:6">
      <c r="B90" s="37">
        <v>2</v>
      </c>
      <c r="C90" s="38">
        <v>8</v>
      </c>
      <c r="D90" s="1"/>
      <c r="E90" s="1"/>
      <c r="F90" s="1"/>
    </row>
    <row r="91" spans="2:6">
      <c r="B91" s="37">
        <v>2</v>
      </c>
      <c r="C91" s="38">
        <v>9</v>
      </c>
      <c r="D91" s="1"/>
      <c r="E91" s="1"/>
      <c r="F91" s="1"/>
    </row>
    <row r="92" spans="2:6">
      <c r="B92" s="37">
        <v>2</v>
      </c>
      <c r="C92" s="38">
        <v>10</v>
      </c>
      <c r="D92" s="1"/>
      <c r="E92" s="1"/>
      <c r="F92" s="1"/>
    </row>
    <row r="93" spans="2:6">
      <c r="B93" s="37">
        <v>2</v>
      </c>
      <c r="C93" s="38">
        <v>11</v>
      </c>
      <c r="D93" s="1"/>
      <c r="E93" s="1"/>
      <c r="F93" s="1"/>
    </row>
    <row r="94" spans="2:6">
      <c r="B94" s="37">
        <v>2</v>
      </c>
      <c r="C94" s="38">
        <v>12</v>
      </c>
      <c r="D94" s="1"/>
      <c r="E94" s="1"/>
      <c r="F94" s="1"/>
    </row>
  </sheetData>
  <sheetProtection sheet="1" objects="1" scenarios="1" formatCells="0" formatColumns="0" formatRows="0" insertHyperlinks="0"/>
  <dataValidations count="4">
    <dataValidation type="list" allowBlank="1" showInputMessage="1" showErrorMessage="1" sqref="F46:F57 F60:F66" xr:uid="{892CDF0E-15A0-43A8-BD6A-62EF4D03C7D2}">
      <formula1>INDIRECT(VLOOKUP($E46, SkillNameMap, 2, FALSE))</formula1>
    </dataValidation>
    <dataValidation type="list" allowBlank="1" showInputMessage="1" showErrorMessage="1" sqref="E38:E41" xr:uid="{7994DC66-9754-47D3-A28B-C0A83A2EAC89}">
      <formula1>INDIRECT("LISTAssess[Assessment Specific]")</formula1>
    </dataValidation>
    <dataValidation type="whole" showInputMessage="1" showErrorMessage="1" error="This is not a realistic number of contact hours please change" sqref="D19" xr:uid="{5229BE75-B0E0-4077-8EF0-412E4F64E78E}">
      <formula1>0</formula1>
      <formula2>80</formula2>
    </dataValidation>
    <dataValidation type="whole" showInputMessage="1" showErrorMessage="1" error="This is not a realistic number of contact hours please reduce" sqref="D20:D23" xr:uid="{9C89F6C0-59B0-40A4-AD9B-FF2ACAB06DA5}">
      <formula1>0</formula1>
      <formula2>80</formula2>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7B9F6B16-6FF5-4E56-841A-1AD40DF95F22}">
          <x14:formula1>
            <xm:f>LISTS!$J$7:$J$16</xm:f>
          </x14:formula1>
          <xm:sqref>E46:E57 E60:E66</xm:sqref>
        </x14:dataValidation>
        <x14:dataValidation type="list" allowBlank="1" showInputMessage="1" showErrorMessage="1" xr:uid="{4F387FE4-F215-4DCB-AA99-F2CB3B064FA3}">
          <x14:formula1>
            <xm:f>LISTS!$E$7:$E$11</xm:f>
          </x14:formula1>
          <xm:sqref>D46:D57 D60:D66</xm:sqref>
        </x14:dataValidation>
        <x14:dataValidation type="list" allowBlank="1" showInputMessage="1" showErrorMessage="1" xr:uid="{A8E27691-70AC-4099-A10F-63879CDC28C5}">
          <x14:formula1>
            <xm:f>LISTS!$G$7:$G$11</xm:f>
          </x14:formula1>
          <xm:sqref>D38:D42</xm:sqref>
        </x14:dataValidation>
        <x14:dataValidation type="list" allowBlank="1" showInputMessage="1" showErrorMessage="1" xr:uid="{762F8CE2-7D51-4572-9F70-B773F934E29C}">
          <x14:formula1>
            <xm:f>LISTS!$C$11:$C$15</xm:f>
          </x14:formula1>
          <xm:sqref>D11</xm:sqref>
        </x14:dataValidation>
        <x14:dataValidation type="list" allowBlank="1" showInputMessage="1" showErrorMessage="1" xr:uid="{15E0481E-98A1-407D-8DFA-141CA07D0DE7}">
          <x14:formula1>
            <xm:f>LISTS!$C$7:$C$9</xm:f>
          </x14:formula1>
          <xm:sqref>D10</xm:sqref>
        </x14:dataValidation>
        <x14:dataValidation type="list" allowBlank="1" showInputMessage="1" showErrorMessage="1" xr:uid="{B3565A50-A55E-4ECA-ADB3-330480BE2D6B}">
          <x14:formula1>
            <xm:f>LISTS!$C$17:$C$22</xm:f>
          </x14:formula1>
          <xm:sqref>D13</xm:sqref>
        </x14:dataValidation>
        <x14:dataValidation type="list" allowBlank="1" showInputMessage="1" showErrorMessage="1" xr:uid="{37A004BF-BEA8-4BF2-93ED-5C37361A1B7D}">
          <x14:formula1>
            <xm:f>LISTS!$C$26:$C$37</xm:f>
          </x14:formula1>
          <xm:sqref>D14</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FA408C-EE1F-4BE4-988C-DF001F53BEA1}">
  <sheetPr codeName="Sheet11"/>
  <dimension ref="B2:H94"/>
  <sheetViews>
    <sheetView showGridLines="0" topLeftCell="A44" zoomScale="85" zoomScaleNormal="85" workbookViewId="0">
      <selection activeCell="C60" sqref="C60:F66"/>
    </sheetView>
  </sheetViews>
  <sheetFormatPr defaultRowHeight="15"/>
  <cols>
    <col min="3" max="3" width="33.28515625" customWidth="1"/>
    <col min="4" max="4" width="51.5703125" customWidth="1"/>
    <col min="5" max="5" width="67.28515625" customWidth="1"/>
    <col min="6" max="6" width="63.140625" customWidth="1"/>
    <col min="7" max="7" width="12.42578125" customWidth="1"/>
    <col min="8" max="8" width="15.5703125" customWidth="1"/>
    <col min="9" max="9" width="14.7109375" customWidth="1"/>
  </cols>
  <sheetData>
    <row r="2" spans="2:6" ht="26.25">
      <c r="C2" s="27" t="str">
        <f>D7</f>
        <v>6007SPS</v>
      </c>
      <c r="D2" s="27" t="str">
        <f>D8</f>
        <v>Sport Nutrition for Health, Adaptation and Recovery</v>
      </c>
    </row>
    <row r="3" spans="2:6">
      <c r="B3" s="28"/>
      <c r="C3" s="28"/>
    </row>
    <row r="4" spans="2:6">
      <c r="B4" s="29"/>
      <c r="C4" s="29"/>
    </row>
    <row r="5" spans="2:6" ht="18.75">
      <c r="B5" s="29"/>
      <c r="C5" s="30" t="s">
        <v>0</v>
      </c>
    </row>
    <row r="6" spans="2:6">
      <c r="B6" s="29"/>
      <c r="C6" s="31" t="s">
        <v>1</v>
      </c>
      <c r="D6" s="32" t="s">
        <v>2</v>
      </c>
      <c r="E6" s="32"/>
      <c r="F6" t="s">
        <v>3</v>
      </c>
    </row>
    <row r="7" spans="2:6">
      <c r="B7" s="29"/>
      <c r="C7" s="36" t="s">
        <v>4</v>
      </c>
      <c r="D7" s="1" t="s">
        <v>650</v>
      </c>
      <c r="E7" s="32"/>
      <c r="F7" s="6" t="s">
        <v>651</v>
      </c>
    </row>
    <row r="8" spans="2:6">
      <c r="B8" s="29"/>
      <c r="C8" s="36" t="s">
        <v>7</v>
      </c>
      <c r="D8" s="6" t="s">
        <v>652</v>
      </c>
      <c r="E8" s="32"/>
      <c r="F8" s="4"/>
    </row>
    <row r="9" spans="2:6">
      <c r="C9" s="36" t="s">
        <v>9</v>
      </c>
      <c r="D9" s="1">
        <v>20</v>
      </c>
      <c r="E9" s="32"/>
    </row>
    <row r="10" spans="2:6">
      <c r="C10" s="36" t="s">
        <v>10</v>
      </c>
      <c r="D10" s="1">
        <v>2</v>
      </c>
      <c r="E10" s="32"/>
      <c r="F10" t="s">
        <v>12</v>
      </c>
    </row>
    <row r="11" spans="2:6">
      <c r="C11" s="36" t="s">
        <v>13</v>
      </c>
      <c r="D11" s="1">
        <v>6</v>
      </c>
      <c r="E11" s="32"/>
      <c r="F11" s="6" t="s">
        <v>653</v>
      </c>
    </row>
    <row r="12" spans="2:6">
      <c r="C12" s="36" t="s">
        <v>15</v>
      </c>
      <c r="D12" s="1" t="s">
        <v>654</v>
      </c>
      <c r="E12" s="32"/>
      <c r="F12" s="4"/>
    </row>
    <row r="13" spans="2:6">
      <c r="C13" s="36" t="s">
        <v>17</v>
      </c>
      <c r="D13" s="1" t="s">
        <v>134</v>
      </c>
      <c r="E13" s="32"/>
      <c r="F13" s="4"/>
    </row>
    <row r="14" spans="2:6">
      <c r="C14" s="36" t="s">
        <v>19</v>
      </c>
      <c r="D14" s="1" t="s">
        <v>20</v>
      </c>
      <c r="E14" s="32"/>
    </row>
    <row r="15" spans="2:6">
      <c r="C15" s="31"/>
      <c r="D15" s="32"/>
      <c r="E15" s="32"/>
      <c r="F15" t="s">
        <v>21</v>
      </c>
    </row>
    <row r="16" spans="2:6">
      <c r="C16" s="31"/>
      <c r="D16" s="32"/>
      <c r="E16" s="32"/>
      <c r="F16" s="6" t="s">
        <v>655</v>
      </c>
    </row>
    <row r="17" spans="3:6" ht="18.75">
      <c r="C17" s="30" t="s">
        <v>23</v>
      </c>
      <c r="D17" s="32"/>
      <c r="E17" s="32"/>
      <c r="F17" s="4"/>
    </row>
    <row r="18" spans="3:6">
      <c r="C18" s="31" t="s">
        <v>24</v>
      </c>
      <c r="D18" s="28" t="s">
        <v>23</v>
      </c>
      <c r="E18" s="32"/>
      <c r="F18" s="4"/>
    </row>
    <row r="19" spans="3:6">
      <c r="C19" s="36" t="s">
        <v>25</v>
      </c>
      <c r="D19" s="2">
        <v>22</v>
      </c>
      <c r="E19" s="32"/>
      <c r="F19" s="4"/>
    </row>
    <row r="20" spans="3:6">
      <c r="C20" s="36" t="s">
        <v>26</v>
      </c>
      <c r="D20" s="2">
        <v>5</v>
      </c>
      <c r="E20" s="32"/>
      <c r="F20" s="4"/>
    </row>
    <row r="21" spans="3:6">
      <c r="C21" s="36" t="s">
        <v>27</v>
      </c>
      <c r="D21" s="2"/>
      <c r="E21" s="32"/>
    </row>
    <row r="22" spans="3:6">
      <c r="C22" s="36" t="s">
        <v>28</v>
      </c>
      <c r="D22" s="2">
        <v>22</v>
      </c>
      <c r="E22" s="32"/>
      <c r="F22" t="s">
        <v>29</v>
      </c>
    </row>
    <row r="23" spans="3:6">
      <c r="C23" s="36" t="s">
        <v>30</v>
      </c>
      <c r="D23" s="2"/>
      <c r="E23" s="32"/>
      <c r="F23" s="8" t="s">
        <v>656</v>
      </c>
    </row>
    <row r="24" spans="3:6">
      <c r="C24" s="36" t="s">
        <v>32</v>
      </c>
      <c r="D24" s="28">
        <f>SUM(D19:D23)</f>
        <v>49</v>
      </c>
      <c r="E24" s="32"/>
      <c r="F24" s="8" t="s">
        <v>657</v>
      </c>
    </row>
    <row r="25" spans="3:6">
      <c r="F25" s="8" t="s">
        <v>658</v>
      </c>
    </row>
    <row r="26" spans="3:6">
      <c r="F26" s="8" t="s">
        <v>659</v>
      </c>
    </row>
    <row r="27" spans="3:6" ht="18.75">
      <c r="C27" s="30" t="s">
        <v>36</v>
      </c>
      <c r="D27" s="33" t="s">
        <v>37</v>
      </c>
      <c r="F27" s="8" t="s">
        <v>660</v>
      </c>
    </row>
    <row r="28" spans="3:6">
      <c r="C28" s="31" t="s">
        <v>39</v>
      </c>
      <c r="D28" s="31" t="s">
        <v>40</v>
      </c>
      <c r="E28" s="31"/>
      <c r="F28" s="8" t="s">
        <v>661</v>
      </c>
    </row>
    <row r="29" spans="3:6">
      <c r="C29" s="36" t="s">
        <v>42</v>
      </c>
      <c r="D29" s="8" t="s">
        <v>662</v>
      </c>
      <c r="E29" s="32"/>
      <c r="F29" s="4"/>
    </row>
    <row r="30" spans="3:6">
      <c r="C30" s="36" t="s">
        <v>45</v>
      </c>
      <c r="D30" s="25" t="s">
        <v>663</v>
      </c>
      <c r="E30" s="32"/>
      <c r="F30" s="4"/>
    </row>
    <row r="31" spans="3:6">
      <c r="C31" s="36" t="s">
        <v>47</v>
      </c>
      <c r="D31" s="25" t="s">
        <v>664</v>
      </c>
      <c r="E31" s="32"/>
      <c r="F31" s="4"/>
    </row>
    <row r="32" spans="3:6">
      <c r="C32" s="36" t="s">
        <v>49</v>
      </c>
      <c r="D32" s="1" t="s">
        <v>665</v>
      </c>
      <c r="E32" s="32"/>
      <c r="F32" s="4"/>
    </row>
    <row r="33" spans="3:8">
      <c r="C33" s="36" t="s">
        <v>50</v>
      </c>
      <c r="D33" s="1"/>
      <c r="E33" s="32"/>
      <c r="F33" s="4"/>
    </row>
    <row r="36" spans="3:8" ht="18.75">
      <c r="C36" s="30" t="s">
        <v>51</v>
      </c>
    </row>
    <row r="37" spans="3:8">
      <c r="C37" s="31" t="s">
        <v>52</v>
      </c>
      <c r="D37" s="31" t="s">
        <v>53</v>
      </c>
      <c r="E37" s="31" t="s">
        <v>54</v>
      </c>
      <c r="F37" s="31" t="s">
        <v>55</v>
      </c>
      <c r="G37" s="31" t="s">
        <v>56</v>
      </c>
      <c r="H37" s="31" t="s">
        <v>57</v>
      </c>
    </row>
    <row r="38" spans="3:8">
      <c r="C38" s="36" t="s">
        <v>58</v>
      </c>
      <c r="D38" s="1" t="s">
        <v>216</v>
      </c>
      <c r="E38" s="1" t="s">
        <v>391</v>
      </c>
      <c r="F38" s="8" t="s">
        <v>666</v>
      </c>
      <c r="G38" s="3">
        <v>0.5</v>
      </c>
      <c r="H38" s="1">
        <v>22</v>
      </c>
    </row>
    <row r="39" spans="3:8">
      <c r="C39" s="36" t="s">
        <v>62</v>
      </c>
      <c r="D39" s="1" t="s">
        <v>145</v>
      </c>
      <c r="E39" s="1" t="s">
        <v>667</v>
      </c>
      <c r="F39" s="8" t="s">
        <v>668</v>
      </c>
      <c r="G39" s="3">
        <v>0.5</v>
      </c>
      <c r="H39" s="1">
        <v>32</v>
      </c>
    </row>
    <row r="40" spans="3:8">
      <c r="C40" s="36" t="s">
        <v>65</v>
      </c>
      <c r="D40" s="4"/>
      <c r="E40" s="4"/>
      <c r="F40" s="4"/>
      <c r="G40" s="4"/>
      <c r="H40" s="4"/>
    </row>
    <row r="41" spans="3:8">
      <c r="C41" s="36" t="s">
        <v>66</v>
      </c>
      <c r="D41" s="4"/>
      <c r="E41" s="4"/>
      <c r="F41" s="4"/>
      <c r="G41" s="4"/>
      <c r="H41" s="4"/>
    </row>
    <row r="42" spans="3:8">
      <c r="C42" s="31"/>
    </row>
    <row r="44" spans="3:8" ht="18.75">
      <c r="C44" s="30" t="s">
        <v>67</v>
      </c>
      <c r="D44" s="33"/>
    </row>
    <row r="45" spans="3:8">
      <c r="C45" s="28" t="s">
        <v>52</v>
      </c>
      <c r="D45" s="28" t="s">
        <v>39</v>
      </c>
      <c r="E45" s="28" t="s">
        <v>68</v>
      </c>
      <c r="F45" s="28" t="s">
        <v>69</v>
      </c>
    </row>
    <row r="46" spans="3:8">
      <c r="C46" s="5" t="s">
        <v>58</v>
      </c>
      <c r="D46" s="4" t="s">
        <v>42</v>
      </c>
      <c r="E46" s="4" t="s">
        <v>151</v>
      </c>
      <c r="F46" s="4" t="s">
        <v>219</v>
      </c>
    </row>
    <row r="47" spans="3:8">
      <c r="C47" s="5" t="s">
        <v>58</v>
      </c>
      <c r="D47" s="4" t="s">
        <v>47</v>
      </c>
      <c r="E47" s="4" t="s">
        <v>72</v>
      </c>
      <c r="F47" s="4" t="s">
        <v>73</v>
      </c>
    </row>
    <row r="48" spans="3:8">
      <c r="C48" s="5" t="s">
        <v>58</v>
      </c>
      <c r="D48" s="4" t="s">
        <v>47</v>
      </c>
      <c r="E48" s="4" t="s">
        <v>74</v>
      </c>
      <c r="F48" s="4" t="s">
        <v>510</v>
      </c>
    </row>
    <row r="49" spans="3:6">
      <c r="C49" s="5" t="s">
        <v>58</v>
      </c>
      <c r="D49" s="4" t="s">
        <v>47</v>
      </c>
      <c r="E49" s="4" t="s">
        <v>78</v>
      </c>
      <c r="F49" s="4" t="s">
        <v>669</v>
      </c>
    </row>
    <row r="50" spans="3:6">
      <c r="C50" s="5" t="s">
        <v>58</v>
      </c>
      <c r="D50" s="4" t="s">
        <v>47</v>
      </c>
      <c r="E50" s="4" t="s">
        <v>78</v>
      </c>
      <c r="F50" s="4" t="s">
        <v>227</v>
      </c>
    </row>
    <row r="51" spans="3:6">
      <c r="C51" s="5" t="s">
        <v>62</v>
      </c>
      <c r="D51" s="4" t="s">
        <v>45</v>
      </c>
      <c r="E51" s="4" t="s">
        <v>70</v>
      </c>
      <c r="F51" s="4" t="s">
        <v>71</v>
      </c>
    </row>
    <row r="52" spans="3:6">
      <c r="C52" s="5" t="s">
        <v>62</v>
      </c>
      <c r="D52" s="4" t="s">
        <v>45</v>
      </c>
      <c r="E52" s="4" t="s">
        <v>160</v>
      </c>
      <c r="F52" s="4" t="s">
        <v>161</v>
      </c>
    </row>
    <row r="53" spans="3:6">
      <c r="C53" s="5" t="s">
        <v>62</v>
      </c>
      <c r="D53" s="4" t="s">
        <v>45</v>
      </c>
      <c r="E53" s="4" t="s">
        <v>154</v>
      </c>
      <c r="F53" s="4" t="s">
        <v>282</v>
      </c>
    </row>
    <row r="54" spans="3:6">
      <c r="C54" s="5" t="s">
        <v>58</v>
      </c>
      <c r="D54" s="4" t="s">
        <v>47</v>
      </c>
      <c r="E54" s="4" t="s">
        <v>158</v>
      </c>
      <c r="F54" s="4" t="s">
        <v>670</v>
      </c>
    </row>
    <row r="55" spans="3:6">
      <c r="C55" s="5" t="s">
        <v>62</v>
      </c>
      <c r="D55" s="4" t="s">
        <v>49</v>
      </c>
      <c r="E55" s="4" t="s">
        <v>158</v>
      </c>
      <c r="F55" s="4" t="s">
        <v>671</v>
      </c>
    </row>
    <row r="56" spans="3:6">
      <c r="C56" s="5" t="s">
        <v>62</v>
      </c>
      <c r="D56" s="4" t="s">
        <v>49</v>
      </c>
      <c r="E56" s="4" t="s">
        <v>158</v>
      </c>
      <c r="F56" s="4" t="s">
        <v>672</v>
      </c>
    </row>
    <row r="57" spans="3:6">
      <c r="C57" s="5" t="s">
        <v>62</v>
      </c>
      <c r="D57" s="4" t="s">
        <v>49</v>
      </c>
      <c r="E57" s="4" t="s">
        <v>70</v>
      </c>
      <c r="F57" s="4" t="s">
        <v>673</v>
      </c>
    </row>
    <row r="58" spans="3:6">
      <c r="C58" s="5" t="s">
        <v>62</v>
      </c>
      <c r="D58" s="4" t="s">
        <v>49</v>
      </c>
      <c r="E58" s="4" t="s">
        <v>70</v>
      </c>
      <c r="F58" s="4" t="s">
        <v>617</v>
      </c>
    </row>
    <row r="59" spans="3:6">
      <c r="C59" s="5" t="s">
        <v>62</v>
      </c>
      <c r="D59" s="4" t="s">
        <v>49</v>
      </c>
      <c r="E59" s="4" t="s">
        <v>158</v>
      </c>
      <c r="F59" s="4" t="s">
        <v>401</v>
      </c>
    </row>
    <row r="60" spans="3:6">
      <c r="C60" s="51" t="s">
        <v>58</v>
      </c>
      <c r="D60" s="52" t="s">
        <v>47</v>
      </c>
      <c r="E60" s="52" t="s">
        <v>160</v>
      </c>
      <c r="F60" s="52" t="s">
        <v>674</v>
      </c>
    </row>
    <row r="61" spans="3:6">
      <c r="C61" s="53" t="s">
        <v>58</v>
      </c>
      <c r="D61" s="54" t="s">
        <v>47</v>
      </c>
      <c r="E61" s="54" t="s">
        <v>85</v>
      </c>
      <c r="F61" s="54" t="s">
        <v>675</v>
      </c>
    </row>
    <row r="62" spans="3:6">
      <c r="C62" s="53" t="s">
        <v>58</v>
      </c>
      <c r="D62" s="54" t="s">
        <v>47</v>
      </c>
      <c r="E62" s="54" t="s">
        <v>85</v>
      </c>
      <c r="F62" s="54" t="s">
        <v>397</v>
      </c>
    </row>
    <row r="63" spans="3:6">
      <c r="C63" s="53" t="s">
        <v>58</v>
      </c>
      <c r="D63" s="54" t="s">
        <v>47</v>
      </c>
      <c r="E63" s="54" t="s">
        <v>85</v>
      </c>
      <c r="F63" s="54" t="s">
        <v>508</v>
      </c>
    </row>
    <row r="64" spans="3:6">
      <c r="C64" s="53" t="s">
        <v>62</v>
      </c>
      <c r="D64" s="54" t="s">
        <v>49</v>
      </c>
      <c r="E64" s="54" t="s">
        <v>70</v>
      </c>
      <c r="F64" s="54" t="s">
        <v>341</v>
      </c>
    </row>
    <row r="65" spans="2:6">
      <c r="C65" s="53" t="s">
        <v>62</v>
      </c>
      <c r="D65" s="54" t="s">
        <v>49</v>
      </c>
      <c r="E65" s="54" t="s">
        <v>70</v>
      </c>
      <c r="F65" s="54" t="s">
        <v>80</v>
      </c>
    </row>
    <row r="66" spans="2:6">
      <c r="C66" s="53" t="s">
        <v>62</v>
      </c>
      <c r="D66" s="54" t="s">
        <v>49</v>
      </c>
      <c r="E66" s="54" t="s">
        <v>158</v>
      </c>
      <c r="F66" s="54" t="s">
        <v>670</v>
      </c>
    </row>
    <row r="69" spans="2:6" ht="18.75">
      <c r="C69" s="30" t="s">
        <v>87</v>
      </c>
    </row>
    <row r="70" spans="2:6">
      <c r="B70" t="s">
        <v>88</v>
      </c>
      <c r="C70" s="28" t="s">
        <v>89</v>
      </c>
      <c r="D70" s="28" t="s">
        <v>90</v>
      </c>
      <c r="E70" s="28" t="s">
        <v>91</v>
      </c>
      <c r="F70" s="28" t="s">
        <v>92</v>
      </c>
    </row>
    <row r="71" spans="2:6">
      <c r="B71" s="37">
        <v>1</v>
      </c>
      <c r="C71" s="38">
        <v>1</v>
      </c>
      <c r="D71" s="1"/>
      <c r="E71" s="1"/>
      <c r="F71" s="1"/>
    </row>
    <row r="72" spans="2:6">
      <c r="B72" s="37">
        <v>1</v>
      </c>
      <c r="C72" s="38">
        <v>2</v>
      </c>
      <c r="D72" s="1"/>
      <c r="E72" s="1"/>
      <c r="F72" s="1"/>
    </row>
    <row r="73" spans="2:6">
      <c r="B73" s="37">
        <v>1</v>
      </c>
      <c r="C73" s="38">
        <v>3</v>
      </c>
      <c r="D73" s="1"/>
      <c r="E73" s="1"/>
      <c r="F73" s="1"/>
    </row>
    <row r="74" spans="2:6">
      <c r="B74" s="37">
        <v>1</v>
      </c>
      <c r="C74" s="38">
        <v>4</v>
      </c>
      <c r="D74" s="1"/>
      <c r="E74" s="1"/>
      <c r="F74" s="1"/>
    </row>
    <row r="75" spans="2:6">
      <c r="B75" s="37">
        <v>1</v>
      </c>
      <c r="C75" s="38">
        <v>5</v>
      </c>
      <c r="D75" s="1"/>
      <c r="E75" s="1"/>
      <c r="F75" s="1"/>
    </row>
    <row r="76" spans="2:6">
      <c r="B76" s="37">
        <v>1</v>
      </c>
      <c r="C76" s="38">
        <v>6</v>
      </c>
      <c r="D76" s="1"/>
      <c r="E76" s="1"/>
      <c r="F76" s="1"/>
    </row>
    <row r="77" spans="2:6">
      <c r="B77" s="37">
        <v>1</v>
      </c>
      <c r="C77" s="38">
        <v>7</v>
      </c>
      <c r="D77" s="1"/>
      <c r="E77" s="1"/>
      <c r="F77" s="1"/>
    </row>
    <row r="78" spans="2:6">
      <c r="B78" s="37">
        <v>1</v>
      </c>
      <c r="C78" s="38">
        <v>8</v>
      </c>
      <c r="D78" s="1"/>
      <c r="E78" s="1"/>
      <c r="F78" s="1"/>
    </row>
    <row r="79" spans="2:6">
      <c r="B79" s="37">
        <v>1</v>
      </c>
      <c r="C79" s="38">
        <v>9</v>
      </c>
      <c r="D79" s="1"/>
      <c r="E79" s="1"/>
      <c r="F79" s="1"/>
    </row>
    <row r="80" spans="2:6">
      <c r="B80" s="37">
        <v>1</v>
      </c>
      <c r="C80" s="38">
        <v>10</v>
      </c>
      <c r="D80" s="1"/>
      <c r="E80" s="1"/>
      <c r="F80" s="1"/>
    </row>
    <row r="81" spans="2:6">
      <c r="B81" s="37">
        <v>1</v>
      </c>
      <c r="C81" s="38">
        <v>11</v>
      </c>
      <c r="D81" s="1"/>
      <c r="E81" s="1"/>
      <c r="F81" s="1"/>
    </row>
    <row r="82" spans="2:6">
      <c r="B82" s="37">
        <v>1</v>
      </c>
      <c r="C82" s="38">
        <v>12</v>
      </c>
      <c r="D82" s="1"/>
      <c r="E82" s="1"/>
      <c r="F82" s="1"/>
    </row>
    <row r="83" spans="2:6">
      <c r="B83" s="37">
        <v>2</v>
      </c>
      <c r="C83" s="38">
        <v>1</v>
      </c>
      <c r="D83" s="1" t="s">
        <v>676</v>
      </c>
      <c r="E83" s="1" t="s">
        <v>164</v>
      </c>
      <c r="F83" s="1" t="s">
        <v>677</v>
      </c>
    </row>
    <row r="84" spans="2:6" ht="45">
      <c r="B84" s="37">
        <v>2</v>
      </c>
      <c r="C84" s="38">
        <v>2</v>
      </c>
      <c r="D84" s="1" t="s">
        <v>678</v>
      </c>
      <c r="E84" s="1" t="s">
        <v>679</v>
      </c>
      <c r="F84" s="1" t="s">
        <v>680</v>
      </c>
    </row>
    <row r="85" spans="2:6" ht="45">
      <c r="B85" s="37">
        <v>2</v>
      </c>
      <c r="C85" s="38">
        <v>3</v>
      </c>
      <c r="D85" s="1" t="s">
        <v>681</v>
      </c>
      <c r="E85" s="1" t="s">
        <v>682</v>
      </c>
      <c r="F85" s="1" t="s">
        <v>683</v>
      </c>
    </row>
    <row r="86" spans="2:6" ht="45">
      <c r="B86" s="37">
        <v>2</v>
      </c>
      <c r="C86" s="38">
        <v>4</v>
      </c>
      <c r="D86" s="1" t="s">
        <v>684</v>
      </c>
      <c r="E86" s="1" t="s">
        <v>685</v>
      </c>
      <c r="F86" s="1" t="s">
        <v>686</v>
      </c>
    </row>
    <row r="87" spans="2:6">
      <c r="B87" s="37">
        <v>2</v>
      </c>
      <c r="C87" s="38">
        <v>5</v>
      </c>
      <c r="D87" s="1" t="s">
        <v>687</v>
      </c>
      <c r="E87" s="1" t="s">
        <v>688</v>
      </c>
      <c r="F87" s="1" t="s">
        <v>689</v>
      </c>
    </row>
    <row r="88" spans="2:6" ht="30">
      <c r="B88" s="37">
        <v>2</v>
      </c>
      <c r="C88" s="38">
        <v>6</v>
      </c>
      <c r="D88" s="1" t="s">
        <v>690</v>
      </c>
      <c r="E88" s="1" t="s">
        <v>691</v>
      </c>
      <c r="F88" s="1" t="s">
        <v>692</v>
      </c>
    </row>
    <row r="89" spans="2:6" ht="45">
      <c r="B89" s="37">
        <v>2</v>
      </c>
      <c r="C89" s="38">
        <v>7</v>
      </c>
      <c r="D89" s="1" t="s">
        <v>693</v>
      </c>
      <c r="E89" s="1" t="s">
        <v>694</v>
      </c>
      <c r="F89" s="1" t="s">
        <v>695</v>
      </c>
    </row>
    <row r="90" spans="2:6" ht="45">
      <c r="B90" s="37">
        <v>2</v>
      </c>
      <c r="C90" s="38">
        <v>8</v>
      </c>
      <c r="D90" s="1" t="s">
        <v>696</v>
      </c>
      <c r="E90" s="1" t="s">
        <v>697</v>
      </c>
      <c r="F90" s="1" t="s">
        <v>698</v>
      </c>
    </row>
    <row r="91" spans="2:6" ht="45">
      <c r="B91" s="37">
        <v>2</v>
      </c>
      <c r="C91" s="38">
        <v>9</v>
      </c>
      <c r="D91" s="1" t="s">
        <v>699</v>
      </c>
      <c r="E91" s="1" t="s">
        <v>700</v>
      </c>
      <c r="F91" s="1" t="s">
        <v>701</v>
      </c>
    </row>
    <row r="92" spans="2:6" ht="45">
      <c r="B92" s="37">
        <v>2</v>
      </c>
      <c r="C92" s="38">
        <v>10</v>
      </c>
      <c r="D92" s="1" t="s">
        <v>702</v>
      </c>
      <c r="E92" s="1" t="s">
        <v>703</v>
      </c>
      <c r="F92" s="1" t="s">
        <v>704</v>
      </c>
    </row>
    <row r="93" spans="2:6" ht="30">
      <c r="B93" s="37">
        <v>2</v>
      </c>
      <c r="C93" s="38">
        <v>11</v>
      </c>
      <c r="D93" s="1" t="s">
        <v>705</v>
      </c>
      <c r="E93" s="1" t="s">
        <v>706</v>
      </c>
      <c r="F93" s="1" t="s">
        <v>707</v>
      </c>
    </row>
    <row r="94" spans="2:6" ht="30">
      <c r="B94" s="37">
        <v>2</v>
      </c>
      <c r="C94" s="38">
        <v>12</v>
      </c>
      <c r="D94" s="1" t="s">
        <v>708</v>
      </c>
      <c r="E94" s="1" t="s">
        <v>375</v>
      </c>
      <c r="F94" s="1" t="s">
        <v>709</v>
      </c>
    </row>
  </sheetData>
  <sheetProtection sheet="1" objects="1" scenarios="1" formatCells="0" formatColumns="0" formatRows="0" insertHyperlinks="0"/>
  <dataValidations count="4">
    <dataValidation type="whole" showInputMessage="1" showErrorMessage="1" error="This is not a realistic number of contact hours please reduce" sqref="D20:D23" xr:uid="{228872C6-6A06-4732-B8A1-E6B94CB81102}">
      <formula1>0</formula1>
      <formula2>80</formula2>
    </dataValidation>
    <dataValidation type="whole" showInputMessage="1" showErrorMessage="1" error="This is not a realistic number of contact hours please change" sqref="D19" xr:uid="{F79CE569-989B-479F-8826-338510A79154}">
      <formula1>0</formula1>
      <formula2>80</formula2>
    </dataValidation>
    <dataValidation type="list" allowBlank="1" showInputMessage="1" showErrorMessage="1" sqref="E38:E41" xr:uid="{6E90B7E5-5035-4F89-B270-578FA2975164}">
      <formula1>INDIRECT("LISTAssess[Assessment Specific]")</formula1>
    </dataValidation>
    <dataValidation type="list" allowBlank="1" showInputMessage="1" showErrorMessage="1" sqref="F46:F59" xr:uid="{0A41CE66-A84F-4E65-BA05-CA863B7746FB}">
      <formula1>INDIRECT(VLOOKUP($E46, SkillNameMap, 2, 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261BA6EE-88F7-427A-BCD6-8C9348F9245C}">
          <x14:formula1>
            <xm:f>LISTS!$C$26:$C$37</xm:f>
          </x14:formula1>
          <xm:sqref>D14</xm:sqref>
        </x14:dataValidation>
        <x14:dataValidation type="list" allowBlank="1" showInputMessage="1" showErrorMessage="1" xr:uid="{BE38852D-057D-456A-8583-51979A3F9408}">
          <x14:formula1>
            <xm:f>LISTS!$C$17:$C$22</xm:f>
          </x14:formula1>
          <xm:sqref>D13</xm:sqref>
        </x14:dataValidation>
        <x14:dataValidation type="list" allowBlank="1" showInputMessage="1" showErrorMessage="1" xr:uid="{09331423-59E2-4171-9695-7BE4C02AFE53}">
          <x14:formula1>
            <xm:f>LISTS!$C$7:$C$9</xm:f>
          </x14:formula1>
          <xm:sqref>D10</xm:sqref>
        </x14:dataValidation>
        <x14:dataValidation type="list" allowBlank="1" showInputMessage="1" showErrorMessage="1" xr:uid="{2507034E-37B5-446A-AFCD-F99DE72488BA}">
          <x14:formula1>
            <xm:f>LISTS!$C$11:$C$15</xm:f>
          </x14:formula1>
          <xm:sqref>D11</xm:sqref>
        </x14:dataValidation>
        <x14:dataValidation type="list" allowBlank="1" showInputMessage="1" showErrorMessage="1" xr:uid="{A7BB251E-C289-4AFE-837E-75E3985C6AC4}">
          <x14:formula1>
            <xm:f>LISTS!$G$7:$G$11</xm:f>
          </x14:formula1>
          <xm:sqref>D38:D42</xm:sqref>
        </x14:dataValidation>
        <x14:dataValidation type="list" allowBlank="1" showInputMessage="1" showErrorMessage="1" xr:uid="{91A4DB0E-9988-4C67-88FE-0DC4AE014787}">
          <x14:formula1>
            <xm:f>LISTS!$E$7:$E$11</xm:f>
          </x14:formula1>
          <xm:sqref>D46:D59</xm:sqref>
        </x14:dataValidation>
        <x14:dataValidation type="list" allowBlank="1" showInputMessage="1" showErrorMessage="1" xr:uid="{431E3138-B78E-40DB-8906-C5B6A90BA4A5}">
          <x14:formula1>
            <xm:f>LISTS!$J$7:$J$16</xm:f>
          </x14:formula1>
          <xm:sqref>E46:E59</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B88F2-57F5-49DF-8E52-0E95DE3CFAC4}">
  <sheetPr codeName="Sheet12"/>
  <dimension ref="B2:H94"/>
  <sheetViews>
    <sheetView showGridLines="0" zoomScale="85" zoomScaleNormal="85" workbookViewId="0">
      <selection activeCell="F33" sqref="F33"/>
    </sheetView>
  </sheetViews>
  <sheetFormatPr defaultRowHeight="15"/>
  <cols>
    <col min="3" max="3" width="33.28515625" customWidth="1"/>
    <col min="4" max="4" width="51.5703125" customWidth="1"/>
    <col min="5" max="5" width="67.28515625" customWidth="1"/>
    <col min="6" max="6" width="63.140625" customWidth="1"/>
    <col min="7" max="7" width="12.42578125" customWidth="1"/>
    <col min="8" max="8" width="15.5703125" customWidth="1"/>
    <col min="9" max="9" width="14.7109375" customWidth="1"/>
  </cols>
  <sheetData>
    <row r="2" spans="2:6" ht="26.25">
      <c r="C2" s="27" t="str">
        <f>D7</f>
        <v>6008SPS</v>
      </c>
      <c r="D2" s="27" t="str">
        <f>D8</f>
        <v>Extended Placement and Applied Research in Sport Nutrition (working title)</v>
      </c>
    </row>
    <row r="3" spans="2:6">
      <c r="B3" s="28"/>
      <c r="C3" s="28"/>
    </row>
    <row r="4" spans="2:6">
      <c r="B4" s="29"/>
      <c r="C4" s="29"/>
    </row>
    <row r="5" spans="2:6" ht="18.75">
      <c r="B5" s="29"/>
      <c r="C5" s="30" t="s">
        <v>0</v>
      </c>
    </row>
    <row r="6" spans="2:6">
      <c r="B6" s="29"/>
      <c r="C6" s="31" t="s">
        <v>1</v>
      </c>
      <c r="D6" s="32" t="s">
        <v>2</v>
      </c>
      <c r="E6" s="32"/>
      <c r="F6" t="s">
        <v>3</v>
      </c>
    </row>
    <row r="7" spans="2:6">
      <c r="B7" s="29"/>
      <c r="C7" s="36" t="s">
        <v>4</v>
      </c>
      <c r="D7" s="1" t="s">
        <v>710</v>
      </c>
      <c r="E7" s="32"/>
      <c r="F7" s="4" t="s">
        <v>711</v>
      </c>
    </row>
    <row r="8" spans="2:6">
      <c r="B8" s="29"/>
      <c r="C8" s="36" t="s">
        <v>7</v>
      </c>
      <c r="D8" s="1" t="s">
        <v>712</v>
      </c>
      <c r="E8" s="32"/>
      <c r="F8" s="4"/>
    </row>
    <row r="9" spans="2:6">
      <c r="C9" s="36" t="s">
        <v>9</v>
      </c>
      <c r="D9" s="1">
        <v>60</v>
      </c>
      <c r="E9" s="32"/>
    </row>
    <row r="10" spans="2:6">
      <c r="C10" s="36" t="s">
        <v>10</v>
      </c>
      <c r="D10" s="1" t="s">
        <v>11</v>
      </c>
      <c r="E10" s="32"/>
      <c r="F10" t="s">
        <v>12</v>
      </c>
    </row>
    <row r="11" spans="2:6">
      <c r="C11" s="36" t="s">
        <v>13</v>
      </c>
      <c r="D11" s="1">
        <v>6</v>
      </c>
      <c r="E11" s="32"/>
      <c r="F11" s="4" t="s">
        <v>713</v>
      </c>
    </row>
    <row r="12" spans="2:6">
      <c r="C12" s="36" t="s">
        <v>15</v>
      </c>
      <c r="D12" s="1" t="s">
        <v>714</v>
      </c>
      <c r="E12" s="32"/>
      <c r="F12" s="4"/>
    </row>
    <row r="13" spans="2:6">
      <c r="C13" s="36" t="s">
        <v>17</v>
      </c>
      <c r="D13" s="1" t="s">
        <v>715</v>
      </c>
      <c r="E13" s="32"/>
      <c r="F13" s="4"/>
    </row>
    <row r="14" spans="2:6">
      <c r="C14" s="36" t="s">
        <v>19</v>
      </c>
      <c r="D14" s="1" t="s">
        <v>20</v>
      </c>
      <c r="E14" s="32"/>
    </row>
    <row r="15" spans="2:6">
      <c r="C15" s="31"/>
      <c r="D15" s="32"/>
      <c r="E15" s="32"/>
      <c r="F15" t="s">
        <v>21</v>
      </c>
    </row>
    <row r="16" spans="2:6">
      <c r="C16" s="31"/>
      <c r="D16" s="32"/>
      <c r="E16" s="32"/>
      <c r="F16" s="4" t="s">
        <v>716</v>
      </c>
    </row>
    <row r="17" spans="3:6" ht="18.75">
      <c r="C17" s="30" t="s">
        <v>23</v>
      </c>
      <c r="D17" s="32"/>
      <c r="E17" s="32"/>
      <c r="F17" s="4"/>
    </row>
    <row r="18" spans="3:6">
      <c r="C18" s="31" t="s">
        <v>24</v>
      </c>
      <c r="D18" s="28" t="s">
        <v>23</v>
      </c>
      <c r="E18" s="32"/>
      <c r="F18" s="4"/>
    </row>
    <row r="19" spans="3:6">
      <c r="C19" s="36" t="s">
        <v>25</v>
      </c>
      <c r="D19" s="2">
        <v>30</v>
      </c>
      <c r="E19" s="32"/>
      <c r="F19" s="4"/>
    </row>
    <row r="20" spans="3:6">
      <c r="C20" s="36" t="s">
        <v>26</v>
      </c>
      <c r="D20" s="2"/>
      <c r="E20" s="32"/>
      <c r="F20" s="4"/>
    </row>
    <row r="21" spans="3:6">
      <c r="C21" s="36" t="s">
        <v>27</v>
      </c>
      <c r="D21" s="2"/>
      <c r="E21" s="32"/>
    </row>
    <row r="22" spans="3:6">
      <c r="C22" s="36" t="s">
        <v>28</v>
      </c>
      <c r="D22" s="2">
        <v>30</v>
      </c>
      <c r="E22" s="32"/>
      <c r="F22" t="s">
        <v>29</v>
      </c>
    </row>
    <row r="23" spans="3:6">
      <c r="C23" s="36" t="s">
        <v>30</v>
      </c>
      <c r="D23" s="2"/>
      <c r="E23" s="32"/>
      <c r="F23" s="4" t="s">
        <v>717</v>
      </c>
    </row>
    <row r="24" spans="3:6">
      <c r="C24" s="36" t="s">
        <v>32</v>
      </c>
      <c r="D24" s="28">
        <f>SUM(D19:D23)</f>
        <v>60</v>
      </c>
      <c r="E24" s="32"/>
      <c r="F24" s="4" t="s">
        <v>718</v>
      </c>
    </row>
    <row r="25" spans="3:6">
      <c r="F25" s="4" t="s">
        <v>719</v>
      </c>
    </row>
    <row r="26" spans="3:6">
      <c r="F26" s="4" t="s">
        <v>720</v>
      </c>
    </row>
    <row r="27" spans="3:6" ht="18.75">
      <c r="C27" s="30" t="s">
        <v>36</v>
      </c>
      <c r="D27" s="33" t="s">
        <v>37</v>
      </c>
      <c r="F27" s="4" t="s">
        <v>721</v>
      </c>
    </row>
    <row r="28" spans="3:6">
      <c r="C28" s="31" t="s">
        <v>39</v>
      </c>
      <c r="D28" s="31" t="s">
        <v>40</v>
      </c>
      <c r="E28" s="31"/>
      <c r="F28" s="4" t="s">
        <v>722</v>
      </c>
    </row>
    <row r="29" spans="3:6">
      <c r="C29" s="36" t="s">
        <v>42</v>
      </c>
      <c r="D29" s="1" t="s">
        <v>723</v>
      </c>
      <c r="E29" s="32"/>
      <c r="F29" s="4" t="s">
        <v>724</v>
      </c>
    </row>
    <row r="30" spans="3:6" ht="60">
      <c r="C30" s="36" t="s">
        <v>45</v>
      </c>
      <c r="D30" s="1" t="s">
        <v>725</v>
      </c>
      <c r="E30" s="32"/>
      <c r="F30" s="4" t="s">
        <v>726</v>
      </c>
    </row>
    <row r="31" spans="3:6">
      <c r="C31" s="36" t="s">
        <v>47</v>
      </c>
      <c r="D31" s="1" t="s">
        <v>727</v>
      </c>
      <c r="E31" s="32"/>
      <c r="F31" s="4"/>
    </row>
    <row r="32" spans="3:6">
      <c r="C32" s="36" t="s">
        <v>49</v>
      </c>
      <c r="D32" s="1" t="s">
        <v>728</v>
      </c>
      <c r="E32" s="32"/>
      <c r="F32" s="4"/>
    </row>
    <row r="33" spans="3:8">
      <c r="C33" s="36" t="s">
        <v>50</v>
      </c>
      <c r="D33" s="1" t="s">
        <v>729</v>
      </c>
      <c r="E33" s="32"/>
      <c r="F33" s="4"/>
    </row>
    <row r="36" spans="3:8" ht="18.75">
      <c r="C36" s="30" t="s">
        <v>51</v>
      </c>
    </row>
    <row r="37" spans="3:8">
      <c r="C37" s="31" t="s">
        <v>52</v>
      </c>
      <c r="D37" s="31" t="s">
        <v>53</v>
      </c>
      <c r="E37" s="31" t="s">
        <v>54</v>
      </c>
      <c r="F37" s="31" t="s">
        <v>55</v>
      </c>
      <c r="G37" s="31" t="s">
        <v>56</v>
      </c>
      <c r="H37" s="31" t="s">
        <v>57</v>
      </c>
    </row>
    <row r="38" spans="3:8">
      <c r="C38" s="36" t="s">
        <v>58</v>
      </c>
      <c r="D38" s="1" t="s">
        <v>145</v>
      </c>
      <c r="E38" s="1" t="s">
        <v>730</v>
      </c>
      <c r="F38" s="1" t="s">
        <v>731</v>
      </c>
      <c r="G38" s="3">
        <v>0.4</v>
      </c>
      <c r="H38" s="1">
        <v>30</v>
      </c>
    </row>
    <row r="39" spans="3:8">
      <c r="C39" s="36" t="s">
        <v>62</v>
      </c>
      <c r="D39" s="1" t="s">
        <v>59</v>
      </c>
      <c r="E39" s="1" t="s">
        <v>732</v>
      </c>
      <c r="F39" s="1" t="s">
        <v>733</v>
      </c>
      <c r="G39" s="3">
        <v>0.2</v>
      </c>
      <c r="H39" s="1">
        <v>31</v>
      </c>
    </row>
    <row r="40" spans="3:8">
      <c r="C40" s="36" t="s">
        <v>65</v>
      </c>
      <c r="D40" s="4" t="s">
        <v>734</v>
      </c>
      <c r="E40" s="4" t="s">
        <v>735</v>
      </c>
      <c r="F40" s="4" t="s">
        <v>736</v>
      </c>
      <c r="G40" s="4">
        <v>0.4</v>
      </c>
      <c r="H40" s="4">
        <v>33</v>
      </c>
    </row>
    <row r="41" spans="3:8">
      <c r="C41" s="36" t="s">
        <v>66</v>
      </c>
      <c r="D41" s="4"/>
      <c r="E41" s="4"/>
      <c r="F41" s="4"/>
      <c r="G41" s="4"/>
      <c r="H41" s="4"/>
    </row>
    <row r="42" spans="3:8">
      <c r="C42" s="31"/>
    </row>
    <row r="44" spans="3:8" ht="18.75">
      <c r="C44" s="30" t="s">
        <v>67</v>
      </c>
      <c r="D44" s="33"/>
    </row>
    <row r="45" spans="3:8">
      <c r="C45" s="28" t="s">
        <v>52</v>
      </c>
      <c r="D45" s="28" t="s">
        <v>39</v>
      </c>
      <c r="E45" s="28" t="s">
        <v>68</v>
      </c>
      <c r="F45" s="28" t="s">
        <v>69</v>
      </c>
    </row>
    <row r="46" spans="3:8">
      <c r="C46" s="5" t="s">
        <v>58</v>
      </c>
      <c r="D46" s="4" t="s">
        <v>47</v>
      </c>
      <c r="E46" s="4" t="s">
        <v>154</v>
      </c>
      <c r="F46" s="4" t="s">
        <v>156</v>
      </c>
    </row>
    <row r="47" spans="3:8">
      <c r="C47" s="5" t="s">
        <v>58</v>
      </c>
      <c r="D47" s="4" t="s">
        <v>47</v>
      </c>
      <c r="E47" s="4" t="s">
        <v>76</v>
      </c>
      <c r="F47" s="4" t="s">
        <v>77</v>
      </c>
    </row>
    <row r="48" spans="3:8">
      <c r="C48" s="5" t="s">
        <v>58</v>
      </c>
      <c r="D48" s="4" t="s">
        <v>47</v>
      </c>
      <c r="E48" s="4" t="s">
        <v>151</v>
      </c>
      <c r="F48" s="4" t="s">
        <v>616</v>
      </c>
    </row>
    <row r="49" spans="3:6">
      <c r="C49" s="5" t="s">
        <v>58</v>
      </c>
      <c r="D49" s="4" t="s">
        <v>49</v>
      </c>
      <c r="E49" s="4" t="s">
        <v>154</v>
      </c>
      <c r="F49" s="4" t="s">
        <v>282</v>
      </c>
    </row>
    <row r="50" spans="3:6">
      <c r="C50" s="5" t="s">
        <v>58</v>
      </c>
      <c r="D50" s="4" t="s">
        <v>49</v>
      </c>
      <c r="E50" s="4" t="s">
        <v>76</v>
      </c>
      <c r="F50" s="4" t="s">
        <v>222</v>
      </c>
    </row>
    <row r="51" spans="3:6">
      <c r="C51" s="5" t="s">
        <v>62</v>
      </c>
      <c r="D51" s="4" t="s">
        <v>42</v>
      </c>
      <c r="E51" s="4" t="s">
        <v>70</v>
      </c>
      <c r="F51" s="4" t="s">
        <v>71</v>
      </c>
    </row>
    <row r="52" spans="3:6">
      <c r="C52" s="5" t="s">
        <v>62</v>
      </c>
      <c r="D52" s="4" t="s">
        <v>42</v>
      </c>
      <c r="E52" s="4" t="s">
        <v>72</v>
      </c>
      <c r="F52" s="4" t="s">
        <v>457</v>
      </c>
    </row>
    <row r="53" spans="3:6">
      <c r="C53" s="5" t="s">
        <v>62</v>
      </c>
      <c r="D53" s="4" t="s">
        <v>42</v>
      </c>
      <c r="E53" s="4" t="s">
        <v>158</v>
      </c>
      <c r="F53" s="4" t="s">
        <v>401</v>
      </c>
    </row>
    <row r="54" spans="3:6">
      <c r="C54" s="5" t="s">
        <v>62</v>
      </c>
      <c r="D54" s="4" t="s">
        <v>42</v>
      </c>
      <c r="E54" s="4" t="s">
        <v>70</v>
      </c>
      <c r="F54" s="4" t="s">
        <v>80</v>
      </c>
    </row>
    <row r="55" spans="3:6">
      <c r="C55" s="5" t="s">
        <v>62</v>
      </c>
      <c r="D55" s="4" t="s">
        <v>45</v>
      </c>
      <c r="E55" s="4" t="s">
        <v>85</v>
      </c>
      <c r="F55" s="4" t="s">
        <v>675</v>
      </c>
    </row>
    <row r="56" spans="3:6">
      <c r="C56" s="5" t="s">
        <v>62</v>
      </c>
      <c r="D56" s="4" t="s">
        <v>45</v>
      </c>
      <c r="E56" s="4" t="s">
        <v>85</v>
      </c>
      <c r="F56" s="4" t="s">
        <v>397</v>
      </c>
    </row>
    <row r="57" spans="3:6">
      <c r="C57" s="5" t="s">
        <v>62</v>
      </c>
      <c r="D57" s="4" t="s">
        <v>45</v>
      </c>
      <c r="E57" s="4" t="s">
        <v>78</v>
      </c>
      <c r="F57" s="4" t="s">
        <v>669</v>
      </c>
    </row>
    <row r="58" spans="3:6">
      <c r="C58" s="5" t="s">
        <v>62</v>
      </c>
      <c r="D58" s="4" t="s">
        <v>49</v>
      </c>
      <c r="E58" s="4" t="s">
        <v>160</v>
      </c>
      <c r="F58" s="4" t="s">
        <v>674</v>
      </c>
    </row>
    <row r="59" spans="3:6">
      <c r="C59" s="5" t="s">
        <v>62</v>
      </c>
      <c r="D59" s="4" t="s">
        <v>50</v>
      </c>
      <c r="E59" s="4" t="s">
        <v>154</v>
      </c>
      <c r="F59" s="4" t="s">
        <v>562</v>
      </c>
    </row>
    <row r="60" spans="3:6">
      <c r="C60" s="5" t="s">
        <v>62</v>
      </c>
      <c r="D60" s="4" t="s">
        <v>50</v>
      </c>
      <c r="E60" s="4" t="s">
        <v>74</v>
      </c>
      <c r="F60" s="4" t="s">
        <v>153</v>
      </c>
    </row>
    <row r="61" spans="3:6">
      <c r="C61" s="5" t="s">
        <v>62</v>
      </c>
      <c r="D61" s="4" t="s">
        <v>50</v>
      </c>
      <c r="E61" s="4" t="s">
        <v>70</v>
      </c>
      <c r="F61" s="4" t="s">
        <v>617</v>
      </c>
    </row>
    <row r="62" spans="3:6">
      <c r="C62" s="5" t="s">
        <v>62</v>
      </c>
      <c r="D62" s="4" t="s">
        <v>50</v>
      </c>
      <c r="E62" s="4" t="s">
        <v>70</v>
      </c>
      <c r="F62" s="4" t="s">
        <v>673</v>
      </c>
    </row>
    <row r="63" spans="3:6">
      <c r="C63" s="5"/>
      <c r="D63" s="4"/>
      <c r="E63" s="4"/>
      <c r="F63" s="4"/>
    </row>
    <row r="64" spans="3:6">
      <c r="C64" s="5"/>
      <c r="D64" s="4"/>
      <c r="E64" s="4"/>
      <c r="F64" s="4"/>
    </row>
    <row r="65" spans="2:6">
      <c r="C65" s="5"/>
      <c r="D65" s="4"/>
      <c r="E65" s="4"/>
      <c r="F65" s="4"/>
    </row>
    <row r="66" spans="2:6">
      <c r="C66" s="5"/>
      <c r="D66" s="4"/>
      <c r="E66" s="4"/>
      <c r="F66" s="4"/>
    </row>
    <row r="69" spans="2:6" ht="18.75">
      <c r="C69" s="30" t="s">
        <v>87</v>
      </c>
    </row>
    <row r="70" spans="2:6">
      <c r="B70" t="s">
        <v>88</v>
      </c>
      <c r="C70" s="28" t="s">
        <v>89</v>
      </c>
      <c r="D70" s="28" t="s">
        <v>90</v>
      </c>
      <c r="E70" s="28" t="s">
        <v>91</v>
      </c>
      <c r="F70" s="28" t="s">
        <v>92</v>
      </c>
    </row>
    <row r="71" spans="2:6" ht="30">
      <c r="B71" s="37">
        <v>1</v>
      </c>
      <c r="C71" s="38">
        <v>1</v>
      </c>
      <c r="D71" s="1" t="s">
        <v>737</v>
      </c>
      <c r="E71" s="1" t="s">
        <v>738</v>
      </c>
      <c r="F71" s="1" t="s">
        <v>739</v>
      </c>
    </row>
    <row r="72" spans="2:6" ht="30">
      <c r="B72" s="37">
        <v>1</v>
      </c>
      <c r="C72" s="38">
        <v>2</v>
      </c>
      <c r="D72" s="1" t="s">
        <v>740</v>
      </c>
      <c r="E72" s="1" t="s">
        <v>741</v>
      </c>
      <c r="F72" s="1" t="s">
        <v>742</v>
      </c>
    </row>
    <row r="73" spans="2:6" ht="30">
      <c r="B73" s="37">
        <v>1</v>
      </c>
      <c r="C73" s="38">
        <v>3</v>
      </c>
      <c r="D73" s="1" t="s">
        <v>743</v>
      </c>
      <c r="E73" s="1" t="s">
        <v>744</v>
      </c>
      <c r="F73" s="1" t="s">
        <v>745</v>
      </c>
    </row>
    <row r="74" spans="2:6" ht="30">
      <c r="B74" s="37">
        <v>1</v>
      </c>
      <c r="C74" s="38">
        <v>4</v>
      </c>
      <c r="D74" s="1" t="s">
        <v>746</v>
      </c>
      <c r="E74" s="1" t="s">
        <v>747</v>
      </c>
      <c r="F74" s="1" t="s">
        <v>748</v>
      </c>
    </row>
    <row r="75" spans="2:6" ht="30">
      <c r="B75" s="37">
        <v>1</v>
      </c>
      <c r="C75" s="38">
        <v>5</v>
      </c>
      <c r="D75" s="1" t="s">
        <v>749</v>
      </c>
      <c r="E75" s="1" t="s">
        <v>750</v>
      </c>
      <c r="F75" s="1" t="s">
        <v>751</v>
      </c>
    </row>
    <row r="76" spans="2:6" ht="30">
      <c r="B76" s="37">
        <v>1</v>
      </c>
      <c r="C76" s="38">
        <v>6</v>
      </c>
      <c r="D76" s="1" t="s">
        <v>752</v>
      </c>
      <c r="E76" s="1" t="s">
        <v>753</v>
      </c>
      <c r="F76" s="1" t="s">
        <v>754</v>
      </c>
    </row>
    <row r="77" spans="2:6">
      <c r="B77" s="37">
        <v>1</v>
      </c>
      <c r="C77" s="38">
        <v>7</v>
      </c>
      <c r="D77" s="1"/>
      <c r="E77" s="1"/>
      <c r="F77" s="1"/>
    </row>
    <row r="78" spans="2:6">
      <c r="B78" s="37">
        <v>1</v>
      </c>
      <c r="C78" s="38">
        <v>8</v>
      </c>
      <c r="D78" s="1"/>
      <c r="E78" s="1"/>
      <c r="F78" s="1"/>
    </row>
    <row r="79" spans="2:6">
      <c r="B79" s="37">
        <v>1</v>
      </c>
      <c r="C79" s="38">
        <v>9</v>
      </c>
      <c r="D79" s="1"/>
      <c r="E79" s="1"/>
      <c r="F79" s="1"/>
    </row>
    <row r="80" spans="2:6">
      <c r="B80" s="37">
        <v>1</v>
      </c>
      <c r="C80" s="38">
        <v>10</v>
      </c>
      <c r="D80" s="1"/>
      <c r="E80" s="1"/>
      <c r="F80" s="1"/>
    </row>
    <row r="81" spans="2:6">
      <c r="B81" s="37">
        <v>1</v>
      </c>
      <c r="C81" s="38">
        <v>11</v>
      </c>
      <c r="D81" s="1"/>
      <c r="E81" s="1"/>
      <c r="F81" s="1"/>
    </row>
    <row r="82" spans="2:6">
      <c r="B82" s="37">
        <v>1</v>
      </c>
      <c r="C82" s="38">
        <v>12</v>
      </c>
      <c r="D82" s="1"/>
      <c r="E82" s="1"/>
      <c r="F82" s="1"/>
    </row>
    <row r="83" spans="2:6" ht="30">
      <c r="B83" s="37">
        <v>2</v>
      </c>
      <c r="C83" s="38">
        <v>1</v>
      </c>
      <c r="D83" s="1" t="s">
        <v>755</v>
      </c>
      <c r="E83" s="1" t="s">
        <v>756</v>
      </c>
      <c r="F83" s="1" t="s">
        <v>757</v>
      </c>
    </row>
    <row r="84" spans="2:6" ht="30">
      <c r="B84" s="37">
        <v>2</v>
      </c>
      <c r="C84" s="38">
        <v>2</v>
      </c>
      <c r="D84" s="1" t="s">
        <v>758</v>
      </c>
      <c r="E84" s="1" t="s">
        <v>759</v>
      </c>
      <c r="F84" s="1" t="s">
        <v>760</v>
      </c>
    </row>
    <row r="85" spans="2:6" ht="30">
      <c r="B85" s="37">
        <v>2</v>
      </c>
      <c r="C85" s="38">
        <v>3</v>
      </c>
      <c r="D85" s="1" t="s">
        <v>761</v>
      </c>
      <c r="E85" s="1" t="s">
        <v>762</v>
      </c>
      <c r="F85" s="1" t="s">
        <v>763</v>
      </c>
    </row>
    <row r="86" spans="2:6" ht="30">
      <c r="B86" s="37">
        <v>2</v>
      </c>
      <c r="C86" s="38">
        <v>4</v>
      </c>
      <c r="D86" s="1" t="s">
        <v>764</v>
      </c>
      <c r="E86" s="1" t="s">
        <v>765</v>
      </c>
      <c r="F86" s="1" t="s">
        <v>766</v>
      </c>
    </row>
    <row r="87" spans="2:6" ht="30">
      <c r="B87" s="37">
        <v>2</v>
      </c>
      <c r="C87" s="38">
        <v>5</v>
      </c>
      <c r="D87" s="1" t="s">
        <v>767</v>
      </c>
      <c r="E87" s="1" t="s">
        <v>768</v>
      </c>
      <c r="F87" s="1" t="s">
        <v>769</v>
      </c>
    </row>
    <row r="88" spans="2:6">
      <c r="B88" s="37">
        <v>2</v>
      </c>
      <c r="C88" s="38">
        <v>6</v>
      </c>
      <c r="D88" s="1" t="s">
        <v>770</v>
      </c>
      <c r="E88" s="1" t="s">
        <v>771</v>
      </c>
      <c r="F88" s="1" t="s">
        <v>772</v>
      </c>
    </row>
    <row r="89" spans="2:6">
      <c r="B89" s="37">
        <v>2</v>
      </c>
      <c r="C89" s="38">
        <v>7</v>
      </c>
      <c r="D89" s="1"/>
      <c r="E89" s="1"/>
      <c r="F89" s="1"/>
    </row>
    <row r="90" spans="2:6">
      <c r="B90" s="37">
        <v>2</v>
      </c>
      <c r="C90" s="38">
        <v>8</v>
      </c>
      <c r="D90" s="1"/>
      <c r="E90" s="1"/>
      <c r="F90" s="1"/>
    </row>
    <row r="91" spans="2:6">
      <c r="B91" s="37">
        <v>2</v>
      </c>
      <c r="C91" s="38">
        <v>9</v>
      </c>
      <c r="D91" s="1"/>
      <c r="E91" s="1"/>
      <c r="F91" s="1"/>
    </row>
    <row r="92" spans="2:6">
      <c r="B92" s="37">
        <v>2</v>
      </c>
      <c r="C92" s="38">
        <v>10</v>
      </c>
      <c r="D92" s="1"/>
      <c r="E92" s="1"/>
      <c r="F92" s="1"/>
    </row>
    <row r="93" spans="2:6">
      <c r="B93" s="37">
        <v>2</v>
      </c>
      <c r="C93" s="38">
        <v>11</v>
      </c>
      <c r="D93" s="1"/>
      <c r="E93" s="1"/>
      <c r="F93" s="1"/>
    </row>
    <row r="94" spans="2:6">
      <c r="B94" s="37">
        <v>2</v>
      </c>
      <c r="C94" s="38">
        <v>12</v>
      </c>
      <c r="D94" s="1"/>
      <c r="E94" s="1"/>
      <c r="F94" s="1"/>
    </row>
  </sheetData>
  <sheetProtection sheet="1" objects="1" scenarios="1" formatCells="0" formatColumns="0" formatRows="0" insertHyperlinks="0"/>
  <dataValidations count="4">
    <dataValidation type="list" allowBlank="1" showInputMessage="1" showErrorMessage="1" sqref="F46:F66" xr:uid="{FBDDC197-4A14-47FE-ADCC-676A78692ED8}">
      <formula1>INDIRECT(VLOOKUP($E46, SkillNameMap, 2, FALSE))</formula1>
    </dataValidation>
    <dataValidation type="list" allowBlank="1" showInputMessage="1" showErrorMessage="1" sqref="E38:E41" xr:uid="{68DC1710-8FBD-4C96-BEFB-29EEA2B38DF9}">
      <formula1>INDIRECT("LISTAssess[Assessment Specific]")</formula1>
    </dataValidation>
    <dataValidation type="whole" showInputMessage="1" showErrorMessage="1" error="This is not a realistic number of contact hours please change" sqref="D19" xr:uid="{FF705AB8-F0B5-4944-B4DB-BA562CE03F41}">
      <formula1>0</formula1>
      <formula2>80</formula2>
    </dataValidation>
    <dataValidation type="whole" showInputMessage="1" showErrorMessage="1" error="This is not a realistic number of contact hours please reduce" sqref="D20:D23" xr:uid="{B3470EF4-EDE1-4AA2-BF4E-C5217F91B39A}">
      <formula1>0</formula1>
      <formula2>80</formula2>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F82EBEA9-5922-4C07-934E-470BFDA49DA7}">
          <x14:formula1>
            <xm:f>LISTS!$J$7:$J$16</xm:f>
          </x14:formula1>
          <xm:sqref>E46:E66</xm:sqref>
        </x14:dataValidation>
        <x14:dataValidation type="list" allowBlank="1" showInputMessage="1" showErrorMessage="1" xr:uid="{14DAA443-23DD-4C34-A97A-3ECF7C0E8C55}">
          <x14:formula1>
            <xm:f>LISTS!$E$7:$E$11</xm:f>
          </x14:formula1>
          <xm:sqref>D46:D66</xm:sqref>
        </x14:dataValidation>
        <x14:dataValidation type="list" allowBlank="1" showInputMessage="1" showErrorMessage="1" xr:uid="{32C1AEC8-992B-4A37-AC70-FCFCDCEAE5AF}">
          <x14:formula1>
            <xm:f>LISTS!$G$7:$G$11</xm:f>
          </x14:formula1>
          <xm:sqref>D38:D42</xm:sqref>
        </x14:dataValidation>
        <x14:dataValidation type="list" allowBlank="1" showInputMessage="1" showErrorMessage="1" xr:uid="{079859AC-8D6D-42CE-8DCE-FB75C2DF13B7}">
          <x14:formula1>
            <xm:f>LISTS!$C$11:$C$15</xm:f>
          </x14:formula1>
          <xm:sqref>D11</xm:sqref>
        </x14:dataValidation>
        <x14:dataValidation type="list" allowBlank="1" showInputMessage="1" showErrorMessage="1" xr:uid="{95BE0675-0791-40D0-9E9D-AB48C0DB89D4}">
          <x14:formula1>
            <xm:f>LISTS!$C$7:$C$9</xm:f>
          </x14:formula1>
          <xm:sqref>D10</xm:sqref>
        </x14:dataValidation>
        <x14:dataValidation type="list" allowBlank="1" showInputMessage="1" showErrorMessage="1" xr:uid="{6B48D045-2AC6-4AB5-8461-E9008DA71EAB}">
          <x14:formula1>
            <xm:f>LISTS!$C$17:$C$22</xm:f>
          </x14:formula1>
          <xm:sqref>D13</xm:sqref>
        </x14:dataValidation>
        <x14:dataValidation type="list" allowBlank="1" showInputMessage="1" showErrorMessage="1" xr:uid="{A9720BD0-513F-4B9A-9AB4-400D7A5FAEF6}">
          <x14:formula1>
            <xm:f>LISTS!$C$26:$C$37</xm:f>
          </x14:formula1>
          <xm:sqref>D14</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FCDAC1-856D-487D-8AF4-540C0DE3E703}">
  <sheetPr codeName="Sheet14"/>
  <dimension ref="A1:O18"/>
  <sheetViews>
    <sheetView workbookViewId="0"/>
  </sheetViews>
  <sheetFormatPr defaultRowHeight="15"/>
  <cols>
    <col min="1" max="1" width="48.140625" bestFit="1" customWidth="1"/>
    <col min="2" max="2" width="15" bestFit="1" customWidth="1"/>
    <col min="3" max="3" width="14.7109375" bestFit="1" customWidth="1"/>
    <col min="4" max="4" width="12.5703125" bestFit="1" customWidth="1"/>
    <col min="5" max="5" width="13.85546875" bestFit="1" customWidth="1"/>
    <col min="6" max="6" width="12.140625" bestFit="1" customWidth="1"/>
    <col min="7" max="7" width="45.85546875" bestFit="1" customWidth="1"/>
    <col min="8" max="8" width="15.140625" bestFit="1" customWidth="1"/>
    <col min="9" max="9" width="66.42578125" bestFit="1" customWidth="1"/>
    <col min="10" max="10" width="10" bestFit="1" customWidth="1"/>
    <col min="11" max="11" width="12" bestFit="1" customWidth="1"/>
    <col min="12" max="12" width="8.140625" bestFit="1" customWidth="1"/>
    <col min="13" max="13" width="20.7109375" bestFit="1" customWidth="1"/>
    <col min="14" max="14" width="48.85546875" bestFit="1" customWidth="1"/>
    <col min="15" max="15" width="27.85546875" bestFit="1" customWidth="1"/>
  </cols>
  <sheetData>
    <row r="1" spans="1:15">
      <c r="A1" t="s">
        <v>773</v>
      </c>
      <c r="B1" t="s">
        <v>774</v>
      </c>
      <c r="C1" t="s">
        <v>775</v>
      </c>
      <c r="D1" t="s">
        <v>776</v>
      </c>
      <c r="E1" t="s">
        <v>777</v>
      </c>
      <c r="F1" t="s">
        <v>778</v>
      </c>
      <c r="G1" t="s">
        <v>779</v>
      </c>
      <c r="H1" t="s">
        <v>4</v>
      </c>
      <c r="I1" t="s">
        <v>7</v>
      </c>
      <c r="J1" t="s">
        <v>9</v>
      </c>
      <c r="K1" t="s">
        <v>10</v>
      </c>
      <c r="L1" t="s">
        <v>13</v>
      </c>
      <c r="M1" t="s">
        <v>15</v>
      </c>
      <c r="N1" t="s">
        <v>17</v>
      </c>
      <c r="O1" t="s">
        <v>19</v>
      </c>
    </row>
    <row r="2" spans="1:15">
      <c r="A2" t="s">
        <v>780</v>
      </c>
      <c r="B2" t="s">
        <v>781</v>
      </c>
      <c r="C2" t="s">
        <v>782</v>
      </c>
      <c r="D2" t="s">
        <v>783</v>
      </c>
      <c r="E2" t="s">
        <v>20</v>
      </c>
      <c r="F2" t="s">
        <v>784</v>
      </c>
      <c r="G2" t="s">
        <v>785</v>
      </c>
      <c r="H2" t="s">
        <v>782</v>
      </c>
      <c r="I2" t="s">
        <v>785</v>
      </c>
      <c r="J2">
        <v>20</v>
      </c>
      <c r="K2">
        <v>2</v>
      </c>
      <c r="L2">
        <v>4</v>
      </c>
      <c r="M2" t="s">
        <v>786</v>
      </c>
      <c r="N2" t="s">
        <v>787</v>
      </c>
      <c r="O2" t="s">
        <v>788</v>
      </c>
    </row>
    <row r="3" spans="1:15">
      <c r="A3" t="s">
        <v>780</v>
      </c>
      <c r="B3" t="s">
        <v>789</v>
      </c>
      <c r="C3" t="s">
        <v>790</v>
      </c>
      <c r="D3" t="s">
        <v>783</v>
      </c>
      <c r="E3" t="s">
        <v>20</v>
      </c>
      <c r="F3" t="s">
        <v>784</v>
      </c>
      <c r="G3" t="s">
        <v>791</v>
      </c>
      <c r="H3" t="s">
        <v>790</v>
      </c>
      <c r="I3" t="s">
        <v>792</v>
      </c>
      <c r="J3">
        <v>20</v>
      </c>
      <c r="K3">
        <v>1</v>
      </c>
      <c r="L3">
        <v>4</v>
      </c>
      <c r="M3" t="s">
        <v>793</v>
      </c>
      <c r="N3" t="s">
        <v>134</v>
      </c>
      <c r="O3" t="s">
        <v>794</v>
      </c>
    </row>
    <row r="4" spans="1:15">
      <c r="A4" t="s">
        <v>780</v>
      </c>
      <c r="B4" t="s">
        <v>795</v>
      </c>
      <c r="C4" t="s">
        <v>796</v>
      </c>
      <c r="D4" t="s">
        <v>783</v>
      </c>
      <c r="E4" t="s">
        <v>20</v>
      </c>
      <c r="F4" t="s">
        <v>784</v>
      </c>
      <c r="G4" t="s">
        <v>797</v>
      </c>
      <c r="H4" t="s">
        <v>796</v>
      </c>
      <c r="I4" t="s">
        <v>797</v>
      </c>
      <c r="J4">
        <v>20</v>
      </c>
      <c r="K4">
        <v>2</v>
      </c>
      <c r="L4">
        <v>5</v>
      </c>
      <c r="M4" t="s">
        <v>798</v>
      </c>
      <c r="N4" t="s">
        <v>787</v>
      </c>
      <c r="O4" t="s">
        <v>788</v>
      </c>
    </row>
    <row r="5" spans="1:15">
      <c r="A5" t="s">
        <v>780</v>
      </c>
      <c r="B5" t="s">
        <v>799</v>
      </c>
      <c r="C5" t="s">
        <v>800</v>
      </c>
      <c r="D5" t="s">
        <v>783</v>
      </c>
      <c r="E5" t="s">
        <v>20</v>
      </c>
      <c r="F5" t="s">
        <v>784</v>
      </c>
      <c r="G5" t="s">
        <v>801</v>
      </c>
      <c r="H5" t="s">
        <v>800</v>
      </c>
      <c r="I5" t="s">
        <v>801</v>
      </c>
      <c r="J5">
        <v>20</v>
      </c>
      <c r="K5">
        <v>2</v>
      </c>
      <c r="L5">
        <v>5</v>
      </c>
      <c r="M5" t="s">
        <v>802</v>
      </c>
      <c r="N5" t="s">
        <v>134</v>
      </c>
      <c r="O5" t="s">
        <v>788</v>
      </c>
    </row>
    <row r="6" spans="1:15">
      <c r="A6" t="s">
        <v>780</v>
      </c>
      <c r="B6" t="s">
        <v>803</v>
      </c>
      <c r="C6" t="s">
        <v>804</v>
      </c>
      <c r="D6" t="s">
        <v>783</v>
      </c>
      <c r="E6" t="s">
        <v>20</v>
      </c>
      <c r="F6" t="s">
        <v>784</v>
      </c>
      <c r="G6" t="s">
        <v>805</v>
      </c>
      <c r="H6" t="s">
        <v>804</v>
      </c>
      <c r="I6" t="s">
        <v>805</v>
      </c>
      <c r="J6">
        <v>40</v>
      </c>
      <c r="K6" t="s">
        <v>11</v>
      </c>
      <c r="L6">
        <v>6</v>
      </c>
      <c r="M6" t="s">
        <v>806</v>
      </c>
      <c r="N6" t="s">
        <v>807</v>
      </c>
      <c r="O6" t="s">
        <v>788</v>
      </c>
    </row>
    <row r="7" spans="1:15">
      <c r="A7" t="s">
        <v>808</v>
      </c>
      <c r="B7" t="s">
        <v>809</v>
      </c>
      <c r="C7" t="s">
        <v>5</v>
      </c>
      <c r="D7" t="s">
        <v>783</v>
      </c>
      <c r="E7" t="s">
        <v>20</v>
      </c>
      <c r="F7" t="s">
        <v>784</v>
      </c>
      <c r="G7" t="s">
        <v>8</v>
      </c>
      <c r="H7" t="s">
        <v>5</v>
      </c>
      <c r="I7" t="s">
        <v>8</v>
      </c>
      <c r="J7">
        <v>20</v>
      </c>
      <c r="K7" t="s">
        <v>11</v>
      </c>
      <c r="L7">
        <v>4</v>
      </c>
      <c r="M7" t="s">
        <v>16</v>
      </c>
      <c r="N7" t="s">
        <v>18</v>
      </c>
      <c r="O7" t="s">
        <v>20</v>
      </c>
    </row>
    <row r="8" spans="1:15">
      <c r="A8" t="s">
        <v>808</v>
      </c>
      <c r="B8" t="s">
        <v>810</v>
      </c>
      <c r="C8" t="s">
        <v>129</v>
      </c>
      <c r="D8" t="s">
        <v>783</v>
      </c>
      <c r="E8" t="s">
        <v>20</v>
      </c>
      <c r="F8" t="s">
        <v>784</v>
      </c>
      <c r="G8" t="s">
        <v>131</v>
      </c>
      <c r="H8" t="s">
        <v>129</v>
      </c>
      <c r="I8" t="s">
        <v>131</v>
      </c>
      <c r="J8">
        <v>20</v>
      </c>
      <c r="K8">
        <v>1</v>
      </c>
      <c r="L8">
        <v>4</v>
      </c>
      <c r="M8" t="s">
        <v>133</v>
      </c>
      <c r="N8" t="s">
        <v>134</v>
      </c>
      <c r="O8" t="s">
        <v>135</v>
      </c>
    </row>
    <row r="9" spans="1:15">
      <c r="A9" t="s">
        <v>808</v>
      </c>
      <c r="B9" t="s">
        <v>811</v>
      </c>
      <c r="C9" t="s">
        <v>198</v>
      </c>
      <c r="D9" t="s">
        <v>783</v>
      </c>
      <c r="E9" t="s">
        <v>20</v>
      </c>
      <c r="F9" t="s">
        <v>784</v>
      </c>
      <c r="G9" t="s">
        <v>200</v>
      </c>
      <c r="H9" t="s">
        <v>198</v>
      </c>
      <c r="I9" t="s">
        <v>200</v>
      </c>
      <c r="J9">
        <v>20</v>
      </c>
      <c r="K9">
        <v>2</v>
      </c>
      <c r="L9">
        <v>4</v>
      </c>
      <c r="M9" t="s">
        <v>202</v>
      </c>
      <c r="N9" t="s">
        <v>134</v>
      </c>
      <c r="O9" t="s">
        <v>20</v>
      </c>
    </row>
    <row r="10" spans="1:15">
      <c r="A10" t="s">
        <v>808</v>
      </c>
      <c r="B10" t="s">
        <v>812</v>
      </c>
      <c r="C10" t="s">
        <v>264</v>
      </c>
      <c r="D10" t="s">
        <v>783</v>
      </c>
      <c r="E10" t="s">
        <v>20</v>
      </c>
      <c r="F10" t="s">
        <v>784</v>
      </c>
      <c r="G10" t="s">
        <v>266</v>
      </c>
      <c r="H10" t="s">
        <v>264</v>
      </c>
      <c r="I10" t="s">
        <v>266</v>
      </c>
      <c r="J10">
        <v>20</v>
      </c>
      <c r="K10">
        <v>2</v>
      </c>
      <c r="L10">
        <v>4</v>
      </c>
      <c r="M10" t="s">
        <v>268</v>
      </c>
      <c r="N10" t="s">
        <v>134</v>
      </c>
      <c r="O10" t="s">
        <v>20</v>
      </c>
    </row>
    <row r="11" spans="1:15">
      <c r="A11" t="s">
        <v>808</v>
      </c>
      <c r="B11" t="s">
        <v>813</v>
      </c>
      <c r="C11" t="s">
        <v>317</v>
      </c>
      <c r="D11" t="s">
        <v>783</v>
      </c>
      <c r="E11" t="s">
        <v>20</v>
      </c>
      <c r="F11" t="s">
        <v>784</v>
      </c>
      <c r="G11" t="s">
        <v>319</v>
      </c>
      <c r="H11" t="s">
        <v>317</v>
      </c>
      <c r="I11" t="s">
        <v>319</v>
      </c>
      <c r="J11">
        <v>20</v>
      </c>
      <c r="K11" t="s">
        <v>11</v>
      </c>
      <c r="L11">
        <v>5</v>
      </c>
      <c r="M11" t="s">
        <v>16</v>
      </c>
      <c r="N11" t="s">
        <v>18</v>
      </c>
      <c r="O11" t="s">
        <v>20</v>
      </c>
    </row>
    <row r="12" spans="1:15">
      <c r="A12" t="s">
        <v>808</v>
      </c>
      <c r="B12" t="s">
        <v>814</v>
      </c>
      <c r="C12" t="s">
        <v>492</v>
      </c>
      <c r="D12" t="s">
        <v>783</v>
      </c>
      <c r="E12" t="s">
        <v>20</v>
      </c>
      <c r="F12" t="s">
        <v>784</v>
      </c>
      <c r="G12" t="s">
        <v>494</v>
      </c>
      <c r="H12" t="s">
        <v>492</v>
      </c>
      <c r="I12" t="s">
        <v>494</v>
      </c>
      <c r="J12">
        <v>20</v>
      </c>
      <c r="K12">
        <v>2</v>
      </c>
      <c r="L12">
        <v>5</v>
      </c>
      <c r="M12" t="s">
        <v>496</v>
      </c>
      <c r="N12" t="s">
        <v>134</v>
      </c>
      <c r="O12" t="s">
        <v>20</v>
      </c>
    </row>
    <row r="13" spans="1:15">
      <c r="A13" t="s">
        <v>808</v>
      </c>
      <c r="B13" t="s">
        <v>815</v>
      </c>
      <c r="C13" t="s">
        <v>377</v>
      </c>
      <c r="D13" t="s">
        <v>783</v>
      </c>
      <c r="E13" t="s">
        <v>20</v>
      </c>
      <c r="F13" t="s">
        <v>784</v>
      </c>
      <c r="G13" t="s">
        <v>379</v>
      </c>
      <c r="H13" t="s">
        <v>377</v>
      </c>
      <c r="I13" t="s">
        <v>379</v>
      </c>
      <c r="J13">
        <v>20</v>
      </c>
      <c r="K13">
        <v>1</v>
      </c>
      <c r="L13">
        <v>5</v>
      </c>
      <c r="M13" t="s">
        <v>381</v>
      </c>
      <c r="N13" t="s">
        <v>134</v>
      </c>
      <c r="O13" t="s">
        <v>20</v>
      </c>
    </row>
    <row r="14" spans="1:15">
      <c r="A14" t="s">
        <v>808</v>
      </c>
      <c r="B14" t="s">
        <v>816</v>
      </c>
      <c r="C14" t="s">
        <v>438</v>
      </c>
      <c r="D14" t="s">
        <v>783</v>
      </c>
      <c r="E14" t="s">
        <v>20</v>
      </c>
      <c r="F14" t="s">
        <v>784</v>
      </c>
      <c r="G14" t="s">
        <v>817</v>
      </c>
      <c r="H14" t="s">
        <v>438</v>
      </c>
      <c r="I14" t="s">
        <v>440</v>
      </c>
      <c r="J14">
        <v>20</v>
      </c>
      <c r="K14">
        <v>2</v>
      </c>
      <c r="L14">
        <v>5</v>
      </c>
      <c r="M14" t="s">
        <v>442</v>
      </c>
      <c r="N14" t="s">
        <v>134</v>
      </c>
      <c r="O14" t="s">
        <v>20</v>
      </c>
    </row>
    <row r="15" spans="1:15">
      <c r="A15" t="s">
        <v>808</v>
      </c>
      <c r="B15" t="s">
        <v>818</v>
      </c>
      <c r="C15" t="s">
        <v>545</v>
      </c>
      <c r="D15" t="s">
        <v>783</v>
      </c>
      <c r="E15" t="s">
        <v>20</v>
      </c>
      <c r="F15" t="s">
        <v>784</v>
      </c>
      <c r="G15" t="s">
        <v>547</v>
      </c>
      <c r="H15" t="s">
        <v>545</v>
      </c>
      <c r="I15" t="s">
        <v>547</v>
      </c>
      <c r="J15">
        <v>20</v>
      </c>
      <c r="K15">
        <v>1</v>
      </c>
      <c r="L15">
        <v>6</v>
      </c>
      <c r="M15" t="s">
        <v>202</v>
      </c>
      <c r="N15" t="s">
        <v>134</v>
      </c>
      <c r="O15" t="s">
        <v>20</v>
      </c>
    </row>
    <row r="16" spans="1:15">
      <c r="A16" t="s">
        <v>808</v>
      </c>
      <c r="B16" t="s">
        <v>819</v>
      </c>
      <c r="C16" t="s">
        <v>596</v>
      </c>
      <c r="D16" t="s">
        <v>783</v>
      </c>
      <c r="E16" t="s">
        <v>20</v>
      </c>
      <c r="F16" t="s">
        <v>784</v>
      </c>
      <c r="G16" t="s">
        <v>598</v>
      </c>
      <c r="H16" t="s">
        <v>596</v>
      </c>
      <c r="I16" t="s">
        <v>598</v>
      </c>
      <c r="J16">
        <v>20</v>
      </c>
      <c r="K16">
        <v>1</v>
      </c>
      <c r="L16">
        <v>6</v>
      </c>
      <c r="M16" t="s">
        <v>600</v>
      </c>
      <c r="N16" t="s">
        <v>134</v>
      </c>
      <c r="O16" t="s">
        <v>20</v>
      </c>
    </row>
    <row r="17" spans="1:15">
      <c r="A17" t="s">
        <v>808</v>
      </c>
      <c r="B17" t="s">
        <v>820</v>
      </c>
      <c r="C17" t="s">
        <v>650</v>
      </c>
      <c r="D17" t="s">
        <v>783</v>
      </c>
      <c r="E17" t="s">
        <v>20</v>
      </c>
      <c r="F17" t="s">
        <v>784</v>
      </c>
      <c r="G17" t="s">
        <v>652</v>
      </c>
      <c r="H17" t="s">
        <v>650</v>
      </c>
      <c r="I17" t="s">
        <v>652</v>
      </c>
      <c r="J17">
        <v>20</v>
      </c>
      <c r="K17">
        <v>2</v>
      </c>
      <c r="L17">
        <v>6</v>
      </c>
      <c r="M17" t="s">
        <v>654</v>
      </c>
      <c r="N17" t="s">
        <v>134</v>
      </c>
      <c r="O17" t="s">
        <v>20</v>
      </c>
    </row>
    <row r="18" spans="1:15">
      <c r="A18" t="s">
        <v>808</v>
      </c>
      <c r="B18" t="s">
        <v>821</v>
      </c>
      <c r="C18" t="s">
        <v>710</v>
      </c>
      <c r="D18" t="s">
        <v>783</v>
      </c>
      <c r="E18" t="s">
        <v>20</v>
      </c>
      <c r="F18" t="s">
        <v>784</v>
      </c>
      <c r="G18" t="s">
        <v>822</v>
      </c>
      <c r="H18" t="s">
        <v>710</v>
      </c>
      <c r="I18" t="s">
        <v>712</v>
      </c>
      <c r="J18">
        <v>60</v>
      </c>
      <c r="K18" t="s">
        <v>11</v>
      </c>
      <c r="L18">
        <v>6</v>
      </c>
      <c r="M18" t="s">
        <v>714</v>
      </c>
      <c r="N18" t="s">
        <v>715</v>
      </c>
      <c r="O18" t="s">
        <v>20</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504AA5-E332-4E5E-9E92-8815AA7EB95C}">
  <sheetPr codeName="Sheet16"/>
  <dimension ref="A1:I18"/>
  <sheetViews>
    <sheetView workbookViewId="0">
      <selection activeCell="H18" sqref="H18"/>
    </sheetView>
  </sheetViews>
  <sheetFormatPr defaultRowHeight="15"/>
  <cols>
    <col min="1" max="1" width="14.7109375" bestFit="1" customWidth="1"/>
    <col min="2" max="2" width="45.85546875" bestFit="1" customWidth="1"/>
    <col min="3" max="3" width="8.140625" bestFit="1" customWidth="1"/>
    <col min="4" max="4" width="12" bestFit="1" customWidth="1"/>
    <col min="5" max="5" width="10" bestFit="1" customWidth="1"/>
    <col min="6" max="6" width="20.7109375" bestFit="1" customWidth="1"/>
    <col min="7" max="7" width="48.85546875" bestFit="1" customWidth="1"/>
    <col min="8" max="8" width="21.28515625" bestFit="1" customWidth="1"/>
    <col min="9" max="9" width="18.140625" bestFit="1" customWidth="1"/>
  </cols>
  <sheetData>
    <row r="1" spans="1:9">
      <c r="A1" t="s">
        <v>775</v>
      </c>
      <c r="B1" t="s">
        <v>779</v>
      </c>
      <c r="C1" t="s">
        <v>13</v>
      </c>
      <c r="D1" t="s">
        <v>10</v>
      </c>
      <c r="E1" t="s">
        <v>9</v>
      </c>
      <c r="F1" t="s">
        <v>15</v>
      </c>
      <c r="G1" t="s">
        <v>17</v>
      </c>
      <c r="H1" t="s">
        <v>823</v>
      </c>
      <c r="I1" t="s">
        <v>824</v>
      </c>
    </row>
    <row r="2" spans="1:9">
      <c r="A2" t="s">
        <v>782</v>
      </c>
      <c r="B2" t="s">
        <v>785</v>
      </c>
      <c r="C2">
        <v>4</v>
      </c>
      <c r="D2">
        <v>2</v>
      </c>
      <c r="E2">
        <v>20</v>
      </c>
      <c r="F2" t="s">
        <v>786</v>
      </c>
      <c r="G2" t="s">
        <v>787</v>
      </c>
      <c r="H2">
        <v>44</v>
      </c>
      <c r="I2">
        <v>2.2000000000000002</v>
      </c>
    </row>
    <row r="3" spans="1:9">
      <c r="A3" t="s">
        <v>790</v>
      </c>
      <c r="B3" t="s">
        <v>791</v>
      </c>
      <c r="C3">
        <v>4</v>
      </c>
      <c r="D3">
        <v>1</v>
      </c>
      <c r="E3">
        <v>20</v>
      </c>
      <c r="F3" t="s">
        <v>793</v>
      </c>
      <c r="G3" t="s">
        <v>134</v>
      </c>
      <c r="H3">
        <v>44</v>
      </c>
      <c r="I3">
        <v>2.2000000000000002</v>
      </c>
    </row>
    <row r="4" spans="1:9">
      <c r="A4" t="s">
        <v>796</v>
      </c>
      <c r="B4" t="s">
        <v>797</v>
      </c>
      <c r="C4">
        <v>5</v>
      </c>
      <c r="D4">
        <v>2</v>
      </c>
      <c r="E4">
        <v>20</v>
      </c>
      <c r="F4" t="s">
        <v>798</v>
      </c>
      <c r="G4" t="s">
        <v>787</v>
      </c>
      <c r="H4">
        <v>48</v>
      </c>
      <c r="I4">
        <v>2.4</v>
      </c>
    </row>
    <row r="5" spans="1:9">
      <c r="A5" t="s">
        <v>800</v>
      </c>
      <c r="B5" t="s">
        <v>801</v>
      </c>
      <c r="C5">
        <v>5</v>
      </c>
      <c r="D5">
        <v>2</v>
      </c>
      <c r="E5">
        <v>20</v>
      </c>
      <c r="F5" t="s">
        <v>802</v>
      </c>
      <c r="G5" t="s">
        <v>134</v>
      </c>
      <c r="H5">
        <v>40</v>
      </c>
      <c r="I5">
        <v>2</v>
      </c>
    </row>
    <row r="6" spans="1:9">
      <c r="A6" t="s">
        <v>804</v>
      </c>
      <c r="B6" t="s">
        <v>805</v>
      </c>
      <c r="C6">
        <v>6</v>
      </c>
      <c r="E6">
        <v>40</v>
      </c>
      <c r="F6" t="s">
        <v>806</v>
      </c>
      <c r="G6" t="s">
        <v>807</v>
      </c>
      <c r="H6">
        <v>22</v>
      </c>
      <c r="I6">
        <v>0.55000000000000004</v>
      </c>
    </row>
    <row r="7" spans="1:9">
      <c r="A7" t="s">
        <v>5</v>
      </c>
      <c r="B7" t="s">
        <v>8</v>
      </c>
      <c r="C7">
        <v>4</v>
      </c>
      <c r="E7">
        <v>20</v>
      </c>
      <c r="F7" t="s">
        <v>16</v>
      </c>
      <c r="G7" t="s">
        <v>18</v>
      </c>
      <c r="H7">
        <v>50</v>
      </c>
      <c r="I7">
        <v>2.5</v>
      </c>
    </row>
    <row r="8" spans="1:9">
      <c r="A8" t="s">
        <v>129</v>
      </c>
      <c r="B8" t="s">
        <v>131</v>
      </c>
      <c r="C8">
        <v>4</v>
      </c>
      <c r="D8">
        <v>1</v>
      </c>
      <c r="E8">
        <v>20</v>
      </c>
      <c r="F8" t="s">
        <v>133</v>
      </c>
      <c r="G8" t="s">
        <v>134</v>
      </c>
      <c r="H8">
        <v>41</v>
      </c>
      <c r="I8">
        <v>2.0499999999999998</v>
      </c>
    </row>
    <row r="9" spans="1:9">
      <c r="A9" t="s">
        <v>198</v>
      </c>
      <c r="B9" t="s">
        <v>200</v>
      </c>
      <c r="C9">
        <v>4</v>
      </c>
      <c r="D9">
        <v>2</v>
      </c>
      <c r="E9">
        <v>20</v>
      </c>
      <c r="F9" t="s">
        <v>202</v>
      </c>
      <c r="G9" t="s">
        <v>134</v>
      </c>
      <c r="H9">
        <v>40</v>
      </c>
      <c r="I9">
        <v>2</v>
      </c>
    </row>
    <row r="10" spans="1:9">
      <c r="A10" t="s">
        <v>264</v>
      </c>
      <c r="B10" t="s">
        <v>266</v>
      </c>
      <c r="C10">
        <v>4</v>
      </c>
      <c r="D10">
        <v>2</v>
      </c>
      <c r="E10">
        <v>20</v>
      </c>
      <c r="F10" t="s">
        <v>268</v>
      </c>
      <c r="G10" t="s">
        <v>134</v>
      </c>
      <c r="H10">
        <v>44</v>
      </c>
      <c r="I10">
        <v>2.2000000000000002</v>
      </c>
    </row>
    <row r="11" spans="1:9">
      <c r="A11" t="s">
        <v>317</v>
      </c>
      <c r="B11" t="s">
        <v>319</v>
      </c>
      <c r="C11">
        <v>5</v>
      </c>
      <c r="E11">
        <v>20</v>
      </c>
      <c r="F11" t="s">
        <v>16</v>
      </c>
      <c r="G11" t="s">
        <v>18</v>
      </c>
      <c r="H11">
        <v>50</v>
      </c>
      <c r="I11">
        <v>2.5</v>
      </c>
    </row>
    <row r="12" spans="1:9">
      <c r="A12" t="s">
        <v>492</v>
      </c>
      <c r="B12" t="s">
        <v>494</v>
      </c>
      <c r="C12">
        <v>5</v>
      </c>
      <c r="D12">
        <v>2</v>
      </c>
      <c r="E12">
        <v>20</v>
      </c>
      <c r="F12" t="s">
        <v>496</v>
      </c>
      <c r="G12" t="s">
        <v>134</v>
      </c>
      <c r="H12">
        <v>40</v>
      </c>
      <c r="I12">
        <v>2</v>
      </c>
    </row>
    <row r="13" spans="1:9">
      <c r="A13" t="s">
        <v>377</v>
      </c>
      <c r="B13" t="s">
        <v>379</v>
      </c>
      <c r="C13">
        <v>5</v>
      </c>
      <c r="D13">
        <v>1</v>
      </c>
      <c r="E13">
        <v>20</v>
      </c>
      <c r="F13" t="s">
        <v>381</v>
      </c>
      <c r="G13" t="s">
        <v>134</v>
      </c>
      <c r="H13">
        <v>40</v>
      </c>
      <c r="I13">
        <v>2</v>
      </c>
    </row>
    <row r="14" spans="1:9">
      <c r="A14" t="s">
        <v>438</v>
      </c>
      <c r="B14" t="s">
        <v>817</v>
      </c>
      <c r="C14">
        <v>5</v>
      </c>
      <c r="D14">
        <v>2</v>
      </c>
      <c r="E14">
        <v>20</v>
      </c>
      <c r="F14" t="s">
        <v>442</v>
      </c>
      <c r="G14" t="s">
        <v>134</v>
      </c>
      <c r="H14">
        <v>40</v>
      </c>
      <c r="I14">
        <v>2</v>
      </c>
    </row>
    <row r="15" spans="1:9">
      <c r="A15" t="s">
        <v>545</v>
      </c>
      <c r="B15" t="s">
        <v>547</v>
      </c>
      <c r="C15">
        <v>6</v>
      </c>
      <c r="D15">
        <v>1</v>
      </c>
      <c r="E15">
        <v>20</v>
      </c>
      <c r="F15" t="s">
        <v>202</v>
      </c>
      <c r="G15" t="s">
        <v>134</v>
      </c>
      <c r="H15">
        <v>45</v>
      </c>
      <c r="I15">
        <v>2.25</v>
      </c>
    </row>
    <row r="16" spans="1:9">
      <c r="A16" t="s">
        <v>596</v>
      </c>
      <c r="B16" t="s">
        <v>598</v>
      </c>
      <c r="C16">
        <v>6</v>
      </c>
      <c r="D16">
        <v>1</v>
      </c>
      <c r="E16">
        <v>20</v>
      </c>
      <c r="F16" t="s">
        <v>600</v>
      </c>
      <c r="G16" t="s">
        <v>134</v>
      </c>
      <c r="H16">
        <v>40</v>
      </c>
      <c r="I16">
        <v>2</v>
      </c>
    </row>
    <row r="17" spans="1:9">
      <c r="A17" t="s">
        <v>650</v>
      </c>
      <c r="B17" t="s">
        <v>652</v>
      </c>
      <c r="C17">
        <v>6</v>
      </c>
      <c r="D17">
        <v>2</v>
      </c>
      <c r="E17">
        <v>20</v>
      </c>
      <c r="F17" t="s">
        <v>654</v>
      </c>
      <c r="G17" t="s">
        <v>134</v>
      </c>
      <c r="H17">
        <v>49</v>
      </c>
      <c r="I17">
        <v>2.4500000000000002</v>
      </c>
    </row>
    <row r="18" spans="1:9">
      <c r="A18" t="s">
        <v>710</v>
      </c>
      <c r="B18" t="s">
        <v>822</v>
      </c>
      <c r="C18">
        <v>6</v>
      </c>
      <c r="E18">
        <v>60</v>
      </c>
      <c r="F18" t="s">
        <v>714</v>
      </c>
      <c r="G18" t="s">
        <v>715</v>
      </c>
      <c r="H18">
        <v>60</v>
      </c>
      <c r="I18">
        <v>1</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41E06A-BCB8-4E7C-927E-09E3D4CCC6D2}">
  <sheetPr codeName="Sheet17"/>
  <dimension ref="A1:N18"/>
  <sheetViews>
    <sheetView workbookViewId="0">
      <selection activeCell="N23" sqref="N23"/>
    </sheetView>
  </sheetViews>
  <sheetFormatPr defaultRowHeight="15"/>
  <cols>
    <col min="1" max="1" width="48.140625" bestFit="1" customWidth="1"/>
    <col min="2" max="2" width="16" bestFit="1" customWidth="1"/>
    <col min="3" max="3" width="14.7109375" bestFit="1" customWidth="1"/>
    <col min="4" max="4" width="12.5703125" bestFit="1" customWidth="1"/>
    <col min="5" max="5" width="13.85546875" bestFit="1" customWidth="1"/>
    <col min="6" max="6" width="12.140625" bestFit="1" customWidth="1"/>
    <col min="7" max="7" width="45.85546875" bestFit="1" customWidth="1"/>
    <col min="8" max="8" width="10.140625" bestFit="1" customWidth="1"/>
    <col min="9" max="9" width="10.85546875" bestFit="1" customWidth="1"/>
    <col min="10" max="10" width="11.42578125" bestFit="1" customWidth="1"/>
    <col min="11" max="11" width="12.42578125" bestFit="1" customWidth="1"/>
    <col min="12" max="12" width="9.28515625" bestFit="1" customWidth="1"/>
    <col min="13" max="13" width="7.85546875" bestFit="1" customWidth="1"/>
    <col min="14" max="14" width="22.42578125" bestFit="1" customWidth="1"/>
  </cols>
  <sheetData>
    <row r="1" spans="1:14">
      <c r="A1" t="s">
        <v>773</v>
      </c>
      <c r="B1" t="s">
        <v>774</v>
      </c>
      <c r="C1" t="s">
        <v>775</v>
      </c>
      <c r="D1" t="s">
        <v>776</v>
      </c>
      <c r="E1" t="s">
        <v>777</v>
      </c>
      <c r="F1" t="s">
        <v>778</v>
      </c>
      <c r="G1" t="s">
        <v>779</v>
      </c>
      <c r="H1" t="s">
        <v>25</v>
      </c>
      <c r="I1" t="s">
        <v>26</v>
      </c>
      <c r="J1" t="s">
        <v>27</v>
      </c>
      <c r="K1" t="s">
        <v>28</v>
      </c>
      <c r="L1" t="s">
        <v>30</v>
      </c>
      <c r="M1" t="s">
        <v>32</v>
      </c>
      <c r="N1" t="s">
        <v>825</v>
      </c>
    </row>
    <row r="2" spans="1:14">
      <c r="A2" t="s">
        <v>780</v>
      </c>
      <c r="B2" t="s">
        <v>826</v>
      </c>
      <c r="C2" t="s">
        <v>782</v>
      </c>
      <c r="D2" t="s">
        <v>827</v>
      </c>
      <c r="E2" t="s">
        <v>20</v>
      </c>
      <c r="F2" t="s">
        <v>784</v>
      </c>
      <c r="G2" t="s">
        <v>785</v>
      </c>
      <c r="H2">
        <v>34</v>
      </c>
      <c r="I2">
        <v>6</v>
      </c>
      <c r="K2">
        <v>4</v>
      </c>
      <c r="M2">
        <v>44</v>
      </c>
    </row>
    <row r="3" spans="1:14">
      <c r="A3" t="s">
        <v>780</v>
      </c>
      <c r="B3" t="s">
        <v>828</v>
      </c>
      <c r="C3" t="s">
        <v>790</v>
      </c>
      <c r="D3" t="s">
        <v>827</v>
      </c>
      <c r="E3" t="s">
        <v>20</v>
      </c>
      <c r="F3" t="s">
        <v>784</v>
      </c>
      <c r="G3" t="s">
        <v>791</v>
      </c>
      <c r="H3">
        <v>33</v>
      </c>
      <c r="I3">
        <v>1</v>
      </c>
      <c r="J3">
        <v>6</v>
      </c>
      <c r="K3">
        <v>1</v>
      </c>
      <c r="L3">
        <v>3</v>
      </c>
      <c r="M3">
        <v>44</v>
      </c>
    </row>
    <row r="4" spans="1:14">
      <c r="A4" t="s">
        <v>780</v>
      </c>
      <c r="B4" t="s">
        <v>829</v>
      </c>
      <c r="C4" t="s">
        <v>796</v>
      </c>
      <c r="D4" t="s">
        <v>827</v>
      </c>
      <c r="E4" t="s">
        <v>20</v>
      </c>
      <c r="F4" t="s">
        <v>784</v>
      </c>
      <c r="G4" t="s">
        <v>797</v>
      </c>
      <c r="H4">
        <v>34</v>
      </c>
      <c r="I4">
        <v>12</v>
      </c>
      <c r="K4">
        <v>2</v>
      </c>
      <c r="M4">
        <v>48</v>
      </c>
    </row>
    <row r="5" spans="1:14">
      <c r="A5" t="s">
        <v>780</v>
      </c>
      <c r="B5" t="s">
        <v>830</v>
      </c>
      <c r="C5" t="s">
        <v>800</v>
      </c>
      <c r="D5" t="s">
        <v>827</v>
      </c>
      <c r="E5" t="s">
        <v>20</v>
      </c>
      <c r="F5" t="s">
        <v>784</v>
      </c>
      <c r="G5" t="s">
        <v>801</v>
      </c>
      <c r="H5">
        <v>16</v>
      </c>
      <c r="I5">
        <v>5</v>
      </c>
      <c r="J5">
        <v>6</v>
      </c>
      <c r="K5">
        <v>7</v>
      </c>
      <c r="M5">
        <v>40</v>
      </c>
      <c r="N5">
        <v>6</v>
      </c>
    </row>
    <row r="6" spans="1:14">
      <c r="A6" t="s">
        <v>780</v>
      </c>
      <c r="B6" t="s">
        <v>831</v>
      </c>
      <c r="C6" t="s">
        <v>804</v>
      </c>
      <c r="D6" t="s">
        <v>827</v>
      </c>
      <c r="E6" t="s">
        <v>20</v>
      </c>
      <c r="F6" t="s">
        <v>784</v>
      </c>
      <c r="G6" t="s">
        <v>805</v>
      </c>
      <c r="H6">
        <v>12</v>
      </c>
      <c r="I6">
        <v>10</v>
      </c>
      <c r="M6">
        <v>22</v>
      </c>
    </row>
    <row r="7" spans="1:14">
      <c r="A7" t="s">
        <v>808</v>
      </c>
      <c r="B7" t="s">
        <v>832</v>
      </c>
      <c r="C7" t="s">
        <v>5</v>
      </c>
      <c r="D7" t="s">
        <v>827</v>
      </c>
      <c r="E7" t="s">
        <v>20</v>
      </c>
      <c r="F7" t="s">
        <v>784</v>
      </c>
      <c r="G7" t="s">
        <v>8</v>
      </c>
      <c r="H7">
        <v>20</v>
      </c>
      <c r="I7">
        <v>10</v>
      </c>
      <c r="J7">
        <v>6</v>
      </c>
      <c r="K7">
        <v>14</v>
      </c>
      <c r="M7">
        <v>50</v>
      </c>
    </row>
    <row r="8" spans="1:14">
      <c r="A8" t="s">
        <v>808</v>
      </c>
      <c r="B8" t="s">
        <v>833</v>
      </c>
      <c r="C8" t="s">
        <v>129</v>
      </c>
      <c r="D8" t="s">
        <v>827</v>
      </c>
      <c r="E8" t="s">
        <v>20</v>
      </c>
      <c r="F8" t="s">
        <v>784</v>
      </c>
      <c r="G8" t="s">
        <v>131</v>
      </c>
      <c r="H8">
        <v>16</v>
      </c>
      <c r="I8">
        <v>12</v>
      </c>
      <c r="J8">
        <v>9</v>
      </c>
      <c r="K8">
        <v>4</v>
      </c>
      <c r="M8">
        <v>41</v>
      </c>
    </row>
    <row r="9" spans="1:14">
      <c r="A9" t="s">
        <v>808</v>
      </c>
      <c r="B9" t="s">
        <v>834</v>
      </c>
      <c r="C9" t="s">
        <v>198</v>
      </c>
      <c r="D9" t="s">
        <v>827</v>
      </c>
      <c r="E9" t="s">
        <v>20</v>
      </c>
      <c r="F9" t="s">
        <v>784</v>
      </c>
      <c r="G9" t="s">
        <v>200</v>
      </c>
      <c r="H9">
        <v>26</v>
      </c>
      <c r="J9">
        <v>9</v>
      </c>
      <c r="K9">
        <v>5</v>
      </c>
      <c r="M9">
        <v>40</v>
      </c>
    </row>
    <row r="10" spans="1:14">
      <c r="A10" t="s">
        <v>808</v>
      </c>
      <c r="B10" t="s">
        <v>835</v>
      </c>
      <c r="C10" t="s">
        <v>264</v>
      </c>
      <c r="D10" t="s">
        <v>827</v>
      </c>
      <c r="E10" t="s">
        <v>20</v>
      </c>
      <c r="F10" t="s">
        <v>784</v>
      </c>
      <c r="G10" t="s">
        <v>266</v>
      </c>
      <c r="H10">
        <v>22</v>
      </c>
      <c r="J10">
        <v>8</v>
      </c>
      <c r="K10">
        <v>14</v>
      </c>
      <c r="M10">
        <v>44</v>
      </c>
    </row>
    <row r="11" spans="1:14">
      <c r="A11" t="s">
        <v>808</v>
      </c>
      <c r="B11" t="s">
        <v>836</v>
      </c>
      <c r="C11" t="s">
        <v>317</v>
      </c>
      <c r="D11" t="s">
        <v>827</v>
      </c>
      <c r="E11" t="s">
        <v>20</v>
      </c>
      <c r="F11" t="s">
        <v>784</v>
      </c>
      <c r="G11" t="s">
        <v>319</v>
      </c>
      <c r="H11">
        <v>8</v>
      </c>
      <c r="I11">
        <v>10</v>
      </c>
      <c r="K11">
        <v>32</v>
      </c>
      <c r="M11">
        <v>50</v>
      </c>
    </row>
    <row r="12" spans="1:14">
      <c r="A12" t="s">
        <v>808</v>
      </c>
      <c r="B12" t="s">
        <v>837</v>
      </c>
      <c r="C12" t="s">
        <v>492</v>
      </c>
      <c r="D12" t="s">
        <v>827</v>
      </c>
      <c r="E12" t="s">
        <v>20</v>
      </c>
      <c r="F12" t="s">
        <v>784</v>
      </c>
      <c r="G12" t="s">
        <v>494</v>
      </c>
      <c r="H12">
        <v>20</v>
      </c>
      <c r="K12">
        <v>20</v>
      </c>
      <c r="M12">
        <v>40</v>
      </c>
    </row>
    <row r="13" spans="1:14">
      <c r="A13" t="s">
        <v>808</v>
      </c>
      <c r="B13" t="s">
        <v>838</v>
      </c>
      <c r="C13" t="s">
        <v>377</v>
      </c>
      <c r="D13" t="s">
        <v>827</v>
      </c>
      <c r="E13" t="s">
        <v>20</v>
      </c>
      <c r="F13" t="s">
        <v>784</v>
      </c>
      <c r="G13" t="s">
        <v>379</v>
      </c>
      <c r="H13">
        <v>14</v>
      </c>
      <c r="I13">
        <v>14</v>
      </c>
      <c r="J13">
        <v>3</v>
      </c>
      <c r="K13">
        <v>9</v>
      </c>
      <c r="L13">
        <v>0</v>
      </c>
      <c r="M13">
        <v>40</v>
      </c>
    </row>
    <row r="14" spans="1:14">
      <c r="A14" t="s">
        <v>808</v>
      </c>
      <c r="B14" t="s">
        <v>839</v>
      </c>
      <c r="C14" t="s">
        <v>438</v>
      </c>
      <c r="D14" t="s">
        <v>827</v>
      </c>
      <c r="E14" t="s">
        <v>20</v>
      </c>
      <c r="F14" t="s">
        <v>784</v>
      </c>
      <c r="G14" t="s">
        <v>817</v>
      </c>
      <c r="H14">
        <v>26</v>
      </c>
      <c r="I14">
        <v>5</v>
      </c>
      <c r="J14">
        <v>9</v>
      </c>
      <c r="M14">
        <v>40</v>
      </c>
    </row>
    <row r="15" spans="1:14">
      <c r="A15" t="s">
        <v>808</v>
      </c>
      <c r="B15" t="s">
        <v>840</v>
      </c>
      <c r="C15" t="s">
        <v>545</v>
      </c>
      <c r="D15" t="s">
        <v>827</v>
      </c>
      <c r="E15" t="s">
        <v>20</v>
      </c>
      <c r="F15" t="s">
        <v>784</v>
      </c>
      <c r="G15" t="s">
        <v>547</v>
      </c>
      <c r="H15">
        <v>18</v>
      </c>
      <c r="I15">
        <v>11</v>
      </c>
      <c r="J15">
        <v>9</v>
      </c>
      <c r="K15">
        <v>7</v>
      </c>
      <c r="L15">
        <v>0</v>
      </c>
      <c r="M15">
        <v>45</v>
      </c>
    </row>
    <row r="16" spans="1:14">
      <c r="A16" t="s">
        <v>808</v>
      </c>
      <c r="B16" t="s">
        <v>841</v>
      </c>
      <c r="C16" t="s">
        <v>596</v>
      </c>
      <c r="D16" t="s">
        <v>827</v>
      </c>
      <c r="E16" t="s">
        <v>20</v>
      </c>
      <c r="F16" t="s">
        <v>784</v>
      </c>
      <c r="G16" t="s">
        <v>598</v>
      </c>
      <c r="H16">
        <v>22</v>
      </c>
      <c r="J16">
        <v>7</v>
      </c>
      <c r="K16">
        <v>11</v>
      </c>
      <c r="M16">
        <v>40</v>
      </c>
    </row>
    <row r="17" spans="1:13">
      <c r="A17" t="s">
        <v>808</v>
      </c>
      <c r="B17" t="s">
        <v>842</v>
      </c>
      <c r="C17" t="s">
        <v>650</v>
      </c>
      <c r="D17" t="s">
        <v>827</v>
      </c>
      <c r="E17" t="s">
        <v>20</v>
      </c>
      <c r="F17" t="s">
        <v>784</v>
      </c>
      <c r="G17" t="s">
        <v>652</v>
      </c>
      <c r="H17">
        <v>22</v>
      </c>
      <c r="I17">
        <v>5</v>
      </c>
      <c r="K17">
        <v>22</v>
      </c>
      <c r="M17">
        <v>49</v>
      </c>
    </row>
    <row r="18" spans="1:13">
      <c r="A18" t="s">
        <v>808</v>
      </c>
      <c r="B18" t="s">
        <v>843</v>
      </c>
      <c r="C18" t="s">
        <v>710</v>
      </c>
      <c r="D18" t="s">
        <v>827</v>
      </c>
      <c r="E18" t="s">
        <v>20</v>
      </c>
      <c r="F18" t="s">
        <v>784</v>
      </c>
      <c r="G18" t="s">
        <v>822</v>
      </c>
      <c r="H18">
        <v>30</v>
      </c>
      <c r="K18">
        <v>30</v>
      </c>
      <c r="M18">
        <v>60</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73D04D-C04C-4F8F-A5DA-54E51F19428B}">
  <sheetPr codeName="Sheet18"/>
  <dimension ref="A1:E65"/>
  <sheetViews>
    <sheetView workbookViewId="0">
      <selection activeCell="K10" sqref="K10"/>
    </sheetView>
  </sheetViews>
  <sheetFormatPr defaultRowHeight="15"/>
  <cols>
    <col min="1" max="1" width="41.28515625" bestFit="1" customWidth="1"/>
    <col min="2" max="2" width="36.28515625" bestFit="1" customWidth="1"/>
    <col min="3" max="3" width="255.7109375" bestFit="1" customWidth="1"/>
    <col min="4" max="4" width="16" bestFit="1" customWidth="1"/>
    <col min="5" max="5" width="10.85546875" bestFit="1" customWidth="1"/>
  </cols>
  <sheetData>
    <row r="1" spans="1:5">
      <c r="A1" t="s">
        <v>844</v>
      </c>
      <c r="B1" t="s">
        <v>845</v>
      </c>
      <c r="C1" t="s">
        <v>846</v>
      </c>
      <c r="D1" t="s">
        <v>847</v>
      </c>
      <c r="E1" t="s">
        <v>848</v>
      </c>
    </row>
    <row r="2" spans="1:5">
      <c r="A2" t="s">
        <v>151</v>
      </c>
      <c r="B2" t="s">
        <v>561</v>
      </c>
      <c r="C2" t="s">
        <v>849</v>
      </c>
      <c r="D2">
        <v>4</v>
      </c>
      <c r="E2" t="b">
        <v>1</v>
      </c>
    </row>
    <row r="3" spans="1:5">
      <c r="A3" t="s">
        <v>151</v>
      </c>
      <c r="B3" t="s">
        <v>152</v>
      </c>
      <c r="C3" t="s">
        <v>850</v>
      </c>
      <c r="D3">
        <v>5</v>
      </c>
      <c r="E3" t="b">
        <v>1</v>
      </c>
    </row>
    <row r="4" spans="1:5">
      <c r="A4" t="s">
        <v>151</v>
      </c>
      <c r="B4" t="s">
        <v>219</v>
      </c>
      <c r="C4" t="s">
        <v>851</v>
      </c>
      <c r="D4">
        <v>14</v>
      </c>
      <c r="E4" t="b">
        <v>1</v>
      </c>
    </row>
    <row r="5" spans="1:5">
      <c r="A5" t="s">
        <v>76</v>
      </c>
      <c r="B5" t="s">
        <v>82</v>
      </c>
      <c r="C5" t="s">
        <v>852</v>
      </c>
      <c r="D5">
        <v>3</v>
      </c>
      <c r="E5" t="b">
        <v>1</v>
      </c>
    </row>
    <row r="6" spans="1:5">
      <c r="A6" t="s">
        <v>151</v>
      </c>
      <c r="B6" t="s">
        <v>224</v>
      </c>
      <c r="C6" t="s">
        <v>853</v>
      </c>
      <c r="D6">
        <v>6</v>
      </c>
      <c r="E6" t="b">
        <v>1</v>
      </c>
    </row>
    <row r="7" spans="1:5">
      <c r="A7" t="s">
        <v>72</v>
      </c>
      <c r="B7" t="s">
        <v>284</v>
      </c>
      <c r="C7" t="s">
        <v>854</v>
      </c>
      <c r="D7">
        <v>4</v>
      </c>
      <c r="E7" t="b">
        <v>1</v>
      </c>
    </row>
    <row r="8" spans="1:5">
      <c r="A8" t="s">
        <v>151</v>
      </c>
      <c r="B8" t="s">
        <v>157</v>
      </c>
      <c r="C8" t="s">
        <v>131</v>
      </c>
      <c r="D8">
        <v>1</v>
      </c>
      <c r="E8" t="b">
        <v>1</v>
      </c>
    </row>
    <row r="9" spans="1:5">
      <c r="A9" t="s">
        <v>154</v>
      </c>
      <c r="B9" t="s">
        <v>223</v>
      </c>
      <c r="C9" t="s">
        <v>855</v>
      </c>
      <c r="D9">
        <v>7</v>
      </c>
      <c r="E9" t="b">
        <v>1</v>
      </c>
    </row>
    <row r="10" spans="1:5">
      <c r="A10" t="s">
        <v>151</v>
      </c>
      <c r="B10" t="s">
        <v>616</v>
      </c>
      <c r="C10" t="s">
        <v>856</v>
      </c>
      <c r="D10">
        <v>3</v>
      </c>
      <c r="E10" t="b">
        <v>1</v>
      </c>
    </row>
    <row r="11" spans="1:5">
      <c r="A11" t="s">
        <v>70</v>
      </c>
      <c r="B11" t="s">
        <v>71</v>
      </c>
      <c r="C11" t="s">
        <v>857</v>
      </c>
      <c r="D11">
        <v>6</v>
      </c>
      <c r="E11" t="b">
        <v>1</v>
      </c>
    </row>
    <row r="12" spans="1:5">
      <c r="A12" t="s">
        <v>76</v>
      </c>
      <c r="B12" t="s">
        <v>221</v>
      </c>
      <c r="C12" t="s">
        <v>858</v>
      </c>
      <c r="D12">
        <v>3</v>
      </c>
      <c r="E12" t="b">
        <v>1</v>
      </c>
    </row>
    <row r="13" spans="1:5">
      <c r="A13" t="s">
        <v>76</v>
      </c>
      <c r="B13" t="s">
        <v>77</v>
      </c>
      <c r="C13" t="s">
        <v>859</v>
      </c>
      <c r="D13">
        <v>4</v>
      </c>
      <c r="E13" t="b">
        <v>1</v>
      </c>
    </row>
    <row r="14" spans="1:5">
      <c r="A14" t="s">
        <v>76</v>
      </c>
      <c r="B14" t="s">
        <v>222</v>
      </c>
      <c r="C14" t="s">
        <v>860</v>
      </c>
      <c r="D14">
        <v>5</v>
      </c>
      <c r="E14" t="b">
        <v>1</v>
      </c>
    </row>
    <row r="15" spans="1:5">
      <c r="A15" t="s">
        <v>74</v>
      </c>
      <c r="B15" t="s">
        <v>338</v>
      </c>
      <c r="C15" t="s">
        <v>861</v>
      </c>
      <c r="D15">
        <v>2</v>
      </c>
      <c r="E15" t="b">
        <v>1</v>
      </c>
    </row>
    <row r="16" spans="1:5">
      <c r="A16" t="s">
        <v>76</v>
      </c>
      <c r="B16" t="s">
        <v>281</v>
      </c>
      <c r="C16" t="s">
        <v>862</v>
      </c>
      <c r="D16">
        <v>2</v>
      </c>
      <c r="E16" t="b">
        <v>1</v>
      </c>
    </row>
    <row r="17" spans="1:5">
      <c r="A17" t="s">
        <v>72</v>
      </c>
      <c r="B17" t="s">
        <v>457</v>
      </c>
      <c r="C17" t="s">
        <v>863</v>
      </c>
      <c r="D17">
        <v>4</v>
      </c>
      <c r="E17" t="b">
        <v>1</v>
      </c>
    </row>
    <row r="18" spans="1:5">
      <c r="A18" t="s">
        <v>72</v>
      </c>
      <c r="B18" t="s">
        <v>220</v>
      </c>
      <c r="C18" t="s">
        <v>864</v>
      </c>
      <c r="D18">
        <v>2</v>
      </c>
      <c r="E18" t="b">
        <v>1</v>
      </c>
    </row>
    <row r="19" spans="1:5">
      <c r="A19" t="s">
        <v>76</v>
      </c>
      <c r="B19" t="s">
        <v>396</v>
      </c>
      <c r="C19" t="s">
        <v>865</v>
      </c>
      <c r="D19">
        <v>2</v>
      </c>
      <c r="E19" t="b">
        <v>1</v>
      </c>
    </row>
    <row r="20" spans="1:5">
      <c r="A20" t="s">
        <v>74</v>
      </c>
      <c r="B20" t="s">
        <v>153</v>
      </c>
      <c r="C20" t="s">
        <v>866</v>
      </c>
      <c r="D20">
        <v>8</v>
      </c>
      <c r="E20" t="b">
        <v>1</v>
      </c>
    </row>
    <row r="21" spans="1:5">
      <c r="A21" t="s">
        <v>154</v>
      </c>
      <c r="B21" t="s">
        <v>283</v>
      </c>
      <c r="C21" t="s">
        <v>867</v>
      </c>
      <c r="D21">
        <v>2</v>
      </c>
      <c r="E21" t="b">
        <v>1</v>
      </c>
    </row>
    <row r="22" spans="1:5">
      <c r="A22" t="s">
        <v>72</v>
      </c>
      <c r="B22" t="s">
        <v>73</v>
      </c>
      <c r="C22" t="s">
        <v>868</v>
      </c>
      <c r="D22">
        <v>5</v>
      </c>
      <c r="E22" t="b">
        <v>1</v>
      </c>
    </row>
    <row r="23" spans="1:5">
      <c r="A23" t="s">
        <v>74</v>
      </c>
      <c r="B23" t="s">
        <v>456</v>
      </c>
      <c r="C23" t="s">
        <v>869</v>
      </c>
      <c r="D23">
        <v>5</v>
      </c>
      <c r="E23" t="b">
        <v>1</v>
      </c>
    </row>
    <row r="24" spans="1:5">
      <c r="A24" t="s">
        <v>72</v>
      </c>
      <c r="B24" t="s">
        <v>340</v>
      </c>
      <c r="C24" t="s">
        <v>870</v>
      </c>
      <c r="D24">
        <v>2</v>
      </c>
      <c r="E24" t="b">
        <v>1</v>
      </c>
    </row>
    <row r="25" spans="1:5">
      <c r="A25" t="s">
        <v>74</v>
      </c>
      <c r="B25" t="s">
        <v>337</v>
      </c>
      <c r="C25" t="s">
        <v>871</v>
      </c>
      <c r="D25">
        <v>3</v>
      </c>
      <c r="E25" t="b">
        <v>1</v>
      </c>
    </row>
    <row r="26" spans="1:5">
      <c r="A26" t="s">
        <v>72</v>
      </c>
      <c r="B26" t="s">
        <v>402</v>
      </c>
      <c r="C26" t="s">
        <v>872</v>
      </c>
      <c r="D26">
        <v>3</v>
      </c>
      <c r="E26" t="b">
        <v>1</v>
      </c>
    </row>
    <row r="27" spans="1:5">
      <c r="A27" t="s">
        <v>158</v>
      </c>
      <c r="B27" t="s">
        <v>339</v>
      </c>
      <c r="C27" t="s">
        <v>873</v>
      </c>
      <c r="D27">
        <v>3</v>
      </c>
      <c r="E27" t="b">
        <v>1</v>
      </c>
    </row>
    <row r="28" spans="1:5">
      <c r="A28" t="s">
        <v>154</v>
      </c>
      <c r="B28" t="s">
        <v>156</v>
      </c>
      <c r="C28" t="s">
        <v>874</v>
      </c>
      <c r="D28">
        <v>3</v>
      </c>
      <c r="E28" t="b">
        <v>1</v>
      </c>
    </row>
    <row r="29" spans="1:5">
      <c r="A29" t="s">
        <v>154</v>
      </c>
      <c r="B29" t="s">
        <v>282</v>
      </c>
      <c r="C29" t="s">
        <v>875</v>
      </c>
      <c r="D29">
        <v>5</v>
      </c>
      <c r="E29" t="b">
        <v>1</v>
      </c>
    </row>
    <row r="30" spans="1:5">
      <c r="A30" t="s">
        <v>154</v>
      </c>
      <c r="B30" t="s">
        <v>155</v>
      </c>
      <c r="C30" t="s">
        <v>876</v>
      </c>
      <c r="D30">
        <v>2</v>
      </c>
      <c r="E30" t="b">
        <v>1</v>
      </c>
    </row>
    <row r="31" spans="1:5">
      <c r="A31" t="s">
        <v>154</v>
      </c>
      <c r="B31" t="s">
        <v>562</v>
      </c>
      <c r="C31" t="s">
        <v>877</v>
      </c>
      <c r="D31">
        <v>3</v>
      </c>
      <c r="E31" t="b">
        <v>1</v>
      </c>
    </row>
    <row r="32" spans="1:5">
      <c r="A32" t="s">
        <v>74</v>
      </c>
      <c r="B32" t="s">
        <v>75</v>
      </c>
      <c r="C32" t="s">
        <v>878</v>
      </c>
      <c r="D32">
        <v>2</v>
      </c>
      <c r="E32" t="b">
        <v>1</v>
      </c>
    </row>
    <row r="33" spans="1:5">
      <c r="A33" t="s">
        <v>70</v>
      </c>
      <c r="B33" t="s">
        <v>80</v>
      </c>
      <c r="C33" t="s">
        <v>879</v>
      </c>
      <c r="D33">
        <v>4</v>
      </c>
      <c r="E33" t="b">
        <v>1</v>
      </c>
    </row>
    <row r="34" spans="1:5">
      <c r="A34" t="s">
        <v>78</v>
      </c>
      <c r="B34" t="s">
        <v>79</v>
      </c>
      <c r="C34" t="s">
        <v>880</v>
      </c>
      <c r="D34">
        <v>3</v>
      </c>
      <c r="E34" t="b">
        <v>1</v>
      </c>
    </row>
    <row r="35" spans="1:5">
      <c r="A35" t="s">
        <v>70</v>
      </c>
      <c r="B35" t="s">
        <v>673</v>
      </c>
      <c r="C35" t="s">
        <v>881</v>
      </c>
      <c r="D35">
        <v>2</v>
      </c>
      <c r="E35" t="b">
        <v>1</v>
      </c>
    </row>
    <row r="36" spans="1:5">
      <c r="A36" t="s">
        <v>70</v>
      </c>
      <c r="B36" t="s">
        <v>84</v>
      </c>
      <c r="C36" t="s">
        <v>8</v>
      </c>
      <c r="D36">
        <v>1</v>
      </c>
      <c r="E36" t="b">
        <v>1</v>
      </c>
    </row>
    <row r="37" spans="1:5">
      <c r="A37" t="s">
        <v>78</v>
      </c>
      <c r="B37" t="s">
        <v>81</v>
      </c>
      <c r="C37" t="s">
        <v>882</v>
      </c>
      <c r="D37">
        <v>2</v>
      </c>
      <c r="E37" t="b">
        <v>1</v>
      </c>
    </row>
    <row r="38" spans="1:5">
      <c r="A38" t="s">
        <v>70</v>
      </c>
      <c r="B38" t="s">
        <v>341</v>
      </c>
      <c r="C38" t="s">
        <v>883</v>
      </c>
      <c r="D38">
        <v>2</v>
      </c>
      <c r="E38" t="b">
        <v>1</v>
      </c>
    </row>
    <row r="39" spans="1:5">
      <c r="A39" t="s">
        <v>78</v>
      </c>
      <c r="B39" t="s">
        <v>83</v>
      </c>
      <c r="C39" t="s">
        <v>884</v>
      </c>
      <c r="D39">
        <v>3</v>
      </c>
      <c r="E39" t="b">
        <v>1</v>
      </c>
    </row>
    <row r="40" spans="1:5">
      <c r="A40" t="s">
        <v>70</v>
      </c>
      <c r="B40" t="s">
        <v>335</v>
      </c>
      <c r="C40" t="s">
        <v>870</v>
      </c>
      <c r="D40">
        <v>2</v>
      </c>
      <c r="E40" t="b">
        <v>1</v>
      </c>
    </row>
    <row r="41" spans="1:5">
      <c r="A41" t="s">
        <v>70</v>
      </c>
      <c r="B41" t="s">
        <v>617</v>
      </c>
      <c r="C41" t="s">
        <v>885</v>
      </c>
      <c r="D41">
        <v>3</v>
      </c>
      <c r="E41" t="b">
        <v>1</v>
      </c>
    </row>
    <row r="42" spans="1:5">
      <c r="A42" t="s">
        <v>85</v>
      </c>
      <c r="B42" t="s">
        <v>86</v>
      </c>
      <c r="C42" t="s">
        <v>886</v>
      </c>
      <c r="D42">
        <v>2</v>
      </c>
      <c r="E42" t="b">
        <v>1</v>
      </c>
    </row>
    <row r="43" spans="1:5">
      <c r="A43" t="s">
        <v>158</v>
      </c>
      <c r="B43" t="s">
        <v>159</v>
      </c>
      <c r="C43" t="s">
        <v>887</v>
      </c>
      <c r="D43">
        <v>3</v>
      </c>
      <c r="E43" t="b">
        <v>1</v>
      </c>
    </row>
    <row r="44" spans="1:5">
      <c r="A44" t="s">
        <v>160</v>
      </c>
      <c r="B44" t="s">
        <v>161</v>
      </c>
      <c r="C44" t="s">
        <v>888</v>
      </c>
      <c r="D44">
        <v>3</v>
      </c>
      <c r="E44" t="b">
        <v>1</v>
      </c>
    </row>
    <row r="45" spans="1:5">
      <c r="A45" t="s">
        <v>74</v>
      </c>
      <c r="B45" t="s">
        <v>510</v>
      </c>
      <c r="C45" t="s">
        <v>889</v>
      </c>
      <c r="D45">
        <v>2</v>
      </c>
      <c r="E45" t="b">
        <v>1</v>
      </c>
    </row>
    <row r="46" spans="1:5">
      <c r="A46" t="s">
        <v>160</v>
      </c>
      <c r="B46" t="s">
        <v>162</v>
      </c>
      <c r="C46" t="s">
        <v>890</v>
      </c>
      <c r="D46">
        <v>3</v>
      </c>
      <c r="E46" t="b">
        <v>1</v>
      </c>
    </row>
    <row r="47" spans="1:5">
      <c r="A47" t="s">
        <v>160</v>
      </c>
      <c r="B47" t="s">
        <v>395</v>
      </c>
      <c r="C47" t="s">
        <v>379</v>
      </c>
      <c r="D47">
        <v>1</v>
      </c>
      <c r="E47" t="b">
        <v>1</v>
      </c>
    </row>
    <row r="48" spans="1:5">
      <c r="A48" t="s">
        <v>158</v>
      </c>
      <c r="B48" t="s">
        <v>225</v>
      </c>
      <c r="C48" t="s">
        <v>891</v>
      </c>
      <c r="D48">
        <v>2</v>
      </c>
      <c r="E48" t="b">
        <v>1</v>
      </c>
    </row>
    <row r="49" spans="1:5">
      <c r="A49" t="s">
        <v>160</v>
      </c>
      <c r="B49" t="s">
        <v>398</v>
      </c>
      <c r="C49" t="s">
        <v>379</v>
      </c>
      <c r="D49">
        <v>1</v>
      </c>
      <c r="E49" t="b">
        <v>1</v>
      </c>
    </row>
    <row r="50" spans="1:5">
      <c r="A50" t="s">
        <v>78</v>
      </c>
      <c r="B50" t="s">
        <v>227</v>
      </c>
      <c r="C50" t="s">
        <v>892</v>
      </c>
      <c r="D50">
        <v>3</v>
      </c>
      <c r="E50" t="b">
        <v>1</v>
      </c>
    </row>
    <row r="51" spans="1:5">
      <c r="A51" t="s">
        <v>160</v>
      </c>
      <c r="B51" t="s">
        <v>399</v>
      </c>
      <c r="C51" t="s">
        <v>379</v>
      </c>
      <c r="D51">
        <v>1</v>
      </c>
      <c r="E51" t="b">
        <v>1</v>
      </c>
    </row>
    <row r="52" spans="1:5">
      <c r="A52" t="s">
        <v>160</v>
      </c>
      <c r="B52" t="s">
        <v>674</v>
      </c>
      <c r="C52" t="s">
        <v>881</v>
      </c>
      <c r="D52">
        <v>2</v>
      </c>
      <c r="E52" t="b">
        <v>1</v>
      </c>
    </row>
    <row r="53" spans="1:5">
      <c r="A53" t="s">
        <v>85</v>
      </c>
      <c r="B53" t="s">
        <v>285</v>
      </c>
      <c r="C53" t="s">
        <v>893</v>
      </c>
      <c r="D53">
        <v>3</v>
      </c>
      <c r="E53" t="b">
        <v>1</v>
      </c>
    </row>
    <row r="54" spans="1:5">
      <c r="A54" t="s">
        <v>158</v>
      </c>
      <c r="B54" t="s">
        <v>670</v>
      </c>
      <c r="C54" t="s">
        <v>652</v>
      </c>
      <c r="D54">
        <v>1</v>
      </c>
      <c r="E54" t="b">
        <v>1</v>
      </c>
    </row>
    <row r="55" spans="1:5">
      <c r="A55" t="s">
        <v>158</v>
      </c>
      <c r="B55" t="s">
        <v>336</v>
      </c>
      <c r="C55" t="s">
        <v>870</v>
      </c>
      <c r="D55">
        <v>2</v>
      </c>
      <c r="E55" t="b">
        <v>1</v>
      </c>
    </row>
    <row r="56" spans="1:5">
      <c r="A56" t="s">
        <v>158</v>
      </c>
      <c r="B56" t="s">
        <v>401</v>
      </c>
      <c r="C56" t="s">
        <v>894</v>
      </c>
      <c r="D56">
        <v>3</v>
      </c>
      <c r="E56" t="b">
        <v>1</v>
      </c>
    </row>
    <row r="57" spans="1:5">
      <c r="A57" t="s">
        <v>158</v>
      </c>
      <c r="B57" t="s">
        <v>672</v>
      </c>
      <c r="C57" t="s">
        <v>652</v>
      </c>
      <c r="D57">
        <v>1</v>
      </c>
      <c r="E57" t="b">
        <v>1</v>
      </c>
    </row>
    <row r="58" spans="1:5">
      <c r="A58" t="s">
        <v>158</v>
      </c>
      <c r="B58" t="s">
        <v>671</v>
      </c>
      <c r="C58" t="s">
        <v>652</v>
      </c>
      <c r="D58">
        <v>1</v>
      </c>
      <c r="E58" t="b">
        <v>1</v>
      </c>
    </row>
    <row r="59" spans="1:5">
      <c r="A59" t="s">
        <v>85</v>
      </c>
      <c r="B59" t="s">
        <v>397</v>
      </c>
      <c r="C59" t="s">
        <v>894</v>
      </c>
      <c r="D59">
        <v>3</v>
      </c>
      <c r="E59" t="b">
        <v>1</v>
      </c>
    </row>
    <row r="60" spans="1:5">
      <c r="A60" t="s">
        <v>158</v>
      </c>
      <c r="B60" t="s">
        <v>400</v>
      </c>
      <c r="C60" t="s">
        <v>379</v>
      </c>
      <c r="D60">
        <v>1</v>
      </c>
      <c r="E60" t="b">
        <v>1</v>
      </c>
    </row>
    <row r="61" spans="1:5">
      <c r="A61" t="s">
        <v>85</v>
      </c>
      <c r="B61" t="s">
        <v>508</v>
      </c>
      <c r="C61" t="s">
        <v>889</v>
      </c>
      <c r="D61">
        <v>2</v>
      </c>
      <c r="E61" t="b">
        <v>1</v>
      </c>
    </row>
    <row r="62" spans="1:5">
      <c r="A62" t="s">
        <v>78</v>
      </c>
      <c r="B62" t="s">
        <v>509</v>
      </c>
      <c r="C62" t="s">
        <v>494</v>
      </c>
      <c r="D62">
        <v>1</v>
      </c>
      <c r="E62" t="b">
        <v>1</v>
      </c>
    </row>
    <row r="63" spans="1:5">
      <c r="A63" t="s">
        <v>78</v>
      </c>
      <c r="B63" t="s">
        <v>615</v>
      </c>
      <c r="C63" t="s">
        <v>598</v>
      </c>
      <c r="D63">
        <v>1</v>
      </c>
      <c r="E63" t="b">
        <v>1</v>
      </c>
    </row>
    <row r="64" spans="1:5">
      <c r="A64" t="s">
        <v>78</v>
      </c>
      <c r="B64" t="s">
        <v>669</v>
      </c>
      <c r="C64" t="s">
        <v>881</v>
      </c>
      <c r="D64">
        <v>2</v>
      </c>
      <c r="E64" t="b">
        <v>1</v>
      </c>
    </row>
    <row r="65" spans="1:5">
      <c r="A65" t="s">
        <v>85</v>
      </c>
      <c r="B65" t="s">
        <v>675</v>
      </c>
      <c r="C65" t="s">
        <v>881</v>
      </c>
      <c r="D65">
        <v>2</v>
      </c>
      <c r="E65" t="b">
        <v>1</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1F3076-DD2F-41B4-AA71-B2B790542949}">
  <sheetPr codeName="Sheet19"/>
  <dimension ref="A1:K209"/>
  <sheetViews>
    <sheetView topLeftCell="A151" workbookViewId="0">
      <selection activeCell="E200" sqref="E200"/>
    </sheetView>
  </sheetViews>
  <sheetFormatPr defaultRowHeight="15"/>
  <cols>
    <col min="1" max="1" width="48.140625" bestFit="1" customWidth="1"/>
    <col min="2" max="2" width="18.28515625" bestFit="1" customWidth="1"/>
    <col min="3" max="3" width="17.28515625" bestFit="1" customWidth="1"/>
    <col min="4" max="4" width="13.42578125" bestFit="1" customWidth="1"/>
    <col min="5" max="5" width="41.28515625" bestFit="1" customWidth="1"/>
    <col min="6" max="6" width="36.28515625" bestFit="1" customWidth="1"/>
    <col min="7" max="7" width="14.7109375" bestFit="1" customWidth="1"/>
    <col min="8" max="8" width="12.5703125" bestFit="1" customWidth="1"/>
    <col min="9" max="9" width="13.85546875" bestFit="1" customWidth="1"/>
    <col min="10" max="10" width="12.140625" bestFit="1" customWidth="1"/>
    <col min="11" max="11" width="45.85546875" bestFit="1" customWidth="1"/>
  </cols>
  <sheetData>
    <row r="1" spans="1:11">
      <c r="A1" t="s">
        <v>773</v>
      </c>
      <c r="B1" t="s">
        <v>774</v>
      </c>
      <c r="C1" t="s">
        <v>52</v>
      </c>
      <c r="D1" t="s">
        <v>39</v>
      </c>
      <c r="E1" t="s">
        <v>68</v>
      </c>
      <c r="F1" t="s">
        <v>69</v>
      </c>
      <c r="G1" t="s">
        <v>775</v>
      </c>
      <c r="H1" t="s">
        <v>776</v>
      </c>
      <c r="I1" t="s">
        <v>777</v>
      </c>
      <c r="J1" t="s">
        <v>778</v>
      </c>
      <c r="K1" t="s">
        <v>779</v>
      </c>
    </row>
    <row r="2" spans="1:11">
      <c r="A2" s="55" t="s">
        <v>780</v>
      </c>
      <c r="B2" t="s">
        <v>895</v>
      </c>
      <c r="C2" t="s">
        <v>58</v>
      </c>
      <c r="D2" t="s">
        <v>42</v>
      </c>
      <c r="E2" t="s">
        <v>151</v>
      </c>
      <c r="F2" t="s">
        <v>152</v>
      </c>
      <c r="G2" t="s">
        <v>782</v>
      </c>
      <c r="H2" t="s">
        <v>896</v>
      </c>
      <c r="I2" t="s">
        <v>20</v>
      </c>
      <c r="J2" t="s">
        <v>784</v>
      </c>
      <c r="K2" s="55" t="s">
        <v>785</v>
      </c>
    </row>
    <row r="3" spans="1:11">
      <c r="A3" s="55" t="s">
        <v>780</v>
      </c>
      <c r="B3" t="s">
        <v>895</v>
      </c>
      <c r="C3" t="s">
        <v>58</v>
      </c>
      <c r="D3" t="s">
        <v>42</v>
      </c>
      <c r="E3" t="s">
        <v>151</v>
      </c>
      <c r="F3" t="s">
        <v>219</v>
      </c>
      <c r="G3" t="s">
        <v>782</v>
      </c>
      <c r="H3" t="s">
        <v>896</v>
      </c>
      <c r="I3" t="s">
        <v>20</v>
      </c>
      <c r="J3" t="s">
        <v>784</v>
      </c>
      <c r="K3" s="55" t="s">
        <v>785</v>
      </c>
    </row>
    <row r="4" spans="1:11">
      <c r="A4" s="55" t="s">
        <v>780</v>
      </c>
      <c r="B4" t="s">
        <v>895</v>
      </c>
      <c r="C4" t="s">
        <v>58</v>
      </c>
      <c r="D4" t="s">
        <v>45</v>
      </c>
      <c r="E4" t="s">
        <v>76</v>
      </c>
      <c r="F4" t="s">
        <v>82</v>
      </c>
      <c r="G4" t="s">
        <v>782</v>
      </c>
      <c r="H4" t="s">
        <v>896</v>
      </c>
      <c r="I4" t="s">
        <v>20</v>
      </c>
      <c r="J4" t="s">
        <v>784</v>
      </c>
      <c r="K4" s="55" t="s">
        <v>785</v>
      </c>
    </row>
    <row r="5" spans="1:11">
      <c r="A5" s="55" t="s">
        <v>780</v>
      </c>
      <c r="B5" t="s">
        <v>895</v>
      </c>
      <c r="C5" t="s">
        <v>58</v>
      </c>
      <c r="D5" t="s">
        <v>45</v>
      </c>
      <c r="E5" t="s">
        <v>72</v>
      </c>
      <c r="F5" t="s">
        <v>284</v>
      </c>
      <c r="G5" t="s">
        <v>782</v>
      </c>
      <c r="H5" t="s">
        <v>896</v>
      </c>
      <c r="I5" t="s">
        <v>20</v>
      </c>
      <c r="J5" t="s">
        <v>784</v>
      </c>
      <c r="K5" s="55" t="s">
        <v>785</v>
      </c>
    </row>
    <row r="6" spans="1:11">
      <c r="A6" s="55" t="s">
        <v>780</v>
      </c>
      <c r="B6" t="s">
        <v>895</v>
      </c>
      <c r="C6" t="s">
        <v>58</v>
      </c>
      <c r="D6" t="s">
        <v>42</v>
      </c>
      <c r="E6" t="s">
        <v>154</v>
      </c>
      <c r="F6" t="s">
        <v>223</v>
      </c>
      <c r="G6" t="s">
        <v>782</v>
      </c>
      <c r="H6" t="s">
        <v>896</v>
      </c>
      <c r="I6" t="s">
        <v>20</v>
      </c>
      <c r="J6" t="s">
        <v>784</v>
      </c>
      <c r="K6" s="55" t="s">
        <v>785</v>
      </c>
    </row>
    <row r="7" spans="1:11">
      <c r="A7" s="55" t="s">
        <v>780</v>
      </c>
      <c r="B7" t="s">
        <v>895</v>
      </c>
      <c r="C7" t="s">
        <v>58</v>
      </c>
      <c r="D7" t="s">
        <v>45</v>
      </c>
      <c r="E7" t="s">
        <v>70</v>
      </c>
      <c r="F7" t="s">
        <v>71</v>
      </c>
      <c r="G7" t="s">
        <v>782</v>
      </c>
      <c r="H7" t="s">
        <v>896</v>
      </c>
      <c r="I7" t="s">
        <v>20</v>
      </c>
      <c r="J7" t="s">
        <v>784</v>
      </c>
      <c r="K7" s="55" t="s">
        <v>785</v>
      </c>
    </row>
    <row r="8" spans="1:11">
      <c r="A8" s="55" t="s">
        <v>780</v>
      </c>
      <c r="B8" t="s">
        <v>895</v>
      </c>
      <c r="C8" t="s">
        <v>62</v>
      </c>
      <c r="D8" t="s">
        <v>42</v>
      </c>
      <c r="E8" t="s">
        <v>151</v>
      </c>
      <c r="F8" t="s">
        <v>152</v>
      </c>
      <c r="G8" t="s">
        <v>782</v>
      </c>
      <c r="H8" t="s">
        <v>896</v>
      </c>
      <c r="I8" t="s">
        <v>20</v>
      </c>
      <c r="J8" t="s">
        <v>784</v>
      </c>
      <c r="K8" s="55" t="s">
        <v>785</v>
      </c>
    </row>
    <row r="9" spans="1:11">
      <c r="A9" s="55" t="s">
        <v>780</v>
      </c>
      <c r="B9" t="s">
        <v>895</v>
      </c>
      <c r="C9" t="s">
        <v>62</v>
      </c>
      <c r="D9" t="s">
        <v>42</v>
      </c>
      <c r="E9" t="s">
        <v>151</v>
      </c>
      <c r="F9" t="s">
        <v>219</v>
      </c>
      <c r="G9" t="s">
        <v>782</v>
      </c>
      <c r="H9" t="s">
        <v>896</v>
      </c>
      <c r="I9" t="s">
        <v>20</v>
      </c>
      <c r="J9" t="s">
        <v>784</v>
      </c>
      <c r="K9" s="55" t="s">
        <v>785</v>
      </c>
    </row>
    <row r="10" spans="1:11">
      <c r="A10" s="55" t="s">
        <v>780</v>
      </c>
      <c r="B10" t="s">
        <v>895</v>
      </c>
      <c r="C10" t="s">
        <v>62</v>
      </c>
      <c r="D10" t="s">
        <v>45</v>
      </c>
      <c r="E10" t="s">
        <v>76</v>
      </c>
      <c r="F10" t="s">
        <v>82</v>
      </c>
      <c r="G10" t="s">
        <v>782</v>
      </c>
      <c r="H10" t="s">
        <v>896</v>
      </c>
      <c r="I10" t="s">
        <v>20</v>
      </c>
      <c r="J10" t="s">
        <v>784</v>
      </c>
      <c r="K10" s="55" t="s">
        <v>785</v>
      </c>
    </row>
    <row r="11" spans="1:11">
      <c r="A11" s="55" t="s">
        <v>780</v>
      </c>
      <c r="B11" t="s">
        <v>895</v>
      </c>
      <c r="C11" t="s">
        <v>62</v>
      </c>
      <c r="D11" t="s">
        <v>45</v>
      </c>
      <c r="E11" t="s">
        <v>72</v>
      </c>
      <c r="F11" t="s">
        <v>284</v>
      </c>
      <c r="G11" t="s">
        <v>782</v>
      </c>
      <c r="H11" t="s">
        <v>896</v>
      </c>
      <c r="I11" t="s">
        <v>20</v>
      </c>
      <c r="J11" t="s">
        <v>784</v>
      </c>
      <c r="K11" s="55" t="s">
        <v>785</v>
      </c>
    </row>
    <row r="12" spans="1:11">
      <c r="A12" s="55" t="s">
        <v>780</v>
      </c>
      <c r="B12" t="s">
        <v>895</v>
      </c>
      <c r="C12" t="s">
        <v>62</v>
      </c>
      <c r="D12" t="s">
        <v>42</v>
      </c>
      <c r="E12" t="s">
        <v>154</v>
      </c>
      <c r="F12" t="s">
        <v>223</v>
      </c>
      <c r="G12" t="s">
        <v>782</v>
      </c>
      <c r="H12" t="s">
        <v>896</v>
      </c>
      <c r="I12" t="s">
        <v>20</v>
      </c>
      <c r="J12" t="s">
        <v>784</v>
      </c>
      <c r="K12" s="55" t="s">
        <v>785</v>
      </c>
    </row>
    <row r="13" spans="1:11">
      <c r="A13" s="55" t="s">
        <v>780</v>
      </c>
      <c r="B13" t="s">
        <v>895</v>
      </c>
      <c r="C13" t="s">
        <v>62</v>
      </c>
      <c r="D13" t="s">
        <v>45</v>
      </c>
      <c r="E13" t="s">
        <v>70</v>
      </c>
      <c r="F13" t="s">
        <v>71</v>
      </c>
      <c r="G13" t="s">
        <v>782</v>
      </c>
      <c r="H13" t="s">
        <v>896</v>
      </c>
      <c r="I13" t="s">
        <v>20</v>
      </c>
      <c r="J13" t="s">
        <v>784</v>
      </c>
      <c r="K13" s="55" t="s">
        <v>785</v>
      </c>
    </row>
    <row r="14" spans="1:11">
      <c r="A14" s="55" t="s">
        <v>780</v>
      </c>
      <c r="B14" t="s">
        <v>897</v>
      </c>
      <c r="C14" t="s">
        <v>58</v>
      </c>
      <c r="D14" t="s">
        <v>42</v>
      </c>
      <c r="E14" t="s">
        <v>151</v>
      </c>
      <c r="F14" t="s">
        <v>219</v>
      </c>
      <c r="G14" t="s">
        <v>790</v>
      </c>
      <c r="H14" t="s">
        <v>896</v>
      </c>
      <c r="I14" t="s">
        <v>20</v>
      </c>
      <c r="J14" t="s">
        <v>784</v>
      </c>
      <c r="K14" s="55" t="s">
        <v>791</v>
      </c>
    </row>
    <row r="15" spans="1:11">
      <c r="A15" s="55" t="s">
        <v>780</v>
      </c>
      <c r="B15" t="s">
        <v>897</v>
      </c>
      <c r="C15" t="s">
        <v>58</v>
      </c>
      <c r="D15" t="s">
        <v>42</v>
      </c>
      <c r="E15" t="s">
        <v>151</v>
      </c>
      <c r="F15" t="s">
        <v>561</v>
      </c>
      <c r="G15" t="s">
        <v>790</v>
      </c>
      <c r="H15" t="s">
        <v>896</v>
      </c>
      <c r="I15" t="s">
        <v>20</v>
      </c>
      <c r="J15" t="s">
        <v>784</v>
      </c>
      <c r="K15" s="55" t="s">
        <v>791</v>
      </c>
    </row>
    <row r="16" spans="1:11">
      <c r="A16" s="55" t="s">
        <v>780</v>
      </c>
      <c r="B16" t="s">
        <v>897</v>
      </c>
      <c r="C16" t="s">
        <v>58</v>
      </c>
      <c r="D16" t="s">
        <v>45</v>
      </c>
      <c r="E16" t="s">
        <v>76</v>
      </c>
      <c r="F16" t="s">
        <v>77</v>
      </c>
      <c r="G16" t="s">
        <v>790</v>
      </c>
      <c r="H16" t="s">
        <v>896</v>
      </c>
      <c r="I16" t="s">
        <v>20</v>
      </c>
      <c r="J16" t="s">
        <v>784</v>
      </c>
      <c r="K16" s="55" t="s">
        <v>791</v>
      </c>
    </row>
    <row r="17" spans="1:11">
      <c r="A17" s="55" t="s">
        <v>780</v>
      </c>
      <c r="B17" t="s">
        <v>897</v>
      </c>
      <c r="C17" t="s">
        <v>58</v>
      </c>
      <c r="D17" t="s">
        <v>45</v>
      </c>
      <c r="E17" t="s">
        <v>154</v>
      </c>
      <c r="F17" t="s">
        <v>223</v>
      </c>
      <c r="G17" t="s">
        <v>790</v>
      </c>
      <c r="H17" t="s">
        <v>896</v>
      </c>
      <c r="I17" t="s">
        <v>20</v>
      </c>
      <c r="J17" t="s">
        <v>784</v>
      </c>
      <c r="K17" s="55" t="s">
        <v>791</v>
      </c>
    </row>
    <row r="18" spans="1:11">
      <c r="A18" s="55" t="s">
        <v>780</v>
      </c>
      <c r="B18" t="s">
        <v>897</v>
      </c>
      <c r="C18" t="s">
        <v>58</v>
      </c>
      <c r="D18" t="s">
        <v>45</v>
      </c>
      <c r="E18" t="s">
        <v>74</v>
      </c>
      <c r="F18" t="s">
        <v>338</v>
      </c>
      <c r="G18" t="s">
        <v>790</v>
      </c>
      <c r="H18" t="s">
        <v>896</v>
      </c>
      <c r="I18" t="s">
        <v>20</v>
      </c>
      <c r="J18" t="s">
        <v>784</v>
      </c>
      <c r="K18" s="55" t="s">
        <v>791</v>
      </c>
    </row>
    <row r="19" spans="1:11">
      <c r="A19" s="55" t="s">
        <v>780</v>
      </c>
      <c r="B19" t="s">
        <v>897</v>
      </c>
      <c r="C19" t="s">
        <v>58</v>
      </c>
      <c r="D19" t="s">
        <v>47</v>
      </c>
      <c r="E19" t="s">
        <v>70</v>
      </c>
      <c r="F19" t="s">
        <v>71</v>
      </c>
      <c r="G19" t="s">
        <v>790</v>
      </c>
      <c r="H19" t="s">
        <v>896</v>
      </c>
      <c r="I19" t="s">
        <v>20</v>
      </c>
      <c r="J19" t="s">
        <v>784</v>
      </c>
      <c r="K19" s="55" t="s">
        <v>791</v>
      </c>
    </row>
    <row r="20" spans="1:11">
      <c r="A20" s="55" t="s">
        <v>780</v>
      </c>
      <c r="B20" t="s">
        <v>897</v>
      </c>
      <c r="C20" t="s">
        <v>62</v>
      </c>
      <c r="D20" t="s">
        <v>42</v>
      </c>
      <c r="E20" t="s">
        <v>151</v>
      </c>
      <c r="F20" t="s">
        <v>219</v>
      </c>
      <c r="G20" t="s">
        <v>790</v>
      </c>
      <c r="H20" t="s">
        <v>896</v>
      </c>
      <c r="I20" t="s">
        <v>20</v>
      </c>
      <c r="J20" t="s">
        <v>784</v>
      </c>
      <c r="K20" s="55" t="s">
        <v>791</v>
      </c>
    </row>
    <row r="21" spans="1:11">
      <c r="A21" s="55" t="s">
        <v>780</v>
      </c>
      <c r="B21" t="s">
        <v>897</v>
      </c>
      <c r="C21" t="s">
        <v>62</v>
      </c>
      <c r="D21" t="s">
        <v>45</v>
      </c>
      <c r="E21" t="s">
        <v>151</v>
      </c>
      <c r="F21" t="s">
        <v>219</v>
      </c>
      <c r="G21" t="s">
        <v>790</v>
      </c>
      <c r="H21" t="s">
        <v>896</v>
      </c>
      <c r="I21" t="s">
        <v>20</v>
      </c>
      <c r="J21" t="s">
        <v>784</v>
      </c>
      <c r="K21" s="55" t="s">
        <v>791</v>
      </c>
    </row>
    <row r="22" spans="1:11">
      <c r="A22" s="55" t="s">
        <v>780</v>
      </c>
      <c r="B22" t="s">
        <v>897</v>
      </c>
      <c r="C22" t="s">
        <v>62</v>
      </c>
      <c r="D22" t="s">
        <v>45</v>
      </c>
      <c r="E22" t="s">
        <v>151</v>
      </c>
      <c r="F22" t="s">
        <v>561</v>
      </c>
      <c r="G22" t="s">
        <v>790</v>
      </c>
      <c r="H22" t="s">
        <v>896</v>
      </c>
      <c r="I22" t="s">
        <v>20</v>
      </c>
      <c r="J22" t="s">
        <v>784</v>
      </c>
      <c r="K22" s="55" t="s">
        <v>791</v>
      </c>
    </row>
    <row r="23" spans="1:11">
      <c r="A23" s="55" t="s">
        <v>780</v>
      </c>
      <c r="B23" t="s">
        <v>897</v>
      </c>
      <c r="C23" t="s">
        <v>62</v>
      </c>
      <c r="D23" t="s">
        <v>47</v>
      </c>
      <c r="E23" t="s">
        <v>72</v>
      </c>
      <c r="F23" t="s">
        <v>457</v>
      </c>
      <c r="G23" t="s">
        <v>790</v>
      </c>
      <c r="H23" t="s">
        <v>896</v>
      </c>
      <c r="I23" t="s">
        <v>20</v>
      </c>
      <c r="J23" t="s">
        <v>784</v>
      </c>
      <c r="K23" s="55" t="s">
        <v>791</v>
      </c>
    </row>
    <row r="24" spans="1:11">
      <c r="A24" s="55" t="s">
        <v>780</v>
      </c>
      <c r="B24" t="s">
        <v>898</v>
      </c>
      <c r="C24" t="s">
        <v>58</v>
      </c>
      <c r="D24" t="s">
        <v>42</v>
      </c>
      <c r="E24" t="s">
        <v>151</v>
      </c>
      <c r="F24" t="s">
        <v>152</v>
      </c>
      <c r="G24" t="s">
        <v>796</v>
      </c>
      <c r="H24" t="s">
        <v>896</v>
      </c>
      <c r="I24" t="s">
        <v>20</v>
      </c>
      <c r="J24" t="s">
        <v>784</v>
      </c>
      <c r="K24" s="55" t="s">
        <v>797</v>
      </c>
    </row>
    <row r="25" spans="1:11">
      <c r="A25" s="55" t="s">
        <v>780</v>
      </c>
      <c r="B25" t="s">
        <v>898</v>
      </c>
      <c r="C25" t="s">
        <v>58</v>
      </c>
      <c r="D25" t="s">
        <v>42</v>
      </c>
      <c r="E25" t="s">
        <v>151</v>
      </c>
      <c r="F25" t="s">
        <v>219</v>
      </c>
      <c r="G25" t="s">
        <v>796</v>
      </c>
      <c r="H25" t="s">
        <v>896</v>
      </c>
      <c r="I25" t="s">
        <v>20</v>
      </c>
      <c r="J25" t="s">
        <v>784</v>
      </c>
      <c r="K25" s="55" t="s">
        <v>797</v>
      </c>
    </row>
    <row r="26" spans="1:11">
      <c r="A26" s="55" t="s">
        <v>780</v>
      </c>
      <c r="B26" t="s">
        <v>898</v>
      </c>
      <c r="C26" t="s">
        <v>58</v>
      </c>
      <c r="D26" t="s">
        <v>42</v>
      </c>
      <c r="E26" t="s">
        <v>72</v>
      </c>
      <c r="F26" t="s">
        <v>220</v>
      </c>
      <c r="G26" t="s">
        <v>796</v>
      </c>
      <c r="H26" t="s">
        <v>896</v>
      </c>
      <c r="I26" t="s">
        <v>20</v>
      </c>
      <c r="J26" t="s">
        <v>784</v>
      </c>
      <c r="K26" s="55" t="s">
        <v>797</v>
      </c>
    </row>
    <row r="27" spans="1:11">
      <c r="A27" s="55" t="s">
        <v>780</v>
      </c>
      <c r="B27" t="s">
        <v>898</v>
      </c>
      <c r="C27" t="s">
        <v>58</v>
      </c>
      <c r="D27" t="s">
        <v>45</v>
      </c>
      <c r="E27" t="s">
        <v>74</v>
      </c>
      <c r="F27" t="s">
        <v>153</v>
      </c>
      <c r="G27" t="s">
        <v>796</v>
      </c>
      <c r="H27" t="s">
        <v>896</v>
      </c>
      <c r="I27" t="s">
        <v>20</v>
      </c>
      <c r="J27" t="s">
        <v>784</v>
      </c>
      <c r="K27" s="55" t="s">
        <v>797</v>
      </c>
    </row>
    <row r="28" spans="1:11">
      <c r="A28" s="55" t="s">
        <v>780</v>
      </c>
      <c r="B28" t="s">
        <v>898</v>
      </c>
      <c r="C28" t="s">
        <v>58</v>
      </c>
      <c r="D28" t="s">
        <v>45</v>
      </c>
      <c r="E28" t="s">
        <v>76</v>
      </c>
      <c r="F28" t="s">
        <v>82</v>
      </c>
      <c r="G28" t="s">
        <v>796</v>
      </c>
      <c r="H28" t="s">
        <v>896</v>
      </c>
      <c r="I28" t="s">
        <v>20</v>
      </c>
      <c r="J28" t="s">
        <v>784</v>
      </c>
      <c r="K28" s="55" t="s">
        <v>797</v>
      </c>
    </row>
    <row r="29" spans="1:11">
      <c r="A29" s="55" t="s">
        <v>780</v>
      </c>
      <c r="B29" t="s">
        <v>898</v>
      </c>
      <c r="C29" t="s">
        <v>58</v>
      </c>
      <c r="D29" t="s">
        <v>47</v>
      </c>
      <c r="E29" t="s">
        <v>154</v>
      </c>
      <c r="F29" t="s">
        <v>223</v>
      </c>
      <c r="G29" t="s">
        <v>796</v>
      </c>
      <c r="H29" t="s">
        <v>896</v>
      </c>
      <c r="I29" t="s">
        <v>20</v>
      </c>
      <c r="J29" t="s">
        <v>784</v>
      </c>
      <c r="K29" s="55" t="s">
        <v>797</v>
      </c>
    </row>
    <row r="30" spans="1:11">
      <c r="A30" s="55" t="s">
        <v>780</v>
      </c>
      <c r="B30" t="s">
        <v>898</v>
      </c>
      <c r="C30" t="s">
        <v>62</v>
      </c>
      <c r="D30" t="s">
        <v>45</v>
      </c>
      <c r="E30" t="s">
        <v>151</v>
      </c>
      <c r="F30" t="s">
        <v>219</v>
      </c>
      <c r="G30" t="s">
        <v>796</v>
      </c>
      <c r="H30" t="s">
        <v>896</v>
      </c>
      <c r="I30" t="s">
        <v>20</v>
      </c>
      <c r="J30" t="s">
        <v>784</v>
      </c>
      <c r="K30" s="55" t="s">
        <v>797</v>
      </c>
    </row>
    <row r="31" spans="1:11">
      <c r="A31" s="55" t="s">
        <v>780</v>
      </c>
      <c r="B31" t="s">
        <v>898</v>
      </c>
      <c r="C31" t="s">
        <v>62</v>
      </c>
      <c r="D31" t="s">
        <v>45</v>
      </c>
      <c r="E31" t="s">
        <v>72</v>
      </c>
      <c r="F31" t="s">
        <v>220</v>
      </c>
      <c r="G31" t="s">
        <v>796</v>
      </c>
      <c r="H31" t="s">
        <v>896</v>
      </c>
      <c r="I31" t="s">
        <v>20</v>
      </c>
      <c r="J31" t="s">
        <v>784</v>
      </c>
      <c r="K31" s="55" t="s">
        <v>797</v>
      </c>
    </row>
    <row r="32" spans="1:11">
      <c r="A32" s="55" t="s">
        <v>780</v>
      </c>
      <c r="B32" t="s">
        <v>898</v>
      </c>
      <c r="C32" t="s">
        <v>62</v>
      </c>
      <c r="D32" t="s">
        <v>47</v>
      </c>
      <c r="E32" t="s">
        <v>154</v>
      </c>
      <c r="F32" t="s">
        <v>283</v>
      </c>
      <c r="G32" t="s">
        <v>796</v>
      </c>
      <c r="H32" t="s">
        <v>896</v>
      </c>
      <c r="I32" t="s">
        <v>20</v>
      </c>
      <c r="J32" t="s">
        <v>784</v>
      </c>
      <c r="K32" s="55" t="s">
        <v>797</v>
      </c>
    </row>
    <row r="33" spans="1:11">
      <c r="A33" s="55" t="s">
        <v>780</v>
      </c>
      <c r="B33" t="s">
        <v>898</v>
      </c>
      <c r="C33" t="s">
        <v>62</v>
      </c>
      <c r="D33" t="s">
        <v>47</v>
      </c>
      <c r="E33" t="s">
        <v>74</v>
      </c>
      <c r="F33" t="s">
        <v>456</v>
      </c>
      <c r="G33" t="s">
        <v>796</v>
      </c>
      <c r="H33" t="s">
        <v>896</v>
      </c>
      <c r="I33" t="s">
        <v>20</v>
      </c>
      <c r="J33" t="s">
        <v>784</v>
      </c>
      <c r="K33" s="55" t="s">
        <v>797</v>
      </c>
    </row>
    <row r="34" spans="1:11">
      <c r="A34" s="55" t="s">
        <v>780</v>
      </c>
      <c r="B34" t="s">
        <v>899</v>
      </c>
      <c r="C34" t="s">
        <v>58</v>
      </c>
      <c r="D34" t="s">
        <v>42</v>
      </c>
      <c r="E34" t="s">
        <v>151</v>
      </c>
      <c r="F34" t="s">
        <v>219</v>
      </c>
      <c r="G34" t="s">
        <v>800</v>
      </c>
      <c r="H34" t="s">
        <v>896</v>
      </c>
      <c r="I34" t="s">
        <v>20</v>
      </c>
      <c r="J34" t="s">
        <v>784</v>
      </c>
      <c r="K34" s="55" t="s">
        <v>801</v>
      </c>
    </row>
    <row r="35" spans="1:11">
      <c r="A35" s="55" t="s">
        <v>780</v>
      </c>
      <c r="B35" t="s">
        <v>899</v>
      </c>
      <c r="C35" t="s">
        <v>58</v>
      </c>
      <c r="D35" t="s">
        <v>42</v>
      </c>
      <c r="E35" t="s">
        <v>151</v>
      </c>
      <c r="F35" t="s">
        <v>561</v>
      </c>
      <c r="G35" t="s">
        <v>800</v>
      </c>
      <c r="H35" t="s">
        <v>896</v>
      </c>
      <c r="I35" t="s">
        <v>20</v>
      </c>
      <c r="J35" t="s">
        <v>784</v>
      </c>
      <c r="K35" s="55" t="s">
        <v>801</v>
      </c>
    </row>
    <row r="36" spans="1:11">
      <c r="A36" s="55" t="s">
        <v>780</v>
      </c>
      <c r="B36" t="s">
        <v>899</v>
      </c>
      <c r="C36" t="s">
        <v>58</v>
      </c>
      <c r="D36" t="s">
        <v>42</v>
      </c>
      <c r="E36" t="s">
        <v>76</v>
      </c>
      <c r="F36" t="s">
        <v>222</v>
      </c>
      <c r="G36" t="s">
        <v>800</v>
      </c>
      <c r="H36" t="s">
        <v>896</v>
      </c>
      <c r="I36" t="s">
        <v>20</v>
      </c>
      <c r="J36" t="s">
        <v>784</v>
      </c>
      <c r="K36" s="55" t="s">
        <v>801</v>
      </c>
    </row>
    <row r="37" spans="1:11">
      <c r="A37" s="55" t="s">
        <v>780</v>
      </c>
      <c r="B37" t="s">
        <v>899</v>
      </c>
      <c r="C37" t="s">
        <v>58</v>
      </c>
      <c r="D37" t="s">
        <v>42</v>
      </c>
      <c r="E37" t="s">
        <v>154</v>
      </c>
      <c r="F37" t="s">
        <v>223</v>
      </c>
      <c r="G37" t="s">
        <v>800</v>
      </c>
      <c r="H37" t="s">
        <v>896</v>
      </c>
      <c r="I37" t="s">
        <v>20</v>
      </c>
      <c r="J37" t="s">
        <v>784</v>
      </c>
      <c r="K37" s="55" t="s">
        <v>801</v>
      </c>
    </row>
    <row r="38" spans="1:11">
      <c r="A38" s="55" t="s">
        <v>780</v>
      </c>
      <c r="B38" t="s">
        <v>899</v>
      </c>
      <c r="C38" t="s">
        <v>58</v>
      </c>
      <c r="D38" t="s">
        <v>42</v>
      </c>
      <c r="E38" t="s">
        <v>74</v>
      </c>
      <c r="F38" t="s">
        <v>456</v>
      </c>
      <c r="G38" t="s">
        <v>800</v>
      </c>
      <c r="H38" t="s">
        <v>896</v>
      </c>
      <c r="I38" t="s">
        <v>20</v>
      </c>
      <c r="J38" t="s">
        <v>784</v>
      </c>
      <c r="K38" s="55" t="s">
        <v>801</v>
      </c>
    </row>
    <row r="39" spans="1:11">
      <c r="A39" s="55" t="s">
        <v>780</v>
      </c>
      <c r="B39" t="s">
        <v>899</v>
      </c>
      <c r="C39" t="s">
        <v>62</v>
      </c>
      <c r="D39" t="s">
        <v>45</v>
      </c>
      <c r="E39" t="s">
        <v>151</v>
      </c>
      <c r="F39" t="s">
        <v>616</v>
      </c>
      <c r="G39" t="s">
        <v>800</v>
      </c>
      <c r="H39" t="s">
        <v>896</v>
      </c>
      <c r="I39" t="s">
        <v>20</v>
      </c>
      <c r="J39" t="s">
        <v>784</v>
      </c>
      <c r="K39" s="55" t="s">
        <v>801</v>
      </c>
    </row>
    <row r="40" spans="1:11">
      <c r="A40" s="55" t="s">
        <v>780</v>
      </c>
      <c r="B40" t="s">
        <v>899</v>
      </c>
      <c r="C40" t="s">
        <v>62</v>
      </c>
      <c r="D40" t="s">
        <v>45</v>
      </c>
      <c r="E40" t="s">
        <v>74</v>
      </c>
      <c r="F40" t="s">
        <v>153</v>
      </c>
      <c r="G40" t="s">
        <v>800</v>
      </c>
      <c r="H40" t="s">
        <v>896</v>
      </c>
      <c r="I40" t="s">
        <v>20</v>
      </c>
      <c r="J40" t="s">
        <v>784</v>
      </c>
      <c r="K40" s="55" t="s">
        <v>801</v>
      </c>
    </row>
    <row r="41" spans="1:11">
      <c r="A41" s="55" t="s">
        <v>780</v>
      </c>
      <c r="B41" t="s">
        <v>899</v>
      </c>
      <c r="C41" t="s">
        <v>62</v>
      </c>
      <c r="D41" t="s">
        <v>45</v>
      </c>
      <c r="E41" t="s">
        <v>74</v>
      </c>
      <c r="F41" t="s">
        <v>337</v>
      </c>
      <c r="G41" t="s">
        <v>800</v>
      </c>
      <c r="H41" t="s">
        <v>896</v>
      </c>
      <c r="I41" t="s">
        <v>20</v>
      </c>
      <c r="J41" t="s">
        <v>784</v>
      </c>
      <c r="K41" s="55" t="s">
        <v>801</v>
      </c>
    </row>
    <row r="42" spans="1:11">
      <c r="A42" s="55" t="s">
        <v>780</v>
      </c>
      <c r="B42" t="s">
        <v>899</v>
      </c>
      <c r="C42" t="s">
        <v>62</v>
      </c>
      <c r="D42" t="s">
        <v>45</v>
      </c>
      <c r="E42" t="s">
        <v>158</v>
      </c>
      <c r="F42" t="s">
        <v>339</v>
      </c>
      <c r="G42" t="s">
        <v>800</v>
      </c>
      <c r="H42" t="s">
        <v>896</v>
      </c>
      <c r="I42" t="s">
        <v>20</v>
      </c>
      <c r="J42" t="s">
        <v>784</v>
      </c>
      <c r="K42" s="55" t="s">
        <v>801</v>
      </c>
    </row>
    <row r="43" spans="1:11">
      <c r="A43" s="55" t="s">
        <v>780</v>
      </c>
      <c r="B43" t="s">
        <v>899</v>
      </c>
      <c r="C43" t="s">
        <v>62</v>
      </c>
      <c r="D43" t="s">
        <v>45</v>
      </c>
      <c r="E43" t="s">
        <v>154</v>
      </c>
      <c r="F43" t="s">
        <v>282</v>
      </c>
      <c r="G43" t="s">
        <v>800</v>
      </c>
      <c r="H43" t="s">
        <v>896</v>
      </c>
      <c r="I43" t="s">
        <v>20</v>
      </c>
      <c r="J43" t="s">
        <v>784</v>
      </c>
      <c r="K43" s="55" t="s">
        <v>801</v>
      </c>
    </row>
    <row r="44" spans="1:11">
      <c r="A44" s="55" t="s">
        <v>780</v>
      </c>
      <c r="B44" t="s">
        <v>899</v>
      </c>
      <c r="C44" t="s">
        <v>66</v>
      </c>
      <c r="G44" t="s">
        <v>800</v>
      </c>
      <c r="H44" t="s">
        <v>896</v>
      </c>
      <c r="I44" t="s">
        <v>20</v>
      </c>
      <c r="J44" t="s">
        <v>784</v>
      </c>
      <c r="K44" s="55" t="s">
        <v>801</v>
      </c>
    </row>
    <row r="45" spans="1:11">
      <c r="A45" s="55" t="s">
        <v>780</v>
      </c>
      <c r="B45" t="s">
        <v>900</v>
      </c>
      <c r="C45" t="s">
        <v>58</v>
      </c>
      <c r="D45" t="s">
        <v>42</v>
      </c>
      <c r="E45" t="s">
        <v>76</v>
      </c>
      <c r="F45" t="s">
        <v>77</v>
      </c>
      <c r="G45" t="s">
        <v>804</v>
      </c>
      <c r="H45" t="s">
        <v>896</v>
      </c>
      <c r="I45" t="s">
        <v>20</v>
      </c>
      <c r="J45" t="s">
        <v>784</v>
      </c>
      <c r="K45" s="55" t="s">
        <v>805</v>
      </c>
    </row>
    <row r="46" spans="1:11">
      <c r="A46" s="55" t="s">
        <v>780</v>
      </c>
      <c r="B46" t="s">
        <v>900</v>
      </c>
      <c r="C46" t="s">
        <v>58</v>
      </c>
      <c r="D46" t="s">
        <v>42</v>
      </c>
      <c r="E46" t="s">
        <v>76</v>
      </c>
      <c r="F46" t="s">
        <v>396</v>
      </c>
      <c r="G46" t="s">
        <v>804</v>
      </c>
      <c r="H46" t="s">
        <v>896</v>
      </c>
      <c r="I46" t="s">
        <v>20</v>
      </c>
      <c r="J46" t="s">
        <v>784</v>
      </c>
      <c r="K46" s="55" t="s">
        <v>805</v>
      </c>
    </row>
    <row r="47" spans="1:11">
      <c r="A47" s="55" t="s">
        <v>780</v>
      </c>
      <c r="B47" t="s">
        <v>900</v>
      </c>
      <c r="C47" t="s">
        <v>58</v>
      </c>
      <c r="D47" t="s">
        <v>42</v>
      </c>
      <c r="E47" t="s">
        <v>72</v>
      </c>
      <c r="F47" t="s">
        <v>402</v>
      </c>
      <c r="G47" t="s">
        <v>804</v>
      </c>
      <c r="H47" t="s">
        <v>896</v>
      </c>
      <c r="I47" t="s">
        <v>20</v>
      </c>
      <c r="J47" t="s">
        <v>784</v>
      </c>
      <c r="K47" s="55" t="s">
        <v>805</v>
      </c>
    </row>
    <row r="48" spans="1:11">
      <c r="A48" s="55" t="s">
        <v>780</v>
      </c>
      <c r="B48" t="s">
        <v>900</v>
      </c>
      <c r="C48" t="s">
        <v>62</v>
      </c>
      <c r="D48" t="s">
        <v>42</v>
      </c>
      <c r="E48" t="s">
        <v>72</v>
      </c>
      <c r="F48" t="s">
        <v>457</v>
      </c>
      <c r="G48" t="s">
        <v>804</v>
      </c>
      <c r="H48" t="s">
        <v>896</v>
      </c>
      <c r="I48" t="s">
        <v>20</v>
      </c>
      <c r="J48" t="s">
        <v>784</v>
      </c>
      <c r="K48" s="55" t="s">
        <v>805</v>
      </c>
    </row>
    <row r="49" spans="1:11">
      <c r="A49" s="55" t="s">
        <v>780</v>
      </c>
      <c r="B49" t="s">
        <v>900</v>
      </c>
      <c r="C49" t="s">
        <v>62</v>
      </c>
      <c r="D49" t="s">
        <v>45</v>
      </c>
      <c r="E49" t="s">
        <v>151</v>
      </c>
      <c r="F49" t="s">
        <v>219</v>
      </c>
      <c r="G49" t="s">
        <v>804</v>
      </c>
      <c r="H49" t="s">
        <v>896</v>
      </c>
      <c r="I49" t="s">
        <v>20</v>
      </c>
      <c r="J49" t="s">
        <v>784</v>
      </c>
      <c r="K49" s="55" t="s">
        <v>805</v>
      </c>
    </row>
    <row r="50" spans="1:11">
      <c r="A50" s="55" t="s">
        <v>780</v>
      </c>
      <c r="B50" t="s">
        <v>900</v>
      </c>
      <c r="C50" t="s">
        <v>62</v>
      </c>
      <c r="D50" t="s">
        <v>45</v>
      </c>
      <c r="E50" t="s">
        <v>151</v>
      </c>
      <c r="F50" t="s">
        <v>561</v>
      </c>
      <c r="G50" t="s">
        <v>804</v>
      </c>
      <c r="H50" t="s">
        <v>896</v>
      </c>
      <c r="I50" t="s">
        <v>20</v>
      </c>
      <c r="J50" t="s">
        <v>784</v>
      </c>
      <c r="K50" s="55" t="s">
        <v>805</v>
      </c>
    </row>
    <row r="51" spans="1:11">
      <c r="A51" s="55" t="s">
        <v>780</v>
      </c>
      <c r="B51" t="s">
        <v>900</v>
      </c>
      <c r="C51" t="s">
        <v>58</v>
      </c>
      <c r="D51" t="s">
        <v>45</v>
      </c>
      <c r="E51" t="s">
        <v>151</v>
      </c>
      <c r="F51" t="s">
        <v>224</v>
      </c>
      <c r="G51" t="s">
        <v>804</v>
      </c>
      <c r="H51" t="s">
        <v>896</v>
      </c>
      <c r="I51" t="s">
        <v>20</v>
      </c>
      <c r="J51" t="s">
        <v>784</v>
      </c>
      <c r="K51" s="55" t="s">
        <v>805</v>
      </c>
    </row>
    <row r="52" spans="1:11">
      <c r="A52" s="55" t="s">
        <v>780</v>
      </c>
      <c r="B52" t="s">
        <v>900</v>
      </c>
      <c r="C52" t="s">
        <v>62</v>
      </c>
      <c r="D52" t="s">
        <v>45</v>
      </c>
      <c r="E52" t="s">
        <v>74</v>
      </c>
      <c r="F52" t="s">
        <v>456</v>
      </c>
      <c r="G52" t="s">
        <v>804</v>
      </c>
      <c r="H52" t="s">
        <v>896</v>
      </c>
      <c r="I52" t="s">
        <v>20</v>
      </c>
      <c r="J52" t="s">
        <v>784</v>
      </c>
      <c r="K52" s="55" t="s">
        <v>805</v>
      </c>
    </row>
    <row r="53" spans="1:11">
      <c r="A53" s="55" t="s">
        <v>780</v>
      </c>
      <c r="B53" t="s">
        <v>900</v>
      </c>
      <c r="C53" t="s">
        <v>62</v>
      </c>
      <c r="D53" t="s">
        <v>47</v>
      </c>
      <c r="E53" t="s">
        <v>154</v>
      </c>
      <c r="F53" t="s">
        <v>223</v>
      </c>
      <c r="G53" t="s">
        <v>804</v>
      </c>
      <c r="H53" t="s">
        <v>896</v>
      </c>
      <c r="I53" t="s">
        <v>20</v>
      </c>
      <c r="J53" t="s">
        <v>784</v>
      </c>
      <c r="K53" s="55" t="s">
        <v>805</v>
      </c>
    </row>
    <row r="54" spans="1:11">
      <c r="A54" s="55" t="s">
        <v>780</v>
      </c>
      <c r="B54" t="s">
        <v>900</v>
      </c>
      <c r="C54" t="s">
        <v>62</v>
      </c>
      <c r="D54" t="s">
        <v>47</v>
      </c>
      <c r="E54" t="s">
        <v>74</v>
      </c>
      <c r="F54" t="s">
        <v>153</v>
      </c>
      <c r="G54" t="s">
        <v>804</v>
      </c>
      <c r="H54" t="s">
        <v>896</v>
      </c>
      <c r="I54" t="s">
        <v>20</v>
      </c>
      <c r="J54" t="s">
        <v>784</v>
      </c>
      <c r="K54" s="55" t="s">
        <v>805</v>
      </c>
    </row>
    <row r="55" spans="1:11">
      <c r="A55" s="55" t="s">
        <v>780</v>
      </c>
      <c r="B55" t="s">
        <v>900</v>
      </c>
      <c r="C55" t="s">
        <v>62</v>
      </c>
      <c r="D55" t="s">
        <v>47</v>
      </c>
      <c r="E55" t="s">
        <v>158</v>
      </c>
      <c r="F55" t="s">
        <v>339</v>
      </c>
      <c r="G55" t="s">
        <v>804</v>
      </c>
      <c r="H55" t="s">
        <v>896</v>
      </c>
      <c r="I55" t="s">
        <v>20</v>
      </c>
      <c r="J55" t="s">
        <v>784</v>
      </c>
      <c r="K55" s="55" t="s">
        <v>805</v>
      </c>
    </row>
    <row r="56" spans="1:11">
      <c r="A56" s="55" t="s">
        <v>808</v>
      </c>
      <c r="B56" t="s">
        <v>901</v>
      </c>
      <c r="C56" t="s">
        <v>58</v>
      </c>
      <c r="D56" t="s">
        <v>42</v>
      </c>
      <c r="E56" t="s">
        <v>70</v>
      </c>
      <c r="F56" t="s">
        <v>71</v>
      </c>
      <c r="G56" t="s">
        <v>5</v>
      </c>
      <c r="H56" t="s">
        <v>896</v>
      </c>
      <c r="I56" t="s">
        <v>20</v>
      </c>
      <c r="J56" t="s">
        <v>784</v>
      </c>
      <c r="K56" s="55" t="s">
        <v>8</v>
      </c>
    </row>
    <row r="57" spans="1:11">
      <c r="A57" s="55" t="s">
        <v>808</v>
      </c>
      <c r="B57" t="s">
        <v>901</v>
      </c>
      <c r="C57" t="s">
        <v>58</v>
      </c>
      <c r="D57" t="s">
        <v>45</v>
      </c>
      <c r="E57" t="s">
        <v>72</v>
      </c>
      <c r="F57" t="s">
        <v>73</v>
      </c>
      <c r="G57" t="s">
        <v>5</v>
      </c>
      <c r="H57" t="s">
        <v>896</v>
      </c>
      <c r="I57" t="s">
        <v>20</v>
      </c>
      <c r="J57" t="s">
        <v>784</v>
      </c>
      <c r="K57" s="55" t="s">
        <v>8</v>
      </c>
    </row>
    <row r="58" spans="1:11">
      <c r="A58" s="55" t="s">
        <v>808</v>
      </c>
      <c r="B58" t="s">
        <v>901</v>
      </c>
      <c r="C58" t="s">
        <v>58</v>
      </c>
      <c r="D58" t="s">
        <v>45</v>
      </c>
      <c r="E58" t="s">
        <v>74</v>
      </c>
      <c r="F58" t="s">
        <v>75</v>
      </c>
      <c r="G58" t="s">
        <v>5</v>
      </c>
      <c r="H58" t="s">
        <v>896</v>
      </c>
      <c r="I58" t="s">
        <v>20</v>
      </c>
      <c r="J58" t="s">
        <v>784</v>
      </c>
      <c r="K58" s="55" t="s">
        <v>8</v>
      </c>
    </row>
    <row r="59" spans="1:11">
      <c r="A59" s="55" t="s">
        <v>808</v>
      </c>
      <c r="B59" t="s">
        <v>901</v>
      </c>
      <c r="C59" t="s">
        <v>58</v>
      </c>
      <c r="D59" t="s">
        <v>42</v>
      </c>
      <c r="E59" t="s">
        <v>76</v>
      </c>
      <c r="F59" t="s">
        <v>77</v>
      </c>
      <c r="G59" t="s">
        <v>5</v>
      </c>
      <c r="H59" t="s">
        <v>896</v>
      </c>
      <c r="I59" t="s">
        <v>20</v>
      </c>
      <c r="J59" t="s">
        <v>784</v>
      </c>
      <c r="K59" s="55" t="s">
        <v>8</v>
      </c>
    </row>
    <row r="60" spans="1:11">
      <c r="A60" s="55" t="s">
        <v>808</v>
      </c>
      <c r="B60" t="s">
        <v>901</v>
      </c>
      <c r="C60" t="s">
        <v>58</v>
      </c>
      <c r="D60" t="s">
        <v>45</v>
      </c>
      <c r="E60" t="s">
        <v>78</v>
      </c>
      <c r="F60" t="s">
        <v>79</v>
      </c>
      <c r="G60" t="s">
        <v>5</v>
      </c>
      <c r="H60" t="s">
        <v>896</v>
      </c>
      <c r="I60" t="s">
        <v>20</v>
      </c>
      <c r="J60" t="s">
        <v>784</v>
      </c>
      <c r="K60" s="55" t="s">
        <v>8</v>
      </c>
    </row>
    <row r="61" spans="1:11">
      <c r="A61" s="55" t="s">
        <v>808</v>
      </c>
      <c r="B61" t="s">
        <v>901</v>
      </c>
      <c r="C61" t="s">
        <v>62</v>
      </c>
      <c r="D61" t="s">
        <v>45</v>
      </c>
      <c r="E61" t="s">
        <v>70</v>
      </c>
      <c r="F61" t="s">
        <v>80</v>
      </c>
      <c r="G61" t="s">
        <v>5</v>
      </c>
      <c r="H61" t="s">
        <v>896</v>
      </c>
      <c r="I61" t="s">
        <v>20</v>
      </c>
      <c r="J61" t="s">
        <v>784</v>
      </c>
      <c r="K61" s="55" t="s">
        <v>8</v>
      </c>
    </row>
    <row r="62" spans="1:11">
      <c r="A62" s="55" t="s">
        <v>808</v>
      </c>
      <c r="B62" t="s">
        <v>901</v>
      </c>
      <c r="C62" t="s">
        <v>62</v>
      </c>
      <c r="D62" t="s">
        <v>47</v>
      </c>
      <c r="E62" t="s">
        <v>74</v>
      </c>
      <c r="F62" t="s">
        <v>75</v>
      </c>
      <c r="G62" t="s">
        <v>5</v>
      </c>
      <c r="H62" t="s">
        <v>896</v>
      </c>
      <c r="I62" t="s">
        <v>20</v>
      </c>
      <c r="J62" t="s">
        <v>784</v>
      </c>
      <c r="K62" s="55" t="s">
        <v>8</v>
      </c>
    </row>
    <row r="63" spans="1:11">
      <c r="A63" s="55" t="s">
        <v>808</v>
      </c>
      <c r="B63" t="s">
        <v>901</v>
      </c>
      <c r="C63" t="s">
        <v>62</v>
      </c>
      <c r="D63" t="s">
        <v>45</v>
      </c>
      <c r="E63" t="s">
        <v>78</v>
      </c>
      <c r="F63" t="s">
        <v>81</v>
      </c>
      <c r="G63" t="s">
        <v>5</v>
      </c>
      <c r="H63" t="s">
        <v>896</v>
      </c>
      <c r="I63" t="s">
        <v>20</v>
      </c>
      <c r="J63" t="s">
        <v>784</v>
      </c>
      <c r="K63" s="55" t="s">
        <v>8</v>
      </c>
    </row>
    <row r="64" spans="1:11">
      <c r="A64" s="55" t="s">
        <v>808</v>
      </c>
      <c r="B64" t="s">
        <v>901</v>
      </c>
      <c r="C64" t="s">
        <v>58</v>
      </c>
      <c r="D64" t="s">
        <v>42</v>
      </c>
      <c r="E64" t="s">
        <v>76</v>
      </c>
      <c r="F64" t="s">
        <v>82</v>
      </c>
      <c r="G64" t="s">
        <v>5</v>
      </c>
      <c r="H64" t="s">
        <v>896</v>
      </c>
      <c r="I64" t="s">
        <v>20</v>
      </c>
      <c r="J64" t="s">
        <v>784</v>
      </c>
      <c r="K64" s="55" t="s">
        <v>8</v>
      </c>
    </row>
    <row r="65" spans="1:11">
      <c r="A65" s="55" t="s">
        <v>808</v>
      </c>
      <c r="B65" t="s">
        <v>901</v>
      </c>
      <c r="C65" t="s">
        <v>58</v>
      </c>
      <c r="D65" t="s">
        <v>45</v>
      </c>
      <c r="E65" t="s">
        <v>78</v>
      </c>
      <c r="F65" t="s">
        <v>83</v>
      </c>
      <c r="G65" t="s">
        <v>5</v>
      </c>
      <c r="H65" t="s">
        <v>896</v>
      </c>
      <c r="I65" t="s">
        <v>20</v>
      </c>
      <c r="J65" t="s">
        <v>784</v>
      </c>
      <c r="K65" s="55" t="s">
        <v>8</v>
      </c>
    </row>
    <row r="66" spans="1:11">
      <c r="A66" s="55" t="s">
        <v>808</v>
      </c>
      <c r="B66" t="s">
        <v>901</v>
      </c>
      <c r="C66" t="s">
        <v>62</v>
      </c>
      <c r="D66" t="s">
        <v>47</v>
      </c>
      <c r="E66" t="s">
        <v>70</v>
      </c>
      <c r="F66" t="s">
        <v>84</v>
      </c>
      <c r="G66" t="s">
        <v>5</v>
      </c>
      <c r="H66" t="s">
        <v>896</v>
      </c>
      <c r="I66" t="s">
        <v>20</v>
      </c>
      <c r="J66" t="s">
        <v>784</v>
      </c>
      <c r="K66" s="55" t="s">
        <v>8</v>
      </c>
    </row>
    <row r="67" spans="1:11">
      <c r="A67" s="55" t="s">
        <v>808</v>
      </c>
      <c r="B67" t="s">
        <v>901</v>
      </c>
      <c r="C67" t="s">
        <v>58</v>
      </c>
      <c r="D67" t="s">
        <v>45</v>
      </c>
      <c r="E67" t="s">
        <v>85</v>
      </c>
      <c r="F67" t="s">
        <v>86</v>
      </c>
      <c r="G67" t="s">
        <v>5</v>
      </c>
      <c r="H67" t="s">
        <v>896</v>
      </c>
      <c r="I67" t="s">
        <v>20</v>
      </c>
      <c r="J67" t="s">
        <v>784</v>
      </c>
      <c r="K67" s="55" t="s">
        <v>8</v>
      </c>
    </row>
    <row r="68" spans="1:11">
      <c r="A68" s="55" t="s">
        <v>808</v>
      </c>
      <c r="B68" t="s">
        <v>902</v>
      </c>
      <c r="C68" t="s">
        <v>58</v>
      </c>
      <c r="D68" t="s">
        <v>42</v>
      </c>
      <c r="E68" t="s">
        <v>151</v>
      </c>
      <c r="F68" t="s">
        <v>152</v>
      </c>
      <c r="G68" t="s">
        <v>129</v>
      </c>
      <c r="H68" t="s">
        <v>896</v>
      </c>
      <c r="I68" t="s">
        <v>20</v>
      </c>
      <c r="J68" t="s">
        <v>784</v>
      </c>
      <c r="K68" s="55" t="s">
        <v>131</v>
      </c>
    </row>
    <row r="69" spans="1:11">
      <c r="A69" s="55" t="s">
        <v>808</v>
      </c>
      <c r="B69" t="s">
        <v>902</v>
      </c>
      <c r="C69" t="s">
        <v>58</v>
      </c>
      <c r="D69" t="s">
        <v>42</v>
      </c>
      <c r="E69" t="s">
        <v>74</v>
      </c>
      <c r="F69" t="s">
        <v>153</v>
      </c>
      <c r="G69" t="s">
        <v>129</v>
      </c>
      <c r="H69" t="s">
        <v>896</v>
      </c>
      <c r="I69" t="s">
        <v>20</v>
      </c>
      <c r="J69" t="s">
        <v>784</v>
      </c>
      <c r="K69" s="55" t="s">
        <v>131</v>
      </c>
    </row>
    <row r="70" spans="1:11">
      <c r="A70" s="55" t="s">
        <v>808</v>
      </c>
      <c r="B70" t="s">
        <v>902</v>
      </c>
      <c r="C70" t="s">
        <v>58</v>
      </c>
      <c r="D70" t="s">
        <v>45</v>
      </c>
      <c r="E70" t="s">
        <v>74</v>
      </c>
      <c r="F70" t="s">
        <v>75</v>
      </c>
      <c r="G70" t="s">
        <v>129</v>
      </c>
      <c r="H70" t="s">
        <v>896</v>
      </c>
      <c r="I70" t="s">
        <v>20</v>
      </c>
      <c r="J70" t="s">
        <v>784</v>
      </c>
      <c r="K70" s="55" t="s">
        <v>131</v>
      </c>
    </row>
    <row r="71" spans="1:11">
      <c r="A71" s="55" t="s">
        <v>808</v>
      </c>
      <c r="B71" t="s">
        <v>902</v>
      </c>
      <c r="C71" t="s">
        <v>58</v>
      </c>
      <c r="D71" t="s">
        <v>45</v>
      </c>
      <c r="E71" t="s">
        <v>154</v>
      </c>
      <c r="F71" t="s">
        <v>155</v>
      </c>
      <c r="G71" t="s">
        <v>129</v>
      </c>
      <c r="H71" t="s">
        <v>896</v>
      </c>
      <c r="I71" t="s">
        <v>20</v>
      </c>
      <c r="J71" t="s">
        <v>784</v>
      </c>
      <c r="K71" s="55" t="s">
        <v>131</v>
      </c>
    </row>
    <row r="72" spans="1:11">
      <c r="A72" s="55" t="s">
        <v>808</v>
      </c>
      <c r="B72" t="s">
        <v>902</v>
      </c>
      <c r="C72" t="s">
        <v>62</v>
      </c>
      <c r="D72" t="s">
        <v>45</v>
      </c>
      <c r="E72" t="s">
        <v>151</v>
      </c>
      <c r="F72" t="s">
        <v>152</v>
      </c>
      <c r="G72" t="s">
        <v>129</v>
      </c>
      <c r="H72" t="s">
        <v>896</v>
      </c>
      <c r="I72" t="s">
        <v>20</v>
      </c>
      <c r="J72" t="s">
        <v>784</v>
      </c>
      <c r="K72" s="55" t="s">
        <v>131</v>
      </c>
    </row>
    <row r="73" spans="1:11">
      <c r="A73" s="55" t="s">
        <v>808</v>
      </c>
      <c r="B73" t="s">
        <v>902</v>
      </c>
      <c r="C73" t="s">
        <v>62</v>
      </c>
      <c r="D73" t="s">
        <v>45</v>
      </c>
      <c r="E73" t="s">
        <v>72</v>
      </c>
      <c r="F73" t="s">
        <v>73</v>
      </c>
      <c r="G73" t="s">
        <v>129</v>
      </c>
      <c r="H73" t="s">
        <v>896</v>
      </c>
      <c r="I73" t="s">
        <v>20</v>
      </c>
      <c r="J73" t="s">
        <v>784</v>
      </c>
      <c r="K73" s="55" t="s">
        <v>131</v>
      </c>
    </row>
    <row r="74" spans="1:11">
      <c r="A74" s="55" t="s">
        <v>808</v>
      </c>
      <c r="B74" t="s">
        <v>902</v>
      </c>
      <c r="C74" t="s">
        <v>62</v>
      </c>
      <c r="D74" t="s">
        <v>42</v>
      </c>
      <c r="E74" t="s">
        <v>154</v>
      </c>
      <c r="F74" t="s">
        <v>156</v>
      </c>
      <c r="G74" t="s">
        <v>129</v>
      </c>
      <c r="H74" t="s">
        <v>896</v>
      </c>
      <c r="I74" t="s">
        <v>20</v>
      </c>
      <c r="J74" t="s">
        <v>784</v>
      </c>
      <c r="K74" s="55" t="s">
        <v>131</v>
      </c>
    </row>
    <row r="75" spans="1:11">
      <c r="A75" s="55" t="s">
        <v>808</v>
      </c>
      <c r="B75" t="s">
        <v>902</v>
      </c>
      <c r="C75" t="s">
        <v>62</v>
      </c>
      <c r="D75" t="s">
        <v>47</v>
      </c>
      <c r="E75" t="s">
        <v>151</v>
      </c>
      <c r="F75" t="s">
        <v>157</v>
      </c>
      <c r="G75" t="s">
        <v>129</v>
      </c>
      <c r="H75" t="s">
        <v>896</v>
      </c>
      <c r="I75" t="s">
        <v>20</v>
      </c>
      <c r="J75" t="s">
        <v>784</v>
      </c>
      <c r="K75" s="55" t="s">
        <v>131</v>
      </c>
    </row>
    <row r="76" spans="1:11">
      <c r="A76" s="55" t="s">
        <v>808</v>
      </c>
      <c r="B76" t="s">
        <v>902</v>
      </c>
      <c r="C76" t="s">
        <v>58</v>
      </c>
      <c r="D76" t="s">
        <v>45</v>
      </c>
      <c r="E76" t="s">
        <v>158</v>
      </c>
      <c r="F76" t="s">
        <v>159</v>
      </c>
      <c r="G76" t="s">
        <v>129</v>
      </c>
      <c r="H76" t="s">
        <v>896</v>
      </c>
      <c r="I76" t="s">
        <v>20</v>
      </c>
      <c r="J76" t="s">
        <v>784</v>
      </c>
      <c r="K76" s="55" t="s">
        <v>131</v>
      </c>
    </row>
    <row r="77" spans="1:11">
      <c r="A77" s="55" t="s">
        <v>808</v>
      </c>
      <c r="B77" t="s">
        <v>902</v>
      </c>
      <c r="C77" t="s">
        <v>58</v>
      </c>
      <c r="D77" t="s">
        <v>45</v>
      </c>
      <c r="E77" t="s">
        <v>160</v>
      </c>
      <c r="F77" t="s">
        <v>161</v>
      </c>
      <c r="G77" t="s">
        <v>129</v>
      </c>
      <c r="H77" t="s">
        <v>896</v>
      </c>
      <c r="I77" t="s">
        <v>20</v>
      </c>
      <c r="J77" t="s">
        <v>784</v>
      </c>
      <c r="K77" s="55" t="s">
        <v>131</v>
      </c>
    </row>
    <row r="78" spans="1:11">
      <c r="A78" s="55" t="s">
        <v>808</v>
      </c>
      <c r="B78" t="s">
        <v>902</v>
      </c>
      <c r="C78" t="s">
        <v>58</v>
      </c>
      <c r="D78" t="s">
        <v>45</v>
      </c>
      <c r="E78" t="s">
        <v>160</v>
      </c>
      <c r="F78" t="s">
        <v>162</v>
      </c>
      <c r="G78" t="s">
        <v>129</v>
      </c>
      <c r="H78" t="s">
        <v>896</v>
      </c>
      <c r="I78" t="s">
        <v>20</v>
      </c>
      <c r="J78" t="s">
        <v>784</v>
      </c>
      <c r="K78" s="55" t="s">
        <v>131</v>
      </c>
    </row>
    <row r="79" spans="1:11">
      <c r="A79" s="55" t="s">
        <v>808</v>
      </c>
      <c r="B79" t="s">
        <v>903</v>
      </c>
      <c r="C79" t="s">
        <v>58</v>
      </c>
      <c r="D79" t="s">
        <v>42</v>
      </c>
      <c r="E79" t="s">
        <v>151</v>
      </c>
      <c r="F79" t="s">
        <v>152</v>
      </c>
      <c r="G79" t="s">
        <v>198</v>
      </c>
      <c r="H79" t="s">
        <v>896</v>
      </c>
      <c r="I79" t="s">
        <v>20</v>
      </c>
      <c r="J79" t="s">
        <v>784</v>
      </c>
      <c r="K79" s="55" t="s">
        <v>200</v>
      </c>
    </row>
    <row r="80" spans="1:11">
      <c r="A80" s="55" t="s">
        <v>808</v>
      </c>
      <c r="B80" t="s">
        <v>903</v>
      </c>
      <c r="C80" t="s">
        <v>58</v>
      </c>
      <c r="D80" t="s">
        <v>42</v>
      </c>
      <c r="E80" t="s">
        <v>151</v>
      </c>
      <c r="F80" t="s">
        <v>219</v>
      </c>
      <c r="G80" t="s">
        <v>198</v>
      </c>
      <c r="H80" t="s">
        <v>896</v>
      </c>
      <c r="I80" t="s">
        <v>20</v>
      </c>
      <c r="J80" t="s">
        <v>784</v>
      </c>
      <c r="K80" s="55" t="s">
        <v>200</v>
      </c>
    </row>
    <row r="81" spans="1:11">
      <c r="A81" s="55" t="s">
        <v>808</v>
      </c>
      <c r="B81" t="s">
        <v>903</v>
      </c>
      <c r="C81" t="s">
        <v>58</v>
      </c>
      <c r="D81" t="s">
        <v>47</v>
      </c>
      <c r="E81" t="s">
        <v>72</v>
      </c>
      <c r="F81" t="s">
        <v>220</v>
      </c>
      <c r="G81" t="s">
        <v>198</v>
      </c>
      <c r="H81" t="s">
        <v>896</v>
      </c>
      <c r="I81" t="s">
        <v>20</v>
      </c>
      <c r="J81" t="s">
        <v>784</v>
      </c>
      <c r="K81" s="55" t="s">
        <v>200</v>
      </c>
    </row>
    <row r="82" spans="1:11">
      <c r="A82" s="55" t="s">
        <v>808</v>
      </c>
      <c r="B82" t="s">
        <v>903</v>
      </c>
      <c r="C82" t="s">
        <v>58</v>
      </c>
      <c r="D82" t="s">
        <v>42</v>
      </c>
      <c r="E82" t="s">
        <v>76</v>
      </c>
      <c r="F82" t="s">
        <v>221</v>
      </c>
      <c r="G82" t="s">
        <v>198</v>
      </c>
      <c r="H82" t="s">
        <v>896</v>
      </c>
      <c r="I82" t="s">
        <v>20</v>
      </c>
      <c r="J82" t="s">
        <v>784</v>
      </c>
      <c r="K82" s="55" t="s">
        <v>200</v>
      </c>
    </row>
    <row r="83" spans="1:11">
      <c r="A83" s="55" t="s">
        <v>808</v>
      </c>
      <c r="B83" t="s">
        <v>903</v>
      </c>
      <c r="C83" t="s">
        <v>58</v>
      </c>
      <c r="D83" t="s">
        <v>47</v>
      </c>
      <c r="E83" t="s">
        <v>76</v>
      </c>
      <c r="F83" t="s">
        <v>222</v>
      </c>
      <c r="G83" t="s">
        <v>198</v>
      </c>
      <c r="H83" t="s">
        <v>896</v>
      </c>
      <c r="I83" t="s">
        <v>20</v>
      </c>
      <c r="J83" t="s">
        <v>784</v>
      </c>
      <c r="K83" s="55" t="s">
        <v>200</v>
      </c>
    </row>
    <row r="84" spans="1:11">
      <c r="A84" s="55" t="s">
        <v>808</v>
      </c>
      <c r="B84" t="s">
        <v>903</v>
      </c>
      <c r="C84" t="s">
        <v>58</v>
      </c>
      <c r="D84" t="s">
        <v>47</v>
      </c>
      <c r="E84" t="s">
        <v>154</v>
      </c>
      <c r="F84" t="s">
        <v>223</v>
      </c>
      <c r="G84" t="s">
        <v>198</v>
      </c>
      <c r="H84" t="s">
        <v>896</v>
      </c>
      <c r="I84" t="s">
        <v>20</v>
      </c>
      <c r="J84" t="s">
        <v>784</v>
      </c>
      <c r="K84" s="55" t="s">
        <v>200</v>
      </c>
    </row>
    <row r="85" spans="1:11">
      <c r="A85" s="55" t="s">
        <v>808</v>
      </c>
      <c r="B85" t="s">
        <v>903</v>
      </c>
      <c r="C85" t="s">
        <v>62</v>
      </c>
      <c r="D85" t="s">
        <v>42</v>
      </c>
      <c r="E85" t="s">
        <v>74</v>
      </c>
      <c r="F85" t="s">
        <v>153</v>
      </c>
      <c r="G85" t="s">
        <v>198</v>
      </c>
      <c r="H85" t="s">
        <v>896</v>
      </c>
      <c r="I85" t="s">
        <v>20</v>
      </c>
      <c r="J85" t="s">
        <v>784</v>
      </c>
      <c r="K85" s="55" t="s">
        <v>200</v>
      </c>
    </row>
    <row r="86" spans="1:11">
      <c r="A86" s="55" t="s">
        <v>808</v>
      </c>
      <c r="B86" t="s">
        <v>903</v>
      </c>
      <c r="C86" t="s">
        <v>62</v>
      </c>
      <c r="D86" t="s">
        <v>45</v>
      </c>
      <c r="E86" t="s">
        <v>151</v>
      </c>
      <c r="F86" t="s">
        <v>224</v>
      </c>
      <c r="G86" t="s">
        <v>198</v>
      </c>
      <c r="H86" t="s">
        <v>896</v>
      </c>
      <c r="I86" t="s">
        <v>20</v>
      </c>
      <c r="J86" t="s">
        <v>784</v>
      </c>
      <c r="K86" s="55" t="s">
        <v>200</v>
      </c>
    </row>
    <row r="87" spans="1:11">
      <c r="A87" s="55" t="s">
        <v>808</v>
      </c>
      <c r="B87" t="s">
        <v>903</v>
      </c>
      <c r="C87" t="s">
        <v>62</v>
      </c>
      <c r="D87" t="s">
        <v>45</v>
      </c>
      <c r="E87" t="s">
        <v>158</v>
      </c>
      <c r="F87" t="s">
        <v>225</v>
      </c>
      <c r="G87" t="s">
        <v>198</v>
      </c>
      <c r="H87" t="s">
        <v>896</v>
      </c>
      <c r="I87" t="s">
        <v>20</v>
      </c>
      <c r="J87" t="s">
        <v>784</v>
      </c>
      <c r="K87" s="55" t="s">
        <v>200</v>
      </c>
    </row>
    <row r="88" spans="1:11">
      <c r="A88" s="55" t="s">
        <v>808</v>
      </c>
      <c r="B88" t="s">
        <v>903</v>
      </c>
      <c r="C88" t="s">
        <v>58</v>
      </c>
      <c r="D88" t="s">
        <v>47</v>
      </c>
      <c r="E88" t="s">
        <v>76</v>
      </c>
      <c r="F88" t="s">
        <v>226</v>
      </c>
      <c r="G88" t="s">
        <v>198</v>
      </c>
      <c r="H88" t="s">
        <v>896</v>
      </c>
      <c r="I88" t="s">
        <v>20</v>
      </c>
      <c r="J88" t="s">
        <v>784</v>
      </c>
      <c r="K88" s="55" t="s">
        <v>200</v>
      </c>
    </row>
    <row r="89" spans="1:11">
      <c r="A89" s="55" t="s">
        <v>808</v>
      </c>
      <c r="B89" t="s">
        <v>903</v>
      </c>
      <c r="C89" t="s">
        <v>58</v>
      </c>
      <c r="D89" t="s">
        <v>47</v>
      </c>
      <c r="E89" t="s">
        <v>158</v>
      </c>
      <c r="F89" t="s">
        <v>159</v>
      </c>
      <c r="G89" t="s">
        <v>198</v>
      </c>
      <c r="H89" t="s">
        <v>896</v>
      </c>
      <c r="I89" t="s">
        <v>20</v>
      </c>
      <c r="J89" t="s">
        <v>784</v>
      </c>
      <c r="K89" s="55" t="s">
        <v>200</v>
      </c>
    </row>
    <row r="90" spans="1:11">
      <c r="A90" s="55" t="s">
        <v>808</v>
      </c>
      <c r="B90" t="s">
        <v>903</v>
      </c>
      <c r="C90" t="s">
        <v>62</v>
      </c>
      <c r="D90" t="s">
        <v>42</v>
      </c>
      <c r="E90" t="s">
        <v>78</v>
      </c>
      <c r="F90" t="s">
        <v>227</v>
      </c>
      <c r="G90" t="s">
        <v>198</v>
      </c>
      <c r="H90" t="s">
        <v>896</v>
      </c>
      <c r="I90" t="s">
        <v>20</v>
      </c>
      <c r="J90" t="s">
        <v>784</v>
      </c>
      <c r="K90" s="55" t="s">
        <v>200</v>
      </c>
    </row>
    <row r="91" spans="1:11">
      <c r="A91" s="55" t="s">
        <v>808</v>
      </c>
      <c r="B91" t="s">
        <v>904</v>
      </c>
      <c r="C91" t="s">
        <v>58</v>
      </c>
      <c r="D91" t="s">
        <v>47</v>
      </c>
      <c r="E91" t="s">
        <v>151</v>
      </c>
      <c r="F91" t="s">
        <v>152</v>
      </c>
      <c r="G91" t="s">
        <v>264</v>
      </c>
      <c r="H91" t="s">
        <v>896</v>
      </c>
      <c r="I91" t="s">
        <v>20</v>
      </c>
      <c r="J91" t="s">
        <v>784</v>
      </c>
      <c r="K91" s="55" t="s">
        <v>266</v>
      </c>
    </row>
    <row r="92" spans="1:11">
      <c r="A92" s="55" t="s">
        <v>808</v>
      </c>
      <c r="B92" t="s">
        <v>904</v>
      </c>
      <c r="C92" t="s">
        <v>58</v>
      </c>
      <c r="D92" t="s">
        <v>47</v>
      </c>
      <c r="E92" t="s">
        <v>76</v>
      </c>
      <c r="F92" t="s">
        <v>281</v>
      </c>
      <c r="G92" t="s">
        <v>264</v>
      </c>
      <c r="H92" t="s">
        <v>896</v>
      </c>
      <c r="I92" t="s">
        <v>20</v>
      </c>
      <c r="J92" t="s">
        <v>784</v>
      </c>
      <c r="K92" s="55" t="s">
        <v>266</v>
      </c>
    </row>
    <row r="93" spans="1:11">
      <c r="A93" s="55" t="s">
        <v>808</v>
      </c>
      <c r="B93" t="s">
        <v>904</v>
      </c>
      <c r="C93" t="s">
        <v>58</v>
      </c>
      <c r="D93" t="s">
        <v>47</v>
      </c>
      <c r="E93" t="s">
        <v>154</v>
      </c>
      <c r="F93" t="s">
        <v>282</v>
      </c>
      <c r="G93" t="s">
        <v>264</v>
      </c>
      <c r="H93" t="s">
        <v>896</v>
      </c>
      <c r="I93" t="s">
        <v>20</v>
      </c>
      <c r="J93" t="s">
        <v>784</v>
      </c>
      <c r="K93" s="55" t="s">
        <v>266</v>
      </c>
    </row>
    <row r="94" spans="1:11">
      <c r="A94" s="55" t="s">
        <v>808</v>
      </c>
      <c r="B94" t="s">
        <v>904</v>
      </c>
      <c r="C94" t="s">
        <v>58</v>
      </c>
      <c r="D94" t="s">
        <v>47</v>
      </c>
      <c r="E94" t="s">
        <v>154</v>
      </c>
      <c r="F94" t="s">
        <v>283</v>
      </c>
      <c r="G94" t="s">
        <v>264</v>
      </c>
      <c r="H94" t="s">
        <v>896</v>
      </c>
      <c r="I94" t="s">
        <v>20</v>
      </c>
      <c r="J94" t="s">
        <v>784</v>
      </c>
      <c r="K94" s="55" t="s">
        <v>266</v>
      </c>
    </row>
    <row r="95" spans="1:11">
      <c r="A95" s="55" t="s">
        <v>808</v>
      </c>
      <c r="B95" t="s">
        <v>904</v>
      </c>
      <c r="C95" t="s">
        <v>62</v>
      </c>
      <c r="D95" t="s">
        <v>42</v>
      </c>
      <c r="E95" t="s">
        <v>151</v>
      </c>
      <c r="F95" t="s">
        <v>219</v>
      </c>
      <c r="G95" t="s">
        <v>264</v>
      </c>
      <c r="H95" t="s">
        <v>896</v>
      </c>
      <c r="I95" t="s">
        <v>20</v>
      </c>
      <c r="J95" t="s">
        <v>784</v>
      </c>
      <c r="K95" s="55" t="s">
        <v>266</v>
      </c>
    </row>
    <row r="96" spans="1:11">
      <c r="A96" s="55" t="s">
        <v>808</v>
      </c>
      <c r="B96" t="s">
        <v>904</v>
      </c>
      <c r="C96" t="s">
        <v>62</v>
      </c>
      <c r="D96" t="s">
        <v>45</v>
      </c>
      <c r="E96" t="s">
        <v>160</v>
      </c>
      <c r="F96" t="s">
        <v>162</v>
      </c>
      <c r="G96" t="s">
        <v>264</v>
      </c>
      <c r="H96" t="s">
        <v>896</v>
      </c>
      <c r="I96" t="s">
        <v>20</v>
      </c>
      <c r="J96" t="s">
        <v>784</v>
      </c>
      <c r="K96" s="55" t="s">
        <v>266</v>
      </c>
    </row>
    <row r="97" spans="1:11">
      <c r="A97" s="55" t="s">
        <v>808</v>
      </c>
      <c r="B97" t="s">
        <v>904</v>
      </c>
      <c r="C97" t="s">
        <v>62</v>
      </c>
      <c r="D97" t="s">
        <v>45</v>
      </c>
      <c r="E97" t="s">
        <v>72</v>
      </c>
      <c r="F97" t="s">
        <v>284</v>
      </c>
      <c r="G97" t="s">
        <v>264</v>
      </c>
      <c r="H97" t="s">
        <v>896</v>
      </c>
      <c r="I97" t="s">
        <v>20</v>
      </c>
      <c r="J97" t="s">
        <v>784</v>
      </c>
      <c r="K97" s="55" t="s">
        <v>266</v>
      </c>
    </row>
    <row r="98" spans="1:11">
      <c r="A98" s="55" t="s">
        <v>808</v>
      </c>
      <c r="B98" t="s">
        <v>904</v>
      </c>
      <c r="C98" t="s">
        <v>58</v>
      </c>
      <c r="D98" t="s">
        <v>45</v>
      </c>
      <c r="E98" t="s">
        <v>85</v>
      </c>
      <c r="F98" t="s">
        <v>285</v>
      </c>
      <c r="G98" t="s">
        <v>264</v>
      </c>
      <c r="H98" t="s">
        <v>896</v>
      </c>
      <c r="I98" t="s">
        <v>20</v>
      </c>
      <c r="J98" t="s">
        <v>784</v>
      </c>
      <c r="K98" s="55" t="s">
        <v>266</v>
      </c>
    </row>
    <row r="99" spans="1:11">
      <c r="A99" s="55" t="s">
        <v>808</v>
      </c>
      <c r="B99" t="s">
        <v>905</v>
      </c>
      <c r="C99" t="s">
        <v>58</v>
      </c>
      <c r="D99" t="s">
        <v>42</v>
      </c>
      <c r="E99" t="s">
        <v>72</v>
      </c>
      <c r="F99" t="s">
        <v>73</v>
      </c>
      <c r="G99" t="s">
        <v>317</v>
      </c>
      <c r="H99" t="s">
        <v>896</v>
      </c>
      <c r="I99" t="s">
        <v>20</v>
      </c>
      <c r="J99" t="s">
        <v>784</v>
      </c>
      <c r="K99" s="55" t="s">
        <v>319</v>
      </c>
    </row>
    <row r="100" spans="1:11">
      <c r="A100" s="55" t="s">
        <v>808</v>
      </c>
      <c r="B100" t="s">
        <v>905</v>
      </c>
      <c r="C100" t="s">
        <v>58</v>
      </c>
      <c r="D100" t="s">
        <v>42</v>
      </c>
      <c r="E100" t="s">
        <v>70</v>
      </c>
      <c r="F100" t="s">
        <v>335</v>
      </c>
      <c r="G100" t="s">
        <v>317</v>
      </c>
      <c r="H100" t="s">
        <v>896</v>
      </c>
      <c r="I100" t="s">
        <v>20</v>
      </c>
      <c r="J100" t="s">
        <v>784</v>
      </c>
      <c r="K100" s="55" t="s">
        <v>319</v>
      </c>
    </row>
    <row r="101" spans="1:11">
      <c r="A101" s="55" t="s">
        <v>808</v>
      </c>
      <c r="B101" t="s">
        <v>905</v>
      </c>
      <c r="C101" t="s">
        <v>58</v>
      </c>
      <c r="D101" t="s">
        <v>45</v>
      </c>
      <c r="E101" t="s">
        <v>151</v>
      </c>
      <c r="F101" t="s">
        <v>219</v>
      </c>
      <c r="G101" t="s">
        <v>317</v>
      </c>
      <c r="H101" t="s">
        <v>896</v>
      </c>
      <c r="I101" t="s">
        <v>20</v>
      </c>
      <c r="J101" t="s">
        <v>784</v>
      </c>
      <c r="K101" s="55" t="s">
        <v>319</v>
      </c>
    </row>
    <row r="102" spans="1:11">
      <c r="A102" s="55" t="s">
        <v>808</v>
      </c>
      <c r="B102" t="s">
        <v>905</v>
      </c>
      <c r="C102" t="s">
        <v>58</v>
      </c>
      <c r="D102" t="s">
        <v>42</v>
      </c>
      <c r="E102" t="s">
        <v>158</v>
      </c>
      <c r="F102" t="s">
        <v>336</v>
      </c>
      <c r="G102" t="s">
        <v>317</v>
      </c>
      <c r="H102" t="s">
        <v>896</v>
      </c>
      <c r="I102" t="s">
        <v>20</v>
      </c>
      <c r="J102" t="s">
        <v>784</v>
      </c>
      <c r="K102" s="55" t="s">
        <v>319</v>
      </c>
    </row>
    <row r="103" spans="1:11">
      <c r="A103" s="55" t="s">
        <v>808</v>
      </c>
      <c r="B103" t="s">
        <v>905</v>
      </c>
      <c r="C103" t="s">
        <v>58</v>
      </c>
      <c r="D103" t="s">
        <v>45</v>
      </c>
      <c r="E103" t="s">
        <v>74</v>
      </c>
      <c r="F103" t="s">
        <v>337</v>
      </c>
      <c r="G103" t="s">
        <v>317</v>
      </c>
      <c r="H103" t="s">
        <v>896</v>
      </c>
      <c r="I103" t="s">
        <v>20</v>
      </c>
      <c r="J103" t="s">
        <v>784</v>
      </c>
      <c r="K103" s="55" t="s">
        <v>319</v>
      </c>
    </row>
    <row r="104" spans="1:11">
      <c r="A104" s="55" t="s">
        <v>808</v>
      </c>
      <c r="B104" t="s">
        <v>905</v>
      </c>
      <c r="C104" t="s">
        <v>62</v>
      </c>
      <c r="D104" t="s">
        <v>47</v>
      </c>
      <c r="E104" t="s">
        <v>74</v>
      </c>
      <c r="F104" t="s">
        <v>338</v>
      </c>
      <c r="G104" t="s">
        <v>317</v>
      </c>
      <c r="H104" t="s">
        <v>896</v>
      </c>
      <c r="I104" t="s">
        <v>20</v>
      </c>
      <c r="J104" t="s">
        <v>784</v>
      </c>
      <c r="K104" s="55" t="s">
        <v>319</v>
      </c>
    </row>
    <row r="105" spans="1:11">
      <c r="A105" s="55" t="s">
        <v>808</v>
      </c>
      <c r="B105" t="s">
        <v>905</v>
      </c>
      <c r="C105" t="s">
        <v>62</v>
      </c>
      <c r="D105" t="s">
        <v>47</v>
      </c>
      <c r="E105" t="s">
        <v>70</v>
      </c>
      <c r="F105" t="s">
        <v>71</v>
      </c>
      <c r="G105" t="s">
        <v>317</v>
      </c>
      <c r="H105" t="s">
        <v>896</v>
      </c>
      <c r="I105" t="s">
        <v>20</v>
      </c>
      <c r="J105" t="s">
        <v>784</v>
      </c>
      <c r="K105" s="55" t="s">
        <v>319</v>
      </c>
    </row>
    <row r="106" spans="1:11">
      <c r="A106" s="55" t="s">
        <v>808</v>
      </c>
      <c r="B106" t="s">
        <v>905</v>
      </c>
      <c r="C106" t="s">
        <v>62</v>
      </c>
      <c r="D106" t="s">
        <v>47</v>
      </c>
      <c r="E106" t="s">
        <v>158</v>
      </c>
      <c r="F106" t="s">
        <v>339</v>
      </c>
      <c r="G106" t="s">
        <v>317</v>
      </c>
      <c r="H106" t="s">
        <v>896</v>
      </c>
      <c r="I106" t="s">
        <v>20</v>
      </c>
      <c r="J106" t="s">
        <v>784</v>
      </c>
      <c r="K106" s="55" t="s">
        <v>319</v>
      </c>
    </row>
    <row r="107" spans="1:11">
      <c r="A107" s="55" t="s">
        <v>808</v>
      </c>
      <c r="B107" t="s">
        <v>905</v>
      </c>
      <c r="C107" t="s">
        <v>58</v>
      </c>
      <c r="D107" t="s">
        <v>45</v>
      </c>
      <c r="E107" t="s">
        <v>72</v>
      </c>
      <c r="F107" t="s">
        <v>340</v>
      </c>
      <c r="G107" t="s">
        <v>317</v>
      </c>
      <c r="H107" t="s">
        <v>896</v>
      </c>
      <c r="I107" t="s">
        <v>20</v>
      </c>
      <c r="J107" t="s">
        <v>784</v>
      </c>
      <c r="K107" s="55" t="s">
        <v>319</v>
      </c>
    </row>
    <row r="108" spans="1:11">
      <c r="A108" s="55" t="s">
        <v>808</v>
      </c>
      <c r="B108" t="s">
        <v>905</v>
      </c>
      <c r="C108" t="s">
        <v>62</v>
      </c>
      <c r="D108" t="s">
        <v>47</v>
      </c>
      <c r="E108" t="s">
        <v>70</v>
      </c>
      <c r="F108" t="s">
        <v>341</v>
      </c>
      <c r="G108" t="s">
        <v>317</v>
      </c>
      <c r="H108" t="s">
        <v>896</v>
      </c>
      <c r="I108" t="s">
        <v>20</v>
      </c>
      <c r="J108" t="s">
        <v>784</v>
      </c>
      <c r="K108" s="55" t="s">
        <v>319</v>
      </c>
    </row>
    <row r="109" spans="1:11">
      <c r="A109" s="55" t="s">
        <v>808</v>
      </c>
      <c r="B109" t="s">
        <v>905</v>
      </c>
      <c r="C109" t="s">
        <v>58</v>
      </c>
      <c r="D109" t="s">
        <v>45</v>
      </c>
      <c r="E109" t="s">
        <v>158</v>
      </c>
      <c r="F109" t="s">
        <v>159</v>
      </c>
      <c r="G109" t="s">
        <v>317</v>
      </c>
      <c r="H109" t="s">
        <v>896</v>
      </c>
      <c r="I109" t="s">
        <v>20</v>
      </c>
      <c r="J109" t="s">
        <v>784</v>
      </c>
      <c r="K109" s="55" t="s">
        <v>319</v>
      </c>
    </row>
    <row r="110" spans="1:11">
      <c r="A110" s="55" t="s">
        <v>808</v>
      </c>
      <c r="B110" t="s">
        <v>905</v>
      </c>
      <c r="C110" t="s">
        <v>58</v>
      </c>
      <c r="D110" t="s">
        <v>45</v>
      </c>
      <c r="E110" t="s">
        <v>78</v>
      </c>
      <c r="F110" t="s">
        <v>83</v>
      </c>
      <c r="G110" t="s">
        <v>317</v>
      </c>
      <c r="H110" t="s">
        <v>896</v>
      </c>
      <c r="I110" t="s">
        <v>20</v>
      </c>
      <c r="J110" t="s">
        <v>784</v>
      </c>
      <c r="K110" s="55" t="s">
        <v>319</v>
      </c>
    </row>
    <row r="111" spans="1:11">
      <c r="A111" s="55" t="s">
        <v>808</v>
      </c>
      <c r="B111" t="s">
        <v>905</v>
      </c>
      <c r="C111" t="s">
        <v>58</v>
      </c>
      <c r="D111" t="s">
        <v>42</v>
      </c>
      <c r="E111" t="s">
        <v>158</v>
      </c>
      <c r="F111" t="s">
        <v>225</v>
      </c>
      <c r="G111" t="s">
        <v>317</v>
      </c>
      <c r="H111" t="s">
        <v>896</v>
      </c>
      <c r="I111" t="s">
        <v>20</v>
      </c>
      <c r="J111" t="s">
        <v>784</v>
      </c>
      <c r="K111" s="55" t="s">
        <v>319</v>
      </c>
    </row>
    <row r="112" spans="1:11">
      <c r="A112" s="55" t="s">
        <v>808</v>
      </c>
      <c r="B112" t="s">
        <v>905</v>
      </c>
      <c r="C112" t="s">
        <v>62</v>
      </c>
      <c r="D112" t="s">
        <v>47</v>
      </c>
      <c r="E112" t="s">
        <v>70</v>
      </c>
      <c r="F112" t="s">
        <v>80</v>
      </c>
      <c r="G112" t="s">
        <v>317</v>
      </c>
      <c r="H112" t="s">
        <v>896</v>
      </c>
      <c r="I112" t="s">
        <v>20</v>
      </c>
      <c r="J112" t="s">
        <v>784</v>
      </c>
      <c r="K112" s="55" t="s">
        <v>319</v>
      </c>
    </row>
    <row r="113" spans="1:11">
      <c r="A113" s="55" t="s">
        <v>808</v>
      </c>
      <c r="B113" t="s">
        <v>906</v>
      </c>
      <c r="C113" t="s">
        <v>58</v>
      </c>
      <c r="D113" t="s">
        <v>42</v>
      </c>
      <c r="E113" t="s">
        <v>74</v>
      </c>
      <c r="F113" t="s">
        <v>153</v>
      </c>
      <c r="G113" t="s">
        <v>377</v>
      </c>
      <c r="H113" t="s">
        <v>896</v>
      </c>
      <c r="I113" t="s">
        <v>20</v>
      </c>
      <c r="J113" t="s">
        <v>784</v>
      </c>
      <c r="K113" s="55" t="s">
        <v>379</v>
      </c>
    </row>
    <row r="114" spans="1:11">
      <c r="A114" s="55" t="s">
        <v>808</v>
      </c>
      <c r="B114" t="s">
        <v>906</v>
      </c>
      <c r="C114" t="s">
        <v>58</v>
      </c>
      <c r="D114" t="s">
        <v>42</v>
      </c>
      <c r="E114" t="s">
        <v>151</v>
      </c>
      <c r="F114" t="s">
        <v>224</v>
      </c>
      <c r="G114" t="s">
        <v>377</v>
      </c>
      <c r="H114" t="s">
        <v>896</v>
      </c>
      <c r="I114" t="s">
        <v>20</v>
      </c>
      <c r="J114" t="s">
        <v>784</v>
      </c>
      <c r="K114" s="55" t="s">
        <v>379</v>
      </c>
    </row>
    <row r="115" spans="1:11">
      <c r="A115" s="55" t="s">
        <v>808</v>
      </c>
      <c r="B115" t="s">
        <v>906</v>
      </c>
      <c r="C115" t="s">
        <v>58</v>
      </c>
      <c r="D115" t="s">
        <v>47</v>
      </c>
      <c r="E115" t="s">
        <v>160</v>
      </c>
      <c r="F115" t="s">
        <v>395</v>
      </c>
      <c r="G115" t="s">
        <v>377</v>
      </c>
      <c r="H115" t="s">
        <v>896</v>
      </c>
      <c r="I115" t="s">
        <v>20</v>
      </c>
      <c r="J115" t="s">
        <v>784</v>
      </c>
      <c r="K115" s="55" t="s">
        <v>379</v>
      </c>
    </row>
    <row r="116" spans="1:11">
      <c r="A116" s="55" t="s">
        <v>808</v>
      </c>
      <c r="B116" t="s">
        <v>906</v>
      </c>
      <c r="C116" t="s">
        <v>58</v>
      </c>
      <c r="D116" t="s">
        <v>47</v>
      </c>
      <c r="E116" t="s">
        <v>76</v>
      </c>
      <c r="F116" t="s">
        <v>396</v>
      </c>
      <c r="G116" t="s">
        <v>377</v>
      </c>
      <c r="H116" t="s">
        <v>896</v>
      </c>
      <c r="I116" t="s">
        <v>20</v>
      </c>
      <c r="J116" t="s">
        <v>784</v>
      </c>
      <c r="K116" s="55" t="s">
        <v>379</v>
      </c>
    </row>
    <row r="117" spans="1:11">
      <c r="A117" s="55" t="s">
        <v>808</v>
      </c>
      <c r="B117" t="s">
        <v>906</v>
      </c>
      <c r="C117" t="s">
        <v>58</v>
      </c>
      <c r="D117" t="s">
        <v>47</v>
      </c>
      <c r="E117" t="s">
        <v>85</v>
      </c>
      <c r="F117" t="s">
        <v>397</v>
      </c>
      <c r="G117" t="s">
        <v>377</v>
      </c>
      <c r="H117" t="s">
        <v>896</v>
      </c>
      <c r="I117" t="s">
        <v>20</v>
      </c>
      <c r="J117" t="s">
        <v>784</v>
      </c>
      <c r="K117" s="55" t="s">
        <v>379</v>
      </c>
    </row>
    <row r="118" spans="1:11">
      <c r="A118" s="55" t="s">
        <v>808</v>
      </c>
      <c r="B118" t="s">
        <v>906</v>
      </c>
      <c r="C118" t="s">
        <v>62</v>
      </c>
      <c r="D118" t="s">
        <v>42</v>
      </c>
      <c r="E118" t="s">
        <v>151</v>
      </c>
      <c r="F118" t="s">
        <v>219</v>
      </c>
      <c r="G118" t="s">
        <v>377</v>
      </c>
      <c r="H118" t="s">
        <v>896</v>
      </c>
      <c r="I118" t="s">
        <v>20</v>
      </c>
      <c r="J118" t="s">
        <v>784</v>
      </c>
      <c r="K118" s="55" t="s">
        <v>379</v>
      </c>
    </row>
    <row r="119" spans="1:11">
      <c r="A119" s="55" t="s">
        <v>808</v>
      </c>
      <c r="B119" t="s">
        <v>906</v>
      </c>
      <c r="C119" t="s">
        <v>62</v>
      </c>
      <c r="D119" t="s">
        <v>45</v>
      </c>
      <c r="E119" t="s">
        <v>72</v>
      </c>
      <c r="F119" t="s">
        <v>284</v>
      </c>
      <c r="G119" t="s">
        <v>377</v>
      </c>
      <c r="H119" t="s">
        <v>896</v>
      </c>
      <c r="I119" t="s">
        <v>20</v>
      </c>
      <c r="J119" t="s">
        <v>784</v>
      </c>
      <c r="K119" s="55" t="s">
        <v>379</v>
      </c>
    </row>
    <row r="120" spans="1:11">
      <c r="A120" s="55" t="s">
        <v>808</v>
      </c>
      <c r="B120" t="s">
        <v>906</v>
      </c>
      <c r="C120" t="s">
        <v>62</v>
      </c>
      <c r="D120" t="s">
        <v>45</v>
      </c>
      <c r="E120" t="s">
        <v>85</v>
      </c>
      <c r="F120" t="s">
        <v>285</v>
      </c>
      <c r="G120" t="s">
        <v>377</v>
      </c>
      <c r="H120" t="s">
        <v>896</v>
      </c>
      <c r="I120" t="s">
        <v>20</v>
      </c>
      <c r="J120" t="s">
        <v>784</v>
      </c>
      <c r="K120" s="55" t="s">
        <v>379</v>
      </c>
    </row>
    <row r="121" spans="1:11">
      <c r="A121" s="55" t="s">
        <v>808</v>
      </c>
      <c r="B121" t="s">
        <v>906</v>
      </c>
      <c r="C121" t="s">
        <v>58</v>
      </c>
      <c r="D121" t="s">
        <v>47</v>
      </c>
      <c r="E121" t="s">
        <v>160</v>
      </c>
      <c r="F121" t="s">
        <v>398</v>
      </c>
      <c r="G121" t="s">
        <v>377</v>
      </c>
      <c r="H121" t="s">
        <v>896</v>
      </c>
      <c r="I121" t="s">
        <v>20</v>
      </c>
      <c r="J121" t="s">
        <v>784</v>
      </c>
      <c r="K121" s="55" t="s">
        <v>379</v>
      </c>
    </row>
    <row r="122" spans="1:11">
      <c r="A122" s="55" t="s">
        <v>808</v>
      </c>
      <c r="B122" t="s">
        <v>906</v>
      </c>
      <c r="C122" t="s">
        <v>58</v>
      </c>
      <c r="D122" t="s">
        <v>47</v>
      </c>
      <c r="E122" t="s">
        <v>160</v>
      </c>
      <c r="F122" t="s">
        <v>399</v>
      </c>
      <c r="G122" t="s">
        <v>377</v>
      </c>
      <c r="H122" t="s">
        <v>896</v>
      </c>
      <c r="I122" t="s">
        <v>20</v>
      </c>
      <c r="J122" t="s">
        <v>784</v>
      </c>
      <c r="K122" s="55" t="s">
        <v>379</v>
      </c>
    </row>
    <row r="123" spans="1:11">
      <c r="A123" s="55" t="s">
        <v>808</v>
      </c>
      <c r="B123" t="s">
        <v>906</v>
      </c>
      <c r="C123" t="s">
        <v>62</v>
      </c>
      <c r="D123" t="s">
        <v>45</v>
      </c>
      <c r="E123" t="s">
        <v>158</v>
      </c>
      <c r="F123" t="s">
        <v>400</v>
      </c>
      <c r="G123" t="s">
        <v>377</v>
      </c>
      <c r="H123" t="s">
        <v>896</v>
      </c>
      <c r="I123" t="s">
        <v>20</v>
      </c>
      <c r="J123" t="s">
        <v>784</v>
      </c>
      <c r="K123" s="55" t="s">
        <v>379</v>
      </c>
    </row>
    <row r="124" spans="1:11">
      <c r="A124" s="55" t="s">
        <v>808</v>
      </c>
      <c r="B124" t="s">
        <v>906</v>
      </c>
      <c r="C124" t="s">
        <v>58</v>
      </c>
      <c r="D124" t="s">
        <v>47</v>
      </c>
      <c r="E124" t="s">
        <v>78</v>
      </c>
      <c r="F124" t="s">
        <v>227</v>
      </c>
      <c r="G124" t="s">
        <v>377</v>
      </c>
      <c r="H124" t="s">
        <v>896</v>
      </c>
      <c r="I124" t="s">
        <v>20</v>
      </c>
      <c r="J124" t="s">
        <v>784</v>
      </c>
      <c r="K124" s="55" t="s">
        <v>379</v>
      </c>
    </row>
    <row r="125" spans="1:11">
      <c r="A125" s="55" t="s">
        <v>808</v>
      </c>
      <c r="B125" t="s">
        <v>906</v>
      </c>
      <c r="C125" t="s">
        <v>58</v>
      </c>
      <c r="D125" t="s">
        <v>47</v>
      </c>
      <c r="E125" t="s">
        <v>158</v>
      </c>
      <c r="F125" t="s">
        <v>401</v>
      </c>
      <c r="G125" t="s">
        <v>377</v>
      </c>
      <c r="H125" t="s">
        <v>896</v>
      </c>
      <c r="I125" t="s">
        <v>20</v>
      </c>
      <c r="J125" t="s">
        <v>784</v>
      </c>
      <c r="K125" s="55" t="s">
        <v>379</v>
      </c>
    </row>
    <row r="126" spans="1:11">
      <c r="A126" s="55" t="s">
        <v>808</v>
      </c>
      <c r="B126" t="s">
        <v>906</v>
      </c>
      <c r="C126" t="s">
        <v>58</v>
      </c>
      <c r="D126" t="s">
        <v>47</v>
      </c>
      <c r="E126" t="s">
        <v>72</v>
      </c>
      <c r="F126" t="s">
        <v>402</v>
      </c>
      <c r="G126" t="s">
        <v>377</v>
      </c>
      <c r="H126" t="s">
        <v>896</v>
      </c>
      <c r="I126" t="s">
        <v>20</v>
      </c>
      <c r="J126" t="s">
        <v>784</v>
      </c>
      <c r="K126" s="55" t="s">
        <v>379</v>
      </c>
    </row>
    <row r="127" spans="1:11">
      <c r="A127" s="55" t="s">
        <v>808</v>
      </c>
      <c r="B127" t="s">
        <v>907</v>
      </c>
      <c r="C127" t="s">
        <v>58</v>
      </c>
      <c r="D127" t="s">
        <v>42</v>
      </c>
      <c r="E127" t="s">
        <v>151</v>
      </c>
      <c r="F127" t="s">
        <v>219</v>
      </c>
      <c r="G127" t="s">
        <v>438</v>
      </c>
      <c r="H127" t="s">
        <v>896</v>
      </c>
      <c r="I127" t="s">
        <v>20</v>
      </c>
      <c r="J127" t="s">
        <v>784</v>
      </c>
      <c r="K127" s="55" t="s">
        <v>817</v>
      </c>
    </row>
    <row r="128" spans="1:11">
      <c r="A128" s="55" t="s">
        <v>808</v>
      </c>
      <c r="B128" t="s">
        <v>907</v>
      </c>
      <c r="C128" t="s">
        <v>58</v>
      </c>
      <c r="D128" t="s">
        <v>45</v>
      </c>
      <c r="E128" t="s">
        <v>74</v>
      </c>
      <c r="F128" t="s">
        <v>456</v>
      </c>
      <c r="G128" t="s">
        <v>438</v>
      </c>
      <c r="H128" t="s">
        <v>896</v>
      </c>
      <c r="I128" t="s">
        <v>20</v>
      </c>
      <c r="J128" t="s">
        <v>784</v>
      </c>
      <c r="K128" s="55" t="s">
        <v>817</v>
      </c>
    </row>
    <row r="129" spans="1:11">
      <c r="A129" s="55" t="s">
        <v>808</v>
      </c>
      <c r="B129" t="s">
        <v>907</v>
      </c>
      <c r="C129" t="s">
        <v>58</v>
      </c>
      <c r="D129" t="s">
        <v>42</v>
      </c>
      <c r="E129" t="s">
        <v>76</v>
      </c>
      <c r="F129" t="s">
        <v>221</v>
      </c>
      <c r="G129" t="s">
        <v>438</v>
      </c>
      <c r="H129" t="s">
        <v>896</v>
      </c>
      <c r="I129" t="s">
        <v>20</v>
      </c>
      <c r="J129" t="s">
        <v>784</v>
      </c>
      <c r="K129" s="55" t="s">
        <v>817</v>
      </c>
    </row>
    <row r="130" spans="1:11">
      <c r="A130" s="55" t="s">
        <v>808</v>
      </c>
      <c r="B130" t="s">
        <v>907</v>
      </c>
      <c r="C130" t="s">
        <v>58</v>
      </c>
      <c r="D130" t="s">
        <v>45</v>
      </c>
      <c r="E130" t="s">
        <v>76</v>
      </c>
      <c r="F130" t="s">
        <v>222</v>
      </c>
      <c r="G130" t="s">
        <v>438</v>
      </c>
      <c r="H130" t="s">
        <v>896</v>
      </c>
      <c r="I130" t="s">
        <v>20</v>
      </c>
      <c r="J130" t="s">
        <v>784</v>
      </c>
      <c r="K130" s="55" t="s">
        <v>817</v>
      </c>
    </row>
    <row r="131" spans="1:11">
      <c r="A131" s="55" t="s">
        <v>808</v>
      </c>
      <c r="B131" t="s">
        <v>907</v>
      </c>
      <c r="C131" t="s">
        <v>58</v>
      </c>
      <c r="D131" t="s">
        <v>45</v>
      </c>
      <c r="E131" t="s">
        <v>154</v>
      </c>
      <c r="F131" t="s">
        <v>223</v>
      </c>
      <c r="G131" t="s">
        <v>438</v>
      </c>
      <c r="H131" t="s">
        <v>896</v>
      </c>
      <c r="I131" t="s">
        <v>20</v>
      </c>
      <c r="J131" t="s">
        <v>784</v>
      </c>
      <c r="K131" s="55" t="s">
        <v>817</v>
      </c>
    </row>
    <row r="132" spans="1:11">
      <c r="A132" s="55" t="s">
        <v>808</v>
      </c>
      <c r="B132" t="s">
        <v>907</v>
      </c>
      <c r="C132" t="s">
        <v>62</v>
      </c>
      <c r="D132" t="s">
        <v>47</v>
      </c>
      <c r="E132" t="s">
        <v>151</v>
      </c>
      <c r="F132" t="s">
        <v>224</v>
      </c>
      <c r="G132" t="s">
        <v>438</v>
      </c>
      <c r="H132" t="s">
        <v>896</v>
      </c>
      <c r="I132" t="s">
        <v>20</v>
      </c>
      <c r="J132" t="s">
        <v>784</v>
      </c>
      <c r="K132" s="55" t="s">
        <v>817</v>
      </c>
    </row>
    <row r="133" spans="1:11">
      <c r="A133" s="55" t="s">
        <v>808</v>
      </c>
      <c r="B133" t="s">
        <v>907</v>
      </c>
      <c r="C133" t="s">
        <v>62</v>
      </c>
      <c r="D133" t="s">
        <v>47</v>
      </c>
      <c r="E133" t="s">
        <v>72</v>
      </c>
      <c r="F133" t="s">
        <v>457</v>
      </c>
      <c r="G133" t="s">
        <v>438</v>
      </c>
      <c r="H133" t="s">
        <v>896</v>
      </c>
      <c r="I133" t="s">
        <v>20</v>
      </c>
      <c r="J133" t="s">
        <v>784</v>
      </c>
      <c r="K133" s="55" t="s">
        <v>817</v>
      </c>
    </row>
    <row r="134" spans="1:11">
      <c r="A134" s="55" t="s">
        <v>808</v>
      </c>
      <c r="B134" t="s">
        <v>908</v>
      </c>
      <c r="C134" t="s">
        <v>58</v>
      </c>
      <c r="D134" t="s">
        <v>47</v>
      </c>
      <c r="E134" t="s">
        <v>72</v>
      </c>
      <c r="F134" t="s">
        <v>73</v>
      </c>
      <c r="G134" t="s">
        <v>492</v>
      </c>
      <c r="H134" t="s">
        <v>896</v>
      </c>
      <c r="I134" t="s">
        <v>20</v>
      </c>
      <c r="J134" t="s">
        <v>784</v>
      </c>
      <c r="K134" s="55" t="s">
        <v>494</v>
      </c>
    </row>
    <row r="135" spans="1:11">
      <c r="A135" s="55" t="s">
        <v>808</v>
      </c>
      <c r="B135" t="s">
        <v>908</v>
      </c>
      <c r="C135" t="s">
        <v>58</v>
      </c>
      <c r="D135" t="s">
        <v>47</v>
      </c>
      <c r="E135" t="s">
        <v>154</v>
      </c>
      <c r="F135" t="s">
        <v>155</v>
      </c>
      <c r="G135" t="s">
        <v>492</v>
      </c>
      <c r="H135" t="s">
        <v>896</v>
      </c>
      <c r="I135" t="s">
        <v>20</v>
      </c>
      <c r="J135" t="s">
        <v>784</v>
      </c>
      <c r="K135" s="55" t="s">
        <v>494</v>
      </c>
    </row>
    <row r="136" spans="1:11">
      <c r="A136" s="55" t="s">
        <v>808</v>
      </c>
      <c r="B136" t="s">
        <v>908</v>
      </c>
      <c r="C136" t="s">
        <v>58</v>
      </c>
      <c r="D136" t="s">
        <v>47</v>
      </c>
      <c r="E136" t="s">
        <v>74</v>
      </c>
      <c r="F136" t="s">
        <v>337</v>
      </c>
      <c r="G136" t="s">
        <v>492</v>
      </c>
      <c r="H136" t="s">
        <v>896</v>
      </c>
      <c r="I136" t="s">
        <v>20</v>
      </c>
      <c r="J136" t="s">
        <v>784</v>
      </c>
      <c r="K136" s="55" t="s">
        <v>494</v>
      </c>
    </row>
    <row r="137" spans="1:11">
      <c r="A137" s="55" t="s">
        <v>808</v>
      </c>
      <c r="B137" t="s">
        <v>908</v>
      </c>
      <c r="C137" t="s">
        <v>58</v>
      </c>
      <c r="D137" t="s">
        <v>47</v>
      </c>
      <c r="E137" t="s">
        <v>78</v>
      </c>
      <c r="F137" t="s">
        <v>81</v>
      </c>
      <c r="G137" t="s">
        <v>492</v>
      </c>
      <c r="H137" t="s">
        <v>896</v>
      </c>
      <c r="I137" t="s">
        <v>20</v>
      </c>
      <c r="J137" t="s">
        <v>784</v>
      </c>
      <c r="K137" s="55" t="s">
        <v>494</v>
      </c>
    </row>
    <row r="138" spans="1:11">
      <c r="A138" s="55" t="s">
        <v>808</v>
      </c>
      <c r="B138" t="s">
        <v>908</v>
      </c>
      <c r="C138" t="s">
        <v>62</v>
      </c>
      <c r="D138" t="s">
        <v>42</v>
      </c>
      <c r="E138" t="s">
        <v>160</v>
      </c>
      <c r="F138" t="s">
        <v>161</v>
      </c>
      <c r="G138" t="s">
        <v>492</v>
      </c>
      <c r="H138" t="s">
        <v>896</v>
      </c>
      <c r="I138" t="s">
        <v>20</v>
      </c>
      <c r="J138" t="s">
        <v>784</v>
      </c>
      <c r="K138" s="55" t="s">
        <v>494</v>
      </c>
    </row>
    <row r="139" spans="1:11">
      <c r="A139" s="55" t="s">
        <v>808</v>
      </c>
      <c r="B139" t="s">
        <v>908</v>
      </c>
      <c r="C139" t="s">
        <v>62</v>
      </c>
      <c r="D139" t="s">
        <v>42</v>
      </c>
      <c r="E139" t="s">
        <v>70</v>
      </c>
      <c r="F139" t="s">
        <v>335</v>
      </c>
      <c r="G139" t="s">
        <v>492</v>
      </c>
      <c r="H139" t="s">
        <v>896</v>
      </c>
      <c r="I139" t="s">
        <v>20</v>
      </c>
      <c r="J139" t="s">
        <v>784</v>
      </c>
      <c r="K139" s="55" t="s">
        <v>494</v>
      </c>
    </row>
    <row r="140" spans="1:11">
      <c r="A140" s="55" t="s">
        <v>808</v>
      </c>
      <c r="B140" t="s">
        <v>908</v>
      </c>
      <c r="C140" t="s">
        <v>62</v>
      </c>
      <c r="D140" t="s">
        <v>45</v>
      </c>
      <c r="E140" t="s">
        <v>151</v>
      </c>
      <c r="F140" t="s">
        <v>219</v>
      </c>
      <c r="G140" t="s">
        <v>492</v>
      </c>
      <c r="H140" t="s">
        <v>896</v>
      </c>
      <c r="I140" t="s">
        <v>20</v>
      </c>
      <c r="J140" t="s">
        <v>784</v>
      </c>
      <c r="K140" s="55" t="s">
        <v>494</v>
      </c>
    </row>
    <row r="141" spans="1:11">
      <c r="A141" s="55" t="s">
        <v>808</v>
      </c>
      <c r="B141" t="s">
        <v>908</v>
      </c>
      <c r="C141" t="s">
        <v>62</v>
      </c>
      <c r="D141" t="s">
        <v>45</v>
      </c>
      <c r="E141" t="s">
        <v>85</v>
      </c>
      <c r="F141" t="s">
        <v>508</v>
      </c>
      <c r="G141" t="s">
        <v>492</v>
      </c>
      <c r="H141" t="s">
        <v>896</v>
      </c>
      <c r="I141" t="s">
        <v>20</v>
      </c>
      <c r="J141" t="s">
        <v>784</v>
      </c>
      <c r="K141" s="55" t="s">
        <v>494</v>
      </c>
    </row>
    <row r="142" spans="1:11">
      <c r="A142" s="55" t="s">
        <v>808</v>
      </c>
      <c r="B142" t="s">
        <v>908</v>
      </c>
      <c r="C142" t="s">
        <v>62</v>
      </c>
      <c r="D142" t="s">
        <v>45</v>
      </c>
      <c r="E142" t="s">
        <v>78</v>
      </c>
      <c r="F142" t="s">
        <v>79</v>
      </c>
      <c r="G142" t="s">
        <v>492</v>
      </c>
      <c r="H142" t="s">
        <v>896</v>
      </c>
      <c r="I142" t="s">
        <v>20</v>
      </c>
      <c r="J142" t="s">
        <v>784</v>
      </c>
      <c r="K142" s="55" t="s">
        <v>494</v>
      </c>
    </row>
    <row r="143" spans="1:11">
      <c r="A143" s="55" t="s">
        <v>808</v>
      </c>
      <c r="B143" t="s">
        <v>908</v>
      </c>
      <c r="C143" t="s">
        <v>58</v>
      </c>
      <c r="D143" t="s">
        <v>47</v>
      </c>
      <c r="E143" t="s">
        <v>78</v>
      </c>
      <c r="F143" t="s">
        <v>509</v>
      </c>
      <c r="G143" t="s">
        <v>492</v>
      </c>
      <c r="H143" t="s">
        <v>896</v>
      </c>
      <c r="I143" t="s">
        <v>20</v>
      </c>
      <c r="J143" t="s">
        <v>784</v>
      </c>
      <c r="K143" s="55" t="s">
        <v>494</v>
      </c>
    </row>
    <row r="144" spans="1:11">
      <c r="A144" s="55" t="s">
        <v>808</v>
      </c>
      <c r="B144" t="s">
        <v>908</v>
      </c>
      <c r="C144" t="s">
        <v>58</v>
      </c>
      <c r="D144" t="s">
        <v>47</v>
      </c>
      <c r="E144" t="s">
        <v>158</v>
      </c>
      <c r="F144" t="s">
        <v>336</v>
      </c>
      <c r="G144" t="s">
        <v>492</v>
      </c>
      <c r="H144" t="s">
        <v>896</v>
      </c>
      <c r="I144" t="s">
        <v>20</v>
      </c>
      <c r="J144" t="s">
        <v>784</v>
      </c>
      <c r="K144" s="55" t="s">
        <v>494</v>
      </c>
    </row>
    <row r="145" spans="1:11">
      <c r="A145" s="55" t="s">
        <v>808</v>
      </c>
      <c r="B145" t="s">
        <v>908</v>
      </c>
      <c r="C145" t="s">
        <v>58</v>
      </c>
      <c r="D145" t="s">
        <v>47</v>
      </c>
      <c r="E145" t="s">
        <v>78</v>
      </c>
      <c r="F145" t="s">
        <v>83</v>
      </c>
      <c r="G145" t="s">
        <v>492</v>
      </c>
      <c r="H145" t="s">
        <v>896</v>
      </c>
      <c r="I145" t="s">
        <v>20</v>
      </c>
      <c r="J145" t="s">
        <v>784</v>
      </c>
      <c r="K145" s="55" t="s">
        <v>494</v>
      </c>
    </row>
    <row r="146" spans="1:11">
      <c r="A146" s="55" t="s">
        <v>808</v>
      </c>
      <c r="B146" t="s">
        <v>908</v>
      </c>
      <c r="C146" t="s">
        <v>58</v>
      </c>
      <c r="D146" t="s">
        <v>47</v>
      </c>
      <c r="E146" t="s">
        <v>72</v>
      </c>
      <c r="F146" t="s">
        <v>340</v>
      </c>
      <c r="G146" t="s">
        <v>492</v>
      </c>
      <c r="H146" t="s">
        <v>896</v>
      </c>
      <c r="I146" t="s">
        <v>20</v>
      </c>
      <c r="J146" t="s">
        <v>784</v>
      </c>
      <c r="K146" s="55" t="s">
        <v>494</v>
      </c>
    </row>
    <row r="147" spans="1:11">
      <c r="A147" s="55" t="s">
        <v>808</v>
      </c>
      <c r="B147" t="s">
        <v>908</v>
      </c>
      <c r="C147" t="s">
        <v>62</v>
      </c>
      <c r="D147" t="s">
        <v>45</v>
      </c>
      <c r="E147" t="s">
        <v>74</v>
      </c>
      <c r="F147" t="s">
        <v>510</v>
      </c>
      <c r="G147" t="s">
        <v>492</v>
      </c>
      <c r="H147" t="s">
        <v>896</v>
      </c>
      <c r="I147" t="s">
        <v>20</v>
      </c>
      <c r="J147" t="s">
        <v>784</v>
      </c>
      <c r="K147" s="55" t="s">
        <v>494</v>
      </c>
    </row>
    <row r="148" spans="1:11">
      <c r="A148" s="55" t="s">
        <v>808</v>
      </c>
      <c r="B148" t="s">
        <v>909</v>
      </c>
      <c r="C148" t="s">
        <v>58</v>
      </c>
      <c r="D148" t="s">
        <v>42</v>
      </c>
      <c r="E148" t="s">
        <v>151</v>
      </c>
      <c r="F148" t="s">
        <v>219</v>
      </c>
      <c r="G148" t="s">
        <v>545</v>
      </c>
      <c r="H148" t="s">
        <v>896</v>
      </c>
      <c r="I148" t="s">
        <v>20</v>
      </c>
      <c r="J148" t="s">
        <v>784</v>
      </c>
      <c r="K148" s="55" t="s">
        <v>547</v>
      </c>
    </row>
    <row r="149" spans="1:11">
      <c r="A149" s="55" t="s">
        <v>808</v>
      </c>
      <c r="B149" t="s">
        <v>909</v>
      </c>
      <c r="C149" t="s">
        <v>58</v>
      </c>
      <c r="D149" t="s">
        <v>42</v>
      </c>
      <c r="E149" t="s">
        <v>154</v>
      </c>
      <c r="F149" t="s">
        <v>156</v>
      </c>
      <c r="G149" t="s">
        <v>545</v>
      </c>
      <c r="H149" t="s">
        <v>896</v>
      </c>
      <c r="I149" t="s">
        <v>20</v>
      </c>
      <c r="J149" t="s">
        <v>784</v>
      </c>
      <c r="K149" s="55" t="s">
        <v>547</v>
      </c>
    </row>
    <row r="150" spans="1:11">
      <c r="A150" s="55" t="s">
        <v>808</v>
      </c>
      <c r="B150" t="s">
        <v>909</v>
      </c>
      <c r="C150" t="s">
        <v>58</v>
      </c>
      <c r="D150" t="s">
        <v>45</v>
      </c>
      <c r="E150" t="s">
        <v>151</v>
      </c>
      <c r="F150" t="s">
        <v>224</v>
      </c>
      <c r="G150" t="s">
        <v>545</v>
      </c>
      <c r="H150" t="s">
        <v>896</v>
      </c>
      <c r="I150" t="s">
        <v>20</v>
      </c>
      <c r="J150" t="s">
        <v>784</v>
      </c>
      <c r="K150" s="55" t="s">
        <v>547</v>
      </c>
    </row>
    <row r="151" spans="1:11">
      <c r="A151" s="55" t="s">
        <v>808</v>
      </c>
      <c r="B151" t="s">
        <v>909</v>
      </c>
      <c r="C151" t="s">
        <v>58</v>
      </c>
      <c r="D151" t="s">
        <v>45</v>
      </c>
      <c r="E151" t="s">
        <v>76</v>
      </c>
      <c r="F151" t="s">
        <v>221</v>
      </c>
      <c r="G151" t="s">
        <v>545</v>
      </c>
      <c r="H151" t="s">
        <v>896</v>
      </c>
      <c r="I151" t="s">
        <v>20</v>
      </c>
      <c r="J151" t="s">
        <v>784</v>
      </c>
      <c r="K151" s="55" t="s">
        <v>547</v>
      </c>
    </row>
    <row r="152" spans="1:11">
      <c r="A152" s="55" t="s">
        <v>808</v>
      </c>
      <c r="B152" t="s">
        <v>909</v>
      </c>
      <c r="C152" t="s">
        <v>58</v>
      </c>
      <c r="D152" t="s">
        <v>45</v>
      </c>
      <c r="E152" t="s">
        <v>76</v>
      </c>
      <c r="F152" t="s">
        <v>222</v>
      </c>
      <c r="G152" t="s">
        <v>545</v>
      </c>
      <c r="H152" t="s">
        <v>896</v>
      </c>
      <c r="I152" t="s">
        <v>20</v>
      </c>
      <c r="J152" t="s">
        <v>784</v>
      </c>
      <c r="K152" s="55" t="s">
        <v>547</v>
      </c>
    </row>
    <row r="153" spans="1:11">
      <c r="A153" s="55" t="s">
        <v>808</v>
      </c>
      <c r="B153" t="s">
        <v>909</v>
      </c>
      <c r="C153" t="s">
        <v>62</v>
      </c>
      <c r="D153" t="s">
        <v>42</v>
      </c>
      <c r="E153" t="s">
        <v>74</v>
      </c>
      <c r="F153" t="s">
        <v>456</v>
      </c>
      <c r="G153" t="s">
        <v>545</v>
      </c>
      <c r="H153" t="s">
        <v>896</v>
      </c>
      <c r="I153" t="s">
        <v>20</v>
      </c>
      <c r="J153" t="s">
        <v>784</v>
      </c>
      <c r="K153" s="55" t="s">
        <v>547</v>
      </c>
    </row>
    <row r="154" spans="1:11">
      <c r="A154" s="55" t="s">
        <v>808</v>
      </c>
      <c r="B154" t="s">
        <v>909</v>
      </c>
      <c r="C154" t="s">
        <v>62</v>
      </c>
      <c r="D154" t="s">
        <v>45</v>
      </c>
      <c r="E154" t="s">
        <v>154</v>
      </c>
      <c r="F154" t="s">
        <v>282</v>
      </c>
      <c r="G154" t="s">
        <v>545</v>
      </c>
      <c r="H154" t="s">
        <v>896</v>
      </c>
      <c r="I154" t="s">
        <v>20</v>
      </c>
      <c r="J154" t="s">
        <v>784</v>
      </c>
      <c r="K154" s="55" t="s">
        <v>547</v>
      </c>
    </row>
    <row r="155" spans="1:11">
      <c r="A155" s="55" t="s">
        <v>808</v>
      </c>
      <c r="B155" t="s">
        <v>909</v>
      </c>
      <c r="C155" t="s">
        <v>62</v>
      </c>
      <c r="D155" t="s">
        <v>47</v>
      </c>
      <c r="E155" t="s">
        <v>151</v>
      </c>
      <c r="F155" t="s">
        <v>561</v>
      </c>
      <c r="G155" t="s">
        <v>545</v>
      </c>
      <c r="H155" t="s">
        <v>896</v>
      </c>
      <c r="I155" t="s">
        <v>20</v>
      </c>
      <c r="J155" t="s">
        <v>784</v>
      </c>
      <c r="K155" s="55" t="s">
        <v>547</v>
      </c>
    </row>
    <row r="156" spans="1:11">
      <c r="A156" s="55" t="s">
        <v>808</v>
      </c>
      <c r="B156" t="s">
        <v>909</v>
      </c>
      <c r="C156" t="s">
        <v>62</v>
      </c>
      <c r="D156" t="s">
        <v>47</v>
      </c>
      <c r="E156" t="s">
        <v>76</v>
      </c>
      <c r="F156" t="s">
        <v>281</v>
      </c>
      <c r="G156" t="s">
        <v>545</v>
      </c>
      <c r="H156" t="s">
        <v>896</v>
      </c>
      <c r="I156" t="s">
        <v>20</v>
      </c>
      <c r="J156" t="s">
        <v>784</v>
      </c>
      <c r="K156" s="55" t="s">
        <v>547</v>
      </c>
    </row>
    <row r="157" spans="1:11">
      <c r="A157" s="55" t="s">
        <v>808</v>
      </c>
      <c r="B157" t="s">
        <v>909</v>
      </c>
      <c r="C157" t="s">
        <v>58</v>
      </c>
      <c r="D157" t="s">
        <v>45</v>
      </c>
      <c r="E157" t="s">
        <v>154</v>
      </c>
      <c r="F157" t="s">
        <v>562</v>
      </c>
      <c r="G157" t="s">
        <v>545</v>
      </c>
      <c r="H157" t="s">
        <v>896</v>
      </c>
      <c r="I157" t="s">
        <v>20</v>
      </c>
      <c r="J157" t="s">
        <v>784</v>
      </c>
      <c r="K157" s="55" t="s">
        <v>547</v>
      </c>
    </row>
    <row r="158" spans="1:11">
      <c r="A158" s="55" t="s">
        <v>808</v>
      </c>
      <c r="B158" t="s">
        <v>910</v>
      </c>
      <c r="C158" t="s">
        <v>58</v>
      </c>
      <c r="D158" t="s">
        <v>42</v>
      </c>
      <c r="E158" t="s">
        <v>151</v>
      </c>
      <c r="F158" t="s">
        <v>219</v>
      </c>
      <c r="G158" t="s">
        <v>596</v>
      </c>
      <c r="H158" t="s">
        <v>896</v>
      </c>
      <c r="I158" t="s">
        <v>20</v>
      </c>
      <c r="J158" t="s">
        <v>784</v>
      </c>
      <c r="K158" s="55" t="s">
        <v>598</v>
      </c>
    </row>
    <row r="159" spans="1:11">
      <c r="A159" s="55" t="s">
        <v>808</v>
      </c>
      <c r="B159" t="s">
        <v>910</v>
      </c>
      <c r="C159" t="s">
        <v>58</v>
      </c>
      <c r="D159" t="s">
        <v>45</v>
      </c>
      <c r="E159" t="s">
        <v>151</v>
      </c>
      <c r="F159" t="s">
        <v>224</v>
      </c>
      <c r="G159" t="s">
        <v>596</v>
      </c>
      <c r="H159" t="s">
        <v>896</v>
      </c>
      <c r="I159" t="s">
        <v>20</v>
      </c>
      <c r="J159" t="s">
        <v>784</v>
      </c>
      <c r="K159" s="55" t="s">
        <v>598</v>
      </c>
    </row>
    <row r="160" spans="1:11">
      <c r="A160" s="55" t="s">
        <v>808</v>
      </c>
      <c r="B160" t="s">
        <v>910</v>
      </c>
      <c r="C160" t="s">
        <v>58</v>
      </c>
      <c r="D160" t="s">
        <v>45</v>
      </c>
      <c r="E160" t="s">
        <v>154</v>
      </c>
      <c r="F160" t="s">
        <v>562</v>
      </c>
      <c r="G160" t="s">
        <v>596</v>
      </c>
      <c r="H160" t="s">
        <v>896</v>
      </c>
      <c r="I160" t="s">
        <v>20</v>
      </c>
      <c r="J160" t="s">
        <v>784</v>
      </c>
      <c r="K160" s="55" t="s">
        <v>598</v>
      </c>
    </row>
    <row r="161" spans="1:11">
      <c r="A161" s="55" t="s">
        <v>808</v>
      </c>
      <c r="B161" t="s">
        <v>910</v>
      </c>
      <c r="C161" t="s">
        <v>58</v>
      </c>
      <c r="D161" t="s">
        <v>45</v>
      </c>
      <c r="E161" t="s">
        <v>78</v>
      </c>
      <c r="F161" t="s">
        <v>79</v>
      </c>
      <c r="G161" t="s">
        <v>596</v>
      </c>
      <c r="H161" t="s">
        <v>896</v>
      </c>
      <c r="I161" t="s">
        <v>20</v>
      </c>
      <c r="J161" t="s">
        <v>784</v>
      </c>
      <c r="K161" s="55" t="s">
        <v>598</v>
      </c>
    </row>
    <row r="162" spans="1:11">
      <c r="A162" s="55" t="s">
        <v>808</v>
      </c>
      <c r="B162" t="s">
        <v>910</v>
      </c>
      <c r="C162" t="s">
        <v>62</v>
      </c>
      <c r="D162" t="s">
        <v>42</v>
      </c>
      <c r="E162" t="s">
        <v>72</v>
      </c>
      <c r="F162" t="s">
        <v>284</v>
      </c>
      <c r="G162" t="s">
        <v>596</v>
      </c>
      <c r="H162" t="s">
        <v>896</v>
      </c>
      <c r="I162" t="s">
        <v>20</v>
      </c>
      <c r="J162" t="s">
        <v>784</v>
      </c>
      <c r="K162" s="55" t="s">
        <v>598</v>
      </c>
    </row>
    <row r="163" spans="1:11">
      <c r="A163" s="55" t="s">
        <v>808</v>
      </c>
      <c r="B163" t="s">
        <v>910</v>
      </c>
      <c r="C163" t="s">
        <v>62</v>
      </c>
      <c r="D163" t="s">
        <v>47</v>
      </c>
      <c r="E163" t="s">
        <v>74</v>
      </c>
      <c r="F163" t="s">
        <v>153</v>
      </c>
      <c r="G163" t="s">
        <v>596</v>
      </c>
      <c r="H163" t="s">
        <v>896</v>
      </c>
      <c r="I163" t="s">
        <v>20</v>
      </c>
      <c r="J163" t="s">
        <v>784</v>
      </c>
      <c r="K163" s="55" t="s">
        <v>598</v>
      </c>
    </row>
    <row r="164" spans="1:11">
      <c r="A164" s="55" t="s">
        <v>808</v>
      </c>
      <c r="B164" t="s">
        <v>910</v>
      </c>
      <c r="C164" t="s">
        <v>62</v>
      </c>
      <c r="D164" t="s">
        <v>47</v>
      </c>
      <c r="E164" t="s">
        <v>154</v>
      </c>
      <c r="F164" t="s">
        <v>562</v>
      </c>
      <c r="G164" t="s">
        <v>596</v>
      </c>
      <c r="H164" t="s">
        <v>896</v>
      </c>
      <c r="I164" t="s">
        <v>20</v>
      </c>
      <c r="J164" t="s">
        <v>784</v>
      </c>
      <c r="K164" s="55" t="s">
        <v>598</v>
      </c>
    </row>
    <row r="165" spans="1:11">
      <c r="A165" s="55" t="s">
        <v>808</v>
      </c>
      <c r="B165" t="s">
        <v>910</v>
      </c>
      <c r="C165" t="s">
        <v>62</v>
      </c>
      <c r="D165" t="s">
        <v>47</v>
      </c>
      <c r="E165" t="s">
        <v>160</v>
      </c>
      <c r="F165" t="s">
        <v>162</v>
      </c>
      <c r="G165" t="s">
        <v>596</v>
      </c>
      <c r="H165" t="s">
        <v>896</v>
      </c>
      <c r="I165" t="s">
        <v>20</v>
      </c>
      <c r="J165" t="s">
        <v>784</v>
      </c>
      <c r="K165" s="55" t="s">
        <v>598</v>
      </c>
    </row>
    <row r="166" spans="1:11">
      <c r="A166" s="55" t="s">
        <v>808</v>
      </c>
      <c r="B166" t="s">
        <v>910</v>
      </c>
      <c r="C166" t="s">
        <v>62</v>
      </c>
      <c r="D166" t="s">
        <v>47</v>
      </c>
      <c r="E166" t="s">
        <v>78</v>
      </c>
      <c r="F166" t="s">
        <v>615</v>
      </c>
      <c r="G166" t="s">
        <v>596</v>
      </c>
      <c r="H166" t="s">
        <v>896</v>
      </c>
      <c r="I166" t="s">
        <v>20</v>
      </c>
      <c r="J166" t="s">
        <v>784</v>
      </c>
      <c r="K166" s="55" t="s">
        <v>598</v>
      </c>
    </row>
    <row r="167" spans="1:11">
      <c r="A167" s="55" t="s">
        <v>808</v>
      </c>
      <c r="B167" t="s">
        <v>910</v>
      </c>
      <c r="C167" t="s">
        <v>58</v>
      </c>
      <c r="D167" t="s">
        <v>42</v>
      </c>
      <c r="E167" t="s">
        <v>151</v>
      </c>
      <c r="F167" t="s">
        <v>616</v>
      </c>
      <c r="G167" t="s">
        <v>596</v>
      </c>
      <c r="H167" t="s">
        <v>896</v>
      </c>
      <c r="I167" t="s">
        <v>20</v>
      </c>
      <c r="J167" t="s">
        <v>784</v>
      </c>
      <c r="K167" s="55" t="s">
        <v>598</v>
      </c>
    </row>
    <row r="168" spans="1:11">
      <c r="A168" s="55" t="s">
        <v>808</v>
      </c>
      <c r="B168" t="s">
        <v>910</v>
      </c>
      <c r="C168" t="s">
        <v>58</v>
      </c>
      <c r="D168" t="s">
        <v>45</v>
      </c>
      <c r="E168" t="s">
        <v>72</v>
      </c>
      <c r="F168" t="s">
        <v>402</v>
      </c>
      <c r="G168" t="s">
        <v>596</v>
      </c>
      <c r="H168" t="s">
        <v>896</v>
      </c>
      <c r="I168" t="s">
        <v>20</v>
      </c>
      <c r="J168" t="s">
        <v>784</v>
      </c>
      <c r="K168" s="55" t="s">
        <v>598</v>
      </c>
    </row>
    <row r="169" spans="1:11">
      <c r="A169" s="55" t="s">
        <v>808</v>
      </c>
      <c r="B169" t="s">
        <v>910</v>
      </c>
      <c r="C169" t="s">
        <v>58</v>
      </c>
      <c r="D169" t="s">
        <v>45</v>
      </c>
      <c r="E169" t="s">
        <v>85</v>
      </c>
      <c r="F169" t="s">
        <v>86</v>
      </c>
      <c r="G169" t="s">
        <v>596</v>
      </c>
      <c r="H169" t="s">
        <v>896</v>
      </c>
      <c r="I169" t="s">
        <v>20</v>
      </c>
      <c r="J169" t="s">
        <v>784</v>
      </c>
      <c r="K169" s="55" t="s">
        <v>598</v>
      </c>
    </row>
    <row r="170" spans="1:11">
      <c r="A170" s="55" t="s">
        <v>808</v>
      </c>
      <c r="B170" t="s">
        <v>910</v>
      </c>
      <c r="C170" t="s">
        <v>58</v>
      </c>
      <c r="D170" t="s">
        <v>45</v>
      </c>
      <c r="E170" t="s">
        <v>85</v>
      </c>
      <c r="F170" t="s">
        <v>285</v>
      </c>
      <c r="G170" t="s">
        <v>596</v>
      </c>
      <c r="H170" t="s">
        <v>896</v>
      </c>
      <c r="I170" t="s">
        <v>20</v>
      </c>
      <c r="J170" t="s">
        <v>784</v>
      </c>
      <c r="K170" s="55" t="s">
        <v>598</v>
      </c>
    </row>
    <row r="171" spans="1:11">
      <c r="A171" s="55" t="s">
        <v>808</v>
      </c>
      <c r="B171" t="s">
        <v>910</v>
      </c>
      <c r="C171" t="s">
        <v>62</v>
      </c>
      <c r="D171" t="s">
        <v>47</v>
      </c>
      <c r="E171" t="s">
        <v>70</v>
      </c>
      <c r="F171" t="s">
        <v>617</v>
      </c>
      <c r="G171" t="s">
        <v>596</v>
      </c>
      <c r="H171" t="s">
        <v>896</v>
      </c>
      <c r="I171" t="s">
        <v>20</v>
      </c>
      <c r="J171" t="s">
        <v>784</v>
      </c>
      <c r="K171" s="55" t="s">
        <v>598</v>
      </c>
    </row>
    <row r="172" spans="1:11">
      <c r="A172" s="55" t="s">
        <v>808</v>
      </c>
      <c r="B172" t="s">
        <v>911</v>
      </c>
      <c r="C172" t="s">
        <v>58</v>
      </c>
      <c r="D172" t="s">
        <v>42</v>
      </c>
      <c r="E172" t="s">
        <v>151</v>
      </c>
      <c r="F172" t="s">
        <v>219</v>
      </c>
      <c r="G172" t="s">
        <v>650</v>
      </c>
      <c r="H172" t="s">
        <v>896</v>
      </c>
      <c r="I172" t="s">
        <v>20</v>
      </c>
      <c r="J172" t="s">
        <v>784</v>
      </c>
      <c r="K172" s="55" t="s">
        <v>652</v>
      </c>
    </row>
    <row r="173" spans="1:11">
      <c r="A173" s="55" t="s">
        <v>808</v>
      </c>
      <c r="B173" t="s">
        <v>911</v>
      </c>
      <c r="C173" t="s">
        <v>58</v>
      </c>
      <c r="D173" t="s">
        <v>47</v>
      </c>
      <c r="E173" t="s">
        <v>72</v>
      </c>
      <c r="F173" t="s">
        <v>73</v>
      </c>
      <c r="G173" t="s">
        <v>650</v>
      </c>
      <c r="H173" t="s">
        <v>896</v>
      </c>
      <c r="I173" t="s">
        <v>20</v>
      </c>
      <c r="J173" t="s">
        <v>784</v>
      </c>
      <c r="K173" s="55" t="s">
        <v>652</v>
      </c>
    </row>
    <row r="174" spans="1:11">
      <c r="A174" s="55" t="s">
        <v>808</v>
      </c>
      <c r="B174" t="s">
        <v>911</v>
      </c>
      <c r="C174" t="s">
        <v>58</v>
      </c>
      <c r="D174" t="s">
        <v>47</v>
      </c>
      <c r="E174" t="s">
        <v>74</v>
      </c>
      <c r="F174" t="s">
        <v>510</v>
      </c>
      <c r="G174" t="s">
        <v>650</v>
      </c>
      <c r="H174" t="s">
        <v>896</v>
      </c>
      <c r="I174" t="s">
        <v>20</v>
      </c>
      <c r="J174" t="s">
        <v>784</v>
      </c>
      <c r="K174" s="55" t="s">
        <v>652</v>
      </c>
    </row>
    <row r="175" spans="1:11">
      <c r="A175" s="55" t="s">
        <v>808</v>
      </c>
      <c r="B175" t="s">
        <v>911</v>
      </c>
      <c r="C175" t="s">
        <v>58</v>
      </c>
      <c r="D175" t="s">
        <v>47</v>
      </c>
      <c r="E175" t="s">
        <v>78</v>
      </c>
      <c r="F175" t="s">
        <v>669</v>
      </c>
      <c r="G175" t="s">
        <v>650</v>
      </c>
      <c r="H175" t="s">
        <v>896</v>
      </c>
      <c r="I175" t="s">
        <v>20</v>
      </c>
      <c r="J175" t="s">
        <v>784</v>
      </c>
      <c r="K175" s="55" t="s">
        <v>652</v>
      </c>
    </row>
    <row r="176" spans="1:11">
      <c r="A176" s="55" t="s">
        <v>808</v>
      </c>
      <c r="B176" t="s">
        <v>911</v>
      </c>
      <c r="C176" t="s">
        <v>58</v>
      </c>
      <c r="D176" t="s">
        <v>47</v>
      </c>
      <c r="E176" t="s">
        <v>78</v>
      </c>
      <c r="F176" t="s">
        <v>227</v>
      </c>
      <c r="G176" t="s">
        <v>650</v>
      </c>
      <c r="H176" t="s">
        <v>896</v>
      </c>
      <c r="I176" t="s">
        <v>20</v>
      </c>
      <c r="J176" t="s">
        <v>784</v>
      </c>
      <c r="K176" s="55" t="s">
        <v>652</v>
      </c>
    </row>
    <row r="177" spans="1:11">
      <c r="A177" s="55" t="s">
        <v>808</v>
      </c>
      <c r="B177" t="s">
        <v>911</v>
      </c>
      <c r="C177" t="s">
        <v>62</v>
      </c>
      <c r="D177" t="s">
        <v>45</v>
      </c>
      <c r="E177" t="s">
        <v>70</v>
      </c>
      <c r="F177" t="s">
        <v>71</v>
      </c>
      <c r="G177" t="s">
        <v>650</v>
      </c>
      <c r="H177" t="s">
        <v>896</v>
      </c>
      <c r="I177" t="s">
        <v>20</v>
      </c>
      <c r="J177" t="s">
        <v>784</v>
      </c>
      <c r="K177" s="55" t="s">
        <v>652</v>
      </c>
    </row>
    <row r="178" spans="1:11">
      <c r="A178" s="55" t="s">
        <v>808</v>
      </c>
      <c r="B178" t="s">
        <v>911</v>
      </c>
      <c r="C178" t="s">
        <v>62</v>
      </c>
      <c r="D178" t="s">
        <v>45</v>
      </c>
      <c r="E178" t="s">
        <v>160</v>
      </c>
      <c r="F178" t="s">
        <v>161</v>
      </c>
      <c r="G178" t="s">
        <v>650</v>
      </c>
      <c r="H178" t="s">
        <v>896</v>
      </c>
      <c r="I178" t="s">
        <v>20</v>
      </c>
      <c r="J178" t="s">
        <v>784</v>
      </c>
      <c r="K178" s="55" t="s">
        <v>652</v>
      </c>
    </row>
    <row r="179" spans="1:11">
      <c r="A179" s="55" t="s">
        <v>808</v>
      </c>
      <c r="B179" t="s">
        <v>911</v>
      </c>
      <c r="C179" t="s">
        <v>62</v>
      </c>
      <c r="D179" t="s">
        <v>45</v>
      </c>
      <c r="E179" t="s">
        <v>154</v>
      </c>
      <c r="F179" t="s">
        <v>282</v>
      </c>
      <c r="G179" t="s">
        <v>650</v>
      </c>
      <c r="H179" t="s">
        <v>896</v>
      </c>
      <c r="I179" t="s">
        <v>20</v>
      </c>
      <c r="J179" t="s">
        <v>784</v>
      </c>
      <c r="K179" s="55" t="s">
        <v>652</v>
      </c>
    </row>
    <row r="180" spans="1:11">
      <c r="A180" s="55" t="s">
        <v>808</v>
      </c>
      <c r="B180" t="s">
        <v>911</v>
      </c>
      <c r="C180" t="s">
        <v>58</v>
      </c>
      <c r="D180" t="s">
        <v>47</v>
      </c>
      <c r="E180" t="s">
        <v>158</v>
      </c>
      <c r="F180" t="s">
        <v>670</v>
      </c>
      <c r="G180" t="s">
        <v>650</v>
      </c>
      <c r="H180" t="s">
        <v>896</v>
      </c>
      <c r="I180" t="s">
        <v>20</v>
      </c>
      <c r="J180" t="s">
        <v>784</v>
      </c>
      <c r="K180" s="55" t="s">
        <v>652</v>
      </c>
    </row>
    <row r="181" spans="1:11">
      <c r="A181" s="55" t="s">
        <v>808</v>
      </c>
      <c r="B181" t="s">
        <v>911</v>
      </c>
      <c r="C181" t="s">
        <v>62</v>
      </c>
      <c r="D181" t="s">
        <v>49</v>
      </c>
      <c r="E181" t="s">
        <v>158</v>
      </c>
      <c r="F181" t="s">
        <v>671</v>
      </c>
      <c r="G181" t="s">
        <v>650</v>
      </c>
      <c r="H181" t="s">
        <v>896</v>
      </c>
      <c r="I181" t="s">
        <v>20</v>
      </c>
      <c r="J181" t="s">
        <v>784</v>
      </c>
      <c r="K181" s="55" t="s">
        <v>652</v>
      </c>
    </row>
    <row r="182" spans="1:11">
      <c r="A182" s="55" t="s">
        <v>808</v>
      </c>
      <c r="B182" t="s">
        <v>911</v>
      </c>
      <c r="C182" t="s">
        <v>62</v>
      </c>
      <c r="D182" t="s">
        <v>49</v>
      </c>
      <c r="E182" t="s">
        <v>158</v>
      </c>
      <c r="F182" t="s">
        <v>672</v>
      </c>
      <c r="G182" t="s">
        <v>650</v>
      </c>
      <c r="H182" t="s">
        <v>896</v>
      </c>
      <c r="I182" t="s">
        <v>20</v>
      </c>
      <c r="J182" t="s">
        <v>784</v>
      </c>
      <c r="K182" s="55" t="s">
        <v>652</v>
      </c>
    </row>
    <row r="183" spans="1:11">
      <c r="A183" s="55" t="s">
        <v>808</v>
      </c>
      <c r="B183" t="s">
        <v>911</v>
      </c>
      <c r="C183" t="s">
        <v>62</v>
      </c>
      <c r="D183" t="s">
        <v>49</v>
      </c>
      <c r="E183" t="s">
        <v>70</v>
      </c>
      <c r="F183" t="s">
        <v>673</v>
      </c>
      <c r="G183" t="s">
        <v>650</v>
      </c>
      <c r="H183" t="s">
        <v>896</v>
      </c>
      <c r="I183" t="s">
        <v>20</v>
      </c>
      <c r="J183" t="s">
        <v>784</v>
      </c>
      <c r="K183" s="55" t="s">
        <v>652</v>
      </c>
    </row>
    <row r="184" spans="1:11">
      <c r="A184" s="55" t="s">
        <v>808</v>
      </c>
      <c r="B184" t="s">
        <v>911</v>
      </c>
      <c r="C184" t="s">
        <v>62</v>
      </c>
      <c r="D184" t="s">
        <v>49</v>
      </c>
      <c r="E184" t="s">
        <v>70</v>
      </c>
      <c r="F184" t="s">
        <v>617</v>
      </c>
      <c r="G184" t="s">
        <v>650</v>
      </c>
      <c r="H184" t="s">
        <v>896</v>
      </c>
      <c r="I184" t="s">
        <v>20</v>
      </c>
      <c r="J184" t="s">
        <v>784</v>
      </c>
      <c r="K184" s="55" t="s">
        <v>652</v>
      </c>
    </row>
    <row r="185" spans="1:11">
      <c r="A185" s="55" t="s">
        <v>808</v>
      </c>
      <c r="B185" t="s">
        <v>911</v>
      </c>
      <c r="C185" t="s">
        <v>62</v>
      </c>
      <c r="D185" t="s">
        <v>49</v>
      </c>
      <c r="E185" t="s">
        <v>158</v>
      </c>
      <c r="F185" t="s">
        <v>401</v>
      </c>
      <c r="G185" t="s">
        <v>650</v>
      </c>
      <c r="H185" t="s">
        <v>896</v>
      </c>
      <c r="I185" t="s">
        <v>20</v>
      </c>
      <c r="J185" t="s">
        <v>784</v>
      </c>
      <c r="K185" s="55" t="s">
        <v>652</v>
      </c>
    </row>
    <row r="186" spans="1:11">
      <c r="A186" s="55" t="s">
        <v>808</v>
      </c>
      <c r="B186" t="s">
        <v>911</v>
      </c>
      <c r="C186" t="s">
        <v>58</v>
      </c>
      <c r="D186" t="s">
        <v>47</v>
      </c>
      <c r="E186" t="s">
        <v>160</v>
      </c>
      <c r="F186" t="s">
        <v>674</v>
      </c>
      <c r="G186" t="s">
        <v>650</v>
      </c>
      <c r="H186" t="s">
        <v>896</v>
      </c>
      <c r="I186" t="s">
        <v>20</v>
      </c>
      <c r="J186" t="s">
        <v>784</v>
      </c>
      <c r="K186" s="55" t="s">
        <v>652</v>
      </c>
    </row>
    <row r="187" spans="1:11">
      <c r="A187" s="55" t="s">
        <v>808</v>
      </c>
      <c r="B187" t="s">
        <v>911</v>
      </c>
      <c r="C187" t="s">
        <v>58</v>
      </c>
      <c r="D187" t="s">
        <v>47</v>
      </c>
      <c r="E187" t="s">
        <v>85</v>
      </c>
      <c r="F187" t="s">
        <v>675</v>
      </c>
      <c r="G187" t="s">
        <v>650</v>
      </c>
      <c r="H187" t="s">
        <v>896</v>
      </c>
      <c r="I187" t="s">
        <v>20</v>
      </c>
      <c r="J187" t="s">
        <v>784</v>
      </c>
      <c r="K187" s="55" t="s">
        <v>652</v>
      </c>
    </row>
    <row r="188" spans="1:11">
      <c r="A188" s="55" t="s">
        <v>808</v>
      </c>
      <c r="B188" t="s">
        <v>911</v>
      </c>
      <c r="C188" t="s">
        <v>58</v>
      </c>
      <c r="D188" t="s">
        <v>47</v>
      </c>
      <c r="E188" t="s">
        <v>85</v>
      </c>
      <c r="F188" t="s">
        <v>397</v>
      </c>
      <c r="G188" t="s">
        <v>650</v>
      </c>
      <c r="H188" t="s">
        <v>896</v>
      </c>
      <c r="I188" t="s">
        <v>20</v>
      </c>
      <c r="J188" t="s">
        <v>784</v>
      </c>
      <c r="K188" s="55" t="s">
        <v>652</v>
      </c>
    </row>
    <row r="189" spans="1:11">
      <c r="A189" s="55" t="s">
        <v>808</v>
      </c>
      <c r="B189" t="s">
        <v>911</v>
      </c>
      <c r="C189" t="s">
        <v>58</v>
      </c>
      <c r="D189" t="s">
        <v>47</v>
      </c>
      <c r="E189" t="s">
        <v>85</v>
      </c>
      <c r="F189" t="s">
        <v>508</v>
      </c>
      <c r="G189" t="s">
        <v>650</v>
      </c>
      <c r="H189" t="s">
        <v>896</v>
      </c>
      <c r="I189" t="s">
        <v>20</v>
      </c>
      <c r="J189" t="s">
        <v>784</v>
      </c>
      <c r="K189" s="55" t="s">
        <v>652</v>
      </c>
    </row>
    <row r="190" spans="1:11">
      <c r="A190" s="55" t="s">
        <v>808</v>
      </c>
      <c r="B190" t="s">
        <v>911</v>
      </c>
      <c r="C190" t="s">
        <v>62</v>
      </c>
      <c r="D190" t="s">
        <v>49</v>
      </c>
      <c r="E190" t="s">
        <v>70</v>
      </c>
      <c r="F190" t="s">
        <v>341</v>
      </c>
      <c r="G190" t="s">
        <v>650</v>
      </c>
      <c r="H190" t="s">
        <v>896</v>
      </c>
      <c r="I190" t="s">
        <v>20</v>
      </c>
      <c r="J190" t="s">
        <v>784</v>
      </c>
      <c r="K190" s="55" t="s">
        <v>652</v>
      </c>
    </row>
    <row r="191" spans="1:11">
      <c r="A191" s="55" t="s">
        <v>808</v>
      </c>
      <c r="B191" t="s">
        <v>911</v>
      </c>
      <c r="C191" t="s">
        <v>62</v>
      </c>
      <c r="D191" t="s">
        <v>49</v>
      </c>
      <c r="E191" t="s">
        <v>70</v>
      </c>
      <c r="F191" t="s">
        <v>80</v>
      </c>
      <c r="G191" t="s">
        <v>650</v>
      </c>
      <c r="H191" t="s">
        <v>896</v>
      </c>
      <c r="I191" t="s">
        <v>20</v>
      </c>
      <c r="J191" t="s">
        <v>784</v>
      </c>
      <c r="K191" s="55" t="s">
        <v>652</v>
      </c>
    </row>
    <row r="192" spans="1:11">
      <c r="A192" s="55" t="s">
        <v>808</v>
      </c>
      <c r="B192" t="s">
        <v>911</v>
      </c>
      <c r="C192" t="s">
        <v>62</v>
      </c>
      <c r="D192" t="s">
        <v>49</v>
      </c>
      <c r="E192" t="s">
        <v>158</v>
      </c>
      <c r="F192" t="s">
        <v>670</v>
      </c>
      <c r="G192" t="s">
        <v>650</v>
      </c>
      <c r="H192" t="s">
        <v>896</v>
      </c>
      <c r="I192" t="s">
        <v>20</v>
      </c>
      <c r="J192" t="s">
        <v>784</v>
      </c>
      <c r="K192" s="55" t="s">
        <v>652</v>
      </c>
    </row>
    <row r="193" spans="1:11">
      <c r="A193" s="55" t="s">
        <v>808</v>
      </c>
      <c r="B193" t="s">
        <v>912</v>
      </c>
      <c r="C193" t="s">
        <v>58</v>
      </c>
      <c r="D193" t="s">
        <v>47</v>
      </c>
      <c r="E193" t="s">
        <v>154</v>
      </c>
      <c r="F193" t="s">
        <v>156</v>
      </c>
      <c r="G193" t="s">
        <v>710</v>
      </c>
      <c r="H193" t="s">
        <v>896</v>
      </c>
      <c r="I193" t="s">
        <v>20</v>
      </c>
      <c r="J193" t="s">
        <v>784</v>
      </c>
      <c r="K193" s="55" t="s">
        <v>822</v>
      </c>
    </row>
    <row r="194" spans="1:11">
      <c r="A194" s="55" t="s">
        <v>808</v>
      </c>
      <c r="B194" t="s">
        <v>912</v>
      </c>
      <c r="C194" t="s">
        <v>58</v>
      </c>
      <c r="D194" t="s">
        <v>47</v>
      </c>
      <c r="E194" t="s">
        <v>76</v>
      </c>
      <c r="F194" t="s">
        <v>77</v>
      </c>
      <c r="G194" t="s">
        <v>710</v>
      </c>
      <c r="H194" t="s">
        <v>896</v>
      </c>
      <c r="I194" t="s">
        <v>20</v>
      </c>
      <c r="J194" t="s">
        <v>784</v>
      </c>
      <c r="K194" s="55" t="s">
        <v>822</v>
      </c>
    </row>
    <row r="195" spans="1:11">
      <c r="A195" s="55" t="s">
        <v>808</v>
      </c>
      <c r="B195" t="s">
        <v>912</v>
      </c>
      <c r="C195" t="s">
        <v>58</v>
      </c>
      <c r="D195" t="s">
        <v>47</v>
      </c>
      <c r="E195" t="s">
        <v>151</v>
      </c>
      <c r="F195" t="s">
        <v>616</v>
      </c>
      <c r="G195" t="s">
        <v>710</v>
      </c>
      <c r="H195" t="s">
        <v>896</v>
      </c>
      <c r="I195" t="s">
        <v>20</v>
      </c>
      <c r="J195" t="s">
        <v>784</v>
      </c>
      <c r="K195" s="55" t="s">
        <v>822</v>
      </c>
    </row>
    <row r="196" spans="1:11">
      <c r="A196" s="55" t="s">
        <v>808</v>
      </c>
      <c r="B196" t="s">
        <v>912</v>
      </c>
      <c r="C196" t="s">
        <v>58</v>
      </c>
      <c r="D196" t="s">
        <v>49</v>
      </c>
      <c r="E196" t="s">
        <v>154</v>
      </c>
      <c r="F196" t="s">
        <v>282</v>
      </c>
      <c r="G196" t="s">
        <v>710</v>
      </c>
      <c r="H196" t="s">
        <v>896</v>
      </c>
      <c r="I196" t="s">
        <v>20</v>
      </c>
      <c r="J196" t="s">
        <v>784</v>
      </c>
      <c r="K196" s="55" t="s">
        <v>822</v>
      </c>
    </row>
    <row r="197" spans="1:11">
      <c r="A197" s="55" t="s">
        <v>808</v>
      </c>
      <c r="B197" t="s">
        <v>912</v>
      </c>
      <c r="C197" t="s">
        <v>58</v>
      </c>
      <c r="D197" t="s">
        <v>49</v>
      </c>
      <c r="E197" t="s">
        <v>76</v>
      </c>
      <c r="F197" t="s">
        <v>222</v>
      </c>
      <c r="G197" t="s">
        <v>710</v>
      </c>
      <c r="H197" t="s">
        <v>896</v>
      </c>
      <c r="I197" t="s">
        <v>20</v>
      </c>
      <c r="J197" t="s">
        <v>784</v>
      </c>
      <c r="K197" s="55" t="s">
        <v>822</v>
      </c>
    </row>
    <row r="198" spans="1:11">
      <c r="A198" s="55" t="s">
        <v>808</v>
      </c>
      <c r="B198" t="s">
        <v>912</v>
      </c>
      <c r="C198" t="s">
        <v>62</v>
      </c>
      <c r="D198" t="s">
        <v>42</v>
      </c>
      <c r="E198" t="s">
        <v>70</v>
      </c>
      <c r="F198" t="s">
        <v>71</v>
      </c>
      <c r="G198" t="s">
        <v>710</v>
      </c>
      <c r="H198" t="s">
        <v>896</v>
      </c>
      <c r="I198" t="s">
        <v>20</v>
      </c>
      <c r="J198" t="s">
        <v>784</v>
      </c>
      <c r="K198" s="55" t="s">
        <v>822</v>
      </c>
    </row>
    <row r="199" spans="1:11">
      <c r="A199" s="55" t="s">
        <v>808</v>
      </c>
      <c r="B199" t="s">
        <v>912</v>
      </c>
      <c r="C199" t="s">
        <v>62</v>
      </c>
      <c r="D199" t="s">
        <v>42</v>
      </c>
      <c r="E199" t="s">
        <v>72</v>
      </c>
      <c r="F199" t="s">
        <v>457</v>
      </c>
      <c r="G199" t="s">
        <v>710</v>
      </c>
      <c r="H199" t="s">
        <v>896</v>
      </c>
      <c r="I199" t="s">
        <v>20</v>
      </c>
      <c r="J199" t="s">
        <v>784</v>
      </c>
      <c r="K199" s="55" t="s">
        <v>822</v>
      </c>
    </row>
    <row r="200" spans="1:11">
      <c r="A200" s="55" t="s">
        <v>808</v>
      </c>
      <c r="B200" t="s">
        <v>912</v>
      </c>
      <c r="C200" t="s">
        <v>62</v>
      </c>
      <c r="D200" t="s">
        <v>42</v>
      </c>
      <c r="E200" t="s">
        <v>158</v>
      </c>
      <c r="F200" t="s">
        <v>401</v>
      </c>
      <c r="G200" t="s">
        <v>710</v>
      </c>
      <c r="H200" t="s">
        <v>896</v>
      </c>
      <c r="I200" t="s">
        <v>20</v>
      </c>
      <c r="J200" t="s">
        <v>784</v>
      </c>
      <c r="K200" s="55" t="s">
        <v>822</v>
      </c>
    </row>
    <row r="201" spans="1:11">
      <c r="A201" s="55" t="s">
        <v>808</v>
      </c>
      <c r="B201" t="s">
        <v>912</v>
      </c>
      <c r="C201" t="s">
        <v>62</v>
      </c>
      <c r="D201" t="s">
        <v>42</v>
      </c>
      <c r="E201" t="s">
        <v>70</v>
      </c>
      <c r="F201" t="s">
        <v>80</v>
      </c>
      <c r="G201" t="s">
        <v>710</v>
      </c>
      <c r="H201" t="s">
        <v>896</v>
      </c>
      <c r="I201" t="s">
        <v>20</v>
      </c>
      <c r="J201" t="s">
        <v>784</v>
      </c>
      <c r="K201" s="55" t="s">
        <v>822</v>
      </c>
    </row>
    <row r="202" spans="1:11">
      <c r="A202" s="55" t="s">
        <v>808</v>
      </c>
      <c r="B202" t="s">
        <v>912</v>
      </c>
      <c r="C202" t="s">
        <v>62</v>
      </c>
      <c r="D202" t="s">
        <v>45</v>
      </c>
      <c r="E202" t="s">
        <v>85</v>
      </c>
      <c r="F202" t="s">
        <v>675</v>
      </c>
      <c r="G202" t="s">
        <v>710</v>
      </c>
      <c r="H202" t="s">
        <v>896</v>
      </c>
      <c r="I202" t="s">
        <v>20</v>
      </c>
      <c r="J202" t="s">
        <v>784</v>
      </c>
      <c r="K202" s="55" t="s">
        <v>822</v>
      </c>
    </row>
    <row r="203" spans="1:11">
      <c r="A203" s="55" t="s">
        <v>808</v>
      </c>
      <c r="B203" t="s">
        <v>912</v>
      </c>
      <c r="C203" t="s">
        <v>62</v>
      </c>
      <c r="D203" t="s">
        <v>45</v>
      </c>
      <c r="E203" t="s">
        <v>85</v>
      </c>
      <c r="F203" t="s">
        <v>397</v>
      </c>
      <c r="G203" t="s">
        <v>710</v>
      </c>
      <c r="H203" t="s">
        <v>896</v>
      </c>
      <c r="I203" t="s">
        <v>20</v>
      </c>
      <c r="J203" t="s">
        <v>784</v>
      </c>
      <c r="K203" s="55" t="s">
        <v>822</v>
      </c>
    </row>
    <row r="204" spans="1:11">
      <c r="A204" s="55" t="s">
        <v>808</v>
      </c>
      <c r="B204" t="s">
        <v>912</v>
      </c>
      <c r="C204" t="s">
        <v>62</v>
      </c>
      <c r="D204" t="s">
        <v>45</v>
      </c>
      <c r="E204" t="s">
        <v>78</v>
      </c>
      <c r="F204" t="s">
        <v>669</v>
      </c>
      <c r="G204" t="s">
        <v>710</v>
      </c>
      <c r="H204" t="s">
        <v>896</v>
      </c>
      <c r="I204" t="s">
        <v>20</v>
      </c>
      <c r="J204" t="s">
        <v>784</v>
      </c>
      <c r="K204" s="55" t="s">
        <v>822</v>
      </c>
    </row>
    <row r="205" spans="1:11">
      <c r="A205" s="55" t="s">
        <v>808</v>
      </c>
      <c r="B205" t="s">
        <v>912</v>
      </c>
      <c r="C205" t="s">
        <v>62</v>
      </c>
      <c r="D205" t="s">
        <v>49</v>
      </c>
      <c r="E205" t="s">
        <v>160</v>
      </c>
      <c r="F205" t="s">
        <v>674</v>
      </c>
      <c r="G205" t="s">
        <v>710</v>
      </c>
      <c r="H205" t="s">
        <v>896</v>
      </c>
      <c r="I205" t="s">
        <v>20</v>
      </c>
      <c r="J205" t="s">
        <v>784</v>
      </c>
      <c r="K205" s="55" t="s">
        <v>822</v>
      </c>
    </row>
    <row r="206" spans="1:11">
      <c r="A206" s="55" t="s">
        <v>808</v>
      </c>
      <c r="B206" t="s">
        <v>912</v>
      </c>
      <c r="C206" t="s">
        <v>62</v>
      </c>
      <c r="D206" t="s">
        <v>50</v>
      </c>
      <c r="E206" t="s">
        <v>154</v>
      </c>
      <c r="F206" t="s">
        <v>562</v>
      </c>
      <c r="G206" t="s">
        <v>710</v>
      </c>
      <c r="H206" t="s">
        <v>896</v>
      </c>
      <c r="I206" t="s">
        <v>20</v>
      </c>
      <c r="J206" t="s">
        <v>784</v>
      </c>
      <c r="K206" s="55" t="s">
        <v>822</v>
      </c>
    </row>
    <row r="207" spans="1:11">
      <c r="A207" s="55" t="s">
        <v>808</v>
      </c>
      <c r="B207" t="s">
        <v>912</v>
      </c>
      <c r="C207" t="s">
        <v>62</v>
      </c>
      <c r="D207" t="s">
        <v>50</v>
      </c>
      <c r="E207" t="s">
        <v>74</v>
      </c>
      <c r="F207" t="s">
        <v>153</v>
      </c>
      <c r="G207" t="s">
        <v>710</v>
      </c>
      <c r="H207" t="s">
        <v>896</v>
      </c>
      <c r="I207" t="s">
        <v>20</v>
      </c>
      <c r="J207" t="s">
        <v>784</v>
      </c>
      <c r="K207" s="55" t="s">
        <v>822</v>
      </c>
    </row>
    <row r="208" spans="1:11">
      <c r="A208" s="55" t="s">
        <v>808</v>
      </c>
      <c r="B208" t="s">
        <v>912</v>
      </c>
      <c r="C208" t="s">
        <v>62</v>
      </c>
      <c r="D208" t="s">
        <v>50</v>
      </c>
      <c r="E208" t="s">
        <v>70</v>
      </c>
      <c r="F208" t="s">
        <v>617</v>
      </c>
      <c r="G208" t="s">
        <v>710</v>
      </c>
      <c r="H208" t="s">
        <v>896</v>
      </c>
      <c r="I208" t="s">
        <v>20</v>
      </c>
      <c r="J208" t="s">
        <v>784</v>
      </c>
      <c r="K208" s="55" t="s">
        <v>822</v>
      </c>
    </row>
    <row r="209" spans="1:11">
      <c r="A209" s="55" t="s">
        <v>808</v>
      </c>
      <c r="B209" t="s">
        <v>912</v>
      </c>
      <c r="C209" t="s">
        <v>62</v>
      </c>
      <c r="D209" t="s">
        <v>50</v>
      </c>
      <c r="E209" t="s">
        <v>70</v>
      </c>
      <c r="F209" t="s">
        <v>673</v>
      </c>
      <c r="G209" t="s">
        <v>710</v>
      </c>
      <c r="H209" t="s">
        <v>896</v>
      </c>
      <c r="I209" t="s">
        <v>20</v>
      </c>
      <c r="J209" t="s">
        <v>784</v>
      </c>
      <c r="K209" s="55" t="s">
        <v>822</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42CE07-30E3-4221-8EF7-413EB9357392}">
  <sheetPr codeName="Sheet20"/>
  <dimension ref="A1:I103"/>
  <sheetViews>
    <sheetView topLeftCell="A28" workbookViewId="0">
      <selection activeCell="M40" sqref="M40"/>
    </sheetView>
  </sheetViews>
  <sheetFormatPr defaultRowHeight="15"/>
  <cols>
    <col min="1" max="1" width="48.140625" bestFit="1" customWidth="1"/>
    <col min="2" max="2" width="16" bestFit="1" customWidth="1"/>
    <col min="3" max="3" width="19.5703125" bestFit="1" customWidth="1"/>
    <col min="4" max="4" width="16.42578125" bestFit="1" customWidth="1"/>
    <col min="5" max="5" width="14.7109375" bestFit="1" customWidth="1"/>
    <col min="6" max="6" width="12.5703125" bestFit="1" customWidth="1"/>
    <col min="7" max="7" width="13.85546875" bestFit="1" customWidth="1"/>
    <col min="8" max="8" width="12.140625" bestFit="1" customWidth="1"/>
    <col min="9" max="9" width="45.85546875" bestFit="1" customWidth="1"/>
  </cols>
  <sheetData>
    <row r="1" spans="1:9">
      <c r="A1" t="s">
        <v>773</v>
      </c>
      <c r="B1" t="s">
        <v>774</v>
      </c>
      <c r="C1" t="s">
        <v>24</v>
      </c>
      <c r="D1" t="s">
        <v>23</v>
      </c>
      <c r="E1" t="s">
        <v>775</v>
      </c>
      <c r="F1" t="s">
        <v>776</v>
      </c>
      <c r="G1" t="s">
        <v>777</v>
      </c>
      <c r="H1" t="s">
        <v>778</v>
      </c>
      <c r="I1" t="s">
        <v>779</v>
      </c>
    </row>
    <row r="2" spans="1:9">
      <c r="A2" t="s">
        <v>780</v>
      </c>
      <c r="B2" t="s">
        <v>826</v>
      </c>
      <c r="C2" t="s">
        <v>25</v>
      </c>
      <c r="D2">
        <v>34</v>
      </c>
      <c r="E2" t="s">
        <v>782</v>
      </c>
      <c r="F2" t="s">
        <v>827</v>
      </c>
      <c r="G2" t="s">
        <v>20</v>
      </c>
      <c r="H2" t="s">
        <v>784</v>
      </c>
      <c r="I2" t="s">
        <v>785</v>
      </c>
    </row>
    <row r="3" spans="1:9">
      <c r="A3" t="s">
        <v>780</v>
      </c>
      <c r="B3" t="s">
        <v>826</v>
      </c>
      <c r="C3" t="s">
        <v>26</v>
      </c>
      <c r="D3">
        <v>6</v>
      </c>
      <c r="E3" t="s">
        <v>782</v>
      </c>
      <c r="F3" t="s">
        <v>827</v>
      </c>
      <c r="G3" t="s">
        <v>20</v>
      </c>
      <c r="H3" t="s">
        <v>784</v>
      </c>
      <c r="I3" t="s">
        <v>785</v>
      </c>
    </row>
    <row r="4" spans="1:9">
      <c r="A4" t="s">
        <v>780</v>
      </c>
      <c r="B4" t="s">
        <v>826</v>
      </c>
      <c r="C4" t="s">
        <v>27</v>
      </c>
      <c r="E4" t="s">
        <v>782</v>
      </c>
      <c r="F4" t="s">
        <v>827</v>
      </c>
      <c r="G4" t="s">
        <v>20</v>
      </c>
      <c r="H4" t="s">
        <v>784</v>
      </c>
      <c r="I4" t="s">
        <v>785</v>
      </c>
    </row>
    <row r="5" spans="1:9">
      <c r="A5" t="s">
        <v>780</v>
      </c>
      <c r="B5" t="s">
        <v>826</v>
      </c>
      <c r="C5" t="s">
        <v>28</v>
      </c>
      <c r="D5">
        <v>4</v>
      </c>
      <c r="E5" t="s">
        <v>782</v>
      </c>
      <c r="F5" t="s">
        <v>827</v>
      </c>
      <c r="G5" t="s">
        <v>20</v>
      </c>
      <c r="H5" t="s">
        <v>784</v>
      </c>
      <c r="I5" t="s">
        <v>785</v>
      </c>
    </row>
    <row r="6" spans="1:9">
      <c r="A6" t="s">
        <v>780</v>
      </c>
      <c r="B6" t="s">
        <v>826</v>
      </c>
      <c r="C6" t="s">
        <v>30</v>
      </c>
      <c r="E6" t="s">
        <v>782</v>
      </c>
      <c r="F6" t="s">
        <v>827</v>
      </c>
      <c r="G6" t="s">
        <v>20</v>
      </c>
      <c r="H6" t="s">
        <v>784</v>
      </c>
      <c r="I6" t="s">
        <v>785</v>
      </c>
    </row>
    <row r="7" spans="1:9">
      <c r="A7" t="s">
        <v>780</v>
      </c>
      <c r="B7" t="s">
        <v>826</v>
      </c>
      <c r="C7" t="s">
        <v>32</v>
      </c>
      <c r="D7">
        <v>44</v>
      </c>
      <c r="E7" t="s">
        <v>782</v>
      </c>
      <c r="F7" t="s">
        <v>827</v>
      </c>
      <c r="G7" t="s">
        <v>20</v>
      </c>
      <c r="H7" t="s">
        <v>784</v>
      </c>
      <c r="I7" t="s">
        <v>785</v>
      </c>
    </row>
    <row r="8" spans="1:9">
      <c r="A8" t="s">
        <v>780</v>
      </c>
      <c r="B8" t="s">
        <v>828</v>
      </c>
      <c r="C8" t="s">
        <v>25</v>
      </c>
      <c r="D8">
        <v>33</v>
      </c>
      <c r="E8" t="s">
        <v>790</v>
      </c>
      <c r="F8" t="s">
        <v>827</v>
      </c>
      <c r="G8" t="s">
        <v>20</v>
      </c>
      <c r="H8" t="s">
        <v>784</v>
      </c>
      <c r="I8" t="s">
        <v>791</v>
      </c>
    </row>
    <row r="9" spans="1:9">
      <c r="A9" t="s">
        <v>780</v>
      </c>
      <c r="B9" t="s">
        <v>828</v>
      </c>
      <c r="C9" t="s">
        <v>26</v>
      </c>
      <c r="D9">
        <v>1</v>
      </c>
      <c r="E9" t="s">
        <v>790</v>
      </c>
      <c r="F9" t="s">
        <v>827</v>
      </c>
      <c r="G9" t="s">
        <v>20</v>
      </c>
      <c r="H9" t="s">
        <v>784</v>
      </c>
      <c r="I9" t="s">
        <v>791</v>
      </c>
    </row>
    <row r="10" spans="1:9">
      <c r="A10" t="s">
        <v>780</v>
      </c>
      <c r="B10" t="s">
        <v>828</v>
      </c>
      <c r="C10" t="s">
        <v>27</v>
      </c>
      <c r="D10">
        <v>6</v>
      </c>
      <c r="E10" t="s">
        <v>790</v>
      </c>
      <c r="F10" t="s">
        <v>827</v>
      </c>
      <c r="G10" t="s">
        <v>20</v>
      </c>
      <c r="H10" t="s">
        <v>784</v>
      </c>
      <c r="I10" t="s">
        <v>791</v>
      </c>
    </row>
    <row r="11" spans="1:9">
      <c r="A11" t="s">
        <v>780</v>
      </c>
      <c r="B11" t="s">
        <v>828</v>
      </c>
      <c r="C11" t="s">
        <v>28</v>
      </c>
      <c r="D11">
        <v>1</v>
      </c>
      <c r="E11" t="s">
        <v>790</v>
      </c>
      <c r="F11" t="s">
        <v>827</v>
      </c>
      <c r="G11" t="s">
        <v>20</v>
      </c>
      <c r="H11" t="s">
        <v>784</v>
      </c>
      <c r="I11" t="s">
        <v>791</v>
      </c>
    </row>
    <row r="12" spans="1:9">
      <c r="A12" t="s">
        <v>780</v>
      </c>
      <c r="B12" t="s">
        <v>828</v>
      </c>
      <c r="C12" t="s">
        <v>30</v>
      </c>
      <c r="D12">
        <v>3</v>
      </c>
      <c r="E12" t="s">
        <v>790</v>
      </c>
      <c r="F12" t="s">
        <v>827</v>
      </c>
      <c r="G12" t="s">
        <v>20</v>
      </c>
      <c r="H12" t="s">
        <v>784</v>
      </c>
      <c r="I12" t="s">
        <v>791</v>
      </c>
    </row>
    <row r="13" spans="1:9">
      <c r="A13" t="s">
        <v>780</v>
      </c>
      <c r="B13" t="s">
        <v>828</v>
      </c>
      <c r="C13" t="s">
        <v>32</v>
      </c>
      <c r="D13">
        <v>44</v>
      </c>
      <c r="E13" t="s">
        <v>790</v>
      </c>
      <c r="F13" t="s">
        <v>827</v>
      </c>
      <c r="G13" t="s">
        <v>20</v>
      </c>
      <c r="H13" t="s">
        <v>784</v>
      </c>
      <c r="I13" t="s">
        <v>791</v>
      </c>
    </row>
    <row r="14" spans="1:9">
      <c r="A14" t="s">
        <v>780</v>
      </c>
      <c r="B14" t="s">
        <v>829</v>
      </c>
      <c r="C14" t="s">
        <v>25</v>
      </c>
      <c r="D14">
        <v>34</v>
      </c>
      <c r="E14" t="s">
        <v>796</v>
      </c>
      <c r="F14" t="s">
        <v>827</v>
      </c>
      <c r="G14" t="s">
        <v>20</v>
      </c>
      <c r="H14" t="s">
        <v>784</v>
      </c>
      <c r="I14" t="s">
        <v>797</v>
      </c>
    </row>
    <row r="15" spans="1:9">
      <c r="A15" t="s">
        <v>780</v>
      </c>
      <c r="B15" t="s">
        <v>829</v>
      </c>
      <c r="C15" t="s">
        <v>26</v>
      </c>
      <c r="D15">
        <v>12</v>
      </c>
      <c r="E15" t="s">
        <v>796</v>
      </c>
      <c r="F15" t="s">
        <v>827</v>
      </c>
      <c r="G15" t="s">
        <v>20</v>
      </c>
      <c r="H15" t="s">
        <v>784</v>
      </c>
      <c r="I15" t="s">
        <v>797</v>
      </c>
    </row>
    <row r="16" spans="1:9">
      <c r="A16" t="s">
        <v>780</v>
      </c>
      <c r="B16" t="s">
        <v>829</v>
      </c>
      <c r="C16" t="s">
        <v>27</v>
      </c>
      <c r="E16" t="s">
        <v>796</v>
      </c>
      <c r="F16" t="s">
        <v>827</v>
      </c>
      <c r="G16" t="s">
        <v>20</v>
      </c>
      <c r="H16" t="s">
        <v>784</v>
      </c>
      <c r="I16" t="s">
        <v>797</v>
      </c>
    </row>
    <row r="17" spans="1:9">
      <c r="A17" t="s">
        <v>780</v>
      </c>
      <c r="B17" t="s">
        <v>829</v>
      </c>
      <c r="C17" t="s">
        <v>28</v>
      </c>
      <c r="D17">
        <v>2</v>
      </c>
      <c r="E17" t="s">
        <v>796</v>
      </c>
      <c r="F17" t="s">
        <v>827</v>
      </c>
      <c r="G17" t="s">
        <v>20</v>
      </c>
      <c r="H17" t="s">
        <v>784</v>
      </c>
      <c r="I17" t="s">
        <v>797</v>
      </c>
    </row>
    <row r="18" spans="1:9">
      <c r="A18" t="s">
        <v>780</v>
      </c>
      <c r="B18" t="s">
        <v>829</v>
      </c>
      <c r="C18" t="s">
        <v>30</v>
      </c>
      <c r="E18" t="s">
        <v>796</v>
      </c>
      <c r="F18" t="s">
        <v>827</v>
      </c>
      <c r="G18" t="s">
        <v>20</v>
      </c>
      <c r="H18" t="s">
        <v>784</v>
      </c>
      <c r="I18" t="s">
        <v>797</v>
      </c>
    </row>
    <row r="19" spans="1:9">
      <c r="A19" t="s">
        <v>780</v>
      </c>
      <c r="B19" t="s">
        <v>829</v>
      </c>
      <c r="C19" t="s">
        <v>32</v>
      </c>
      <c r="D19">
        <v>48</v>
      </c>
      <c r="E19" t="s">
        <v>796</v>
      </c>
      <c r="F19" t="s">
        <v>827</v>
      </c>
      <c r="G19" t="s">
        <v>20</v>
      </c>
      <c r="H19" t="s">
        <v>784</v>
      </c>
      <c r="I19" t="s">
        <v>797</v>
      </c>
    </row>
    <row r="20" spans="1:9">
      <c r="A20" t="s">
        <v>780</v>
      </c>
      <c r="B20" t="s">
        <v>830</v>
      </c>
      <c r="C20" t="s">
        <v>25</v>
      </c>
      <c r="D20">
        <v>16</v>
      </c>
      <c r="E20" t="s">
        <v>800</v>
      </c>
      <c r="F20" t="s">
        <v>827</v>
      </c>
      <c r="G20" t="s">
        <v>20</v>
      </c>
      <c r="H20" t="s">
        <v>784</v>
      </c>
      <c r="I20" t="s">
        <v>801</v>
      </c>
    </row>
    <row r="21" spans="1:9">
      <c r="A21" t="s">
        <v>780</v>
      </c>
      <c r="B21" t="s">
        <v>830</v>
      </c>
      <c r="C21" t="s">
        <v>26</v>
      </c>
      <c r="D21">
        <v>5</v>
      </c>
      <c r="E21" t="s">
        <v>800</v>
      </c>
      <c r="F21" t="s">
        <v>827</v>
      </c>
      <c r="G21" t="s">
        <v>20</v>
      </c>
      <c r="H21" t="s">
        <v>784</v>
      </c>
      <c r="I21" t="s">
        <v>801</v>
      </c>
    </row>
    <row r="22" spans="1:9">
      <c r="A22" t="s">
        <v>780</v>
      </c>
      <c r="B22" t="s">
        <v>830</v>
      </c>
      <c r="C22" t="s">
        <v>27</v>
      </c>
      <c r="D22">
        <v>6</v>
      </c>
      <c r="E22" t="s">
        <v>800</v>
      </c>
      <c r="F22" t="s">
        <v>827</v>
      </c>
      <c r="G22" t="s">
        <v>20</v>
      </c>
      <c r="H22" t="s">
        <v>784</v>
      </c>
      <c r="I22" t="s">
        <v>801</v>
      </c>
    </row>
    <row r="23" spans="1:9">
      <c r="A23" t="s">
        <v>780</v>
      </c>
      <c r="B23" t="s">
        <v>830</v>
      </c>
      <c r="C23" t="s">
        <v>28</v>
      </c>
      <c r="D23">
        <v>7</v>
      </c>
      <c r="E23" t="s">
        <v>800</v>
      </c>
      <c r="F23" t="s">
        <v>827</v>
      </c>
      <c r="G23" t="s">
        <v>20</v>
      </c>
      <c r="H23" t="s">
        <v>784</v>
      </c>
      <c r="I23" t="s">
        <v>801</v>
      </c>
    </row>
    <row r="24" spans="1:9">
      <c r="A24" t="s">
        <v>780</v>
      </c>
      <c r="B24" t="s">
        <v>830</v>
      </c>
      <c r="C24" t="s">
        <v>825</v>
      </c>
      <c r="D24">
        <v>6</v>
      </c>
      <c r="E24" t="s">
        <v>800</v>
      </c>
      <c r="F24" t="s">
        <v>827</v>
      </c>
      <c r="G24" t="s">
        <v>20</v>
      </c>
      <c r="H24" t="s">
        <v>784</v>
      </c>
      <c r="I24" t="s">
        <v>801</v>
      </c>
    </row>
    <row r="25" spans="1:9">
      <c r="A25" t="s">
        <v>780</v>
      </c>
      <c r="B25" t="s">
        <v>830</v>
      </c>
      <c r="C25" t="s">
        <v>32</v>
      </c>
      <c r="D25">
        <v>40</v>
      </c>
      <c r="E25" t="s">
        <v>800</v>
      </c>
      <c r="F25" t="s">
        <v>827</v>
      </c>
      <c r="G25" t="s">
        <v>20</v>
      </c>
      <c r="H25" t="s">
        <v>784</v>
      </c>
      <c r="I25" t="s">
        <v>801</v>
      </c>
    </row>
    <row r="26" spans="1:9">
      <c r="A26" t="s">
        <v>780</v>
      </c>
      <c r="B26" t="s">
        <v>831</v>
      </c>
      <c r="C26" t="s">
        <v>25</v>
      </c>
      <c r="D26">
        <v>12</v>
      </c>
      <c r="E26" t="s">
        <v>804</v>
      </c>
      <c r="F26" t="s">
        <v>827</v>
      </c>
      <c r="G26" t="s">
        <v>20</v>
      </c>
      <c r="H26" t="s">
        <v>784</v>
      </c>
      <c r="I26" t="s">
        <v>805</v>
      </c>
    </row>
    <row r="27" spans="1:9">
      <c r="A27" t="s">
        <v>780</v>
      </c>
      <c r="B27" t="s">
        <v>831</v>
      </c>
      <c r="C27" t="s">
        <v>26</v>
      </c>
      <c r="D27">
        <v>10</v>
      </c>
      <c r="E27" t="s">
        <v>804</v>
      </c>
      <c r="F27" t="s">
        <v>827</v>
      </c>
      <c r="G27" t="s">
        <v>20</v>
      </c>
      <c r="H27" t="s">
        <v>784</v>
      </c>
      <c r="I27" t="s">
        <v>805</v>
      </c>
    </row>
    <row r="28" spans="1:9">
      <c r="A28" t="s">
        <v>780</v>
      </c>
      <c r="B28" t="s">
        <v>831</v>
      </c>
      <c r="C28" t="s">
        <v>27</v>
      </c>
      <c r="E28" t="s">
        <v>804</v>
      </c>
      <c r="F28" t="s">
        <v>827</v>
      </c>
      <c r="G28" t="s">
        <v>20</v>
      </c>
      <c r="H28" t="s">
        <v>784</v>
      </c>
      <c r="I28" t="s">
        <v>805</v>
      </c>
    </row>
    <row r="29" spans="1:9">
      <c r="A29" t="s">
        <v>780</v>
      </c>
      <c r="B29" t="s">
        <v>831</v>
      </c>
      <c r="C29" t="s">
        <v>28</v>
      </c>
      <c r="E29" t="s">
        <v>804</v>
      </c>
      <c r="F29" t="s">
        <v>827</v>
      </c>
      <c r="G29" t="s">
        <v>20</v>
      </c>
      <c r="H29" t="s">
        <v>784</v>
      </c>
      <c r="I29" t="s">
        <v>805</v>
      </c>
    </row>
    <row r="30" spans="1:9">
      <c r="A30" t="s">
        <v>780</v>
      </c>
      <c r="B30" t="s">
        <v>831</v>
      </c>
      <c r="C30" t="s">
        <v>30</v>
      </c>
      <c r="E30" t="s">
        <v>804</v>
      </c>
      <c r="F30" t="s">
        <v>827</v>
      </c>
      <c r="G30" t="s">
        <v>20</v>
      </c>
      <c r="H30" t="s">
        <v>784</v>
      </c>
      <c r="I30" t="s">
        <v>805</v>
      </c>
    </row>
    <row r="31" spans="1:9">
      <c r="A31" t="s">
        <v>780</v>
      </c>
      <c r="B31" t="s">
        <v>831</v>
      </c>
      <c r="C31" t="s">
        <v>32</v>
      </c>
      <c r="D31">
        <v>22</v>
      </c>
      <c r="E31" t="s">
        <v>804</v>
      </c>
      <c r="F31" t="s">
        <v>827</v>
      </c>
      <c r="G31" t="s">
        <v>20</v>
      </c>
      <c r="H31" t="s">
        <v>784</v>
      </c>
      <c r="I31" t="s">
        <v>805</v>
      </c>
    </row>
    <row r="32" spans="1:9">
      <c r="A32" t="s">
        <v>808</v>
      </c>
      <c r="B32" t="s">
        <v>832</v>
      </c>
      <c r="C32" t="s">
        <v>25</v>
      </c>
      <c r="D32">
        <v>20</v>
      </c>
      <c r="E32" t="s">
        <v>5</v>
      </c>
      <c r="F32" t="s">
        <v>827</v>
      </c>
      <c r="G32" t="s">
        <v>20</v>
      </c>
      <c r="H32" t="s">
        <v>784</v>
      </c>
      <c r="I32" t="s">
        <v>8</v>
      </c>
    </row>
    <row r="33" spans="1:9">
      <c r="A33" t="s">
        <v>808</v>
      </c>
      <c r="B33" t="s">
        <v>832</v>
      </c>
      <c r="C33" t="s">
        <v>26</v>
      </c>
      <c r="D33">
        <v>10</v>
      </c>
      <c r="E33" t="s">
        <v>5</v>
      </c>
      <c r="F33" t="s">
        <v>827</v>
      </c>
      <c r="G33" t="s">
        <v>20</v>
      </c>
      <c r="H33" t="s">
        <v>784</v>
      </c>
      <c r="I33" t="s">
        <v>8</v>
      </c>
    </row>
    <row r="34" spans="1:9">
      <c r="A34" t="s">
        <v>808</v>
      </c>
      <c r="B34" t="s">
        <v>832</v>
      </c>
      <c r="C34" t="s">
        <v>27</v>
      </c>
      <c r="D34">
        <v>6</v>
      </c>
      <c r="E34" t="s">
        <v>5</v>
      </c>
      <c r="F34" t="s">
        <v>827</v>
      </c>
      <c r="G34" t="s">
        <v>20</v>
      </c>
      <c r="H34" t="s">
        <v>784</v>
      </c>
      <c r="I34" t="s">
        <v>8</v>
      </c>
    </row>
    <row r="35" spans="1:9">
      <c r="A35" t="s">
        <v>808</v>
      </c>
      <c r="B35" t="s">
        <v>832</v>
      </c>
      <c r="C35" t="s">
        <v>28</v>
      </c>
      <c r="D35">
        <v>14</v>
      </c>
      <c r="E35" t="s">
        <v>5</v>
      </c>
      <c r="F35" t="s">
        <v>827</v>
      </c>
      <c r="G35" t="s">
        <v>20</v>
      </c>
      <c r="H35" t="s">
        <v>784</v>
      </c>
      <c r="I35" t="s">
        <v>8</v>
      </c>
    </row>
    <row r="36" spans="1:9">
      <c r="A36" t="s">
        <v>808</v>
      </c>
      <c r="B36" t="s">
        <v>832</v>
      </c>
      <c r="C36" t="s">
        <v>30</v>
      </c>
      <c r="E36" t="s">
        <v>5</v>
      </c>
      <c r="F36" t="s">
        <v>827</v>
      </c>
      <c r="G36" t="s">
        <v>20</v>
      </c>
      <c r="H36" t="s">
        <v>784</v>
      </c>
      <c r="I36" t="s">
        <v>8</v>
      </c>
    </row>
    <row r="37" spans="1:9">
      <c r="A37" t="s">
        <v>808</v>
      </c>
      <c r="B37" t="s">
        <v>832</v>
      </c>
      <c r="C37" t="s">
        <v>32</v>
      </c>
      <c r="D37">
        <v>50</v>
      </c>
      <c r="E37" t="s">
        <v>5</v>
      </c>
      <c r="F37" t="s">
        <v>827</v>
      </c>
      <c r="G37" t="s">
        <v>20</v>
      </c>
      <c r="H37" t="s">
        <v>784</v>
      </c>
      <c r="I37" t="s">
        <v>8</v>
      </c>
    </row>
    <row r="38" spans="1:9">
      <c r="A38" t="s">
        <v>808</v>
      </c>
      <c r="B38" t="s">
        <v>833</v>
      </c>
      <c r="C38" t="s">
        <v>25</v>
      </c>
      <c r="D38">
        <v>16</v>
      </c>
      <c r="E38" t="s">
        <v>129</v>
      </c>
      <c r="F38" t="s">
        <v>827</v>
      </c>
      <c r="G38" t="s">
        <v>20</v>
      </c>
      <c r="H38" t="s">
        <v>784</v>
      </c>
      <c r="I38" t="s">
        <v>131</v>
      </c>
    </row>
    <row r="39" spans="1:9">
      <c r="A39" t="s">
        <v>808</v>
      </c>
      <c r="B39" t="s">
        <v>833</v>
      </c>
      <c r="C39" t="s">
        <v>26</v>
      </c>
      <c r="D39">
        <v>12</v>
      </c>
      <c r="E39" t="s">
        <v>129</v>
      </c>
      <c r="F39" t="s">
        <v>827</v>
      </c>
      <c r="G39" t="s">
        <v>20</v>
      </c>
      <c r="H39" t="s">
        <v>784</v>
      </c>
      <c r="I39" t="s">
        <v>131</v>
      </c>
    </row>
    <row r="40" spans="1:9">
      <c r="A40" t="s">
        <v>808</v>
      </c>
      <c r="B40" t="s">
        <v>833</v>
      </c>
      <c r="C40" t="s">
        <v>27</v>
      </c>
      <c r="D40">
        <v>9</v>
      </c>
      <c r="E40" t="s">
        <v>129</v>
      </c>
      <c r="F40" t="s">
        <v>827</v>
      </c>
      <c r="G40" t="s">
        <v>20</v>
      </c>
      <c r="H40" t="s">
        <v>784</v>
      </c>
      <c r="I40" t="s">
        <v>131</v>
      </c>
    </row>
    <row r="41" spans="1:9">
      <c r="A41" t="s">
        <v>808</v>
      </c>
      <c r="B41" t="s">
        <v>833</v>
      </c>
      <c r="C41" t="s">
        <v>28</v>
      </c>
      <c r="D41">
        <v>4</v>
      </c>
      <c r="E41" t="s">
        <v>129</v>
      </c>
      <c r="F41" t="s">
        <v>827</v>
      </c>
      <c r="G41" t="s">
        <v>20</v>
      </c>
      <c r="H41" t="s">
        <v>784</v>
      </c>
      <c r="I41" t="s">
        <v>131</v>
      </c>
    </row>
    <row r="42" spans="1:9">
      <c r="A42" t="s">
        <v>808</v>
      </c>
      <c r="B42" t="s">
        <v>833</v>
      </c>
      <c r="C42" t="s">
        <v>30</v>
      </c>
      <c r="E42" t="s">
        <v>129</v>
      </c>
      <c r="F42" t="s">
        <v>827</v>
      </c>
      <c r="G42" t="s">
        <v>20</v>
      </c>
      <c r="H42" t="s">
        <v>784</v>
      </c>
      <c r="I42" t="s">
        <v>131</v>
      </c>
    </row>
    <row r="43" spans="1:9">
      <c r="A43" t="s">
        <v>808</v>
      </c>
      <c r="B43" t="s">
        <v>833</v>
      </c>
      <c r="C43" t="s">
        <v>32</v>
      </c>
      <c r="D43">
        <v>41</v>
      </c>
      <c r="E43" t="s">
        <v>129</v>
      </c>
      <c r="F43" t="s">
        <v>827</v>
      </c>
      <c r="G43" t="s">
        <v>20</v>
      </c>
      <c r="H43" t="s">
        <v>784</v>
      </c>
      <c r="I43" t="s">
        <v>131</v>
      </c>
    </row>
    <row r="44" spans="1:9">
      <c r="A44" t="s">
        <v>808</v>
      </c>
      <c r="B44" t="s">
        <v>834</v>
      </c>
      <c r="C44" t="s">
        <v>25</v>
      </c>
      <c r="D44">
        <v>26</v>
      </c>
      <c r="E44" t="s">
        <v>198</v>
      </c>
      <c r="F44" t="s">
        <v>827</v>
      </c>
      <c r="G44" t="s">
        <v>20</v>
      </c>
      <c r="H44" t="s">
        <v>784</v>
      </c>
      <c r="I44" t="s">
        <v>200</v>
      </c>
    </row>
    <row r="45" spans="1:9">
      <c r="A45" t="s">
        <v>808</v>
      </c>
      <c r="B45" t="s">
        <v>834</v>
      </c>
      <c r="C45" t="s">
        <v>26</v>
      </c>
      <c r="E45" t="s">
        <v>198</v>
      </c>
      <c r="F45" t="s">
        <v>827</v>
      </c>
      <c r="G45" t="s">
        <v>20</v>
      </c>
      <c r="H45" t="s">
        <v>784</v>
      </c>
      <c r="I45" t="s">
        <v>200</v>
      </c>
    </row>
    <row r="46" spans="1:9">
      <c r="A46" t="s">
        <v>808</v>
      </c>
      <c r="B46" t="s">
        <v>834</v>
      </c>
      <c r="C46" t="s">
        <v>27</v>
      </c>
      <c r="D46">
        <v>9</v>
      </c>
      <c r="E46" t="s">
        <v>198</v>
      </c>
      <c r="F46" t="s">
        <v>827</v>
      </c>
      <c r="G46" t="s">
        <v>20</v>
      </c>
      <c r="H46" t="s">
        <v>784</v>
      </c>
      <c r="I46" t="s">
        <v>200</v>
      </c>
    </row>
    <row r="47" spans="1:9">
      <c r="A47" t="s">
        <v>808</v>
      </c>
      <c r="B47" t="s">
        <v>834</v>
      </c>
      <c r="C47" t="s">
        <v>28</v>
      </c>
      <c r="D47">
        <v>5</v>
      </c>
      <c r="E47" t="s">
        <v>198</v>
      </c>
      <c r="F47" t="s">
        <v>827</v>
      </c>
      <c r="G47" t="s">
        <v>20</v>
      </c>
      <c r="H47" t="s">
        <v>784</v>
      </c>
      <c r="I47" t="s">
        <v>200</v>
      </c>
    </row>
    <row r="48" spans="1:9">
      <c r="A48" t="s">
        <v>808</v>
      </c>
      <c r="B48" t="s">
        <v>834</v>
      </c>
      <c r="C48" t="s">
        <v>30</v>
      </c>
      <c r="E48" t="s">
        <v>198</v>
      </c>
      <c r="F48" t="s">
        <v>827</v>
      </c>
      <c r="G48" t="s">
        <v>20</v>
      </c>
      <c r="H48" t="s">
        <v>784</v>
      </c>
      <c r="I48" t="s">
        <v>200</v>
      </c>
    </row>
    <row r="49" spans="1:9">
      <c r="A49" t="s">
        <v>808</v>
      </c>
      <c r="B49" t="s">
        <v>834</v>
      </c>
      <c r="C49" t="s">
        <v>32</v>
      </c>
      <c r="D49">
        <v>40</v>
      </c>
      <c r="E49" t="s">
        <v>198</v>
      </c>
      <c r="F49" t="s">
        <v>827</v>
      </c>
      <c r="G49" t="s">
        <v>20</v>
      </c>
      <c r="H49" t="s">
        <v>784</v>
      </c>
      <c r="I49" t="s">
        <v>200</v>
      </c>
    </row>
    <row r="50" spans="1:9">
      <c r="A50" t="s">
        <v>808</v>
      </c>
      <c r="B50" t="s">
        <v>835</v>
      </c>
      <c r="C50" t="s">
        <v>25</v>
      </c>
      <c r="D50">
        <v>22</v>
      </c>
      <c r="E50" t="s">
        <v>264</v>
      </c>
      <c r="F50" t="s">
        <v>827</v>
      </c>
      <c r="G50" t="s">
        <v>20</v>
      </c>
      <c r="H50" t="s">
        <v>784</v>
      </c>
      <c r="I50" t="s">
        <v>266</v>
      </c>
    </row>
    <row r="51" spans="1:9">
      <c r="A51" t="s">
        <v>808</v>
      </c>
      <c r="B51" t="s">
        <v>835</v>
      </c>
      <c r="C51" t="s">
        <v>26</v>
      </c>
      <c r="E51" t="s">
        <v>264</v>
      </c>
      <c r="F51" t="s">
        <v>827</v>
      </c>
      <c r="G51" t="s">
        <v>20</v>
      </c>
      <c r="H51" t="s">
        <v>784</v>
      </c>
      <c r="I51" t="s">
        <v>266</v>
      </c>
    </row>
    <row r="52" spans="1:9">
      <c r="A52" t="s">
        <v>808</v>
      </c>
      <c r="B52" t="s">
        <v>835</v>
      </c>
      <c r="C52" t="s">
        <v>27</v>
      </c>
      <c r="D52">
        <v>8</v>
      </c>
      <c r="E52" t="s">
        <v>264</v>
      </c>
      <c r="F52" t="s">
        <v>827</v>
      </c>
      <c r="G52" t="s">
        <v>20</v>
      </c>
      <c r="H52" t="s">
        <v>784</v>
      </c>
      <c r="I52" t="s">
        <v>266</v>
      </c>
    </row>
    <row r="53" spans="1:9">
      <c r="A53" t="s">
        <v>808</v>
      </c>
      <c r="B53" t="s">
        <v>835</v>
      </c>
      <c r="C53" t="s">
        <v>28</v>
      </c>
      <c r="D53">
        <v>14</v>
      </c>
      <c r="E53" t="s">
        <v>264</v>
      </c>
      <c r="F53" t="s">
        <v>827</v>
      </c>
      <c r="G53" t="s">
        <v>20</v>
      </c>
      <c r="H53" t="s">
        <v>784</v>
      </c>
      <c r="I53" t="s">
        <v>266</v>
      </c>
    </row>
    <row r="54" spans="1:9">
      <c r="A54" t="s">
        <v>808</v>
      </c>
      <c r="B54" t="s">
        <v>835</v>
      </c>
      <c r="C54" t="s">
        <v>30</v>
      </c>
      <c r="E54" t="s">
        <v>264</v>
      </c>
      <c r="F54" t="s">
        <v>827</v>
      </c>
      <c r="G54" t="s">
        <v>20</v>
      </c>
      <c r="H54" t="s">
        <v>784</v>
      </c>
      <c r="I54" t="s">
        <v>266</v>
      </c>
    </row>
    <row r="55" spans="1:9">
      <c r="A55" t="s">
        <v>808</v>
      </c>
      <c r="B55" t="s">
        <v>835</v>
      </c>
      <c r="C55" t="s">
        <v>32</v>
      </c>
      <c r="D55">
        <v>44</v>
      </c>
      <c r="E55" t="s">
        <v>264</v>
      </c>
      <c r="F55" t="s">
        <v>827</v>
      </c>
      <c r="G55" t="s">
        <v>20</v>
      </c>
      <c r="H55" t="s">
        <v>784</v>
      </c>
      <c r="I55" t="s">
        <v>266</v>
      </c>
    </row>
    <row r="56" spans="1:9">
      <c r="A56" t="s">
        <v>808</v>
      </c>
      <c r="B56" t="s">
        <v>836</v>
      </c>
      <c r="C56" t="s">
        <v>25</v>
      </c>
      <c r="D56">
        <v>8</v>
      </c>
      <c r="E56" t="s">
        <v>317</v>
      </c>
      <c r="F56" t="s">
        <v>827</v>
      </c>
      <c r="G56" t="s">
        <v>20</v>
      </c>
      <c r="H56" t="s">
        <v>784</v>
      </c>
      <c r="I56" t="s">
        <v>319</v>
      </c>
    </row>
    <row r="57" spans="1:9">
      <c r="A57" t="s">
        <v>808</v>
      </c>
      <c r="B57" t="s">
        <v>836</v>
      </c>
      <c r="C57" t="s">
        <v>26</v>
      </c>
      <c r="D57">
        <v>10</v>
      </c>
      <c r="E57" t="s">
        <v>317</v>
      </c>
      <c r="F57" t="s">
        <v>827</v>
      </c>
      <c r="G57" t="s">
        <v>20</v>
      </c>
      <c r="H57" t="s">
        <v>784</v>
      </c>
      <c r="I57" t="s">
        <v>319</v>
      </c>
    </row>
    <row r="58" spans="1:9">
      <c r="A58" t="s">
        <v>808</v>
      </c>
      <c r="B58" t="s">
        <v>836</v>
      </c>
      <c r="C58" t="s">
        <v>27</v>
      </c>
      <c r="E58" t="s">
        <v>317</v>
      </c>
      <c r="F58" t="s">
        <v>827</v>
      </c>
      <c r="G58" t="s">
        <v>20</v>
      </c>
      <c r="H58" t="s">
        <v>784</v>
      </c>
      <c r="I58" t="s">
        <v>319</v>
      </c>
    </row>
    <row r="59" spans="1:9">
      <c r="A59" t="s">
        <v>808</v>
      </c>
      <c r="B59" t="s">
        <v>836</v>
      </c>
      <c r="C59" t="s">
        <v>28</v>
      </c>
      <c r="D59">
        <v>32</v>
      </c>
      <c r="E59" t="s">
        <v>317</v>
      </c>
      <c r="F59" t="s">
        <v>827</v>
      </c>
      <c r="G59" t="s">
        <v>20</v>
      </c>
      <c r="H59" t="s">
        <v>784</v>
      </c>
      <c r="I59" t="s">
        <v>319</v>
      </c>
    </row>
    <row r="60" spans="1:9">
      <c r="A60" t="s">
        <v>808</v>
      </c>
      <c r="B60" t="s">
        <v>836</v>
      </c>
      <c r="C60" t="s">
        <v>30</v>
      </c>
      <c r="E60" t="s">
        <v>317</v>
      </c>
      <c r="F60" t="s">
        <v>827</v>
      </c>
      <c r="G60" t="s">
        <v>20</v>
      </c>
      <c r="H60" t="s">
        <v>784</v>
      </c>
      <c r="I60" t="s">
        <v>319</v>
      </c>
    </row>
    <row r="61" spans="1:9">
      <c r="A61" t="s">
        <v>808</v>
      </c>
      <c r="B61" t="s">
        <v>836</v>
      </c>
      <c r="C61" t="s">
        <v>32</v>
      </c>
      <c r="D61">
        <v>50</v>
      </c>
      <c r="E61" t="s">
        <v>317</v>
      </c>
      <c r="F61" t="s">
        <v>827</v>
      </c>
      <c r="G61" t="s">
        <v>20</v>
      </c>
      <c r="H61" t="s">
        <v>784</v>
      </c>
      <c r="I61" t="s">
        <v>319</v>
      </c>
    </row>
    <row r="62" spans="1:9">
      <c r="A62" t="s">
        <v>808</v>
      </c>
      <c r="B62" t="s">
        <v>838</v>
      </c>
      <c r="C62" t="s">
        <v>25</v>
      </c>
      <c r="D62">
        <v>14</v>
      </c>
      <c r="E62" t="s">
        <v>377</v>
      </c>
      <c r="F62" t="s">
        <v>827</v>
      </c>
      <c r="G62" t="s">
        <v>20</v>
      </c>
      <c r="H62" t="s">
        <v>784</v>
      </c>
      <c r="I62" t="s">
        <v>379</v>
      </c>
    </row>
    <row r="63" spans="1:9">
      <c r="A63" t="s">
        <v>808</v>
      </c>
      <c r="B63" t="s">
        <v>838</v>
      </c>
      <c r="C63" t="s">
        <v>26</v>
      </c>
      <c r="D63">
        <v>14</v>
      </c>
      <c r="E63" t="s">
        <v>377</v>
      </c>
      <c r="F63" t="s">
        <v>827</v>
      </c>
      <c r="G63" t="s">
        <v>20</v>
      </c>
      <c r="H63" t="s">
        <v>784</v>
      </c>
      <c r="I63" t="s">
        <v>379</v>
      </c>
    </row>
    <row r="64" spans="1:9">
      <c r="A64" t="s">
        <v>808</v>
      </c>
      <c r="B64" t="s">
        <v>838</v>
      </c>
      <c r="C64" t="s">
        <v>27</v>
      </c>
      <c r="D64">
        <v>3</v>
      </c>
      <c r="E64" t="s">
        <v>377</v>
      </c>
      <c r="F64" t="s">
        <v>827</v>
      </c>
      <c r="G64" t="s">
        <v>20</v>
      </c>
      <c r="H64" t="s">
        <v>784</v>
      </c>
      <c r="I64" t="s">
        <v>379</v>
      </c>
    </row>
    <row r="65" spans="1:9">
      <c r="A65" t="s">
        <v>808</v>
      </c>
      <c r="B65" t="s">
        <v>838</v>
      </c>
      <c r="C65" t="s">
        <v>28</v>
      </c>
      <c r="D65">
        <v>9</v>
      </c>
      <c r="E65" t="s">
        <v>377</v>
      </c>
      <c r="F65" t="s">
        <v>827</v>
      </c>
      <c r="G65" t="s">
        <v>20</v>
      </c>
      <c r="H65" t="s">
        <v>784</v>
      </c>
      <c r="I65" t="s">
        <v>379</v>
      </c>
    </row>
    <row r="66" spans="1:9">
      <c r="A66" t="s">
        <v>808</v>
      </c>
      <c r="B66" t="s">
        <v>838</v>
      </c>
      <c r="C66" t="s">
        <v>30</v>
      </c>
      <c r="D66">
        <v>0</v>
      </c>
      <c r="E66" t="s">
        <v>377</v>
      </c>
      <c r="F66" t="s">
        <v>827</v>
      </c>
      <c r="G66" t="s">
        <v>20</v>
      </c>
      <c r="H66" t="s">
        <v>784</v>
      </c>
      <c r="I66" t="s">
        <v>379</v>
      </c>
    </row>
    <row r="67" spans="1:9">
      <c r="A67" t="s">
        <v>808</v>
      </c>
      <c r="B67" t="s">
        <v>838</v>
      </c>
      <c r="C67" t="s">
        <v>32</v>
      </c>
      <c r="D67">
        <v>40</v>
      </c>
      <c r="E67" t="s">
        <v>377</v>
      </c>
      <c r="F67" t="s">
        <v>827</v>
      </c>
      <c r="G67" t="s">
        <v>20</v>
      </c>
      <c r="H67" t="s">
        <v>784</v>
      </c>
      <c r="I67" t="s">
        <v>379</v>
      </c>
    </row>
    <row r="68" spans="1:9">
      <c r="A68" t="s">
        <v>808</v>
      </c>
      <c r="B68" t="s">
        <v>839</v>
      </c>
      <c r="C68" t="s">
        <v>25</v>
      </c>
      <c r="D68">
        <v>26</v>
      </c>
      <c r="E68" t="s">
        <v>438</v>
      </c>
      <c r="F68" t="s">
        <v>827</v>
      </c>
      <c r="G68" t="s">
        <v>20</v>
      </c>
      <c r="H68" t="s">
        <v>784</v>
      </c>
      <c r="I68" t="s">
        <v>817</v>
      </c>
    </row>
    <row r="69" spans="1:9">
      <c r="A69" t="s">
        <v>808</v>
      </c>
      <c r="B69" t="s">
        <v>839</v>
      </c>
      <c r="C69" t="s">
        <v>26</v>
      </c>
      <c r="D69">
        <v>5</v>
      </c>
      <c r="E69" t="s">
        <v>438</v>
      </c>
      <c r="F69" t="s">
        <v>827</v>
      </c>
      <c r="G69" t="s">
        <v>20</v>
      </c>
      <c r="H69" t="s">
        <v>784</v>
      </c>
      <c r="I69" t="s">
        <v>817</v>
      </c>
    </row>
    <row r="70" spans="1:9">
      <c r="A70" t="s">
        <v>808</v>
      </c>
      <c r="B70" t="s">
        <v>839</v>
      </c>
      <c r="C70" t="s">
        <v>27</v>
      </c>
      <c r="D70">
        <v>9</v>
      </c>
      <c r="E70" t="s">
        <v>438</v>
      </c>
      <c r="F70" t="s">
        <v>827</v>
      </c>
      <c r="G70" t="s">
        <v>20</v>
      </c>
      <c r="H70" t="s">
        <v>784</v>
      </c>
      <c r="I70" t="s">
        <v>817</v>
      </c>
    </row>
    <row r="71" spans="1:9">
      <c r="A71" t="s">
        <v>808</v>
      </c>
      <c r="B71" t="s">
        <v>839</v>
      </c>
      <c r="C71" t="s">
        <v>28</v>
      </c>
      <c r="E71" t="s">
        <v>438</v>
      </c>
      <c r="F71" t="s">
        <v>827</v>
      </c>
      <c r="G71" t="s">
        <v>20</v>
      </c>
      <c r="H71" t="s">
        <v>784</v>
      </c>
      <c r="I71" t="s">
        <v>817</v>
      </c>
    </row>
    <row r="72" spans="1:9">
      <c r="A72" t="s">
        <v>808</v>
      </c>
      <c r="B72" t="s">
        <v>839</v>
      </c>
      <c r="C72" t="s">
        <v>30</v>
      </c>
      <c r="E72" t="s">
        <v>438</v>
      </c>
      <c r="F72" t="s">
        <v>827</v>
      </c>
      <c r="G72" t="s">
        <v>20</v>
      </c>
      <c r="H72" t="s">
        <v>784</v>
      </c>
      <c r="I72" t="s">
        <v>817</v>
      </c>
    </row>
    <row r="73" spans="1:9">
      <c r="A73" t="s">
        <v>808</v>
      </c>
      <c r="B73" t="s">
        <v>839</v>
      </c>
      <c r="C73" t="s">
        <v>32</v>
      </c>
      <c r="D73">
        <v>40</v>
      </c>
      <c r="E73" t="s">
        <v>438</v>
      </c>
      <c r="F73" t="s">
        <v>827</v>
      </c>
      <c r="G73" t="s">
        <v>20</v>
      </c>
      <c r="H73" t="s">
        <v>784</v>
      </c>
      <c r="I73" t="s">
        <v>817</v>
      </c>
    </row>
    <row r="74" spans="1:9">
      <c r="A74" t="s">
        <v>808</v>
      </c>
      <c r="B74" t="s">
        <v>837</v>
      </c>
      <c r="C74" t="s">
        <v>25</v>
      </c>
      <c r="D74">
        <v>20</v>
      </c>
      <c r="E74" t="s">
        <v>492</v>
      </c>
      <c r="F74" t="s">
        <v>827</v>
      </c>
      <c r="G74" t="s">
        <v>20</v>
      </c>
      <c r="H74" t="s">
        <v>784</v>
      </c>
      <c r="I74" t="s">
        <v>494</v>
      </c>
    </row>
    <row r="75" spans="1:9">
      <c r="A75" t="s">
        <v>808</v>
      </c>
      <c r="B75" t="s">
        <v>837</v>
      </c>
      <c r="C75" t="s">
        <v>26</v>
      </c>
      <c r="E75" t="s">
        <v>492</v>
      </c>
      <c r="F75" t="s">
        <v>827</v>
      </c>
      <c r="G75" t="s">
        <v>20</v>
      </c>
      <c r="H75" t="s">
        <v>784</v>
      </c>
      <c r="I75" t="s">
        <v>494</v>
      </c>
    </row>
    <row r="76" spans="1:9">
      <c r="A76" t="s">
        <v>808</v>
      </c>
      <c r="B76" t="s">
        <v>837</v>
      </c>
      <c r="C76" t="s">
        <v>27</v>
      </c>
      <c r="E76" t="s">
        <v>492</v>
      </c>
      <c r="F76" t="s">
        <v>827</v>
      </c>
      <c r="G76" t="s">
        <v>20</v>
      </c>
      <c r="H76" t="s">
        <v>784</v>
      </c>
      <c r="I76" t="s">
        <v>494</v>
      </c>
    </row>
    <row r="77" spans="1:9">
      <c r="A77" t="s">
        <v>808</v>
      </c>
      <c r="B77" t="s">
        <v>837</v>
      </c>
      <c r="C77" t="s">
        <v>28</v>
      </c>
      <c r="D77">
        <v>20</v>
      </c>
      <c r="E77" t="s">
        <v>492</v>
      </c>
      <c r="F77" t="s">
        <v>827</v>
      </c>
      <c r="G77" t="s">
        <v>20</v>
      </c>
      <c r="H77" t="s">
        <v>784</v>
      </c>
      <c r="I77" t="s">
        <v>494</v>
      </c>
    </row>
    <row r="78" spans="1:9">
      <c r="A78" t="s">
        <v>808</v>
      </c>
      <c r="B78" t="s">
        <v>837</v>
      </c>
      <c r="C78" t="s">
        <v>30</v>
      </c>
      <c r="E78" t="s">
        <v>492</v>
      </c>
      <c r="F78" t="s">
        <v>827</v>
      </c>
      <c r="G78" t="s">
        <v>20</v>
      </c>
      <c r="H78" t="s">
        <v>784</v>
      </c>
      <c r="I78" t="s">
        <v>494</v>
      </c>
    </row>
    <row r="79" spans="1:9">
      <c r="A79" t="s">
        <v>808</v>
      </c>
      <c r="B79" t="s">
        <v>837</v>
      </c>
      <c r="C79" t="s">
        <v>32</v>
      </c>
      <c r="D79">
        <v>40</v>
      </c>
      <c r="E79" t="s">
        <v>492</v>
      </c>
      <c r="F79" t="s">
        <v>827</v>
      </c>
      <c r="G79" t="s">
        <v>20</v>
      </c>
      <c r="H79" t="s">
        <v>784</v>
      </c>
      <c r="I79" t="s">
        <v>494</v>
      </c>
    </row>
    <row r="80" spans="1:9">
      <c r="A80" t="s">
        <v>808</v>
      </c>
      <c r="B80" t="s">
        <v>840</v>
      </c>
      <c r="C80" t="s">
        <v>25</v>
      </c>
      <c r="D80">
        <v>18</v>
      </c>
      <c r="E80" t="s">
        <v>545</v>
      </c>
      <c r="F80" t="s">
        <v>827</v>
      </c>
      <c r="G80" t="s">
        <v>20</v>
      </c>
      <c r="H80" t="s">
        <v>784</v>
      </c>
      <c r="I80" t="s">
        <v>547</v>
      </c>
    </row>
    <row r="81" spans="1:9">
      <c r="A81" t="s">
        <v>808</v>
      </c>
      <c r="B81" t="s">
        <v>840</v>
      </c>
      <c r="C81" t="s">
        <v>26</v>
      </c>
      <c r="D81">
        <v>11</v>
      </c>
      <c r="E81" t="s">
        <v>545</v>
      </c>
      <c r="F81" t="s">
        <v>827</v>
      </c>
      <c r="G81" t="s">
        <v>20</v>
      </c>
      <c r="H81" t="s">
        <v>784</v>
      </c>
      <c r="I81" t="s">
        <v>547</v>
      </c>
    </row>
    <row r="82" spans="1:9">
      <c r="A82" t="s">
        <v>808</v>
      </c>
      <c r="B82" t="s">
        <v>840</v>
      </c>
      <c r="C82" t="s">
        <v>27</v>
      </c>
      <c r="D82">
        <v>9</v>
      </c>
      <c r="E82" t="s">
        <v>545</v>
      </c>
      <c r="F82" t="s">
        <v>827</v>
      </c>
      <c r="G82" t="s">
        <v>20</v>
      </c>
      <c r="H82" t="s">
        <v>784</v>
      </c>
      <c r="I82" t="s">
        <v>547</v>
      </c>
    </row>
    <row r="83" spans="1:9">
      <c r="A83" t="s">
        <v>808</v>
      </c>
      <c r="B83" t="s">
        <v>840</v>
      </c>
      <c r="C83" t="s">
        <v>28</v>
      </c>
      <c r="D83">
        <v>7</v>
      </c>
      <c r="E83" t="s">
        <v>545</v>
      </c>
      <c r="F83" t="s">
        <v>827</v>
      </c>
      <c r="G83" t="s">
        <v>20</v>
      </c>
      <c r="H83" t="s">
        <v>784</v>
      </c>
      <c r="I83" t="s">
        <v>547</v>
      </c>
    </row>
    <row r="84" spans="1:9">
      <c r="A84" t="s">
        <v>808</v>
      </c>
      <c r="B84" t="s">
        <v>840</v>
      </c>
      <c r="C84" t="s">
        <v>30</v>
      </c>
      <c r="D84">
        <v>0</v>
      </c>
      <c r="E84" t="s">
        <v>545</v>
      </c>
      <c r="F84" t="s">
        <v>827</v>
      </c>
      <c r="G84" t="s">
        <v>20</v>
      </c>
      <c r="H84" t="s">
        <v>784</v>
      </c>
      <c r="I84" t="s">
        <v>547</v>
      </c>
    </row>
    <row r="85" spans="1:9">
      <c r="A85" t="s">
        <v>808</v>
      </c>
      <c r="B85" t="s">
        <v>840</v>
      </c>
      <c r="C85" t="s">
        <v>32</v>
      </c>
      <c r="D85">
        <v>45</v>
      </c>
      <c r="E85" t="s">
        <v>545</v>
      </c>
      <c r="F85" t="s">
        <v>827</v>
      </c>
      <c r="G85" t="s">
        <v>20</v>
      </c>
      <c r="H85" t="s">
        <v>784</v>
      </c>
      <c r="I85" t="s">
        <v>547</v>
      </c>
    </row>
    <row r="86" spans="1:9">
      <c r="A86" t="s">
        <v>808</v>
      </c>
      <c r="B86" t="s">
        <v>841</v>
      </c>
      <c r="C86" t="s">
        <v>25</v>
      </c>
      <c r="D86">
        <v>22</v>
      </c>
      <c r="E86" t="s">
        <v>596</v>
      </c>
      <c r="F86" t="s">
        <v>827</v>
      </c>
      <c r="G86" t="s">
        <v>20</v>
      </c>
      <c r="H86" t="s">
        <v>784</v>
      </c>
      <c r="I86" t="s">
        <v>598</v>
      </c>
    </row>
    <row r="87" spans="1:9">
      <c r="A87" t="s">
        <v>808</v>
      </c>
      <c r="B87" t="s">
        <v>841</v>
      </c>
      <c r="C87" t="s">
        <v>26</v>
      </c>
      <c r="E87" t="s">
        <v>596</v>
      </c>
      <c r="F87" t="s">
        <v>827</v>
      </c>
      <c r="G87" t="s">
        <v>20</v>
      </c>
      <c r="H87" t="s">
        <v>784</v>
      </c>
      <c r="I87" t="s">
        <v>598</v>
      </c>
    </row>
    <row r="88" spans="1:9">
      <c r="A88" t="s">
        <v>808</v>
      </c>
      <c r="B88" t="s">
        <v>841</v>
      </c>
      <c r="C88" t="s">
        <v>27</v>
      </c>
      <c r="D88">
        <v>7</v>
      </c>
      <c r="E88" t="s">
        <v>596</v>
      </c>
      <c r="F88" t="s">
        <v>827</v>
      </c>
      <c r="G88" t="s">
        <v>20</v>
      </c>
      <c r="H88" t="s">
        <v>784</v>
      </c>
      <c r="I88" t="s">
        <v>598</v>
      </c>
    </row>
    <row r="89" spans="1:9">
      <c r="A89" t="s">
        <v>808</v>
      </c>
      <c r="B89" t="s">
        <v>841</v>
      </c>
      <c r="C89" t="s">
        <v>28</v>
      </c>
      <c r="D89">
        <v>11</v>
      </c>
      <c r="E89" t="s">
        <v>596</v>
      </c>
      <c r="F89" t="s">
        <v>827</v>
      </c>
      <c r="G89" t="s">
        <v>20</v>
      </c>
      <c r="H89" t="s">
        <v>784</v>
      </c>
      <c r="I89" t="s">
        <v>598</v>
      </c>
    </row>
    <row r="90" spans="1:9">
      <c r="A90" t="s">
        <v>808</v>
      </c>
      <c r="B90" t="s">
        <v>841</v>
      </c>
      <c r="C90" t="s">
        <v>30</v>
      </c>
      <c r="E90" t="s">
        <v>596</v>
      </c>
      <c r="F90" t="s">
        <v>827</v>
      </c>
      <c r="G90" t="s">
        <v>20</v>
      </c>
      <c r="H90" t="s">
        <v>784</v>
      </c>
      <c r="I90" t="s">
        <v>598</v>
      </c>
    </row>
    <row r="91" spans="1:9">
      <c r="A91" t="s">
        <v>808</v>
      </c>
      <c r="B91" t="s">
        <v>841</v>
      </c>
      <c r="C91" t="s">
        <v>32</v>
      </c>
      <c r="D91">
        <v>40</v>
      </c>
      <c r="E91" t="s">
        <v>596</v>
      </c>
      <c r="F91" t="s">
        <v>827</v>
      </c>
      <c r="G91" t="s">
        <v>20</v>
      </c>
      <c r="H91" t="s">
        <v>784</v>
      </c>
      <c r="I91" t="s">
        <v>598</v>
      </c>
    </row>
    <row r="92" spans="1:9">
      <c r="A92" t="s">
        <v>808</v>
      </c>
      <c r="B92" t="s">
        <v>842</v>
      </c>
      <c r="C92" t="s">
        <v>25</v>
      </c>
      <c r="D92">
        <v>22</v>
      </c>
      <c r="E92" t="s">
        <v>650</v>
      </c>
      <c r="F92" t="s">
        <v>827</v>
      </c>
      <c r="G92" t="s">
        <v>20</v>
      </c>
      <c r="H92" t="s">
        <v>784</v>
      </c>
      <c r="I92" t="s">
        <v>652</v>
      </c>
    </row>
    <row r="93" spans="1:9">
      <c r="A93" t="s">
        <v>808</v>
      </c>
      <c r="B93" t="s">
        <v>842</v>
      </c>
      <c r="C93" t="s">
        <v>26</v>
      </c>
      <c r="D93">
        <v>5</v>
      </c>
      <c r="E93" t="s">
        <v>650</v>
      </c>
      <c r="F93" t="s">
        <v>827</v>
      </c>
      <c r="G93" t="s">
        <v>20</v>
      </c>
      <c r="H93" t="s">
        <v>784</v>
      </c>
      <c r="I93" t="s">
        <v>652</v>
      </c>
    </row>
    <row r="94" spans="1:9">
      <c r="A94" t="s">
        <v>808</v>
      </c>
      <c r="B94" t="s">
        <v>842</v>
      </c>
      <c r="C94" t="s">
        <v>27</v>
      </c>
      <c r="E94" t="s">
        <v>650</v>
      </c>
      <c r="F94" t="s">
        <v>827</v>
      </c>
      <c r="G94" t="s">
        <v>20</v>
      </c>
      <c r="H94" t="s">
        <v>784</v>
      </c>
      <c r="I94" t="s">
        <v>652</v>
      </c>
    </row>
    <row r="95" spans="1:9">
      <c r="A95" t="s">
        <v>808</v>
      </c>
      <c r="B95" t="s">
        <v>842</v>
      </c>
      <c r="C95" t="s">
        <v>28</v>
      </c>
      <c r="D95">
        <v>22</v>
      </c>
      <c r="E95" t="s">
        <v>650</v>
      </c>
      <c r="F95" t="s">
        <v>827</v>
      </c>
      <c r="G95" t="s">
        <v>20</v>
      </c>
      <c r="H95" t="s">
        <v>784</v>
      </c>
      <c r="I95" t="s">
        <v>652</v>
      </c>
    </row>
    <row r="96" spans="1:9">
      <c r="A96" t="s">
        <v>808</v>
      </c>
      <c r="B96" t="s">
        <v>842</v>
      </c>
      <c r="C96" t="s">
        <v>30</v>
      </c>
      <c r="E96" t="s">
        <v>650</v>
      </c>
      <c r="F96" t="s">
        <v>827</v>
      </c>
      <c r="G96" t="s">
        <v>20</v>
      </c>
      <c r="H96" t="s">
        <v>784</v>
      </c>
      <c r="I96" t="s">
        <v>652</v>
      </c>
    </row>
    <row r="97" spans="1:9">
      <c r="A97" t="s">
        <v>808</v>
      </c>
      <c r="B97" t="s">
        <v>842</v>
      </c>
      <c r="C97" t="s">
        <v>32</v>
      </c>
      <c r="D97">
        <v>49</v>
      </c>
      <c r="E97" t="s">
        <v>650</v>
      </c>
      <c r="F97" t="s">
        <v>827</v>
      </c>
      <c r="G97" t="s">
        <v>20</v>
      </c>
      <c r="H97" t="s">
        <v>784</v>
      </c>
      <c r="I97" t="s">
        <v>652</v>
      </c>
    </row>
    <row r="98" spans="1:9">
      <c r="A98" t="s">
        <v>808</v>
      </c>
      <c r="B98" t="s">
        <v>843</v>
      </c>
      <c r="C98" t="s">
        <v>25</v>
      </c>
      <c r="D98">
        <v>30</v>
      </c>
      <c r="E98" t="s">
        <v>710</v>
      </c>
      <c r="F98" t="s">
        <v>827</v>
      </c>
      <c r="G98" t="s">
        <v>20</v>
      </c>
      <c r="H98" t="s">
        <v>784</v>
      </c>
      <c r="I98" t="s">
        <v>822</v>
      </c>
    </row>
    <row r="99" spans="1:9">
      <c r="A99" t="s">
        <v>808</v>
      </c>
      <c r="B99" t="s">
        <v>843</v>
      </c>
      <c r="C99" t="s">
        <v>26</v>
      </c>
      <c r="E99" t="s">
        <v>710</v>
      </c>
      <c r="F99" t="s">
        <v>827</v>
      </c>
      <c r="G99" t="s">
        <v>20</v>
      </c>
      <c r="H99" t="s">
        <v>784</v>
      </c>
      <c r="I99" t="s">
        <v>822</v>
      </c>
    </row>
    <row r="100" spans="1:9">
      <c r="A100" t="s">
        <v>808</v>
      </c>
      <c r="B100" t="s">
        <v>843</v>
      </c>
      <c r="C100" t="s">
        <v>27</v>
      </c>
      <c r="E100" t="s">
        <v>710</v>
      </c>
      <c r="F100" t="s">
        <v>827</v>
      </c>
      <c r="G100" t="s">
        <v>20</v>
      </c>
      <c r="H100" t="s">
        <v>784</v>
      </c>
      <c r="I100" t="s">
        <v>822</v>
      </c>
    </row>
    <row r="101" spans="1:9">
      <c r="A101" t="s">
        <v>808</v>
      </c>
      <c r="B101" t="s">
        <v>843</v>
      </c>
      <c r="C101" t="s">
        <v>28</v>
      </c>
      <c r="D101">
        <v>30</v>
      </c>
      <c r="E101" t="s">
        <v>710</v>
      </c>
      <c r="F101" t="s">
        <v>827</v>
      </c>
      <c r="G101" t="s">
        <v>20</v>
      </c>
      <c r="H101" t="s">
        <v>784</v>
      </c>
      <c r="I101" t="s">
        <v>822</v>
      </c>
    </row>
    <row r="102" spans="1:9">
      <c r="A102" t="s">
        <v>808</v>
      </c>
      <c r="B102" t="s">
        <v>843</v>
      </c>
      <c r="C102" t="s">
        <v>30</v>
      </c>
      <c r="E102" t="s">
        <v>710</v>
      </c>
      <c r="F102" t="s">
        <v>827</v>
      </c>
      <c r="G102" t="s">
        <v>20</v>
      </c>
      <c r="H102" t="s">
        <v>784</v>
      </c>
      <c r="I102" t="s">
        <v>822</v>
      </c>
    </row>
    <row r="103" spans="1:9">
      <c r="A103" t="s">
        <v>808</v>
      </c>
      <c r="B103" t="s">
        <v>843</v>
      </c>
      <c r="C103" t="s">
        <v>32</v>
      </c>
      <c r="D103">
        <v>60</v>
      </c>
      <c r="E103" t="s">
        <v>710</v>
      </c>
      <c r="F103" t="s">
        <v>827</v>
      </c>
      <c r="G103" t="s">
        <v>20</v>
      </c>
      <c r="H103" t="s">
        <v>784</v>
      </c>
      <c r="I103" t="s">
        <v>822</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4A33E-86D7-4F71-800E-6E527B16FF32}">
  <sheetPr codeName="Sheet21"/>
  <dimension ref="A1:I137"/>
  <sheetViews>
    <sheetView topLeftCell="A109" workbookViewId="0">
      <selection activeCell="K34" sqref="K34"/>
    </sheetView>
  </sheetViews>
  <sheetFormatPr defaultRowHeight="15"/>
  <cols>
    <col min="1" max="1" width="48.140625" bestFit="1" customWidth="1"/>
    <col min="2" max="2" width="15" bestFit="1" customWidth="1"/>
    <col min="3" max="3" width="14.5703125" bestFit="1" customWidth="1"/>
    <col min="4" max="4" width="66.42578125" bestFit="1" customWidth="1"/>
    <col min="5" max="5" width="14.7109375" bestFit="1" customWidth="1"/>
    <col min="6" max="6" width="12.5703125" bestFit="1" customWidth="1"/>
    <col min="7" max="7" width="13.85546875" bestFit="1" customWidth="1"/>
    <col min="8" max="8" width="12.140625" bestFit="1" customWidth="1"/>
    <col min="9" max="9" width="45.85546875" bestFit="1" customWidth="1"/>
  </cols>
  <sheetData>
    <row r="1" spans="1:9">
      <c r="A1" t="s">
        <v>773</v>
      </c>
      <c r="B1" t="s">
        <v>774</v>
      </c>
      <c r="C1" t="s">
        <v>1</v>
      </c>
      <c r="D1" t="s">
        <v>2</v>
      </c>
      <c r="E1" t="s">
        <v>775</v>
      </c>
      <c r="F1" t="s">
        <v>776</v>
      </c>
      <c r="G1" t="s">
        <v>777</v>
      </c>
      <c r="H1" t="s">
        <v>778</v>
      </c>
      <c r="I1" t="s">
        <v>779</v>
      </c>
    </row>
    <row r="2" spans="1:9">
      <c r="A2" t="s">
        <v>780</v>
      </c>
      <c r="B2" t="s">
        <v>781</v>
      </c>
      <c r="C2" t="s">
        <v>4</v>
      </c>
      <c r="D2" t="s">
        <v>782</v>
      </c>
      <c r="E2" t="s">
        <v>782</v>
      </c>
      <c r="F2" t="s">
        <v>783</v>
      </c>
      <c r="G2" t="s">
        <v>20</v>
      </c>
      <c r="H2" t="s">
        <v>784</v>
      </c>
      <c r="I2" t="s">
        <v>785</v>
      </c>
    </row>
    <row r="3" spans="1:9">
      <c r="A3" t="s">
        <v>780</v>
      </c>
      <c r="B3" t="s">
        <v>781</v>
      </c>
      <c r="C3" t="s">
        <v>7</v>
      </c>
      <c r="D3" t="s">
        <v>785</v>
      </c>
      <c r="E3" t="s">
        <v>782</v>
      </c>
      <c r="F3" t="s">
        <v>783</v>
      </c>
      <c r="G3" t="s">
        <v>20</v>
      </c>
      <c r="H3" t="s">
        <v>784</v>
      </c>
      <c r="I3" t="s">
        <v>785</v>
      </c>
    </row>
    <row r="4" spans="1:9">
      <c r="A4" t="s">
        <v>780</v>
      </c>
      <c r="B4" t="s">
        <v>781</v>
      </c>
      <c r="C4" t="s">
        <v>9</v>
      </c>
      <c r="D4">
        <v>20</v>
      </c>
      <c r="E4" t="s">
        <v>782</v>
      </c>
      <c r="F4" t="s">
        <v>783</v>
      </c>
      <c r="G4" t="s">
        <v>20</v>
      </c>
      <c r="H4" t="s">
        <v>784</v>
      </c>
      <c r="I4" t="s">
        <v>785</v>
      </c>
    </row>
    <row r="5" spans="1:9">
      <c r="A5" t="s">
        <v>780</v>
      </c>
      <c r="B5" t="s">
        <v>781</v>
      </c>
      <c r="C5" t="s">
        <v>10</v>
      </c>
      <c r="D5">
        <v>2</v>
      </c>
      <c r="E5" t="s">
        <v>782</v>
      </c>
      <c r="F5" t="s">
        <v>783</v>
      </c>
      <c r="G5" t="s">
        <v>20</v>
      </c>
      <c r="H5" t="s">
        <v>784</v>
      </c>
      <c r="I5" t="s">
        <v>785</v>
      </c>
    </row>
    <row r="6" spans="1:9">
      <c r="A6" t="s">
        <v>780</v>
      </c>
      <c r="B6" t="s">
        <v>781</v>
      </c>
      <c r="C6" t="s">
        <v>13</v>
      </c>
      <c r="D6">
        <v>4</v>
      </c>
      <c r="E6" t="s">
        <v>782</v>
      </c>
      <c r="F6" t="s">
        <v>783</v>
      </c>
      <c r="G6" t="s">
        <v>20</v>
      </c>
      <c r="H6" t="s">
        <v>784</v>
      </c>
      <c r="I6" t="s">
        <v>785</v>
      </c>
    </row>
    <row r="7" spans="1:9">
      <c r="A7" t="s">
        <v>780</v>
      </c>
      <c r="B7" t="s">
        <v>781</v>
      </c>
      <c r="C7" t="s">
        <v>15</v>
      </c>
      <c r="D7" t="s">
        <v>786</v>
      </c>
      <c r="E7" t="s">
        <v>782</v>
      </c>
      <c r="F7" t="s">
        <v>783</v>
      </c>
      <c r="G7" t="s">
        <v>20</v>
      </c>
      <c r="H7" t="s">
        <v>784</v>
      </c>
      <c r="I7" t="s">
        <v>785</v>
      </c>
    </row>
    <row r="8" spans="1:9">
      <c r="A8" t="s">
        <v>780</v>
      </c>
      <c r="B8" t="s">
        <v>781</v>
      </c>
      <c r="C8" t="s">
        <v>17</v>
      </c>
      <c r="D8" t="s">
        <v>787</v>
      </c>
      <c r="E8" t="s">
        <v>782</v>
      </c>
      <c r="F8" t="s">
        <v>783</v>
      </c>
      <c r="G8" t="s">
        <v>20</v>
      </c>
      <c r="H8" t="s">
        <v>784</v>
      </c>
      <c r="I8" t="s">
        <v>785</v>
      </c>
    </row>
    <row r="9" spans="1:9">
      <c r="A9" t="s">
        <v>780</v>
      </c>
      <c r="B9" t="s">
        <v>781</v>
      </c>
      <c r="C9" t="s">
        <v>19</v>
      </c>
      <c r="D9" t="s">
        <v>788</v>
      </c>
      <c r="E9" t="s">
        <v>782</v>
      </c>
      <c r="F9" t="s">
        <v>783</v>
      </c>
      <c r="G9" t="s">
        <v>20</v>
      </c>
      <c r="H9" t="s">
        <v>784</v>
      </c>
      <c r="I9" t="s">
        <v>785</v>
      </c>
    </row>
    <row r="10" spans="1:9">
      <c r="A10" t="s">
        <v>780</v>
      </c>
      <c r="B10" t="s">
        <v>789</v>
      </c>
      <c r="C10" t="s">
        <v>4</v>
      </c>
      <c r="D10" t="s">
        <v>790</v>
      </c>
      <c r="E10" t="s">
        <v>790</v>
      </c>
      <c r="F10" t="s">
        <v>783</v>
      </c>
      <c r="G10" t="s">
        <v>20</v>
      </c>
      <c r="H10" t="s">
        <v>784</v>
      </c>
      <c r="I10" t="s">
        <v>791</v>
      </c>
    </row>
    <row r="11" spans="1:9">
      <c r="A11" t="s">
        <v>780</v>
      </c>
      <c r="B11" t="s">
        <v>789</v>
      </c>
      <c r="C11" t="s">
        <v>7</v>
      </c>
      <c r="D11" t="s">
        <v>792</v>
      </c>
      <c r="E11" t="s">
        <v>790</v>
      </c>
      <c r="F11" t="s">
        <v>783</v>
      </c>
      <c r="G11" t="s">
        <v>20</v>
      </c>
      <c r="H11" t="s">
        <v>784</v>
      </c>
      <c r="I11" t="s">
        <v>791</v>
      </c>
    </row>
    <row r="12" spans="1:9">
      <c r="A12" t="s">
        <v>780</v>
      </c>
      <c r="B12" t="s">
        <v>789</v>
      </c>
      <c r="C12" t="s">
        <v>9</v>
      </c>
      <c r="D12">
        <v>20</v>
      </c>
      <c r="E12" t="s">
        <v>790</v>
      </c>
      <c r="F12" t="s">
        <v>783</v>
      </c>
      <c r="G12" t="s">
        <v>20</v>
      </c>
      <c r="H12" t="s">
        <v>784</v>
      </c>
      <c r="I12" t="s">
        <v>791</v>
      </c>
    </row>
    <row r="13" spans="1:9">
      <c r="A13" t="s">
        <v>780</v>
      </c>
      <c r="B13" t="s">
        <v>789</v>
      </c>
      <c r="C13" t="s">
        <v>10</v>
      </c>
      <c r="D13">
        <v>1</v>
      </c>
      <c r="E13" t="s">
        <v>790</v>
      </c>
      <c r="F13" t="s">
        <v>783</v>
      </c>
      <c r="G13" t="s">
        <v>20</v>
      </c>
      <c r="H13" t="s">
        <v>784</v>
      </c>
      <c r="I13" t="s">
        <v>791</v>
      </c>
    </row>
    <row r="14" spans="1:9">
      <c r="A14" t="s">
        <v>780</v>
      </c>
      <c r="B14" t="s">
        <v>789</v>
      </c>
      <c r="C14" t="s">
        <v>13</v>
      </c>
      <c r="D14">
        <v>4</v>
      </c>
      <c r="E14" t="s">
        <v>790</v>
      </c>
      <c r="F14" t="s">
        <v>783</v>
      </c>
      <c r="G14" t="s">
        <v>20</v>
      </c>
      <c r="H14" t="s">
        <v>784</v>
      </c>
      <c r="I14" t="s">
        <v>791</v>
      </c>
    </row>
    <row r="15" spans="1:9">
      <c r="A15" t="s">
        <v>780</v>
      </c>
      <c r="B15" t="s">
        <v>789</v>
      </c>
      <c r="C15" t="s">
        <v>15</v>
      </c>
      <c r="D15" t="s">
        <v>793</v>
      </c>
      <c r="E15" t="s">
        <v>790</v>
      </c>
      <c r="F15" t="s">
        <v>783</v>
      </c>
      <c r="G15" t="s">
        <v>20</v>
      </c>
      <c r="H15" t="s">
        <v>784</v>
      </c>
      <c r="I15" t="s">
        <v>791</v>
      </c>
    </row>
    <row r="16" spans="1:9">
      <c r="A16" t="s">
        <v>780</v>
      </c>
      <c r="B16" t="s">
        <v>789</v>
      </c>
      <c r="C16" t="s">
        <v>17</v>
      </c>
      <c r="D16" t="s">
        <v>134</v>
      </c>
      <c r="E16" t="s">
        <v>790</v>
      </c>
      <c r="F16" t="s">
        <v>783</v>
      </c>
      <c r="G16" t="s">
        <v>20</v>
      </c>
      <c r="H16" t="s">
        <v>784</v>
      </c>
      <c r="I16" t="s">
        <v>791</v>
      </c>
    </row>
    <row r="17" spans="1:9">
      <c r="A17" t="s">
        <v>780</v>
      </c>
      <c r="B17" t="s">
        <v>789</v>
      </c>
      <c r="C17" t="s">
        <v>19</v>
      </c>
      <c r="D17" t="s">
        <v>794</v>
      </c>
      <c r="E17" t="s">
        <v>790</v>
      </c>
      <c r="F17" t="s">
        <v>783</v>
      </c>
      <c r="G17" t="s">
        <v>20</v>
      </c>
      <c r="H17" t="s">
        <v>784</v>
      </c>
      <c r="I17" t="s">
        <v>791</v>
      </c>
    </row>
    <row r="18" spans="1:9">
      <c r="A18" t="s">
        <v>780</v>
      </c>
      <c r="B18" t="s">
        <v>795</v>
      </c>
      <c r="C18" t="s">
        <v>4</v>
      </c>
      <c r="D18" t="s">
        <v>796</v>
      </c>
      <c r="E18" t="s">
        <v>796</v>
      </c>
      <c r="F18" t="s">
        <v>783</v>
      </c>
      <c r="G18" t="s">
        <v>20</v>
      </c>
      <c r="H18" t="s">
        <v>784</v>
      </c>
      <c r="I18" t="s">
        <v>797</v>
      </c>
    </row>
    <row r="19" spans="1:9">
      <c r="A19" t="s">
        <v>780</v>
      </c>
      <c r="B19" t="s">
        <v>795</v>
      </c>
      <c r="C19" t="s">
        <v>7</v>
      </c>
      <c r="D19" t="s">
        <v>797</v>
      </c>
      <c r="E19" t="s">
        <v>796</v>
      </c>
      <c r="F19" t="s">
        <v>783</v>
      </c>
      <c r="G19" t="s">
        <v>20</v>
      </c>
      <c r="H19" t="s">
        <v>784</v>
      </c>
      <c r="I19" t="s">
        <v>797</v>
      </c>
    </row>
    <row r="20" spans="1:9">
      <c r="A20" t="s">
        <v>780</v>
      </c>
      <c r="B20" t="s">
        <v>795</v>
      </c>
      <c r="C20" t="s">
        <v>9</v>
      </c>
      <c r="D20">
        <v>20</v>
      </c>
      <c r="E20" t="s">
        <v>796</v>
      </c>
      <c r="F20" t="s">
        <v>783</v>
      </c>
      <c r="G20" t="s">
        <v>20</v>
      </c>
      <c r="H20" t="s">
        <v>784</v>
      </c>
      <c r="I20" t="s">
        <v>797</v>
      </c>
    </row>
    <row r="21" spans="1:9">
      <c r="A21" t="s">
        <v>780</v>
      </c>
      <c r="B21" t="s">
        <v>795</v>
      </c>
      <c r="C21" t="s">
        <v>10</v>
      </c>
      <c r="D21">
        <v>2</v>
      </c>
      <c r="E21" t="s">
        <v>796</v>
      </c>
      <c r="F21" t="s">
        <v>783</v>
      </c>
      <c r="G21" t="s">
        <v>20</v>
      </c>
      <c r="H21" t="s">
        <v>784</v>
      </c>
      <c r="I21" t="s">
        <v>797</v>
      </c>
    </row>
    <row r="22" spans="1:9">
      <c r="A22" t="s">
        <v>780</v>
      </c>
      <c r="B22" t="s">
        <v>795</v>
      </c>
      <c r="C22" t="s">
        <v>13</v>
      </c>
      <c r="D22">
        <v>5</v>
      </c>
      <c r="E22" t="s">
        <v>796</v>
      </c>
      <c r="F22" t="s">
        <v>783</v>
      </c>
      <c r="G22" t="s">
        <v>20</v>
      </c>
      <c r="H22" t="s">
        <v>784</v>
      </c>
      <c r="I22" t="s">
        <v>797</v>
      </c>
    </row>
    <row r="23" spans="1:9">
      <c r="A23" t="s">
        <v>780</v>
      </c>
      <c r="B23" t="s">
        <v>795</v>
      </c>
      <c r="C23" t="s">
        <v>15</v>
      </c>
      <c r="D23" t="s">
        <v>798</v>
      </c>
      <c r="E23" t="s">
        <v>796</v>
      </c>
      <c r="F23" t="s">
        <v>783</v>
      </c>
      <c r="G23" t="s">
        <v>20</v>
      </c>
      <c r="H23" t="s">
        <v>784</v>
      </c>
      <c r="I23" t="s">
        <v>797</v>
      </c>
    </row>
    <row r="24" spans="1:9">
      <c r="A24" t="s">
        <v>780</v>
      </c>
      <c r="B24" t="s">
        <v>795</v>
      </c>
      <c r="C24" t="s">
        <v>17</v>
      </c>
      <c r="D24" t="s">
        <v>787</v>
      </c>
      <c r="E24" t="s">
        <v>796</v>
      </c>
      <c r="F24" t="s">
        <v>783</v>
      </c>
      <c r="G24" t="s">
        <v>20</v>
      </c>
      <c r="H24" t="s">
        <v>784</v>
      </c>
      <c r="I24" t="s">
        <v>797</v>
      </c>
    </row>
    <row r="25" spans="1:9">
      <c r="A25" t="s">
        <v>780</v>
      </c>
      <c r="B25" t="s">
        <v>795</v>
      </c>
      <c r="C25" t="s">
        <v>19</v>
      </c>
      <c r="D25" t="s">
        <v>788</v>
      </c>
      <c r="E25" t="s">
        <v>796</v>
      </c>
      <c r="F25" t="s">
        <v>783</v>
      </c>
      <c r="G25" t="s">
        <v>20</v>
      </c>
      <c r="H25" t="s">
        <v>784</v>
      </c>
      <c r="I25" t="s">
        <v>797</v>
      </c>
    </row>
    <row r="26" spans="1:9">
      <c r="A26" t="s">
        <v>780</v>
      </c>
      <c r="B26" t="s">
        <v>799</v>
      </c>
      <c r="C26" t="s">
        <v>4</v>
      </c>
      <c r="D26" t="s">
        <v>800</v>
      </c>
      <c r="E26" t="s">
        <v>800</v>
      </c>
      <c r="F26" t="s">
        <v>783</v>
      </c>
      <c r="G26" t="s">
        <v>20</v>
      </c>
      <c r="H26" t="s">
        <v>784</v>
      </c>
      <c r="I26" t="s">
        <v>801</v>
      </c>
    </row>
    <row r="27" spans="1:9">
      <c r="A27" t="s">
        <v>780</v>
      </c>
      <c r="B27" t="s">
        <v>799</v>
      </c>
      <c r="C27" t="s">
        <v>7</v>
      </c>
      <c r="D27" t="s">
        <v>801</v>
      </c>
      <c r="E27" t="s">
        <v>800</v>
      </c>
      <c r="F27" t="s">
        <v>783</v>
      </c>
      <c r="G27" t="s">
        <v>20</v>
      </c>
      <c r="H27" t="s">
        <v>784</v>
      </c>
      <c r="I27" t="s">
        <v>801</v>
      </c>
    </row>
    <row r="28" spans="1:9">
      <c r="A28" t="s">
        <v>780</v>
      </c>
      <c r="B28" t="s">
        <v>799</v>
      </c>
      <c r="C28" t="s">
        <v>9</v>
      </c>
      <c r="D28">
        <v>20</v>
      </c>
      <c r="E28" t="s">
        <v>800</v>
      </c>
      <c r="F28" t="s">
        <v>783</v>
      </c>
      <c r="G28" t="s">
        <v>20</v>
      </c>
      <c r="H28" t="s">
        <v>784</v>
      </c>
      <c r="I28" t="s">
        <v>801</v>
      </c>
    </row>
    <row r="29" spans="1:9">
      <c r="A29" t="s">
        <v>780</v>
      </c>
      <c r="B29" t="s">
        <v>799</v>
      </c>
      <c r="C29" t="s">
        <v>10</v>
      </c>
      <c r="D29">
        <v>2</v>
      </c>
      <c r="E29" t="s">
        <v>800</v>
      </c>
      <c r="F29" t="s">
        <v>783</v>
      </c>
      <c r="G29" t="s">
        <v>20</v>
      </c>
      <c r="H29" t="s">
        <v>784</v>
      </c>
      <c r="I29" t="s">
        <v>801</v>
      </c>
    </row>
    <row r="30" spans="1:9">
      <c r="A30" t="s">
        <v>780</v>
      </c>
      <c r="B30" t="s">
        <v>799</v>
      </c>
      <c r="C30" t="s">
        <v>13</v>
      </c>
      <c r="D30">
        <v>5</v>
      </c>
      <c r="E30" t="s">
        <v>800</v>
      </c>
      <c r="F30" t="s">
        <v>783</v>
      </c>
      <c r="G30" t="s">
        <v>20</v>
      </c>
      <c r="H30" t="s">
        <v>784</v>
      </c>
      <c r="I30" t="s">
        <v>801</v>
      </c>
    </row>
    <row r="31" spans="1:9">
      <c r="A31" t="s">
        <v>780</v>
      </c>
      <c r="B31" t="s">
        <v>799</v>
      </c>
      <c r="C31" t="s">
        <v>15</v>
      </c>
      <c r="D31" t="s">
        <v>802</v>
      </c>
      <c r="E31" t="s">
        <v>800</v>
      </c>
      <c r="F31" t="s">
        <v>783</v>
      </c>
      <c r="G31" t="s">
        <v>20</v>
      </c>
      <c r="H31" t="s">
        <v>784</v>
      </c>
      <c r="I31" t="s">
        <v>801</v>
      </c>
    </row>
    <row r="32" spans="1:9">
      <c r="A32" t="s">
        <v>780</v>
      </c>
      <c r="B32" t="s">
        <v>799</v>
      </c>
      <c r="C32" t="s">
        <v>17</v>
      </c>
      <c r="D32" t="s">
        <v>134</v>
      </c>
      <c r="E32" t="s">
        <v>800</v>
      </c>
      <c r="F32" t="s">
        <v>783</v>
      </c>
      <c r="G32" t="s">
        <v>20</v>
      </c>
      <c r="H32" t="s">
        <v>784</v>
      </c>
      <c r="I32" t="s">
        <v>801</v>
      </c>
    </row>
    <row r="33" spans="1:9">
      <c r="A33" t="s">
        <v>780</v>
      </c>
      <c r="B33" t="s">
        <v>799</v>
      </c>
      <c r="C33" t="s">
        <v>19</v>
      </c>
      <c r="D33" t="s">
        <v>788</v>
      </c>
      <c r="E33" t="s">
        <v>800</v>
      </c>
      <c r="F33" t="s">
        <v>783</v>
      </c>
      <c r="G33" t="s">
        <v>20</v>
      </c>
      <c r="H33" t="s">
        <v>784</v>
      </c>
      <c r="I33" t="s">
        <v>801</v>
      </c>
    </row>
    <row r="34" spans="1:9">
      <c r="A34" t="s">
        <v>780</v>
      </c>
      <c r="B34" t="s">
        <v>803</v>
      </c>
      <c r="C34" t="s">
        <v>4</v>
      </c>
      <c r="D34" t="s">
        <v>804</v>
      </c>
      <c r="E34" t="s">
        <v>804</v>
      </c>
      <c r="F34" t="s">
        <v>783</v>
      </c>
      <c r="G34" t="s">
        <v>20</v>
      </c>
      <c r="H34" t="s">
        <v>784</v>
      </c>
      <c r="I34" t="s">
        <v>805</v>
      </c>
    </row>
    <row r="35" spans="1:9">
      <c r="A35" t="s">
        <v>780</v>
      </c>
      <c r="B35" t="s">
        <v>803</v>
      </c>
      <c r="C35" t="s">
        <v>7</v>
      </c>
      <c r="D35" t="s">
        <v>805</v>
      </c>
      <c r="E35" t="s">
        <v>804</v>
      </c>
      <c r="F35" t="s">
        <v>783</v>
      </c>
      <c r="G35" t="s">
        <v>20</v>
      </c>
      <c r="H35" t="s">
        <v>784</v>
      </c>
      <c r="I35" t="s">
        <v>805</v>
      </c>
    </row>
    <row r="36" spans="1:9">
      <c r="A36" t="s">
        <v>780</v>
      </c>
      <c r="B36" t="s">
        <v>803</v>
      </c>
      <c r="C36" t="s">
        <v>9</v>
      </c>
      <c r="D36">
        <v>40</v>
      </c>
      <c r="E36" t="s">
        <v>804</v>
      </c>
      <c r="F36" t="s">
        <v>783</v>
      </c>
      <c r="G36" t="s">
        <v>20</v>
      </c>
      <c r="H36" t="s">
        <v>784</v>
      </c>
      <c r="I36" t="s">
        <v>805</v>
      </c>
    </row>
    <row r="37" spans="1:9">
      <c r="A37" t="s">
        <v>780</v>
      </c>
      <c r="B37" t="s">
        <v>803</v>
      </c>
      <c r="C37" t="s">
        <v>10</v>
      </c>
      <c r="D37" t="s">
        <v>11</v>
      </c>
      <c r="E37" t="s">
        <v>804</v>
      </c>
      <c r="F37" t="s">
        <v>783</v>
      </c>
      <c r="G37" t="s">
        <v>20</v>
      </c>
      <c r="H37" t="s">
        <v>784</v>
      </c>
      <c r="I37" t="s">
        <v>805</v>
      </c>
    </row>
    <row r="38" spans="1:9">
      <c r="A38" t="s">
        <v>780</v>
      </c>
      <c r="B38" t="s">
        <v>803</v>
      </c>
      <c r="C38" t="s">
        <v>13</v>
      </c>
      <c r="D38">
        <v>6</v>
      </c>
      <c r="E38" t="s">
        <v>804</v>
      </c>
      <c r="F38" t="s">
        <v>783</v>
      </c>
      <c r="G38" t="s">
        <v>20</v>
      </c>
      <c r="H38" t="s">
        <v>784</v>
      </c>
      <c r="I38" t="s">
        <v>805</v>
      </c>
    </row>
    <row r="39" spans="1:9">
      <c r="A39" t="s">
        <v>780</v>
      </c>
      <c r="B39" t="s">
        <v>803</v>
      </c>
      <c r="C39" t="s">
        <v>15</v>
      </c>
      <c r="D39" t="s">
        <v>806</v>
      </c>
      <c r="E39" t="s">
        <v>804</v>
      </c>
      <c r="F39" t="s">
        <v>783</v>
      </c>
      <c r="G39" t="s">
        <v>20</v>
      </c>
      <c r="H39" t="s">
        <v>784</v>
      </c>
      <c r="I39" t="s">
        <v>805</v>
      </c>
    </row>
    <row r="40" spans="1:9">
      <c r="A40" t="s">
        <v>780</v>
      </c>
      <c r="B40" t="s">
        <v>803</v>
      </c>
      <c r="C40" t="s">
        <v>17</v>
      </c>
      <c r="D40" t="s">
        <v>807</v>
      </c>
      <c r="E40" t="s">
        <v>804</v>
      </c>
      <c r="F40" t="s">
        <v>783</v>
      </c>
      <c r="G40" t="s">
        <v>20</v>
      </c>
      <c r="H40" t="s">
        <v>784</v>
      </c>
      <c r="I40" t="s">
        <v>805</v>
      </c>
    </row>
    <row r="41" spans="1:9">
      <c r="A41" t="s">
        <v>780</v>
      </c>
      <c r="B41" t="s">
        <v>803</v>
      </c>
      <c r="C41" t="s">
        <v>19</v>
      </c>
      <c r="D41" t="s">
        <v>788</v>
      </c>
      <c r="E41" t="s">
        <v>804</v>
      </c>
      <c r="F41" t="s">
        <v>783</v>
      </c>
      <c r="G41" t="s">
        <v>20</v>
      </c>
      <c r="H41" t="s">
        <v>784</v>
      </c>
      <c r="I41" t="s">
        <v>805</v>
      </c>
    </row>
    <row r="42" spans="1:9">
      <c r="A42" t="s">
        <v>808</v>
      </c>
      <c r="B42" t="s">
        <v>809</v>
      </c>
      <c r="C42" t="s">
        <v>4</v>
      </c>
      <c r="D42" t="s">
        <v>5</v>
      </c>
      <c r="E42" t="s">
        <v>5</v>
      </c>
      <c r="F42" t="s">
        <v>783</v>
      </c>
      <c r="G42" t="s">
        <v>20</v>
      </c>
      <c r="H42" t="s">
        <v>784</v>
      </c>
      <c r="I42" t="s">
        <v>8</v>
      </c>
    </row>
    <row r="43" spans="1:9">
      <c r="A43" t="s">
        <v>808</v>
      </c>
      <c r="B43" t="s">
        <v>809</v>
      </c>
      <c r="C43" t="s">
        <v>7</v>
      </c>
      <c r="D43" t="s">
        <v>8</v>
      </c>
      <c r="E43" t="s">
        <v>5</v>
      </c>
      <c r="F43" t="s">
        <v>783</v>
      </c>
      <c r="G43" t="s">
        <v>20</v>
      </c>
      <c r="H43" t="s">
        <v>784</v>
      </c>
      <c r="I43" t="s">
        <v>8</v>
      </c>
    </row>
    <row r="44" spans="1:9">
      <c r="A44" t="s">
        <v>808</v>
      </c>
      <c r="B44" t="s">
        <v>809</v>
      </c>
      <c r="C44" t="s">
        <v>9</v>
      </c>
      <c r="D44">
        <v>20</v>
      </c>
      <c r="E44" t="s">
        <v>5</v>
      </c>
      <c r="F44" t="s">
        <v>783</v>
      </c>
      <c r="G44" t="s">
        <v>20</v>
      </c>
      <c r="H44" t="s">
        <v>784</v>
      </c>
      <c r="I44" t="s">
        <v>8</v>
      </c>
    </row>
    <row r="45" spans="1:9">
      <c r="A45" t="s">
        <v>808</v>
      </c>
      <c r="B45" t="s">
        <v>809</v>
      </c>
      <c r="C45" t="s">
        <v>10</v>
      </c>
      <c r="D45" t="s">
        <v>11</v>
      </c>
      <c r="E45" t="s">
        <v>5</v>
      </c>
      <c r="F45" t="s">
        <v>783</v>
      </c>
      <c r="G45" t="s">
        <v>20</v>
      </c>
      <c r="H45" t="s">
        <v>784</v>
      </c>
      <c r="I45" t="s">
        <v>8</v>
      </c>
    </row>
    <row r="46" spans="1:9">
      <c r="A46" t="s">
        <v>808</v>
      </c>
      <c r="B46" t="s">
        <v>809</v>
      </c>
      <c r="C46" t="s">
        <v>13</v>
      </c>
      <c r="D46">
        <v>4</v>
      </c>
      <c r="E46" t="s">
        <v>5</v>
      </c>
      <c r="F46" t="s">
        <v>783</v>
      </c>
      <c r="G46" t="s">
        <v>20</v>
      </c>
      <c r="H46" t="s">
        <v>784</v>
      </c>
      <c r="I46" t="s">
        <v>8</v>
      </c>
    </row>
    <row r="47" spans="1:9">
      <c r="A47" t="s">
        <v>808</v>
      </c>
      <c r="B47" t="s">
        <v>809</v>
      </c>
      <c r="C47" t="s">
        <v>15</v>
      </c>
      <c r="D47" t="s">
        <v>16</v>
      </c>
      <c r="E47" t="s">
        <v>5</v>
      </c>
      <c r="F47" t="s">
        <v>783</v>
      </c>
      <c r="G47" t="s">
        <v>20</v>
      </c>
      <c r="H47" t="s">
        <v>784</v>
      </c>
      <c r="I47" t="s">
        <v>8</v>
      </c>
    </row>
    <row r="48" spans="1:9">
      <c r="A48" t="s">
        <v>808</v>
      </c>
      <c r="B48" t="s">
        <v>809</v>
      </c>
      <c r="C48" t="s">
        <v>17</v>
      </c>
      <c r="D48" t="s">
        <v>18</v>
      </c>
      <c r="E48" t="s">
        <v>5</v>
      </c>
      <c r="F48" t="s">
        <v>783</v>
      </c>
      <c r="G48" t="s">
        <v>20</v>
      </c>
      <c r="H48" t="s">
        <v>784</v>
      </c>
      <c r="I48" t="s">
        <v>8</v>
      </c>
    </row>
    <row r="49" spans="1:9">
      <c r="A49" t="s">
        <v>808</v>
      </c>
      <c r="B49" t="s">
        <v>809</v>
      </c>
      <c r="C49" t="s">
        <v>19</v>
      </c>
      <c r="D49" t="s">
        <v>20</v>
      </c>
      <c r="E49" t="s">
        <v>5</v>
      </c>
      <c r="F49" t="s">
        <v>783</v>
      </c>
      <c r="G49" t="s">
        <v>20</v>
      </c>
      <c r="H49" t="s">
        <v>784</v>
      </c>
      <c r="I49" t="s">
        <v>8</v>
      </c>
    </row>
    <row r="50" spans="1:9">
      <c r="A50" t="s">
        <v>808</v>
      </c>
      <c r="B50" t="s">
        <v>810</v>
      </c>
      <c r="C50" t="s">
        <v>4</v>
      </c>
      <c r="D50" t="s">
        <v>129</v>
      </c>
      <c r="E50" t="s">
        <v>129</v>
      </c>
      <c r="F50" t="s">
        <v>783</v>
      </c>
      <c r="G50" t="s">
        <v>20</v>
      </c>
      <c r="H50" t="s">
        <v>784</v>
      </c>
      <c r="I50" t="s">
        <v>131</v>
      </c>
    </row>
    <row r="51" spans="1:9">
      <c r="A51" t="s">
        <v>808</v>
      </c>
      <c r="B51" t="s">
        <v>810</v>
      </c>
      <c r="C51" t="s">
        <v>7</v>
      </c>
      <c r="D51" t="s">
        <v>131</v>
      </c>
      <c r="E51" t="s">
        <v>129</v>
      </c>
      <c r="F51" t="s">
        <v>783</v>
      </c>
      <c r="G51" t="s">
        <v>20</v>
      </c>
      <c r="H51" t="s">
        <v>784</v>
      </c>
      <c r="I51" t="s">
        <v>131</v>
      </c>
    </row>
    <row r="52" spans="1:9">
      <c r="A52" t="s">
        <v>808</v>
      </c>
      <c r="B52" t="s">
        <v>810</v>
      </c>
      <c r="C52" t="s">
        <v>9</v>
      </c>
      <c r="D52">
        <v>20</v>
      </c>
      <c r="E52" t="s">
        <v>129</v>
      </c>
      <c r="F52" t="s">
        <v>783</v>
      </c>
      <c r="G52" t="s">
        <v>20</v>
      </c>
      <c r="H52" t="s">
        <v>784</v>
      </c>
      <c r="I52" t="s">
        <v>131</v>
      </c>
    </row>
    <row r="53" spans="1:9">
      <c r="A53" t="s">
        <v>808</v>
      </c>
      <c r="B53" t="s">
        <v>810</v>
      </c>
      <c r="C53" t="s">
        <v>10</v>
      </c>
      <c r="D53">
        <v>1</v>
      </c>
      <c r="E53" t="s">
        <v>129</v>
      </c>
      <c r="F53" t="s">
        <v>783</v>
      </c>
      <c r="G53" t="s">
        <v>20</v>
      </c>
      <c r="H53" t="s">
        <v>784</v>
      </c>
      <c r="I53" t="s">
        <v>131</v>
      </c>
    </row>
    <row r="54" spans="1:9">
      <c r="A54" t="s">
        <v>808</v>
      </c>
      <c r="B54" t="s">
        <v>810</v>
      </c>
      <c r="C54" t="s">
        <v>13</v>
      </c>
      <c r="D54">
        <v>4</v>
      </c>
      <c r="E54" t="s">
        <v>129</v>
      </c>
      <c r="F54" t="s">
        <v>783</v>
      </c>
      <c r="G54" t="s">
        <v>20</v>
      </c>
      <c r="H54" t="s">
        <v>784</v>
      </c>
      <c r="I54" t="s">
        <v>131</v>
      </c>
    </row>
    <row r="55" spans="1:9">
      <c r="A55" t="s">
        <v>808</v>
      </c>
      <c r="B55" t="s">
        <v>810</v>
      </c>
      <c r="C55" t="s">
        <v>15</v>
      </c>
      <c r="D55" t="s">
        <v>133</v>
      </c>
      <c r="E55" t="s">
        <v>129</v>
      </c>
      <c r="F55" t="s">
        <v>783</v>
      </c>
      <c r="G55" t="s">
        <v>20</v>
      </c>
      <c r="H55" t="s">
        <v>784</v>
      </c>
      <c r="I55" t="s">
        <v>131</v>
      </c>
    </row>
    <row r="56" spans="1:9">
      <c r="A56" t="s">
        <v>808</v>
      </c>
      <c r="B56" t="s">
        <v>810</v>
      </c>
      <c r="C56" t="s">
        <v>17</v>
      </c>
      <c r="D56" t="s">
        <v>134</v>
      </c>
      <c r="E56" t="s">
        <v>129</v>
      </c>
      <c r="F56" t="s">
        <v>783</v>
      </c>
      <c r="G56" t="s">
        <v>20</v>
      </c>
      <c r="H56" t="s">
        <v>784</v>
      </c>
      <c r="I56" t="s">
        <v>131</v>
      </c>
    </row>
    <row r="57" spans="1:9">
      <c r="A57" t="s">
        <v>808</v>
      </c>
      <c r="B57" t="s">
        <v>810</v>
      </c>
      <c r="C57" t="s">
        <v>19</v>
      </c>
      <c r="D57" t="s">
        <v>135</v>
      </c>
      <c r="E57" t="s">
        <v>129</v>
      </c>
      <c r="F57" t="s">
        <v>783</v>
      </c>
      <c r="G57" t="s">
        <v>20</v>
      </c>
      <c r="H57" t="s">
        <v>784</v>
      </c>
      <c r="I57" t="s">
        <v>131</v>
      </c>
    </row>
    <row r="58" spans="1:9">
      <c r="A58" t="s">
        <v>808</v>
      </c>
      <c r="B58" t="s">
        <v>811</v>
      </c>
      <c r="C58" t="s">
        <v>4</v>
      </c>
      <c r="D58" t="s">
        <v>198</v>
      </c>
      <c r="E58" t="s">
        <v>198</v>
      </c>
      <c r="F58" t="s">
        <v>783</v>
      </c>
      <c r="G58" t="s">
        <v>20</v>
      </c>
      <c r="H58" t="s">
        <v>784</v>
      </c>
      <c r="I58" t="s">
        <v>200</v>
      </c>
    </row>
    <row r="59" spans="1:9">
      <c r="A59" t="s">
        <v>808</v>
      </c>
      <c r="B59" t="s">
        <v>811</v>
      </c>
      <c r="C59" t="s">
        <v>7</v>
      </c>
      <c r="D59" t="s">
        <v>200</v>
      </c>
      <c r="E59" t="s">
        <v>198</v>
      </c>
      <c r="F59" t="s">
        <v>783</v>
      </c>
      <c r="G59" t="s">
        <v>20</v>
      </c>
      <c r="H59" t="s">
        <v>784</v>
      </c>
      <c r="I59" t="s">
        <v>200</v>
      </c>
    </row>
    <row r="60" spans="1:9">
      <c r="A60" t="s">
        <v>808</v>
      </c>
      <c r="B60" t="s">
        <v>811</v>
      </c>
      <c r="C60" t="s">
        <v>9</v>
      </c>
      <c r="D60">
        <v>20</v>
      </c>
      <c r="E60" t="s">
        <v>198</v>
      </c>
      <c r="F60" t="s">
        <v>783</v>
      </c>
      <c r="G60" t="s">
        <v>20</v>
      </c>
      <c r="H60" t="s">
        <v>784</v>
      </c>
      <c r="I60" t="s">
        <v>200</v>
      </c>
    </row>
    <row r="61" spans="1:9">
      <c r="A61" t="s">
        <v>808</v>
      </c>
      <c r="B61" t="s">
        <v>811</v>
      </c>
      <c r="C61" t="s">
        <v>10</v>
      </c>
      <c r="D61">
        <v>2</v>
      </c>
      <c r="E61" t="s">
        <v>198</v>
      </c>
      <c r="F61" t="s">
        <v>783</v>
      </c>
      <c r="G61" t="s">
        <v>20</v>
      </c>
      <c r="H61" t="s">
        <v>784</v>
      </c>
      <c r="I61" t="s">
        <v>200</v>
      </c>
    </row>
    <row r="62" spans="1:9">
      <c r="A62" t="s">
        <v>808</v>
      </c>
      <c r="B62" t="s">
        <v>811</v>
      </c>
      <c r="C62" t="s">
        <v>13</v>
      </c>
      <c r="D62">
        <v>4</v>
      </c>
      <c r="E62" t="s">
        <v>198</v>
      </c>
      <c r="F62" t="s">
        <v>783</v>
      </c>
      <c r="G62" t="s">
        <v>20</v>
      </c>
      <c r="H62" t="s">
        <v>784</v>
      </c>
      <c r="I62" t="s">
        <v>200</v>
      </c>
    </row>
    <row r="63" spans="1:9">
      <c r="A63" t="s">
        <v>808</v>
      </c>
      <c r="B63" t="s">
        <v>811</v>
      </c>
      <c r="C63" t="s">
        <v>15</v>
      </c>
      <c r="D63" t="s">
        <v>202</v>
      </c>
      <c r="E63" t="s">
        <v>198</v>
      </c>
      <c r="F63" t="s">
        <v>783</v>
      </c>
      <c r="G63" t="s">
        <v>20</v>
      </c>
      <c r="H63" t="s">
        <v>784</v>
      </c>
      <c r="I63" t="s">
        <v>200</v>
      </c>
    </row>
    <row r="64" spans="1:9">
      <c r="A64" t="s">
        <v>808</v>
      </c>
      <c r="B64" t="s">
        <v>811</v>
      </c>
      <c r="C64" t="s">
        <v>17</v>
      </c>
      <c r="D64" t="s">
        <v>134</v>
      </c>
      <c r="E64" t="s">
        <v>198</v>
      </c>
      <c r="F64" t="s">
        <v>783</v>
      </c>
      <c r="G64" t="s">
        <v>20</v>
      </c>
      <c r="H64" t="s">
        <v>784</v>
      </c>
      <c r="I64" t="s">
        <v>200</v>
      </c>
    </row>
    <row r="65" spans="1:9">
      <c r="A65" t="s">
        <v>808</v>
      </c>
      <c r="B65" t="s">
        <v>811</v>
      </c>
      <c r="C65" t="s">
        <v>19</v>
      </c>
      <c r="D65" t="s">
        <v>20</v>
      </c>
      <c r="E65" t="s">
        <v>198</v>
      </c>
      <c r="F65" t="s">
        <v>783</v>
      </c>
      <c r="G65" t="s">
        <v>20</v>
      </c>
      <c r="H65" t="s">
        <v>784</v>
      </c>
      <c r="I65" t="s">
        <v>200</v>
      </c>
    </row>
    <row r="66" spans="1:9">
      <c r="A66" t="s">
        <v>808</v>
      </c>
      <c r="B66" t="s">
        <v>812</v>
      </c>
      <c r="C66" t="s">
        <v>4</v>
      </c>
      <c r="D66" t="s">
        <v>264</v>
      </c>
      <c r="E66" t="s">
        <v>264</v>
      </c>
      <c r="F66" t="s">
        <v>783</v>
      </c>
      <c r="G66" t="s">
        <v>20</v>
      </c>
      <c r="H66" t="s">
        <v>784</v>
      </c>
      <c r="I66" t="s">
        <v>266</v>
      </c>
    </row>
    <row r="67" spans="1:9">
      <c r="A67" t="s">
        <v>808</v>
      </c>
      <c r="B67" t="s">
        <v>812</v>
      </c>
      <c r="C67" t="s">
        <v>7</v>
      </c>
      <c r="D67" t="s">
        <v>266</v>
      </c>
      <c r="E67" t="s">
        <v>264</v>
      </c>
      <c r="F67" t="s">
        <v>783</v>
      </c>
      <c r="G67" t="s">
        <v>20</v>
      </c>
      <c r="H67" t="s">
        <v>784</v>
      </c>
      <c r="I67" t="s">
        <v>266</v>
      </c>
    </row>
    <row r="68" spans="1:9">
      <c r="A68" t="s">
        <v>808</v>
      </c>
      <c r="B68" t="s">
        <v>812</v>
      </c>
      <c r="C68" t="s">
        <v>9</v>
      </c>
      <c r="D68">
        <v>20</v>
      </c>
      <c r="E68" t="s">
        <v>264</v>
      </c>
      <c r="F68" t="s">
        <v>783</v>
      </c>
      <c r="G68" t="s">
        <v>20</v>
      </c>
      <c r="H68" t="s">
        <v>784</v>
      </c>
      <c r="I68" t="s">
        <v>266</v>
      </c>
    </row>
    <row r="69" spans="1:9">
      <c r="A69" t="s">
        <v>808</v>
      </c>
      <c r="B69" t="s">
        <v>812</v>
      </c>
      <c r="C69" t="s">
        <v>10</v>
      </c>
      <c r="D69">
        <v>2</v>
      </c>
      <c r="E69" t="s">
        <v>264</v>
      </c>
      <c r="F69" t="s">
        <v>783</v>
      </c>
      <c r="G69" t="s">
        <v>20</v>
      </c>
      <c r="H69" t="s">
        <v>784</v>
      </c>
      <c r="I69" t="s">
        <v>266</v>
      </c>
    </row>
    <row r="70" spans="1:9">
      <c r="A70" t="s">
        <v>808</v>
      </c>
      <c r="B70" t="s">
        <v>812</v>
      </c>
      <c r="C70" t="s">
        <v>13</v>
      </c>
      <c r="D70">
        <v>4</v>
      </c>
      <c r="E70" t="s">
        <v>264</v>
      </c>
      <c r="F70" t="s">
        <v>783</v>
      </c>
      <c r="G70" t="s">
        <v>20</v>
      </c>
      <c r="H70" t="s">
        <v>784</v>
      </c>
      <c r="I70" t="s">
        <v>266</v>
      </c>
    </row>
    <row r="71" spans="1:9">
      <c r="A71" t="s">
        <v>808</v>
      </c>
      <c r="B71" t="s">
        <v>812</v>
      </c>
      <c r="C71" t="s">
        <v>15</v>
      </c>
      <c r="D71" t="s">
        <v>268</v>
      </c>
      <c r="E71" t="s">
        <v>264</v>
      </c>
      <c r="F71" t="s">
        <v>783</v>
      </c>
      <c r="G71" t="s">
        <v>20</v>
      </c>
      <c r="H71" t="s">
        <v>784</v>
      </c>
      <c r="I71" t="s">
        <v>266</v>
      </c>
    </row>
    <row r="72" spans="1:9">
      <c r="A72" t="s">
        <v>808</v>
      </c>
      <c r="B72" t="s">
        <v>812</v>
      </c>
      <c r="C72" t="s">
        <v>17</v>
      </c>
      <c r="D72" t="s">
        <v>134</v>
      </c>
      <c r="E72" t="s">
        <v>264</v>
      </c>
      <c r="F72" t="s">
        <v>783</v>
      </c>
      <c r="G72" t="s">
        <v>20</v>
      </c>
      <c r="H72" t="s">
        <v>784</v>
      </c>
      <c r="I72" t="s">
        <v>266</v>
      </c>
    </row>
    <row r="73" spans="1:9">
      <c r="A73" t="s">
        <v>808</v>
      </c>
      <c r="B73" t="s">
        <v>812</v>
      </c>
      <c r="C73" t="s">
        <v>19</v>
      </c>
      <c r="D73" t="s">
        <v>20</v>
      </c>
      <c r="E73" t="s">
        <v>264</v>
      </c>
      <c r="F73" t="s">
        <v>783</v>
      </c>
      <c r="G73" t="s">
        <v>20</v>
      </c>
      <c r="H73" t="s">
        <v>784</v>
      </c>
      <c r="I73" t="s">
        <v>266</v>
      </c>
    </row>
    <row r="74" spans="1:9">
      <c r="A74" t="s">
        <v>808</v>
      </c>
      <c r="B74" t="s">
        <v>813</v>
      </c>
      <c r="C74" t="s">
        <v>4</v>
      </c>
      <c r="D74" t="s">
        <v>317</v>
      </c>
      <c r="E74" t="s">
        <v>317</v>
      </c>
      <c r="F74" t="s">
        <v>783</v>
      </c>
      <c r="G74" t="s">
        <v>20</v>
      </c>
      <c r="H74" t="s">
        <v>784</v>
      </c>
      <c r="I74" t="s">
        <v>319</v>
      </c>
    </row>
    <row r="75" spans="1:9">
      <c r="A75" t="s">
        <v>808</v>
      </c>
      <c r="B75" t="s">
        <v>813</v>
      </c>
      <c r="C75" t="s">
        <v>7</v>
      </c>
      <c r="D75" t="s">
        <v>319</v>
      </c>
      <c r="E75" t="s">
        <v>317</v>
      </c>
      <c r="F75" t="s">
        <v>783</v>
      </c>
      <c r="G75" t="s">
        <v>20</v>
      </c>
      <c r="H75" t="s">
        <v>784</v>
      </c>
      <c r="I75" t="s">
        <v>319</v>
      </c>
    </row>
    <row r="76" spans="1:9">
      <c r="A76" t="s">
        <v>808</v>
      </c>
      <c r="B76" t="s">
        <v>813</v>
      </c>
      <c r="C76" t="s">
        <v>9</v>
      </c>
      <c r="D76">
        <v>20</v>
      </c>
      <c r="E76" t="s">
        <v>317</v>
      </c>
      <c r="F76" t="s">
        <v>783</v>
      </c>
      <c r="G76" t="s">
        <v>20</v>
      </c>
      <c r="H76" t="s">
        <v>784</v>
      </c>
      <c r="I76" t="s">
        <v>319</v>
      </c>
    </row>
    <row r="77" spans="1:9">
      <c r="A77" t="s">
        <v>808</v>
      </c>
      <c r="B77" t="s">
        <v>813</v>
      </c>
      <c r="C77" t="s">
        <v>10</v>
      </c>
      <c r="D77" t="s">
        <v>11</v>
      </c>
      <c r="E77" t="s">
        <v>317</v>
      </c>
      <c r="F77" t="s">
        <v>783</v>
      </c>
      <c r="G77" t="s">
        <v>20</v>
      </c>
      <c r="H77" t="s">
        <v>784</v>
      </c>
      <c r="I77" t="s">
        <v>319</v>
      </c>
    </row>
    <row r="78" spans="1:9">
      <c r="A78" t="s">
        <v>808</v>
      </c>
      <c r="B78" t="s">
        <v>813</v>
      </c>
      <c r="C78" t="s">
        <v>13</v>
      </c>
      <c r="D78">
        <v>5</v>
      </c>
      <c r="E78" t="s">
        <v>317</v>
      </c>
      <c r="F78" t="s">
        <v>783</v>
      </c>
      <c r="G78" t="s">
        <v>20</v>
      </c>
      <c r="H78" t="s">
        <v>784</v>
      </c>
      <c r="I78" t="s">
        <v>319</v>
      </c>
    </row>
    <row r="79" spans="1:9">
      <c r="A79" t="s">
        <v>808</v>
      </c>
      <c r="B79" t="s">
        <v>813</v>
      </c>
      <c r="C79" t="s">
        <v>15</v>
      </c>
      <c r="D79" t="s">
        <v>16</v>
      </c>
      <c r="E79" t="s">
        <v>317</v>
      </c>
      <c r="F79" t="s">
        <v>783</v>
      </c>
      <c r="G79" t="s">
        <v>20</v>
      </c>
      <c r="H79" t="s">
        <v>784</v>
      </c>
      <c r="I79" t="s">
        <v>319</v>
      </c>
    </row>
    <row r="80" spans="1:9">
      <c r="A80" t="s">
        <v>808</v>
      </c>
      <c r="B80" t="s">
        <v>813</v>
      </c>
      <c r="C80" t="s">
        <v>17</v>
      </c>
      <c r="D80" t="s">
        <v>18</v>
      </c>
      <c r="E80" t="s">
        <v>317</v>
      </c>
      <c r="F80" t="s">
        <v>783</v>
      </c>
      <c r="G80" t="s">
        <v>20</v>
      </c>
      <c r="H80" t="s">
        <v>784</v>
      </c>
      <c r="I80" t="s">
        <v>319</v>
      </c>
    </row>
    <row r="81" spans="1:9">
      <c r="A81" t="s">
        <v>808</v>
      </c>
      <c r="B81" t="s">
        <v>813</v>
      </c>
      <c r="C81" t="s">
        <v>19</v>
      </c>
      <c r="D81" t="s">
        <v>20</v>
      </c>
      <c r="E81" t="s">
        <v>317</v>
      </c>
      <c r="F81" t="s">
        <v>783</v>
      </c>
      <c r="G81" t="s">
        <v>20</v>
      </c>
      <c r="H81" t="s">
        <v>784</v>
      </c>
      <c r="I81" t="s">
        <v>319</v>
      </c>
    </row>
    <row r="82" spans="1:9">
      <c r="A82" t="s">
        <v>808</v>
      </c>
      <c r="B82" t="s">
        <v>815</v>
      </c>
      <c r="C82" t="s">
        <v>4</v>
      </c>
      <c r="D82" t="s">
        <v>377</v>
      </c>
      <c r="E82" t="s">
        <v>377</v>
      </c>
      <c r="F82" t="s">
        <v>783</v>
      </c>
      <c r="G82" t="s">
        <v>20</v>
      </c>
      <c r="H82" t="s">
        <v>784</v>
      </c>
      <c r="I82" t="s">
        <v>379</v>
      </c>
    </row>
    <row r="83" spans="1:9">
      <c r="A83" t="s">
        <v>808</v>
      </c>
      <c r="B83" t="s">
        <v>815</v>
      </c>
      <c r="C83" t="s">
        <v>7</v>
      </c>
      <c r="D83" t="s">
        <v>379</v>
      </c>
      <c r="E83" t="s">
        <v>377</v>
      </c>
      <c r="F83" t="s">
        <v>783</v>
      </c>
      <c r="G83" t="s">
        <v>20</v>
      </c>
      <c r="H83" t="s">
        <v>784</v>
      </c>
      <c r="I83" t="s">
        <v>379</v>
      </c>
    </row>
    <row r="84" spans="1:9">
      <c r="A84" t="s">
        <v>808</v>
      </c>
      <c r="B84" t="s">
        <v>815</v>
      </c>
      <c r="C84" t="s">
        <v>9</v>
      </c>
      <c r="D84">
        <v>20</v>
      </c>
      <c r="E84" t="s">
        <v>377</v>
      </c>
      <c r="F84" t="s">
        <v>783</v>
      </c>
      <c r="G84" t="s">
        <v>20</v>
      </c>
      <c r="H84" t="s">
        <v>784</v>
      </c>
      <c r="I84" t="s">
        <v>379</v>
      </c>
    </row>
    <row r="85" spans="1:9">
      <c r="A85" t="s">
        <v>808</v>
      </c>
      <c r="B85" t="s">
        <v>815</v>
      </c>
      <c r="C85" t="s">
        <v>10</v>
      </c>
      <c r="D85">
        <v>1</v>
      </c>
      <c r="E85" t="s">
        <v>377</v>
      </c>
      <c r="F85" t="s">
        <v>783</v>
      </c>
      <c r="G85" t="s">
        <v>20</v>
      </c>
      <c r="H85" t="s">
        <v>784</v>
      </c>
      <c r="I85" t="s">
        <v>379</v>
      </c>
    </row>
    <row r="86" spans="1:9">
      <c r="A86" t="s">
        <v>808</v>
      </c>
      <c r="B86" t="s">
        <v>815</v>
      </c>
      <c r="C86" t="s">
        <v>13</v>
      </c>
      <c r="D86">
        <v>5</v>
      </c>
      <c r="E86" t="s">
        <v>377</v>
      </c>
      <c r="F86" t="s">
        <v>783</v>
      </c>
      <c r="G86" t="s">
        <v>20</v>
      </c>
      <c r="H86" t="s">
        <v>784</v>
      </c>
      <c r="I86" t="s">
        <v>379</v>
      </c>
    </row>
    <row r="87" spans="1:9">
      <c r="A87" t="s">
        <v>808</v>
      </c>
      <c r="B87" t="s">
        <v>815</v>
      </c>
      <c r="C87" t="s">
        <v>15</v>
      </c>
      <c r="D87" t="s">
        <v>381</v>
      </c>
      <c r="E87" t="s">
        <v>377</v>
      </c>
      <c r="F87" t="s">
        <v>783</v>
      </c>
      <c r="G87" t="s">
        <v>20</v>
      </c>
      <c r="H87" t="s">
        <v>784</v>
      </c>
      <c r="I87" t="s">
        <v>379</v>
      </c>
    </row>
    <row r="88" spans="1:9">
      <c r="A88" t="s">
        <v>808</v>
      </c>
      <c r="B88" t="s">
        <v>815</v>
      </c>
      <c r="C88" t="s">
        <v>17</v>
      </c>
      <c r="D88" t="s">
        <v>134</v>
      </c>
      <c r="E88" t="s">
        <v>377</v>
      </c>
      <c r="F88" t="s">
        <v>783</v>
      </c>
      <c r="G88" t="s">
        <v>20</v>
      </c>
      <c r="H88" t="s">
        <v>784</v>
      </c>
      <c r="I88" t="s">
        <v>379</v>
      </c>
    </row>
    <row r="89" spans="1:9">
      <c r="A89" t="s">
        <v>808</v>
      </c>
      <c r="B89" t="s">
        <v>815</v>
      </c>
      <c r="C89" t="s">
        <v>19</v>
      </c>
      <c r="D89" t="s">
        <v>20</v>
      </c>
      <c r="E89" t="s">
        <v>377</v>
      </c>
      <c r="F89" t="s">
        <v>783</v>
      </c>
      <c r="G89" t="s">
        <v>20</v>
      </c>
      <c r="H89" t="s">
        <v>784</v>
      </c>
      <c r="I89" t="s">
        <v>379</v>
      </c>
    </row>
    <row r="90" spans="1:9">
      <c r="A90" t="s">
        <v>808</v>
      </c>
      <c r="B90" t="s">
        <v>816</v>
      </c>
      <c r="C90" t="s">
        <v>4</v>
      </c>
      <c r="D90" t="s">
        <v>438</v>
      </c>
      <c r="E90" t="s">
        <v>438</v>
      </c>
      <c r="F90" t="s">
        <v>783</v>
      </c>
      <c r="G90" t="s">
        <v>20</v>
      </c>
      <c r="H90" t="s">
        <v>784</v>
      </c>
      <c r="I90" t="s">
        <v>817</v>
      </c>
    </row>
    <row r="91" spans="1:9">
      <c r="A91" t="s">
        <v>808</v>
      </c>
      <c r="B91" t="s">
        <v>816</v>
      </c>
      <c r="C91" t="s">
        <v>7</v>
      </c>
      <c r="D91" t="s">
        <v>440</v>
      </c>
      <c r="E91" t="s">
        <v>438</v>
      </c>
      <c r="F91" t="s">
        <v>783</v>
      </c>
      <c r="G91" t="s">
        <v>20</v>
      </c>
      <c r="H91" t="s">
        <v>784</v>
      </c>
      <c r="I91" t="s">
        <v>817</v>
      </c>
    </row>
    <row r="92" spans="1:9">
      <c r="A92" t="s">
        <v>808</v>
      </c>
      <c r="B92" t="s">
        <v>816</v>
      </c>
      <c r="C92" t="s">
        <v>9</v>
      </c>
      <c r="D92">
        <v>20</v>
      </c>
      <c r="E92" t="s">
        <v>438</v>
      </c>
      <c r="F92" t="s">
        <v>783</v>
      </c>
      <c r="G92" t="s">
        <v>20</v>
      </c>
      <c r="H92" t="s">
        <v>784</v>
      </c>
      <c r="I92" t="s">
        <v>817</v>
      </c>
    </row>
    <row r="93" spans="1:9">
      <c r="A93" t="s">
        <v>808</v>
      </c>
      <c r="B93" t="s">
        <v>816</v>
      </c>
      <c r="C93" t="s">
        <v>10</v>
      </c>
      <c r="D93">
        <v>2</v>
      </c>
      <c r="E93" t="s">
        <v>438</v>
      </c>
      <c r="F93" t="s">
        <v>783</v>
      </c>
      <c r="G93" t="s">
        <v>20</v>
      </c>
      <c r="H93" t="s">
        <v>784</v>
      </c>
      <c r="I93" t="s">
        <v>817</v>
      </c>
    </row>
    <row r="94" spans="1:9">
      <c r="A94" t="s">
        <v>808</v>
      </c>
      <c r="B94" t="s">
        <v>816</v>
      </c>
      <c r="C94" t="s">
        <v>13</v>
      </c>
      <c r="D94">
        <v>5</v>
      </c>
      <c r="E94" t="s">
        <v>438</v>
      </c>
      <c r="F94" t="s">
        <v>783</v>
      </c>
      <c r="G94" t="s">
        <v>20</v>
      </c>
      <c r="H94" t="s">
        <v>784</v>
      </c>
      <c r="I94" t="s">
        <v>817</v>
      </c>
    </row>
    <row r="95" spans="1:9">
      <c r="A95" t="s">
        <v>808</v>
      </c>
      <c r="B95" t="s">
        <v>816</v>
      </c>
      <c r="C95" t="s">
        <v>15</v>
      </c>
      <c r="D95" t="s">
        <v>442</v>
      </c>
      <c r="E95" t="s">
        <v>438</v>
      </c>
      <c r="F95" t="s">
        <v>783</v>
      </c>
      <c r="G95" t="s">
        <v>20</v>
      </c>
      <c r="H95" t="s">
        <v>784</v>
      </c>
      <c r="I95" t="s">
        <v>817</v>
      </c>
    </row>
    <row r="96" spans="1:9">
      <c r="A96" t="s">
        <v>808</v>
      </c>
      <c r="B96" t="s">
        <v>816</v>
      </c>
      <c r="C96" t="s">
        <v>17</v>
      </c>
      <c r="D96" t="s">
        <v>134</v>
      </c>
      <c r="E96" t="s">
        <v>438</v>
      </c>
      <c r="F96" t="s">
        <v>783</v>
      </c>
      <c r="G96" t="s">
        <v>20</v>
      </c>
      <c r="H96" t="s">
        <v>784</v>
      </c>
      <c r="I96" t="s">
        <v>817</v>
      </c>
    </row>
    <row r="97" spans="1:9">
      <c r="A97" t="s">
        <v>808</v>
      </c>
      <c r="B97" t="s">
        <v>816</v>
      </c>
      <c r="C97" t="s">
        <v>19</v>
      </c>
      <c r="D97" t="s">
        <v>20</v>
      </c>
      <c r="E97" t="s">
        <v>438</v>
      </c>
      <c r="F97" t="s">
        <v>783</v>
      </c>
      <c r="G97" t="s">
        <v>20</v>
      </c>
      <c r="H97" t="s">
        <v>784</v>
      </c>
      <c r="I97" t="s">
        <v>817</v>
      </c>
    </row>
    <row r="98" spans="1:9">
      <c r="A98" t="s">
        <v>808</v>
      </c>
      <c r="B98" t="s">
        <v>814</v>
      </c>
      <c r="C98" t="s">
        <v>4</v>
      </c>
      <c r="D98" t="s">
        <v>492</v>
      </c>
      <c r="E98" t="s">
        <v>492</v>
      </c>
      <c r="F98" t="s">
        <v>783</v>
      </c>
      <c r="G98" t="s">
        <v>20</v>
      </c>
      <c r="H98" t="s">
        <v>784</v>
      </c>
      <c r="I98" t="s">
        <v>494</v>
      </c>
    </row>
    <row r="99" spans="1:9">
      <c r="A99" t="s">
        <v>808</v>
      </c>
      <c r="B99" t="s">
        <v>814</v>
      </c>
      <c r="C99" t="s">
        <v>7</v>
      </c>
      <c r="D99" t="s">
        <v>494</v>
      </c>
      <c r="E99" t="s">
        <v>492</v>
      </c>
      <c r="F99" t="s">
        <v>783</v>
      </c>
      <c r="G99" t="s">
        <v>20</v>
      </c>
      <c r="H99" t="s">
        <v>784</v>
      </c>
      <c r="I99" t="s">
        <v>494</v>
      </c>
    </row>
    <row r="100" spans="1:9">
      <c r="A100" t="s">
        <v>808</v>
      </c>
      <c r="B100" t="s">
        <v>814</v>
      </c>
      <c r="C100" t="s">
        <v>9</v>
      </c>
      <c r="D100">
        <v>20</v>
      </c>
      <c r="E100" t="s">
        <v>492</v>
      </c>
      <c r="F100" t="s">
        <v>783</v>
      </c>
      <c r="G100" t="s">
        <v>20</v>
      </c>
      <c r="H100" t="s">
        <v>784</v>
      </c>
      <c r="I100" t="s">
        <v>494</v>
      </c>
    </row>
    <row r="101" spans="1:9">
      <c r="A101" t="s">
        <v>808</v>
      </c>
      <c r="B101" t="s">
        <v>814</v>
      </c>
      <c r="C101" t="s">
        <v>10</v>
      </c>
      <c r="D101">
        <v>2</v>
      </c>
      <c r="E101" t="s">
        <v>492</v>
      </c>
      <c r="F101" t="s">
        <v>783</v>
      </c>
      <c r="G101" t="s">
        <v>20</v>
      </c>
      <c r="H101" t="s">
        <v>784</v>
      </c>
      <c r="I101" t="s">
        <v>494</v>
      </c>
    </row>
    <row r="102" spans="1:9">
      <c r="A102" t="s">
        <v>808</v>
      </c>
      <c r="B102" t="s">
        <v>814</v>
      </c>
      <c r="C102" t="s">
        <v>13</v>
      </c>
      <c r="D102">
        <v>5</v>
      </c>
      <c r="E102" t="s">
        <v>492</v>
      </c>
      <c r="F102" t="s">
        <v>783</v>
      </c>
      <c r="G102" t="s">
        <v>20</v>
      </c>
      <c r="H102" t="s">
        <v>784</v>
      </c>
      <c r="I102" t="s">
        <v>494</v>
      </c>
    </row>
    <row r="103" spans="1:9">
      <c r="A103" t="s">
        <v>808</v>
      </c>
      <c r="B103" t="s">
        <v>814</v>
      </c>
      <c r="C103" t="s">
        <v>15</v>
      </c>
      <c r="D103" t="s">
        <v>496</v>
      </c>
      <c r="E103" t="s">
        <v>492</v>
      </c>
      <c r="F103" t="s">
        <v>783</v>
      </c>
      <c r="G103" t="s">
        <v>20</v>
      </c>
      <c r="H103" t="s">
        <v>784</v>
      </c>
      <c r="I103" t="s">
        <v>494</v>
      </c>
    </row>
    <row r="104" spans="1:9">
      <c r="A104" t="s">
        <v>808</v>
      </c>
      <c r="B104" t="s">
        <v>814</v>
      </c>
      <c r="C104" t="s">
        <v>17</v>
      </c>
      <c r="D104" t="s">
        <v>134</v>
      </c>
      <c r="E104" t="s">
        <v>492</v>
      </c>
      <c r="F104" t="s">
        <v>783</v>
      </c>
      <c r="G104" t="s">
        <v>20</v>
      </c>
      <c r="H104" t="s">
        <v>784</v>
      </c>
      <c r="I104" t="s">
        <v>494</v>
      </c>
    </row>
    <row r="105" spans="1:9">
      <c r="A105" t="s">
        <v>808</v>
      </c>
      <c r="B105" t="s">
        <v>814</v>
      </c>
      <c r="C105" t="s">
        <v>19</v>
      </c>
      <c r="D105" t="s">
        <v>20</v>
      </c>
      <c r="E105" t="s">
        <v>492</v>
      </c>
      <c r="F105" t="s">
        <v>783</v>
      </c>
      <c r="G105" t="s">
        <v>20</v>
      </c>
      <c r="H105" t="s">
        <v>784</v>
      </c>
      <c r="I105" t="s">
        <v>494</v>
      </c>
    </row>
    <row r="106" spans="1:9">
      <c r="A106" t="s">
        <v>808</v>
      </c>
      <c r="B106" t="s">
        <v>818</v>
      </c>
      <c r="C106" t="s">
        <v>4</v>
      </c>
      <c r="D106" t="s">
        <v>545</v>
      </c>
      <c r="E106" t="s">
        <v>545</v>
      </c>
      <c r="F106" t="s">
        <v>783</v>
      </c>
      <c r="G106" t="s">
        <v>20</v>
      </c>
      <c r="H106" t="s">
        <v>784</v>
      </c>
      <c r="I106" t="s">
        <v>547</v>
      </c>
    </row>
    <row r="107" spans="1:9">
      <c r="A107" t="s">
        <v>808</v>
      </c>
      <c r="B107" t="s">
        <v>818</v>
      </c>
      <c r="C107" t="s">
        <v>7</v>
      </c>
      <c r="D107" t="s">
        <v>547</v>
      </c>
      <c r="E107" t="s">
        <v>545</v>
      </c>
      <c r="F107" t="s">
        <v>783</v>
      </c>
      <c r="G107" t="s">
        <v>20</v>
      </c>
      <c r="H107" t="s">
        <v>784</v>
      </c>
      <c r="I107" t="s">
        <v>547</v>
      </c>
    </row>
    <row r="108" spans="1:9">
      <c r="A108" t="s">
        <v>808</v>
      </c>
      <c r="B108" t="s">
        <v>818</v>
      </c>
      <c r="C108" t="s">
        <v>9</v>
      </c>
      <c r="D108">
        <v>20</v>
      </c>
      <c r="E108" t="s">
        <v>545</v>
      </c>
      <c r="F108" t="s">
        <v>783</v>
      </c>
      <c r="G108" t="s">
        <v>20</v>
      </c>
      <c r="H108" t="s">
        <v>784</v>
      </c>
      <c r="I108" t="s">
        <v>547</v>
      </c>
    </row>
    <row r="109" spans="1:9">
      <c r="A109" t="s">
        <v>808</v>
      </c>
      <c r="B109" t="s">
        <v>818</v>
      </c>
      <c r="C109" t="s">
        <v>10</v>
      </c>
      <c r="D109">
        <v>1</v>
      </c>
      <c r="E109" t="s">
        <v>545</v>
      </c>
      <c r="F109" t="s">
        <v>783</v>
      </c>
      <c r="G109" t="s">
        <v>20</v>
      </c>
      <c r="H109" t="s">
        <v>784</v>
      </c>
      <c r="I109" t="s">
        <v>547</v>
      </c>
    </row>
    <row r="110" spans="1:9">
      <c r="A110" t="s">
        <v>808</v>
      </c>
      <c r="B110" t="s">
        <v>818</v>
      </c>
      <c r="C110" t="s">
        <v>13</v>
      </c>
      <c r="D110">
        <v>6</v>
      </c>
      <c r="E110" t="s">
        <v>545</v>
      </c>
      <c r="F110" t="s">
        <v>783</v>
      </c>
      <c r="G110" t="s">
        <v>20</v>
      </c>
      <c r="H110" t="s">
        <v>784</v>
      </c>
      <c r="I110" t="s">
        <v>547</v>
      </c>
    </row>
    <row r="111" spans="1:9">
      <c r="A111" t="s">
        <v>808</v>
      </c>
      <c r="B111" t="s">
        <v>818</v>
      </c>
      <c r="C111" t="s">
        <v>15</v>
      </c>
      <c r="D111" t="s">
        <v>202</v>
      </c>
      <c r="E111" t="s">
        <v>545</v>
      </c>
      <c r="F111" t="s">
        <v>783</v>
      </c>
      <c r="G111" t="s">
        <v>20</v>
      </c>
      <c r="H111" t="s">
        <v>784</v>
      </c>
      <c r="I111" t="s">
        <v>547</v>
      </c>
    </row>
    <row r="112" spans="1:9">
      <c r="A112" t="s">
        <v>808</v>
      </c>
      <c r="B112" t="s">
        <v>818</v>
      </c>
      <c r="C112" t="s">
        <v>17</v>
      </c>
      <c r="D112" t="s">
        <v>134</v>
      </c>
      <c r="E112" t="s">
        <v>545</v>
      </c>
      <c r="F112" t="s">
        <v>783</v>
      </c>
      <c r="G112" t="s">
        <v>20</v>
      </c>
      <c r="H112" t="s">
        <v>784</v>
      </c>
      <c r="I112" t="s">
        <v>547</v>
      </c>
    </row>
    <row r="113" spans="1:9">
      <c r="A113" t="s">
        <v>808</v>
      </c>
      <c r="B113" t="s">
        <v>818</v>
      </c>
      <c r="C113" t="s">
        <v>19</v>
      </c>
      <c r="D113" t="s">
        <v>20</v>
      </c>
      <c r="E113" t="s">
        <v>545</v>
      </c>
      <c r="F113" t="s">
        <v>783</v>
      </c>
      <c r="G113" t="s">
        <v>20</v>
      </c>
      <c r="H113" t="s">
        <v>784</v>
      </c>
      <c r="I113" t="s">
        <v>547</v>
      </c>
    </row>
    <row r="114" spans="1:9">
      <c r="A114" t="s">
        <v>808</v>
      </c>
      <c r="B114" t="s">
        <v>819</v>
      </c>
      <c r="C114" t="s">
        <v>4</v>
      </c>
      <c r="D114" t="s">
        <v>596</v>
      </c>
      <c r="E114" t="s">
        <v>596</v>
      </c>
      <c r="F114" t="s">
        <v>783</v>
      </c>
      <c r="G114" t="s">
        <v>20</v>
      </c>
      <c r="H114" t="s">
        <v>784</v>
      </c>
      <c r="I114" t="s">
        <v>598</v>
      </c>
    </row>
    <row r="115" spans="1:9">
      <c r="A115" t="s">
        <v>808</v>
      </c>
      <c r="B115" t="s">
        <v>819</v>
      </c>
      <c r="C115" t="s">
        <v>7</v>
      </c>
      <c r="D115" t="s">
        <v>598</v>
      </c>
      <c r="E115" t="s">
        <v>596</v>
      </c>
      <c r="F115" t="s">
        <v>783</v>
      </c>
      <c r="G115" t="s">
        <v>20</v>
      </c>
      <c r="H115" t="s">
        <v>784</v>
      </c>
      <c r="I115" t="s">
        <v>598</v>
      </c>
    </row>
    <row r="116" spans="1:9">
      <c r="A116" t="s">
        <v>808</v>
      </c>
      <c r="B116" t="s">
        <v>819</v>
      </c>
      <c r="C116" t="s">
        <v>9</v>
      </c>
      <c r="D116">
        <v>20</v>
      </c>
      <c r="E116" t="s">
        <v>596</v>
      </c>
      <c r="F116" t="s">
        <v>783</v>
      </c>
      <c r="G116" t="s">
        <v>20</v>
      </c>
      <c r="H116" t="s">
        <v>784</v>
      </c>
      <c r="I116" t="s">
        <v>598</v>
      </c>
    </row>
    <row r="117" spans="1:9">
      <c r="A117" t="s">
        <v>808</v>
      </c>
      <c r="B117" t="s">
        <v>819</v>
      </c>
      <c r="C117" t="s">
        <v>10</v>
      </c>
      <c r="D117">
        <v>1</v>
      </c>
      <c r="E117" t="s">
        <v>596</v>
      </c>
      <c r="F117" t="s">
        <v>783</v>
      </c>
      <c r="G117" t="s">
        <v>20</v>
      </c>
      <c r="H117" t="s">
        <v>784</v>
      </c>
      <c r="I117" t="s">
        <v>598</v>
      </c>
    </row>
    <row r="118" spans="1:9">
      <c r="A118" t="s">
        <v>808</v>
      </c>
      <c r="B118" t="s">
        <v>819</v>
      </c>
      <c r="C118" t="s">
        <v>13</v>
      </c>
      <c r="D118">
        <v>6</v>
      </c>
      <c r="E118" t="s">
        <v>596</v>
      </c>
      <c r="F118" t="s">
        <v>783</v>
      </c>
      <c r="G118" t="s">
        <v>20</v>
      </c>
      <c r="H118" t="s">
        <v>784</v>
      </c>
      <c r="I118" t="s">
        <v>598</v>
      </c>
    </row>
    <row r="119" spans="1:9">
      <c r="A119" t="s">
        <v>808</v>
      </c>
      <c r="B119" t="s">
        <v>819</v>
      </c>
      <c r="C119" t="s">
        <v>15</v>
      </c>
      <c r="D119" t="s">
        <v>600</v>
      </c>
      <c r="E119" t="s">
        <v>596</v>
      </c>
      <c r="F119" t="s">
        <v>783</v>
      </c>
      <c r="G119" t="s">
        <v>20</v>
      </c>
      <c r="H119" t="s">
        <v>784</v>
      </c>
      <c r="I119" t="s">
        <v>598</v>
      </c>
    </row>
    <row r="120" spans="1:9">
      <c r="A120" t="s">
        <v>808</v>
      </c>
      <c r="B120" t="s">
        <v>819</v>
      </c>
      <c r="C120" t="s">
        <v>17</v>
      </c>
      <c r="D120" t="s">
        <v>134</v>
      </c>
      <c r="E120" t="s">
        <v>596</v>
      </c>
      <c r="F120" t="s">
        <v>783</v>
      </c>
      <c r="G120" t="s">
        <v>20</v>
      </c>
      <c r="H120" t="s">
        <v>784</v>
      </c>
      <c r="I120" t="s">
        <v>598</v>
      </c>
    </row>
    <row r="121" spans="1:9">
      <c r="A121" t="s">
        <v>808</v>
      </c>
      <c r="B121" t="s">
        <v>819</v>
      </c>
      <c r="C121" t="s">
        <v>19</v>
      </c>
      <c r="D121" t="s">
        <v>20</v>
      </c>
      <c r="E121" t="s">
        <v>596</v>
      </c>
      <c r="F121" t="s">
        <v>783</v>
      </c>
      <c r="G121" t="s">
        <v>20</v>
      </c>
      <c r="H121" t="s">
        <v>784</v>
      </c>
      <c r="I121" t="s">
        <v>598</v>
      </c>
    </row>
    <row r="122" spans="1:9">
      <c r="A122" t="s">
        <v>808</v>
      </c>
      <c r="B122" t="s">
        <v>820</v>
      </c>
      <c r="C122" t="s">
        <v>4</v>
      </c>
      <c r="D122" t="s">
        <v>650</v>
      </c>
      <c r="E122" t="s">
        <v>650</v>
      </c>
      <c r="F122" t="s">
        <v>783</v>
      </c>
      <c r="G122" t="s">
        <v>20</v>
      </c>
      <c r="H122" t="s">
        <v>784</v>
      </c>
      <c r="I122" t="s">
        <v>652</v>
      </c>
    </row>
    <row r="123" spans="1:9">
      <c r="A123" t="s">
        <v>808</v>
      </c>
      <c r="B123" t="s">
        <v>820</v>
      </c>
      <c r="C123" t="s">
        <v>7</v>
      </c>
      <c r="D123" t="s">
        <v>652</v>
      </c>
      <c r="E123" t="s">
        <v>650</v>
      </c>
      <c r="F123" t="s">
        <v>783</v>
      </c>
      <c r="G123" t="s">
        <v>20</v>
      </c>
      <c r="H123" t="s">
        <v>784</v>
      </c>
      <c r="I123" t="s">
        <v>652</v>
      </c>
    </row>
    <row r="124" spans="1:9">
      <c r="A124" t="s">
        <v>808</v>
      </c>
      <c r="B124" t="s">
        <v>820</v>
      </c>
      <c r="C124" t="s">
        <v>9</v>
      </c>
      <c r="D124">
        <v>20</v>
      </c>
      <c r="E124" t="s">
        <v>650</v>
      </c>
      <c r="F124" t="s">
        <v>783</v>
      </c>
      <c r="G124" t="s">
        <v>20</v>
      </c>
      <c r="H124" t="s">
        <v>784</v>
      </c>
      <c r="I124" t="s">
        <v>652</v>
      </c>
    </row>
    <row r="125" spans="1:9">
      <c r="A125" t="s">
        <v>808</v>
      </c>
      <c r="B125" t="s">
        <v>820</v>
      </c>
      <c r="C125" t="s">
        <v>10</v>
      </c>
      <c r="D125">
        <v>2</v>
      </c>
      <c r="E125" t="s">
        <v>650</v>
      </c>
      <c r="F125" t="s">
        <v>783</v>
      </c>
      <c r="G125" t="s">
        <v>20</v>
      </c>
      <c r="H125" t="s">
        <v>784</v>
      </c>
      <c r="I125" t="s">
        <v>652</v>
      </c>
    </row>
    <row r="126" spans="1:9">
      <c r="A126" t="s">
        <v>808</v>
      </c>
      <c r="B126" t="s">
        <v>820</v>
      </c>
      <c r="C126" t="s">
        <v>13</v>
      </c>
      <c r="D126">
        <v>6</v>
      </c>
      <c r="E126" t="s">
        <v>650</v>
      </c>
      <c r="F126" t="s">
        <v>783</v>
      </c>
      <c r="G126" t="s">
        <v>20</v>
      </c>
      <c r="H126" t="s">
        <v>784</v>
      </c>
      <c r="I126" t="s">
        <v>652</v>
      </c>
    </row>
    <row r="127" spans="1:9">
      <c r="A127" t="s">
        <v>808</v>
      </c>
      <c r="B127" t="s">
        <v>820</v>
      </c>
      <c r="C127" t="s">
        <v>15</v>
      </c>
      <c r="D127" t="s">
        <v>654</v>
      </c>
      <c r="E127" t="s">
        <v>650</v>
      </c>
      <c r="F127" t="s">
        <v>783</v>
      </c>
      <c r="G127" t="s">
        <v>20</v>
      </c>
      <c r="H127" t="s">
        <v>784</v>
      </c>
      <c r="I127" t="s">
        <v>652</v>
      </c>
    </row>
    <row r="128" spans="1:9">
      <c r="A128" t="s">
        <v>808</v>
      </c>
      <c r="B128" t="s">
        <v>820</v>
      </c>
      <c r="C128" t="s">
        <v>17</v>
      </c>
      <c r="D128" t="s">
        <v>134</v>
      </c>
      <c r="E128" t="s">
        <v>650</v>
      </c>
      <c r="F128" t="s">
        <v>783</v>
      </c>
      <c r="G128" t="s">
        <v>20</v>
      </c>
      <c r="H128" t="s">
        <v>784</v>
      </c>
      <c r="I128" t="s">
        <v>652</v>
      </c>
    </row>
    <row r="129" spans="1:9">
      <c r="A129" t="s">
        <v>808</v>
      </c>
      <c r="B129" t="s">
        <v>820</v>
      </c>
      <c r="C129" t="s">
        <v>19</v>
      </c>
      <c r="D129" t="s">
        <v>20</v>
      </c>
      <c r="E129" t="s">
        <v>650</v>
      </c>
      <c r="F129" t="s">
        <v>783</v>
      </c>
      <c r="G129" t="s">
        <v>20</v>
      </c>
      <c r="H129" t="s">
        <v>784</v>
      </c>
      <c r="I129" t="s">
        <v>652</v>
      </c>
    </row>
    <row r="130" spans="1:9">
      <c r="A130" t="s">
        <v>808</v>
      </c>
      <c r="B130" t="s">
        <v>821</v>
      </c>
      <c r="C130" t="s">
        <v>4</v>
      </c>
      <c r="D130" t="s">
        <v>710</v>
      </c>
      <c r="E130" t="s">
        <v>710</v>
      </c>
      <c r="F130" t="s">
        <v>783</v>
      </c>
      <c r="G130" t="s">
        <v>20</v>
      </c>
      <c r="H130" t="s">
        <v>784</v>
      </c>
      <c r="I130" t="s">
        <v>822</v>
      </c>
    </row>
    <row r="131" spans="1:9">
      <c r="A131" t="s">
        <v>808</v>
      </c>
      <c r="B131" t="s">
        <v>821</v>
      </c>
      <c r="C131" t="s">
        <v>7</v>
      </c>
      <c r="D131" t="s">
        <v>712</v>
      </c>
      <c r="E131" t="s">
        <v>710</v>
      </c>
      <c r="F131" t="s">
        <v>783</v>
      </c>
      <c r="G131" t="s">
        <v>20</v>
      </c>
      <c r="H131" t="s">
        <v>784</v>
      </c>
      <c r="I131" t="s">
        <v>822</v>
      </c>
    </row>
    <row r="132" spans="1:9">
      <c r="A132" t="s">
        <v>808</v>
      </c>
      <c r="B132" t="s">
        <v>821</v>
      </c>
      <c r="C132" t="s">
        <v>9</v>
      </c>
      <c r="D132">
        <v>60</v>
      </c>
      <c r="E132" t="s">
        <v>710</v>
      </c>
      <c r="F132" t="s">
        <v>783</v>
      </c>
      <c r="G132" t="s">
        <v>20</v>
      </c>
      <c r="H132" t="s">
        <v>784</v>
      </c>
      <c r="I132" t="s">
        <v>822</v>
      </c>
    </row>
    <row r="133" spans="1:9">
      <c r="A133" t="s">
        <v>808</v>
      </c>
      <c r="B133" t="s">
        <v>821</v>
      </c>
      <c r="C133" t="s">
        <v>10</v>
      </c>
      <c r="D133" t="s">
        <v>11</v>
      </c>
      <c r="E133" t="s">
        <v>710</v>
      </c>
      <c r="F133" t="s">
        <v>783</v>
      </c>
      <c r="G133" t="s">
        <v>20</v>
      </c>
      <c r="H133" t="s">
        <v>784</v>
      </c>
      <c r="I133" t="s">
        <v>822</v>
      </c>
    </row>
    <row r="134" spans="1:9">
      <c r="A134" t="s">
        <v>808</v>
      </c>
      <c r="B134" t="s">
        <v>821</v>
      </c>
      <c r="C134" t="s">
        <v>13</v>
      </c>
      <c r="D134">
        <v>6</v>
      </c>
      <c r="E134" t="s">
        <v>710</v>
      </c>
      <c r="F134" t="s">
        <v>783</v>
      </c>
      <c r="G134" t="s">
        <v>20</v>
      </c>
      <c r="H134" t="s">
        <v>784</v>
      </c>
      <c r="I134" t="s">
        <v>822</v>
      </c>
    </row>
    <row r="135" spans="1:9">
      <c r="A135" t="s">
        <v>808</v>
      </c>
      <c r="B135" t="s">
        <v>821</v>
      </c>
      <c r="C135" t="s">
        <v>15</v>
      </c>
      <c r="D135" t="s">
        <v>714</v>
      </c>
      <c r="E135" t="s">
        <v>710</v>
      </c>
      <c r="F135" t="s">
        <v>783</v>
      </c>
      <c r="G135" t="s">
        <v>20</v>
      </c>
      <c r="H135" t="s">
        <v>784</v>
      </c>
      <c r="I135" t="s">
        <v>822</v>
      </c>
    </row>
    <row r="136" spans="1:9">
      <c r="A136" t="s">
        <v>808</v>
      </c>
      <c r="B136" t="s">
        <v>821</v>
      </c>
      <c r="C136" t="s">
        <v>17</v>
      </c>
      <c r="D136" t="s">
        <v>715</v>
      </c>
      <c r="E136" t="s">
        <v>710</v>
      </c>
      <c r="F136" t="s">
        <v>783</v>
      </c>
      <c r="G136" t="s">
        <v>20</v>
      </c>
      <c r="H136" t="s">
        <v>784</v>
      </c>
      <c r="I136" t="s">
        <v>822</v>
      </c>
    </row>
    <row r="137" spans="1:9">
      <c r="A137" t="s">
        <v>808</v>
      </c>
      <c r="B137" t="s">
        <v>821</v>
      </c>
      <c r="C137" t="s">
        <v>19</v>
      </c>
      <c r="D137" t="s">
        <v>20</v>
      </c>
      <c r="E137" t="s">
        <v>710</v>
      </c>
      <c r="F137" t="s">
        <v>783</v>
      </c>
      <c r="G137" t="s">
        <v>20</v>
      </c>
      <c r="H137" t="s">
        <v>784</v>
      </c>
      <c r="I137" t="s">
        <v>822</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D306A2-B4BB-49F6-BC1D-DE4605C760F7}">
  <sheetPr codeName="Sheet22"/>
  <dimension ref="A1:M36"/>
  <sheetViews>
    <sheetView workbookViewId="0">
      <selection activeCell="F39" sqref="F39"/>
    </sheetView>
  </sheetViews>
  <sheetFormatPr defaultRowHeight="15"/>
  <cols>
    <col min="1" max="1" width="48.140625" bestFit="1" customWidth="1"/>
    <col min="2" max="2" width="16.7109375" bestFit="1" customWidth="1"/>
    <col min="3" max="3" width="17.28515625" bestFit="1" customWidth="1"/>
    <col min="4" max="4" width="18.85546875" bestFit="1" customWidth="1"/>
    <col min="5" max="5" width="45.28515625" bestFit="1" customWidth="1"/>
    <col min="6" max="6" width="255.7109375" bestFit="1" customWidth="1"/>
    <col min="7" max="7" width="12.28515625" bestFit="1" customWidth="1"/>
    <col min="8" max="8" width="17.7109375" bestFit="1" customWidth="1"/>
    <col min="9" max="9" width="14.7109375" bestFit="1" customWidth="1"/>
    <col min="10" max="10" width="12.5703125" bestFit="1" customWidth="1"/>
    <col min="11" max="11" width="13.85546875" bestFit="1" customWidth="1"/>
    <col min="12" max="12" width="12.140625" bestFit="1" customWidth="1"/>
    <col min="13" max="13" width="45.85546875" bestFit="1" customWidth="1"/>
  </cols>
  <sheetData>
    <row r="1" spans="1:13">
      <c r="A1" t="s">
        <v>773</v>
      </c>
      <c r="B1" t="s">
        <v>774</v>
      </c>
      <c r="C1" t="s">
        <v>52</v>
      </c>
      <c r="D1" t="s">
        <v>53</v>
      </c>
      <c r="E1" t="s">
        <v>54</v>
      </c>
      <c r="F1" t="s">
        <v>55</v>
      </c>
      <c r="G1" t="s">
        <v>56</v>
      </c>
      <c r="H1" t="s">
        <v>57</v>
      </c>
      <c r="I1" t="s">
        <v>775</v>
      </c>
      <c r="J1" t="s">
        <v>776</v>
      </c>
      <c r="K1" t="s">
        <v>777</v>
      </c>
      <c r="L1" t="s">
        <v>778</v>
      </c>
      <c r="M1" t="s">
        <v>779</v>
      </c>
    </row>
    <row r="2" spans="1:13">
      <c r="A2" t="s">
        <v>780</v>
      </c>
      <c r="B2" t="s">
        <v>913</v>
      </c>
      <c r="C2" t="s">
        <v>58</v>
      </c>
      <c r="D2" t="s">
        <v>148</v>
      </c>
      <c r="F2" t="s">
        <v>914</v>
      </c>
      <c r="G2">
        <v>0.3</v>
      </c>
      <c r="H2">
        <v>7</v>
      </c>
      <c r="I2" t="s">
        <v>782</v>
      </c>
      <c r="J2" t="s">
        <v>915</v>
      </c>
      <c r="K2" t="s">
        <v>20</v>
      </c>
      <c r="L2" t="s">
        <v>784</v>
      </c>
      <c r="M2" t="s">
        <v>785</v>
      </c>
    </row>
    <row r="3" spans="1:13">
      <c r="A3" t="s">
        <v>780</v>
      </c>
      <c r="B3" t="s">
        <v>913</v>
      </c>
      <c r="C3" t="s">
        <v>62</v>
      </c>
      <c r="D3" t="s">
        <v>148</v>
      </c>
      <c r="F3" t="s">
        <v>916</v>
      </c>
      <c r="G3">
        <v>0.7</v>
      </c>
      <c r="H3" t="s">
        <v>917</v>
      </c>
      <c r="I3" t="s">
        <v>782</v>
      </c>
      <c r="J3" t="s">
        <v>915</v>
      </c>
      <c r="K3" t="s">
        <v>20</v>
      </c>
      <c r="L3" t="s">
        <v>784</v>
      </c>
      <c r="M3" t="s">
        <v>785</v>
      </c>
    </row>
    <row r="4" spans="1:13">
      <c r="A4" t="s">
        <v>780</v>
      </c>
      <c r="B4" t="s">
        <v>918</v>
      </c>
      <c r="C4" t="s">
        <v>58</v>
      </c>
      <c r="D4" t="s">
        <v>59</v>
      </c>
      <c r="E4" t="s">
        <v>393</v>
      </c>
      <c r="F4" t="s">
        <v>919</v>
      </c>
      <c r="G4">
        <v>0.5</v>
      </c>
      <c r="H4">
        <v>6</v>
      </c>
      <c r="I4" t="s">
        <v>790</v>
      </c>
      <c r="J4" t="s">
        <v>915</v>
      </c>
      <c r="K4" t="s">
        <v>20</v>
      </c>
      <c r="L4" t="s">
        <v>784</v>
      </c>
      <c r="M4" t="s">
        <v>791</v>
      </c>
    </row>
    <row r="5" spans="1:13">
      <c r="A5" t="s">
        <v>780</v>
      </c>
      <c r="B5" t="s">
        <v>918</v>
      </c>
      <c r="C5" t="s">
        <v>62</v>
      </c>
      <c r="D5" t="s">
        <v>148</v>
      </c>
      <c r="E5" t="s">
        <v>279</v>
      </c>
      <c r="F5" t="s">
        <v>920</v>
      </c>
      <c r="G5">
        <v>0.5</v>
      </c>
      <c r="H5">
        <v>12</v>
      </c>
      <c r="I5" t="s">
        <v>790</v>
      </c>
      <c r="J5" t="s">
        <v>915</v>
      </c>
      <c r="K5" t="s">
        <v>20</v>
      </c>
      <c r="L5" t="s">
        <v>784</v>
      </c>
      <c r="M5" t="s">
        <v>791</v>
      </c>
    </row>
    <row r="6" spans="1:13">
      <c r="A6" t="s">
        <v>780</v>
      </c>
      <c r="B6" t="s">
        <v>921</v>
      </c>
      <c r="C6" t="s">
        <v>58</v>
      </c>
      <c r="D6" t="s">
        <v>216</v>
      </c>
      <c r="E6" t="s">
        <v>391</v>
      </c>
      <c r="F6" t="s">
        <v>922</v>
      </c>
      <c r="G6">
        <v>0.6</v>
      </c>
      <c r="H6">
        <v>6</v>
      </c>
      <c r="I6" t="s">
        <v>796</v>
      </c>
      <c r="J6" t="s">
        <v>915</v>
      </c>
      <c r="K6" t="s">
        <v>20</v>
      </c>
      <c r="L6" t="s">
        <v>784</v>
      </c>
      <c r="M6" t="s">
        <v>797</v>
      </c>
    </row>
    <row r="7" spans="1:13">
      <c r="A7" t="s">
        <v>780</v>
      </c>
      <c r="B7" t="s">
        <v>921</v>
      </c>
      <c r="C7" t="s">
        <v>62</v>
      </c>
      <c r="D7" t="s">
        <v>145</v>
      </c>
      <c r="E7" t="s">
        <v>667</v>
      </c>
      <c r="F7" t="s">
        <v>923</v>
      </c>
      <c r="G7">
        <v>0.4</v>
      </c>
      <c r="H7" t="s">
        <v>924</v>
      </c>
      <c r="I7" t="s">
        <v>796</v>
      </c>
      <c r="J7" t="s">
        <v>915</v>
      </c>
      <c r="K7" t="s">
        <v>20</v>
      </c>
      <c r="L7" t="s">
        <v>784</v>
      </c>
      <c r="M7" t="s">
        <v>797</v>
      </c>
    </row>
    <row r="8" spans="1:13">
      <c r="A8" t="s">
        <v>780</v>
      </c>
      <c r="B8" t="s">
        <v>925</v>
      </c>
      <c r="C8" t="s">
        <v>58</v>
      </c>
      <c r="D8" t="s">
        <v>145</v>
      </c>
      <c r="E8" t="s">
        <v>393</v>
      </c>
      <c r="F8" t="s">
        <v>926</v>
      </c>
      <c r="G8">
        <v>0.5</v>
      </c>
      <c r="H8">
        <v>8</v>
      </c>
      <c r="I8" t="s">
        <v>800</v>
      </c>
      <c r="J8" t="s">
        <v>915</v>
      </c>
      <c r="K8" t="s">
        <v>20</v>
      </c>
      <c r="L8" t="s">
        <v>784</v>
      </c>
      <c r="M8" t="s">
        <v>801</v>
      </c>
    </row>
    <row r="9" spans="1:13">
      <c r="A9" t="s">
        <v>780</v>
      </c>
      <c r="B9" t="s">
        <v>925</v>
      </c>
      <c r="C9" t="s">
        <v>62</v>
      </c>
      <c r="D9" t="s">
        <v>216</v>
      </c>
      <c r="E9" t="s">
        <v>391</v>
      </c>
      <c r="F9" t="s">
        <v>927</v>
      </c>
      <c r="G9">
        <v>0.5</v>
      </c>
      <c r="H9" t="s">
        <v>928</v>
      </c>
      <c r="I9" t="s">
        <v>800</v>
      </c>
      <c r="J9" t="s">
        <v>915</v>
      </c>
      <c r="K9" t="s">
        <v>20</v>
      </c>
      <c r="L9" t="s">
        <v>784</v>
      </c>
      <c r="M9" t="s">
        <v>801</v>
      </c>
    </row>
    <row r="10" spans="1:13">
      <c r="A10" t="s">
        <v>780</v>
      </c>
      <c r="B10" t="s">
        <v>929</v>
      </c>
      <c r="C10" t="s">
        <v>58</v>
      </c>
      <c r="D10" t="s">
        <v>145</v>
      </c>
      <c r="E10" t="s">
        <v>930</v>
      </c>
      <c r="F10" t="s">
        <v>931</v>
      </c>
      <c r="G10">
        <v>0.6</v>
      </c>
      <c r="H10">
        <v>28</v>
      </c>
      <c r="I10" t="s">
        <v>804</v>
      </c>
      <c r="J10" t="s">
        <v>915</v>
      </c>
      <c r="K10" t="s">
        <v>20</v>
      </c>
      <c r="L10" t="s">
        <v>784</v>
      </c>
      <c r="M10" t="s">
        <v>805</v>
      </c>
    </row>
    <row r="11" spans="1:13">
      <c r="A11" t="s">
        <v>780</v>
      </c>
      <c r="B11" t="s">
        <v>929</v>
      </c>
      <c r="C11" t="s">
        <v>62</v>
      </c>
      <c r="D11" t="s">
        <v>216</v>
      </c>
      <c r="E11" t="s">
        <v>332</v>
      </c>
      <c r="F11" t="s">
        <v>932</v>
      </c>
      <c r="G11">
        <v>0.4</v>
      </c>
      <c r="H11">
        <v>28</v>
      </c>
      <c r="I11" t="s">
        <v>804</v>
      </c>
      <c r="J11" t="s">
        <v>915</v>
      </c>
      <c r="K11" t="s">
        <v>20</v>
      </c>
      <c r="L11" t="s">
        <v>784</v>
      </c>
      <c r="M11" t="s">
        <v>805</v>
      </c>
    </row>
    <row r="12" spans="1:13">
      <c r="A12" t="s">
        <v>808</v>
      </c>
      <c r="B12" t="s">
        <v>933</v>
      </c>
      <c r="C12" t="s">
        <v>58</v>
      </c>
      <c r="D12" t="s">
        <v>59</v>
      </c>
      <c r="E12" t="s">
        <v>60</v>
      </c>
      <c r="F12" t="s">
        <v>61</v>
      </c>
      <c r="G12">
        <v>0.5</v>
      </c>
      <c r="H12">
        <v>12</v>
      </c>
      <c r="I12" t="s">
        <v>5</v>
      </c>
      <c r="J12" t="s">
        <v>915</v>
      </c>
      <c r="K12" t="s">
        <v>20</v>
      </c>
      <c r="L12" t="s">
        <v>784</v>
      </c>
      <c r="M12" t="s">
        <v>8</v>
      </c>
    </row>
    <row r="13" spans="1:13">
      <c r="A13" t="s">
        <v>808</v>
      </c>
      <c r="B13" t="s">
        <v>933</v>
      </c>
      <c r="C13" t="s">
        <v>62</v>
      </c>
      <c r="D13" t="s">
        <v>59</v>
      </c>
      <c r="E13" t="s">
        <v>63</v>
      </c>
      <c r="F13" t="s">
        <v>64</v>
      </c>
      <c r="G13">
        <v>0.5</v>
      </c>
      <c r="H13">
        <v>32</v>
      </c>
      <c r="I13" t="s">
        <v>5</v>
      </c>
      <c r="J13" t="s">
        <v>915</v>
      </c>
      <c r="K13" t="s">
        <v>20</v>
      </c>
      <c r="L13" t="s">
        <v>784</v>
      </c>
      <c r="M13" t="s">
        <v>8</v>
      </c>
    </row>
    <row r="14" spans="1:13">
      <c r="A14" t="s">
        <v>808</v>
      </c>
      <c r="B14" t="s">
        <v>934</v>
      </c>
      <c r="C14" t="s">
        <v>58</v>
      </c>
      <c r="D14" t="s">
        <v>145</v>
      </c>
      <c r="E14" t="s">
        <v>146</v>
      </c>
      <c r="F14" t="s">
        <v>147</v>
      </c>
      <c r="G14">
        <v>0.5</v>
      </c>
      <c r="H14">
        <v>16</v>
      </c>
      <c r="I14" t="s">
        <v>129</v>
      </c>
      <c r="J14" t="s">
        <v>915</v>
      </c>
      <c r="K14" t="s">
        <v>20</v>
      </c>
      <c r="L14" t="s">
        <v>784</v>
      </c>
      <c r="M14" t="s">
        <v>131</v>
      </c>
    </row>
    <row r="15" spans="1:13">
      <c r="A15" t="s">
        <v>808</v>
      </c>
      <c r="B15" t="s">
        <v>934</v>
      </c>
      <c r="C15" t="s">
        <v>62</v>
      </c>
      <c r="D15" t="s">
        <v>148</v>
      </c>
      <c r="E15" t="s">
        <v>149</v>
      </c>
      <c r="F15" t="s">
        <v>150</v>
      </c>
      <c r="G15">
        <v>0.5</v>
      </c>
      <c r="H15">
        <v>17</v>
      </c>
      <c r="I15" t="s">
        <v>129</v>
      </c>
      <c r="J15" t="s">
        <v>915</v>
      </c>
      <c r="K15" t="s">
        <v>20</v>
      </c>
      <c r="L15" t="s">
        <v>784</v>
      </c>
      <c r="M15" t="s">
        <v>131</v>
      </c>
    </row>
    <row r="16" spans="1:13">
      <c r="A16" t="s">
        <v>808</v>
      </c>
      <c r="B16" t="s">
        <v>935</v>
      </c>
      <c r="C16" t="s">
        <v>58</v>
      </c>
      <c r="D16" t="s">
        <v>148</v>
      </c>
      <c r="E16" t="s">
        <v>214</v>
      </c>
      <c r="F16" t="s">
        <v>215</v>
      </c>
      <c r="G16">
        <v>0.5</v>
      </c>
      <c r="H16">
        <v>25</v>
      </c>
      <c r="I16" t="s">
        <v>198</v>
      </c>
      <c r="J16" t="s">
        <v>915</v>
      </c>
      <c r="K16" t="s">
        <v>20</v>
      </c>
      <c r="L16" t="s">
        <v>784</v>
      </c>
      <c r="M16" t="s">
        <v>200</v>
      </c>
    </row>
    <row r="17" spans="1:13">
      <c r="A17" t="s">
        <v>808</v>
      </c>
      <c r="B17" t="s">
        <v>935</v>
      </c>
      <c r="C17" t="s">
        <v>62</v>
      </c>
      <c r="D17" t="s">
        <v>216</v>
      </c>
      <c r="E17" t="s">
        <v>217</v>
      </c>
      <c r="F17" t="s">
        <v>218</v>
      </c>
      <c r="G17">
        <v>0.5</v>
      </c>
      <c r="H17">
        <v>32</v>
      </c>
      <c r="I17" t="s">
        <v>198</v>
      </c>
      <c r="J17" t="s">
        <v>915</v>
      </c>
      <c r="K17" t="s">
        <v>20</v>
      </c>
      <c r="L17" t="s">
        <v>784</v>
      </c>
      <c r="M17" t="s">
        <v>200</v>
      </c>
    </row>
    <row r="18" spans="1:13">
      <c r="A18" t="s">
        <v>808</v>
      </c>
      <c r="B18" t="s">
        <v>936</v>
      </c>
      <c r="C18" t="s">
        <v>58</v>
      </c>
      <c r="D18" t="s">
        <v>145</v>
      </c>
      <c r="E18" t="s">
        <v>277</v>
      </c>
      <c r="F18" t="s">
        <v>278</v>
      </c>
      <c r="G18">
        <v>0.5</v>
      </c>
      <c r="H18">
        <v>32</v>
      </c>
      <c r="I18" t="s">
        <v>264</v>
      </c>
      <c r="J18" t="s">
        <v>915</v>
      </c>
      <c r="K18" t="s">
        <v>20</v>
      </c>
      <c r="L18" t="s">
        <v>784</v>
      </c>
      <c r="M18" t="s">
        <v>266</v>
      </c>
    </row>
    <row r="19" spans="1:13">
      <c r="A19" t="s">
        <v>808</v>
      </c>
      <c r="B19" t="s">
        <v>936</v>
      </c>
      <c r="C19" t="s">
        <v>62</v>
      </c>
      <c r="D19" t="s">
        <v>148</v>
      </c>
      <c r="E19" t="s">
        <v>279</v>
      </c>
      <c r="F19" t="s">
        <v>280</v>
      </c>
      <c r="G19">
        <v>0.5</v>
      </c>
      <c r="H19">
        <v>33</v>
      </c>
      <c r="I19" t="s">
        <v>264</v>
      </c>
      <c r="J19" t="s">
        <v>915</v>
      </c>
      <c r="K19" t="s">
        <v>20</v>
      </c>
      <c r="L19" t="s">
        <v>784</v>
      </c>
      <c r="M19" t="s">
        <v>266</v>
      </c>
    </row>
    <row r="20" spans="1:13">
      <c r="A20" t="s">
        <v>808</v>
      </c>
      <c r="B20" t="s">
        <v>937</v>
      </c>
      <c r="C20" t="s">
        <v>58</v>
      </c>
      <c r="D20" t="s">
        <v>216</v>
      </c>
      <c r="E20" t="s">
        <v>332</v>
      </c>
      <c r="F20" t="s">
        <v>333</v>
      </c>
      <c r="G20">
        <v>0.5</v>
      </c>
      <c r="H20">
        <v>8</v>
      </c>
      <c r="I20" t="s">
        <v>317</v>
      </c>
      <c r="J20" t="s">
        <v>915</v>
      </c>
      <c r="K20" t="s">
        <v>20</v>
      </c>
      <c r="L20" t="s">
        <v>784</v>
      </c>
      <c r="M20" t="s">
        <v>319</v>
      </c>
    </row>
    <row r="21" spans="1:13">
      <c r="A21" t="s">
        <v>808</v>
      </c>
      <c r="B21" t="s">
        <v>937</v>
      </c>
      <c r="C21" t="s">
        <v>62</v>
      </c>
      <c r="D21" t="s">
        <v>59</v>
      </c>
      <c r="E21" t="s">
        <v>332</v>
      </c>
      <c r="F21" t="s">
        <v>334</v>
      </c>
      <c r="G21">
        <v>0.5</v>
      </c>
      <c r="H21">
        <v>32</v>
      </c>
      <c r="I21" t="s">
        <v>317</v>
      </c>
      <c r="J21" t="s">
        <v>915</v>
      </c>
      <c r="K21" t="s">
        <v>20</v>
      </c>
      <c r="L21" t="s">
        <v>784</v>
      </c>
      <c r="M21" t="s">
        <v>319</v>
      </c>
    </row>
    <row r="22" spans="1:13">
      <c r="A22" t="s">
        <v>808</v>
      </c>
      <c r="B22" t="s">
        <v>938</v>
      </c>
      <c r="C22" t="s">
        <v>58</v>
      </c>
      <c r="D22" t="s">
        <v>216</v>
      </c>
      <c r="E22" t="s">
        <v>391</v>
      </c>
      <c r="F22" t="s">
        <v>392</v>
      </c>
      <c r="G22">
        <v>0.5</v>
      </c>
      <c r="H22">
        <v>12</v>
      </c>
      <c r="I22" t="s">
        <v>377</v>
      </c>
      <c r="J22" t="s">
        <v>915</v>
      </c>
      <c r="K22" t="s">
        <v>20</v>
      </c>
      <c r="L22" t="s">
        <v>784</v>
      </c>
      <c r="M22" t="s">
        <v>379</v>
      </c>
    </row>
    <row r="23" spans="1:13">
      <c r="A23" t="s">
        <v>808</v>
      </c>
      <c r="B23" t="s">
        <v>938</v>
      </c>
      <c r="C23" t="s">
        <v>62</v>
      </c>
      <c r="D23" t="s">
        <v>145</v>
      </c>
      <c r="E23" t="s">
        <v>393</v>
      </c>
      <c r="F23" t="s">
        <v>394</v>
      </c>
      <c r="G23">
        <v>0.5</v>
      </c>
      <c r="H23">
        <v>17</v>
      </c>
      <c r="I23" t="s">
        <v>377</v>
      </c>
      <c r="J23" t="s">
        <v>915</v>
      </c>
      <c r="K23" t="s">
        <v>20</v>
      </c>
      <c r="L23" t="s">
        <v>784</v>
      </c>
      <c r="M23" t="s">
        <v>379</v>
      </c>
    </row>
    <row r="24" spans="1:13">
      <c r="A24" t="s">
        <v>808</v>
      </c>
      <c r="B24" t="s">
        <v>939</v>
      </c>
      <c r="C24" t="s">
        <v>58</v>
      </c>
      <c r="D24" t="s">
        <v>145</v>
      </c>
      <c r="E24" t="s">
        <v>453</v>
      </c>
      <c r="F24" t="s">
        <v>454</v>
      </c>
      <c r="G24">
        <v>0.5</v>
      </c>
      <c r="H24">
        <v>23</v>
      </c>
      <c r="I24" t="s">
        <v>438</v>
      </c>
      <c r="J24" t="s">
        <v>915</v>
      </c>
      <c r="K24" t="s">
        <v>20</v>
      </c>
      <c r="L24" t="s">
        <v>784</v>
      </c>
      <c r="M24" t="s">
        <v>817</v>
      </c>
    </row>
    <row r="25" spans="1:13">
      <c r="A25" t="s">
        <v>808</v>
      </c>
      <c r="B25" t="s">
        <v>939</v>
      </c>
      <c r="C25" t="s">
        <v>62</v>
      </c>
      <c r="D25" t="s">
        <v>216</v>
      </c>
      <c r="E25" t="s">
        <v>332</v>
      </c>
      <c r="F25" t="s">
        <v>455</v>
      </c>
      <c r="G25">
        <v>0.5</v>
      </c>
      <c r="H25">
        <v>27</v>
      </c>
      <c r="I25" t="s">
        <v>438</v>
      </c>
      <c r="J25" t="s">
        <v>915</v>
      </c>
      <c r="K25" t="s">
        <v>20</v>
      </c>
      <c r="L25" t="s">
        <v>784</v>
      </c>
      <c r="M25" t="s">
        <v>817</v>
      </c>
    </row>
    <row r="26" spans="1:13">
      <c r="A26" t="s">
        <v>808</v>
      </c>
      <c r="B26" t="s">
        <v>940</v>
      </c>
      <c r="C26" t="s">
        <v>58</v>
      </c>
      <c r="D26" t="s">
        <v>216</v>
      </c>
      <c r="E26" t="s">
        <v>332</v>
      </c>
      <c r="F26" t="s">
        <v>506</v>
      </c>
      <c r="G26">
        <v>0.5</v>
      </c>
      <c r="H26">
        <v>25</v>
      </c>
      <c r="I26" t="s">
        <v>492</v>
      </c>
      <c r="J26" t="s">
        <v>915</v>
      </c>
      <c r="K26" t="s">
        <v>20</v>
      </c>
      <c r="L26" t="s">
        <v>784</v>
      </c>
      <c r="M26" t="s">
        <v>494</v>
      </c>
    </row>
    <row r="27" spans="1:13">
      <c r="A27" t="s">
        <v>808</v>
      </c>
      <c r="B27" t="s">
        <v>940</v>
      </c>
      <c r="C27" t="s">
        <v>62</v>
      </c>
      <c r="D27" t="s">
        <v>145</v>
      </c>
      <c r="E27" t="s">
        <v>277</v>
      </c>
      <c r="F27" t="s">
        <v>507</v>
      </c>
      <c r="G27">
        <v>0.5</v>
      </c>
      <c r="H27">
        <v>32</v>
      </c>
      <c r="I27" t="s">
        <v>492</v>
      </c>
      <c r="J27" t="s">
        <v>915</v>
      </c>
      <c r="K27" t="s">
        <v>20</v>
      </c>
      <c r="L27" t="s">
        <v>784</v>
      </c>
      <c r="M27" t="s">
        <v>494</v>
      </c>
    </row>
    <row r="28" spans="1:13">
      <c r="A28" t="s">
        <v>808</v>
      </c>
      <c r="B28" t="s">
        <v>941</v>
      </c>
      <c r="C28" t="s">
        <v>58</v>
      </c>
      <c r="D28" t="s">
        <v>145</v>
      </c>
      <c r="E28" t="s">
        <v>393</v>
      </c>
      <c r="F28" t="s">
        <v>559</v>
      </c>
      <c r="G28">
        <v>0.5</v>
      </c>
      <c r="H28">
        <v>8</v>
      </c>
      <c r="I28" t="s">
        <v>545</v>
      </c>
      <c r="J28" t="s">
        <v>915</v>
      </c>
      <c r="K28" t="s">
        <v>20</v>
      </c>
      <c r="L28" t="s">
        <v>784</v>
      </c>
      <c r="M28" t="s">
        <v>547</v>
      </c>
    </row>
    <row r="29" spans="1:13">
      <c r="A29" t="s">
        <v>808</v>
      </c>
      <c r="B29" t="s">
        <v>941</v>
      </c>
      <c r="C29" t="s">
        <v>62</v>
      </c>
      <c r="D29" t="s">
        <v>145</v>
      </c>
      <c r="E29" t="s">
        <v>277</v>
      </c>
      <c r="F29" t="s">
        <v>560</v>
      </c>
      <c r="G29">
        <v>0.5</v>
      </c>
      <c r="H29">
        <v>17</v>
      </c>
      <c r="I29" t="s">
        <v>545</v>
      </c>
      <c r="J29" t="s">
        <v>915</v>
      </c>
      <c r="K29" t="s">
        <v>20</v>
      </c>
      <c r="L29" t="s">
        <v>784</v>
      </c>
      <c r="M29" t="s">
        <v>547</v>
      </c>
    </row>
    <row r="30" spans="1:13">
      <c r="A30" t="s">
        <v>808</v>
      </c>
      <c r="B30" t="s">
        <v>942</v>
      </c>
      <c r="C30" t="s">
        <v>58</v>
      </c>
      <c r="D30" t="s">
        <v>148</v>
      </c>
      <c r="E30" t="s">
        <v>611</v>
      </c>
      <c r="F30" t="s">
        <v>612</v>
      </c>
      <c r="G30">
        <v>0.5</v>
      </c>
      <c r="H30">
        <v>17</v>
      </c>
      <c r="I30" t="s">
        <v>596</v>
      </c>
      <c r="J30" t="s">
        <v>915</v>
      </c>
      <c r="K30" t="s">
        <v>20</v>
      </c>
      <c r="L30" t="s">
        <v>784</v>
      </c>
      <c r="M30" t="s">
        <v>598</v>
      </c>
    </row>
    <row r="31" spans="1:13">
      <c r="A31" t="s">
        <v>808</v>
      </c>
      <c r="B31" t="s">
        <v>942</v>
      </c>
      <c r="C31" t="s">
        <v>62</v>
      </c>
      <c r="D31" t="s">
        <v>216</v>
      </c>
      <c r="E31" t="s">
        <v>613</v>
      </c>
      <c r="F31" t="s">
        <v>614</v>
      </c>
      <c r="G31">
        <v>0.5</v>
      </c>
      <c r="H31">
        <v>12</v>
      </c>
      <c r="I31" t="s">
        <v>596</v>
      </c>
      <c r="J31" t="s">
        <v>915</v>
      </c>
      <c r="K31" t="s">
        <v>20</v>
      </c>
      <c r="L31" t="s">
        <v>784</v>
      </c>
      <c r="M31" t="s">
        <v>598</v>
      </c>
    </row>
    <row r="32" spans="1:13">
      <c r="A32" t="s">
        <v>808</v>
      </c>
      <c r="B32" t="s">
        <v>943</v>
      </c>
      <c r="C32" t="s">
        <v>58</v>
      </c>
      <c r="D32" t="s">
        <v>216</v>
      </c>
      <c r="E32" t="s">
        <v>391</v>
      </c>
      <c r="F32" t="s">
        <v>666</v>
      </c>
      <c r="G32">
        <v>0.5</v>
      </c>
      <c r="H32">
        <v>22</v>
      </c>
      <c r="I32" t="s">
        <v>650</v>
      </c>
      <c r="J32" t="s">
        <v>915</v>
      </c>
      <c r="K32" t="s">
        <v>20</v>
      </c>
      <c r="L32" t="s">
        <v>784</v>
      </c>
      <c r="M32" t="s">
        <v>652</v>
      </c>
    </row>
    <row r="33" spans="1:13">
      <c r="A33" t="s">
        <v>808</v>
      </c>
      <c r="B33" t="s">
        <v>943</v>
      </c>
      <c r="C33" t="s">
        <v>62</v>
      </c>
      <c r="D33" t="s">
        <v>145</v>
      </c>
      <c r="E33" t="s">
        <v>667</v>
      </c>
      <c r="F33" t="s">
        <v>668</v>
      </c>
      <c r="G33">
        <v>0.5</v>
      </c>
      <c r="H33">
        <v>32</v>
      </c>
      <c r="I33" t="s">
        <v>650</v>
      </c>
      <c r="J33" t="s">
        <v>915</v>
      </c>
      <c r="K33" t="s">
        <v>20</v>
      </c>
      <c r="L33" t="s">
        <v>784</v>
      </c>
      <c r="M33" t="s">
        <v>652</v>
      </c>
    </row>
    <row r="34" spans="1:13">
      <c r="A34" t="s">
        <v>808</v>
      </c>
      <c r="B34" t="s">
        <v>944</v>
      </c>
      <c r="C34" t="s">
        <v>58</v>
      </c>
      <c r="D34" t="s">
        <v>145</v>
      </c>
      <c r="E34" t="s">
        <v>730</v>
      </c>
      <c r="F34" t="s">
        <v>731</v>
      </c>
      <c r="G34">
        <v>0.4</v>
      </c>
      <c r="H34">
        <v>30</v>
      </c>
      <c r="I34" t="s">
        <v>710</v>
      </c>
      <c r="J34" t="s">
        <v>915</v>
      </c>
      <c r="K34" t="s">
        <v>20</v>
      </c>
      <c r="L34" t="s">
        <v>784</v>
      </c>
      <c r="M34" t="s">
        <v>822</v>
      </c>
    </row>
    <row r="35" spans="1:13">
      <c r="A35" t="s">
        <v>808</v>
      </c>
      <c r="B35" t="s">
        <v>944</v>
      </c>
      <c r="C35" t="s">
        <v>62</v>
      </c>
      <c r="D35" t="s">
        <v>59</v>
      </c>
      <c r="E35" t="s">
        <v>732</v>
      </c>
      <c r="F35" t="s">
        <v>733</v>
      </c>
      <c r="G35">
        <v>0.2</v>
      </c>
      <c r="H35">
        <v>31</v>
      </c>
      <c r="I35" t="s">
        <v>710</v>
      </c>
      <c r="J35" t="s">
        <v>915</v>
      </c>
      <c r="K35" t="s">
        <v>20</v>
      </c>
      <c r="L35" t="s">
        <v>784</v>
      </c>
      <c r="M35" t="s">
        <v>822</v>
      </c>
    </row>
    <row r="36" spans="1:13">
      <c r="A36" t="s">
        <v>808</v>
      </c>
      <c r="B36" t="s">
        <v>944</v>
      </c>
      <c r="C36" t="s">
        <v>65</v>
      </c>
      <c r="D36" t="s">
        <v>734</v>
      </c>
      <c r="E36" t="s">
        <v>735</v>
      </c>
      <c r="F36" t="s">
        <v>736</v>
      </c>
      <c r="G36">
        <v>0.4</v>
      </c>
      <c r="H36">
        <v>33</v>
      </c>
      <c r="I36" t="s">
        <v>710</v>
      </c>
      <c r="J36" t="s">
        <v>915</v>
      </c>
      <c r="K36" t="s">
        <v>20</v>
      </c>
      <c r="L36" t="s">
        <v>784</v>
      </c>
      <c r="M36" t="s">
        <v>822</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93630C-9426-4FC9-985B-8F53F2E5265A}">
  <sheetPr codeName="Sheet23"/>
  <dimension ref="A1:I53"/>
  <sheetViews>
    <sheetView workbookViewId="0">
      <selection activeCell="G49" sqref="G49"/>
    </sheetView>
  </sheetViews>
  <sheetFormatPr defaultRowHeight="15"/>
  <cols>
    <col min="1" max="1" width="48.140625" bestFit="1" customWidth="1"/>
    <col min="2" max="2" width="13.5703125" bestFit="1" customWidth="1"/>
    <col min="3" max="3" width="13.42578125" bestFit="1" customWidth="1"/>
    <col min="4" max="4" width="180.7109375" bestFit="1" customWidth="1"/>
    <col min="5" max="5" width="14.7109375" bestFit="1" customWidth="1"/>
    <col min="6" max="6" width="12.5703125" bestFit="1" customWidth="1"/>
    <col min="7" max="7" width="13.85546875" bestFit="1" customWidth="1"/>
    <col min="8" max="8" width="12.140625" bestFit="1" customWidth="1"/>
    <col min="9" max="9" width="45.85546875" bestFit="1" customWidth="1"/>
  </cols>
  <sheetData>
    <row r="1" spans="1:9">
      <c r="A1" t="s">
        <v>773</v>
      </c>
      <c r="B1" t="s">
        <v>774</v>
      </c>
      <c r="C1" t="s">
        <v>39</v>
      </c>
      <c r="D1" t="s">
        <v>40</v>
      </c>
      <c r="E1" t="s">
        <v>775</v>
      </c>
      <c r="F1" t="s">
        <v>776</v>
      </c>
      <c r="G1" t="s">
        <v>777</v>
      </c>
      <c r="H1" t="s">
        <v>778</v>
      </c>
      <c r="I1" t="s">
        <v>779</v>
      </c>
    </row>
    <row r="2" spans="1:9">
      <c r="A2" t="s">
        <v>780</v>
      </c>
      <c r="B2" t="s">
        <v>945</v>
      </c>
      <c r="C2" t="s">
        <v>42</v>
      </c>
      <c r="D2" t="s">
        <v>946</v>
      </c>
      <c r="E2" t="s">
        <v>782</v>
      </c>
      <c r="F2" t="s">
        <v>947</v>
      </c>
      <c r="G2" t="s">
        <v>20</v>
      </c>
      <c r="H2" t="s">
        <v>784</v>
      </c>
      <c r="I2" t="s">
        <v>785</v>
      </c>
    </row>
    <row r="3" spans="1:9">
      <c r="A3" t="s">
        <v>780</v>
      </c>
      <c r="B3" t="s">
        <v>945</v>
      </c>
      <c r="C3" t="s">
        <v>45</v>
      </c>
      <c r="D3" t="s">
        <v>948</v>
      </c>
      <c r="E3" t="s">
        <v>782</v>
      </c>
      <c r="F3" t="s">
        <v>947</v>
      </c>
      <c r="G3" t="s">
        <v>20</v>
      </c>
      <c r="H3" t="s">
        <v>784</v>
      </c>
      <c r="I3" t="s">
        <v>785</v>
      </c>
    </row>
    <row r="4" spans="1:9">
      <c r="A4" t="s">
        <v>780</v>
      </c>
      <c r="B4" t="s">
        <v>949</v>
      </c>
      <c r="C4" t="s">
        <v>42</v>
      </c>
      <c r="D4" t="s">
        <v>950</v>
      </c>
      <c r="E4" t="s">
        <v>790</v>
      </c>
      <c r="F4" t="s">
        <v>947</v>
      </c>
      <c r="G4" t="s">
        <v>20</v>
      </c>
      <c r="H4" t="s">
        <v>784</v>
      </c>
      <c r="I4" t="s">
        <v>791</v>
      </c>
    </row>
    <row r="5" spans="1:9">
      <c r="A5" t="s">
        <v>780</v>
      </c>
      <c r="B5" t="s">
        <v>949</v>
      </c>
      <c r="C5" t="s">
        <v>45</v>
      </c>
      <c r="D5" t="s">
        <v>951</v>
      </c>
      <c r="E5" t="s">
        <v>790</v>
      </c>
      <c r="F5" t="s">
        <v>947</v>
      </c>
      <c r="G5" t="s">
        <v>20</v>
      </c>
      <c r="H5" t="s">
        <v>784</v>
      </c>
      <c r="I5" t="s">
        <v>791</v>
      </c>
    </row>
    <row r="6" spans="1:9">
      <c r="A6" t="s">
        <v>780</v>
      </c>
      <c r="B6" t="s">
        <v>949</v>
      </c>
      <c r="C6" t="s">
        <v>47</v>
      </c>
      <c r="D6" t="s">
        <v>952</v>
      </c>
      <c r="E6" t="s">
        <v>790</v>
      </c>
      <c r="F6" t="s">
        <v>947</v>
      </c>
      <c r="G6" t="s">
        <v>20</v>
      </c>
      <c r="H6" t="s">
        <v>784</v>
      </c>
      <c r="I6" t="s">
        <v>791</v>
      </c>
    </row>
    <row r="7" spans="1:9">
      <c r="A7" t="s">
        <v>780</v>
      </c>
      <c r="B7" t="s">
        <v>953</v>
      </c>
      <c r="C7" t="s">
        <v>42</v>
      </c>
      <c r="D7" t="s">
        <v>954</v>
      </c>
      <c r="E7" t="s">
        <v>796</v>
      </c>
      <c r="F7" t="s">
        <v>947</v>
      </c>
      <c r="G7" t="s">
        <v>20</v>
      </c>
      <c r="H7" t="s">
        <v>784</v>
      </c>
      <c r="I7" t="s">
        <v>797</v>
      </c>
    </row>
    <row r="8" spans="1:9">
      <c r="A8" t="s">
        <v>780</v>
      </c>
      <c r="B8" t="s">
        <v>953</v>
      </c>
      <c r="C8" t="s">
        <v>45</v>
      </c>
      <c r="D8" t="s">
        <v>955</v>
      </c>
      <c r="E8" t="s">
        <v>796</v>
      </c>
      <c r="F8" t="s">
        <v>947</v>
      </c>
      <c r="G8" t="s">
        <v>20</v>
      </c>
      <c r="H8" t="s">
        <v>784</v>
      </c>
      <c r="I8" t="s">
        <v>797</v>
      </c>
    </row>
    <row r="9" spans="1:9">
      <c r="A9" t="s">
        <v>780</v>
      </c>
      <c r="B9" t="s">
        <v>953</v>
      </c>
      <c r="C9" t="s">
        <v>47</v>
      </c>
      <c r="D9" t="s">
        <v>956</v>
      </c>
      <c r="E9" t="s">
        <v>796</v>
      </c>
      <c r="F9" t="s">
        <v>947</v>
      </c>
      <c r="G9" t="s">
        <v>20</v>
      </c>
      <c r="H9" t="s">
        <v>784</v>
      </c>
      <c r="I9" t="s">
        <v>797</v>
      </c>
    </row>
    <row r="10" spans="1:9">
      <c r="A10" t="s">
        <v>780</v>
      </c>
      <c r="B10" t="s">
        <v>957</v>
      </c>
      <c r="C10" t="s">
        <v>42</v>
      </c>
      <c r="D10" t="s">
        <v>958</v>
      </c>
      <c r="E10" t="s">
        <v>800</v>
      </c>
      <c r="F10" t="s">
        <v>947</v>
      </c>
      <c r="G10" t="s">
        <v>20</v>
      </c>
      <c r="H10" t="s">
        <v>784</v>
      </c>
      <c r="I10" t="s">
        <v>801</v>
      </c>
    </row>
    <row r="11" spans="1:9">
      <c r="A11" t="s">
        <v>780</v>
      </c>
      <c r="B11" t="s">
        <v>957</v>
      </c>
      <c r="C11" t="s">
        <v>45</v>
      </c>
      <c r="D11" t="s">
        <v>959</v>
      </c>
      <c r="E11" t="s">
        <v>800</v>
      </c>
      <c r="F11" t="s">
        <v>947</v>
      </c>
      <c r="G11" t="s">
        <v>20</v>
      </c>
      <c r="H11" t="s">
        <v>784</v>
      </c>
      <c r="I11" t="s">
        <v>801</v>
      </c>
    </row>
    <row r="12" spans="1:9">
      <c r="A12" t="s">
        <v>780</v>
      </c>
      <c r="B12" t="s">
        <v>960</v>
      </c>
      <c r="C12" t="s">
        <v>42</v>
      </c>
      <c r="D12" t="s">
        <v>961</v>
      </c>
      <c r="E12" t="s">
        <v>804</v>
      </c>
      <c r="F12" t="s">
        <v>947</v>
      </c>
      <c r="G12" t="s">
        <v>20</v>
      </c>
      <c r="H12" t="s">
        <v>784</v>
      </c>
      <c r="I12" t="s">
        <v>805</v>
      </c>
    </row>
    <row r="13" spans="1:9">
      <c r="A13" t="s">
        <v>780</v>
      </c>
      <c r="B13" t="s">
        <v>960</v>
      </c>
      <c r="C13" t="s">
        <v>45</v>
      </c>
      <c r="D13" t="s">
        <v>962</v>
      </c>
      <c r="E13" t="s">
        <v>804</v>
      </c>
      <c r="F13" t="s">
        <v>947</v>
      </c>
      <c r="G13" t="s">
        <v>20</v>
      </c>
      <c r="H13" t="s">
        <v>784</v>
      </c>
      <c r="I13" t="s">
        <v>805</v>
      </c>
    </row>
    <row r="14" spans="1:9">
      <c r="A14" t="s">
        <v>780</v>
      </c>
      <c r="B14" t="s">
        <v>960</v>
      </c>
      <c r="C14" t="s">
        <v>47</v>
      </c>
      <c r="D14" t="s">
        <v>963</v>
      </c>
      <c r="E14" t="s">
        <v>804</v>
      </c>
      <c r="F14" t="s">
        <v>947</v>
      </c>
      <c r="G14" t="s">
        <v>20</v>
      </c>
      <c r="H14" t="s">
        <v>784</v>
      </c>
      <c r="I14" t="s">
        <v>805</v>
      </c>
    </row>
    <row r="15" spans="1:9">
      <c r="A15" t="s">
        <v>808</v>
      </c>
      <c r="B15" t="s">
        <v>964</v>
      </c>
      <c r="C15" t="s">
        <v>42</v>
      </c>
      <c r="D15" t="s">
        <v>43</v>
      </c>
      <c r="E15" t="s">
        <v>5</v>
      </c>
      <c r="F15" t="s">
        <v>947</v>
      </c>
      <c r="G15" t="s">
        <v>20</v>
      </c>
      <c r="H15" t="s">
        <v>784</v>
      </c>
      <c r="I15" t="s">
        <v>8</v>
      </c>
    </row>
    <row r="16" spans="1:9">
      <c r="A16" t="s">
        <v>808</v>
      </c>
      <c r="B16" t="s">
        <v>964</v>
      </c>
      <c r="C16" t="s">
        <v>45</v>
      </c>
      <c r="D16" t="s">
        <v>46</v>
      </c>
      <c r="E16" t="s">
        <v>5</v>
      </c>
      <c r="F16" t="s">
        <v>947</v>
      </c>
      <c r="G16" t="s">
        <v>20</v>
      </c>
      <c r="H16" t="s">
        <v>784</v>
      </c>
      <c r="I16" t="s">
        <v>8</v>
      </c>
    </row>
    <row r="17" spans="1:9">
      <c r="A17" t="s">
        <v>808</v>
      </c>
      <c r="B17" t="s">
        <v>964</v>
      </c>
      <c r="C17" t="s">
        <v>47</v>
      </c>
      <c r="D17" t="s">
        <v>48</v>
      </c>
      <c r="E17" t="s">
        <v>5</v>
      </c>
      <c r="F17" t="s">
        <v>947</v>
      </c>
      <c r="G17" t="s">
        <v>20</v>
      </c>
      <c r="H17" t="s">
        <v>784</v>
      </c>
      <c r="I17" t="s">
        <v>8</v>
      </c>
    </row>
    <row r="18" spans="1:9">
      <c r="A18" t="s">
        <v>808</v>
      </c>
      <c r="B18" t="s">
        <v>965</v>
      </c>
      <c r="C18" t="s">
        <v>42</v>
      </c>
      <c r="D18" t="s">
        <v>142</v>
      </c>
      <c r="E18" t="s">
        <v>129</v>
      </c>
      <c r="F18" t="s">
        <v>947</v>
      </c>
      <c r="G18" t="s">
        <v>20</v>
      </c>
      <c r="H18" t="s">
        <v>784</v>
      </c>
      <c r="I18" t="s">
        <v>131</v>
      </c>
    </row>
    <row r="19" spans="1:9">
      <c r="A19" t="s">
        <v>808</v>
      </c>
      <c r="B19" t="s">
        <v>965</v>
      </c>
      <c r="C19" t="s">
        <v>45</v>
      </c>
      <c r="D19" t="s">
        <v>143</v>
      </c>
      <c r="E19" t="s">
        <v>129</v>
      </c>
      <c r="F19" t="s">
        <v>947</v>
      </c>
      <c r="G19" t="s">
        <v>20</v>
      </c>
      <c r="H19" t="s">
        <v>784</v>
      </c>
      <c r="I19" t="s">
        <v>131</v>
      </c>
    </row>
    <row r="20" spans="1:9">
      <c r="A20" t="s">
        <v>808</v>
      </c>
      <c r="B20" t="s">
        <v>965</v>
      </c>
      <c r="C20" t="s">
        <v>47</v>
      </c>
      <c r="D20" t="s">
        <v>144</v>
      </c>
      <c r="E20" t="s">
        <v>129</v>
      </c>
      <c r="F20" t="s">
        <v>947</v>
      </c>
      <c r="G20" t="s">
        <v>20</v>
      </c>
      <c r="H20" t="s">
        <v>784</v>
      </c>
      <c r="I20" t="s">
        <v>131</v>
      </c>
    </row>
    <row r="21" spans="1:9">
      <c r="A21" t="s">
        <v>808</v>
      </c>
      <c r="B21" t="s">
        <v>966</v>
      </c>
      <c r="C21" t="s">
        <v>42</v>
      </c>
      <c r="D21" t="s">
        <v>210</v>
      </c>
      <c r="E21" t="s">
        <v>198</v>
      </c>
      <c r="F21" t="s">
        <v>947</v>
      </c>
      <c r="G21" t="s">
        <v>20</v>
      </c>
      <c r="H21" t="s">
        <v>784</v>
      </c>
      <c r="I21" t="s">
        <v>200</v>
      </c>
    </row>
    <row r="22" spans="1:9">
      <c r="A22" t="s">
        <v>808</v>
      </c>
      <c r="B22" t="s">
        <v>966</v>
      </c>
      <c r="C22" t="s">
        <v>45</v>
      </c>
      <c r="D22" t="s">
        <v>212</v>
      </c>
      <c r="E22" t="s">
        <v>198</v>
      </c>
      <c r="F22" t="s">
        <v>947</v>
      </c>
      <c r="G22" t="s">
        <v>20</v>
      </c>
      <c r="H22" t="s">
        <v>784</v>
      </c>
      <c r="I22" t="s">
        <v>200</v>
      </c>
    </row>
    <row r="23" spans="1:9">
      <c r="A23" t="s">
        <v>808</v>
      </c>
      <c r="B23" t="s">
        <v>966</v>
      </c>
      <c r="C23" t="s">
        <v>47</v>
      </c>
      <c r="D23" t="s">
        <v>213</v>
      </c>
      <c r="E23" t="s">
        <v>198</v>
      </c>
      <c r="F23" t="s">
        <v>947</v>
      </c>
      <c r="G23" t="s">
        <v>20</v>
      </c>
      <c r="H23" t="s">
        <v>784</v>
      </c>
      <c r="I23" t="s">
        <v>200</v>
      </c>
    </row>
    <row r="24" spans="1:9">
      <c r="A24" t="s">
        <v>808</v>
      </c>
      <c r="B24" t="s">
        <v>967</v>
      </c>
      <c r="C24" t="s">
        <v>42</v>
      </c>
      <c r="D24" t="s">
        <v>274</v>
      </c>
      <c r="E24" t="s">
        <v>264</v>
      </c>
      <c r="F24" t="s">
        <v>947</v>
      </c>
      <c r="G24" t="s">
        <v>20</v>
      </c>
      <c r="H24" t="s">
        <v>784</v>
      </c>
      <c r="I24" t="s">
        <v>266</v>
      </c>
    </row>
    <row r="25" spans="1:9">
      <c r="A25" t="s">
        <v>808</v>
      </c>
      <c r="B25" t="s">
        <v>967</v>
      </c>
      <c r="C25" t="s">
        <v>45</v>
      </c>
      <c r="D25" t="s">
        <v>275</v>
      </c>
      <c r="E25" t="s">
        <v>264</v>
      </c>
      <c r="F25" t="s">
        <v>947</v>
      </c>
      <c r="G25" t="s">
        <v>20</v>
      </c>
      <c r="H25" t="s">
        <v>784</v>
      </c>
      <c r="I25" t="s">
        <v>266</v>
      </c>
    </row>
    <row r="26" spans="1:9">
      <c r="A26" t="s">
        <v>808</v>
      </c>
      <c r="B26" t="s">
        <v>967</v>
      </c>
      <c r="C26" t="s">
        <v>47</v>
      </c>
      <c r="D26" t="s">
        <v>276</v>
      </c>
      <c r="E26" t="s">
        <v>264</v>
      </c>
      <c r="F26" t="s">
        <v>947</v>
      </c>
      <c r="G26" t="s">
        <v>20</v>
      </c>
      <c r="H26" t="s">
        <v>784</v>
      </c>
      <c r="I26" t="s">
        <v>266</v>
      </c>
    </row>
    <row r="27" spans="1:9">
      <c r="A27" t="s">
        <v>808</v>
      </c>
      <c r="B27" t="s">
        <v>968</v>
      </c>
      <c r="C27" t="s">
        <v>42</v>
      </c>
      <c r="D27" t="s">
        <v>329</v>
      </c>
      <c r="E27" t="s">
        <v>317</v>
      </c>
      <c r="F27" t="s">
        <v>947</v>
      </c>
      <c r="G27" t="s">
        <v>20</v>
      </c>
      <c r="H27" t="s">
        <v>784</v>
      </c>
      <c r="I27" t="s">
        <v>319</v>
      </c>
    </row>
    <row r="28" spans="1:9">
      <c r="A28" t="s">
        <v>808</v>
      </c>
      <c r="B28" t="s">
        <v>968</v>
      </c>
      <c r="C28" t="s">
        <v>45</v>
      </c>
      <c r="D28" t="s">
        <v>330</v>
      </c>
      <c r="E28" t="s">
        <v>317</v>
      </c>
      <c r="F28" t="s">
        <v>947</v>
      </c>
      <c r="G28" t="s">
        <v>20</v>
      </c>
      <c r="H28" t="s">
        <v>784</v>
      </c>
      <c r="I28" t="s">
        <v>319</v>
      </c>
    </row>
    <row r="29" spans="1:9">
      <c r="A29" t="s">
        <v>808</v>
      </c>
      <c r="B29" t="s">
        <v>968</v>
      </c>
      <c r="C29" t="s">
        <v>47</v>
      </c>
      <c r="D29" t="s">
        <v>331</v>
      </c>
      <c r="E29" t="s">
        <v>317</v>
      </c>
      <c r="F29" t="s">
        <v>947</v>
      </c>
      <c r="G29" t="s">
        <v>20</v>
      </c>
      <c r="H29" t="s">
        <v>784</v>
      </c>
      <c r="I29" t="s">
        <v>319</v>
      </c>
    </row>
    <row r="30" spans="1:9">
      <c r="A30" t="s">
        <v>808</v>
      </c>
      <c r="B30" t="s">
        <v>969</v>
      </c>
      <c r="C30" t="s">
        <v>42</v>
      </c>
      <c r="D30" t="s">
        <v>388</v>
      </c>
      <c r="E30" t="s">
        <v>377</v>
      </c>
      <c r="F30" t="s">
        <v>947</v>
      </c>
      <c r="G30" t="s">
        <v>20</v>
      </c>
      <c r="H30" t="s">
        <v>784</v>
      </c>
      <c r="I30" t="s">
        <v>379</v>
      </c>
    </row>
    <row r="31" spans="1:9">
      <c r="A31" t="s">
        <v>808</v>
      </c>
      <c r="B31" t="s">
        <v>969</v>
      </c>
      <c r="C31" t="s">
        <v>45</v>
      </c>
      <c r="D31" t="s">
        <v>389</v>
      </c>
      <c r="E31" t="s">
        <v>377</v>
      </c>
      <c r="F31" t="s">
        <v>947</v>
      </c>
      <c r="G31" t="s">
        <v>20</v>
      </c>
      <c r="H31" t="s">
        <v>784</v>
      </c>
      <c r="I31" t="s">
        <v>379</v>
      </c>
    </row>
    <row r="32" spans="1:9">
      <c r="A32" t="s">
        <v>808</v>
      </c>
      <c r="B32" t="s">
        <v>969</v>
      </c>
      <c r="C32" t="s">
        <v>47</v>
      </c>
      <c r="D32" t="s">
        <v>390</v>
      </c>
      <c r="E32" t="s">
        <v>377</v>
      </c>
      <c r="F32" t="s">
        <v>947</v>
      </c>
      <c r="G32" t="s">
        <v>20</v>
      </c>
      <c r="H32" t="s">
        <v>784</v>
      </c>
      <c r="I32" t="s">
        <v>379</v>
      </c>
    </row>
    <row r="33" spans="1:9">
      <c r="A33" t="s">
        <v>808</v>
      </c>
      <c r="B33" t="s">
        <v>970</v>
      </c>
      <c r="C33" t="s">
        <v>42</v>
      </c>
      <c r="D33" t="s">
        <v>450</v>
      </c>
      <c r="E33" t="s">
        <v>438</v>
      </c>
      <c r="F33" t="s">
        <v>947</v>
      </c>
      <c r="G33" t="s">
        <v>20</v>
      </c>
      <c r="H33" t="s">
        <v>784</v>
      </c>
      <c r="I33" t="s">
        <v>817</v>
      </c>
    </row>
    <row r="34" spans="1:9">
      <c r="A34" t="s">
        <v>808</v>
      </c>
      <c r="B34" t="s">
        <v>970</v>
      </c>
      <c r="C34" t="s">
        <v>45</v>
      </c>
      <c r="D34" t="s">
        <v>451</v>
      </c>
      <c r="E34" t="s">
        <v>438</v>
      </c>
      <c r="F34" t="s">
        <v>947</v>
      </c>
      <c r="G34" t="s">
        <v>20</v>
      </c>
      <c r="H34" t="s">
        <v>784</v>
      </c>
      <c r="I34" t="s">
        <v>817</v>
      </c>
    </row>
    <row r="35" spans="1:9">
      <c r="A35" t="s">
        <v>808</v>
      </c>
      <c r="B35" t="s">
        <v>970</v>
      </c>
      <c r="C35" t="s">
        <v>47</v>
      </c>
      <c r="D35" t="s">
        <v>452</v>
      </c>
      <c r="E35" t="s">
        <v>438</v>
      </c>
      <c r="F35" t="s">
        <v>947</v>
      </c>
      <c r="G35" t="s">
        <v>20</v>
      </c>
      <c r="H35" t="s">
        <v>784</v>
      </c>
      <c r="I35" t="s">
        <v>817</v>
      </c>
    </row>
    <row r="36" spans="1:9">
      <c r="A36" t="s">
        <v>808</v>
      </c>
      <c r="B36" t="s">
        <v>971</v>
      </c>
      <c r="C36" t="s">
        <v>42</v>
      </c>
      <c r="D36" t="s">
        <v>503</v>
      </c>
      <c r="E36" t="s">
        <v>492</v>
      </c>
      <c r="F36" t="s">
        <v>947</v>
      </c>
      <c r="G36" t="s">
        <v>20</v>
      </c>
      <c r="H36" t="s">
        <v>784</v>
      </c>
      <c r="I36" t="s">
        <v>494</v>
      </c>
    </row>
    <row r="37" spans="1:9">
      <c r="A37" t="s">
        <v>808</v>
      </c>
      <c r="B37" t="s">
        <v>971</v>
      </c>
      <c r="C37" t="s">
        <v>45</v>
      </c>
      <c r="D37" t="s">
        <v>504</v>
      </c>
      <c r="E37" t="s">
        <v>492</v>
      </c>
      <c r="F37" t="s">
        <v>947</v>
      </c>
      <c r="G37" t="s">
        <v>20</v>
      </c>
      <c r="H37" t="s">
        <v>784</v>
      </c>
      <c r="I37" t="s">
        <v>494</v>
      </c>
    </row>
    <row r="38" spans="1:9">
      <c r="A38" t="s">
        <v>808</v>
      </c>
      <c r="B38" t="s">
        <v>971</v>
      </c>
      <c r="C38" t="s">
        <v>47</v>
      </c>
      <c r="D38" t="s">
        <v>505</v>
      </c>
      <c r="E38" t="s">
        <v>492</v>
      </c>
      <c r="F38" t="s">
        <v>947</v>
      </c>
      <c r="G38" t="s">
        <v>20</v>
      </c>
      <c r="H38" t="s">
        <v>784</v>
      </c>
      <c r="I38" t="s">
        <v>494</v>
      </c>
    </row>
    <row r="39" spans="1:9">
      <c r="A39" t="s">
        <v>808</v>
      </c>
      <c r="B39" t="s">
        <v>972</v>
      </c>
      <c r="C39" t="s">
        <v>42</v>
      </c>
      <c r="D39" t="s">
        <v>556</v>
      </c>
      <c r="E39" t="s">
        <v>545</v>
      </c>
      <c r="F39" t="s">
        <v>947</v>
      </c>
      <c r="G39" t="s">
        <v>20</v>
      </c>
      <c r="H39" t="s">
        <v>784</v>
      </c>
      <c r="I39" t="s">
        <v>547</v>
      </c>
    </row>
    <row r="40" spans="1:9">
      <c r="A40" t="s">
        <v>808</v>
      </c>
      <c r="B40" t="s">
        <v>972</v>
      </c>
      <c r="C40" t="s">
        <v>45</v>
      </c>
      <c r="D40" t="s">
        <v>557</v>
      </c>
      <c r="E40" t="s">
        <v>545</v>
      </c>
      <c r="F40" t="s">
        <v>947</v>
      </c>
      <c r="G40" t="s">
        <v>20</v>
      </c>
      <c r="H40" t="s">
        <v>784</v>
      </c>
      <c r="I40" t="s">
        <v>547</v>
      </c>
    </row>
    <row r="41" spans="1:9">
      <c r="A41" t="s">
        <v>808</v>
      </c>
      <c r="B41" t="s">
        <v>972</v>
      </c>
      <c r="C41" t="s">
        <v>47</v>
      </c>
      <c r="D41" t="s">
        <v>558</v>
      </c>
      <c r="E41" t="s">
        <v>545</v>
      </c>
      <c r="F41" t="s">
        <v>947</v>
      </c>
      <c r="G41" t="s">
        <v>20</v>
      </c>
      <c r="H41" t="s">
        <v>784</v>
      </c>
      <c r="I41" t="s">
        <v>547</v>
      </c>
    </row>
    <row r="42" spans="1:9">
      <c r="A42" t="s">
        <v>808</v>
      </c>
      <c r="B42" t="s">
        <v>973</v>
      </c>
      <c r="C42" t="s">
        <v>42</v>
      </c>
      <c r="D42" t="s">
        <v>608</v>
      </c>
      <c r="E42" t="s">
        <v>596</v>
      </c>
      <c r="F42" t="s">
        <v>947</v>
      </c>
      <c r="G42" t="s">
        <v>20</v>
      </c>
      <c r="H42" t="s">
        <v>784</v>
      </c>
      <c r="I42" t="s">
        <v>598</v>
      </c>
    </row>
    <row r="43" spans="1:9">
      <c r="A43" t="s">
        <v>808</v>
      </c>
      <c r="B43" t="s">
        <v>973</v>
      </c>
      <c r="C43" t="s">
        <v>45</v>
      </c>
      <c r="D43" t="s">
        <v>609</v>
      </c>
      <c r="E43" t="s">
        <v>596</v>
      </c>
      <c r="F43" t="s">
        <v>947</v>
      </c>
      <c r="G43" t="s">
        <v>20</v>
      </c>
      <c r="H43" t="s">
        <v>784</v>
      </c>
      <c r="I43" t="s">
        <v>598</v>
      </c>
    </row>
    <row r="44" spans="1:9">
      <c r="A44" t="s">
        <v>808</v>
      </c>
      <c r="B44" t="s">
        <v>973</v>
      </c>
      <c r="C44" t="s">
        <v>47</v>
      </c>
      <c r="D44" t="s">
        <v>610</v>
      </c>
      <c r="E44" t="s">
        <v>596</v>
      </c>
      <c r="F44" t="s">
        <v>947</v>
      </c>
      <c r="G44" t="s">
        <v>20</v>
      </c>
      <c r="H44" t="s">
        <v>784</v>
      </c>
      <c r="I44" t="s">
        <v>598</v>
      </c>
    </row>
    <row r="45" spans="1:9">
      <c r="A45" t="s">
        <v>808</v>
      </c>
      <c r="B45" t="s">
        <v>974</v>
      </c>
      <c r="C45" t="s">
        <v>42</v>
      </c>
      <c r="D45" t="s">
        <v>662</v>
      </c>
      <c r="E45" t="s">
        <v>650</v>
      </c>
      <c r="F45" t="s">
        <v>947</v>
      </c>
      <c r="G45" t="s">
        <v>20</v>
      </c>
      <c r="H45" t="s">
        <v>784</v>
      </c>
      <c r="I45" t="s">
        <v>652</v>
      </c>
    </row>
    <row r="46" spans="1:9">
      <c r="A46" t="s">
        <v>808</v>
      </c>
      <c r="B46" t="s">
        <v>974</v>
      </c>
      <c r="C46" t="s">
        <v>45</v>
      </c>
      <c r="D46" t="s">
        <v>663</v>
      </c>
      <c r="E46" t="s">
        <v>650</v>
      </c>
      <c r="F46" t="s">
        <v>947</v>
      </c>
      <c r="G46" t="s">
        <v>20</v>
      </c>
      <c r="H46" t="s">
        <v>784</v>
      </c>
      <c r="I46" t="s">
        <v>652</v>
      </c>
    </row>
    <row r="47" spans="1:9">
      <c r="A47" t="s">
        <v>808</v>
      </c>
      <c r="B47" t="s">
        <v>974</v>
      </c>
      <c r="C47" t="s">
        <v>47</v>
      </c>
      <c r="D47" t="s">
        <v>664</v>
      </c>
      <c r="E47" t="s">
        <v>650</v>
      </c>
      <c r="F47" t="s">
        <v>947</v>
      </c>
      <c r="G47" t="s">
        <v>20</v>
      </c>
      <c r="H47" t="s">
        <v>784</v>
      </c>
      <c r="I47" t="s">
        <v>652</v>
      </c>
    </row>
    <row r="48" spans="1:9">
      <c r="A48" t="s">
        <v>808</v>
      </c>
      <c r="B48" t="s">
        <v>974</v>
      </c>
      <c r="C48" t="s">
        <v>49</v>
      </c>
      <c r="D48" t="s">
        <v>665</v>
      </c>
      <c r="E48" t="s">
        <v>650</v>
      </c>
      <c r="F48" t="s">
        <v>947</v>
      </c>
      <c r="G48" t="s">
        <v>20</v>
      </c>
      <c r="H48" t="s">
        <v>784</v>
      </c>
      <c r="I48" t="s">
        <v>652</v>
      </c>
    </row>
    <row r="49" spans="1:9">
      <c r="A49" t="s">
        <v>808</v>
      </c>
      <c r="B49" t="s">
        <v>975</v>
      </c>
      <c r="C49" t="s">
        <v>42</v>
      </c>
      <c r="D49" t="s">
        <v>723</v>
      </c>
      <c r="E49" t="s">
        <v>710</v>
      </c>
      <c r="F49" t="s">
        <v>947</v>
      </c>
      <c r="G49" t="s">
        <v>20</v>
      </c>
      <c r="H49" t="s">
        <v>784</v>
      </c>
      <c r="I49" t="s">
        <v>822</v>
      </c>
    </row>
    <row r="50" spans="1:9">
      <c r="A50" t="s">
        <v>808</v>
      </c>
      <c r="B50" t="s">
        <v>975</v>
      </c>
      <c r="C50" t="s">
        <v>45</v>
      </c>
      <c r="D50" t="s">
        <v>725</v>
      </c>
      <c r="E50" t="s">
        <v>710</v>
      </c>
      <c r="F50" t="s">
        <v>947</v>
      </c>
      <c r="G50" t="s">
        <v>20</v>
      </c>
      <c r="H50" t="s">
        <v>784</v>
      </c>
      <c r="I50" t="s">
        <v>822</v>
      </c>
    </row>
    <row r="51" spans="1:9">
      <c r="A51" t="s">
        <v>808</v>
      </c>
      <c r="B51" t="s">
        <v>975</v>
      </c>
      <c r="C51" t="s">
        <v>47</v>
      </c>
      <c r="D51" t="s">
        <v>727</v>
      </c>
      <c r="E51" t="s">
        <v>710</v>
      </c>
      <c r="F51" t="s">
        <v>947</v>
      </c>
      <c r="G51" t="s">
        <v>20</v>
      </c>
      <c r="H51" t="s">
        <v>784</v>
      </c>
      <c r="I51" t="s">
        <v>822</v>
      </c>
    </row>
    <row r="52" spans="1:9">
      <c r="A52" t="s">
        <v>808</v>
      </c>
      <c r="B52" t="s">
        <v>975</v>
      </c>
      <c r="C52" t="s">
        <v>49</v>
      </c>
      <c r="D52" t="s">
        <v>728</v>
      </c>
      <c r="E52" t="s">
        <v>710</v>
      </c>
      <c r="F52" t="s">
        <v>947</v>
      </c>
      <c r="G52" t="s">
        <v>20</v>
      </c>
      <c r="H52" t="s">
        <v>784</v>
      </c>
      <c r="I52" t="s">
        <v>822</v>
      </c>
    </row>
    <row r="53" spans="1:9">
      <c r="A53" t="s">
        <v>808</v>
      </c>
      <c r="B53" t="s">
        <v>975</v>
      </c>
      <c r="C53" t="s">
        <v>50</v>
      </c>
      <c r="D53" t="s">
        <v>729</v>
      </c>
      <c r="E53" t="s">
        <v>710</v>
      </c>
      <c r="F53" t="s">
        <v>947</v>
      </c>
      <c r="G53" t="s">
        <v>20</v>
      </c>
      <c r="H53" t="s">
        <v>784</v>
      </c>
      <c r="I53" t="s">
        <v>822</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6BB1DD-F469-4B0C-8EE9-FF16EC784179}">
  <sheetPr codeName="Sheet15"/>
  <dimension ref="C4:T102"/>
  <sheetViews>
    <sheetView workbookViewId="0">
      <selection activeCell="L4" sqref="L4"/>
    </sheetView>
  </sheetViews>
  <sheetFormatPr defaultRowHeight="15"/>
  <cols>
    <col min="7" max="7" width="11.28515625" customWidth="1"/>
    <col min="10" max="10" width="19.28515625" bestFit="1" customWidth="1"/>
    <col min="19" max="19" width="28.28515625" customWidth="1"/>
    <col min="20" max="20" width="16.140625" customWidth="1"/>
  </cols>
  <sheetData>
    <row r="4" spans="3:10">
      <c r="C4" t="s">
        <v>976</v>
      </c>
      <c r="E4" t="s">
        <v>977</v>
      </c>
      <c r="G4" t="s">
        <v>977</v>
      </c>
      <c r="J4" t="s">
        <v>978</v>
      </c>
    </row>
    <row r="7" spans="3:10" ht="15.75" customHeight="1">
      <c r="C7" s="35">
        <v>1</v>
      </c>
      <c r="E7" t="s">
        <v>42</v>
      </c>
      <c r="G7" t="s">
        <v>145</v>
      </c>
      <c r="J7" t="s">
        <v>151</v>
      </c>
    </row>
    <row r="8" spans="3:10">
      <c r="C8" s="35">
        <v>2</v>
      </c>
      <c r="E8" t="s">
        <v>45</v>
      </c>
      <c r="G8" t="s">
        <v>148</v>
      </c>
      <c r="J8" t="s">
        <v>76</v>
      </c>
    </row>
    <row r="9" spans="3:10">
      <c r="C9" s="35" t="s">
        <v>11</v>
      </c>
      <c r="E9" t="s">
        <v>47</v>
      </c>
      <c r="G9" t="s">
        <v>216</v>
      </c>
      <c r="J9" t="s">
        <v>72</v>
      </c>
    </row>
    <row r="10" spans="3:10">
      <c r="E10" t="s">
        <v>49</v>
      </c>
      <c r="G10" t="s">
        <v>27</v>
      </c>
      <c r="J10" t="s">
        <v>154</v>
      </c>
    </row>
    <row r="11" spans="3:10">
      <c r="C11" s="35">
        <v>3</v>
      </c>
      <c r="E11" t="s">
        <v>50</v>
      </c>
      <c r="G11" t="s">
        <v>59</v>
      </c>
      <c r="J11" t="s">
        <v>70</v>
      </c>
    </row>
    <row r="12" spans="3:10">
      <c r="C12" s="35">
        <v>4</v>
      </c>
      <c r="J12" t="s">
        <v>74</v>
      </c>
    </row>
    <row r="13" spans="3:10">
      <c r="C13" s="35">
        <v>5</v>
      </c>
      <c r="J13" t="s">
        <v>160</v>
      </c>
    </row>
    <row r="14" spans="3:10">
      <c r="C14" s="35">
        <v>6</v>
      </c>
      <c r="G14" t="s">
        <v>54</v>
      </c>
      <c r="J14" t="s">
        <v>158</v>
      </c>
    </row>
    <row r="15" spans="3:10">
      <c r="C15" s="35">
        <v>7</v>
      </c>
      <c r="G15" t="s">
        <v>393</v>
      </c>
      <c r="J15" t="s">
        <v>85</v>
      </c>
    </row>
    <row r="16" spans="3:10">
      <c r="G16" t="s">
        <v>734</v>
      </c>
      <c r="J16" t="s">
        <v>78</v>
      </c>
    </row>
    <row r="17" spans="3:20">
      <c r="C17" t="s">
        <v>18</v>
      </c>
      <c r="G17" t="s">
        <v>930</v>
      </c>
    </row>
    <row r="18" spans="3:20">
      <c r="C18" t="s">
        <v>787</v>
      </c>
      <c r="G18" t="s">
        <v>667</v>
      </c>
    </row>
    <row r="19" spans="3:20">
      <c r="C19" t="s">
        <v>807</v>
      </c>
      <c r="G19" t="s">
        <v>391</v>
      </c>
      <c r="J19" t="s">
        <v>844</v>
      </c>
      <c r="K19" t="s">
        <v>845</v>
      </c>
    </row>
    <row r="20" spans="3:20">
      <c r="C20" t="s">
        <v>979</v>
      </c>
      <c r="G20" t="s">
        <v>332</v>
      </c>
      <c r="J20" t="s">
        <v>151</v>
      </c>
      <c r="K20" t="s">
        <v>561</v>
      </c>
      <c r="O20" s="39" t="s">
        <v>980</v>
      </c>
      <c r="S20" s="40" t="s">
        <v>981</v>
      </c>
      <c r="T20" s="41" t="s">
        <v>982</v>
      </c>
    </row>
    <row r="21" spans="3:20">
      <c r="C21" t="s">
        <v>983</v>
      </c>
      <c r="G21" t="s">
        <v>277</v>
      </c>
      <c r="J21" t="s">
        <v>151</v>
      </c>
      <c r="K21" t="s">
        <v>219</v>
      </c>
      <c r="O21" t="str" cm="1">
        <f t="array" ref="O21:O26">_xlfn._xlws.FILTER(LISTS_Table[Skill],LISTS_Table[Category]="Scientific Knowledge")</f>
        <v>Critical thinking</v>
      </c>
      <c r="S21" s="42" t="s">
        <v>151</v>
      </c>
      <c r="T21" s="43" t="s">
        <v>984</v>
      </c>
    </row>
    <row r="22" spans="3:20">
      <c r="C22" t="s">
        <v>134</v>
      </c>
      <c r="G22" t="s">
        <v>985</v>
      </c>
      <c r="J22" t="s">
        <v>151</v>
      </c>
      <c r="K22" t="s">
        <v>152</v>
      </c>
      <c r="O22" t="str">
        <v>Scientific literacy</v>
      </c>
      <c r="S22" s="44" t="s">
        <v>76</v>
      </c>
      <c r="T22" s="45" t="s">
        <v>986</v>
      </c>
    </row>
    <row r="23" spans="3:20">
      <c r="G23" t="s">
        <v>987</v>
      </c>
      <c r="J23" t="s">
        <v>151</v>
      </c>
      <c r="K23" t="s">
        <v>224</v>
      </c>
      <c r="O23" t="str">
        <v>Information retrieval</v>
      </c>
      <c r="S23" s="42" t="s">
        <v>72</v>
      </c>
      <c r="T23" s="43" t="s">
        <v>988</v>
      </c>
    </row>
    <row r="24" spans="3:20">
      <c r="G24" t="s">
        <v>989</v>
      </c>
      <c r="J24" t="s">
        <v>151</v>
      </c>
      <c r="K24" t="s">
        <v>157</v>
      </c>
      <c r="O24" t="str">
        <v>Knowledge synthesis</v>
      </c>
      <c r="S24" s="44" t="s">
        <v>154</v>
      </c>
      <c r="T24" s="45" t="s">
        <v>990</v>
      </c>
    </row>
    <row r="25" spans="3:20">
      <c r="G25" t="s">
        <v>991</v>
      </c>
      <c r="J25" t="s">
        <v>151</v>
      </c>
      <c r="K25" t="s">
        <v>616</v>
      </c>
      <c r="O25" t="str">
        <v>Domain-specific analytical skills</v>
      </c>
      <c r="S25" s="42" t="s">
        <v>70</v>
      </c>
      <c r="T25" s="43" t="s">
        <v>992</v>
      </c>
    </row>
    <row r="26" spans="3:20">
      <c r="C26" t="s">
        <v>993</v>
      </c>
      <c r="G26" t="s">
        <v>994</v>
      </c>
      <c r="J26" t="s">
        <v>76</v>
      </c>
      <c r="K26" t="s">
        <v>221</v>
      </c>
      <c r="O26" t="str">
        <v>Evidence evaluation</v>
      </c>
      <c r="S26" s="44" t="s">
        <v>74</v>
      </c>
      <c r="T26" s="45" t="s">
        <v>74</v>
      </c>
    </row>
    <row r="27" spans="3:20">
      <c r="C27" t="s">
        <v>995</v>
      </c>
      <c r="G27" t="s">
        <v>996</v>
      </c>
      <c r="J27" t="s">
        <v>76</v>
      </c>
      <c r="K27" t="s">
        <v>77</v>
      </c>
      <c r="S27" s="42" t="s">
        <v>160</v>
      </c>
      <c r="T27" s="43" t="s">
        <v>997</v>
      </c>
    </row>
    <row r="28" spans="3:20">
      <c r="C28" t="s">
        <v>998</v>
      </c>
      <c r="G28" t="s">
        <v>279</v>
      </c>
      <c r="J28" t="s">
        <v>76</v>
      </c>
      <c r="K28" t="s">
        <v>222</v>
      </c>
      <c r="O28" s="34" t="s">
        <v>999</v>
      </c>
      <c r="S28" s="44" t="s">
        <v>158</v>
      </c>
      <c r="T28" s="45" t="s">
        <v>1000</v>
      </c>
    </row>
    <row r="29" spans="3:20">
      <c r="C29" t="s">
        <v>1001</v>
      </c>
      <c r="J29" t="s">
        <v>76</v>
      </c>
      <c r="K29" t="s">
        <v>281</v>
      </c>
      <c r="O29" t="str" cm="1">
        <f t="array" ref="O29:O34">_xlfn._xlws.FILTER(LISTS_Table[Skill],LISTS_Table[Category]="Technical Skills")</f>
        <v>Laboratory/clinical techniques</v>
      </c>
      <c r="S29" s="42" t="s">
        <v>85</v>
      </c>
      <c r="T29" s="43" t="s">
        <v>1002</v>
      </c>
    </row>
    <row r="30" spans="3:20">
      <c r="C30" t="s">
        <v>20</v>
      </c>
      <c r="J30" t="s">
        <v>76</v>
      </c>
      <c r="K30" t="s">
        <v>82</v>
      </c>
      <c r="O30" t="str">
        <v>Data collection</v>
      </c>
      <c r="S30" s="46" t="s">
        <v>78</v>
      </c>
      <c r="T30" s="47" t="s">
        <v>1003</v>
      </c>
    </row>
    <row r="31" spans="3:20">
      <c r="C31" t="s">
        <v>1004</v>
      </c>
      <c r="J31" t="s">
        <v>76</v>
      </c>
      <c r="K31" t="s">
        <v>396</v>
      </c>
      <c r="O31" t="str">
        <v>Data analysis</v>
      </c>
    </row>
    <row r="32" spans="3:20">
      <c r="C32" t="s">
        <v>788</v>
      </c>
      <c r="J32" t="s">
        <v>72</v>
      </c>
      <c r="K32" t="s">
        <v>220</v>
      </c>
      <c r="O32" t="str">
        <v>Digital literacy</v>
      </c>
    </row>
    <row r="33" spans="3:15">
      <c r="C33" t="s">
        <v>1005</v>
      </c>
      <c r="J33" t="s">
        <v>72</v>
      </c>
      <c r="K33" t="s">
        <v>73</v>
      </c>
      <c r="O33" t="str">
        <v>Equipment and technology utilisation</v>
      </c>
    </row>
    <row r="34" spans="3:15">
      <c r="C34" t="s">
        <v>1006</v>
      </c>
      <c r="J34" t="s">
        <v>72</v>
      </c>
      <c r="K34" t="s">
        <v>284</v>
      </c>
      <c r="O34" t="str">
        <v>Technical proficiency</v>
      </c>
    </row>
    <row r="35" spans="3:15">
      <c r="C35" t="s">
        <v>1007</v>
      </c>
      <c r="J35" t="s">
        <v>72</v>
      </c>
      <c r="K35" t="s">
        <v>457</v>
      </c>
    </row>
    <row r="36" spans="3:15">
      <c r="C36" t="s">
        <v>1008</v>
      </c>
      <c r="J36" t="s">
        <v>72</v>
      </c>
      <c r="K36" t="s">
        <v>340</v>
      </c>
      <c r="O36" s="39" t="s">
        <v>1009</v>
      </c>
    </row>
    <row r="37" spans="3:15">
      <c r="C37" t="s">
        <v>794</v>
      </c>
      <c r="J37" t="s">
        <v>72</v>
      </c>
      <c r="K37" t="s">
        <v>402</v>
      </c>
      <c r="O37" t="str" cm="1">
        <f t="array" ref="O37:O42">_xlfn._xlws.FILTER(LISTS_Table[Skill],LISTS_Table[Category]="Application of Knowledge and skills")</f>
        <v>Decision-making</v>
      </c>
    </row>
    <row r="38" spans="3:15">
      <c r="J38" t="s">
        <v>154</v>
      </c>
      <c r="K38" t="s">
        <v>156</v>
      </c>
      <c r="O38" t="str">
        <v>Translational practice</v>
      </c>
    </row>
    <row r="39" spans="3:15">
      <c r="J39" t="s">
        <v>154</v>
      </c>
      <c r="K39" t="s">
        <v>283</v>
      </c>
      <c r="O39" t="str">
        <v>Contextual application</v>
      </c>
    </row>
    <row r="40" spans="3:15">
      <c r="J40" t="s">
        <v>154</v>
      </c>
      <c r="K40" t="s">
        <v>282</v>
      </c>
      <c r="O40" t="str">
        <v>Professional judgement</v>
      </c>
    </row>
    <row r="41" spans="3:15">
      <c r="J41" t="s">
        <v>154</v>
      </c>
      <c r="K41" t="s">
        <v>223</v>
      </c>
      <c r="O41" t="str">
        <v>Adaptability</v>
      </c>
    </row>
    <row r="42" spans="3:15">
      <c r="J42" t="s">
        <v>154</v>
      </c>
      <c r="K42" t="s">
        <v>155</v>
      </c>
      <c r="O42" t="str">
        <v>Risk assessment</v>
      </c>
    </row>
    <row r="43" spans="3:15">
      <c r="J43" t="s">
        <v>154</v>
      </c>
      <c r="K43" t="s">
        <v>562</v>
      </c>
    </row>
    <row r="44" spans="3:15">
      <c r="J44" t="s">
        <v>70</v>
      </c>
      <c r="K44" t="s">
        <v>71</v>
      </c>
      <c r="O44" s="48" t="s">
        <v>154</v>
      </c>
    </row>
    <row r="45" spans="3:15">
      <c r="J45" t="s">
        <v>70</v>
      </c>
      <c r="K45" t="s">
        <v>80</v>
      </c>
      <c r="O45" t="str" cm="1">
        <f t="array" ref="O45:O50">_xlfn._xlws.FILTER(LISTS_Table[Skill],LISTS_Table[Category]="Understanding and use of research")</f>
        <v>Research literacy</v>
      </c>
    </row>
    <row r="46" spans="3:15">
      <c r="J46" t="s">
        <v>70</v>
      </c>
      <c r="K46" t="s">
        <v>673</v>
      </c>
      <c r="O46" t="str">
        <v>Literature searching</v>
      </c>
    </row>
    <row r="47" spans="3:15">
      <c r="J47" t="s">
        <v>70</v>
      </c>
      <c r="K47" t="s">
        <v>84</v>
      </c>
      <c r="O47" t="str">
        <v>Critical appraisal</v>
      </c>
    </row>
    <row r="48" spans="3:15">
      <c r="J48" t="s">
        <v>70</v>
      </c>
      <c r="K48" t="s">
        <v>341</v>
      </c>
      <c r="O48" t="str">
        <v>Data interpretation</v>
      </c>
    </row>
    <row r="49" spans="10:15">
      <c r="J49" t="s">
        <v>70</v>
      </c>
      <c r="K49" t="s">
        <v>335</v>
      </c>
      <c r="O49" t="str">
        <v>Evidence-based practice</v>
      </c>
    </row>
    <row r="50" spans="10:15">
      <c r="J50" t="s">
        <v>70</v>
      </c>
      <c r="K50" t="s">
        <v>617</v>
      </c>
      <c r="O50" t="str">
        <v>Research communication</v>
      </c>
    </row>
    <row r="51" spans="10:15">
      <c r="J51" t="s">
        <v>74</v>
      </c>
      <c r="K51" t="s">
        <v>338</v>
      </c>
    </row>
    <row r="52" spans="10:15">
      <c r="J52" t="s">
        <v>74</v>
      </c>
      <c r="K52" t="s">
        <v>153</v>
      </c>
      <c r="O52" s="48" t="s">
        <v>70</v>
      </c>
    </row>
    <row r="53" spans="10:15">
      <c r="J53" t="s">
        <v>74</v>
      </c>
      <c r="K53" t="s">
        <v>337</v>
      </c>
      <c r="O53" t="str" cm="1">
        <f t="array" ref="O53:O59">_xlfn._xlws.FILTER(LISTS_Table[Skill],LISTS_Table[Category]="Self-evaluation and professional development")</f>
        <v>Reflective practice</v>
      </c>
    </row>
    <row r="54" spans="10:15">
      <c r="J54" t="s">
        <v>74</v>
      </c>
      <c r="K54" t="s">
        <v>456</v>
      </c>
      <c r="O54" t="str">
        <v>Self-awareness</v>
      </c>
    </row>
    <row r="55" spans="10:15">
      <c r="J55" t="s">
        <v>74</v>
      </c>
      <c r="K55" t="s">
        <v>75</v>
      </c>
      <c r="O55" t="str">
        <v>Lifelong learning</v>
      </c>
    </row>
    <row r="56" spans="10:15">
      <c r="J56" t="s">
        <v>74</v>
      </c>
      <c r="K56" t="s">
        <v>510</v>
      </c>
      <c r="O56" t="str">
        <v>Personal development planning</v>
      </c>
    </row>
    <row r="57" spans="10:15">
      <c r="J57" t="s">
        <v>160</v>
      </c>
      <c r="K57" t="s">
        <v>395</v>
      </c>
      <c r="O57" t="str">
        <v>Resilience</v>
      </c>
    </row>
    <row r="58" spans="10:15">
      <c r="J58" t="s">
        <v>160</v>
      </c>
      <c r="K58" t="s">
        <v>161</v>
      </c>
      <c r="O58" t="str">
        <v>Initiative</v>
      </c>
    </row>
    <row r="59" spans="10:15">
      <c r="J59" t="s">
        <v>160</v>
      </c>
      <c r="K59" t="s">
        <v>398</v>
      </c>
      <c r="O59" t="str">
        <v>Accountability</v>
      </c>
    </row>
    <row r="60" spans="10:15">
      <c r="J60" t="s">
        <v>160</v>
      </c>
      <c r="K60" t="s">
        <v>162</v>
      </c>
    </row>
    <row r="61" spans="10:15">
      <c r="J61" t="s">
        <v>160</v>
      </c>
      <c r="K61" t="s">
        <v>399</v>
      </c>
      <c r="O61" s="49" t="s">
        <v>74</v>
      </c>
    </row>
    <row r="62" spans="10:15">
      <c r="J62" t="s">
        <v>160</v>
      </c>
      <c r="K62" t="s">
        <v>674</v>
      </c>
      <c r="O62" t="str" cm="1">
        <f t="array" ref="O62:O67">_xlfn._xlws.FILTER(LISTS_Table[Skill],LISTS_Table[Category]="Communication")</f>
        <v>Written communication</v>
      </c>
    </row>
    <row r="63" spans="10:15">
      <c r="J63" t="s">
        <v>158</v>
      </c>
      <c r="K63" t="s">
        <v>670</v>
      </c>
      <c r="O63" t="str">
        <v>Oral presentation</v>
      </c>
    </row>
    <row r="64" spans="10:15">
      <c r="J64" t="s">
        <v>158</v>
      </c>
      <c r="K64" t="s">
        <v>225</v>
      </c>
      <c r="O64" t="str">
        <v>Active listening</v>
      </c>
    </row>
    <row r="65" spans="10:15">
      <c r="J65" t="s">
        <v>158</v>
      </c>
      <c r="K65" t="s">
        <v>401</v>
      </c>
      <c r="O65" t="str">
        <v>Scientific writing</v>
      </c>
    </row>
    <row r="66" spans="10:15">
      <c r="J66" t="s">
        <v>158</v>
      </c>
      <c r="K66" t="s">
        <v>339</v>
      </c>
      <c r="O66" t="str">
        <v>Interpersonal communication</v>
      </c>
    </row>
    <row r="67" spans="10:15">
      <c r="J67" t="s">
        <v>158</v>
      </c>
      <c r="K67" t="s">
        <v>672</v>
      </c>
      <c r="O67" t="str">
        <v>Digital communication</v>
      </c>
    </row>
    <row r="68" spans="10:15">
      <c r="J68" t="s">
        <v>158</v>
      </c>
      <c r="K68" t="s">
        <v>671</v>
      </c>
    </row>
    <row r="69" spans="10:15">
      <c r="J69" t="s">
        <v>158</v>
      </c>
      <c r="K69" t="s">
        <v>336</v>
      </c>
      <c r="O69" s="49" t="s">
        <v>160</v>
      </c>
    </row>
    <row r="70" spans="10:15">
      <c r="J70" t="s">
        <v>158</v>
      </c>
      <c r="K70" t="s">
        <v>159</v>
      </c>
      <c r="O70" t="str" cm="1">
        <f t="array" ref="O70:O75">_xlfn._xlws.FILTER(LISTS_Table[Skill],LISTS_Table[Category]="Problem solving and impact")</f>
        <v>Analytical thinking</v>
      </c>
    </row>
    <row r="71" spans="10:15">
      <c r="J71" t="s">
        <v>158</v>
      </c>
      <c r="K71" t="s">
        <v>400</v>
      </c>
      <c r="O71" t="str">
        <v>problem identification</v>
      </c>
    </row>
    <row r="72" spans="10:15">
      <c r="J72" t="s">
        <v>85</v>
      </c>
      <c r="K72" t="s">
        <v>675</v>
      </c>
      <c r="O72" t="str">
        <v>Creative thinking</v>
      </c>
    </row>
    <row r="73" spans="10:15">
      <c r="J73" t="s">
        <v>85</v>
      </c>
      <c r="K73" t="s">
        <v>285</v>
      </c>
      <c r="O73" t="str">
        <v>Evidence-based decision making</v>
      </c>
    </row>
    <row r="74" spans="10:15">
      <c r="J74" t="s">
        <v>85</v>
      </c>
      <c r="K74" t="s">
        <v>397</v>
      </c>
      <c r="O74" t="str">
        <v>Innovation</v>
      </c>
    </row>
    <row r="75" spans="10:15">
      <c r="J75" t="s">
        <v>85</v>
      </c>
      <c r="K75" t="s">
        <v>508</v>
      </c>
      <c r="O75" t="str">
        <v>Evaluation of outcomes</v>
      </c>
    </row>
    <row r="76" spans="10:15">
      <c r="J76" t="s">
        <v>85</v>
      </c>
      <c r="K76" t="s">
        <v>86</v>
      </c>
    </row>
    <row r="77" spans="10:15">
      <c r="J77" t="s">
        <v>78</v>
      </c>
      <c r="K77" t="s">
        <v>227</v>
      </c>
      <c r="O77" s="49" t="s">
        <v>158</v>
      </c>
    </row>
    <row r="78" spans="10:15">
      <c r="J78" t="s">
        <v>78</v>
      </c>
      <c r="K78" t="s">
        <v>669</v>
      </c>
      <c r="O78" t="str" cm="1">
        <f t="array" ref="O78:O86">_xlfn._xlws.FILTER(LISTS_Table[Skill],LISTS_Table[Category]="Management of self and others")</f>
        <v>Leadership</v>
      </c>
    </row>
    <row r="79" spans="10:15">
      <c r="J79" t="s">
        <v>78</v>
      </c>
      <c r="K79" t="s">
        <v>79</v>
      </c>
      <c r="O79" t="str">
        <v>Coaching and mentoring</v>
      </c>
    </row>
    <row r="80" spans="10:15">
      <c r="J80" t="s">
        <v>78</v>
      </c>
      <c r="K80" t="s">
        <v>83</v>
      </c>
      <c r="O80" t="str">
        <v>Time management</v>
      </c>
    </row>
    <row r="81" spans="10:15">
      <c r="J81" t="s">
        <v>78</v>
      </c>
      <c r="K81" t="s">
        <v>81</v>
      </c>
      <c r="O81" t="str">
        <v>Organisation</v>
      </c>
    </row>
    <row r="82" spans="10:15">
      <c r="J82" t="s">
        <v>78</v>
      </c>
      <c r="K82" t="s">
        <v>615</v>
      </c>
      <c r="O82" t="str">
        <v>Delegation</v>
      </c>
    </row>
    <row r="83" spans="10:15">
      <c r="J83" t="s">
        <v>78</v>
      </c>
      <c r="K83" t="s">
        <v>509</v>
      </c>
      <c r="O83" t="str">
        <v>Conflict resolution</v>
      </c>
    </row>
    <row r="84" spans="10:15">
      <c r="O84" t="str">
        <v>Empathy</v>
      </c>
    </row>
    <row r="85" spans="10:15">
      <c r="O85" t="str">
        <v>Multi-tasking</v>
      </c>
    </row>
    <row r="86" spans="10:15">
      <c r="O86" t="str">
        <v>Resource management</v>
      </c>
    </row>
    <row r="88" spans="10:15">
      <c r="O88" s="48" t="s">
        <v>85</v>
      </c>
    </row>
    <row r="89" spans="10:15">
      <c r="O89" t="str" cm="1">
        <f t="array" ref="O89:O93">_xlfn._xlws.FILTER(LISTS_Table[Skill],LISTS_Table[Category]="Understanding the delivery environment")</f>
        <v>Organisational awareness</v>
      </c>
    </row>
    <row r="90" spans="10:15">
      <c r="O90" t="str">
        <v>Policy interpretation</v>
      </c>
    </row>
    <row r="91" spans="10:15">
      <c r="O91" t="str">
        <v>Stakeholder awareness</v>
      </c>
    </row>
    <row r="92" spans="10:15">
      <c r="O92" t="str">
        <v>Service delivery</v>
      </c>
    </row>
    <row r="93" spans="10:15">
      <c r="O93" t="str">
        <v>Professional awareness</v>
      </c>
    </row>
    <row r="95" spans="10:15">
      <c r="O95" s="49" t="s">
        <v>1010</v>
      </c>
    </row>
    <row r="96" spans="10:15">
      <c r="O96" t="str" cm="1">
        <f t="array" ref="O96:O102">_xlfn._xlws.FILTER(LISTS_Table[Skill],LISTS_Table[Category]="Professional relationships and behaviours")</f>
        <v>Teamwork</v>
      </c>
    </row>
    <row r="97" spans="15:15">
      <c r="O97" t="str">
        <v>Collaboration/multi-disciplinary working</v>
      </c>
    </row>
    <row r="98" spans="15:15">
      <c r="O98" t="str">
        <v>Ethical practice</v>
      </c>
    </row>
    <row r="99" spans="15:15">
      <c r="O99" t="str">
        <v>Professionalism</v>
      </c>
    </row>
    <row r="100" spans="15:15">
      <c r="O100" t="str">
        <v>Cultural awareness and competence</v>
      </c>
    </row>
    <row r="101" spans="15:15">
      <c r="O101" t="str">
        <v>Integrity</v>
      </c>
    </row>
    <row r="102" spans="15:15">
      <c r="O102" t="str">
        <v>Respect</v>
      </c>
    </row>
  </sheetData>
  <sheetProtection sheet="1" objects="1" scenarios="1" formatCells="0" formatColumns="0" formatRows="0" insertHyperlinks="0"/>
  <sortState xmlns:xlrd2="http://schemas.microsoft.com/office/spreadsheetml/2017/richdata2" ref="C26:C31">
    <sortCondition ref="C31"/>
  </sortState>
  <phoneticPr fontId="2" type="noConversion"/>
  <pageMargins left="0.7" right="0.7" top="0.75" bottom="0.75" header="0.3" footer="0.3"/>
  <tableParts count="2">
    <tablePart r:id="rId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f1436123-e04c-43f8-b7d8-6e3401685a6a">
      <Terms xmlns="http://schemas.microsoft.com/office/infopath/2007/PartnerControls"/>
    </lcf76f155ced4ddcb4097134ff3c332f>
    <TaxCatchAll xmlns="e2acc87f-978a-4c56-9887-574fe2c7e53e"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AF5424D8F461E94980DF8EC8486B8636" ma:contentTypeVersion="10" ma:contentTypeDescription="Create a new document." ma:contentTypeScope="" ma:versionID="bcfcf74337161f6441250f8f4cf7d932">
  <xsd:schema xmlns:xsd="http://www.w3.org/2001/XMLSchema" xmlns:xs="http://www.w3.org/2001/XMLSchema" xmlns:p="http://schemas.microsoft.com/office/2006/metadata/properties" xmlns:ns2="f1436123-e04c-43f8-b7d8-6e3401685a6a" xmlns:ns3="e2acc87f-978a-4c56-9887-574fe2c7e53e" targetNamespace="http://schemas.microsoft.com/office/2006/metadata/properties" ma:root="true" ma:fieldsID="c081e04d381fea11733dd13b3c4e862f" ns2:_="" ns3:_="">
    <xsd:import namespace="f1436123-e04c-43f8-b7d8-6e3401685a6a"/>
    <xsd:import namespace="e2acc87f-978a-4c56-9887-574fe2c7e53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Location"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1436123-e04c-43f8-b7d8-6e3401685a6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13fea976-0fb7-4036-bc8a-08177e9f5879" ma:termSetId="09814cd3-568e-fe90-9814-8d621ff8fb84" ma:anchorId="fba54fb3-c3e1-fe81-a776-ca4b69148c4d" ma:open="true" ma:isKeyword="false">
      <xsd:complexType>
        <xsd:sequence>
          <xsd:element ref="pc:Terms" minOccurs="0" maxOccurs="1"/>
        </xsd:sequence>
      </xsd:complexType>
    </xsd:element>
    <xsd:element name="MediaServiceLocation" ma:index="15" nillable="true" ma:displayName="Location" ma:indexed="true" ma:internalName="MediaServiceLocation" ma:readOnly="true">
      <xsd:simpleType>
        <xsd:restriction base="dms:Text"/>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e2acc87f-978a-4c56-9887-574fe2c7e53e"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ac9bdcf-c2d0-47d2-a991-206be5278a68}" ma:internalName="TaxCatchAll" ma:showField="CatchAllData" ma:web="e2acc87f-978a-4c56-9887-574fe2c7e53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 
</file>

<file path=customXml/itemProps1.xml><?xml version="1.0" encoding="utf-8"?>
<ds:datastoreItem xmlns:ds="http://schemas.openxmlformats.org/officeDocument/2006/customXml" ds:itemID="{846B38E3-2A6C-4533-B357-379A79A5690E}"/>
</file>

<file path=customXml/itemProps2.xml><?xml version="1.0" encoding="utf-8"?>
<ds:datastoreItem xmlns:ds="http://schemas.openxmlformats.org/officeDocument/2006/customXml" ds:itemID="{097D9ADF-2EBC-4D29-800A-C759B59895A5}"/>
</file>

<file path=customXml/itemProps3.xml><?xml version="1.0" encoding="utf-8"?>
<ds:datastoreItem xmlns:ds="http://schemas.openxmlformats.org/officeDocument/2006/customXml" ds:itemID="{F1C76B05-8536-4481-8FD8-F9CBC3D09436}"/>
</file>

<file path=customXml/itemProps4.xml><?xml version="1.0" encoding="utf-8"?>
<ds:datastoreItem xmlns:ds="http://schemas.openxmlformats.org/officeDocument/2006/customXml" ds:itemID="{A4C67DA5-5508-48B5-980F-71A93BB8A6B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Robinson, Mark</dc:creator>
  <cp:keywords/>
  <dc:description/>
  <cp:lastModifiedBy>Richardson, Lucy</cp:lastModifiedBy>
  <cp:revision/>
  <dcterms:created xsi:type="dcterms:W3CDTF">2026-07-01T09:36:48Z</dcterms:created>
  <dcterms:modified xsi:type="dcterms:W3CDTF">2026-10-12T08:17:54Z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0x010100AF5424D8F461E94980DF8EC8486B8636</vt:lpwstr>
  </property>
  <property fmtid="{D5CDD505-2E9C-101B-9397-08002B2CF9AE}" pid="3" name="MediaServiceImageTags">
    <vt:lpwstr/>
  </property>
</Properties>
</file>