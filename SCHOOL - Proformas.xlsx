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https://ljmu.sharepoint.com/teams/SPSRe-validation2026Team/Shared Documents/General/Core Documents/"/>
    </mc:Choice>
  </mc:AlternateContent>
  <xr:revisionPtr revIDLastSave="5219" documentId="8_{20AD63D6-7E4E-4EFA-BE5C-A6DF2DDE1EA8}" xr6:coauthVersionLast="47" xr6:coauthVersionMax="47" xr10:uidLastSave="{1B0F09A4-234A-4ACC-8264-EBA7421E315A}"/>
  <bookViews>
    <workbookView xWindow="1500" yWindow="120" windowWidth="42840" windowHeight="20760" xr2:uid="{8D7B9789-0724-4FF2-A9AF-E462B2920CAC}"/>
  </bookViews>
  <sheets>
    <sheet name="DASH" sheetId="119" r:id="rId1"/>
    <sheet name="All_SkillsCoverage" sheetId="118" r:id="rId2"/>
    <sheet name="All_Hours_Wide" sheetId="116" r:id="rId3"/>
    <sheet name="All_Meta_Wide" sheetId="115" r:id="rId4"/>
    <sheet name="All_Mapping" sheetId="114" r:id="rId5"/>
    <sheet name="All_LO" sheetId="111" r:id="rId6"/>
    <sheet name="All_Assess" sheetId="123" r:id="rId7"/>
    <sheet name="All_Meta" sheetId="110" r:id="rId8"/>
    <sheet name="LISTS" sheetId="4" r:id="rId9"/>
  </sheets>
  <definedNames>
    <definedName name="_xlnm._FilterDatabase" localSheetId="0" hidden="1">DASH!$A$3:$I$31</definedName>
    <definedName name="ApplicationofKnowledge">_xlfn.ANCHORARRAY(LISTS!$O$37)</definedName>
    <definedName name="Communication">_xlfn.ANCHORARRAY(LISTS!$O$62)</definedName>
    <definedName name="DeliveryEnvironment">_xlfn.ANCHORARRAY(LISTS!$O$89)</definedName>
    <definedName name="ExternalData_1" localSheetId="6" hidden="1">All_Assess!$A$1:$M$173</definedName>
    <definedName name="ExternalData_1" localSheetId="7" hidden="1">All_Meta!$A$1:$I$857</definedName>
    <definedName name="ExternalData_2" localSheetId="5" hidden="1">All_LO!$A$1:$I$232</definedName>
    <definedName name="ExternalData_5" localSheetId="4" hidden="1">All_Mapping!$A$1:$K$1296</definedName>
    <definedName name="ExternalData_6" localSheetId="3" hidden="1">All_Meta_Wide!$A$1:$O$129</definedName>
    <definedName name="ExternalData_7" localSheetId="2" hidden="1">All_Hours_Wide!$A$1:$M$108</definedName>
    <definedName name="ExternalData_9" localSheetId="1" hidden="1">All_SkillsCoverage!$A$1:$F$385</definedName>
    <definedName name="MgmtSelf">_xlfn.ANCHORARRAY(LISTS!$O$78)</definedName>
    <definedName name="ProblemSolving">_xlfn.ANCHORARRAY(LISTS!$O$70)</definedName>
    <definedName name="ProfRelationships">_xlfn.ANCHORARRAY(LISTS!$O$96)</definedName>
    <definedName name="ScientificKnowledge">_xlfn.ANCHORARRAY(LISTS!$O$21)</definedName>
    <definedName name="SelfEvaluation">_xlfn.ANCHORARRAY(LISTS!$O$53)</definedName>
    <definedName name="SkillNameMap">LISTS!$S$20:$T$30</definedName>
    <definedName name="Slicer_Programme">#N/A</definedName>
    <definedName name="TechnicalSkills">_xlfn.ANCHORARRAY(LISTS!$O$29)</definedName>
    <definedName name="UnderstandingResearch">_xlfn.ANCHORARRAY(LISTS!$O$45)</definedName>
  </definedNames>
  <calcPr calcId="191028"/>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96" i="4" l="1" a="1"/>
  <c r="O96" i="4" s="1"/>
  <c r="O89" i="4" a="1"/>
  <c r="O89" i="4" s="1"/>
  <c r="O78" i="4" a="1"/>
  <c r="O78" i="4" s="1"/>
  <c r="O70" i="4" a="1"/>
  <c r="O70" i="4" s="1"/>
  <c r="O62" i="4" a="1"/>
  <c r="O62" i="4" s="1"/>
  <c r="O53" i="4" a="1"/>
  <c r="O53" i="4" s="1"/>
  <c r="O45" i="4" a="1"/>
  <c r="O45" i="4" s="1"/>
  <c r="O37" i="4" a="1"/>
  <c r="O37" i="4" s="1"/>
  <c r="O29" i="4" a="1"/>
  <c r="O29" i="4" s="1"/>
  <c r="O21" i="4" a="1"/>
  <c r="O21"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5C36A7D-C2A9-4BBE-B793-995C2FE41973}" keepAlive="1" name="Query - All_Assess" description="Connection to the 'All_Assess' query in the workbook." type="5" refreshedVersion="8" background="1" saveData="1">
    <dbPr connection="Provider=Microsoft.Mashup.OleDb.1;Data Source=$Workbook$;Location=All_Assess;Extended Properties=&quot;&quot;" command="SELECT * FROM [All_Assess]"/>
  </connection>
  <connection id="2" xr16:uid="{585AA2EF-3C8D-4965-B7E4-AC3C6C3C2660}" keepAlive="1" name="Query - All_Hours" description="Connection to the 'All_Hours' query in the workbook." type="5" refreshedVersion="8" background="1" saveData="1">
    <dbPr connection="Provider=Microsoft.Mashup.OleDb.1;Data Source=$Workbook$;Location=All_Hours;Extended Properties=&quot;&quot;" command="SELECT * FROM [All_Hours]"/>
  </connection>
  <connection id="3" xr16:uid="{66B39D3E-C31D-49E7-BF8F-3E7BD18BD95D}" keepAlive="1" name="Query - All_Hours_Wide" description="Connection to the 'All_Hours_Wide' query in the workbook." type="5" refreshedVersion="8" background="1" saveData="1">
    <dbPr connection="Provider=Microsoft.Mashup.OleDb.1;Data Source=$Workbook$;Location=All_Hours_Wide;Extended Properties=&quot;&quot;" command="SELECT * FROM [All_Hours_Wide]"/>
  </connection>
  <connection id="4" xr16:uid="{F8178110-CB34-4FAA-9CEF-9FA6C071A1FC}" keepAlive="1" name="Query - All_LO" description="Connection to the 'All_LO' query in the workbook." type="5" refreshedVersion="8" background="1" saveData="1">
    <dbPr connection="Provider=Microsoft.Mashup.OleDb.1;Data Source=$Workbook$;Location=All_LO;Extended Properties=&quot;&quot;" command="SELECT * FROM [All_LO]"/>
  </connection>
  <connection id="5" xr16:uid="{4F6366BD-C933-4AAF-9D59-07C39EE26580}" keepAlive="1" name="Query - All_Mapping" description="Connection to the 'All_Mapping' query in the workbook." type="5" refreshedVersion="8" background="1" saveData="1">
    <dbPr connection="Provider=Microsoft.Mashup.OleDb.1;Data Source=$Workbook$;Location=All_Mapping;Extended Properties=&quot;&quot;" command="SELECT * FROM [All_Mapping]"/>
  </connection>
  <connection id="6" xr16:uid="{6EB5116C-C8F9-4569-BF5E-5E3F187274A3}" keepAlive="1" name="Query - All_Meta" description="Connection to the 'All_Meta' query in the workbook." type="5" refreshedVersion="8" background="1" saveData="1">
    <dbPr connection="Provider=Microsoft.Mashup.OleDb.1;Data Source=$Workbook$;Location=All_Meta;Extended Properties=&quot;&quot;" command="SELECT * FROM [All_Meta]"/>
  </connection>
  <connection id="7" xr16:uid="{D8AAC6DC-D138-427A-811E-BA255588DF2C}" keepAlive="1" name="Query - All_Meta_Wide" description="Connection to the 'All_Meta_Wide' query in the workbook." type="5" refreshedVersion="8" background="1" saveData="1">
    <dbPr connection="Provider=Microsoft.Mashup.OleDb.1;Data Source=$Workbook$;Location=All_Meta_Wide;Extended Properties=&quot;&quot;" command="SELECT * FROM [All_Meta_Wide]"/>
  </connection>
  <connection id="8" xr16:uid="{17B9B98F-EE61-42BC-AFAD-93439DC866B2}" keepAlive="1" name="Query - All_Module_Overview" description="Connection to the 'All_Module_Overview' query in the workbook." type="5" refreshedVersion="8" background="1" saveData="1">
    <dbPr connection="Provider=Microsoft.Mashup.OleDb.1;Data Source=$Workbook$;Location=All_Module_Overview;Extended Properties=&quot;&quot;" command="SELECT * FROM [All_Module_Overview]"/>
  </connection>
  <connection id="9" xr16:uid="{A6FA6A43-C8AD-4DA0-A88C-92F783A32A32}" keepAlive="1" name="Query - All_SkillsCoverage" description="Connection to the 'All_SkillsCoverage' query in the workbook." type="5" refreshedVersion="8" background="1" saveData="1">
    <dbPr connection="Provider=Microsoft.Mashup.OleDb.1;Data Source=$Workbook$;Location=All_SkillsCoverage;Extended Properties=&quot;&quot;" command="SELECT * FROM [All_SkillsCoverage]"/>
  </connection>
  <connection id="10" xr16:uid="{D31EFCAE-6867-4369-A3A2-878D2CD4400C}" keepAlive="1" name="Query - fnItemTable" description="Connection to the 'fnItemTable' query in the workbook." type="5" refreshedVersion="0" background="1">
    <dbPr connection="Provider=Microsoft.Mashup.OleDb.1;Data Source=$Workbook$;Location=fnItemTable;Extended Properties=&quot;&quot;" command="SELECT * FROM [fnItemTable]"/>
  </connection>
  <connection id="11" xr16:uid="{2D2C2781-E2B3-4F2B-B64A-B48D87B1362F}" keepAlive="1" name="Query - fnModuleOverview" description="Connection to the 'fnModuleOverview' query in the workbook." type="5" refreshedVersion="0" background="1">
    <dbPr connection="Provider=Microsoft.Mashup.OleDb.1;Data Source=$Workbook$;Location=fnModuleOverview;Extended Properties=&quot;&quot;" command="SELECT * FROM [fnModuleOverview]"/>
  </connection>
  <connection id="12" xr16:uid="{ED8E257C-611A-4D22-9B96-BDE2BEBEA013}" keepAlive="1" name="Query - fnParseTableName" description="Connection to the 'fnParseTableName' query in the workbook." type="5" refreshedVersion="0" background="1">
    <dbPr connection="Provider=Microsoft.Mashup.OleDb.1;Data Source=$Workbook$;Location=fnParseTableName;Extended Properties=&quot;&quot;" command="SELECT * FROM [fnParseTableName]"/>
  </connection>
  <connection id="13" xr16:uid="{BA8101B4-602B-44C3-99FA-13D3C073F8B4}" keepAlive="1" name="Query - fnPivotKeyValue" description="Connection to the 'fnPivotKeyValue' query in the workbook." type="5" refreshedVersion="0" background="1">
    <dbPr connection="Provider=Microsoft.Mashup.OleDb.1;Data Source=$Workbook$;Location=fnPivotKeyValue;Extended Properties=&quot;&quot;" command="SELECT * FROM [fnPivotKeyValue]"/>
  </connection>
  <connection id="14" xr16:uid="{3BB015D6-ED31-4D13-A376-1AA58FA2D48B}" keepAlive="1" name="Query - fnSkillsCoverage" description="Connection to the 'fnSkillsCoverage' query in the workbook." type="5" refreshedVersion="0" background="1">
    <dbPr connection="Provider=Microsoft.Mashup.OleDb.1;Data Source=$Workbook$;Location=fnSkillsCoverage;Extended Properties=&quot;&quot;" command="SELECT * FROM [fnSkillsCoverage]"/>
  </connection>
  <connection id="15" xr16:uid="{EF984BC6-AD59-406B-9F2B-26A62EFC0AE5}" keepAlive="1" name="Query - GetRegisterFileContent" description="Connection to the 'GetRegisterFileContent' query in the workbook." type="5" refreshedVersion="0" background="1">
    <dbPr connection="Provider=Microsoft.Mashup.OleDb.1;Data Source=$Workbook$;Location=GetRegisterFileContent;Extended Properties=&quot;&quot;" command="SELECT * FROM [GetRegisterFileContent]"/>
  </connection>
  <connection id="16" xr16:uid="{E86AAD0B-950E-4BD5-B6C3-BA6800842EC0}" keepAlive="1" name="Query - GetWorkbookFiles" description="Connection to the 'GetWorkbookFiles' query in the workbook." type="5" refreshedVersion="0" background="1">
    <dbPr connection="Provider=Microsoft.Mashup.OleDb.1;Data Source=$Workbook$;Location=GetWorkbookFiles;Extended Properties=&quot;&quot;" command="SELECT * FROM [GetWorkbookFiles]"/>
  </connection>
  <connection id="17" xr16:uid="{06727D3C-698A-45B7-B890-D0DD9940EF9E}" keepAlive="1" name="Query - GraduateSkillsCatalogue" description="Connection to the 'GraduateSkillsCatalogue' query in the workbook." type="5" refreshedVersion="0" background="1">
    <dbPr connection="Provider=Microsoft.Mashup.OleDb.1;Data Source=$Workbook$;Location=GraduateSkillsCatalogue;Extended Properties=&quot;&quot;" command="SELECT * FROM [GraduateSkillsCatalogue]"/>
  </connection>
  <connection id="18" xr16:uid="{6E45512B-CC53-4589-A3FD-D85E80DE4134}" keepAlive="1" name="Query - ModuleRegister" description="Connection to the 'ModuleRegister' query in the workbook." type="5" refreshedVersion="0" background="1">
    <dbPr connection="Provider=Microsoft.Mashup.OleDb.1;Data Source=$Workbook$;Location=ModuleRegister;Extended Properties=&quot;&quot;" command="SELECT * FROM [ModuleRegister]"/>
  </connection>
  <connection id="19" xr16:uid="{70AFD8C4-03D5-445E-BE47-8EA1777FCF37}" keepAlive="1" name="Query - RegisterBlocks" description="Connection to the 'RegisterBlocks' query in the workbook." type="5" refreshedVersion="0" background="1">
    <dbPr connection="Provider=Microsoft.Mashup.OleDb.1;Data Source=$Workbook$;Location=RegisterBlocks;Extended Properties=&quot;&quot;" command="SELECT * FROM [RegisterBlocks]"/>
  </connection>
  <connection id="20" xr16:uid="{FB27829F-3C77-4C43-AB1E-19CA959B4D39}" keepAlive="1" name="Query - RelevantItems" description="Connection to the 'RelevantItems' query in the workbook." type="5" refreshedVersion="0" background="1">
    <dbPr connection="Provider=Microsoft.Mashup.OleDb.1;Data Source=$Workbook$;Location=RelevantItems;Extended Properties=&quot;&quot;" command="SELECT * FROM [RelevantItems]"/>
  </connection>
  <connection id="21" xr16:uid="{2B4AF151-008D-4FEF-A7F7-12412358B85A}" keepAlive="1" name="Query - SharePointSiteRoot" description="Connection to the 'SharePointSiteRoot' query in the workbook." type="5" refreshedVersion="0" background="1">
    <dbPr connection="Provider=Microsoft.Mashup.OleDb.1;Data Source=$Workbook$;Location=SharePointSiteRoot;Extended Properties=&quot;&quot;" command="SELECT * FROM [SharePointSiteRoot]"/>
  </connection>
  <connection id="22" xr16:uid="{DAA4DE1F-5E42-4B60-9FCD-76A414294387}" keepAlive="1" name="Query - SourceTables" description="Connection to the 'SourceTables' query in the workbook." type="5" refreshedVersion="0" background="1">
    <dbPr connection="Provider=Microsoft.Mashup.OleDb.1;Data Source=$Workbook$;Location=SourceTables;Extended Properties=&quot;&quot;" command="SELECT * FROM [SourceTables]"/>
  </connection>
  <connection id="23" xr16:uid="{3DE9C0B1-9EF3-4D5A-A896-DD2967490A9F}" keepAlive="1" name="Query - SourceTablesParsed" description="Connection to the 'SourceTablesParsed' query in the workbook." type="5" refreshedVersion="0" background="1">
    <dbPr connection="Provider=Microsoft.Mashup.OleDb.1;Data Source=$Workbook$;Location=SourceTablesParsed;Extended Properties=&quot;&quot;" command="SELECT * FROM [SourceTablesParsed]"/>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<sst xmlns="http://schemas.openxmlformats.org/spreadsheetml/2006/main" count="28360" uniqueCount="1201">
  <si>
    <t>Row Labels</t>
  </si>
  <si>
    <t>Sum of Lecture</t>
  </si>
  <si>
    <t>Sum of Seminar</t>
  </si>
  <si>
    <t>Sum of Practical</t>
  </si>
  <si>
    <t>Sum of Workshop</t>
  </si>
  <si>
    <t>Sum of Online</t>
  </si>
  <si>
    <t>Sum of Total</t>
  </si>
  <si>
    <t>Applied Motor Behaviour</t>
  </si>
  <si>
    <t>Applied Professional Practice</t>
  </si>
  <si>
    <t>Behaviour Change</t>
  </si>
  <si>
    <t>Biomechanics</t>
  </si>
  <si>
    <t>Cardiovascular Physiology</t>
  </si>
  <si>
    <t>Clinical Biomechanics</t>
  </si>
  <si>
    <t>Environmental Physiology</t>
  </si>
  <si>
    <t>Exercise Metabolism</t>
  </si>
  <si>
    <t>Exercise Phys L4</t>
  </si>
  <si>
    <t>Health and Performance Nutrition</t>
  </si>
  <si>
    <t>Human Movement</t>
  </si>
  <si>
    <t>Influences and Assessment of Physical Activity and Sedentary Behaviour</t>
  </si>
  <si>
    <t>Major Project</t>
  </si>
  <si>
    <t>Module Title</t>
  </si>
  <si>
    <t>Performance Analysis in Sport</t>
  </si>
  <si>
    <t>Physical activity and sedentary behaviour across the life course</t>
  </si>
  <si>
    <t>Physiological adaptations to exercise</t>
  </si>
  <si>
    <t>Professional Practice</t>
  </si>
  <si>
    <t>Professional Practice in Sport and Exercise Science 2</t>
  </si>
  <si>
    <t>Psychosocial Principles of Sport and Exercise</t>
  </si>
  <si>
    <t>Research Methods 1</t>
  </si>
  <si>
    <t>Research Methods 2</t>
  </si>
  <si>
    <t>Secondary PE Teacher Education</t>
  </si>
  <si>
    <t>Sport amd Performance Psychology</t>
  </si>
  <si>
    <t>Sport and Injury Biomechanics</t>
  </si>
  <si>
    <t>Strength and Conditioning</t>
  </si>
  <si>
    <t>Understanding Physical Activity and Sedentary Behaviour</t>
  </si>
  <si>
    <t>Working in High Performance Sport</t>
  </si>
  <si>
    <t>Grand Total</t>
  </si>
  <si>
    <t>Programme</t>
  </si>
  <si>
    <t>Category</t>
  </si>
  <si>
    <t>Skill</t>
  </si>
  <si>
    <t>Modules Covering</t>
  </si>
  <si>
    <t>Module Count</t>
  </si>
  <si>
    <t>Covered</t>
  </si>
  <si>
    <t>Football Science</t>
  </si>
  <si>
    <t>Scientific knowledge</t>
  </si>
  <si>
    <t>Critical thinking</t>
  </si>
  <si>
    <t>Football Performance and Technology; Applied Practice in Football Science; Exercise Phys L4; Physiological adaptations to exercise; Major Project</t>
  </si>
  <si>
    <t>Communication</t>
  </si>
  <si>
    <t>Oral presentation</t>
  </si>
  <si>
    <t>Professional Practice in Football Science; Football tactics and match analysis; Football Performance and Technology; Physical Performance in Football; Applied Psychology of Football; Applied Practice in Football Science; Research Methods 1; Research Methods 2; Physiological adaptations to exercise; Major Project</t>
  </si>
  <si>
    <t>Scientific literacy</t>
  </si>
  <si>
    <t>Talent Identification, Development and Selection; Football tactics and match analysis; Football Performance and Technology; Physical Performance in Football; Applied Psychology of Football; Research Methods 1; Exercise Phys L4; Research Methods 2; Physiological adaptations to exercise; Major Project</t>
  </si>
  <si>
    <t>Digital communication</t>
  </si>
  <si>
    <t>Professional Practice in Football Science; Human Movement</t>
  </si>
  <si>
    <t>Information retrieval</t>
  </si>
  <si>
    <t>Talent Identification, Development and Selection; Professional Practice in Football Science 2; Applied Psychology of Football; Research Methods 1; Human Movement; Psychosocial Principles of Sport and Exercise; Research Methods 2</t>
  </si>
  <si>
    <t>Interpesronal communication</t>
  </si>
  <si>
    <t>Professional Practice in Football Science; Professional Practice in Football Science 2</t>
  </si>
  <si>
    <t>Knowledge synthesis</t>
  </si>
  <si>
    <t>Human Movement; Major Project</t>
  </si>
  <si>
    <t>Understanding the delivery environment</t>
  </si>
  <si>
    <t>Professional awareness</t>
  </si>
  <si>
    <t>Domian-specfic analytical skills</t>
  </si>
  <si>
    <t>Football tactics and match analysis; Football Performance and Technology</t>
  </si>
  <si>
    <t>Self-evaluation and professional development</t>
  </si>
  <si>
    <t>Personal development planning</t>
  </si>
  <si>
    <t>Professional Practice in Football Science</t>
  </si>
  <si>
    <t>Evidence evaluation</t>
  </si>
  <si>
    <t>Reflective practice</t>
  </si>
  <si>
    <t>Professional Practice in Football Science; Professional Practice in Football Science 2; Applied Practice in Football Science; Research Methods 1; Exercise Phys L4</t>
  </si>
  <si>
    <t>Technical skills</t>
  </si>
  <si>
    <t>Laboratory/clinical techniques</t>
  </si>
  <si>
    <t>Application of knowledge and skills</t>
  </si>
  <si>
    <t>Contextual application</t>
  </si>
  <si>
    <t>Professional Practice in Football Science; Talent Identification, Development and Selection; Applied Practice in Football Science; Research Methods 1; Human Movement</t>
  </si>
  <si>
    <t>Data collection</t>
  </si>
  <si>
    <t>Football Performance and Technology; Exercise Phys L4; Human Movement; Major Project</t>
  </si>
  <si>
    <t>Resilience</t>
  </si>
  <si>
    <t>Data analysis</t>
  </si>
  <si>
    <t>Football Performance and Technology; Physiological adaptations to exercise</t>
  </si>
  <si>
    <t>Digital literacy</t>
  </si>
  <si>
    <t>Equipment and technology utilisation</t>
  </si>
  <si>
    <t>Football tactics and match analysis; Football Performance and Technology; Physical Performance in Football; Applied Psychology of Football; Research Methods 1; Research Methods 2</t>
  </si>
  <si>
    <t>Technical proficiency</t>
  </si>
  <si>
    <t>Understanding and use of research</t>
  </si>
  <si>
    <t>Research communication</t>
  </si>
  <si>
    <t>Talent Identification, Development and Selection</t>
  </si>
  <si>
    <t>Decision-making</t>
  </si>
  <si>
    <t>Football tactics and match analysis; Physical Performance in Football; Applied Psychology of Football; Research Methods 2</t>
  </si>
  <si>
    <t>Professional judgement</t>
  </si>
  <si>
    <t>Talent Identification, Development and Selection; Professional Practice in Football Science 2; Exercise Phys L4; Major Project</t>
  </si>
  <si>
    <t>Translational practice</t>
  </si>
  <si>
    <t>Evidne-based practice</t>
  </si>
  <si>
    <t>Talent Identification, Development and Selection; Professional Practice in Football Science 2</t>
  </si>
  <si>
    <t>Problem solving and impact</t>
  </si>
  <si>
    <t>Evidence-based decision making</t>
  </si>
  <si>
    <t>Professional Practice in Football Science 2; Applied Practice in Football Science</t>
  </si>
  <si>
    <t>Stakeholder awareness</t>
  </si>
  <si>
    <t>Professional Practice in Football Science 2</t>
  </si>
  <si>
    <t>Adaptability</t>
  </si>
  <si>
    <t>Risk assessment</t>
  </si>
  <si>
    <t>Reserch literacy</t>
  </si>
  <si>
    <t>Literature searching</t>
  </si>
  <si>
    <t>Research Methods 1; Research Methods 2</t>
  </si>
  <si>
    <t>Critical appraisal</t>
  </si>
  <si>
    <t>Data interpretation</t>
  </si>
  <si>
    <t>Research Methods 1; Exercise Phys L4; Psychosocial Principles of Sport and Exercise; Research Methods 2; Physiological adaptations to exercise; Major Project</t>
  </si>
  <si>
    <t>Written communication</t>
  </si>
  <si>
    <t>Football Performance and Technology; Exercise Phys L4</t>
  </si>
  <si>
    <t>Analytical thinking</t>
  </si>
  <si>
    <t>Physical Performance in Football</t>
  </si>
  <si>
    <t>Management of self and others</t>
  </si>
  <si>
    <t>Delegation</t>
  </si>
  <si>
    <t>Physical Performance in Football; Human Movement</t>
  </si>
  <si>
    <t>Self-awareness</t>
  </si>
  <si>
    <t>Physical Education</t>
  </si>
  <si>
    <t>Professional Practice in Physical Education; Research Methods 1; Learning in PE and Sport Contexts; Professional Practice in PE 2; Human Movement; Learning in PE and Sport Contexts 2; Psychosocial Principles of Sport and Exercise; Learning in PE and Sport Contexts 3 (TBC); Professional Practicel in PE 3</t>
  </si>
  <si>
    <t>Lifelong learning</t>
  </si>
  <si>
    <t>Professional Practice in Physical Education; Research Methods 1; Learning in PE and Sport Contexts; Exercise Phys L4; Professional Practice in PE 2; Learning in PE and Sport Contexts 2; Learning in PE and Sport Contexts 3 (TBC); Professional Practicel in PE 3; Major Project</t>
  </si>
  <si>
    <t>Professional Practice in Physical Education; Professional Practice in PE 2; Primary PE teacher Education; Learning in PE and Sport Contexts 3 (TBC); Professional Practicel in PE 3; Secondary PE Teacher Education</t>
  </si>
  <si>
    <t>Professional Practice in Physical Education; Research Methods 1; Professional Practice in PE 2; Primary PE teacher Education; Learning in PE and Sport Contexts 3 (TBC); Professional Practicel in PE 3; Major Project; Secondary PE Teacher Education</t>
  </si>
  <si>
    <t>Initiative</t>
  </si>
  <si>
    <t>Professional Practice in Physical Education; Research Methods 1; Professional Practice in PE 2; Learning in PE and Sport Contexts 3 (TBC); Professional Practicel in PE 3</t>
  </si>
  <si>
    <t>Accountability</t>
  </si>
  <si>
    <t>Active listening</t>
  </si>
  <si>
    <t>Scientific writing</t>
  </si>
  <si>
    <t>Research Methods 2; Physiological adaptations to exercise; Major Project</t>
  </si>
  <si>
    <t>Research Methods 1; Human Movement; Primary PE teacher Education; Secondary PE Teacher Education</t>
  </si>
  <si>
    <t>Research Methods 1; Primary PE teacher Education; Secondary PE Teacher Education</t>
  </si>
  <si>
    <t>problem identification</t>
  </si>
  <si>
    <t>Research Methods 1; Exercise Phys L4; Psychosocial Principles of Sport and Exercise; Major Project; Secondary PE Teacher Education</t>
  </si>
  <si>
    <t>Creative thinking</t>
  </si>
  <si>
    <t>Research Methods 1; Exercise Phys L4; Primary PE teacher Education</t>
  </si>
  <si>
    <t>Innovation</t>
  </si>
  <si>
    <t>Sport and Exercise Science</t>
  </si>
  <si>
    <t>Research Methods 1; Human Movement; Psychosocial Principles of Sport and Exercise; Research Methods 2; Understanding Physical Activity and Sedentary Behaviour; Influences and Assessment of Physical Activity and Sedentary Behaviour; Sport and Injury Biomechanics; Clinical Biomechanics; Strength and Conditioning; Working in High Performance Sport; Sport amd Performance Psychology</t>
  </si>
  <si>
    <t>Evaluation of outcomes</t>
  </si>
  <si>
    <t>Research Methods 1; Exercise Phys L4; Research Methods 2; Physiological adaptations to exercise; Major Project; Understanding Physical Activity and Sedentary Behaviour; Sport and Injury Biomechanics; Cardiovascular Physiology; Clinical Biomechanics; Health and Performance Nutrition; Strength and Conditioning; Working in High Performance Sport; Applied Motor Behaviour</t>
  </si>
  <si>
    <t>Leadership</t>
  </si>
  <si>
    <t>Coaching and mentoring</t>
  </si>
  <si>
    <t>Research Methods 1; Research Methods 2; Understanding Physical Activity and Sedentary Behaviour; Influences and Assessment of Physical Activity and Sedentary Behaviour; Sport and Injury Biomechanics; Clinical Biomechanics; Working in High Performance Sport</t>
  </si>
  <si>
    <t>Time management</t>
  </si>
  <si>
    <t>Research Methods 1; Human Movement; Secondary PE Teacher Education; Understanding Physical Activity and Sedentary Behaviour; Influences and Assessment of Physical Activity and Sedentary Behaviour; Module Title; Strength and Conditioning; Behaviour Change; Applied Motor Behaviour</t>
  </si>
  <si>
    <t>Organisation</t>
  </si>
  <si>
    <t>Human Movement; Physiological adaptations to exercise; Major Project</t>
  </si>
  <si>
    <t>Research Methods 1; Research Methods 2; Secondary PE Teacher Education; Understanding Physical Activity and Sedentary Behaviour; Influences and Assessment of Physical Activity and Sedentary Behaviour; Module Title</t>
  </si>
  <si>
    <t>Research Methods 1; Exercise Phys L4; Psychosocial Principles of Sport and Exercise; Research Methods 2; Physiological adaptations to exercise; Major Project; Secondary PE Teacher Education; Understanding Physical Activity and Sedentary Behaviour; Influences and Assessment of Physical Activity and Sedentary Behaviour; Applied Professional Practice; Strength and Conditioning; Performance Analysis in Sport; Applied Motor Behaviour</t>
  </si>
  <si>
    <t>Conflict resolution</t>
  </si>
  <si>
    <t>Research Methods 1; Research Methods 2; Physiological adaptations to exercise; Major Project; Secondary PE Teacher Education; Professional Practice; Understanding Physical Activity and Sedentary Behaviour; Influences and Assessment of Physical Activity and Sedentary Behaviour; Sport and Injury Biomechanics; Cardiovascular Physiology; Module Title; Health and Performance Nutrition; Applied Professional Practice; Strength and Conditioning; Behaviour Change; Performance Analysis in Sport; Working in High Performance Sport; Applied Motor Behaviour</t>
  </si>
  <si>
    <t>Empathy</t>
  </si>
  <si>
    <t>Multi-tasking</t>
  </si>
  <si>
    <t>Research Methods 1; Exercise Phys L4; Professional Practice; Understanding Physical Activity and Sedentary Behaviour; Applied Professional Practice; Behaviour Change</t>
  </si>
  <si>
    <t>Resource management</t>
  </si>
  <si>
    <t>Sport Coaching</t>
  </si>
  <si>
    <t>Research Methods 1; Learning Theory and Practice 1; Human Movement; Psychosocial Principles of Sport and Exercise; Strength and Conditioning; Professional Practice in Sport Coaching 1; Professional Practice in Sport Coaching 2; Effective Coaching in Paralympic and Disability Sport; Strength and Conditioning for Coaches; Learning Theory and Practice; Youth and Community Football Coaching; Advanced Coaching Practice; Coach Development and Learning; Placement/Projects in Sport for Professional Development; Working in High Performance Sport</t>
  </si>
  <si>
    <t>Organisational awareness</t>
  </si>
  <si>
    <t>Research Methods 1; Learning Theory and Practice 1; Exercise Phys L4; Major Project; Strength and Conditioning; Professional Practice in Sport Coaching 1; Professional Practice in Sport Coaching 2; Effective Coaching in Paralympic and Disability Sport; Strength and Conditioning for Coaches; Learning Theory and Practice; Youth and Community Football Coaching; Advanced Coaching Practice; Coach Development and Learning; Placement/Projects in Sport for Professional Development; Working in High Performance Sport</t>
  </si>
  <si>
    <t>Policy interpretation</t>
  </si>
  <si>
    <t>Research Methods 1; Learning Theory and Practice 1; Professional Practice in Sport Coaching 1; Professional Practice in Sport Coaching 2; Effective Coaching in Paralympic and Disability Sport; Strength and Conditioning for Coaches; Learning Theory and Practice; Youth and Community Football Coaching; Advanced Coaching Practice; Coach Development and Learning; Placement/Projects in Sport for Professional Development; Working in High Performance Sport</t>
  </si>
  <si>
    <t>Service delivery</t>
  </si>
  <si>
    <t>Research Methods 1; Human Movement; Strength and Conditioning</t>
  </si>
  <si>
    <t>Professional relationships and behaviours</t>
  </si>
  <si>
    <t>Teamwork</t>
  </si>
  <si>
    <t>Research Methods 1; Exercise Phys L4; Psychosocial Principles of Sport and Exercise; Major Project; Strength and Conditioning</t>
  </si>
  <si>
    <t>Collaboration/multi-disciplinary working</t>
  </si>
  <si>
    <t>Research Methods 1; Learning Theory and Practice 1; Major Project; Strength and Conditioning; Professional Practice in Sport Coaching 1; Professional Practice in Sport Coaching 2; Effective Coaching in Paralympic and Disability Sport; Strength and Conditioning for Coaches; Learning Theory and Practice; Youth and Community Football Coaching; Advanced Coaching Practice; Coach Development and Learning; Placement/Projects in Sport for Professional Development; Working in High Performance Sport</t>
  </si>
  <si>
    <t>Ethical practice</t>
  </si>
  <si>
    <t>Professionalism</t>
  </si>
  <si>
    <t>Research Methods 1; Exercise Phys L4</t>
  </si>
  <si>
    <t>Cultural awareness and competence</t>
  </si>
  <si>
    <t>Sport Nutrition</t>
  </si>
  <si>
    <t>Research Methods 1; Principles of Human Nutrition; Nutritional Biochemistry and Metabolism; Performance Nutrition; Capstone Placment Project; Applied Placement</t>
  </si>
  <si>
    <t>Integrity</t>
  </si>
  <si>
    <t>Research Methods 1; Exercise Phys L4; Major Project; Nutritional Biochemistry and Metabolism; Performance Nutrition; Professional Practice 2 in Sport Nutrition; Product Development for Sport Nutrition; Applied Nutrition and Exercise Biochemistry; Lifespan Nutrition and Eating Behaviour; Molecular Nutrition and Genetics; Sport Supplements and Contemporary Issues; Sport Nutrition for Health, Adaptation and Recovery; Capstone Placment Project; Applied Placement</t>
  </si>
  <si>
    <t>Respect</t>
  </si>
  <si>
    <t>Exercise Phys L4; Major Project</t>
  </si>
  <si>
    <t>Exercise Phys L4; Human Movement; Major Project</t>
  </si>
  <si>
    <t>Exercise Phys L4; Primary PE teacher Education; Major Project; Secondary PE Teacher Education</t>
  </si>
  <si>
    <t>Primary PE teacher Education; Secondary PE Teacher Education</t>
  </si>
  <si>
    <t>Primary PE teacher Education; Major Project; Secondary PE Teacher Education</t>
  </si>
  <si>
    <t>Learning Theory and Practice 1; Strength and Conditioning; Professional Practice in Sport Coaching 1; Professional Practice in Sport Coaching 2; Effective Coaching in Paralympic and Disability Sport; Strength and Conditioning for Coaches; Learning Theory and Practice; Youth and Community Football Coaching; Advanced Coaching Practice; Coach Development and Learning; Placement/Projects in Sport for Professional Development; Working in High Performance Sport</t>
  </si>
  <si>
    <t>Primary PE teacher Education; Physical Education in Action 1; Secondary PE Teacher Education</t>
  </si>
  <si>
    <t>Exercise Phys L4; Physiological adaptations to exercise; Major Project; Cardiovascular Physiology; Clinical Biomechanics; Module Title; Health and Performance Nutrition; Applied Professional Practice; Strength and Conditioning; Behaviour Change; Applied Motor Behaviour</t>
  </si>
  <si>
    <t>Exercise Phys L4; Human Movement; Major Project; Clinical Biomechanics</t>
  </si>
  <si>
    <t>Primary PE teacher Education; Physical Education in Action 1</t>
  </si>
  <si>
    <t>Exercise Phys L4; Module Title</t>
  </si>
  <si>
    <t>Exercise Phys L4; Major Project; Secondary PE Teacher Education; Applied Professional Practice; Sport amd Performance Psychology</t>
  </si>
  <si>
    <t>Exercise Phys L4; Major Project; Strength and Conditioning</t>
  </si>
  <si>
    <t>Exercise Phys L4; Major Project; Molecular Nutrition and Genetics</t>
  </si>
  <si>
    <t>Human Movement; Primary PE teacher Education; Major Project; Secondary PE Teacher Education</t>
  </si>
  <si>
    <t>Human Movement; Primary PE teacher Education; Secondary PE Teacher Education</t>
  </si>
  <si>
    <t>Human Movement; Major Project; Physical activity and sedentary behaviour across the life course; Exercise Metabolism; Cardiovascular Physiology; Clinical Biomechanics; Module Title; Health and Performance Nutrition</t>
  </si>
  <si>
    <t>Human Movement; Physiological adaptations to exercise; Major Project; Secondary PE Teacher Education; Applied Professional Practice; Performance Analysis in Sport; Applied Motor Behaviour</t>
  </si>
  <si>
    <t>Human Movement; Secondary PE Teacher Education</t>
  </si>
  <si>
    <t>Human Movement; Performance Analysis in Sport</t>
  </si>
  <si>
    <t>Physical activity and sedentary behaviour across the life course; Exercise Metabolism; Applied Professional Practice; Strength and Conditioning; Behaviour Change; Performance Analysis in Sport</t>
  </si>
  <si>
    <t>Physiological adaptations to exercise; Cardiovascular Physiology; Health and Performance Nutrition; Sport amd Performance Psychology</t>
  </si>
  <si>
    <t>Cardiovascular Physiology; Clinical Biomechanics; Health and Performance Nutrition</t>
  </si>
  <si>
    <t>Physiological adaptations to exercise; Clinical Biomechanics; Applied Professional Practice; Performance Analysis in Sport</t>
  </si>
  <si>
    <t>Major Project; Clinical Biomechanics; Behaviour Change</t>
  </si>
  <si>
    <t>Research Methods 2; Secondary PE Teacher Education; Sport and Injury Biomechanics; Clinical Biomechanics; Strength and Conditioning; Performance Analysis in Sport; Working in High Performance Sport</t>
  </si>
  <si>
    <t>Secondary PE Teacher Education; Strength and Conditioning</t>
  </si>
  <si>
    <t>Major Project; Secondary PE Teacher Education</t>
  </si>
  <si>
    <t>Physiological adaptations to exercise; Secondary PE Teacher Education; Physical activity and sedentary behaviour across the life course; Exercise Metabolism; Module Title; Applied Motor Behaviour</t>
  </si>
  <si>
    <t>Physiological adaptations to exercise; Secondary PE Teacher Education</t>
  </si>
  <si>
    <t>Secondary PE Teacher Education; Professional Practice; Influences and Assessment of Physical Activity and Sedentary Behaviour; Behaviour Change</t>
  </si>
  <si>
    <t>Secondary PE Teacher Education; Sport amd Performance Psychology</t>
  </si>
  <si>
    <t>Secondary PE Teacher Education; Module Title; Applied Professional Practice; Sport amd Performance Psychology</t>
  </si>
  <si>
    <t>Major Project; Nutritional Biochemistry and Metabolism; Product Development for Sport Nutrition; Applied Nutrition and Exercise Biochemistry; Molecular Nutrition and Genetics; Sport Supplements and Contemporary Issues</t>
  </si>
  <si>
    <t>Secondary PE Teacher Education; Professional Practice; Applied Professional Practice</t>
  </si>
  <si>
    <t>Secondary PE Teacher Education; Applied Professional Practice</t>
  </si>
  <si>
    <t>Secondary PE Teacher Education; Module Title</t>
  </si>
  <si>
    <t>Influences and Assessment of Physical Activity and Sedentary Behaviour; Applied Professional Practice</t>
  </si>
  <si>
    <t>Secondary PE Teacher Education; Applied Professional Practice; Behaviour Change</t>
  </si>
  <si>
    <t>Performance Nutrition</t>
  </si>
  <si>
    <t>Research Methods 1; Capstone Placment Project; Applied Placement</t>
  </si>
  <si>
    <t>Nutritional Biochemistry and Metabolism; Capstone Placment Project; Applied Placement</t>
  </si>
  <si>
    <t>Professional Practice 1 in Sport Nutrition; Principles of Human Nutrition; Professional Practice 2 in Sport Nutrition; Lifespan Nutrition and Eating Behaviour; Sport Nutrition for Health, Adaptation and Recovery</t>
  </si>
  <si>
    <t>Research Methods 1; Product Development for Sport Nutrition; Sport Supplements and Contemporary Issues</t>
  </si>
  <si>
    <t>Exercise Phys L4; Major Project; Applied Nutrition and Exercise Biochemistry</t>
  </si>
  <si>
    <t>Molecular Nutrition and Genetics</t>
  </si>
  <si>
    <t>Research Methods 1; Exercise Phys L4; Major Project</t>
  </si>
  <si>
    <t>Lifespan Nutrition and Eating Behaviour</t>
  </si>
  <si>
    <t>Sport Supplements and Contemporary Issues</t>
  </si>
  <si>
    <t>Research Methods 1; Exercise Phys L4; Professional Practice 1 in Sport Nutrition; Professional Practice 2 in Sport Nutrition; Sport Nutrition for Health, Adaptation and Recovery</t>
  </si>
  <si>
    <t>Professional Practice 1 in Sport Nutrition</t>
  </si>
  <si>
    <t>Professional Practice 2 in Sport Nutrition; Lifespan Nutrition and Eating Behaviour</t>
  </si>
  <si>
    <t>Exercise Phys L4; Professional Practice 2 in Sport Nutrition</t>
  </si>
  <si>
    <t>Research Methods 1; Major Project; Principles of Human Nutrition; Nutritional Biochemistry and Metabolism; Product Development for Sport Nutrition; Sport Supplements and Contemporary Issues; Capstone Placment Project; Applied Placement</t>
  </si>
  <si>
    <t>Major Project; Applied Nutrition and Exercise Biochemistry; Molecular Nutrition and Genetics</t>
  </si>
  <si>
    <t>Professional Practice 1 in Sport Nutrition; Principles of Human Nutrition</t>
  </si>
  <si>
    <t>Sport Nutrition for Health, Adaptation and Recovery</t>
  </si>
  <si>
    <t>Product Development for Sport Nutrition</t>
  </si>
  <si>
    <t>Lifespan Nutrition and Eating Behaviour; Sport Nutrition for Health, Adaptation and Recovery</t>
  </si>
  <si>
    <t>Sport Psychology</t>
  </si>
  <si>
    <t>Major Project; Applied Motor Behaviour; PROFESSIONAL PRACTICE IN SPORT PSYCHOLOGY 1; Introduction to Developmental Psychology and Individual Differences; Current Issues in Sport and Exercise Psychology</t>
  </si>
  <si>
    <t>Research Methods 1; Major Project; Applied Motor Behaviour; Introduction to Cognitive and Biological Psychology; Advances in Cognitive and Biological Psychology; Exercise and Health Psychology; Developmental and Social Psychology</t>
  </si>
  <si>
    <t>Research Methods 1; Psychosocial Principles of Sport and Exercise; Sport amd Performance Psychology; Introduction to Developmental Psychology and Individual Differences; Introduction to Cognitive and Biological Psychology; Advances in Cognitive and Biological Psychology; Exercise and Health Psychology; Developmental and Social Psychology; Current Issues in Sport and Exercise Psychology</t>
  </si>
  <si>
    <t>Major Project; Introduction to Developmental Psychology and Individual Differences; Exercise and Health Psychology; Developmental and Social Psychology</t>
  </si>
  <si>
    <t>Advances in Cognitive and Biological Psychology</t>
  </si>
  <si>
    <t>Sport amd Performance Psychology; Introduction to Cognitive and Biological Psychology; Advances in Cognitive and Biological Psychology; Exercise and Health Psychology; Current Issues in Sport and Exercise Psychology</t>
  </si>
  <si>
    <t>Academic Skills; Exercise and Health Psychology</t>
  </si>
  <si>
    <t>PROFESSIONAL PRACTICE IN SPORT PSYCHOLOGY 1</t>
  </si>
  <si>
    <t>Research Methods 1; Advances in Cognitive and Biological Psychology</t>
  </si>
  <si>
    <t>Research Methods 1; Applied Motor Behaviour; Professional Practice 3; Professional placement or work related learning project</t>
  </si>
  <si>
    <t>Major Project; Sport amd Performance Psychology; PROFESSIONAL PRACTICE IN SPORT PSYCHOLOGY 1</t>
  </si>
  <si>
    <t>Current Issues in Sport and Exercise Psychology</t>
  </si>
  <si>
    <t>Applied Motor Behaviour; PROFESSIONAL PRACTICE IN SPORT PSYCHOLOGY 1; Advances in Cognitive and Biological Psychology; Developmental and Social Psychology; Professional placement or work related learning project</t>
  </si>
  <si>
    <t>Research Methods 1; Psychosocial Principles of Sport and Exercise; Major Project; Applied Motor Behaviour; Advances in Cognitive and Biological Psychology; Exercise and Health Psychology</t>
  </si>
  <si>
    <t>Introduction to Developmental Psychology and Individual Differences; Developmental and Social Psychology</t>
  </si>
  <si>
    <t>Research Methods 1; PROFESSIONAL PRACTICE IN SPORT PSYCHOLOGY 1; Professional Practice 3; Professional placement or work related learning project</t>
  </si>
  <si>
    <t>Research Methods 1; Major Project; Applied Motor Behaviour; PROFESSIONAL PRACTICE IN SPORT PSYCHOLOGY 1; Introduction to Developmental Psychology and Individual Differences; Introduction to Cognitive and Biological Psychology; Advances in Cognitive and Biological Psychology; Exercise and Health Psychology; Professional Practice 3</t>
  </si>
  <si>
    <t>Academic Skills; Developmental and Social Psychology</t>
  </si>
  <si>
    <t>Sport amd Performance Psychology; PROFESSIONAL PRACTICE IN SPORT PSYCHOLOGY 1; Professional Practice 3</t>
  </si>
  <si>
    <t>Professional placement or work related learning project</t>
  </si>
  <si>
    <t>Major Project; Applied Motor Behaviour; PROFESSIONAL PRACTICE IN SPORT PSYCHOLOGY 1; PROFESSIONAL PRACTICE IN SPORT PSYCHOLOGY 2; Professional Practice 3</t>
  </si>
  <si>
    <t>SourceWorkbook</t>
  </si>
  <si>
    <t>TableName</t>
  </si>
  <si>
    <t>ModuleCode</t>
  </si>
  <si>
    <t>ItemSuffix</t>
  </si>
  <si>
    <t>ProgCode</t>
  </si>
  <si>
    <t>ModuleTitle</t>
  </si>
  <si>
    <t>Lecture</t>
  </si>
  <si>
    <t>Seminar</t>
  </si>
  <si>
    <t>Practical</t>
  </si>
  <si>
    <t>Workshop</t>
  </si>
  <si>
    <t>Online</t>
  </si>
  <si>
    <t>Total</t>
  </si>
  <si>
    <t>Football Science - AllModuleProformas.xlsx</t>
  </si>
  <si>
    <t>4301SPS_Hours</t>
  </si>
  <si>
    <t>4301SPS</t>
  </si>
  <si>
    <t>Hours</t>
  </si>
  <si>
    <t>FS</t>
  </si>
  <si>
    <t>4303SPS_Hours</t>
  </si>
  <si>
    <t>4303SPS</t>
  </si>
  <si>
    <t>5301SPS_Hours</t>
  </si>
  <si>
    <t>5301SPS</t>
  </si>
  <si>
    <t>5302SPS_Hours</t>
  </si>
  <si>
    <t>5302SPS</t>
  </si>
  <si>
    <t>Football tactics and match analysis</t>
  </si>
  <si>
    <t>6301SPS_Hours</t>
  </si>
  <si>
    <t>6301SPS</t>
  </si>
  <si>
    <t>Football Performance and Technology</t>
  </si>
  <si>
    <t>6302SPS_Hours</t>
  </si>
  <si>
    <t>6302SPS</t>
  </si>
  <si>
    <t>6303SPS_Hours</t>
  </si>
  <si>
    <t>6303SPS</t>
  </si>
  <si>
    <t>Applied Psychology of Football</t>
  </si>
  <si>
    <t>6304SPS_Hours</t>
  </si>
  <si>
    <t>6304SPS</t>
  </si>
  <si>
    <t>Applied Practice in Football Science</t>
  </si>
  <si>
    <t>Physical Education - AllModuleProformas.xlsx</t>
  </si>
  <si>
    <t>4201SPS_Hours</t>
  </si>
  <si>
    <t>4201SPS</t>
  </si>
  <si>
    <t>PE</t>
  </si>
  <si>
    <t>Professional Practice in Physical Education</t>
  </si>
  <si>
    <t>4202SPS_Hours</t>
  </si>
  <si>
    <t>4202SPS</t>
  </si>
  <si>
    <t>Learning in PE and Sport Contexts</t>
  </si>
  <si>
    <t>5201SPS_Hours</t>
  </si>
  <si>
    <t>5201SPS</t>
  </si>
  <si>
    <t>Professional Practice in PE 2</t>
  </si>
  <si>
    <t>5202SPS_Hours</t>
  </si>
  <si>
    <t>5202SPS</t>
  </si>
  <si>
    <t>Learning in PE and Sport Contexts 2</t>
  </si>
  <si>
    <t>5203SPS_Hours</t>
  </si>
  <si>
    <t>5203SPS</t>
  </si>
  <si>
    <t>Primary PE teacher Education</t>
  </si>
  <si>
    <t>5204SPS_Hours</t>
  </si>
  <si>
    <t>5204SPS</t>
  </si>
  <si>
    <t>Physical Education in Action 1</t>
  </si>
  <si>
    <t>6096SPS_Hours</t>
  </si>
  <si>
    <t>6096SPS</t>
  </si>
  <si>
    <t>SES</t>
  </si>
  <si>
    <t>6202SPS_Hours</t>
  </si>
  <si>
    <t>6202SPS</t>
  </si>
  <si>
    <t>Learning in PE and Sport Contexts 3 (TBC)</t>
  </si>
  <si>
    <t>6203SPS_Hours</t>
  </si>
  <si>
    <t>6203SPS</t>
  </si>
  <si>
    <t>Professional Practicel in PE 3</t>
  </si>
  <si>
    <t>Sport Coaching - AllModuleProformas.xlsx</t>
  </si>
  <si>
    <t>COACH</t>
  </si>
  <si>
    <t>Learning Theory and Practice 1</t>
  </si>
  <si>
    <t>4401SPS_Hours</t>
  </si>
  <si>
    <t>4401SPS</t>
  </si>
  <si>
    <t>Professional Practice in Sport Coaching 1</t>
  </si>
  <si>
    <t>5401SPS_Hours</t>
  </si>
  <si>
    <t>5401SPS</t>
  </si>
  <si>
    <t>Professional Practice in Sport Coaching 2</t>
  </si>
  <si>
    <t>5402SPS_Hours</t>
  </si>
  <si>
    <t>5402SPS</t>
  </si>
  <si>
    <t>Effective Coaching in Paralympic and Disability Sport</t>
  </si>
  <si>
    <t>5403SPS_Hours</t>
  </si>
  <si>
    <t>5403SPS</t>
  </si>
  <si>
    <t>Strength and Conditioning for Coaches</t>
  </si>
  <si>
    <t>5XX1SPS_Hours</t>
  </si>
  <si>
    <t>5XX1SPS</t>
  </si>
  <si>
    <t>Learning Theory and Practice</t>
  </si>
  <si>
    <t>5XX2SPS_Hours</t>
  </si>
  <si>
    <t>5XX2SPS</t>
  </si>
  <si>
    <t>Youth and Community Football Coaching</t>
  </si>
  <si>
    <t>6097SPS_Hours</t>
  </si>
  <si>
    <t>6097SPS</t>
  </si>
  <si>
    <t>6403SPS_Hours</t>
  </si>
  <si>
    <t>6403SPS</t>
  </si>
  <si>
    <t>Placement/Projects in Sport for Professional Development</t>
  </si>
  <si>
    <t>6XX1SPS_Hours</t>
  </si>
  <si>
    <t>6XX1SPS</t>
  </si>
  <si>
    <t>Advanced Coaching Practice</t>
  </si>
  <si>
    <t>6XX2SPS_Hours</t>
  </si>
  <si>
    <t>6XX2SPS</t>
  </si>
  <si>
    <t>Coach Development and Learning</t>
  </si>
  <si>
    <t>Sport Nutrition - AllModuleProformas.xlsx</t>
  </si>
  <si>
    <t>4NX1SPS_Hours</t>
  </si>
  <si>
    <t>4NX1SPS</t>
  </si>
  <si>
    <t>NUTR</t>
  </si>
  <si>
    <t>4NX2SPS_Hours</t>
  </si>
  <si>
    <t>4NX2SPS</t>
  </si>
  <si>
    <t>Principles of Human Nutrition</t>
  </si>
  <si>
    <t>4NX3SPS_Hours</t>
  </si>
  <si>
    <t>4NX3SPS</t>
  </si>
  <si>
    <t>Nutritional Biochemistry and Metabolism</t>
  </si>
  <si>
    <t>4NX4SPS_Hours</t>
  </si>
  <si>
    <t>4NX4SPS</t>
  </si>
  <si>
    <t>5NX1SPS_Hours</t>
  </si>
  <si>
    <t>5NX1SPS</t>
  </si>
  <si>
    <t>Professional Practice 2 in Sport Nutrition</t>
  </si>
  <si>
    <t>5NX2SPS_Hours</t>
  </si>
  <si>
    <t>5NX2SPS</t>
  </si>
  <si>
    <t>5NX3SPS_Hours</t>
  </si>
  <si>
    <t>5NX3SPS</t>
  </si>
  <si>
    <t>Applied Nutrition and Exercise Biochemistry</t>
  </si>
  <si>
    <t>5NX4SPS_Hours</t>
  </si>
  <si>
    <t>5NX4SPS</t>
  </si>
  <si>
    <t>6NX1SPS_Hours</t>
  </si>
  <si>
    <t>6NX1SPS</t>
  </si>
  <si>
    <t>6NX2SPS_Hours</t>
  </si>
  <si>
    <t>6NX2SPS</t>
  </si>
  <si>
    <t>6NX3SPS_Hours</t>
  </si>
  <si>
    <t>6NX3SPS</t>
  </si>
  <si>
    <t>6NX4SPS_Hours</t>
  </si>
  <si>
    <t>6NX4SPS</t>
  </si>
  <si>
    <t>Capstone Placment Project</t>
  </si>
  <si>
    <t>6NX5SPS_Hours</t>
  </si>
  <si>
    <t>6NX5SPS</t>
  </si>
  <si>
    <t>Applied Placement</t>
  </si>
  <si>
    <t>Sport Psychology - AllModuleProformas.xlsx</t>
  </si>
  <si>
    <t>4051SPS_Hours</t>
  </si>
  <si>
    <t>4051SPS</t>
  </si>
  <si>
    <t>PSYC</t>
  </si>
  <si>
    <t>4052SPS_Hours</t>
  </si>
  <si>
    <t>4052SPS</t>
  </si>
  <si>
    <t>Introduction to Developmental Psychology and Individual Differences</t>
  </si>
  <si>
    <t>4053SPS_Hours</t>
  </si>
  <si>
    <t>4053SPS</t>
  </si>
  <si>
    <t>Introduction to Cognitive and Biological Psychology</t>
  </si>
  <si>
    <t>4054SPS_Hours</t>
  </si>
  <si>
    <t>4054SPS</t>
  </si>
  <si>
    <t>Academic Skills</t>
  </si>
  <si>
    <t>4093SPS_Hours</t>
  </si>
  <si>
    <t>4093SPS</t>
  </si>
  <si>
    <t>5051SPS_Hours</t>
  </si>
  <si>
    <t>5051SPS</t>
  </si>
  <si>
    <t>PROFESSIONAL PRACTICE IN SPORT PSYCHOLOGY 2</t>
  </si>
  <si>
    <t>5052SPS_Hours</t>
  </si>
  <si>
    <t>5052SPS</t>
  </si>
  <si>
    <t>5053SPS_Hours</t>
  </si>
  <si>
    <t>5053SPS</t>
  </si>
  <si>
    <t>Exercise and Health Psychology</t>
  </si>
  <si>
    <t>5054SPS_Hours</t>
  </si>
  <si>
    <t>5054SPS</t>
  </si>
  <si>
    <t>Developmental and Social Psychology</t>
  </si>
  <si>
    <t>5093SPS_Hours</t>
  </si>
  <si>
    <t>5093SPS</t>
  </si>
  <si>
    <t>6051SPS_Hours</t>
  </si>
  <si>
    <t>6051SPS</t>
  </si>
  <si>
    <t>Professional Practice 3</t>
  </si>
  <si>
    <t>6052SPS_Hours</t>
  </si>
  <si>
    <t>6052SPS</t>
  </si>
  <si>
    <t>6053SPS_Hours</t>
  </si>
  <si>
    <t>6053SPS</t>
  </si>
  <si>
    <t>6054SPS_Hours</t>
  </si>
  <si>
    <t>6054SPS</t>
  </si>
  <si>
    <t>Sport and Exercise Science - AllModuleProformas.xlsx</t>
  </si>
  <si>
    <t>4091SPS_Hours</t>
  </si>
  <si>
    <t>4091SPS</t>
  </si>
  <si>
    <t>4092SPS_Hours</t>
  </si>
  <si>
    <t>4092SPS</t>
  </si>
  <si>
    <t>4094SPS_Hours</t>
  </si>
  <si>
    <t>4094SPS</t>
  </si>
  <si>
    <t>4101SPS_Hours</t>
  </si>
  <si>
    <t>4101SPS</t>
  </si>
  <si>
    <t>4102SPS_Hours</t>
  </si>
  <si>
    <t>4102SPS</t>
  </si>
  <si>
    <t>5091SPS_Hours</t>
  </si>
  <si>
    <t>5091SPS</t>
  </si>
  <si>
    <t>5092SPS_Hours</t>
  </si>
  <si>
    <t>5092SPS</t>
  </si>
  <si>
    <t>5101SPS_Hours</t>
  </si>
  <si>
    <t>5101SPS</t>
  </si>
  <si>
    <t>5102SPS_Hours</t>
  </si>
  <si>
    <t>5102SPS</t>
  </si>
  <si>
    <t>5103SPS_Hours</t>
  </si>
  <si>
    <t>5103SPS</t>
  </si>
  <si>
    <t>6091SPS_Hours</t>
  </si>
  <si>
    <t>6091SPS</t>
  </si>
  <si>
    <t>6093SPS_Hours</t>
  </si>
  <si>
    <t>6093SPS</t>
  </si>
  <si>
    <t>6094SPS_Hours</t>
  </si>
  <si>
    <t>6094SPS</t>
  </si>
  <si>
    <t>6095SPS_Hours</t>
  </si>
  <si>
    <t>6095SPS</t>
  </si>
  <si>
    <t>6101SPS_Hours</t>
  </si>
  <si>
    <t>6101SPS</t>
  </si>
  <si>
    <t>6102SPS_Hours</t>
  </si>
  <si>
    <t>6102SPS</t>
  </si>
  <si>
    <t>6103SPS_Hours</t>
  </si>
  <si>
    <t>6103SPS</t>
  </si>
  <si>
    <t>6104SPS_Hours</t>
  </si>
  <si>
    <t>6104SPS</t>
  </si>
  <si>
    <t>6105SPS_Hours</t>
  </si>
  <si>
    <t>6105SPS</t>
  </si>
  <si>
    <t>6106SPS_Hours</t>
  </si>
  <si>
    <t>6106SPS</t>
  </si>
  <si>
    <t>6107SPS_Hours</t>
  </si>
  <si>
    <t>6107SPS</t>
  </si>
  <si>
    <t>6108SPS_Hours</t>
  </si>
  <si>
    <t>6108SPS</t>
  </si>
  <si>
    <t>6109SPS_Hours</t>
  </si>
  <si>
    <t>6109SPS</t>
  </si>
  <si>
    <t>Module Code</t>
  </si>
  <si>
    <t>Credits</t>
  </si>
  <si>
    <t>Semester</t>
  </si>
  <si>
    <t>Level</t>
  </si>
  <si>
    <t>Module Leader</t>
  </si>
  <si>
    <t>Module Type</t>
  </si>
  <si>
    <t>Programme(s)</t>
  </si>
  <si>
    <t>4301SPS_Meta</t>
  </si>
  <si>
    <t>Meta</t>
  </si>
  <si>
    <t>Dr Francesca Champ</t>
  </si>
  <si>
    <t>Core module</t>
  </si>
  <si>
    <t>4303SPS_Meta</t>
  </si>
  <si>
    <t>Andrew Triggs</t>
  </si>
  <si>
    <t>5301SPS_Meta</t>
  </si>
  <si>
    <t>Dr Ed Hope</t>
  </si>
  <si>
    <t>5302SPS_Meta</t>
  </si>
  <si>
    <t>6301SPS_Meta</t>
  </si>
  <si>
    <t>Sigrid Olthof</t>
  </si>
  <si>
    <t>6302SPS_Meta</t>
  </si>
  <si>
    <t>Kevin Enright</t>
  </si>
  <si>
    <t>6303SPS_Meta</t>
  </si>
  <si>
    <t>Dr Martin Littlewood</t>
  </si>
  <si>
    <t>6304SPS_Meta</t>
  </si>
  <si>
    <t>YL</t>
  </si>
  <si>
    <t>Ian Beattie</t>
  </si>
  <si>
    <t>Prof Practice Strand</t>
  </si>
  <si>
    <t>4201SPS_Meta</t>
  </si>
  <si>
    <t xml:space="preserve">Professional Practice in Physical Education </t>
  </si>
  <si>
    <t>Ceri Magill</t>
  </si>
  <si>
    <t>4202SPS_Meta</t>
  </si>
  <si>
    <t>5201SPS_Meta</t>
  </si>
  <si>
    <t>5202SPS_Meta</t>
  </si>
  <si>
    <t>5203SPS_Meta</t>
  </si>
  <si>
    <t>Kelly Massey</t>
  </si>
  <si>
    <t>5204SPS_Meta</t>
  </si>
  <si>
    <t>6096SPS_Meta</t>
  </si>
  <si>
    <t>Option module</t>
  </si>
  <si>
    <t>SES, SC, PE</t>
  </si>
  <si>
    <t>6202SPS_Meta</t>
  </si>
  <si>
    <t>Colin Lewis</t>
  </si>
  <si>
    <t>6203SPS_Meta</t>
  </si>
  <si>
    <t>SCHOOL - AllModuleProformas.xlsx</t>
  </si>
  <si>
    <t>4091SPS_Meta</t>
  </si>
  <si>
    <t>Research Strand</t>
  </si>
  <si>
    <t>4092SPS_Meta</t>
  </si>
  <si>
    <t>TBC</t>
  </si>
  <si>
    <t>Gemma Miller (TBC)</t>
  </si>
  <si>
    <t>All Programmes</t>
  </si>
  <si>
    <t>4094SPS_Meta</t>
  </si>
  <si>
    <t>Katie Fitton Davies</t>
  </si>
  <si>
    <t>Other combination</t>
  </si>
  <si>
    <t>5091SPS_Meta</t>
  </si>
  <si>
    <t>Jonathan Foulkes</t>
  </si>
  <si>
    <t>5092SPS_Meta</t>
  </si>
  <si>
    <t>Pascale Kippelen</t>
  </si>
  <si>
    <t>5103SPS_Meta</t>
  </si>
  <si>
    <t xml:space="preserve">Biomechanics </t>
  </si>
  <si>
    <t xml:space="preserve">Thomas O'Brien </t>
  </si>
  <si>
    <t>SES and FS</t>
  </si>
  <si>
    <t>6091SPS_Meta</t>
  </si>
  <si>
    <t>Research Project</t>
  </si>
  <si>
    <t>6093SPS_Meta</t>
  </si>
  <si>
    <t>Chelsea Oxendale</t>
  </si>
  <si>
    <t>4401SPS_Meta</t>
  </si>
  <si>
    <t xml:space="preserve">Professional Practice in Sport Coaching 1 </t>
  </si>
  <si>
    <t>5401SPS_Meta</t>
  </si>
  <si>
    <t>5402SPS_Meta</t>
  </si>
  <si>
    <t>5403SPS_Meta</t>
  </si>
  <si>
    <t>5XX1SPS_Meta</t>
  </si>
  <si>
    <t>XXXXSPS</t>
  </si>
  <si>
    <t>5XX2SPS_Meta</t>
  </si>
  <si>
    <t>6097SPS_Meta</t>
  </si>
  <si>
    <t>6403SPS_Meta</t>
  </si>
  <si>
    <t xml:space="preserve">Placement/Projects in Sport for Professional Development </t>
  </si>
  <si>
    <t>6XX1SPS_Meta</t>
  </si>
  <si>
    <t xml:space="preserve">Advanced Coaching Practice </t>
  </si>
  <si>
    <t>6XX2SPS_Meta</t>
  </si>
  <si>
    <t xml:space="preserve">Coach Development and Learning </t>
  </si>
  <si>
    <t>4NX1SPS_Meta</t>
  </si>
  <si>
    <t>Sam Moss</t>
  </si>
  <si>
    <t>4NX2SPS_Meta</t>
  </si>
  <si>
    <t>Richie Kirwan</t>
  </si>
  <si>
    <t>4NX3SPS_Meta</t>
  </si>
  <si>
    <t>Ian Davies</t>
  </si>
  <si>
    <t>4NX4SPS_Meta</t>
  </si>
  <si>
    <t>Ian Sadler</t>
  </si>
  <si>
    <t>5NX1SPS_Meta</t>
  </si>
  <si>
    <t>5NX2SPS_Meta</t>
  </si>
  <si>
    <t>Katie Lane</t>
  </si>
  <si>
    <t>5NX3SPS_Meta</t>
  </si>
  <si>
    <t>Keslie Johnson</t>
  </si>
  <si>
    <t>5NX4SPS_Meta</t>
  </si>
  <si>
    <t xml:space="preserve">Lucy Richardson </t>
  </si>
  <si>
    <t>6NX1SPS_Meta</t>
  </si>
  <si>
    <t>6NX2SPS_Meta</t>
  </si>
  <si>
    <t xml:space="preserve">Neil Chester </t>
  </si>
  <si>
    <t>6NX3SPS_Meta</t>
  </si>
  <si>
    <t>Liz Mahon</t>
  </si>
  <si>
    <t>6NX4SPS_Meta</t>
  </si>
  <si>
    <t xml:space="preserve">Capstone Placment Project </t>
  </si>
  <si>
    <t>Wendy Johnston</t>
  </si>
  <si>
    <t>6NX5SPS_Meta</t>
  </si>
  <si>
    <t xml:space="preserve">Applied Placement </t>
  </si>
  <si>
    <t xml:space="preserve">Wedny Johnston </t>
  </si>
  <si>
    <t>4051SPS_Meta</t>
  </si>
  <si>
    <t>Joe Causer</t>
  </si>
  <si>
    <t>4052SPS_Meta</t>
  </si>
  <si>
    <t xml:space="preserve">Introduction to Developmental Psychology and Individual Differences </t>
  </si>
  <si>
    <t>Dr Gillian Cook</t>
  </si>
  <si>
    <t>4053SPS_Meta</t>
  </si>
  <si>
    <t>Mark Hollands</t>
  </si>
  <si>
    <t>4054SPS_Meta</t>
  </si>
  <si>
    <t>4093SPS_Meta</t>
  </si>
  <si>
    <t>Kathryn Curran</t>
  </si>
  <si>
    <t>5051SPS_Meta</t>
  </si>
  <si>
    <t>5052SPS_Meta</t>
  </si>
  <si>
    <t>James Roberts</t>
  </si>
  <si>
    <t>5053SPS_Meta</t>
  </si>
  <si>
    <t>Laura Thomas</t>
  </si>
  <si>
    <t>5054SPS_Meta</t>
  </si>
  <si>
    <t xml:space="preserve">Developmental and Social Psychology </t>
  </si>
  <si>
    <t>Laura Swettenham</t>
  </si>
  <si>
    <t>5093SPS_Meta</t>
  </si>
  <si>
    <t>6051SPS_Meta</t>
  </si>
  <si>
    <t>Prof Zoe Knowles and Dr Laura Swettenham</t>
  </si>
  <si>
    <t>6052SPS_Meta</t>
  </si>
  <si>
    <t>Simon Bennett</t>
  </si>
  <si>
    <t>6053SPS_Meta</t>
  </si>
  <si>
    <t>Luke Olsson</t>
  </si>
  <si>
    <t>6054SPS_Meta</t>
  </si>
  <si>
    <t xml:space="preserve">Professional placement or work related learning project </t>
  </si>
  <si>
    <t>Placement</t>
  </si>
  <si>
    <t>4101SPS_Meta</t>
  </si>
  <si>
    <t>SPS4101</t>
  </si>
  <si>
    <t xml:space="preserve">Professional Practice </t>
  </si>
  <si>
    <t>Liz Mahon/ Conor Heeney</t>
  </si>
  <si>
    <t>4102SPS_Meta</t>
  </si>
  <si>
    <t>Lee Graves</t>
  </si>
  <si>
    <t>5101SPS_Meta</t>
  </si>
  <si>
    <t>5102SPS_Meta</t>
  </si>
  <si>
    <t>Sarah Taylor</t>
  </si>
  <si>
    <t>6094SPS_Meta</t>
  </si>
  <si>
    <t>Lawrence Foweather</t>
  </si>
  <si>
    <t>6095SPS_Meta</t>
  </si>
  <si>
    <t>6101SPS_Meta</t>
  </si>
  <si>
    <t>Mark Robinson</t>
  </si>
  <si>
    <t>6102SPS_Meta</t>
  </si>
  <si>
    <t>Prof. Lynne Boddy</t>
  </si>
  <si>
    <t>6103SPS_Meta</t>
  </si>
  <si>
    <t>6104SPS_Meta</t>
  </si>
  <si>
    <t>Ben Buckley</t>
  </si>
  <si>
    <t>6105SPS_Meta</t>
  </si>
  <si>
    <t>Gabor Barton</t>
  </si>
  <si>
    <t>6106SPS_Meta</t>
  </si>
  <si>
    <t>Dr Tori Sprung</t>
  </si>
  <si>
    <t>6107SPS_Meta</t>
  </si>
  <si>
    <t>6108SPS_Meta</t>
  </si>
  <si>
    <t>6109SPS_Meta</t>
  </si>
  <si>
    <t>Applied Professional Practice </t>
  </si>
  <si>
    <t>Tim Donovan</t>
  </si>
  <si>
    <t>Assessment No</t>
  </si>
  <si>
    <t>LO Number</t>
  </si>
  <si>
    <t>Graduate Skills Category</t>
  </si>
  <si>
    <t>Graduate Skill</t>
  </si>
  <si>
    <t>4301SPS_Mapping</t>
  </si>
  <si>
    <t>A1</t>
  </si>
  <si>
    <t>LO1</t>
  </si>
  <si>
    <t>Mapping</t>
  </si>
  <si>
    <t>A2</t>
  </si>
  <si>
    <t>LO2</t>
  </si>
  <si>
    <t>4303SPS_Mapping</t>
  </si>
  <si>
    <t>LO3</t>
  </si>
  <si>
    <t>LO4</t>
  </si>
  <si>
    <t>5301SPS_Mapping</t>
  </si>
  <si>
    <t>5302SPS_Mapping</t>
  </si>
  <si>
    <t>A3</t>
  </si>
  <si>
    <t>A4</t>
  </si>
  <si>
    <t>6301SPS_Mapping</t>
  </si>
  <si>
    <t>6302SPS_Mapping</t>
  </si>
  <si>
    <t>6303SPS_Mapping</t>
  </si>
  <si>
    <t>6304SPS_Mapping</t>
  </si>
  <si>
    <t>4201SPS_Mapping</t>
  </si>
  <si>
    <t>4091SPS_Mapping</t>
  </si>
  <si>
    <t>4202SPS_Mapping</t>
  </si>
  <si>
    <t>4092SPS_Mapping</t>
  </si>
  <si>
    <t>5201SPS_Mapping</t>
  </si>
  <si>
    <t>4094SPS_Mapping</t>
  </si>
  <si>
    <t>5202SPS_Mapping</t>
  </si>
  <si>
    <t>4093SPS_Mapping</t>
  </si>
  <si>
    <t>5203SPS_Mapping</t>
  </si>
  <si>
    <t>5091SPS_Mapping</t>
  </si>
  <si>
    <t>5204SPS_Mapping</t>
  </si>
  <si>
    <t>5092SPS_Mapping</t>
  </si>
  <si>
    <t>6202SPS_Mapping</t>
  </si>
  <si>
    <t>5103SPS_Mapping</t>
  </si>
  <si>
    <t>6203SPS_Mapping</t>
  </si>
  <si>
    <t>6091SPS_Mapping</t>
  </si>
  <si>
    <t>6096SPS_Mapping</t>
  </si>
  <si>
    <t>4101SPS_Mapping</t>
  </si>
  <si>
    <t>4102SPS_Mapping</t>
  </si>
  <si>
    <t>5101SPS_Mapping</t>
  </si>
  <si>
    <t>5102SPS_Mapping</t>
  </si>
  <si>
    <t>6101SPS_Mapping</t>
  </si>
  <si>
    <t>6102SPS_Mapping</t>
  </si>
  <si>
    <t>6103SPS_Mapping</t>
  </si>
  <si>
    <t>6104SPS_Mapping</t>
  </si>
  <si>
    <t>Domain-specific analytical skills</t>
  </si>
  <si>
    <t>6105SPS_Mapping</t>
  </si>
  <si>
    <t>We'll need more rows… unless we can list several Graduate Skills for one Graduate Skills Category.</t>
  </si>
  <si>
    <t>6106SPS_Mapping</t>
  </si>
  <si>
    <t>LO5</t>
  </si>
  <si>
    <t>Not sure we have enough rows here to do this comprehensively so I have just done one skil for each LO.</t>
  </si>
  <si>
    <t>6107SPS_Mapping</t>
  </si>
  <si>
    <t>6108SPS_Mapping</t>
  </si>
  <si>
    <t>6109SPS_Mapping</t>
  </si>
  <si>
    <t>6093SPS_Mapping</t>
  </si>
  <si>
    <t>6094SPS_Mapping</t>
  </si>
  <si>
    <t>6095SPS_Mapping</t>
  </si>
  <si>
    <t>4401SPS_Mapping</t>
  </si>
  <si>
    <t>5401SPS_Mapping</t>
  </si>
  <si>
    <t>5402SPS_Mapping</t>
  </si>
  <si>
    <t>5403SPS_Mapping</t>
  </si>
  <si>
    <t>5XX1SPS_Mapping</t>
  </si>
  <si>
    <t>5XX2SPS_Mapping</t>
  </si>
  <si>
    <t>6XX1SPS_Mapping</t>
  </si>
  <si>
    <t>6XX2SPS_Mapping</t>
  </si>
  <si>
    <t>6403SPS_Mapping</t>
  </si>
  <si>
    <t>6097SPS_Mapping</t>
  </si>
  <si>
    <t>5093SPS_Mapping</t>
  </si>
  <si>
    <t>6052SPS_Mapping</t>
  </si>
  <si>
    <t>4NX1SPS_Mapping</t>
  </si>
  <si>
    <t>4NX2SPS_Mapping</t>
  </si>
  <si>
    <t>4NX3SPS_Mapping</t>
  </si>
  <si>
    <t>4NX4SPS_Mapping</t>
  </si>
  <si>
    <t>5NX1SPS_Mapping</t>
  </si>
  <si>
    <t>5NX2SPS_Mapping</t>
  </si>
  <si>
    <t>5NX3SPS_Mapping</t>
  </si>
  <si>
    <t>5NX4SPS_Mapping</t>
  </si>
  <si>
    <t>6NX1SPS_Mapping</t>
  </si>
  <si>
    <t>6NX2SPS_Mapping</t>
  </si>
  <si>
    <t>6NX3SPS_Mapping</t>
  </si>
  <si>
    <t>6NX4SPS_Mapping</t>
  </si>
  <si>
    <t>6NX5SPS_Mapping</t>
  </si>
  <si>
    <t>4051SPS_Mapping</t>
  </si>
  <si>
    <t>4052SPS_Mapping</t>
  </si>
  <si>
    <t>4053SPS_Mapping</t>
  </si>
  <si>
    <t>4054SPS_Mapping</t>
  </si>
  <si>
    <t>Understanding &amp; Use of Research</t>
  </si>
  <si>
    <t>Scientific Knowledge</t>
  </si>
  <si>
    <t>Academic writing</t>
  </si>
  <si>
    <t>Technical Skills</t>
  </si>
  <si>
    <t>AI literacy; Digital literacy</t>
  </si>
  <si>
    <t>Data management</t>
  </si>
  <si>
    <t>Information synthesis</t>
  </si>
  <si>
    <t>Application of Knowledge &amp; Skills</t>
  </si>
  <si>
    <t>Data presentation</t>
  </si>
  <si>
    <t>Self-Evaluation &amp; Professional Development</t>
  </si>
  <si>
    <t>5051SPS_Mapping</t>
  </si>
  <si>
    <t>AS1</t>
  </si>
  <si>
    <t>Oral communication</t>
  </si>
  <si>
    <t>Professional Relationships &amp; Behaviours</t>
  </si>
  <si>
    <t>Collaboration</t>
  </si>
  <si>
    <t>AS2</t>
  </si>
  <si>
    <t>Problem Solving &amp; Impact</t>
  </si>
  <si>
    <t>Evidence-based decision-making</t>
  </si>
  <si>
    <t>5052SPS_Mapping</t>
  </si>
  <si>
    <t>5053SPS_Mapping</t>
  </si>
  <si>
    <t>5054SPS_Mapping</t>
  </si>
  <si>
    <t>6051SPS_Mapping</t>
  </si>
  <si>
    <t>6053SPS_Mapping</t>
  </si>
  <si>
    <t>6054SPS_Mapping</t>
  </si>
  <si>
    <t>LO Description</t>
  </si>
  <si>
    <t>4301SPS_LO</t>
  </si>
  <si>
    <t>Understand and be able to describe the football landscape. For example, students should be able to identify the 'types' of football and 'sectors' that they may work within</t>
  </si>
  <si>
    <t>LO</t>
  </si>
  <si>
    <t>Students should be able to identify personal characteristics and professional competencies associated with the role of a football scientist</t>
  </si>
  <si>
    <t>4303SPS_LO</t>
  </si>
  <si>
    <t>Identify the multidisciplinary factors that influence a young player's potential and progression.</t>
  </si>
  <si>
    <t>Describe the key concepts, models and processes that underpin talent identification, development and selection in football.</t>
  </si>
  <si>
    <t>Explain the challenges, ethical considerations and organisational constraints associated with identifying, developing and selecting players within academy environments.</t>
  </si>
  <si>
    <t>Apply systematic observation methods and evidence-based principles to evaluate individual player performance and development needs.</t>
  </si>
  <si>
    <t>5301SPS_LO</t>
  </si>
  <si>
    <t>Analyse the contribution of football science disciplines and apply interdisciplinary approaches to address performance, participation, health, and welfare challenges in authentic football settings.</t>
  </si>
  <si>
    <t>Recognise the ethical, welfare, and professional responsibilities associated with football science practice.</t>
  </si>
  <si>
    <t>Evaluate their professional development and employability skills through reflective practice, career planning, and preparation for employment within football science and related industries.</t>
  </si>
  <si>
    <t>6301SPS_LO</t>
  </si>
  <si>
    <t>Critically evaluate the use of technology in football to assess and monitor football performance</t>
  </si>
  <si>
    <t>Apply football performance technologies competently within laboratory and field-based environments</t>
  </si>
  <si>
    <t>Analyse, interpret, and communicate football performance data to support evidence-informed practice</t>
  </si>
  <si>
    <t>6302SPS_LO</t>
  </si>
  <si>
    <t>Critically analyse the metabolic responses to football-specific exercise, and evaluate how these responses inform HIIT training design and execution.</t>
  </si>
  <si>
    <t>Critically evaluate the implementation of evidence-based training across the football microcycle, and orally defend programming decisions in response to applied scenarios.</t>
  </si>
  <si>
    <t>6303SPS_LO</t>
  </si>
  <si>
    <t>To critically analyse the psychological and cultural challenges that elite players experience within youth and senior football environments. </t>
  </si>
  <si>
    <t>To critically discuss the role of the applied sports psychologist in supporting players, teams and organisations with the various challenges in a development and performance context.</t>
  </si>
  <si>
    <t>To critically discuss applied practice philosophy within the context of the sports psychologist. </t>
  </si>
  <si>
    <t>6304SPS_LO</t>
  </si>
  <si>
    <t>Critically evaluate and apply interdisciplinary theoretical concepts of football science to practical scenarios within a real-world football placement environment or project scenario.</t>
  </si>
  <si>
    <t>Critically reflect upon personal and professional development, utilising established reflective frameworks to evaluate strengths, weaknesses, and future employability needs.</t>
  </si>
  <si>
    <t>Work independently and collaboratively within a Multidisciplinary Team (MDT), demonstrating effective communication to various stakeholders.</t>
  </si>
  <si>
    <t>Demonstrate a critical understanding of ethical guidelines, safeguarding, and the impact of systemic issues (e.g., race, gender, socio-economic status) on equity and inclusion within football science practice.</t>
  </si>
  <si>
    <t>4201SPS_LO</t>
  </si>
  <si>
    <t xml:space="preserve">Identify the key contextual experiences that influence occupational socialisation during the acculturation phase of PE teacher socialisation </t>
  </si>
  <si>
    <t>Recognise personal and professional strengths and areas for development relevant to professional practice within PE</t>
  </si>
  <si>
    <t>Plan, deliver and evlauate a range of high quality practical activities for primary school aged pupils</t>
  </si>
  <si>
    <t>4092SPS_LO</t>
  </si>
  <si>
    <t>Describe the basic structure and function of key physiological systems and metabolic processes.</t>
  </si>
  <si>
    <t>Describe and explain how key physiological systems and metabolic processes respond to acute exercise.</t>
  </si>
  <si>
    <t>Collect, present and interpret physiological data using appropriate scientific methods and conventions.</t>
  </si>
  <si>
    <t>5201SPS_LO</t>
  </si>
  <si>
    <t>Critically reflect upon the professionalisation phase of occupational socialisation theory within PE and its influence on professional development.</t>
  </si>
  <si>
    <t>Analyse the progression and development of personal and professional skills, including PE teaching efficacy, through work-based learning experiences</t>
  </si>
  <si>
    <t>Evaluate the contribution of work-based learning and outdoor and adventurous activities (OAA) experiences to the development of subject knowledge and professional practice within PE</t>
  </si>
  <si>
    <t>4094SPS_LO</t>
  </si>
  <si>
    <t>Describe human anatomical structure and function and apply these concepts to sport, exercise and health</t>
  </si>
  <si>
    <t>Apply concepts and techniques of biomechanics to sport, exercise, and health</t>
  </si>
  <si>
    <t>Apply concepts and techniques of skill acquisition to sport, exercise, and health</t>
  </si>
  <si>
    <t>4093SPS_LO</t>
  </si>
  <si>
    <t>Outline the importance of psychology, sociology and psychosocial principles in sport and exercise.</t>
  </si>
  <si>
    <t>Describe the individual and environmental psychosocial principles associated with sport and exercise.</t>
  </si>
  <si>
    <t>Describe the social processes and behavioural outcomes associated with sport and exercise.</t>
  </si>
  <si>
    <t>5203SPS_LO</t>
  </si>
  <si>
    <t>Develop informed teaching and learning stratagies within a primary Physical Education setting</t>
  </si>
  <si>
    <t>Apply a range of teaching and learning strategies to deliver inclusive Physical Education</t>
  </si>
  <si>
    <t>Evaluate Physical Education curriculum planning and delivery within a primary setting</t>
  </si>
  <si>
    <t>5091SPS_LO</t>
  </si>
  <si>
    <t>Deploy accurately established techniques of analysis and enquiry within a discipline</t>
  </si>
  <si>
    <t>Describe and comment upon aspects of current research, or equivalent advanced scholarship, in the discipline</t>
  </si>
  <si>
    <t>Manage their own learning, and to make use of scholarly reviews and primary sources (for example, refereed research articles and/or original materials appropriate to the discipline).</t>
  </si>
  <si>
    <t>5092SPS_LO</t>
  </si>
  <si>
    <t>Analyse and critically evaluate the physiological effects of sport and exercise interventions in diverse populations.</t>
  </si>
  <si>
    <t>Critically assess the impact of environmental factors, nutritional interventions, and disease states on physiological responses and adaptations to exercise training,</t>
  </si>
  <si>
    <t>5103SPS_LO</t>
  </si>
  <si>
    <t>Collect, analyse and report biomechanical data and in sports and exercise applications</t>
  </si>
  <si>
    <t xml:space="preserve">Explain how biomechanical principles can be used to improve performance and reduce injury </t>
  </si>
  <si>
    <t>6203SPS_LO</t>
  </si>
  <si>
    <t>Apply leadership, management and enterprise principles to plan and deliver a physical education project, within a school or community environment.</t>
  </si>
  <si>
    <t>Critically evaluate a physical education related project within a school or community environment.</t>
  </si>
  <si>
    <t>Critically reflect on personal and professional practice drawing upon OST to evaluate how project experiences have contributed to the development of professional identity</t>
  </si>
  <si>
    <t>6091SPS_LO</t>
  </si>
  <si>
    <t>Apply skills and competencies to conduct research in an area relevant to their programme of study</t>
  </si>
  <si>
    <t>Critically appraise the research in a written format as specified by the major project guidelines</t>
  </si>
  <si>
    <t>Present and defend the progress and summary of the project and its findings in a scientific manner</t>
  </si>
  <si>
    <t>6096SPS_LO</t>
  </si>
  <si>
    <t>Critically analyse the structure, content, and delivery of the secondary Physical Education curriculum and the role of the PE teacher in facilitating effective learning</t>
  </si>
  <si>
    <t>Apply and evaluate pedagogical teaching and learning stratagies within a secondary Physical Education setting</t>
  </si>
  <si>
    <t>Critically evaluate the provision and processes that underpin Physical Education for learners within the 14-19 curriculum</t>
  </si>
  <si>
    <t>4101SPS_LO</t>
  </si>
  <si>
    <t>Identify and explain the professional roles, working environments, knowledge, skills, behaviours and graduate competencies required in contemporary Sport and Exercise Science.</t>
  </si>
  <si>
    <t>Evaluate current strengths, development needs and engagement to formulate a realistic, evidence-informed personal and professional development plan.</t>
  </si>
  <si>
    <t>Communicate and justify professional development, experiences and application of learning through live professional discussion, supported by evidence of continuing professional development.</t>
  </si>
  <si>
    <t>4102SPS_LO</t>
  </si>
  <si>
    <t>Identify, describe and interpret 24-hour movement behaviours, their benefits and guidelines across the lifecourse</t>
  </si>
  <si>
    <t>Analyse and interpret 24-hour movement behaviour data and influences on behaviour</t>
  </si>
  <si>
    <t>5102SPS_LO</t>
  </si>
  <si>
    <t>Analyse and interpret influences on physical activity and sedentary behaviour</t>
  </si>
  <si>
    <t>Analyse the strengths and limitations of methods for assessing physical activity and sedentary behaviour</t>
  </si>
  <si>
    <t xml:space="preserve">Assess physical activity and communicate results to a lay person </t>
  </si>
  <si>
    <t>6101SPS_LO</t>
  </si>
  <si>
    <t>Conduct an experimental analysis in sports biomechanics and interpret the findings</t>
  </si>
  <si>
    <t>Critique measurement tools used in biomechanical analysis</t>
  </si>
  <si>
    <t>Effectively present biomechanical results and respond to questions</t>
  </si>
  <si>
    <t>6102SPS_LO</t>
  </si>
  <si>
    <t>Demonstrate an ability to locate and synthesise physical activity, sedentary behaviour and health research literature.</t>
  </si>
  <si>
    <t>Demonstrate a critical understanding of intervention design, measurement and evaluation principles in the context of physical activity, sedentary behaviour and health research.</t>
  </si>
  <si>
    <t xml:space="preserve">Demonstrate a critical  understanding of inequalities in physical activity, sedendary behaviour and associated health outcomes. </t>
  </si>
  <si>
    <t>6104SPS_LO</t>
  </si>
  <si>
    <t>Critically evaluate the diagnostic and prognostic ability of various cardiovascular and exercise physiology assessment tools employed in clinical or research practice</t>
  </si>
  <si>
    <t>Analyse and interpret results from cardiovascular and clinical exercise assessments.</t>
  </si>
  <si>
    <t>Critically evaluate the pathophysiology of cardiovascular conditions, their impact on exercise response and how exercise can be used to treat conditions.</t>
  </si>
  <si>
    <t>6105SPS_LO</t>
  </si>
  <si>
    <t>Conduct an experimental analysis of human gait and interpret the findings</t>
  </si>
  <si>
    <t>Critically evaluate the role of muscle and tendon function and adaptation</t>
  </si>
  <si>
    <t>6106SPS_LO</t>
  </si>
  <si>
    <t>Examine the prevalence of long term medical conditions and critically consider how protected characteristics and their intersections influence disease risk, health inequalities and opportunities for physical activity participation.</t>
  </si>
  <si>
    <t>Evaluate the evidence underpinning physical activity for the prevention and management of long term medical conditions, including its role in improving function, facilitating recovery, maximising independence and supporting participation.</t>
  </si>
  <si>
    <t>Critically evaluate the practical, ethical and societal considerations associated with promoting physical activity and reducing sedentary behaviour among people living with long term medical conditions.</t>
  </si>
  <si>
    <t>Critically analyse the effectiveness of physical activity, sedentary behaviour and health interventions, and formulate evidence based recommendations appropriate for clinical practice and patient education.</t>
  </si>
  <si>
    <t>Communicate evidence based physical activity recommendations effectively to healthcare professionals, patients and the wider public, adapting information appropriately for the intended audience.</t>
  </si>
  <si>
    <t>6108SPS_LO</t>
  </si>
  <si>
    <t>Critically evaluate the contribution of macronutrients to sports performance,_x000D_training adaptations and recovery.</t>
  </si>
  <si>
    <t>Critically evaluate the role of micronutrients and ergogenic aids in sports_x000D_performance, training adaptation and recovery</t>
  </si>
  <si>
    <t>Critically evaluate the role of diet in prevention and treatment of metabolic disease.</t>
  </si>
  <si>
    <t>6109SPS_LO</t>
  </si>
  <si>
    <t>Critically evaluate the important skills, applied knowledge and evidence base required to work in applied Sport and Exercise Science</t>
  </si>
  <si>
    <t>Critically reflect on issues relating to professional practice.</t>
  </si>
  <si>
    <t>Demonstrate a critical understanding of the applied knowledge in your placement area.</t>
  </si>
  <si>
    <t>6093SPS_LO</t>
  </si>
  <si>
    <t>Complete an athlete needs analysis and analyse the data against norms found within academic literature</t>
  </si>
  <si>
    <t>Design an athlete training programme in consideration of the athlete needs analysis and scientific determinants of performance.</t>
  </si>
  <si>
    <t>Design safe and effective coaching sessions to athletes</t>
  </si>
  <si>
    <t>6094SPS_LO</t>
  </si>
  <si>
    <t>Design a theory-based behaviour change intervention</t>
  </si>
  <si>
    <t>Conduct a behaviour change consultation</t>
  </si>
  <si>
    <t>Critically evaluate and reflect upon personal and professional skills to support behaviour change</t>
  </si>
  <si>
    <t>6095SPS_LO</t>
  </si>
  <si>
    <t xml:space="preserve">
Analyse and evaluate the application of performance analysis in sport.</t>
  </si>
  <si>
    <t xml:space="preserve">
Demonstrate and apply techniques used to collect, analyse, interpret, and feedback performance analysis data.</t>
  </si>
  <si>
    <t>5093SPS_LO</t>
  </si>
  <si>
    <t>Evaluate individual and environmental psychological principles associated with sport performance.</t>
  </si>
  <si>
    <t>Evaluate the identification and development of perceptual-cognitive expertise within sport.</t>
  </si>
  <si>
    <t>6052SPS_LO</t>
  </si>
  <si>
    <t>Critically evaluate and integrate research findings, perspectives and models of motor learning in sport, exercise and health</t>
  </si>
  <si>
    <t>Critically evaluate and integrate research findings, perspectives and models of interceptive actions in sport, exercise and health</t>
  </si>
  <si>
    <t>Apply quantitative research skills to understanding applied motor behaviour</t>
  </si>
  <si>
    <t>4NX1SPS_LO</t>
  </si>
  <si>
    <t>(Apply) Select and demonstrate appropriate methods to assess energy intake, energy expenditure and body composition, justifying the method chosen for a given purpose.</t>
  </si>
  <si>
    <t>(Understand) Explain the professional, ethical and legal expectations placed on a nutrition practitioner, including scope of practice and equality, diversity, equity and inclusion.</t>
  </si>
  <si>
    <t>(Understand) Reflect on their own developing professional practice and identify areas for development.</t>
  </si>
  <si>
    <t>4NX2SPS_LO</t>
  </si>
  <si>
    <t>(Understand) Describe the functions, food sources and metabolic roles of the major and minor nutrients and the consequences of inappropriate intakes.</t>
  </si>
  <si>
    <t>(Apply) Apply Dietary Reference Values to evaluate the adequacy of a described diet and explain how those values are derived.</t>
  </si>
  <si>
    <t>(Understand) Explain the chemical properties of nutrients and food components that determine their nutritional behaviour.</t>
  </si>
  <si>
    <t>4NX3SPS_LO</t>
  </si>
  <si>
    <t>Understand) Explain the principal biochemical pathways and how they are integrated and regulated in the fed and fasted states.</t>
  </si>
  <si>
    <t>(Understand) Describe how metabolic pathways contribute to health and performance.</t>
  </si>
  <si>
    <t>Analyse) Analyse and interpret biochemical and metabolic data to draw supported conclusions.</t>
  </si>
  <si>
    <t>4NX4SPS_LO</t>
  </si>
  <si>
    <t>(Understand) Explain how energy availability, macronutrient and micronutrient status and hydration influence exercise performance.</t>
  </si>
  <si>
    <t>(Apply) Apply current position stands and consensus statements to produce evidence-based nutritional recommendations for a specified sport and context.</t>
  </si>
  <si>
    <t>(Analyse) Examine the strengths and limitations of the evidence underpinning a given nutritional recommendation.</t>
  </si>
  <si>
    <t>5NX1SPS_LO</t>
  </si>
  <si>
    <t>(Create) Design an evidence-based nutritional intervention appropriate to a client’s circumstances, values and context, following a needs analysis.</t>
  </si>
  <si>
    <t>(Apply) Communicate nutritional information appropriately to a specified audience, adapting method and message.</t>
  </si>
  <si>
    <t>(Evaluate) Critically appraise their own professional practice against recognised professional standards.</t>
  </si>
  <si>
    <t>5NX2SPS_LO</t>
  </si>
  <si>
    <t>(Analyse) Analyse how food supply chains and methods of production and processing affect the nutritional quality and sustainability of food.</t>
  </si>
  <si>
    <t>(Evaluate) Critically evaluate the environmental, ethical and societal challenges of sustainable food production with reference to recognised frameworks.</t>
  </si>
  <si>
    <t>(Create) Develop and justify a sport nutrition product concept, evidencing formulation decisions and compliance with claims regulation.</t>
  </si>
  <si>
    <t>5NX3SPS_LO</t>
  </si>
  <si>
    <t>(Understand) Explain the molecular and physiological mechanisms through which nutrient availability, exercise and appetite regulation interact to control metabolic and adaptive responses.</t>
  </si>
  <si>
    <t>(Analyse) Analyse and interpret molecular and biochemical data to draw supported conclusions about nutritional and training interventions.</t>
  </si>
  <si>
    <t>(Apply) Communicate applied exercise and nutrition evidence for performance and health outcomes to a specified audience.</t>
  </si>
  <si>
    <t>5NX4SPS_LO</t>
  </si>
  <si>
    <t>(Evaluate) Critically evaluate how nutritional requirements and dietary patterns change across the life course and the psychological, social and environmental factors that shape them.</t>
  </si>
  <si>
    <t>(Analyse) Analyse the psychosocial and environmental determinants of eating behaviour and their implications for practice with individuals and population groups.</t>
  </si>
  <si>
    <t>(Apply) Conduct a life-stage-appropriate consultation, adapting communication and dietary advice to the individual’s circumstances.</t>
  </si>
  <si>
    <t>6NX1SPS_LO</t>
  </si>
  <si>
    <t>(Evaluate) Critically evaluate the molecular mechanisms through which nutrients modulate exercise, adaptation, performance and health.</t>
  </si>
  <si>
    <t>(Analyse) Analyse and interpret molecular nutrition data to develop evidence-based arguments and make scientifically informed judgements.</t>
  </si>
  <si>
    <t>(Evaluate) Critically evaluate the application of nutrigenetics and nutrigenomics to precision nutrition in sport and exercise contexts.</t>
  </si>
  <si>
    <t>6NX2SPS_LO</t>
  </si>
  <si>
    <t>(Evaluate) Critically evaluate the efficacy, mechanism and safety of ergogenic aids for specified exercise contexts.</t>
  </si>
  <si>
    <t>(Evaluate) Critically analyse the risk of inadvertent doping and evaluate the practitioner’s professional and ethical responsibilities within anti-doping frameworks.</t>
  </si>
  <si>
    <t>(Create) Construct and defend an evidence-based professional position on a contemporary issue where consensus is absent.</t>
  </si>
  <si>
    <t>6NX3SPS_LO</t>
  </si>
  <si>
    <t>(Evaluate) Critically evaluate the mechanisms by which nutritional strategies support adaptation, recovery and immune function.</t>
  </si>
  <si>
    <t>Evaluate) Critically appraise the evidence underpinning contemporary recovery and personalised nutrition practices, including their limitations.</t>
  </si>
  <si>
    <t>(Create) Produce evidence-based science communication resources for a specified athlete or specialist audience.</t>
  </si>
  <si>
    <t>4051SPS_LO</t>
  </si>
  <si>
    <t>Explain the contemporary scope, professional roles and boundaries of sport and exercise psychology across a range of populations and delivery settings.</t>
  </si>
  <si>
    <t>Describe the principal UK professional development and regulatory routes relevant to sport and exercise psychology, including the distinct roles of BPS, CASES and HCPC.</t>
  </si>
  <si>
    <t>Apply introductory ethical, safeguarding, inclusion and scope-of-practice principles to realistic professional scenarios, identifying when consultation, referral or escalation is required.</t>
  </si>
  <si>
    <t>Communicate an evidence-informed analysis of a contemporary professional issue to a defined audience using appropriate academic and digital conventions.</t>
  </si>
  <si>
    <t>Evaluate their developing graduate competencies and produce a realistic professional-development plan informed by reflection, feedback and career goals.</t>
  </si>
  <si>
    <t>4052SPS_LO</t>
  </si>
  <si>
    <t xml:space="preserve">Summarise and explain key issues in developmental psychology and individual differences concepts, with reference to historical and contemporary perspectives. </t>
  </si>
  <si>
    <t xml:space="preserve">Discuss key stages in developmental processes, and key concepts in individual differences processes </t>
  </si>
  <si>
    <t xml:space="preserve">Describe the methodology underpinning developmental psychology and individual differences research. </t>
  </si>
  <si>
    <t>4053SPS_LO</t>
  </si>
  <si>
    <t>Identify and explain key theories and processes within cognitive and biological psychology</t>
  </si>
  <si>
    <t>Discuss and integrate a range of psychological processes associated with the central nervous system.</t>
  </si>
  <si>
    <t>Apply a variety of case studies and experimental techniques to evaluate theories and processes within cognitive and biological psychology.</t>
  </si>
  <si>
    <t>4054SPS_LO</t>
  </si>
  <si>
    <t>Locate, evaluate and appropriately use academic, professional and digital sources to support evidence-informed learning.</t>
  </si>
  <si>
    <t>Produce clear academic communications that demonstrate effective writing, referencing, critical thinking and appropriate use of digital technologies, including generative AI.</t>
  </si>
  <si>
    <t>Apply data management, presentation and reflective learning skills to communicate information effectively across a range of academic and professional formats.</t>
  </si>
  <si>
    <t>5051SPS_LO</t>
  </si>
  <si>
    <t>Conduct an evidence-informed psychological needs analysis using multiple sources of information to identify client priorities and justify intervention goals.</t>
  </si>
  <si>
    <t>Design and communicate appropriate psychological support strategies that are tailored to individual clients, groups and performance environments.</t>
  </si>
  <si>
    <t>Evaluate consultancy decisions using ethical reasoning, reflective practice and professional standards to support continuing professional development.</t>
  </si>
  <si>
    <t>5052SPS_LO</t>
  </si>
  <si>
    <t>Infer broader theoretical implications based on empirical research findings within cognitive and biological psychology</t>
  </si>
  <si>
    <t>Analyse and interpret original research data relating to contemporary topics within cognitive and biological psychology</t>
  </si>
  <si>
    <t>5053SPS_LO</t>
  </si>
  <si>
    <t>Analyse the relationship between physicalactivity/exercise and health (physical and psychological).</t>
  </si>
  <si>
    <t>Evaluate and apply behaviour change theories, in people living with long-term conditions, for physical activity/exercise uptake and adherence.</t>
  </si>
  <si>
    <t>Apply qualitative research skills to understanding exercise and health psychology.</t>
  </si>
  <si>
    <t>5054SPS_LO</t>
  </si>
  <si>
    <t>Evaluate key stages in developmental processes, including the development of cognitive, emotional, and social skills through the life span.</t>
  </si>
  <si>
    <t>Critically discuss social influences on individual differences and group behaviours.</t>
  </si>
  <si>
    <t>Analyse and evaluate methodological approaches and research underpinning developmental, individual differences and social psychology.</t>
  </si>
  <si>
    <t>6051SPS_LO</t>
  </si>
  <si>
    <t>Consider the relevant ethical and professional requirements for undertaking applied practice with an identified client group/service.</t>
  </si>
  <si>
    <t>Apply that of practice principles, methods and techniques to a case study</t>
  </si>
  <si>
    <t>Reflect on knowledge, skills and experiences through semester 1</t>
  </si>
  <si>
    <t>6053SPS_LO</t>
  </si>
  <si>
    <t>Critically evaluate the research, perspectives, and models underpinning current issues in sport and exercise psychology</t>
  </si>
  <si>
    <t>Examine the personal and/or social considerations relating to current issues in sport and exercise psychology.</t>
  </si>
  <si>
    <t>6054SPS_LO</t>
  </si>
  <si>
    <t>Design an effective group-based product/service appropriate to that set for the placement/project and client group. </t>
  </si>
  <si>
    <t>Critically appraise the design, delivery and impact of the applied sport and exercise psychology provision for the client group. </t>
  </si>
  <si>
    <t>Reflect on placement experience, skills and knowledge relevant to applied sport and exercise psychology practice </t>
  </si>
  <si>
    <t>Assessment Type</t>
  </si>
  <si>
    <t>Assessment Specific</t>
  </si>
  <si>
    <t>Assessment Description</t>
  </si>
  <si>
    <t>Weighting</t>
  </si>
  <si>
    <t>Due Week</t>
  </si>
  <si>
    <t>4301SPS_Assess</t>
  </si>
  <si>
    <t>Presentation</t>
  </si>
  <si>
    <t>Individual Presentation</t>
  </si>
  <si>
    <t>Students will be required to deliver a 5-minute presentation covering; (1) role of a football scientist, (2) personal and professional competencies associated with this role, (3) current skillset and development plan</t>
  </si>
  <si>
    <t>Assess</t>
  </si>
  <si>
    <t>Portfolio</t>
  </si>
  <si>
    <t>Viva</t>
  </si>
  <si>
    <t>Students will engage in a 'world cafe' style viva discussion about 2 current topics in football science. Upon the completion of the viva, students will submit a 1 page reflective account considering their personal growth and development during the module</t>
  </si>
  <si>
    <t>Week 8 &amp; Assessment Period January</t>
  </si>
  <si>
    <t>4303SPS_Assess</t>
  </si>
  <si>
    <t>Group Presentation</t>
  </si>
  <si>
    <t>Group presentation with question and answer</t>
  </si>
  <si>
    <t>Report</t>
  </si>
  <si>
    <t>Essay</t>
  </si>
  <si>
    <t>Written report and individual development plan</t>
  </si>
  <si>
    <t>5301SPS_Assess</t>
  </si>
  <si>
    <t>Case Study</t>
  </si>
  <si>
    <t>Student chooses one case study and provides an inter-disciplinary report as to how to support the individual</t>
  </si>
  <si>
    <t>Reflection</t>
  </si>
  <si>
    <t xml:space="preserve">3 component parts:
- Individual mock interviews (10-mins) tailored to chosen job 
- Students to develop 1-page CV for the role and submit
- Students to critically reflect on their performance within the interview, current skill set, and outline next steps in their professional practice (1000 words max) </t>
  </si>
  <si>
    <t>Week 12 for CV and Interview;                                                                                                                                                                                                                                                                                                  January assessment period for reflective component</t>
  </si>
  <si>
    <t>5302SPS_Assess</t>
  </si>
  <si>
    <t>Group presentation on biomechanical principles in weightlifting</t>
  </si>
  <si>
    <t>6301SPS_Assess</t>
  </si>
  <si>
    <t>Exam</t>
  </si>
  <si>
    <t>Data Analysis</t>
  </si>
  <si>
    <t>Performance testing and technology</t>
  </si>
  <si>
    <t>Training Load</t>
  </si>
  <si>
    <t>6302SPS_Assess</t>
  </si>
  <si>
    <t>Students will work in groups to produce a practical video based training resource for coaches. The group will then present how their resource integrates within a training microcycle, explaining the rationale for its design and timing around other weekly training activities. Finally, each group will defend their decisions through a viva-style question-and-answer session, demonstrating their understanding of the underpinning scientific principles and practical application.</t>
  </si>
  <si>
    <t>6303SPS_Assess</t>
  </si>
  <si>
    <t xml:space="preserve">Individual presentation of infographic </t>
  </si>
  <si>
    <t>Psychological Development Programme</t>
  </si>
  <si>
    <t>6304SPS_Assess</t>
  </si>
  <si>
    <t>Individual reflective report</t>
  </si>
  <si>
    <t>Individual reflective presentation</t>
  </si>
  <si>
    <t>4201SPS_Assess</t>
  </si>
  <si>
    <t>Report split into 2 parts (Relfection essay and lesson plans/evaluations)</t>
  </si>
  <si>
    <t>4092SPS_Assess</t>
  </si>
  <si>
    <t>Lab Report</t>
  </si>
  <si>
    <t>Lab Report Portfolio: Lab Report 1 Submission + Peer Review Activity + Reflection + Lab Report 2 Submission</t>
  </si>
  <si>
    <t>In Person Exam</t>
  </si>
  <si>
    <t xml:space="preserve">In person Online MCQ Exam </t>
  </si>
  <si>
    <t>4202SPS_Assess</t>
  </si>
  <si>
    <t>4094SPS_Assess</t>
  </si>
  <si>
    <t>MCQ Online Test</t>
  </si>
  <si>
    <t>Online exam where students choose 3 out of 6 possible videos of movement to deconstruct a joint of their choice through MCQ and open text responses</t>
  </si>
  <si>
    <t>Video</t>
  </si>
  <si>
    <t>Using biomechanical and skill acquisition theories, students will work in groups and pick a skill to progress through the stages of learning and create a short video to document this progression and how they have applied the theories gained through the module. It will also include an individual reflective piece on how their knowledge has developed over the module and how it might impact on work in sport, exercise and health.</t>
  </si>
  <si>
    <t>5201SPS_Assess</t>
  </si>
  <si>
    <t xml:space="preserve">Personal reflection &amp; WBL </t>
  </si>
  <si>
    <t>4093SPS_Assess</t>
  </si>
  <si>
    <t xml:space="preserve">90 minute and 60 question MCT to cover material delivered during weeks 1-6 of the module. </t>
  </si>
  <si>
    <t>January Assessment Week 1</t>
  </si>
  <si>
    <t>90 minute and 60 question MCT to cover material delivered during weeks 8-12 of the module. </t>
  </si>
  <si>
    <t>January Assessment Week 2</t>
  </si>
  <si>
    <t>5202SPS_Assess</t>
  </si>
  <si>
    <t>5091SPS_Assess</t>
  </si>
  <si>
    <t>Group presentation demonstrating analysis of mixed-methods data</t>
  </si>
  <si>
    <t>Research Proposal outlining a feasible study to undertake at L6</t>
  </si>
  <si>
    <t>5203SPS_Assess</t>
  </si>
  <si>
    <t>Group portfolio containing lesson plans, evidence of deliveries and peer lesson evaluations</t>
  </si>
  <si>
    <t>Individual porfolio containing a year long curriuum plan and academic justification of planning</t>
  </si>
  <si>
    <t>5092SPS_Assess</t>
  </si>
  <si>
    <t>Using the experimental data provided and an AI-generated draft report, students will produce a scientific laboratory report that analyses and evaluates the physiological effects of exercise training</t>
  </si>
  <si>
    <t>Pro/con debate: working in groups, students will research, prepare, and participate in a structured debate on a controversial topic related to sport and exercise physiology</t>
  </si>
  <si>
    <t>Assessment week</t>
  </si>
  <si>
    <t>5103SPS_Assess</t>
  </si>
  <si>
    <t xml:space="preserve">Porfoiolo of biomechanical analysis reports to a 'Performance Director', linked to taught labs </t>
  </si>
  <si>
    <t xml:space="preserve">Exam testing knowledge of taught conetent and assessing depth of knowlegde and seeking justifications and critique of portfolio </t>
  </si>
  <si>
    <t>6202SPS_Assess</t>
  </si>
  <si>
    <t>6091SPS_Assess</t>
  </si>
  <si>
    <t>Dissertation</t>
  </si>
  <si>
    <t xml:space="preserve">Students are required to submit a thesis that describes and reports the major project that they conducted using the scientific method, e.g., Introduction, Methods, Results and Discussion. </t>
  </si>
  <si>
    <t xml:space="preserve">Students are required to manage their own project throughout the year and produce, present and defend their major project </t>
  </si>
  <si>
    <t>6203SPS_Assess</t>
  </si>
  <si>
    <t>Group Report (with personal relfection compnents)</t>
  </si>
  <si>
    <t xml:space="preserve">Group Presentation </t>
  </si>
  <si>
    <t>6096SPS_Assess</t>
  </si>
  <si>
    <t>Group lesson plan and delivery of lesson</t>
  </si>
  <si>
    <t>Individual essay critically evaluating a current trend in secondary PE</t>
  </si>
  <si>
    <t>4101SPS_Assess</t>
  </si>
  <si>
    <t>Approved job-role skills audit: 5-minute individual presentation followed by 5 minutes of personal tutor questions. Students compare their current evidence against the role requirements and present a realistic, time-bound development plan.</t>
  </si>
  <si>
    <t>Professional Development Portfolio comprising evidence of two specified professional certificates (10% each) and a 10-minute individual personal tutor viva (40%) covering development, engagement and attendance reflection, disciplinary learning, experience, professional behaviours and future action planning.</t>
  </si>
  <si>
    <t>4102SPS_Assess</t>
  </si>
  <si>
    <t>In-person test</t>
  </si>
  <si>
    <t>Group narrated (recorded) presentation</t>
  </si>
  <si>
    <t>5102SPS_Assess</t>
  </si>
  <si>
    <t>30-minute group presentation – Analyse the factors that influence physical activity sedentary behaviour, and sleep in a specific population subgroup (e.g., young children, children, adolescents, adults, older adults).</t>
  </si>
  <si>
    <t>PART 1 – Individual practical: Perform a brief assessment of physical activity with a client (research participant) and give accurate feedback and appropriate recommendations. PART 2 - Viva: Analyse the strengths and limitations and provide recommendations for a proposed measurement approach in a given research scenario .</t>
  </si>
  <si>
    <t>17-18 (January Assessment Week)</t>
  </si>
  <si>
    <t>6101SPS_Assess</t>
  </si>
  <si>
    <t>Running Evaluation</t>
  </si>
  <si>
    <t>Injury Screening Evaluation</t>
  </si>
  <si>
    <t>6102SPS_Assess</t>
  </si>
  <si>
    <t xml:space="preserve">Three mini essays: Critical discussions. </t>
  </si>
  <si>
    <t xml:space="preserve">One 10 minute individual presentation plus up to 5 minutes of questions. </t>
  </si>
  <si>
    <t>6104SPS_Assess</t>
  </si>
  <si>
    <t>Case-study presentation of CPET data collected during lab practicals + viva</t>
  </si>
  <si>
    <t>ECG interpretation exam</t>
  </si>
  <si>
    <t>6105SPS_Assess</t>
  </si>
  <si>
    <t>The effects of walking speed on three-dimensional gait kinematics</t>
  </si>
  <si>
    <t>Exam covering content delivered in the second half on strength, muscles and tendons.</t>
  </si>
  <si>
    <t>6106SPS_Assess</t>
  </si>
  <si>
    <t>The Conversation' style article and accompanying infographic</t>
  </si>
  <si>
    <t>Patient Education Session</t>
  </si>
  <si>
    <t>6108SPS_Assess</t>
  </si>
  <si>
    <t>Group presentation on population nutrient deficiency in health and performance context</t>
  </si>
  <si>
    <t>30%%</t>
  </si>
  <si>
    <t>Case study of athlete needs for performance and health goals</t>
  </si>
  <si>
    <t>6109SPS_Assess</t>
  </si>
  <si>
    <t>Work related task. The submission will depend upon the nature of the work related activity (3000 words or equivalent)</t>
  </si>
  <si>
    <t>An individual presentation within the context of the discipline area that you have completed your placement, and in consideration of your skills, experience and possible career plans you are required to reflect upon the knowledge and competencies required to work in Sport and Exercise Science field/discipline.</t>
  </si>
  <si>
    <t>6093SPS_Assess</t>
  </si>
  <si>
    <t>10 minute pre-recorded needs analysis presentation</t>
  </si>
  <si>
    <t>Training Programme and Viva Defence</t>
  </si>
  <si>
    <t>6094SPS_Assess</t>
  </si>
  <si>
    <t>Design a theory-based behaviour change intervention (10 minute narrated presentation)</t>
  </si>
  <si>
    <t xml:space="preserve">Practical Simulation and Reflection: Students complete a 12-15 minute behaviour change consultation with an adult client seeking support. Following the practical, students submit a critical reflection (≈750–1,000 words) on their consultation. </t>
  </si>
  <si>
    <t>6095SPS_Assess</t>
  </si>
  <si>
    <t>Part A includes 3 different components: a code window file (from Sportscode), a CSV file, and a report.                                                                                                                                                Part B includes 2 different components: a video playlist, and a Tableau dashboard file.</t>
  </si>
  <si>
    <t>Group Presentation analysing performance of a team or athlete (15 minutes + 5 minutes questions).</t>
  </si>
  <si>
    <t>Week 17</t>
  </si>
  <si>
    <t>4401SPS_Assess</t>
  </si>
  <si>
    <t>5401SPS_Assess</t>
  </si>
  <si>
    <t>5402SPS_Assess</t>
  </si>
  <si>
    <t>5403SPS_Assess</t>
  </si>
  <si>
    <t>5XX1SPS_Assess</t>
  </si>
  <si>
    <t>5XX2SPS_Assess</t>
  </si>
  <si>
    <t>6XX1SPS_Assess</t>
  </si>
  <si>
    <t>6XX2SPS_Assess</t>
  </si>
  <si>
    <t>5093SPS_Assess</t>
  </si>
  <si>
    <t>In-class video observation and short-answer questions</t>
  </si>
  <si>
    <t>In-class short- and multi-choice answer questions</t>
  </si>
  <si>
    <t>13-14</t>
  </si>
  <si>
    <t>6403SPS_Assess</t>
  </si>
  <si>
    <t>6052SPS_Assess</t>
  </si>
  <si>
    <t>Group presentation on motor learning protocols</t>
  </si>
  <si>
    <t>Interpret statistical outputs to independently produce a summary of key findings, followed by discussion that considers findings relative to research and conceptual/theoretical perspectives</t>
  </si>
  <si>
    <t>6097SPS_Assess</t>
  </si>
  <si>
    <t>4051SPS_Assess</t>
  </si>
  <si>
    <t>Professional issue briefing (recorded video or narrated presentation)</t>
  </si>
  <si>
    <t>Professional practice portfolio and scenario response</t>
  </si>
  <si>
    <t>4052SPS_Assess</t>
  </si>
  <si>
    <t>Group presentation on developmental psychology topic</t>
  </si>
  <si>
    <t>Individual presentation on individual differences topic</t>
  </si>
  <si>
    <t>4NX1SPS_Assess</t>
  </si>
  <si>
    <t>Practitioner portfolio</t>
  </si>
  <si>
    <t>Assessment data collected in-session, with justification and interpretation. Tests MLO1 (Apply) and MLO2 (Understand). Thread A and B origin: this is where the consultation and measurement formats are first practised.</t>
  </si>
  <si>
    <t>PLG reflective log</t>
  </si>
  <si>
    <t>Entries written in-session, referencing named peers and the student’s own recorded consultation. Tests MLO2 and MLO3 (Understand).</t>
  </si>
  <si>
    <t>4NX2SPS_Assess</t>
  </si>
  <si>
    <t>Dietary history role-play and nutrient case analysis</t>
  </si>
  <si>
    <t>Partially secured. A short in-session dietary-history role-play (Thread A, foundational) generates the case; students then analyse the described pattern against DRVs and identify likely inadequacies. Tests MLO1 (Understand) and MLO2 (Apply).</t>
  </si>
  <si>
    <t>Invigilated examination</t>
  </si>
  <si>
    <t>4NX3SPS_Assess</t>
  </si>
  <si>
    <t>In-person practical lab exam</t>
  </si>
  <si>
    <t>Two practice and training labs across the module, then one final in-person lab exam comprising a completed handwritten proforma and submission of the handwritten lab book. Tests MLO1 (Understand) and MLO3 (Analyse). Thread B origin: this is where lab competency and data interpretation are first assessed under secure conditions, maturing at L5 Exercise Biochemistry and L6 Molecular.</t>
  </si>
  <si>
    <t>Group mini-teach presentation</t>
  </si>
  <si>
    <t xml:space="preserve">Teach a scientific concept to a targeted group </t>
  </si>
  <si>
    <t>4NX4SPS_Assess</t>
  </si>
  <si>
    <t>Position Stand report, 2,500 words (50%). Open, AI-development. Tests MLO3 (Analyse). Supported by a short AI evidence-search appendix: students run an AI-generated evidence search and a structured database search on the same topic, record what AI returned that the database did not and what it missed, misattributed or fabricated, and state which sources were carried into the position stand and why. This adds no new summative item and anchors the report in a process the student performed.</t>
  </si>
  <si>
    <t>MCQ and Short Answer Questions, 2-hours (50%)</t>
  </si>
  <si>
    <t>5NX1SPS_Assess</t>
  </si>
  <si>
    <t>Live consultation with case report (50%). Secured (live). Consultation conducted in-session with a briefed client presenting psychosocial complexity; the report must reference decisions taken in that session. Tests MLO1 (Create) and MLO2 (Apply). Thread A matures here: the format practised at L4 now carries complexity and higher weight.</t>
  </si>
  <si>
    <t>PLG creative professional-development portfolio</t>
  </si>
  <si>
    <t>5NX2SPS_Assess</t>
  </si>
  <si>
    <t>Product development brief and pitch (50%). Secured (live defence). Live brief with industry input; pitch defended through Q and A. Tests MLO3 (Create) and MLO1 (Analyse) where formulation engages the supply chain. Thread D and the create-and-defend format; the live Q and A secures it.</t>
  </si>
  <si>
    <t>Food systems critical analysis (50%). Open, AI-development. Tests MLO1 (Analyse) and MLO2 (Evaluate). A synthesis task where AI genuinely helps; students submit an annotated AI-assisted draft or a prompt-and-refine record so their judgement is visible.</t>
  </si>
  <si>
    <t>5NX3SPS_Assess</t>
  </si>
  <si>
    <t>Laboratory report on a nutrient-exercise dataset (50%). Secured (own data). Tests MLO1 (Understand) and MLO2 (Analyse). Thread B matures: more complex data than L4, less than L6 Molecular.</t>
  </si>
  <si>
    <t>Client explanation of biochemical rationale (rung 3) (50%). Secured (live). A face-to-face explanation to a client (role-play, building toward the health-scenario “dummies” idea) of why, biochemically, certain recommendations follow. Tests MLO3 (Apply).</t>
  </si>
  <si>
    <t>5NX4SPS_Assess</t>
  </si>
  <si>
    <t>Life-stage role-play consultation (50%). Secured (live). A briefed client at a specified life stage (Thread A, specialist-population outing). Tests MLO3 (Apply).</t>
  </si>
  <si>
    <t>Life course case analysis (50%). Open, AI-development. Following the role-play, a named individual with defined social, cultural and economic circumstances. Tests MLO1 (Evaluate) and MLO2 (Analyse). AI permitted for drafting public-facing elements, with annotation.</t>
  </si>
  <si>
    <t>6NX1SPS_Assess</t>
  </si>
  <si>
    <t>6NX2SPS_Assess</t>
  </si>
  <si>
    <t>MLO1 and MLO2</t>
  </si>
  <si>
    <t>Professional position statement with viva defence (50%). Secured (viva). Written statement on a contemporary issue, defended through structured questioning on the specific claims made. Tests MLO1 and MLO3 (Create). Thread C destination: the appraise-and-defend skill first practised at L4 and evaluated at L5 now reaches full viva defence.</t>
  </si>
  <si>
    <t>6NX3SPS_Assess</t>
  </si>
  <si>
    <t>Science communication group project (50%). Open, AI-development. Working with the physio clinic for example, create resources supporting athlete rehabilitation. Tests MLO1 (Evaluate) and MLO3 (Create). Thread D destination: authentic, real-client communication; AI permitted for resource drafting with the process documented.</t>
  </si>
  <si>
    <t>Individual critical reflection on the group project (50%). Secured (personal). Evaluation of process, AI use, and critical appraisal of the chosen recovery strategies and communication tools. Tests MLO2 (Evaluate). Anchored to the student’s own project experience, which AI cannot supply, and where accounting for AI use is part of the task.</t>
  </si>
  <si>
    <t>6NX4SPS_Assess</t>
  </si>
  <si>
    <t>6NX5SPS_Assess</t>
  </si>
  <si>
    <t>4053SPS_Assess</t>
  </si>
  <si>
    <t>Group presentation on nervous system and sensory processing</t>
  </si>
  <si>
    <t>Annotated bibliography case studies related to weeks 8-12</t>
  </si>
  <si>
    <t>4054SPS_Assess</t>
  </si>
  <si>
    <t>Academic Skills Portfolio incorporating literature searching, critical reading, referencing, academic writing tasks, an AI reflection and a personal study plan.</t>
  </si>
  <si>
    <t>Infographic</t>
  </si>
  <si>
    <t>Digital Communication Portfolio including Excel data management, APA figures and tables, an infographic, a short narrated presentation and a reflective commentary on the use of AI and digital tools.</t>
  </si>
  <si>
    <t>5051SPS_Assess</t>
  </si>
  <si>
    <t xml:space="preserve">Professional Client Workshop </t>
  </si>
  <si>
    <t xml:space="preserve">Consultancy Portfolio </t>
  </si>
  <si>
    <t>60%%</t>
  </si>
  <si>
    <t>5052SPS_Assess</t>
  </si>
  <si>
    <t>Data collection, illustration/presentation and interpretation</t>
  </si>
  <si>
    <t>Data collection and analysis, and follow-up viva</t>
  </si>
  <si>
    <t>5053SPS_Assess</t>
  </si>
  <si>
    <t>Qualitative report on exercise psychology data</t>
  </si>
  <si>
    <t>Paired presentation of exercise campaign infographic</t>
  </si>
  <si>
    <t>5054SPS_Assess</t>
  </si>
  <si>
    <t>2 x infographics on lifespan stages and 1 x 1000 essay on chosen stages, integrating socio-ecological and systems perspectives. AI transparancy element (short 300 word reflective statement)</t>
  </si>
  <si>
    <t>2 x 1000 word essays during 2 hours in person exam</t>
  </si>
  <si>
    <t>S2 assessment week</t>
  </si>
  <si>
    <t>6051SPS_Assess</t>
  </si>
  <si>
    <t>15 minute group presentation in placement / project groups</t>
  </si>
  <si>
    <t>Individual spoken viva on content from presentation, individual learning on module, reflective practice to date, and response to short case study</t>
  </si>
  <si>
    <t>6053SPS_Assess</t>
  </si>
  <si>
    <t xml:space="preserve">2500 word report on a case study attached to a current issue in sport or exercise psychology. </t>
  </si>
  <si>
    <t xml:space="preserve">Moderate-Long answer 2-hour exam attached to current issues in sport and/or exercise psychology.  </t>
  </si>
  <si>
    <t>exam period</t>
  </si>
  <si>
    <t>6054SPS_Assess</t>
  </si>
  <si>
    <t>Reflective essay (1500 words)</t>
  </si>
  <si>
    <t>Module Data</t>
  </si>
  <si>
    <t>Details</t>
  </si>
  <si>
    <t>Table 1</t>
  </si>
  <si>
    <t>Table 3</t>
  </si>
  <si>
    <t>Table 5</t>
  </si>
  <si>
    <t>Category text shown to user</t>
  </si>
  <si>
    <t>Defined Name</t>
  </si>
  <si>
    <t>ScientificKnowledge</t>
  </si>
  <si>
    <t>TechnicalSkills</t>
  </si>
  <si>
    <t>ApplicationofKnowledge</t>
  </si>
  <si>
    <t>UnderstandingResearch</t>
  </si>
  <si>
    <t>SelfEvaluation</t>
  </si>
  <si>
    <t>Journal</t>
  </si>
  <si>
    <t>ProblemSolving</t>
  </si>
  <si>
    <t>MgmtSelf</t>
  </si>
  <si>
    <t>DeliveryEnvironment</t>
  </si>
  <si>
    <t>ProfRelationships</t>
  </si>
  <si>
    <t>SES and SN</t>
  </si>
  <si>
    <t>SC and PE</t>
  </si>
  <si>
    <t>Professional relationships &amp; behaviours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</si>
</sst>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5">
    <border>
      <left/>
      <right/>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17">
    <xf numFmtId="0" fontId="0" fillId="0" borderId="0" xfId="0"/>
    <xf numFmtId="0" fontId="1" fillId="0" borderId="0" xfId="0" applyFont="1"/>
    <xf numFmtId="0" fontId="0" fillId="0" borderId="0" xfId="0" applyAlignment="1">
      <alignment horizontal="center"/>
    </xf>
    <xf numFmtId="0" fontId="0" fillId="2" borderId="1" xfId="0" applyFill="1" applyBorder="1"/>
    <xf numFmtId="0" fontId="1" fillId="2" borderId="1" xfId="0" applyFont="1" applyFill="1" applyBorder="1"/>
    <xf numFmtId="0" fontId="1" fillId="0" borderId="1" xfId="0" applyFont="1" applyBorder="1"/>
    <xf numFmtId="0" fontId="0" fillId="0" borderId="2" xfId="0" applyBorder="1"/>
    <xf numFmtId="0" fontId="0" fillId="0" borderId="1" xfId="0" applyBorder="1"/>
    <xf numFmtId="0" fontId="3" fillId="3" borderId="3" xfId="0" applyFont="1" applyFill="1" applyBorder="1"/>
    <xf numFmtId="0" fontId="3" fillId="3" borderId="4" xfId="0" applyFont="1" applyFill="1" applyBorder="1"/>
    <xf numFmtId="0" fontId="0" fillId="2" borderId="3" xfId="0" applyFill="1" applyBorder="1"/>
    <xf numFmtId="0" fontId="0" fillId="2" borderId="4" xfId="0" applyFill="1" applyBorder="1"/>
    <xf numFmtId="0" fontId="0" fillId="0" borderId="3" xfId="0" applyBorder="1"/>
    <xf numFmtId="0" fontId="0" fillId="0" borderId="4" xfId="0"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7</xdr:col>
      <xdr:colOff>428625</xdr:colOff>
      <xdr:row>3</xdr:row>
      <xdr:rowOff>9525</xdr:rowOff>
    </xdr:from>
    <xdr:to>
      <xdr:col>12</xdr:col>
      <xdr:colOff>285750</xdr:colOff>
      <xdr:row>17</xdr:row>
      <xdr:rowOff>9525</xdr:rowOff>
    </xdr:to>
    <mc:AlternateContent xmlns:mc="http://schemas.openxmlformats.org/markup-compatibility/2006" xmlns:a14="http://schemas.microsoft.com/office/drawing/2010/main">
      <mc:Choice Requires="a14">
        <xdr:graphicFrame macro="">
          <xdr:nvGraphicFramePr>
            <xdr:cNvPr id="3" name="Programme">
              <a:extLst>
                <a:ext uri="{FF2B5EF4-FFF2-40B4-BE49-F238E27FC236}">
                  <a16:creationId xmlns:a16="http://schemas.microsoft.com/office/drawing/2014/main" id="{27054CBE-D4FA-7592-9AEF-A19AD617A402}"/>
                </a:ext>
              </a:extLst>
            </xdr:cNvPr>
            <xdr:cNvGraphicFramePr/>
          </xdr:nvGraphicFramePr>
          <xdr:xfrm>
            <a:off x="0" y="0"/>
            <a:ext cx="0" cy="0"/>
          </xdr:xfrm>
          <a:graphic>
            <a:graphicData uri="http://schemas.microsoft.com/office/drawing/2010/slicer">
              <sle:slicer xmlns:sle="http://schemas.microsoft.com/office/drawing/2010/slicer" name="Programme"/>
            </a:graphicData>
          </a:graphic>
        </xdr:graphicFrame>
      </mc:Choice>
      <mc:Fallback xmlns="">
        <xdr:sp macro="" textlink="">
          <xdr:nvSpPr>
            <xdr:cNvPr id="0" name=""/>
            <xdr:cNvSpPr>
              <a:spLocks noTextEdit="1"/>
            </xdr:cNvSpPr>
          </xdr:nvSpPr>
          <xdr:spPr>
            <a:xfrm>
              <a:off x="9296400" y="581025"/>
              <a:ext cx="1828800" cy="2667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Robinson" refreshedDate="46268.579311111112" createdVersion="8" refreshedVersion="8" minRefreshableVersion="3" recordCount="107" xr:uid="{F4DD2A01-4B5B-49C5-9B05-E2078CD4105B}">
  <cacheSource type="worksheet">
    <worksheetSource name="All_Hours_Wide"/>
  </cacheSource>
  <cacheFields count="13">
    <cacheField name="SourceWorkbook" numFmtId="0">
      <sharedItems/>
    </cacheField>
    <cacheField name="TableName" numFmtId="0">
      <sharedItems/>
    </cacheField>
    <cacheField name="ModuleCode" numFmtId="0">
      <sharedItems count="77">
        <s v="4301SPS"/>
        <s v="4303SPS"/>
        <s v="5301SPS"/>
        <s v="5302SPS"/>
        <s v="6301SPS"/>
        <s v="6302SPS"/>
        <s v="6303SPS"/>
        <s v="6304SPS"/>
        <s v="4201SPS"/>
        <s v="4202SPS"/>
        <s v="5201SPS"/>
        <s v="5202SPS"/>
        <s v="5203SPS"/>
        <s v="5204SPS"/>
        <s v="6096SPS"/>
        <s v="6202SPS"/>
        <s v="6203SPS"/>
        <s v="4401SPS"/>
        <s v="5401SPS"/>
        <s v="5402SPS"/>
        <s v="5403SPS"/>
        <s v="5XX1SPS"/>
        <s v="5XX2SPS"/>
        <s v="6097SPS"/>
        <s v="6403SPS"/>
        <s v="6XX1SPS"/>
        <s v="6XX2SPS"/>
        <s v="4NX1SPS"/>
        <s v="4NX2SPS"/>
        <s v="4NX3SPS"/>
        <s v="4NX4SPS"/>
        <s v="5NX1SPS"/>
        <s v="5NX2SPS"/>
        <s v="5NX3SPS"/>
        <s v="5NX4SPS"/>
        <s v="6NX1SPS"/>
        <s v="6NX2SPS"/>
        <s v="6NX3SPS"/>
        <s v="6NX4SPS"/>
        <s v="6NX5SPS"/>
        <s v="4051SPS"/>
        <s v="4052SPS"/>
        <s v="4053SPS"/>
        <s v="4054SPS"/>
        <s v="4093SPS"/>
        <s v="5051SPS"/>
        <s v="5052SPS"/>
        <s v="5053SPS"/>
        <s v="5054SPS"/>
        <s v="5093SPS"/>
        <s v="6051SPS"/>
        <s v="6052SPS"/>
        <s v="6053SPS"/>
        <s v="6054SPS"/>
        <s v="4091SPS"/>
        <s v="4092SPS"/>
        <s v="4094SPS"/>
        <s v="4101SPS"/>
        <s v="4102SPS"/>
        <s v="5091SPS"/>
        <s v="5092SPS"/>
        <s v="5101SPS"/>
        <s v="5102SPS"/>
        <s v="5103SPS"/>
        <s v="6091SPS"/>
        <s v="6093SPS"/>
        <s v="6094SPS"/>
        <s v="6095SPS"/>
        <s v="6101SPS"/>
        <s v="6102SPS"/>
        <s v="6103SPS"/>
        <s v="6104SPS"/>
        <s v="6105SPS"/>
        <s v="6106SPS"/>
        <s v="6107SPS"/>
        <s v="6108SPS"/>
        <s v="6109SPS"/>
      </sharedItems>
    </cacheField>
    <cacheField name="ItemSuffix" numFmtId="0">
      <sharedItems count="1">
        <s v="Hours"/>
      </sharedItems>
    </cacheField>
    <cacheField name="Programme" numFmtId="0">
      <sharedItems count="6">
        <s v="Football Science"/>
        <s v="Physical Education"/>
        <s v="Sport and Exercise Science"/>
        <s v="Sport Coaching"/>
        <s v="Sport Nutrition"/>
        <s v="Sport Psychology"/>
      </sharedItems>
    </cacheField>
    <cacheField name="ProgCode" numFmtId="0">
      <sharedItems/>
    </cacheField>
    <cacheField name="ModuleTitle" numFmtId="0">
      <sharedItems count="78">
        <s v="Professional Practice in Football Science"/>
        <s v="Talent Identification, Development and Selection"/>
        <s v="Professional Practice in Football Science 2"/>
        <s v="Football tactics and match analysis"/>
        <s v="Football Performance and Technology"/>
        <s v="Physical Performance in Football"/>
        <s v="Applied Psychology of Football"/>
        <s v="Applied Practice in Football Science"/>
        <s v="Professional Practice in Physical Education"/>
        <s v="Learning in PE and Sport Contexts"/>
        <s v="Professional Practice in PE 2"/>
        <s v="Learning in PE and Sport Contexts 2"/>
        <s v="Primary PE teacher Education"/>
        <s v="Physical Education in Action 1"/>
        <s v="Secondary PE Teacher Education"/>
        <s v="Learning in PE and Sport Contexts 3 (TBC)"/>
        <s v="Professional Practicel in PE 3"/>
        <s v="Learning Theory and Practice 1"/>
        <s v="Professional Practice in Sport Coaching 1"/>
        <s v="Professional Practice in Sport Coaching 2"/>
        <s v="Effective Coaching in Paralympic and Disability Sport"/>
        <s v="Strength and Conditioning for Coaches"/>
        <s v="Learning Theory and Practice"/>
        <s v="Youth and Community Football Coaching"/>
        <s v="Working in High Performance Sport"/>
        <s v="Placement/Projects in Sport for Professional Development"/>
        <s v="Advanced Coaching Practice"/>
        <s v="Coach Development and Learning"/>
        <s v="Professional Practice 1 in Sport Nutrition"/>
        <s v="Principles of Human Nutrition"/>
        <s v="Nutritional Biochemistry and Metabolism"/>
        <s v="Performance Nutrition"/>
        <s v="Professional Practice 2 in Sport Nutrition"/>
        <s v="Product Development for Sport Nutrition"/>
        <s v="Applied Nutrition and Exercise Biochemistry"/>
        <s v="Lifespan Nutrition and Eating Behaviour"/>
        <s v="Molecular Nutrition and Genetics"/>
        <s v="Sport Supplements and Contemporary Issues"/>
        <s v="Sport Nutrition for Health, Adaptation and Recovery"/>
        <s v="Capstone Placment Project"/>
        <s v="Applied Placement"/>
        <s v="PROFESSIONAL PRACTICE IN SPORT PSYCHOLOGY 1"/>
        <s v="Introduction to Developmental Psychology and Individual Differences"/>
        <s v="Introduction to Cognitive and Biological Psychology"/>
        <s v="Academic Skills"/>
        <s v="Psychosocial Principles of Sport and Exercise"/>
        <s v="PROFESSIONAL PRACTICE IN SPORT PSYCHOLOGY 2"/>
        <s v="Advances in Cognitive and Biological Psychology"/>
        <s v="Exercise and Health Psychology"/>
        <s v="Developmental and Social Psychology"/>
        <s v="Sport amd Performance Psychology"/>
        <s v="Professional Practice 3"/>
        <s v="Applied Motor Behaviour"/>
        <s v="Current Issues in Sport and Exercise Psychology"/>
        <s v="Professional placement or work related learning project"/>
        <s v="Research Methods 1"/>
        <s v="Exercise Phys L4"/>
        <s v="Human Movement"/>
        <s v="Professional Practice"/>
        <s v="Understanding Physical Activity and Sedentary Behaviour"/>
        <s v="Research Methods 2"/>
        <s v="Physiological adaptations to exercise"/>
        <s v="Professional Practice in Sport and Exercise Science 2"/>
        <s v="Influences and Assessment of Physical Activity and Sedentary Behaviour"/>
        <s v="Biomechanics"/>
        <s v="Major Project"/>
        <s v="Strength and Conditioning"/>
        <s v="Behaviour Change"/>
        <s v="Performance Analysis in Sport"/>
        <s v="Sport and Injury Biomechanics"/>
        <s v="Physical activity and sedentary behaviour across the life course"/>
        <s v="Exercise Metabolism"/>
        <s v="Cardiovascular Physiology"/>
        <s v="Clinical Biomechanics"/>
        <s v="Module Title"/>
        <s v="Environmental Physiology"/>
        <s v="Health and Performance Nutrition"/>
        <s v="Applied Professional Practice"/>
      </sharedItems>
    </cacheField>
    <cacheField name="Lecture" numFmtId="0">
      <sharedItems containsString="0" containsBlank="1" containsNumber="1" containsInteger="1" minValue="8" maxValue="44"/>
    </cacheField>
    <cacheField name="Seminar" numFmtId="0">
      <sharedItems containsString="0" containsBlank="1" containsNumber="1" containsInteger="1" minValue="0" maxValue="26"/>
    </cacheField>
    <cacheField name="Practical" numFmtId="0">
      <sharedItems containsString="0" containsBlank="1" containsNumber="1" containsInteger="1" minValue="0" maxValue="40"/>
    </cacheField>
    <cacheField name="Workshop" numFmtId="0">
      <sharedItems containsString="0" containsBlank="1" containsNumber="1" containsInteger="1" minValue="0" maxValue="27"/>
    </cacheField>
    <cacheField name="Online" numFmtId="0">
      <sharedItems containsString="0" containsBlank="1" containsNumber="1" containsInteger="1" minValue="0" maxValue="22"/>
    </cacheField>
    <cacheField name="Total" numFmtId="0">
      <sharedItems containsSemiMixedTypes="0" containsString="0" containsNumber="1" containsInteger="1" minValue="0" maxValue="76"/>
    </cacheField>
  </cacheFields>
  <extLst>
    <ext xmlns:x14="http://schemas.microsoft.com/office/spreadsheetml/2009/9/main" uri="{725AE2AE-9491-48be-B2B4-4EB974FC3084}">
      <x14:pivotCacheDefinition pivotCacheId="44381168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
  <r>
    <s v="Football Science - AllModuleProformas.xlsx"/>
    <s v="4301SPS_Hours"/>
    <x v="0"/>
    <x v="0"/>
    <x v="0"/>
    <s v="FS"/>
    <x v="0"/>
    <n v="24"/>
    <n v="10"/>
    <n v="9"/>
    <n v="6"/>
    <n v="0"/>
    <n v="49"/>
  </r>
  <r>
    <s v="Football Science - AllModuleProformas.xlsx"/>
    <s v="4303SPS_Hours"/>
    <x v="1"/>
    <x v="0"/>
    <x v="0"/>
    <s v="FS"/>
    <x v="1"/>
    <n v="22"/>
    <n v="14"/>
    <n v="4"/>
    <n v="8"/>
    <n v="0"/>
    <n v="48"/>
  </r>
  <r>
    <s v="Football Science - AllModuleProformas.xlsx"/>
    <s v="5301SPS_Hours"/>
    <x v="2"/>
    <x v="0"/>
    <x v="0"/>
    <s v="FS"/>
    <x v="2"/>
    <n v="18"/>
    <n v="14"/>
    <n v="6"/>
    <n v="10"/>
    <m/>
    <n v="48"/>
  </r>
  <r>
    <s v="Football Science - AllModuleProformas.xlsx"/>
    <s v="5302SPS_Hours"/>
    <x v="3"/>
    <x v="0"/>
    <x v="0"/>
    <s v="FS"/>
    <x v="3"/>
    <m/>
    <m/>
    <m/>
    <m/>
    <m/>
    <n v="0"/>
  </r>
  <r>
    <s v="Football Science - AllModuleProformas.xlsx"/>
    <s v="6301SPS_Hours"/>
    <x v="4"/>
    <x v="0"/>
    <x v="0"/>
    <s v="FS"/>
    <x v="4"/>
    <n v="22"/>
    <m/>
    <n v="16"/>
    <n v="8"/>
    <m/>
    <n v="46"/>
  </r>
  <r>
    <s v="Football Science - AllModuleProformas.xlsx"/>
    <s v="6302SPS_Hours"/>
    <x v="5"/>
    <x v="0"/>
    <x v="0"/>
    <s v="FS"/>
    <x v="5"/>
    <n v="8"/>
    <m/>
    <n v="12"/>
    <n v="20"/>
    <m/>
    <n v="40"/>
  </r>
  <r>
    <s v="Football Science - AllModuleProformas.xlsx"/>
    <s v="6303SPS_Hours"/>
    <x v="6"/>
    <x v="0"/>
    <x v="0"/>
    <s v="FS"/>
    <x v="6"/>
    <n v="22"/>
    <n v="18"/>
    <m/>
    <m/>
    <m/>
    <n v="40"/>
  </r>
  <r>
    <s v="Football Science - AllModuleProformas.xlsx"/>
    <s v="6304SPS_Hours"/>
    <x v="7"/>
    <x v="0"/>
    <x v="0"/>
    <s v="FS"/>
    <x v="7"/>
    <n v="10"/>
    <n v="10"/>
    <m/>
    <m/>
    <m/>
    <n v="20"/>
  </r>
  <r>
    <s v="Physical Education - AllModuleProformas.xlsx"/>
    <s v="4201SPS_Hours"/>
    <x v="8"/>
    <x v="0"/>
    <x v="1"/>
    <s v="PE"/>
    <x v="8"/>
    <n v="20"/>
    <m/>
    <n v="10"/>
    <n v="10"/>
    <m/>
    <n v="40"/>
  </r>
  <r>
    <s v="Physical Education - AllModuleProformas.xlsx"/>
    <s v="4202SPS_Hours"/>
    <x v="9"/>
    <x v="0"/>
    <x v="1"/>
    <s v="PE"/>
    <x v="9"/>
    <m/>
    <m/>
    <m/>
    <m/>
    <m/>
    <n v="0"/>
  </r>
  <r>
    <s v="Physical Education - AllModuleProformas.xlsx"/>
    <s v="5201SPS_Hours"/>
    <x v="10"/>
    <x v="0"/>
    <x v="1"/>
    <s v="PE"/>
    <x v="10"/>
    <n v="20"/>
    <m/>
    <n v="20"/>
    <m/>
    <m/>
    <n v="40"/>
  </r>
  <r>
    <s v="Physical Education - AllModuleProformas.xlsx"/>
    <s v="5202SPS_Hours"/>
    <x v="11"/>
    <x v="0"/>
    <x v="1"/>
    <s v="PE"/>
    <x v="11"/>
    <m/>
    <m/>
    <m/>
    <m/>
    <m/>
    <n v="0"/>
  </r>
  <r>
    <s v="Physical Education - AllModuleProformas.xlsx"/>
    <s v="5203SPS_Hours"/>
    <x v="12"/>
    <x v="0"/>
    <x v="1"/>
    <s v="PE"/>
    <x v="12"/>
    <n v="10"/>
    <n v="0"/>
    <n v="19"/>
    <n v="3"/>
    <n v="8"/>
    <n v="40"/>
  </r>
  <r>
    <s v="Physical Education - AllModuleProformas.xlsx"/>
    <s v="5204SPS_Hours"/>
    <x v="13"/>
    <x v="0"/>
    <x v="1"/>
    <s v="PE"/>
    <x v="13"/>
    <m/>
    <m/>
    <m/>
    <m/>
    <m/>
    <n v="0"/>
  </r>
  <r>
    <s v="Physical Education - AllModuleProformas.xlsx"/>
    <s v="6096SPS_Hours"/>
    <x v="14"/>
    <x v="0"/>
    <x v="1"/>
    <s v="PE"/>
    <x v="14"/>
    <n v="9"/>
    <n v="3"/>
    <n v="16"/>
    <n v="6"/>
    <n v="6"/>
    <n v="40"/>
  </r>
  <r>
    <s v="Physical Education - AllModuleProformas.xlsx"/>
    <s v="6096SPS_Hours"/>
    <x v="14"/>
    <x v="0"/>
    <x v="2"/>
    <s v="SES"/>
    <x v="14"/>
    <n v="9"/>
    <n v="3"/>
    <n v="16"/>
    <n v="6"/>
    <n v="6"/>
    <n v="40"/>
  </r>
  <r>
    <s v="Physical Education - AllModuleProformas.xlsx"/>
    <s v="6202SPS_Hours"/>
    <x v="15"/>
    <x v="0"/>
    <x v="1"/>
    <s v="PE"/>
    <x v="15"/>
    <m/>
    <m/>
    <m/>
    <m/>
    <m/>
    <n v="0"/>
  </r>
  <r>
    <s v="Physical Education - AllModuleProformas.xlsx"/>
    <s v="6203SPS_Hours"/>
    <x v="16"/>
    <x v="0"/>
    <x v="1"/>
    <s v="PE"/>
    <x v="16"/>
    <n v="20"/>
    <m/>
    <m/>
    <n v="20"/>
    <m/>
    <n v="40"/>
  </r>
  <r>
    <s v="Sport Coaching - AllModuleProformas.xlsx"/>
    <s v="4202SPS_Hours"/>
    <x v="9"/>
    <x v="0"/>
    <x v="3"/>
    <s v="COACH"/>
    <x v="17"/>
    <m/>
    <m/>
    <m/>
    <m/>
    <m/>
    <n v="0"/>
  </r>
  <r>
    <s v="Sport Coaching - AllModuleProformas.xlsx"/>
    <s v="4401SPS_Hours"/>
    <x v="17"/>
    <x v="0"/>
    <x v="3"/>
    <s v="COACH"/>
    <x v="18"/>
    <m/>
    <m/>
    <m/>
    <m/>
    <m/>
    <n v="0"/>
  </r>
  <r>
    <s v="Sport Coaching - AllModuleProformas.xlsx"/>
    <s v="5401SPS_Hours"/>
    <x v="18"/>
    <x v="0"/>
    <x v="3"/>
    <s v="COACH"/>
    <x v="19"/>
    <m/>
    <m/>
    <m/>
    <m/>
    <m/>
    <n v="0"/>
  </r>
  <r>
    <s v="Sport Coaching - AllModuleProformas.xlsx"/>
    <s v="5402SPS_Hours"/>
    <x v="19"/>
    <x v="0"/>
    <x v="3"/>
    <s v="COACH"/>
    <x v="20"/>
    <m/>
    <m/>
    <m/>
    <m/>
    <m/>
    <n v="0"/>
  </r>
  <r>
    <s v="Sport Coaching - AllModuleProformas.xlsx"/>
    <s v="5403SPS_Hours"/>
    <x v="20"/>
    <x v="0"/>
    <x v="3"/>
    <s v="COACH"/>
    <x v="21"/>
    <m/>
    <m/>
    <m/>
    <m/>
    <m/>
    <n v="0"/>
  </r>
  <r>
    <s v="Sport Coaching - AllModuleProformas.xlsx"/>
    <s v="5XX1SPS_Hours"/>
    <x v="21"/>
    <x v="0"/>
    <x v="3"/>
    <s v="COACH"/>
    <x v="22"/>
    <m/>
    <m/>
    <m/>
    <m/>
    <m/>
    <n v="0"/>
  </r>
  <r>
    <s v="Sport Coaching - AllModuleProformas.xlsx"/>
    <s v="5XX2SPS_Hours"/>
    <x v="22"/>
    <x v="0"/>
    <x v="3"/>
    <s v="COACH"/>
    <x v="23"/>
    <m/>
    <m/>
    <m/>
    <m/>
    <m/>
    <n v="0"/>
  </r>
  <r>
    <s v="Sport Coaching - AllModuleProformas.xlsx"/>
    <s v="6097SPS_Hours"/>
    <x v="23"/>
    <x v="0"/>
    <x v="3"/>
    <s v="COACH"/>
    <x v="24"/>
    <m/>
    <m/>
    <m/>
    <m/>
    <m/>
    <n v="0"/>
  </r>
  <r>
    <s v="Sport Coaching - AllModuleProformas.xlsx"/>
    <s v="6097SPS_Hours"/>
    <x v="23"/>
    <x v="0"/>
    <x v="2"/>
    <s v="SES"/>
    <x v="24"/>
    <m/>
    <m/>
    <m/>
    <m/>
    <m/>
    <n v="0"/>
  </r>
  <r>
    <s v="Sport Coaching - AllModuleProformas.xlsx"/>
    <s v="6403SPS_Hours"/>
    <x v="24"/>
    <x v="0"/>
    <x v="3"/>
    <s v="COACH"/>
    <x v="25"/>
    <m/>
    <m/>
    <m/>
    <m/>
    <m/>
    <n v="0"/>
  </r>
  <r>
    <s v="Sport Coaching - AllModuleProformas.xlsx"/>
    <s v="6XX1SPS_Hours"/>
    <x v="25"/>
    <x v="0"/>
    <x v="3"/>
    <s v="COACH"/>
    <x v="26"/>
    <m/>
    <m/>
    <m/>
    <m/>
    <m/>
    <n v="0"/>
  </r>
  <r>
    <s v="Sport Coaching - AllModuleProformas.xlsx"/>
    <s v="6XX2SPS_Hours"/>
    <x v="26"/>
    <x v="0"/>
    <x v="3"/>
    <s v="COACH"/>
    <x v="27"/>
    <m/>
    <m/>
    <m/>
    <m/>
    <m/>
    <n v="0"/>
  </r>
  <r>
    <s v="Sport Nutrition - AllModuleProformas.xlsx"/>
    <s v="4NX1SPS_Hours"/>
    <x v="27"/>
    <x v="0"/>
    <x v="4"/>
    <s v="NUTR"/>
    <x v="28"/>
    <m/>
    <m/>
    <m/>
    <m/>
    <m/>
    <n v="0"/>
  </r>
  <r>
    <s v="Sport Nutrition - AllModuleProformas.xlsx"/>
    <s v="4NX2SPS_Hours"/>
    <x v="28"/>
    <x v="0"/>
    <x v="4"/>
    <s v="NUTR"/>
    <x v="29"/>
    <n v="20"/>
    <n v="15"/>
    <n v="9"/>
    <n v="3"/>
    <m/>
    <n v="47"/>
  </r>
  <r>
    <s v="Sport Nutrition - AllModuleProformas.xlsx"/>
    <s v="4NX3SPS_Hours"/>
    <x v="29"/>
    <x v="0"/>
    <x v="4"/>
    <s v="NUTR"/>
    <x v="30"/>
    <m/>
    <m/>
    <m/>
    <m/>
    <m/>
    <n v="0"/>
  </r>
  <r>
    <s v="Sport Nutrition - AllModuleProformas.xlsx"/>
    <s v="4NX4SPS_Hours"/>
    <x v="30"/>
    <x v="0"/>
    <x v="4"/>
    <s v="NUTR"/>
    <x v="31"/>
    <n v="22"/>
    <m/>
    <n v="8"/>
    <n v="14"/>
    <m/>
    <n v="44"/>
  </r>
  <r>
    <s v="Sport Nutrition - AllModuleProformas.xlsx"/>
    <s v="5NX1SPS_Hours"/>
    <x v="31"/>
    <x v="0"/>
    <x v="4"/>
    <s v="NUTR"/>
    <x v="32"/>
    <m/>
    <m/>
    <m/>
    <m/>
    <m/>
    <n v="0"/>
  </r>
  <r>
    <s v="Sport Nutrition - AllModuleProformas.xlsx"/>
    <s v="5NX2SPS_Hours"/>
    <x v="32"/>
    <x v="0"/>
    <x v="4"/>
    <s v="NUTR"/>
    <x v="33"/>
    <m/>
    <m/>
    <m/>
    <m/>
    <m/>
    <n v="0"/>
  </r>
  <r>
    <s v="Sport Nutrition - AllModuleProformas.xlsx"/>
    <s v="5NX3SPS_Hours"/>
    <x v="33"/>
    <x v="0"/>
    <x v="4"/>
    <s v="NUTR"/>
    <x v="34"/>
    <m/>
    <m/>
    <m/>
    <m/>
    <m/>
    <n v="0"/>
  </r>
  <r>
    <s v="Sport Nutrition - AllModuleProformas.xlsx"/>
    <s v="5NX4SPS_Hours"/>
    <x v="34"/>
    <x v="0"/>
    <x v="4"/>
    <s v="NUTR"/>
    <x v="35"/>
    <m/>
    <m/>
    <m/>
    <m/>
    <m/>
    <n v="0"/>
  </r>
  <r>
    <s v="Sport Nutrition - AllModuleProformas.xlsx"/>
    <s v="6NX1SPS_Hours"/>
    <x v="35"/>
    <x v="0"/>
    <x v="4"/>
    <s v="NUTR"/>
    <x v="36"/>
    <m/>
    <m/>
    <m/>
    <m/>
    <m/>
    <n v="0"/>
  </r>
  <r>
    <s v="Sport Nutrition - AllModuleProformas.xlsx"/>
    <s v="6NX2SPS_Hours"/>
    <x v="36"/>
    <x v="0"/>
    <x v="4"/>
    <s v="NUTR"/>
    <x v="37"/>
    <m/>
    <m/>
    <m/>
    <m/>
    <m/>
    <n v="0"/>
  </r>
  <r>
    <s v="Sport Nutrition - AllModuleProformas.xlsx"/>
    <s v="6NX3SPS_Hours"/>
    <x v="37"/>
    <x v="0"/>
    <x v="4"/>
    <s v="NUTR"/>
    <x v="38"/>
    <n v="18"/>
    <m/>
    <m/>
    <n v="22"/>
    <n v="4"/>
    <n v="44"/>
  </r>
  <r>
    <s v="Sport Nutrition - AllModuleProformas.xlsx"/>
    <s v="6NX4SPS_Hours"/>
    <x v="38"/>
    <x v="0"/>
    <x v="4"/>
    <s v="NUTR"/>
    <x v="39"/>
    <m/>
    <m/>
    <m/>
    <m/>
    <m/>
    <n v="0"/>
  </r>
  <r>
    <s v="Sport Nutrition - AllModuleProformas.xlsx"/>
    <s v="6NX5SPS_Hours"/>
    <x v="39"/>
    <x v="0"/>
    <x v="4"/>
    <s v="NUTR"/>
    <x v="40"/>
    <m/>
    <m/>
    <m/>
    <m/>
    <m/>
    <n v="0"/>
  </r>
  <r>
    <s v="Sport Psychology - AllModuleProformas.xlsx"/>
    <s v="4051SPS_Hours"/>
    <x v="40"/>
    <x v="0"/>
    <x v="5"/>
    <s v="PSYC"/>
    <x v="41"/>
    <n v="44"/>
    <n v="10"/>
    <n v="4"/>
    <n v="8"/>
    <n v="0"/>
    <n v="66"/>
  </r>
  <r>
    <s v="Sport Psychology - AllModuleProformas.xlsx"/>
    <s v="4052SPS_Hours"/>
    <x v="41"/>
    <x v="0"/>
    <x v="5"/>
    <s v="PSYC"/>
    <x v="42"/>
    <n v="22"/>
    <n v="22"/>
    <m/>
    <m/>
    <m/>
    <n v="44"/>
  </r>
  <r>
    <s v="Sport Psychology - AllModuleProformas.xlsx"/>
    <s v="4053SPS_Hours"/>
    <x v="42"/>
    <x v="0"/>
    <x v="5"/>
    <s v="PSYC"/>
    <x v="43"/>
    <n v="22"/>
    <n v="6"/>
    <n v="8"/>
    <n v="4"/>
    <m/>
    <n v="40"/>
  </r>
  <r>
    <s v="Sport Psychology - AllModuleProformas.xlsx"/>
    <s v="4054SPS_Hours"/>
    <x v="43"/>
    <x v="0"/>
    <x v="5"/>
    <s v="PSYC"/>
    <x v="44"/>
    <n v="44"/>
    <n v="8"/>
    <n v="8"/>
    <n v="12"/>
    <n v="4"/>
    <n v="76"/>
  </r>
  <r>
    <s v="Sport Psychology - AllModuleProformas.xlsx"/>
    <s v="4093SPS_Hours"/>
    <x v="44"/>
    <x v="0"/>
    <x v="0"/>
    <s v="FS"/>
    <x v="45"/>
    <n v="22"/>
    <m/>
    <m/>
    <m/>
    <n v="22"/>
    <n v="44"/>
  </r>
  <r>
    <s v="Sport Psychology - AllModuleProformas.xlsx"/>
    <s v="4093SPS_Hours"/>
    <x v="44"/>
    <x v="0"/>
    <x v="1"/>
    <s v="PE"/>
    <x v="45"/>
    <n v="22"/>
    <m/>
    <m/>
    <m/>
    <n v="22"/>
    <n v="44"/>
  </r>
  <r>
    <s v="Sport Psychology - AllModuleProformas.xlsx"/>
    <s v="4093SPS_Hours"/>
    <x v="44"/>
    <x v="0"/>
    <x v="3"/>
    <s v="COACH"/>
    <x v="45"/>
    <n v="22"/>
    <m/>
    <m/>
    <m/>
    <n v="22"/>
    <n v="44"/>
  </r>
  <r>
    <s v="Sport Psychology - AllModuleProformas.xlsx"/>
    <s v="4093SPS_Hours"/>
    <x v="44"/>
    <x v="0"/>
    <x v="5"/>
    <s v="PSYC"/>
    <x v="45"/>
    <n v="22"/>
    <m/>
    <m/>
    <m/>
    <n v="22"/>
    <n v="44"/>
  </r>
  <r>
    <s v="Sport Psychology - AllModuleProformas.xlsx"/>
    <s v="4093SPS_Hours"/>
    <x v="44"/>
    <x v="0"/>
    <x v="2"/>
    <s v="SES"/>
    <x v="45"/>
    <n v="22"/>
    <m/>
    <m/>
    <m/>
    <n v="22"/>
    <n v="44"/>
  </r>
  <r>
    <s v="Sport Psychology - AllModuleProformas.xlsx"/>
    <s v="5051SPS_Hours"/>
    <x v="45"/>
    <x v="0"/>
    <x v="5"/>
    <s v="PSYC"/>
    <x v="46"/>
    <n v="44"/>
    <n v="10"/>
    <n v="4"/>
    <n v="8"/>
    <n v="0"/>
    <n v="66"/>
  </r>
  <r>
    <s v="Sport Psychology - AllModuleProformas.xlsx"/>
    <s v="5052SPS_Hours"/>
    <x v="46"/>
    <x v="0"/>
    <x v="5"/>
    <s v="PSYC"/>
    <x v="47"/>
    <n v="18"/>
    <n v="4"/>
    <n v="16"/>
    <n v="0"/>
    <n v="4"/>
    <n v="42"/>
  </r>
  <r>
    <s v="Sport Psychology - AllModuleProformas.xlsx"/>
    <s v="5053SPS_Hours"/>
    <x v="47"/>
    <x v="0"/>
    <x v="5"/>
    <s v="PSYC"/>
    <x v="48"/>
    <n v="22"/>
    <n v="22"/>
    <m/>
    <m/>
    <m/>
    <n v="44"/>
  </r>
  <r>
    <s v="Sport Psychology - AllModuleProformas.xlsx"/>
    <s v="5054SPS_Hours"/>
    <x v="48"/>
    <x v="0"/>
    <x v="5"/>
    <s v="PSYC"/>
    <x v="49"/>
    <n v="22"/>
    <n v="22"/>
    <m/>
    <m/>
    <m/>
    <n v="44"/>
  </r>
  <r>
    <s v="Sport Psychology - AllModuleProformas.xlsx"/>
    <s v="5093SPS_Hours"/>
    <x v="49"/>
    <x v="0"/>
    <x v="5"/>
    <s v="PSYC"/>
    <x v="50"/>
    <n v="38"/>
    <n v="6"/>
    <n v="0"/>
    <n v="0"/>
    <n v="0"/>
    <n v="44"/>
  </r>
  <r>
    <s v="Sport Psychology - AllModuleProformas.xlsx"/>
    <s v="5093SPS_Hours"/>
    <x v="49"/>
    <x v="0"/>
    <x v="2"/>
    <s v="SES"/>
    <x v="50"/>
    <n v="38"/>
    <n v="6"/>
    <n v="0"/>
    <n v="0"/>
    <n v="0"/>
    <n v="44"/>
  </r>
  <r>
    <s v="Sport Psychology - AllModuleProformas.xlsx"/>
    <s v="6051SPS_Hours"/>
    <x v="50"/>
    <x v="0"/>
    <x v="5"/>
    <s v="PSYC"/>
    <x v="51"/>
    <n v="18"/>
    <n v="4"/>
    <m/>
    <n v="18"/>
    <m/>
    <n v="40"/>
  </r>
  <r>
    <s v="Sport Psychology - AllModuleProformas.xlsx"/>
    <s v="6052SPS_Hours"/>
    <x v="51"/>
    <x v="0"/>
    <x v="5"/>
    <s v="PSYC"/>
    <x v="52"/>
    <n v="22"/>
    <m/>
    <n v="8"/>
    <n v="14"/>
    <m/>
    <n v="44"/>
  </r>
  <r>
    <s v="Sport Psychology - AllModuleProformas.xlsx"/>
    <s v="6052SPS_Hours"/>
    <x v="51"/>
    <x v="0"/>
    <x v="2"/>
    <s v="SES"/>
    <x v="52"/>
    <n v="22"/>
    <m/>
    <n v="8"/>
    <n v="14"/>
    <m/>
    <n v="44"/>
  </r>
  <r>
    <s v="Sport Psychology - AllModuleProformas.xlsx"/>
    <s v="6053SPS_Hours"/>
    <x v="52"/>
    <x v="0"/>
    <x v="5"/>
    <s v="PSYC"/>
    <x v="53"/>
    <n v="22"/>
    <n v="22"/>
    <m/>
    <m/>
    <m/>
    <n v="44"/>
  </r>
  <r>
    <s v="Sport Psychology - AllModuleProformas.xlsx"/>
    <s v="6054SPS_Hours"/>
    <x v="53"/>
    <x v="0"/>
    <x v="5"/>
    <s v="PSYC"/>
    <x v="54"/>
    <m/>
    <n v="8"/>
    <n v="40"/>
    <n v="12"/>
    <m/>
    <n v="60"/>
  </r>
  <r>
    <s v="Sport and Exercise Science - AllModuleProformas.xlsx"/>
    <s v="4091SPS_Hours"/>
    <x v="54"/>
    <x v="0"/>
    <x v="0"/>
    <s v="FS"/>
    <x v="55"/>
    <m/>
    <m/>
    <m/>
    <m/>
    <m/>
    <n v="0"/>
  </r>
  <r>
    <s v="Sport and Exercise Science - AllModuleProformas.xlsx"/>
    <s v="4091SPS_Hours"/>
    <x v="54"/>
    <x v="0"/>
    <x v="1"/>
    <s v="PE"/>
    <x v="55"/>
    <m/>
    <m/>
    <m/>
    <m/>
    <m/>
    <n v="0"/>
  </r>
  <r>
    <s v="Sport and Exercise Science - AllModuleProformas.xlsx"/>
    <s v="4091SPS_Hours"/>
    <x v="54"/>
    <x v="0"/>
    <x v="3"/>
    <s v="COACH"/>
    <x v="55"/>
    <m/>
    <m/>
    <m/>
    <m/>
    <m/>
    <n v="0"/>
  </r>
  <r>
    <s v="Sport and Exercise Science - AllModuleProformas.xlsx"/>
    <s v="4091SPS_Hours"/>
    <x v="54"/>
    <x v="0"/>
    <x v="4"/>
    <s v="NUTR"/>
    <x v="55"/>
    <m/>
    <m/>
    <m/>
    <m/>
    <m/>
    <n v="0"/>
  </r>
  <r>
    <s v="Sport and Exercise Science - AllModuleProformas.xlsx"/>
    <s v="4091SPS_Hours"/>
    <x v="54"/>
    <x v="0"/>
    <x v="5"/>
    <s v="PSYC"/>
    <x v="55"/>
    <m/>
    <m/>
    <m/>
    <m/>
    <m/>
    <n v="0"/>
  </r>
  <r>
    <s v="Sport and Exercise Science - AllModuleProformas.xlsx"/>
    <s v="4091SPS_Hours"/>
    <x v="54"/>
    <x v="0"/>
    <x v="2"/>
    <s v="SES"/>
    <x v="55"/>
    <m/>
    <m/>
    <m/>
    <m/>
    <m/>
    <n v="0"/>
  </r>
  <r>
    <s v="Sport and Exercise Science - AllModuleProformas.xlsx"/>
    <s v="4092SPS_Hours"/>
    <x v="55"/>
    <x v="0"/>
    <x v="0"/>
    <s v="FS"/>
    <x v="56"/>
    <n v="33"/>
    <n v="1"/>
    <n v="6"/>
    <n v="1"/>
    <n v="3"/>
    <n v="44"/>
  </r>
  <r>
    <s v="Sport and Exercise Science - AllModuleProformas.xlsx"/>
    <s v="4092SPS_Hours"/>
    <x v="55"/>
    <x v="0"/>
    <x v="1"/>
    <s v="PE"/>
    <x v="56"/>
    <n v="33"/>
    <n v="1"/>
    <n v="6"/>
    <n v="1"/>
    <n v="3"/>
    <n v="44"/>
  </r>
  <r>
    <s v="Sport and Exercise Science - AllModuleProformas.xlsx"/>
    <s v="4092SPS_Hours"/>
    <x v="55"/>
    <x v="0"/>
    <x v="3"/>
    <s v="COACH"/>
    <x v="56"/>
    <n v="33"/>
    <n v="1"/>
    <n v="6"/>
    <n v="1"/>
    <n v="3"/>
    <n v="44"/>
  </r>
  <r>
    <s v="Sport and Exercise Science - AllModuleProformas.xlsx"/>
    <s v="4092SPS_Hours"/>
    <x v="55"/>
    <x v="0"/>
    <x v="4"/>
    <s v="NUTR"/>
    <x v="56"/>
    <n v="33"/>
    <n v="1"/>
    <n v="6"/>
    <n v="1"/>
    <n v="3"/>
    <n v="44"/>
  </r>
  <r>
    <s v="Sport and Exercise Science - AllModuleProformas.xlsx"/>
    <s v="4092SPS_Hours"/>
    <x v="55"/>
    <x v="0"/>
    <x v="2"/>
    <s v="SES"/>
    <x v="56"/>
    <n v="33"/>
    <n v="1"/>
    <n v="6"/>
    <n v="1"/>
    <n v="3"/>
    <n v="44"/>
  </r>
  <r>
    <s v="Sport and Exercise Science - AllModuleProformas.xlsx"/>
    <s v="4094SPS_Hours"/>
    <x v="56"/>
    <x v="0"/>
    <x v="0"/>
    <s v="FS"/>
    <x v="57"/>
    <n v="11"/>
    <m/>
    <n v="6"/>
    <n v="11"/>
    <n v="11"/>
    <n v="39"/>
  </r>
  <r>
    <s v="Sport and Exercise Science - AllModuleProformas.xlsx"/>
    <s v="4094SPS_Hours"/>
    <x v="56"/>
    <x v="0"/>
    <x v="1"/>
    <s v="PE"/>
    <x v="57"/>
    <n v="11"/>
    <m/>
    <n v="6"/>
    <n v="11"/>
    <n v="11"/>
    <n v="39"/>
  </r>
  <r>
    <s v="Sport and Exercise Science - AllModuleProformas.xlsx"/>
    <s v="4094SPS_Hours"/>
    <x v="56"/>
    <x v="0"/>
    <x v="3"/>
    <s v="COACH"/>
    <x v="57"/>
    <n v="11"/>
    <m/>
    <n v="6"/>
    <n v="11"/>
    <n v="11"/>
    <n v="39"/>
  </r>
  <r>
    <s v="Sport and Exercise Science - AllModuleProformas.xlsx"/>
    <s v="4094SPS_Hours"/>
    <x v="56"/>
    <x v="0"/>
    <x v="2"/>
    <s v="SES"/>
    <x v="57"/>
    <n v="11"/>
    <m/>
    <n v="6"/>
    <n v="11"/>
    <n v="11"/>
    <n v="39"/>
  </r>
  <r>
    <s v="Sport and Exercise Science - AllModuleProformas.xlsx"/>
    <s v="4101SPS_Hours"/>
    <x v="57"/>
    <x v="0"/>
    <x v="2"/>
    <s v="SES"/>
    <x v="58"/>
    <n v="22"/>
    <n v="5"/>
    <n v="3"/>
    <n v="10"/>
    <n v="4"/>
    <n v="44"/>
  </r>
  <r>
    <s v="Sport and Exercise Science - AllModuleProformas.xlsx"/>
    <s v="4102SPS_Hours"/>
    <x v="58"/>
    <x v="0"/>
    <x v="2"/>
    <s v="SES"/>
    <x v="59"/>
    <n v="23"/>
    <m/>
    <m/>
    <n v="17"/>
    <m/>
    <n v="40"/>
  </r>
  <r>
    <s v="Sport and Exercise Science - AllModuleProformas.xlsx"/>
    <s v="5091SPS_Hours"/>
    <x v="59"/>
    <x v="0"/>
    <x v="0"/>
    <s v="FS"/>
    <x v="60"/>
    <n v="34"/>
    <n v="6"/>
    <m/>
    <n v="2"/>
    <m/>
    <n v="42"/>
  </r>
  <r>
    <s v="Sport and Exercise Science - AllModuleProformas.xlsx"/>
    <s v="5091SPS_Hours"/>
    <x v="59"/>
    <x v="0"/>
    <x v="2"/>
    <s v="SES"/>
    <x v="60"/>
    <n v="34"/>
    <n v="6"/>
    <m/>
    <n v="2"/>
    <m/>
    <n v="42"/>
  </r>
  <r>
    <s v="Sport and Exercise Science - AllModuleProformas.xlsx"/>
    <s v="5092SPS_Hours"/>
    <x v="60"/>
    <x v="0"/>
    <x v="0"/>
    <s v="FS"/>
    <x v="61"/>
    <n v="16"/>
    <n v="5"/>
    <n v="6"/>
    <n v="7"/>
    <n v="6"/>
    <n v="40"/>
  </r>
  <r>
    <s v="Sport and Exercise Science - AllModuleProformas.xlsx"/>
    <s v="5092SPS_Hours"/>
    <x v="60"/>
    <x v="0"/>
    <x v="2"/>
    <s v="SES"/>
    <x v="61"/>
    <n v="16"/>
    <n v="5"/>
    <n v="6"/>
    <n v="7"/>
    <n v="6"/>
    <n v="40"/>
  </r>
  <r>
    <s v="Sport and Exercise Science - AllModuleProformas.xlsx"/>
    <s v="5101SPS_Hours"/>
    <x v="61"/>
    <x v="0"/>
    <x v="2"/>
    <s v="SES"/>
    <x v="62"/>
    <m/>
    <m/>
    <m/>
    <m/>
    <m/>
    <n v="0"/>
  </r>
  <r>
    <s v="Sport and Exercise Science - AllModuleProformas.xlsx"/>
    <s v="5102SPS_Hours"/>
    <x v="62"/>
    <x v="0"/>
    <x v="2"/>
    <s v="SES"/>
    <x v="63"/>
    <n v="22"/>
    <n v="14"/>
    <n v="2"/>
    <n v="0"/>
    <n v="11"/>
    <n v="49"/>
  </r>
  <r>
    <s v="Sport and Exercise Science - AllModuleProformas.xlsx"/>
    <s v="5103SPS_Hours"/>
    <x v="63"/>
    <x v="0"/>
    <x v="0"/>
    <s v="FS"/>
    <x v="64"/>
    <m/>
    <m/>
    <m/>
    <m/>
    <m/>
    <n v="0"/>
  </r>
  <r>
    <s v="Sport and Exercise Science - AllModuleProformas.xlsx"/>
    <s v="5103SPS_Hours"/>
    <x v="63"/>
    <x v="0"/>
    <x v="2"/>
    <s v="SES"/>
    <x v="64"/>
    <m/>
    <m/>
    <m/>
    <m/>
    <m/>
    <n v="0"/>
  </r>
  <r>
    <s v="Sport and Exercise Science - AllModuleProformas.xlsx"/>
    <s v="6091SPS_Hours"/>
    <x v="64"/>
    <x v="0"/>
    <x v="0"/>
    <s v="FS"/>
    <x v="65"/>
    <n v="10"/>
    <n v="26"/>
    <m/>
    <m/>
    <m/>
    <n v="36"/>
  </r>
  <r>
    <s v="Sport and Exercise Science - AllModuleProformas.xlsx"/>
    <s v="6091SPS_Hours"/>
    <x v="64"/>
    <x v="0"/>
    <x v="1"/>
    <s v="PE"/>
    <x v="65"/>
    <n v="10"/>
    <n v="26"/>
    <m/>
    <m/>
    <m/>
    <n v="36"/>
  </r>
  <r>
    <s v="Sport and Exercise Science - AllModuleProformas.xlsx"/>
    <s v="6091SPS_Hours"/>
    <x v="64"/>
    <x v="0"/>
    <x v="3"/>
    <s v="COACH"/>
    <x v="65"/>
    <n v="10"/>
    <n v="26"/>
    <m/>
    <m/>
    <m/>
    <n v="36"/>
  </r>
  <r>
    <s v="Sport and Exercise Science - AllModuleProformas.xlsx"/>
    <s v="6091SPS_Hours"/>
    <x v="64"/>
    <x v="0"/>
    <x v="4"/>
    <s v="NUTR"/>
    <x v="65"/>
    <n v="10"/>
    <n v="26"/>
    <m/>
    <m/>
    <m/>
    <n v="36"/>
  </r>
  <r>
    <s v="Sport and Exercise Science - AllModuleProformas.xlsx"/>
    <s v="6091SPS_Hours"/>
    <x v="64"/>
    <x v="0"/>
    <x v="5"/>
    <s v="PSYC"/>
    <x v="65"/>
    <n v="10"/>
    <n v="26"/>
    <m/>
    <m/>
    <m/>
    <n v="36"/>
  </r>
  <r>
    <s v="Sport and Exercise Science - AllModuleProformas.xlsx"/>
    <s v="6091SPS_Hours"/>
    <x v="64"/>
    <x v="0"/>
    <x v="2"/>
    <s v="SES"/>
    <x v="65"/>
    <n v="10"/>
    <n v="26"/>
    <m/>
    <m/>
    <m/>
    <n v="36"/>
  </r>
  <r>
    <s v="Sport and Exercise Science - AllModuleProformas.xlsx"/>
    <s v="6093SPS_Hours"/>
    <x v="65"/>
    <x v="0"/>
    <x v="3"/>
    <s v="COACH"/>
    <x v="66"/>
    <n v="22"/>
    <n v="6"/>
    <n v="12"/>
    <m/>
    <m/>
    <n v="40"/>
  </r>
  <r>
    <s v="Sport and Exercise Science - AllModuleProformas.xlsx"/>
    <s v="6093SPS_Hours"/>
    <x v="65"/>
    <x v="0"/>
    <x v="2"/>
    <s v="SES"/>
    <x v="66"/>
    <n v="22"/>
    <n v="6"/>
    <n v="12"/>
    <m/>
    <m/>
    <n v="40"/>
  </r>
  <r>
    <s v="Sport and Exercise Science - AllModuleProformas.xlsx"/>
    <s v="6094SPS_Hours"/>
    <x v="66"/>
    <x v="0"/>
    <x v="2"/>
    <s v="SES"/>
    <x v="67"/>
    <m/>
    <n v="6"/>
    <m/>
    <n v="27"/>
    <n v="4"/>
    <n v="37"/>
  </r>
  <r>
    <s v="Sport and Exercise Science - AllModuleProformas.xlsx"/>
    <s v="6095SPS_Hours"/>
    <x v="67"/>
    <x v="0"/>
    <x v="2"/>
    <s v="SES"/>
    <x v="68"/>
    <n v="22"/>
    <m/>
    <n v="16"/>
    <n v="6"/>
    <m/>
    <n v="44"/>
  </r>
  <r>
    <s v="Sport and Exercise Science - AllModuleProformas.xlsx"/>
    <s v="6101SPS_Hours"/>
    <x v="68"/>
    <x v="0"/>
    <x v="2"/>
    <s v="SES"/>
    <x v="69"/>
    <n v="20"/>
    <n v="9"/>
    <n v="13"/>
    <n v="0"/>
    <n v="0"/>
    <n v="42"/>
  </r>
  <r>
    <s v="Sport and Exercise Science - AllModuleProformas.xlsx"/>
    <s v="6102SPS_Hours"/>
    <x v="69"/>
    <x v="0"/>
    <x v="2"/>
    <s v="SES"/>
    <x v="70"/>
    <n v="20"/>
    <n v="16"/>
    <n v="4"/>
    <m/>
    <m/>
    <n v="40"/>
  </r>
  <r>
    <s v="Sport and Exercise Science - AllModuleProformas.xlsx"/>
    <s v="6103SPS_Hours"/>
    <x v="70"/>
    <x v="0"/>
    <x v="2"/>
    <s v="SES"/>
    <x v="71"/>
    <m/>
    <m/>
    <m/>
    <m/>
    <m/>
    <n v="0"/>
  </r>
  <r>
    <s v="Sport and Exercise Science - AllModuleProformas.xlsx"/>
    <s v="6104SPS_Hours"/>
    <x v="71"/>
    <x v="0"/>
    <x v="2"/>
    <s v="SES"/>
    <x v="72"/>
    <n v="18"/>
    <n v="4"/>
    <n v="16"/>
    <m/>
    <m/>
    <n v="38"/>
  </r>
  <r>
    <s v="Sport and Exercise Science - AllModuleProformas.xlsx"/>
    <s v="6105SPS_Hours"/>
    <x v="72"/>
    <x v="0"/>
    <x v="2"/>
    <s v="SES"/>
    <x v="73"/>
    <n v="18"/>
    <n v="4"/>
    <n v="8"/>
    <n v="4"/>
    <n v="4"/>
    <n v="38"/>
  </r>
  <r>
    <s v="Sport and Exercise Science - AllModuleProformas.xlsx"/>
    <s v="6106SPS_Hours"/>
    <x v="73"/>
    <x v="0"/>
    <x v="2"/>
    <s v="SES"/>
    <x v="74"/>
    <n v="22"/>
    <n v="16"/>
    <m/>
    <n v="8"/>
    <m/>
    <n v="46"/>
  </r>
  <r>
    <s v="Sport and Exercise Science - AllModuleProformas.xlsx"/>
    <s v="6107SPS_Hours"/>
    <x v="74"/>
    <x v="0"/>
    <x v="2"/>
    <s v="SES"/>
    <x v="75"/>
    <m/>
    <m/>
    <m/>
    <m/>
    <m/>
    <n v="0"/>
  </r>
  <r>
    <s v="Sport and Exercise Science - AllModuleProformas.xlsx"/>
    <s v="6108SPS_Hours"/>
    <x v="75"/>
    <x v="0"/>
    <x v="2"/>
    <s v="SES"/>
    <x v="76"/>
    <n v="18"/>
    <n v="14"/>
    <n v="2"/>
    <n v="2"/>
    <m/>
    <n v="36"/>
  </r>
  <r>
    <s v="Sport and Exercise Science - AllModuleProformas.xlsx"/>
    <s v="6109SPS_Hours"/>
    <x v="76"/>
    <x v="0"/>
    <x v="2"/>
    <s v="SES"/>
    <x v="77"/>
    <n v="10"/>
    <m/>
    <n v="40"/>
    <m/>
    <m/>
    <n v="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8AA09E-F34C-4C85-9779-F2D37C9BB46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20" firstHeaderRow="0" firstDataRow="1" firstDataCol="1"/>
  <pivotFields count="13">
    <pivotField showAll="0"/>
    <pivotField showAll="0"/>
    <pivotField showAll="0">
      <items count="78">
        <item x="40"/>
        <item x="41"/>
        <item x="42"/>
        <item x="43"/>
        <item x="54"/>
        <item x="55"/>
        <item x="44"/>
        <item x="56"/>
        <item x="57"/>
        <item x="58"/>
        <item x="8"/>
        <item x="9"/>
        <item x="0"/>
        <item x="1"/>
        <item x="17"/>
        <item x="27"/>
        <item x="28"/>
        <item x="29"/>
        <item x="30"/>
        <item x="45"/>
        <item x="46"/>
        <item x="47"/>
        <item x="48"/>
        <item x="59"/>
        <item x="60"/>
        <item x="49"/>
        <item x="61"/>
        <item x="62"/>
        <item x="63"/>
        <item x="10"/>
        <item x="11"/>
        <item x="12"/>
        <item x="13"/>
        <item x="2"/>
        <item x="3"/>
        <item x="18"/>
        <item x="19"/>
        <item x="20"/>
        <item x="31"/>
        <item x="32"/>
        <item x="33"/>
        <item x="34"/>
        <item x="21"/>
        <item x="22"/>
        <item x="50"/>
        <item x="51"/>
        <item x="52"/>
        <item x="53"/>
        <item x="64"/>
        <item x="65"/>
        <item x="66"/>
        <item x="67"/>
        <item x="14"/>
        <item x="23"/>
        <item x="68"/>
        <item x="69"/>
        <item x="70"/>
        <item x="71"/>
        <item x="72"/>
        <item x="73"/>
        <item x="74"/>
        <item x="75"/>
        <item x="76"/>
        <item x="15"/>
        <item x="16"/>
        <item x="4"/>
        <item x="5"/>
        <item x="6"/>
        <item x="7"/>
        <item x="24"/>
        <item x="35"/>
        <item x="36"/>
        <item x="37"/>
        <item x="38"/>
        <item x="39"/>
        <item x="25"/>
        <item x="26"/>
        <item t="default"/>
      </items>
    </pivotField>
    <pivotField showAll="0">
      <items count="2">
        <item x="0"/>
        <item t="default"/>
      </items>
    </pivotField>
    <pivotField showAll="0">
      <items count="7">
        <item x="0"/>
        <item h="1" x="1"/>
        <item h="1" x="2"/>
        <item h="1" x="3"/>
        <item h="1" x="4"/>
        <item h="1" x="5"/>
        <item t="default"/>
      </items>
    </pivotField>
    <pivotField showAll="0"/>
    <pivotField axis="axisRow" showAll="0">
      <items count="79">
        <item x="44"/>
        <item x="26"/>
        <item x="47"/>
        <item x="52"/>
        <item x="34"/>
        <item x="40"/>
        <item x="7"/>
        <item x="77"/>
        <item x="6"/>
        <item x="67"/>
        <item x="64"/>
        <item x="39"/>
        <item x="72"/>
        <item x="73"/>
        <item x="27"/>
        <item x="53"/>
        <item x="49"/>
        <item x="20"/>
        <item x="75"/>
        <item x="48"/>
        <item x="71"/>
        <item x="56"/>
        <item x="4"/>
        <item x="3"/>
        <item x="76"/>
        <item x="57"/>
        <item x="63"/>
        <item x="43"/>
        <item x="42"/>
        <item x="9"/>
        <item x="11"/>
        <item x="15"/>
        <item x="22"/>
        <item x="17"/>
        <item x="35"/>
        <item x="65"/>
        <item x="74"/>
        <item x="36"/>
        <item x="30"/>
        <item x="68"/>
        <item x="31"/>
        <item x="70"/>
        <item x="13"/>
        <item x="5"/>
        <item x="61"/>
        <item x="25"/>
        <item x="12"/>
        <item x="29"/>
        <item x="33"/>
        <item x="54"/>
        <item x="58"/>
        <item x="28"/>
        <item x="32"/>
        <item x="51"/>
        <item x="0"/>
        <item x="2"/>
        <item x="10"/>
        <item x="8"/>
        <item x="62"/>
        <item x="18"/>
        <item x="19"/>
        <item x="41"/>
        <item x="46"/>
        <item x="16"/>
        <item x="45"/>
        <item x="55"/>
        <item x="60"/>
        <item x="14"/>
        <item x="50"/>
        <item x="69"/>
        <item x="38"/>
        <item x="37"/>
        <item x="66"/>
        <item x="21"/>
        <item x="1"/>
        <item x="59"/>
        <item x="24"/>
        <item x="23"/>
        <item t="default"/>
      </items>
    </pivotField>
    <pivotField dataField="1" showAll="0"/>
    <pivotField dataField="1" showAll="0"/>
    <pivotField dataField="1" showAll="0"/>
    <pivotField dataField="1" showAll="0"/>
    <pivotField dataField="1" showAll="0"/>
    <pivotField dataField="1" showAll="0"/>
  </pivotFields>
  <rowFields count="1">
    <field x="6"/>
  </rowFields>
  <rowItems count="17">
    <i>
      <x v="6"/>
    </i>
    <i>
      <x v="8"/>
    </i>
    <i>
      <x v="10"/>
    </i>
    <i>
      <x v="21"/>
    </i>
    <i>
      <x v="22"/>
    </i>
    <i>
      <x v="23"/>
    </i>
    <i>
      <x v="25"/>
    </i>
    <i>
      <x v="35"/>
    </i>
    <i>
      <x v="43"/>
    </i>
    <i>
      <x v="44"/>
    </i>
    <i>
      <x v="54"/>
    </i>
    <i>
      <x v="55"/>
    </i>
    <i>
      <x v="64"/>
    </i>
    <i>
      <x v="65"/>
    </i>
    <i>
      <x v="66"/>
    </i>
    <i>
      <x v="74"/>
    </i>
    <i t="grand">
      <x/>
    </i>
  </rowItems>
  <colFields count="1">
    <field x="-2"/>
  </colFields>
  <colItems count="6">
    <i>
      <x/>
    </i>
    <i i="1">
      <x v="1"/>
    </i>
    <i i="2">
      <x v="2"/>
    </i>
    <i i="3">
      <x v="3"/>
    </i>
    <i i="4">
      <x v="4"/>
    </i>
    <i i="5">
      <x v="5"/>
    </i>
  </colItems>
  <dataFields count="6">
    <dataField name="Sum of Lecture" fld="7" baseField="0" baseItem="0"/>
    <dataField name="Sum of Seminar" fld="8" baseField="0" baseItem="0"/>
    <dataField name="Sum of Practical" fld="9" baseField="0" baseItem="0"/>
    <dataField name="Sum of Workshop" fld="10" baseField="0" baseItem="0"/>
    <dataField name="Sum of Online" fld="11" baseField="0" baseItem="0"/>
    <dataField name="Sum of Total"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5A8F4048-6E8F-4AB4-900B-1268A45FB177}" autoFormatId="16" applyNumberFormats="0" applyBorderFormats="0" applyFontFormats="0" applyPatternFormats="0" applyAlignmentFormats="0" applyWidthHeightFormats="0">
  <queryTableRefresh nextId="8">
    <queryTableFields count="6">
      <queryTableField id="6" name="Programme" tableColumnId="6"/>
      <queryTableField id="1" name="Category" tableColumnId="1"/>
      <queryTableField id="2" name="Skill" tableColumnId="2"/>
      <queryTableField id="3" name="Modules Covering" tableColumnId="3"/>
      <queryTableField id="4" name="Module Count" tableColumnId="4"/>
      <queryTableField id="5" name="Covered" tableColumnId="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7" connectionId="3" xr16:uid="{1D0DFEF6-C54A-4438-9168-708B2C1B3FB3}" autoFormatId="16" applyNumberFormats="0" applyBorderFormats="0" applyFontFormats="0" applyPatternFormats="0" applyAlignmentFormats="0" applyWidthHeightFormats="0">
  <queryTableRefresh nextId="18">
    <queryTableFields count="13">
      <queryTableField id="1" name="SourceWorkbook" tableColumnId="1"/>
      <queryTableField id="5" name="TableName" tableColumnId="5"/>
      <queryTableField id="2" name="ModuleCode" tableColumnId="2"/>
      <queryTableField id="13" name="ItemSuffix" tableColumnId="13"/>
      <queryTableField id="4" name="Programme" tableColumnId="4"/>
      <queryTableField id="6" name="ProgCode" tableColumnId="6"/>
      <queryTableField id="3" name="ModuleTitle" tableColumnId="3"/>
      <queryTableField id="7" name="Lecture" tableColumnId="7"/>
      <queryTableField id="8" name="Seminar" tableColumnId="8"/>
      <queryTableField id="9" name="Practical" tableColumnId="9"/>
      <queryTableField id="10" name="Workshop" tableColumnId="10"/>
      <queryTableField id="11" name="Online" tableColumnId="11"/>
      <queryTableField id="12" name="Total"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6" connectionId="7" xr16:uid="{FA3807B1-35D8-4219-B2E7-881433E67C10}" autoFormatId="16" applyNumberFormats="0" applyBorderFormats="0" applyFontFormats="0" applyPatternFormats="0" applyAlignmentFormats="0" applyWidthHeightFormats="0">
  <queryTableRefresh nextId="21">
    <queryTableFields count="15">
      <queryTableField id="1" name="SourceWorkbook" tableColumnId="1"/>
      <queryTableField id="11" name="TableName" tableColumnId="11"/>
      <queryTableField id="2" name="ModuleCode" tableColumnId="2"/>
      <queryTableField id="12" name="ItemSuffix" tableColumnId="12"/>
      <queryTableField id="13" name="Programme" tableColumnId="13"/>
      <queryTableField id="14" name="ProgCode" tableColumnId="14"/>
      <queryTableField id="3" name="ModuleTitle" tableColumnId="3"/>
      <queryTableField id="15" name="Module Code" tableColumnId="15"/>
      <queryTableField id="4" name="Module Title" tableColumnId="4"/>
      <queryTableField id="5" name="Credits" tableColumnId="5"/>
      <queryTableField id="6" name="Semester" tableColumnId="6"/>
      <queryTableField id="7" name="Level" tableColumnId="7"/>
      <queryTableField id="8" name="Module Leader" tableColumnId="8"/>
      <queryTableField id="9" name="Module Type" tableColumnId="9"/>
      <queryTableField id="10" name="Programme(s)"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5" connectionId="5" xr16:uid="{EE3325D3-30AC-4143-A0C6-85A6DF70D050}" autoFormatId="16" applyNumberFormats="0" applyBorderFormats="0" applyFontFormats="0" applyPatternFormats="0" applyAlignmentFormats="0" applyWidthHeightFormats="0">
  <queryTableRefresh nextId="12">
    <queryTableFields count="11">
      <queryTableField id="1" name="SourceWorkbook" tableColumnId="1"/>
      <queryTableField id="2" name="TableName" tableColumnId="2"/>
      <queryTableField id="3" name="Assessment No" tableColumnId="3"/>
      <queryTableField id="4" name="LO Number" tableColumnId="4"/>
      <queryTableField id="5" name="Graduate Skills Category" tableColumnId="5"/>
      <queryTableField id="6" name="Graduate Skill" tableColumnId="6"/>
      <queryTableField id="7" name="ModuleCode" tableColumnId="7"/>
      <queryTableField id="8" name="ItemSuffix" tableColumnId="8"/>
      <queryTableField id="9" name="Programme" tableColumnId="9"/>
      <queryTableField id="10" name="ProgCode" tableColumnId="10"/>
      <queryTableField id="11" name="ModuleTitle" tableColumnId="11"/>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connectionId="4" xr16:uid="{B04525B2-0492-4569-84EF-1415FCE5CB80}" autoFormatId="16" applyNumberFormats="0" applyBorderFormats="0" applyFontFormats="0" applyPatternFormats="0" applyAlignmentFormats="0" applyWidthHeightFormats="0">
  <queryTableRefresh nextId="16">
    <queryTableFields count="9">
      <queryTableField id="1" name="SourceWorkbook" tableColumnId="1"/>
      <queryTableField id="7" name="TableName" tableColumnId="7"/>
      <queryTableField id="5" name="LO Number" tableColumnId="5"/>
      <queryTableField id="6" name="LO Description" tableColumnId="6"/>
      <queryTableField id="3" name="ModuleCode" tableColumnId="3"/>
      <queryTableField id="8" name="ItemSuffix" tableColumnId="8"/>
      <queryTableField id="2" name="Programme" tableColumnId="2"/>
      <queryTableField id="9" name="ProgCode" tableColumnId="9"/>
      <queryTableField id="4" name="ModuleTitle"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1" xr16:uid="{4D5A300D-F27D-4918-8726-865C68FCD463}" autoFormatId="16" applyNumberFormats="0" applyBorderFormats="0" applyFontFormats="0" applyPatternFormats="0" applyAlignmentFormats="0" applyWidthHeightFormats="0">
  <queryTableRefresh nextId="14">
    <queryTableFields count="13">
      <queryTableField id="1" name="SourceWorkbook" tableColumnId="1"/>
      <queryTableField id="2" name="TableName" tableColumnId="2"/>
      <queryTableField id="3" name="Assessment No" tableColumnId="3"/>
      <queryTableField id="4" name="Assessment Type" tableColumnId="4"/>
      <queryTableField id="5" name="Assessment Specific" tableColumnId="5"/>
      <queryTableField id="6" name="Assessment Description" tableColumnId="6"/>
      <queryTableField id="7" name="Weighting" tableColumnId="7"/>
      <queryTableField id="8" name="Due Week" tableColumnId="8"/>
      <queryTableField id="9" name="ModuleCode" tableColumnId="9"/>
      <queryTableField id="10" name="ItemSuffix" tableColumnId="10"/>
      <queryTableField id="11" name="Programme" tableColumnId="11"/>
      <queryTableField id="12" name="ProgCode" tableColumnId="12"/>
      <queryTableField id="13" name="ModuleTitle"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6" xr16:uid="{D889CFCD-FBDC-4F58-A1D1-455B5F8797A6}" autoFormatId="16" applyNumberFormats="0" applyBorderFormats="0" applyFontFormats="0" applyPatternFormats="0" applyAlignmentFormats="0" applyWidthHeightFormats="0">
  <queryTableRefresh nextId="10">
    <queryTableFields count="9">
      <queryTableField id="1" name="SourceWorkbook" tableColumnId="1"/>
      <queryTableField id="2" name="TableName" tableColumnId="2"/>
      <queryTableField id="3" name="Module Data" tableColumnId="3"/>
      <queryTableField id="4" name="Details" tableColumnId="4"/>
      <queryTableField id="5" name="ModuleCode" tableColumnId="5"/>
      <queryTableField id="6" name="ItemSuffix" tableColumnId="6"/>
      <queryTableField id="7" name="Programme" tableColumnId="7"/>
      <queryTableField id="8" name="ProgCode" tableColumnId="8"/>
      <queryTableField id="9" name="ModuleTitl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gramme" xr10:uid="{E00A372F-3968-4371-BDFF-232D49294F24}" sourceName="Programme">
  <pivotTables>
    <pivotTable tabId="119" name="PivotTable4"/>
  </pivotTables>
  <data>
    <tabular pivotCacheId="443811684">
      <items count="6">
        <i x="0" s="1"/>
        <i x="1"/>
        <i x="2"/>
        <i x="3"/>
        <i x="4"/>
        <i x="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gramme" xr10:uid="{616D99C7-710A-4858-B4A4-7CB6FE39473E}" cache="Slicer_Programme" caption="Programme"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8FDDDAE3-DC87-4DD4-AFF1-E425457EB99C}" name="All_SkillsCoverage" displayName="All_SkillsCoverage" ref="A1:F385" tableType="queryTable" totalsRowShown="0">
  <autoFilter ref="A1:F385" xr:uid="{8FDDDAE3-DC87-4DD4-AFF1-E425457EB99C}"/>
  <tableColumns count="6">
    <tableColumn id="6" xr3:uid="{DDD05E40-2A7E-0343-B080-D15A7BCAF36B}" uniqueName="6" name="Programme" queryTableFieldId="6"/>
    <tableColumn id="1" xr3:uid="{5AE411E0-8F77-4C34-B986-CE2224B85471}" uniqueName="1" name="Category" queryTableFieldId="1"/>
    <tableColumn id="2" xr3:uid="{17ABEB65-CBE4-4DB3-ADC9-305B6D312048}" uniqueName="2" name="Skill" queryTableFieldId="2"/>
    <tableColumn id="3" xr3:uid="{E8E5D18D-BAF4-4F9D-BCB7-30B36DC58600}" uniqueName="3" name="Modules Covering" queryTableFieldId="3" dataDxfId="12"/>
    <tableColumn id="4" xr3:uid="{78A0F983-2896-44D8-A55A-51B59951D5C9}" uniqueName="4" name="Module Count" queryTableFieldId="4"/>
    <tableColumn id="5" xr3:uid="{46599D7A-1402-482F-9EA0-42ED8603B187}" uniqueName="5" name="Covered" queryTableFieldId="5"/>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9" xr:uid="{D6785227-D60F-4766-B278-5A6312774D6F}" name="All_Hours_Wide" displayName="All_Hours_Wide" ref="A1:M108" tableType="queryTable" totalsRowShown="0">
  <autoFilter ref="A1:M108" xr:uid="{D6785227-D60F-4766-B278-5A6312774D6F}"/>
  <tableColumns count="13">
    <tableColumn id="1" xr3:uid="{5E81213E-02E7-4E0A-8205-43825740BCF6}" uniqueName="1" name="SourceWorkbook" queryTableFieldId="1" dataDxfId="11"/>
    <tableColumn id="5" xr3:uid="{EA3A31D8-EA49-40C7-AFA1-85577AE4B10D}" uniqueName="5" name="TableName" queryTableFieldId="5"/>
    <tableColumn id="2" xr3:uid="{E91B9743-5C25-4A37-B6A7-7892A75F3DC1}" uniqueName="2" name="ModuleCode" queryTableFieldId="2"/>
    <tableColumn id="13" xr3:uid="{231FF7EA-2E34-4044-913F-FE9624772112}" uniqueName="13" name="ItemSuffix" queryTableFieldId="13"/>
    <tableColumn id="4" xr3:uid="{4A4120D2-4B85-42E2-9CA2-90C32C09823A}" uniqueName="4" name="Programme" queryTableFieldId="4"/>
    <tableColumn id="6" xr3:uid="{BBB37545-1C37-410A-B9B9-EA90C1546F5E}" uniqueName="6" name="ProgCode" queryTableFieldId="6"/>
    <tableColumn id="3" xr3:uid="{31850A1F-DC7C-4434-BE60-B044F1DC48DD}" uniqueName="3" name="ModuleTitle" queryTableFieldId="3" dataDxfId="10"/>
    <tableColumn id="7" xr3:uid="{C0EA9878-C47F-410F-AE2E-6B3EF4842A7C}" uniqueName="7" name="Lecture" queryTableFieldId="7"/>
    <tableColumn id="8" xr3:uid="{DB0369E9-40AF-47F4-8E71-AD9C3574F25A}" uniqueName="8" name="Seminar" queryTableFieldId="8"/>
    <tableColumn id="9" xr3:uid="{C9572734-6430-4AB1-B23C-8D3D18053234}" uniqueName="9" name="Practical" queryTableFieldId="9"/>
    <tableColumn id="10" xr3:uid="{EE25BDEF-11F4-422D-8832-8B290D98C1A8}" uniqueName="10" name="Workshop" queryTableFieldId="10"/>
    <tableColumn id="11" xr3:uid="{0C1B48BF-FBB0-40FE-84B1-860646E08CB3}" uniqueName="11" name="Online" queryTableFieldId="11"/>
    <tableColumn id="12" xr3:uid="{FD6093B6-FEBB-419B-BC48-B5D8B189DCA1}" uniqueName="12" name="Total" queryTableFieldId="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AA2F7CA6-41EF-4506-8B38-32EBD8F24EE3}" name="All_Meta_Wide" displayName="All_Meta_Wide" ref="A1:O129" tableType="queryTable" totalsRowShown="0">
  <autoFilter ref="A1:O129" xr:uid="{AA2F7CA6-41EF-4506-8B38-32EBD8F24EE3}"/>
  <tableColumns count="15">
    <tableColumn id="1" xr3:uid="{E0BE8BD3-A713-41EC-8CA7-9BCC6FDAB23B}" uniqueName="1" name="SourceWorkbook" queryTableFieldId="1" dataDxfId="9"/>
    <tableColumn id="11" xr3:uid="{5FFF5A03-E8A1-4968-98E8-BD2803568281}" uniqueName="11" name="TableName" queryTableFieldId="11"/>
    <tableColumn id="2" xr3:uid="{11345748-D206-4427-997F-09D43349D608}" uniqueName="2" name="ModuleCode" queryTableFieldId="2"/>
    <tableColumn id="12" xr3:uid="{74541E47-A9A4-40B3-80DC-2F7EB35A60A1}" uniqueName="12" name="ItemSuffix" queryTableFieldId="12"/>
    <tableColumn id="13" xr3:uid="{2E3CBA5D-CB5A-4D22-89EF-D8480BF093AB}" uniqueName="13" name="Programme" queryTableFieldId="13"/>
    <tableColumn id="14" xr3:uid="{F07882AD-E58D-45D5-B061-FE95CDE98811}" uniqueName="14" name="ProgCode" queryTableFieldId="14"/>
    <tableColumn id="3" xr3:uid="{B9896065-CC87-43F2-B609-555D89B08EE8}" uniqueName="3" name="ModuleTitle" queryTableFieldId="3" dataDxfId="8"/>
    <tableColumn id="15" xr3:uid="{C67A0D64-1B8A-2149-BECD-37CC13F03E3D}" uniqueName="15" name="Module Code" queryTableFieldId="15"/>
    <tableColumn id="4" xr3:uid="{C18D1D58-B2AF-4481-9997-85503F3B9299}" uniqueName="4" name="Module Title" queryTableFieldId="4"/>
    <tableColumn id="5" xr3:uid="{1A99511B-9138-4E5C-8497-B954A1C402C9}" uniqueName="5" name="Credits" queryTableFieldId="5"/>
    <tableColumn id="6" xr3:uid="{616E8227-BADF-47CD-8B4B-EA75AA5D5DFC}" uniqueName="6" name="Semester" queryTableFieldId="6"/>
    <tableColumn id="7" xr3:uid="{6A748FFA-A25A-47A7-8879-CE818F73D4DB}" uniqueName="7" name="Level" queryTableFieldId="7"/>
    <tableColumn id="8" xr3:uid="{BF860947-A0DE-41D5-BC8C-087B8F556718}" uniqueName="8" name="Module Leader" queryTableFieldId="8"/>
    <tableColumn id="9" xr3:uid="{ECCF9095-1C33-450A-9C9E-2FB48C4883E0}" uniqueName="9" name="Module Type" queryTableFieldId="9"/>
    <tableColumn id="10" xr3:uid="{3D1626AA-C62F-48C9-8073-E4E933D4824F}" uniqueName="10" name="Programme(s)" queryTableFieldId="10"/>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8" xr:uid="{70EF03B2-3323-448C-8F4A-15CE0435B0D0}" name="All_Mapping" displayName="All_Mapping" ref="A1:K1296" tableType="queryTable" totalsRowShown="0">
  <autoFilter ref="A1:K1296" xr:uid="{70EF03B2-3323-448C-8F4A-15CE0435B0D0}"/>
  <tableColumns count="11">
    <tableColumn id="1" xr3:uid="{7C769416-8F6C-494F-889A-E3EBED31CD48}" uniqueName="1" name="SourceWorkbook" queryTableFieldId="1" dataDxfId="7"/>
    <tableColumn id="2" xr3:uid="{BDC69B99-98CD-4D74-AADE-DCD89AD5B6A6}" uniqueName="2" name="TableName" queryTableFieldId="2"/>
    <tableColumn id="3" xr3:uid="{E443FEA5-956B-4E42-8AFC-5746D9ED7939}" uniqueName="3" name="Assessment No" queryTableFieldId="3"/>
    <tableColumn id="4" xr3:uid="{230F0490-A4A8-4FCD-8E52-7B4F3A98F521}" uniqueName="4" name="LO Number" queryTableFieldId="4"/>
    <tableColumn id="5" xr3:uid="{28672339-1235-4379-9079-5051D90362CF}" uniqueName="5" name="Graduate Skills Category" queryTableFieldId="5"/>
    <tableColumn id="6" xr3:uid="{431EB83C-DC59-43F3-87CC-53BC37D31B0C}" uniqueName="6" name="Graduate Skill" queryTableFieldId="6"/>
    <tableColumn id="7" xr3:uid="{30D67A1E-7AA2-4052-8074-8D0D8F06FD7A}" uniqueName="7" name="ModuleCode" queryTableFieldId="7"/>
    <tableColumn id="8" xr3:uid="{1C2948B3-39BE-4796-B39B-626689792004}" uniqueName="8" name="ItemSuffix" queryTableFieldId="8"/>
    <tableColumn id="9" xr3:uid="{41A9F0EF-48E2-4276-B713-C56EA4B2FD18}" uniqueName="9" name="Programme" queryTableFieldId="9"/>
    <tableColumn id="10" xr3:uid="{2FB3223F-BCA8-49C1-8BA3-3651B9B6D30D}" uniqueName="10" name="ProgCode" queryTableFieldId="10"/>
    <tableColumn id="11" xr3:uid="{1B50A280-F9EF-4522-BA8B-06BF06F97B78}" uniqueName="11" name="ModuleTitle" queryTableFieldId="11"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9E50A83D-239A-4755-A176-04DE7B57A721}" name="All_LO" displayName="All_LO" ref="A1:I232" tableType="queryTable" totalsRowShown="0">
  <autoFilter ref="A1:I232" xr:uid="{9E50A83D-239A-4755-A176-04DE7B57A721}"/>
  <tableColumns count="9">
    <tableColumn id="1" xr3:uid="{AD8361CE-9CFF-443F-8D3E-BEB0CE2ED17C}" uniqueName="1" name="SourceWorkbook" queryTableFieldId="1" dataDxfId="5"/>
    <tableColumn id="7" xr3:uid="{669EE8EF-B230-42EF-8A7E-066E612C7CA7}" uniqueName="7" name="TableName" queryTableFieldId="7"/>
    <tableColumn id="5" xr3:uid="{C35E10C0-C320-417F-8AAC-E1C3AE4DBD2D}" uniqueName="5" name="LO Number" queryTableFieldId="5"/>
    <tableColumn id="6" xr3:uid="{B8BE1DA2-69BE-4588-BBA0-EE3B54B16615}" uniqueName="6" name="LO Description" queryTableFieldId="6"/>
    <tableColumn id="3" xr3:uid="{178F9A24-08B8-4D5B-8190-481359B814D1}" uniqueName="3" name="ModuleCode" queryTableFieldId="3"/>
    <tableColumn id="8" xr3:uid="{EEDCDD53-FA99-4D1C-A48D-7640BC2C8DB3}" uniqueName="8" name="ItemSuffix" queryTableFieldId="8"/>
    <tableColumn id="2" xr3:uid="{4C0AE08B-8404-405A-96A9-4CD70364850E}" uniqueName="2" name="Programme" queryTableFieldId="2"/>
    <tableColumn id="9" xr3:uid="{EBC287BA-8DB6-41BB-8763-EFD2A05299F4}" uniqueName="9" name="ProgCode" queryTableFieldId="9"/>
    <tableColumn id="4" xr3:uid="{39177534-A188-41BA-9E18-E7AB1A047309}" uniqueName="4" name="ModuleTitle" queryTableFieldId="4" dataDxfId="4"/>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054384-1649-4FAF-9327-CD916D3E4436}" name="All_Assess" displayName="All_Assess" ref="A1:M173" tableType="queryTable" totalsRowShown="0">
  <autoFilter ref="A1:M173" xr:uid="{62054384-1649-4FAF-9327-CD916D3E4436}"/>
  <tableColumns count="13">
    <tableColumn id="1" xr3:uid="{4C928BEE-C670-4874-93C9-014CEC245C98}" uniqueName="1" name="SourceWorkbook" queryTableFieldId="1" dataDxfId="3"/>
    <tableColumn id="2" xr3:uid="{7C972FF4-A228-4842-BC67-87A689A2E5FC}" uniqueName="2" name="TableName" queryTableFieldId="2"/>
    <tableColumn id="3" xr3:uid="{2F9AE701-A3D4-467A-970E-6C2296316A71}" uniqueName="3" name="Assessment No" queryTableFieldId="3"/>
    <tableColumn id="4" xr3:uid="{5EE51192-E48E-4DC4-AE43-3E5A2B445298}" uniqueName="4" name="Assessment Type" queryTableFieldId="4"/>
    <tableColumn id="5" xr3:uid="{FD3D025F-ABEF-4C05-A52F-8BEF0D264511}" uniqueName="5" name="Assessment Specific" queryTableFieldId="5"/>
    <tableColumn id="6" xr3:uid="{D05FF914-ADE0-420A-B00C-A9571FAB4A7F}" uniqueName="6" name="Assessment Description" queryTableFieldId="6"/>
    <tableColumn id="7" xr3:uid="{B7844D12-20B7-4A1F-BBEB-08DEA3BB2BDF}" uniqueName="7" name="Weighting" queryTableFieldId="7"/>
    <tableColumn id="8" xr3:uid="{1022F472-270C-4884-8371-DDA4FE7F4A1B}" uniqueName="8" name="Due Week" queryTableFieldId="8"/>
    <tableColumn id="9" xr3:uid="{AC4EC126-E151-4BDF-A7A6-D2AC4CF094A2}" uniqueName="9" name="ModuleCode" queryTableFieldId="9"/>
    <tableColumn id="10" xr3:uid="{B37CCC2F-365A-464E-92CD-E2427746F623}" uniqueName="10" name="ItemSuffix" queryTableFieldId="10"/>
    <tableColumn id="11" xr3:uid="{7919A5DC-DA62-4AD5-86A5-5CD4ED9DF4E4}" uniqueName="11" name="Programme" queryTableFieldId="11"/>
    <tableColumn id="12" xr3:uid="{9A5017A0-C2F0-4F2A-ADE5-151532F05A4D}" uniqueName="12" name="ProgCode" queryTableFieldId="12"/>
    <tableColumn id="13" xr3:uid="{452D59B9-8006-449C-81B0-3330DA94B011}" uniqueName="13" name="ModuleTitle" queryTableFieldId="13" dataDxfId="2"/>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35525DF9-E6DD-4EBC-8B04-44F5FCB60200}" name="All_Meta" displayName="All_Meta" ref="A1:I857" tableType="queryTable" totalsRowShown="0">
  <autoFilter ref="A1:I857" xr:uid="{35525DF9-E6DD-4EBC-8B04-44F5FCB60200}"/>
  <tableColumns count="9">
    <tableColumn id="1" xr3:uid="{C196002C-9013-415A-898C-2AE018F783AE}" uniqueName="1" name="SourceWorkbook" queryTableFieldId="1" dataDxfId="1"/>
    <tableColumn id="2" xr3:uid="{FD878126-0444-4A97-9E58-8CA95087B087}" uniqueName="2" name="TableName" queryTableFieldId="2"/>
    <tableColumn id="3" xr3:uid="{3B87AE51-CCBD-457D-8684-FC34904253DD}" uniqueName="3" name="Module Data" queryTableFieldId="3"/>
    <tableColumn id="4" xr3:uid="{E023D3A4-E24C-47BD-A617-B7EEDBB7E305}" uniqueName="4" name="Details" queryTableFieldId="4"/>
    <tableColumn id="5" xr3:uid="{0D41F6A2-86C8-4639-81CA-B48AB720E582}" uniqueName="5" name="ModuleCode" queryTableFieldId="5"/>
    <tableColumn id="6" xr3:uid="{32EC0B32-C2D1-4E49-8E85-790600FB4270}" uniqueName="6" name="ItemSuffix" queryTableFieldId="6"/>
    <tableColumn id="7" xr3:uid="{72F01C2C-451D-4DD7-B489-4AE9723138D2}" uniqueName="7" name="Programme" queryTableFieldId="7"/>
    <tableColumn id="8" xr3:uid="{8FC56DD0-8A8A-43E2-851E-33DEFB094026}" uniqueName="8" name="ProgCode" queryTableFieldId="8"/>
    <tableColumn id="9" xr3:uid="{787A3EA6-8EC3-4377-8646-B1B50AA780AB}" uniqueName="9" name="ModuleTitle" queryTableFieldId="9" dataDxfId="0"/>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A28D849E-6EFC-4A5A-932B-B6AE93050561}" name="LISTS_Assess" displayName="LISTS_Assess" ref="G14:G28" totalsRowShown="0">
  <autoFilter ref="G14:G28" xr:uid="{A28D849E-6EFC-4A5A-932B-B6AE93050561}"/>
  <tableColumns count="1">
    <tableColumn id="1" xr3:uid="{F9243E19-CFCD-47CF-90F4-B3457FC6A715}" name="Assessment Specific"/>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BD39377-1E4D-4F11-AC33-A85FBA00A712}" name="LISTS_Table" displayName="LISTS_Table" ref="J19:K83" totalsRowShown="0">
  <autoFilter ref="J19:K83" xr:uid="{EBD39377-1E4D-4F11-AC33-A85FBA00A712}"/>
  <tableColumns count="2">
    <tableColumn id="1" xr3:uid="{88D4BEFB-0FE7-43D9-9144-A385F91AD367}" name="Category"/>
    <tableColumn id="2" xr3:uid="{F16DBD3E-74AC-4DBC-9629-934DF2FB76A6}" name="Skil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325232-2496-E546-9604-2F97282EED57}">
  <dimension ref="A3:G20"/>
  <sheetViews>
    <sheetView tabSelected="1" workbookViewId="0">
      <selection activeCell="G29" sqref="G29"/>
    </sheetView>
  </sheetViews>
  <sheetFormatPr defaultColWidth="11.42578125" defaultRowHeight="15" x14ac:dyDescent="0.25"/>
  <cols>
    <col min="1" max="1" width="44.42578125" bestFit="1" customWidth="1"/>
    <col min="2" max="2" width="14.7109375" bestFit="1" customWidth="1"/>
    <col min="3" max="3" width="15.28515625" bestFit="1" customWidth="1"/>
    <col min="4" max="4" width="15.5703125" bestFit="1" customWidth="1"/>
    <col min="5" max="5" width="17" bestFit="1" customWidth="1"/>
    <col min="6" max="6" width="13.85546875" bestFit="1" customWidth="1"/>
    <col min="7" max="7" width="12.140625" bestFit="1" customWidth="1"/>
    <col min="8" max="8" width="11.28515625" bestFit="1" customWidth="1"/>
    <col min="9" max="9" width="4" bestFit="1" customWidth="1"/>
    <col min="10" max="10" width="2" bestFit="1" customWidth="1"/>
    <col min="11" max="12" width="6.140625" bestFit="1" customWidth="1"/>
    <col min="13" max="13" width="11.28515625" bestFit="1" customWidth="1"/>
    <col min="14" max="14" width="7.85546875" bestFit="1" customWidth="1"/>
    <col min="15" max="15" width="7.7109375" bestFit="1" customWidth="1"/>
    <col min="16" max="16" width="5" bestFit="1" customWidth="1"/>
    <col min="17" max="17" width="9" bestFit="1" customWidth="1"/>
    <col min="18" max="18" width="10" bestFit="1" customWidth="1"/>
  </cols>
  <sheetData>
    <row r="3" spans="1:7" x14ac:dyDescent="0.25">
      <c r="A3" s="14" t="s">
        <v>0</v>
      </c>
      <c r="B3" t="s">
        <v>1</v>
      </c>
      <c r="C3" t="s">
        <v>2</v>
      </c>
      <c r="D3" t="s">
        <v>3</v>
      </c>
      <c r="E3" t="s">
        <v>4</v>
      </c>
      <c r="F3" t="s">
        <v>5</v>
      </c>
      <c r="G3" t="s">
        <v>6</v>
      </c>
    </row>
    <row r="4" spans="1:7" x14ac:dyDescent="0.25">
      <c r="A4" s="15" t="s">
        <v>289</v>
      </c>
      <c r="B4" s="16">
        <v>10</v>
      </c>
      <c r="C4" s="16">
        <v>10</v>
      </c>
      <c r="D4" s="16"/>
      <c r="E4" s="16"/>
      <c r="F4" s="16"/>
      <c r="G4" s="16">
        <v>20</v>
      </c>
    </row>
    <row r="5" spans="1:7" x14ac:dyDescent="0.25">
      <c r="A5" s="15" t="s">
        <v>286</v>
      </c>
      <c r="B5" s="16">
        <v>22</v>
      </c>
      <c r="C5" s="16">
        <v>18</v>
      </c>
      <c r="D5" s="16"/>
      <c r="E5" s="16"/>
      <c r="F5" s="16"/>
      <c r="G5" s="16">
        <v>40</v>
      </c>
    </row>
    <row r="6" spans="1:7" x14ac:dyDescent="0.25">
      <c r="A6" s="15" t="s">
        <v>10</v>
      </c>
      <c r="B6" s="16"/>
      <c r="C6" s="16"/>
      <c r="D6" s="16"/>
      <c r="E6" s="16"/>
      <c r="F6" s="16"/>
      <c r="G6" s="16">
        <v>0</v>
      </c>
    </row>
    <row r="7" spans="1:7" x14ac:dyDescent="0.25">
      <c r="A7" s="15" t="s">
        <v>15</v>
      </c>
      <c r="B7" s="16">
        <v>33</v>
      </c>
      <c r="C7" s="16">
        <v>1</v>
      </c>
      <c r="D7" s="16">
        <v>6</v>
      </c>
      <c r="E7" s="16">
        <v>1</v>
      </c>
      <c r="F7" s="16">
        <v>3</v>
      </c>
      <c r="G7" s="16">
        <v>44</v>
      </c>
    </row>
    <row r="8" spans="1:7" x14ac:dyDescent="0.25">
      <c r="A8" s="15" t="s">
        <v>281</v>
      </c>
      <c r="B8" s="16">
        <v>22</v>
      </c>
      <c r="C8" s="16"/>
      <c r="D8" s="16">
        <v>16</v>
      </c>
      <c r="E8" s="16">
        <v>8</v>
      </c>
      <c r="F8" s="16"/>
      <c r="G8" s="16">
        <v>46</v>
      </c>
    </row>
    <row r="9" spans="1:7" x14ac:dyDescent="0.25">
      <c r="A9" s="15" t="s">
        <v>278</v>
      </c>
      <c r="B9" s="16"/>
      <c r="C9" s="16"/>
      <c r="D9" s="16"/>
      <c r="E9" s="16"/>
      <c r="F9" s="16"/>
      <c r="G9" s="16">
        <v>0</v>
      </c>
    </row>
    <row r="10" spans="1:7" x14ac:dyDescent="0.25">
      <c r="A10" s="15" t="s">
        <v>17</v>
      </c>
      <c r="B10" s="16">
        <v>11</v>
      </c>
      <c r="C10" s="16"/>
      <c r="D10" s="16">
        <v>6</v>
      </c>
      <c r="E10" s="16">
        <v>11</v>
      </c>
      <c r="F10" s="16">
        <v>11</v>
      </c>
      <c r="G10" s="16">
        <v>39</v>
      </c>
    </row>
    <row r="11" spans="1:7" x14ac:dyDescent="0.25">
      <c r="A11" s="15" t="s">
        <v>19</v>
      </c>
      <c r="B11" s="16">
        <v>10</v>
      </c>
      <c r="C11" s="16">
        <v>26</v>
      </c>
      <c r="D11" s="16"/>
      <c r="E11" s="16"/>
      <c r="F11" s="16"/>
      <c r="G11" s="16">
        <v>36</v>
      </c>
    </row>
    <row r="12" spans="1:7" x14ac:dyDescent="0.25">
      <c r="A12" s="15" t="s">
        <v>109</v>
      </c>
      <c r="B12" s="16">
        <v>8</v>
      </c>
      <c r="C12" s="16"/>
      <c r="D12" s="16">
        <v>12</v>
      </c>
      <c r="E12" s="16">
        <v>20</v>
      </c>
      <c r="F12" s="16"/>
      <c r="G12" s="16">
        <v>40</v>
      </c>
    </row>
    <row r="13" spans="1:7" x14ac:dyDescent="0.25">
      <c r="A13" s="15" t="s">
        <v>23</v>
      </c>
      <c r="B13" s="16">
        <v>16</v>
      </c>
      <c r="C13" s="16">
        <v>5</v>
      </c>
      <c r="D13" s="16">
        <v>6</v>
      </c>
      <c r="E13" s="16">
        <v>7</v>
      </c>
      <c r="F13" s="16">
        <v>6</v>
      </c>
      <c r="G13" s="16">
        <v>40</v>
      </c>
    </row>
    <row r="14" spans="1:7" x14ac:dyDescent="0.25">
      <c r="A14" s="15" t="s">
        <v>65</v>
      </c>
      <c r="B14" s="16">
        <v>24</v>
      </c>
      <c r="C14" s="16">
        <v>10</v>
      </c>
      <c r="D14" s="16">
        <v>9</v>
      </c>
      <c r="E14" s="16">
        <v>6</v>
      </c>
      <c r="F14" s="16">
        <v>0</v>
      </c>
      <c r="G14" s="16">
        <v>49</v>
      </c>
    </row>
    <row r="15" spans="1:7" x14ac:dyDescent="0.25">
      <c r="A15" s="15" t="s">
        <v>97</v>
      </c>
      <c r="B15" s="16">
        <v>18</v>
      </c>
      <c r="C15" s="16">
        <v>14</v>
      </c>
      <c r="D15" s="16">
        <v>6</v>
      </c>
      <c r="E15" s="16">
        <v>10</v>
      </c>
      <c r="F15" s="16"/>
      <c r="G15" s="16">
        <v>48</v>
      </c>
    </row>
    <row r="16" spans="1:7" x14ac:dyDescent="0.25">
      <c r="A16" s="15" t="s">
        <v>26</v>
      </c>
      <c r="B16" s="16">
        <v>22</v>
      </c>
      <c r="C16" s="16"/>
      <c r="D16" s="16"/>
      <c r="E16" s="16"/>
      <c r="F16" s="16">
        <v>22</v>
      </c>
      <c r="G16" s="16">
        <v>44</v>
      </c>
    </row>
    <row r="17" spans="1:7" x14ac:dyDescent="0.25">
      <c r="A17" s="15" t="s">
        <v>27</v>
      </c>
      <c r="B17" s="16"/>
      <c r="C17" s="16"/>
      <c r="D17" s="16"/>
      <c r="E17" s="16"/>
      <c r="F17" s="16"/>
      <c r="G17" s="16">
        <v>0</v>
      </c>
    </row>
    <row r="18" spans="1:7" x14ac:dyDescent="0.25">
      <c r="A18" s="15" t="s">
        <v>28</v>
      </c>
      <c r="B18" s="16">
        <v>34</v>
      </c>
      <c r="C18" s="16">
        <v>6</v>
      </c>
      <c r="D18" s="16"/>
      <c r="E18" s="16">
        <v>2</v>
      </c>
      <c r="F18" s="16"/>
      <c r="G18" s="16">
        <v>42</v>
      </c>
    </row>
    <row r="19" spans="1:7" x14ac:dyDescent="0.25">
      <c r="A19" s="15" t="s">
        <v>85</v>
      </c>
      <c r="B19" s="16">
        <v>22</v>
      </c>
      <c r="C19" s="16">
        <v>14</v>
      </c>
      <c r="D19" s="16">
        <v>4</v>
      </c>
      <c r="E19" s="16">
        <v>8</v>
      </c>
      <c r="F19" s="16">
        <v>0</v>
      </c>
      <c r="G19" s="16">
        <v>48</v>
      </c>
    </row>
    <row r="20" spans="1:7" x14ac:dyDescent="0.25">
      <c r="A20" s="15" t="s">
        <v>35</v>
      </c>
      <c r="B20" s="16">
        <v>252</v>
      </c>
      <c r="C20" s="16">
        <v>104</v>
      </c>
      <c r="D20" s="16">
        <v>65</v>
      </c>
      <c r="E20" s="16">
        <v>73</v>
      </c>
      <c r="F20" s="16">
        <v>42</v>
      </c>
      <c r="G20" s="16">
        <v>536</v>
      </c>
    </row>
  </sheetData>
  <sortState xmlns:xlrd2="http://schemas.microsoft.com/office/spreadsheetml/2017/richdata2" ref="A4:I31">
    <sortCondition ref="C3:C31"/>
  </sortState>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C1B7-5EA4-44E1-97D5-BF4961B7B7F4}">
  <dimension ref="A1:F385"/>
  <sheetViews>
    <sheetView topLeftCell="A67" workbookViewId="0">
      <selection activeCell="D35" sqref="D35"/>
    </sheetView>
  </sheetViews>
  <sheetFormatPr defaultColWidth="8.85546875" defaultRowHeight="15" x14ac:dyDescent="0.25"/>
  <cols>
    <col min="1" max="1" width="20.7109375" bestFit="1" customWidth="1"/>
    <col min="2" max="2" width="35.7109375" bestFit="1" customWidth="1"/>
    <col min="3" max="3" width="31" bestFit="1" customWidth="1"/>
    <col min="4" max="4" width="80.7109375" bestFit="1" customWidth="1"/>
    <col min="5" max="5" width="14.7109375" bestFit="1" customWidth="1"/>
    <col min="6" max="6" width="10.28515625" bestFit="1" customWidth="1"/>
  </cols>
  <sheetData>
    <row r="1" spans="1:6" x14ac:dyDescent="0.25">
      <c r="A1" t="s">
        <v>36</v>
      </c>
      <c r="B1" t="s">
        <v>37</v>
      </c>
      <c r="C1" t="s">
        <v>38</v>
      </c>
      <c r="D1" t="s">
        <v>39</v>
      </c>
      <c r="E1" t="s">
        <v>40</v>
      </c>
      <c r="F1" t="s">
        <v>41</v>
      </c>
    </row>
    <row r="2" spans="1:6" x14ac:dyDescent="0.25">
      <c r="A2" t="s">
        <v>42</v>
      </c>
      <c r="B2" t="s">
        <v>43</v>
      </c>
      <c r="C2" t="s">
        <v>44</v>
      </c>
      <c r="D2" t="s">
        <v>45</v>
      </c>
      <c r="E2">
        <v>5</v>
      </c>
      <c r="F2" t="b">
        <v>1</v>
      </c>
    </row>
    <row r="3" spans="1:6" x14ac:dyDescent="0.25">
      <c r="A3" t="s">
        <v>42</v>
      </c>
      <c r="B3" t="s">
        <v>46</v>
      </c>
      <c r="C3" t="s">
        <v>47</v>
      </c>
      <c r="D3" t="s">
        <v>48</v>
      </c>
      <c r="E3">
        <v>10</v>
      </c>
      <c r="F3" t="b">
        <v>1</v>
      </c>
    </row>
    <row r="4" spans="1:6" x14ac:dyDescent="0.25">
      <c r="A4" t="s">
        <v>42</v>
      </c>
      <c r="B4" t="s">
        <v>43</v>
      </c>
      <c r="C4" t="s">
        <v>49</v>
      </c>
      <c r="D4" t="s">
        <v>50</v>
      </c>
      <c r="E4">
        <v>10</v>
      </c>
      <c r="F4" t="b">
        <v>1</v>
      </c>
    </row>
    <row r="5" spans="1:6" x14ac:dyDescent="0.25">
      <c r="A5" t="s">
        <v>42</v>
      </c>
      <c r="B5" t="s">
        <v>46</v>
      </c>
      <c r="C5" t="s">
        <v>51</v>
      </c>
      <c r="D5" t="s">
        <v>52</v>
      </c>
      <c r="E5">
        <v>2</v>
      </c>
      <c r="F5" t="b">
        <v>1</v>
      </c>
    </row>
    <row r="6" spans="1:6" x14ac:dyDescent="0.25">
      <c r="A6" t="s">
        <v>42</v>
      </c>
      <c r="B6" t="s">
        <v>43</v>
      </c>
      <c r="C6" t="s">
        <v>53</v>
      </c>
      <c r="D6" t="s">
        <v>54</v>
      </c>
      <c r="E6">
        <v>7</v>
      </c>
      <c r="F6" t="b">
        <v>1</v>
      </c>
    </row>
    <row r="7" spans="1:6" x14ac:dyDescent="0.25">
      <c r="A7" t="s">
        <v>42</v>
      </c>
      <c r="B7" t="s">
        <v>46</v>
      </c>
      <c r="C7" t="s">
        <v>55</v>
      </c>
      <c r="D7" t="s">
        <v>56</v>
      </c>
      <c r="E7">
        <v>2</v>
      </c>
      <c r="F7" t="b">
        <v>1</v>
      </c>
    </row>
    <row r="8" spans="1:6" x14ac:dyDescent="0.25">
      <c r="A8" t="s">
        <v>42</v>
      </c>
      <c r="B8" t="s">
        <v>43</v>
      </c>
      <c r="C8" t="s">
        <v>57</v>
      </c>
      <c r="D8" t="s">
        <v>58</v>
      </c>
      <c r="E8">
        <v>2</v>
      </c>
      <c r="F8" t="b">
        <v>1</v>
      </c>
    </row>
    <row r="9" spans="1:6" x14ac:dyDescent="0.25">
      <c r="A9" t="s">
        <v>42</v>
      </c>
      <c r="B9" t="s">
        <v>59</v>
      </c>
      <c r="C9" t="s">
        <v>60</v>
      </c>
      <c r="D9" t="s">
        <v>56</v>
      </c>
      <c r="E9">
        <v>2</v>
      </c>
      <c r="F9" t="b">
        <v>1</v>
      </c>
    </row>
    <row r="10" spans="1:6" x14ac:dyDescent="0.25">
      <c r="A10" t="s">
        <v>42</v>
      </c>
      <c r="B10" t="s">
        <v>43</v>
      </c>
      <c r="C10" t="s">
        <v>61</v>
      </c>
      <c r="D10" t="s">
        <v>62</v>
      </c>
      <c r="E10">
        <v>2</v>
      </c>
      <c r="F10" t="b">
        <v>1</v>
      </c>
    </row>
    <row r="11" spans="1:6" x14ac:dyDescent="0.25">
      <c r="A11" t="s">
        <v>42</v>
      </c>
      <c r="B11" t="s">
        <v>63</v>
      </c>
      <c r="C11" t="s">
        <v>64</v>
      </c>
      <c r="D11" t="s">
        <v>65</v>
      </c>
      <c r="E11">
        <v>1</v>
      </c>
      <c r="F11" t="b">
        <v>1</v>
      </c>
    </row>
    <row r="12" spans="1:6" x14ac:dyDescent="0.25">
      <c r="A12" t="s">
        <v>42</v>
      </c>
      <c r="B12" t="s">
        <v>43</v>
      </c>
      <c r="C12" t="s">
        <v>66</v>
      </c>
      <c r="D12" t="s">
        <v>23</v>
      </c>
      <c r="E12">
        <v>1</v>
      </c>
      <c r="F12" t="b">
        <v>1</v>
      </c>
    </row>
    <row r="13" spans="1:6" x14ac:dyDescent="0.25">
      <c r="A13" t="s">
        <v>42</v>
      </c>
      <c r="B13" t="s">
        <v>63</v>
      </c>
      <c r="C13" t="s">
        <v>67</v>
      </c>
      <c r="D13" t="s">
        <v>68</v>
      </c>
      <c r="E13">
        <v>5</v>
      </c>
      <c r="F13" t="b">
        <v>1</v>
      </c>
    </row>
    <row r="14" spans="1:6" x14ac:dyDescent="0.25">
      <c r="A14" t="s">
        <v>42</v>
      </c>
      <c r="B14" t="s">
        <v>69</v>
      </c>
      <c r="C14" t="s">
        <v>70</v>
      </c>
      <c r="E14">
        <v>0</v>
      </c>
      <c r="F14" t="b">
        <v>0</v>
      </c>
    </row>
    <row r="15" spans="1:6" x14ac:dyDescent="0.25">
      <c r="A15" t="s">
        <v>42</v>
      </c>
      <c r="B15" t="s">
        <v>71</v>
      </c>
      <c r="C15" t="s">
        <v>72</v>
      </c>
      <c r="D15" t="s">
        <v>73</v>
      </c>
      <c r="E15">
        <v>5</v>
      </c>
      <c r="F15" t="b">
        <v>1</v>
      </c>
    </row>
    <row r="16" spans="1:6" x14ac:dyDescent="0.25">
      <c r="A16" t="s">
        <v>42</v>
      </c>
      <c r="B16" t="s">
        <v>69</v>
      </c>
      <c r="C16" t="s">
        <v>74</v>
      </c>
      <c r="D16" t="s">
        <v>75</v>
      </c>
      <c r="E16">
        <v>4</v>
      </c>
      <c r="F16" t="b">
        <v>1</v>
      </c>
    </row>
    <row r="17" spans="1:6" x14ac:dyDescent="0.25">
      <c r="A17" t="s">
        <v>42</v>
      </c>
      <c r="B17" t="s">
        <v>63</v>
      </c>
      <c r="C17" t="s">
        <v>76</v>
      </c>
      <c r="D17" t="s">
        <v>65</v>
      </c>
      <c r="E17">
        <v>1</v>
      </c>
      <c r="F17" t="b">
        <v>1</v>
      </c>
    </row>
    <row r="18" spans="1:6" x14ac:dyDescent="0.25">
      <c r="A18" t="s">
        <v>42</v>
      </c>
      <c r="B18" t="s">
        <v>69</v>
      </c>
      <c r="C18" t="s">
        <v>77</v>
      </c>
      <c r="D18" t="s">
        <v>78</v>
      </c>
      <c r="E18">
        <v>2</v>
      </c>
      <c r="F18" t="b">
        <v>1</v>
      </c>
    </row>
    <row r="19" spans="1:6" x14ac:dyDescent="0.25">
      <c r="A19" t="s">
        <v>42</v>
      </c>
      <c r="B19" t="s">
        <v>69</v>
      </c>
      <c r="C19" t="s">
        <v>79</v>
      </c>
      <c r="E19">
        <v>0</v>
      </c>
      <c r="F19" t="b">
        <v>0</v>
      </c>
    </row>
    <row r="20" spans="1:6" x14ac:dyDescent="0.25">
      <c r="A20" t="s">
        <v>42</v>
      </c>
      <c r="B20" t="s">
        <v>69</v>
      </c>
      <c r="C20" t="s">
        <v>80</v>
      </c>
      <c r="D20" t="s">
        <v>81</v>
      </c>
      <c r="E20">
        <v>6</v>
      </c>
      <c r="F20" t="b">
        <v>1</v>
      </c>
    </row>
    <row r="21" spans="1:6" x14ac:dyDescent="0.25">
      <c r="A21" t="s">
        <v>42</v>
      </c>
      <c r="B21" t="s">
        <v>69</v>
      </c>
      <c r="C21" t="s">
        <v>82</v>
      </c>
      <c r="D21" t="s">
        <v>19</v>
      </c>
      <c r="E21">
        <v>1</v>
      </c>
      <c r="F21" t="b">
        <v>1</v>
      </c>
    </row>
    <row r="22" spans="1:6" x14ac:dyDescent="0.25">
      <c r="A22" t="s">
        <v>42</v>
      </c>
      <c r="B22" t="s">
        <v>83</v>
      </c>
      <c r="C22" t="s">
        <v>84</v>
      </c>
      <c r="D22" t="s">
        <v>85</v>
      </c>
      <c r="E22">
        <v>1</v>
      </c>
      <c r="F22" t="b">
        <v>1</v>
      </c>
    </row>
    <row r="23" spans="1:6" x14ac:dyDescent="0.25">
      <c r="A23" t="s">
        <v>42</v>
      </c>
      <c r="B23" t="s">
        <v>71</v>
      </c>
      <c r="C23" t="s">
        <v>86</v>
      </c>
      <c r="D23" t="s">
        <v>87</v>
      </c>
      <c r="E23">
        <v>4</v>
      </c>
      <c r="F23" t="b">
        <v>1</v>
      </c>
    </row>
    <row r="24" spans="1:6" x14ac:dyDescent="0.25">
      <c r="A24" t="s">
        <v>42</v>
      </c>
      <c r="B24" t="s">
        <v>71</v>
      </c>
      <c r="C24" t="s">
        <v>88</v>
      </c>
      <c r="D24" t="s">
        <v>89</v>
      </c>
      <c r="E24">
        <v>4</v>
      </c>
      <c r="F24" t="b">
        <v>1</v>
      </c>
    </row>
    <row r="25" spans="1:6" x14ac:dyDescent="0.25">
      <c r="A25" t="s">
        <v>42</v>
      </c>
      <c r="B25" t="s">
        <v>71</v>
      </c>
      <c r="C25" t="s">
        <v>90</v>
      </c>
      <c r="E25">
        <v>0</v>
      </c>
      <c r="F25" t="b">
        <v>0</v>
      </c>
    </row>
    <row r="26" spans="1:6" x14ac:dyDescent="0.25">
      <c r="A26" t="s">
        <v>42</v>
      </c>
      <c r="B26" t="s">
        <v>83</v>
      </c>
      <c r="C26" t="s">
        <v>91</v>
      </c>
      <c r="D26" t="s">
        <v>92</v>
      </c>
      <c r="E26">
        <v>2</v>
      </c>
      <c r="F26" t="b">
        <v>1</v>
      </c>
    </row>
    <row r="27" spans="1:6" x14ac:dyDescent="0.25">
      <c r="A27" t="s">
        <v>42</v>
      </c>
      <c r="B27" t="s">
        <v>93</v>
      </c>
      <c r="C27" t="s">
        <v>94</v>
      </c>
      <c r="D27" t="s">
        <v>95</v>
      </c>
      <c r="E27">
        <v>2</v>
      </c>
      <c r="F27" t="b">
        <v>1</v>
      </c>
    </row>
    <row r="28" spans="1:6" x14ac:dyDescent="0.25">
      <c r="A28" t="s">
        <v>42</v>
      </c>
      <c r="B28" t="s">
        <v>59</v>
      </c>
      <c r="C28" t="s">
        <v>96</v>
      </c>
      <c r="D28" t="s">
        <v>97</v>
      </c>
      <c r="E28">
        <v>1</v>
      </c>
      <c r="F28" t="b">
        <v>1</v>
      </c>
    </row>
    <row r="29" spans="1:6" x14ac:dyDescent="0.25">
      <c r="A29" t="s">
        <v>42</v>
      </c>
      <c r="B29" t="s">
        <v>71</v>
      </c>
      <c r="C29" t="s">
        <v>98</v>
      </c>
      <c r="E29">
        <v>0</v>
      </c>
      <c r="F29" t="b">
        <v>0</v>
      </c>
    </row>
    <row r="30" spans="1:6" x14ac:dyDescent="0.25">
      <c r="A30" t="s">
        <v>42</v>
      </c>
      <c r="B30" t="s">
        <v>71</v>
      </c>
      <c r="C30" t="s">
        <v>99</v>
      </c>
      <c r="D30" t="s">
        <v>19</v>
      </c>
      <c r="E30">
        <v>1</v>
      </c>
      <c r="F30" t="b">
        <v>1</v>
      </c>
    </row>
    <row r="31" spans="1:6" x14ac:dyDescent="0.25">
      <c r="A31" t="s">
        <v>42</v>
      </c>
      <c r="B31" t="s">
        <v>83</v>
      </c>
      <c r="C31" t="s">
        <v>100</v>
      </c>
      <c r="E31">
        <v>0</v>
      </c>
      <c r="F31" t="b">
        <v>0</v>
      </c>
    </row>
    <row r="32" spans="1:6" x14ac:dyDescent="0.25">
      <c r="A32" t="s">
        <v>42</v>
      </c>
      <c r="B32" t="s">
        <v>83</v>
      </c>
      <c r="C32" t="s">
        <v>101</v>
      </c>
      <c r="D32" t="s">
        <v>102</v>
      </c>
      <c r="E32">
        <v>2</v>
      </c>
      <c r="F32" t="b">
        <v>1</v>
      </c>
    </row>
    <row r="33" spans="1:6" x14ac:dyDescent="0.25">
      <c r="A33" t="s">
        <v>42</v>
      </c>
      <c r="B33" t="s">
        <v>83</v>
      </c>
      <c r="C33" t="s">
        <v>103</v>
      </c>
      <c r="D33" t="s">
        <v>23</v>
      </c>
      <c r="E33">
        <v>1</v>
      </c>
      <c r="F33" t="b">
        <v>1</v>
      </c>
    </row>
    <row r="34" spans="1:6" x14ac:dyDescent="0.25">
      <c r="A34" t="s">
        <v>42</v>
      </c>
      <c r="B34" t="s">
        <v>83</v>
      </c>
      <c r="C34" t="s">
        <v>104</v>
      </c>
      <c r="D34" t="s">
        <v>105</v>
      </c>
      <c r="E34">
        <v>6</v>
      </c>
      <c r="F34" t="b">
        <v>1</v>
      </c>
    </row>
    <row r="35" spans="1:6" x14ac:dyDescent="0.25">
      <c r="A35" t="s">
        <v>42</v>
      </c>
      <c r="B35" t="s">
        <v>46</v>
      </c>
      <c r="C35" t="s">
        <v>106</v>
      </c>
      <c r="D35" t="s">
        <v>107</v>
      </c>
      <c r="E35">
        <v>2</v>
      </c>
      <c r="F35" t="b">
        <v>1</v>
      </c>
    </row>
    <row r="36" spans="1:6" x14ac:dyDescent="0.25">
      <c r="A36" t="s">
        <v>42</v>
      </c>
      <c r="B36" t="s">
        <v>93</v>
      </c>
      <c r="C36" t="s">
        <v>108</v>
      </c>
      <c r="D36" t="s">
        <v>109</v>
      </c>
      <c r="E36">
        <v>1</v>
      </c>
      <c r="F36" t="b">
        <v>1</v>
      </c>
    </row>
    <row r="37" spans="1:6" x14ac:dyDescent="0.25">
      <c r="A37" t="s">
        <v>42</v>
      </c>
      <c r="B37" t="s">
        <v>110</v>
      </c>
      <c r="C37" t="s">
        <v>111</v>
      </c>
      <c r="D37" t="s">
        <v>112</v>
      </c>
      <c r="E37">
        <v>2</v>
      </c>
      <c r="F37" t="b">
        <v>1</v>
      </c>
    </row>
    <row r="38" spans="1:6" x14ac:dyDescent="0.25">
      <c r="A38" t="s">
        <v>42</v>
      </c>
      <c r="B38" t="s">
        <v>63</v>
      </c>
      <c r="C38" t="s">
        <v>113</v>
      </c>
      <c r="E38">
        <v>0</v>
      </c>
      <c r="F38" t="b">
        <v>0</v>
      </c>
    </row>
    <row r="39" spans="1:6" x14ac:dyDescent="0.25">
      <c r="A39" t="s">
        <v>114</v>
      </c>
      <c r="B39" t="s">
        <v>43</v>
      </c>
      <c r="C39" t="s">
        <v>53</v>
      </c>
      <c r="D39" t="s">
        <v>115</v>
      </c>
      <c r="E39">
        <v>9</v>
      </c>
      <c r="F39" t="b">
        <v>1</v>
      </c>
    </row>
    <row r="40" spans="1:6" x14ac:dyDescent="0.25">
      <c r="A40" t="s">
        <v>42</v>
      </c>
      <c r="B40" t="s">
        <v>63</v>
      </c>
      <c r="C40" t="s">
        <v>116</v>
      </c>
      <c r="E40">
        <v>0</v>
      </c>
      <c r="F40" t="b">
        <v>0</v>
      </c>
    </row>
    <row r="41" spans="1:6" x14ac:dyDescent="0.25">
      <c r="A41" t="s">
        <v>114</v>
      </c>
      <c r="B41" t="s">
        <v>43</v>
      </c>
      <c r="C41" t="s">
        <v>49</v>
      </c>
      <c r="D41" t="s">
        <v>117</v>
      </c>
      <c r="E41">
        <v>9</v>
      </c>
      <c r="F41" t="b">
        <v>1</v>
      </c>
    </row>
    <row r="42" spans="1:6" x14ac:dyDescent="0.25">
      <c r="A42" t="s">
        <v>114</v>
      </c>
      <c r="B42" t="s">
        <v>71</v>
      </c>
      <c r="C42" t="s">
        <v>86</v>
      </c>
      <c r="D42" t="s">
        <v>118</v>
      </c>
      <c r="E42">
        <v>6</v>
      </c>
      <c r="F42" t="b">
        <v>1</v>
      </c>
    </row>
    <row r="43" spans="1:6" x14ac:dyDescent="0.25">
      <c r="A43" t="s">
        <v>114</v>
      </c>
      <c r="B43" t="s">
        <v>46</v>
      </c>
      <c r="C43" t="s">
        <v>47</v>
      </c>
      <c r="D43" t="s">
        <v>119</v>
      </c>
      <c r="E43">
        <v>8</v>
      </c>
      <c r="F43" t="b">
        <v>1</v>
      </c>
    </row>
    <row r="44" spans="1:6" x14ac:dyDescent="0.25">
      <c r="A44" t="s">
        <v>42</v>
      </c>
      <c r="B44" t="s">
        <v>63</v>
      </c>
      <c r="C44" t="s">
        <v>120</v>
      </c>
      <c r="E44">
        <v>0</v>
      </c>
      <c r="F44" t="b">
        <v>0</v>
      </c>
    </row>
    <row r="45" spans="1:6" x14ac:dyDescent="0.25">
      <c r="A45" t="s">
        <v>114</v>
      </c>
      <c r="B45" t="s">
        <v>69</v>
      </c>
      <c r="C45" t="s">
        <v>80</v>
      </c>
      <c r="D45" t="s">
        <v>121</v>
      </c>
      <c r="E45">
        <v>5</v>
      </c>
      <c r="F45" t="b">
        <v>1</v>
      </c>
    </row>
    <row r="46" spans="1:6" x14ac:dyDescent="0.25">
      <c r="A46" t="s">
        <v>42</v>
      </c>
      <c r="B46" t="s">
        <v>63</v>
      </c>
      <c r="C46" t="s">
        <v>122</v>
      </c>
      <c r="E46">
        <v>0</v>
      </c>
      <c r="F46" t="b">
        <v>0</v>
      </c>
    </row>
    <row r="47" spans="1:6" x14ac:dyDescent="0.25">
      <c r="A47" t="s">
        <v>42</v>
      </c>
      <c r="B47" t="s">
        <v>46</v>
      </c>
      <c r="C47" t="s">
        <v>123</v>
      </c>
      <c r="D47" t="s">
        <v>23</v>
      </c>
      <c r="E47">
        <v>1</v>
      </c>
      <c r="F47" t="b">
        <v>1</v>
      </c>
    </row>
    <row r="48" spans="1:6" x14ac:dyDescent="0.25">
      <c r="A48" t="s">
        <v>42</v>
      </c>
      <c r="B48" t="s">
        <v>46</v>
      </c>
      <c r="C48" t="s">
        <v>124</v>
      </c>
      <c r="D48" t="s">
        <v>125</v>
      </c>
      <c r="E48">
        <v>3</v>
      </c>
      <c r="F48" t="b">
        <v>1</v>
      </c>
    </row>
    <row r="49" spans="1:6" x14ac:dyDescent="0.25">
      <c r="A49" t="s">
        <v>114</v>
      </c>
      <c r="B49" t="s">
        <v>71</v>
      </c>
      <c r="C49" t="s">
        <v>72</v>
      </c>
      <c r="D49" t="s">
        <v>126</v>
      </c>
      <c r="E49">
        <v>4</v>
      </c>
      <c r="F49" t="b">
        <v>1</v>
      </c>
    </row>
    <row r="50" spans="1:6" x14ac:dyDescent="0.25">
      <c r="A50" t="s">
        <v>114</v>
      </c>
      <c r="B50" t="s">
        <v>83</v>
      </c>
      <c r="C50" t="s">
        <v>101</v>
      </c>
      <c r="D50" t="s">
        <v>127</v>
      </c>
      <c r="E50">
        <v>3</v>
      </c>
      <c r="F50" t="b">
        <v>1</v>
      </c>
    </row>
    <row r="51" spans="1:6" x14ac:dyDescent="0.25">
      <c r="A51" t="s">
        <v>42</v>
      </c>
      <c r="B51" t="s">
        <v>93</v>
      </c>
      <c r="C51" t="s">
        <v>128</v>
      </c>
      <c r="E51">
        <v>0</v>
      </c>
      <c r="F51" t="b">
        <v>0</v>
      </c>
    </row>
    <row r="52" spans="1:6" x14ac:dyDescent="0.25">
      <c r="A52" t="s">
        <v>114</v>
      </c>
      <c r="B52" t="s">
        <v>83</v>
      </c>
      <c r="C52" t="s">
        <v>104</v>
      </c>
      <c r="D52" t="s">
        <v>129</v>
      </c>
      <c r="E52">
        <v>5</v>
      </c>
      <c r="F52" t="b">
        <v>1</v>
      </c>
    </row>
    <row r="53" spans="1:6" x14ac:dyDescent="0.25">
      <c r="A53" t="s">
        <v>42</v>
      </c>
      <c r="B53" t="s">
        <v>93</v>
      </c>
      <c r="C53" t="s">
        <v>130</v>
      </c>
      <c r="E53">
        <v>0</v>
      </c>
      <c r="F53" t="b">
        <v>0</v>
      </c>
    </row>
    <row r="54" spans="1:6" x14ac:dyDescent="0.25">
      <c r="A54" t="s">
        <v>114</v>
      </c>
      <c r="B54" t="s">
        <v>63</v>
      </c>
      <c r="C54" t="s">
        <v>67</v>
      </c>
      <c r="D54" t="s">
        <v>131</v>
      </c>
      <c r="E54">
        <v>3</v>
      </c>
      <c r="F54" t="b">
        <v>1</v>
      </c>
    </row>
    <row r="55" spans="1:6" x14ac:dyDescent="0.25">
      <c r="A55" t="s">
        <v>42</v>
      </c>
      <c r="B55" t="s">
        <v>93</v>
      </c>
      <c r="C55" t="s">
        <v>132</v>
      </c>
      <c r="E55">
        <v>0</v>
      </c>
      <c r="F55" t="b">
        <v>0</v>
      </c>
    </row>
    <row r="56" spans="1:6" x14ac:dyDescent="0.25">
      <c r="A56" t="s">
        <v>133</v>
      </c>
      <c r="B56" t="s">
        <v>43</v>
      </c>
      <c r="C56" t="s">
        <v>53</v>
      </c>
      <c r="D56" t="s">
        <v>134</v>
      </c>
      <c r="E56">
        <v>11</v>
      </c>
      <c r="F56" t="b">
        <v>1</v>
      </c>
    </row>
    <row r="57" spans="1:6" x14ac:dyDescent="0.25">
      <c r="A57" t="s">
        <v>42</v>
      </c>
      <c r="B57" t="s">
        <v>93</v>
      </c>
      <c r="C57" t="s">
        <v>135</v>
      </c>
      <c r="D57" t="s">
        <v>17</v>
      </c>
      <c r="E57">
        <v>1</v>
      </c>
      <c r="F57" t="b">
        <v>1</v>
      </c>
    </row>
    <row r="58" spans="1:6" x14ac:dyDescent="0.25">
      <c r="A58" t="s">
        <v>133</v>
      </c>
      <c r="B58" t="s">
        <v>43</v>
      </c>
      <c r="C58" t="s">
        <v>49</v>
      </c>
      <c r="D58" t="s">
        <v>136</v>
      </c>
      <c r="E58">
        <v>13</v>
      </c>
      <c r="F58" t="b">
        <v>1</v>
      </c>
    </row>
    <row r="59" spans="1:6" x14ac:dyDescent="0.25">
      <c r="A59" t="s">
        <v>42</v>
      </c>
      <c r="B59" t="s">
        <v>110</v>
      </c>
      <c r="C59" t="s">
        <v>137</v>
      </c>
      <c r="D59" t="s">
        <v>17</v>
      </c>
      <c r="E59">
        <v>1</v>
      </c>
      <c r="F59" t="b">
        <v>1</v>
      </c>
    </row>
    <row r="60" spans="1:6" x14ac:dyDescent="0.25">
      <c r="A60" t="s">
        <v>42</v>
      </c>
      <c r="B60" t="s">
        <v>110</v>
      </c>
      <c r="C60" t="s">
        <v>138</v>
      </c>
      <c r="E60">
        <v>0</v>
      </c>
      <c r="F60" t="b">
        <v>0</v>
      </c>
    </row>
    <row r="61" spans="1:6" x14ac:dyDescent="0.25">
      <c r="A61" t="s">
        <v>133</v>
      </c>
      <c r="B61" t="s">
        <v>69</v>
      </c>
      <c r="C61" t="s">
        <v>80</v>
      </c>
      <c r="D61" t="s">
        <v>139</v>
      </c>
      <c r="E61">
        <v>7</v>
      </c>
      <c r="F61" t="b">
        <v>1</v>
      </c>
    </row>
    <row r="62" spans="1:6" x14ac:dyDescent="0.25">
      <c r="A62" t="s">
        <v>42</v>
      </c>
      <c r="B62" t="s">
        <v>110</v>
      </c>
      <c r="C62" t="s">
        <v>140</v>
      </c>
      <c r="E62">
        <v>0</v>
      </c>
      <c r="F62" t="b">
        <v>0</v>
      </c>
    </row>
    <row r="63" spans="1:6" x14ac:dyDescent="0.25">
      <c r="A63" t="s">
        <v>133</v>
      </c>
      <c r="B63" t="s">
        <v>71</v>
      </c>
      <c r="C63" t="s">
        <v>72</v>
      </c>
      <c r="D63" t="s">
        <v>141</v>
      </c>
      <c r="E63">
        <v>9</v>
      </c>
      <c r="F63" t="b">
        <v>1</v>
      </c>
    </row>
    <row r="64" spans="1:6" x14ac:dyDescent="0.25">
      <c r="A64" t="s">
        <v>42</v>
      </c>
      <c r="B64" t="s">
        <v>110</v>
      </c>
      <c r="C64" t="s">
        <v>142</v>
      </c>
      <c r="D64" t="s">
        <v>143</v>
      </c>
      <c r="E64">
        <v>3</v>
      </c>
      <c r="F64" t="b">
        <v>1</v>
      </c>
    </row>
    <row r="65" spans="1:6" x14ac:dyDescent="0.25">
      <c r="A65" t="s">
        <v>133</v>
      </c>
      <c r="B65" t="s">
        <v>83</v>
      </c>
      <c r="C65" t="s">
        <v>101</v>
      </c>
      <c r="D65" t="s">
        <v>144</v>
      </c>
      <c r="E65">
        <v>6</v>
      </c>
      <c r="F65" t="b">
        <v>1</v>
      </c>
    </row>
    <row r="66" spans="1:6" x14ac:dyDescent="0.25">
      <c r="A66" t="s">
        <v>133</v>
      </c>
      <c r="B66" t="s">
        <v>83</v>
      </c>
      <c r="C66" t="s">
        <v>104</v>
      </c>
      <c r="D66" t="s">
        <v>145</v>
      </c>
      <c r="E66">
        <v>13</v>
      </c>
      <c r="F66" t="b">
        <v>1</v>
      </c>
    </row>
    <row r="67" spans="1:6" x14ac:dyDescent="0.25">
      <c r="A67" t="s">
        <v>42</v>
      </c>
      <c r="B67" t="s">
        <v>110</v>
      </c>
      <c r="C67" t="s">
        <v>146</v>
      </c>
      <c r="D67" t="s">
        <v>17</v>
      </c>
      <c r="E67">
        <v>1</v>
      </c>
      <c r="F67" t="b">
        <v>1</v>
      </c>
    </row>
    <row r="68" spans="1:6" x14ac:dyDescent="0.25">
      <c r="A68" t="s">
        <v>133</v>
      </c>
      <c r="B68" t="s">
        <v>46</v>
      </c>
      <c r="C68" t="s">
        <v>47</v>
      </c>
      <c r="D68" t="s">
        <v>147</v>
      </c>
      <c r="E68">
        <v>18</v>
      </c>
      <c r="F68" t="b">
        <v>1</v>
      </c>
    </row>
    <row r="69" spans="1:6" x14ac:dyDescent="0.25">
      <c r="A69" t="s">
        <v>42</v>
      </c>
      <c r="B69" t="s">
        <v>110</v>
      </c>
      <c r="C69" t="s">
        <v>148</v>
      </c>
      <c r="E69">
        <v>0</v>
      </c>
      <c r="F69" t="b">
        <v>0</v>
      </c>
    </row>
    <row r="70" spans="1:6" x14ac:dyDescent="0.25">
      <c r="A70" t="s">
        <v>42</v>
      </c>
      <c r="B70" t="s">
        <v>110</v>
      </c>
      <c r="C70" t="s">
        <v>149</v>
      </c>
      <c r="E70">
        <v>0</v>
      </c>
      <c r="F70" t="b">
        <v>0</v>
      </c>
    </row>
    <row r="71" spans="1:6" x14ac:dyDescent="0.25">
      <c r="A71" t="s">
        <v>133</v>
      </c>
      <c r="B71" t="s">
        <v>63</v>
      </c>
      <c r="C71" t="s">
        <v>67</v>
      </c>
      <c r="D71" t="s">
        <v>150</v>
      </c>
      <c r="E71">
        <v>6</v>
      </c>
      <c r="F71" t="b">
        <v>1</v>
      </c>
    </row>
    <row r="72" spans="1:6" x14ac:dyDescent="0.25">
      <c r="A72" t="s">
        <v>42</v>
      </c>
      <c r="B72" t="s">
        <v>110</v>
      </c>
      <c r="C72" t="s">
        <v>151</v>
      </c>
      <c r="E72">
        <v>0</v>
      </c>
      <c r="F72" t="b">
        <v>0</v>
      </c>
    </row>
    <row r="73" spans="1:6" x14ac:dyDescent="0.25">
      <c r="A73" t="s">
        <v>152</v>
      </c>
      <c r="B73" t="s">
        <v>43</v>
      </c>
      <c r="C73" t="s">
        <v>53</v>
      </c>
      <c r="D73" t="s">
        <v>153</v>
      </c>
      <c r="E73">
        <v>15</v>
      </c>
      <c r="F73" t="b">
        <v>1</v>
      </c>
    </row>
    <row r="74" spans="1:6" x14ac:dyDescent="0.25">
      <c r="A74" t="s">
        <v>42</v>
      </c>
      <c r="B74" t="s">
        <v>59</v>
      </c>
      <c r="C74" t="s">
        <v>154</v>
      </c>
      <c r="E74">
        <v>0</v>
      </c>
      <c r="F74" t="b">
        <v>0</v>
      </c>
    </row>
    <row r="75" spans="1:6" x14ac:dyDescent="0.25">
      <c r="A75" t="s">
        <v>152</v>
      </c>
      <c r="B75" t="s">
        <v>43</v>
      </c>
      <c r="C75" t="s">
        <v>49</v>
      </c>
      <c r="D75" t="s">
        <v>155</v>
      </c>
      <c r="E75">
        <v>15</v>
      </c>
      <c r="F75" t="b">
        <v>1</v>
      </c>
    </row>
    <row r="76" spans="1:6" x14ac:dyDescent="0.25">
      <c r="A76" t="s">
        <v>42</v>
      </c>
      <c r="B76" t="s">
        <v>59</v>
      </c>
      <c r="C76" t="s">
        <v>156</v>
      </c>
      <c r="E76">
        <v>0</v>
      </c>
      <c r="F76" t="b">
        <v>0</v>
      </c>
    </row>
    <row r="77" spans="1:6" x14ac:dyDescent="0.25">
      <c r="A77" t="s">
        <v>152</v>
      </c>
      <c r="B77" t="s">
        <v>69</v>
      </c>
      <c r="C77" t="s">
        <v>80</v>
      </c>
      <c r="D77" t="s">
        <v>157</v>
      </c>
      <c r="E77">
        <v>12</v>
      </c>
      <c r="F77" t="b">
        <v>1</v>
      </c>
    </row>
    <row r="78" spans="1:6" x14ac:dyDescent="0.25">
      <c r="A78" t="s">
        <v>42</v>
      </c>
      <c r="B78" t="s">
        <v>59</v>
      </c>
      <c r="C78" t="s">
        <v>158</v>
      </c>
      <c r="E78">
        <v>0</v>
      </c>
      <c r="F78" t="b">
        <v>0</v>
      </c>
    </row>
    <row r="79" spans="1:6" x14ac:dyDescent="0.25">
      <c r="A79" t="s">
        <v>152</v>
      </c>
      <c r="B79" t="s">
        <v>71</v>
      </c>
      <c r="C79" t="s">
        <v>72</v>
      </c>
      <c r="D79" t="s">
        <v>159</v>
      </c>
      <c r="E79">
        <v>3</v>
      </c>
      <c r="F79" t="b">
        <v>1</v>
      </c>
    </row>
    <row r="80" spans="1:6" x14ac:dyDescent="0.25">
      <c r="A80" t="s">
        <v>152</v>
      </c>
      <c r="B80" t="s">
        <v>83</v>
      </c>
      <c r="C80" t="s">
        <v>101</v>
      </c>
      <c r="D80" t="s">
        <v>27</v>
      </c>
      <c r="E80">
        <v>1</v>
      </c>
      <c r="F80" t="b">
        <v>1</v>
      </c>
    </row>
    <row r="81" spans="1:6" x14ac:dyDescent="0.25">
      <c r="A81" t="s">
        <v>42</v>
      </c>
      <c r="B81" t="s">
        <v>160</v>
      </c>
      <c r="C81" t="s">
        <v>161</v>
      </c>
      <c r="E81">
        <v>0</v>
      </c>
      <c r="F81" t="b">
        <v>0</v>
      </c>
    </row>
    <row r="82" spans="1:6" x14ac:dyDescent="0.25">
      <c r="A82" t="s">
        <v>152</v>
      </c>
      <c r="B82" t="s">
        <v>83</v>
      </c>
      <c r="C82" t="s">
        <v>104</v>
      </c>
      <c r="D82" t="s">
        <v>162</v>
      </c>
      <c r="E82">
        <v>5</v>
      </c>
      <c r="F82" t="b">
        <v>1</v>
      </c>
    </row>
    <row r="83" spans="1:6" x14ac:dyDescent="0.25">
      <c r="A83" t="s">
        <v>42</v>
      </c>
      <c r="B83" t="s">
        <v>160</v>
      </c>
      <c r="C83" t="s">
        <v>163</v>
      </c>
      <c r="E83">
        <v>0</v>
      </c>
      <c r="F83" t="b">
        <v>0</v>
      </c>
    </row>
    <row r="84" spans="1:6" x14ac:dyDescent="0.25">
      <c r="A84" t="s">
        <v>152</v>
      </c>
      <c r="B84" t="s">
        <v>46</v>
      </c>
      <c r="C84" t="s">
        <v>47</v>
      </c>
      <c r="D84" t="s">
        <v>164</v>
      </c>
      <c r="E84">
        <v>14</v>
      </c>
      <c r="F84" t="b">
        <v>1</v>
      </c>
    </row>
    <row r="85" spans="1:6" x14ac:dyDescent="0.25">
      <c r="A85" t="s">
        <v>42</v>
      </c>
      <c r="B85" t="s">
        <v>160</v>
      </c>
      <c r="C85" t="s">
        <v>165</v>
      </c>
      <c r="E85">
        <v>0</v>
      </c>
      <c r="F85" t="b">
        <v>0</v>
      </c>
    </row>
    <row r="86" spans="1:6" x14ac:dyDescent="0.25">
      <c r="A86" t="s">
        <v>42</v>
      </c>
      <c r="B86" t="s">
        <v>160</v>
      </c>
      <c r="C86" t="s">
        <v>166</v>
      </c>
      <c r="E86">
        <v>0</v>
      </c>
      <c r="F86" t="b">
        <v>0</v>
      </c>
    </row>
    <row r="87" spans="1:6" x14ac:dyDescent="0.25">
      <c r="A87" t="s">
        <v>152</v>
      </c>
      <c r="B87" t="s">
        <v>63</v>
      </c>
      <c r="C87" t="s">
        <v>67</v>
      </c>
      <c r="D87" t="s">
        <v>167</v>
      </c>
      <c r="E87">
        <v>2</v>
      </c>
      <c r="F87" t="b">
        <v>1</v>
      </c>
    </row>
    <row r="88" spans="1:6" x14ac:dyDescent="0.25">
      <c r="A88" t="s">
        <v>42</v>
      </c>
      <c r="B88" t="s">
        <v>160</v>
      </c>
      <c r="C88" t="s">
        <v>168</v>
      </c>
      <c r="E88">
        <v>0</v>
      </c>
      <c r="F88" t="b">
        <v>0</v>
      </c>
    </row>
    <row r="89" spans="1:6" x14ac:dyDescent="0.25">
      <c r="A89" t="s">
        <v>169</v>
      </c>
      <c r="B89" t="s">
        <v>43</v>
      </c>
      <c r="C89" t="s">
        <v>53</v>
      </c>
      <c r="D89" t="s">
        <v>170</v>
      </c>
      <c r="E89">
        <v>6</v>
      </c>
      <c r="F89" t="b">
        <v>1</v>
      </c>
    </row>
    <row r="90" spans="1:6" x14ac:dyDescent="0.25">
      <c r="A90" t="s">
        <v>42</v>
      </c>
      <c r="B90" t="s">
        <v>160</v>
      </c>
      <c r="C90" t="s">
        <v>171</v>
      </c>
      <c r="E90">
        <v>0</v>
      </c>
      <c r="F90" t="b">
        <v>0</v>
      </c>
    </row>
    <row r="91" spans="1:6" x14ac:dyDescent="0.25">
      <c r="A91" t="s">
        <v>169</v>
      </c>
      <c r="B91" t="s">
        <v>43</v>
      </c>
      <c r="C91" t="s">
        <v>49</v>
      </c>
      <c r="D91" t="s">
        <v>172</v>
      </c>
      <c r="E91">
        <v>14</v>
      </c>
      <c r="F91" t="b">
        <v>1</v>
      </c>
    </row>
    <row r="92" spans="1:6" x14ac:dyDescent="0.25">
      <c r="A92" t="s">
        <v>42</v>
      </c>
      <c r="B92" t="s">
        <v>160</v>
      </c>
      <c r="C92" t="s">
        <v>173</v>
      </c>
      <c r="E92">
        <v>0</v>
      </c>
      <c r="F92" t="b">
        <v>0</v>
      </c>
    </row>
    <row r="93" spans="1:6" x14ac:dyDescent="0.25">
      <c r="A93" t="s">
        <v>114</v>
      </c>
      <c r="B93" t="s">
        <v>43</v>
      </c>
      <c r="C93" t="s">
        <v>44</v>
      </c>
      <c r="D93" t="s">
        <v>174</v>
      </c>
      <c r="E93">
        <v>2</v>
      </c>
      <c r="F93" t="b">
        <v>1</v>
      </c>
    </row>
    <row r="94" spans="1:6" x14ac:dyDescent="0.25">
      <c r="A94" t="s">
        <v>114</v>
      </c>
      <c r="B94" t="s">
        <v>43</v>
      </c>
      <c r="C94" t="s">
        <v>57</v>
      </c>
      <c r="D94" t="s">
        <v>58</v>
      </c>
      <c r="E94">
        <v>2</v>
      </c>
      <c r="F94" t="b">
        <v>1</v>
      </c>
    </row>
    <row r="95" spans="1:6" x14ac:dyDescent="0.25">
      <c r="A95" t="s">
        <v>114</v>
      </c>
      <c r="B95" t="s">
        <v>43</v>
      </c>
      <c r="C95" t="s">
        <v>61</v>
      </c>
      <c r="E95">
        <v>0</v>
      </c>
      <c r="F95" t="b">
        <v>0</v>
      </c>
    </row>
    <row r="96" spans="1:6" x14ac:dyDescent="0.25">
      <c r="A96" t="s">
        <v>114</v>
      </c>
      <c r="B96" t="s">
        <v>43</v>
      </c>
      <c r="C96" t="s">
        <v>66</v>
      </c>
      <c r="E96">
        <v>0</v>
      </c>
      <c r="F96" t="b">
        <v>0</v>
      </c>
    </row>
    <row r="97" spans="1:6" x14ac:dyDescent="0.25">
      <c r="A97" t="s">
        <v>114</v>
      </c>
      <c r="B97" t="s">
        <v>69</v>
      </c>
      <c r="C97" t="s">
        <v>70</v>
      </c>
      <c r="E97">
        <v>0</v>
      </c>
      <c r="F97" t="b">
        <v>0</v>
      </c>
    </row>
    <row r="98" spans="1:6" x14ac:dyDescent="0.25">
      <c r="A98" t="s">
        <v>114</v>
      </c>
      <c r="B98" t="s">
        <v>69</v>
      </c>
      <c r="C98" t="s">
        <v>74</v>
      </c>
      <c r="D98" t="s">
        <v>175</v>
      </c>
      <c r="E98">
        <v>3</v>
      </c>
      <c r="F98" t="b">
        <v>1</v>
      </c>
    </row>
    <row r="99" spans="1:6" x14ac:dyDescent="0.25">
      <c r="A99" t="s">
        <v>114</v>
      </c>
      <c r="B99" t="s">
        <v>69</v>
      </c>
      <c r="C99" t="s">
        <v>77</v>
      </c>
      <c r="E99">
        <v>0</v>
      </c>
      <c r="F99" t="b">
        <v>0</v>
      </c>
    </row>
    <row r="100" spans="1:6" x14ac:dyDescent="0.25">
      <c r="A100" t="s">
        <v>114</v>
      </c>
      <c r="B100" t="s">
        <v>69</v>
      </c>
      <c r="C100" t="s">
        <v>79</v>
      </c>
      <c r="E100">
        <v>0</v>
      </c>
      <c r="F100" t="b">
        <v>0</v>
      </c>
    </row>
    <row r="101" spans="1:6" x14ac:dyDescent="0.25">
      <c r="A101" t="s">
        <v>114</v>
      </c>
      <c r="B101" t="s">
        <v>69</v>
      </c>
      <c r="C101" t="s">
        <v>82</v>
      </c>
      <c r="D101" t="s">
        <v>19</v>
      </c>
      <c r="E101">
        <v>1</v>
      </c>
      <c r="F101" t="b">
        <v>1</v>
      </c>
    </row>
    <row r="102" spans="1:6" x14ac:dyDescent="0.25">
      <c r="A102" t="s">
        <v>114</v>
      </c>
      <c r="B102" t="s">
        <v>71</v>
      </c>
      <c r="C102" t="s">
        <v>90</v>
      </c>
      <c r="E102">
        <v>0</v>
      </c>
      <c r="F102" t="b">
        <v>0</v>
      </c>
    </row>
    <row r="103" spans="1:6" x14ac:dyDescent="0.25">
      <c r="A103" t="s">
        <v>114</v>
      </c>
      <c r="B103" t="s">
        <v>71</v>
      </c>
      <c r="C103" t="s">
        <v>88</v>
      </c>
      <c r="D103" t="s">
        <v>176</v>
      </c>
      <c r="E103">
        <v>4</v>
      </c>
      <c r="F103" t="b">
        <v>1</v>
      </c>
    </row>
    <row r="104" spans="1:6" x14ac:dyDescent="0.25">
      <c r="A104" t="s">
        <v>114</v>
      </c>
      <c r="B104" t="s">
        <v>71</v>
      </c>
      <c r="C104" t="s">
        <v>98</v>
      </c>
      <c r="D104" t="s">
        <v>177</v>
      </c>
      <c r="E104">
        <v>2</v>
      </c>
      <c r="F104" t="b">
        <v>1</v>
      </c>
    </row>
    <row r="105" spans="1:6" x14ac:dyDescent="0.25">
      <c r="A105" t="s">
        <v>114</v>
      </c>
      <c r="B105" t="s">
        <v>71</v>
      </c>
      <c r="C105" t="s">
        <v>99</v>
      </c>
      <c r="D105" t="s">
        <v>178</v>
      </c>
      <c r="E105">
        <v>3</v>
      </c>
      <c r="F105" t="b">
        <v>1</v>
      </c>
    </row>
    <row r="106" spans="1:6" x14ac:dyDescent="0.25">
      <c r="A106" t="s">
        <v>152</v>
      </c>
      <c r="B106" t="s">
        <v>71</v>
      </c>
      <c r="C106" t="s">
        <v>86</v>
      </c>
      <c r="D106" t="s">
        <v>179</v>
      </c>
      <c r="E106">
        <v>12</v>
      </c>
      <c r="F106" t="b">
        <v>1</v>
      </c>
    </row>
    <row r="107" spans="1:6" x14ac:dyDescent="0.25">
      <c r="A107" t="s">
        <v>114</v>
      </c>
      <c r="B107" t="s">
        <v>83</v>
      </c>
      <c r="C107" t="s">
        <v>100</v>
      </c>
      <c r="E107">
        <v>0</v>
      </c>
      <c r="F107" t="b">
        <v>0</v>
      </c>
    </row>
    <row r="108" spans="1:6" x14ac:dyDescent="0.25">
      <c r="A108" t="s">
        <v>114</v>
      </c>
      <c r="B108" t="s">
        <v>83</v>
      </c>
      <c r="C108" t="s">
        <v>103</v>
      </c>
      <c r="D108" t="s">
        <v>177</v>
      </c>
      <c r="E108">
        <v>2</v>
      </c>
      <c r="F108" t="b">
        <v>1</v>
      </c>
    </row>
    <row r="109" spans="1:6" x14ac:dyDescent="0.25">
      <c r="A109" t="s">
        <v>114</v>
      </c>
      <c r="B109" t="s">
        <v>46</v>
      </c>
      <c r="C109" t="s">
        <v>106</v>
      </c>
      <c r="D109" t="s">
        <v>15</v>
      </c>
      <c r="E109">
        <v>1</v>
      </c>
      <c r="F109" t="b">
        <v>1</v>
      </c>
    </row>
    <row r="110" spans="1:6" x14ac:dyDescent="0.25">
      <c r="A110" t="s">
        <v>114</v>
      </c>
      <c r="B110" t="s">
        <v>83</v>
      </c>
      <c r="C110" t="s">
        <v>91</v>
      </c>
      <c r="D110" t="s">
        <v>180</v>
      </c>
      <c r="E110">
        <v>3</v>
      </c>
      <c r="F110" t="b">
        <v>1</v>
      </c>
    </row>
    <row r="111" spans="1:6" x14ac:dyDescent="0.25">
      <c r="A111" t="s">
        <v>114</v>
      </c>
      <c r="B111" t="s">
        <v>83</v>
      </c>
      <c r="C111" t="s">
        <v>84</v>
      </c>
      <c r="E111">
        <v>0</v>
      </c>
      <c r="F111" t="b">
        <v>0</v>
      </c>
    </row>
    <row r="112" spans="1:6" x14ac:dyDescent="0.25">
      <c r="A112" t="s">
        <v>133</v>
      </c>
      <c r="B112" t="s">
        <v>43</v>
      </c>
      <c r="C112" t="s">
        <v>44</v>
      </c>
      <c r="D112" t="s">
        <v>181</v>
      </c>
      <c r="E112">
        <v>11</v>
      </c>
      <c r="F112" t="b">
        <v>1</v>
      </c>
    </row>
    <row r="113" spans="1:6" x14ac:dyDescent="0.25">
      <c r="A113" t="s">
        <v>133</v>
      </c>
      <c r="B113" t="s">
        <v>69</v>
      </c>
      <c r="C113" t="s">
        <v>74</v>
      </c>
      <c r="D113" t="s">
        <v>182</v>
      </c>
      <c r="E113">
        <v>4</v>
      </c>
      <c r="F113" t="b">
        <v>1</v>
      </c>
    </row>
    <row r="114" spans="1:6" x14ac:dyDescent="0.25">
      <c r="A114" t="s">
        <v>114</v>
      </c>
      <c r="B114" t="s">
        <v>63</v>
      </c>
      <c r="C114" t="s">
        <v>113</v>
      </c>
      <c r="D114" t="s">
        <v>183</v>
      </c>
      <c r="E114">
        <v>2</v>
      </c>
      <c r="F114" t="b">
        <v>1</v>
      </c>
    </row>
    <row r="115" spans="1:6" x14ac:dyDescent="0.25">
      <c r="A115" t="s">
        <v>133</v>
      </c>
      <c r="B115" t="s">
        <v>46</v>
      </c>
      <c r="C115" t="s">
        <v>106</v>
      </c>
      <c r="D115" t="s">
        <v>184</v>
      </c>
      <c r="E115">
        <v>2</v>
      </c>
      <c r="F115" t="b">
        <v>1</v>
      </c>
    </row>
    <row r="116" spans="1:6" x14ac:dyDescent="0.25">
      <c r="A116" t="s">
        <v>114</v>
      </c>
      <c r="B116" t="s">
        <v>63</v>
      </c>
      <c r="C116" t="s">
        <v>116</v>
      </c>
      <c r="D116" t="s">
        <v>183</v>
      </c>
      <c r="E116">
        <v>2</v>
      </c>
      <c r="F116" t="b">
        <v>1</v>
      </c>
    </row>
    <row r="117" spans="1:6" x14ac:dyDescent="0.25">
      <c r="A117" t="s">
        <v>133</v>
      </c>
      <c r="B117" t="s">
        <v>71</v>
      </c>
      <c r="C117" t="s">
        <v>88</v>
      </c>
      <c r="D117" t="s">
        <v>185</v>
      </c>
      <c r="E117">
        <v>5</v>
      </c>
      <c r="F117" t="b">
        <v>1</v>
      </c>
    </row>
    <row r="118" spans="1:6" x14ac:dyDescent="0.25">
      <c r="A118" t="s">
        <v>114</v>
      </c>
      <c r="B118" t="s">
        <v>63</v>
      </c>
      <c r="C118" t="s">
        <v>64</v>
      </c>
      <c r="E118">
        <v>0</v>
      </c>
      <c r="F118" t="b">
        <v>0</v>
      </c>
    </row>
    <row r="119" spans="1:6" x14ac:dyDescent="0.25">
      <c r="A119" t="s">
        <v>152</v>
      </c>
      <c r="B119" t="s">
        <v>43</v>
      </c>
      <c r="C119" t="s">
        <v>44</v>
      </c>
      <c r="D119" t="s">
        <v>186</v>
      </c>
      <c r="E119">
        <v>3</v>
      </c>
      <c r="F119" t="b">
        <v>1</v>
      </c>
    </row>
    <row r="120" spans="1:6" x14ac:dyDescent="0.25">
      <c r="A120" t="s">
        <v>114</v>
      </c>
      <c r="B120" t="s">
        <v>63</v>
      </c>
      <c r="C120" t="s">
        <v>76</v>
      </c>
      <c r="E120">
        <v>0</v>
      </c>
      <c r="F120" t="b">
        <v>0</v>
      </c>
    </row>
    <row r="121" spans="1:6" x14ac:dyDescent="0.25">
      <c r="A121" t="s">
        <v>152</v>
      </c>
      <c r="B121" t="s">
        <v>69</v>
      </c>
      <c r="C121" t="s">
        <v>74</v>
      </c>
      <c r="D121" t="s">
        <v>175</v>
      </c>
      <c r="E121">
        <v>3</v>
      </c>
      <c r="F121" t="b">
        <v>1</v>
      </c>
    </row>
    <row r="122" spans="1:6" x14ac:dyDescent="0.25">
      <c r="A122" t="s">
        <v>114</v>
      </c>
      <c r="B122" t="s">
        <v>63</v>
      </c>
      <c r="C122" t="s">
        <v>120</v>
      </c>
      <c r="E122">
        <v>0</v>
      </c>
      <c r="F122" t="b">
        <v>0</v>
      </c>
    </row>
    <row r="123" spans="1:6" x14ac:dyDescent="0.25">
      <c r="A123" t="s">
        <v>152</v>
      </c>
      <c r="B123" t="s">
        <v>46</v>
      </c>
      <c r="C123" t="s">
        <v>106</v>
      </c>
      <c r="D123" t="s">
        <v>15</v>
      </c>
      <c r="E123">
        <v>1</v>
      </c>
      <c r="F123" t="b">
        <v>1</v>
      </c>
    </row>
    <row r="124" spans="1:6" x14ac:dyDescent="0.25">
      <c r="A124" t="s">
        <v>114</v>
      </c>
      <c r="B124" t="s">
        <v>63</v>
      </c>
      <c r="C124" t="s">
        <v>122</v>
      </c>
      <c r="E124">
        <v>0</v>
      </c>
      <c r="F124" t="b">
        <v>0</v>
      </c>
    </row>
    <row r="125" spans="1:6" x14ac:dyDescent="0.25">
      <c r="A125" t="s">
        <v>152</v>
      </c>
      <c r="B125" t="s">
        <v>71</v>
      </c>
      <c r="C125" t="s">
        <v>88</v>
      </c>
      <c r="D125" t="s">
        <v>174</v>
      </c>
      <c r="E125">
        <v>2</v>
      </c>
      <c r="F125" t="b">
        <v>1</v>
      </c>
    </row>
    <row r="126" spans="1:6" x14ac:dyDescent="0.25">
      <c r="A126" t="s">
        <v>169</v>
      </c>
      <c r="B126" t="s">
        <v>43</v>
      </c>
      <c r="C126" t="s">
        <v>44</v>
      </c>
      <c r="D126" t="s">
        <v>187</v>
      </c>
      <c r="E126">
        <v>3</v>
      </c>
      <c r="F126" t="b">
        <v>1</v>
      </c>
    </row>
    <row r="127" spans="1:6" x14ac:dyDescent="0.25">
      <c r="A127" t="s">
        <v>169</v>
      </c>
      <c r="B127" t="s">
        <v>69</v>
      </c>
      <c r="C127" t="s">
        <v>74</v>
      </c>
      <c r="D127" t="s">
        <v>174</v>
      </c>
      <c r="E127">
        <v>2</v>
      </c>
      <c r="F127" t="b">
        <v>1</v>
      </c>
    </row>
    <row r="128" spans="1:6" x14ac:dyDescent="0.25">
      <c r="A128" t="s">
        <v>114</v>
      </c>
      <c r="B128" t="s">
        <v>46</v>
      </c>
      <c r="C128" t="s">
        <v>123</v>
      </c>
      <c r="D128" t="s">
        <v>177</v>
      </c>
      <c r="E128">
        <v>2</v>
      </c>
      <c r="F128" t="b">
        <v>1</v>
      </c>
    </row>
    <row r="129" spans="1:6" x14ac:dyDescent="0.25">
      <c r="A129" t="s">
        <v>114</v>
      </c>
      <c r="B129" t="s">
        <v>46</v>
      </c>
      <c r="C129" t="s">
        <v>124</v>
      </c>
      <c r="D129" t="s">
        <v>19</v>
      </c>
      <c r="E129">
        <v>1</v>
      </c>
      <c r="F129" t="b">
        <v>1</v>
      </c>
    </row>
    <row r="130" spans="1:6" x14ac:dyDescent="0.25">
      <c r="A130" t="s">
        <v>114</v>
      </c>
      <c r="B130" t="s">
        <v>46</v>
      </c>
      <c r="C130" t="s">
        <v>55</v>
      </c>
      <c r="D130" t="s">
        <v>180</v>
      </c>
      <c r="E130">
        <v>3</v>
      </c>
      <c r="F130" t="b">
        <v>1</v>
      </c>
    </row>
    <row r="131" spans="1:6" x14ac:dyDescent="0.25">
      <c r="A131" t="s">
        <v>114</v>
      </c>
      <c r="B131" t="s">
        <v>46</v>
      </c>
      <c r="C131" t="s">
        <v>51</v>
      </c>
      <c r="D131" t="s">
        <v>17</v>
      </c>
      <c r="E131">
        <v>1</v>
      </c>
      <c r="F131" t="b">
        <v>1</v>
      </c>
    </row>
    <row r="132" spans="1:6" x14ac:dyDescent="0.25">
      <c r="A132" t="s">
        <v>114</v>
      </c>
      <c r="B132" t="s">
        <v>93</v>
      </c>
      <c r="C132" t="s">
        <v>108</v>
      </c>
      <c r="E132">
        <v>0</v>
      </c>
      <c r="F132" t="b">
        <v>0</v>
      </c>
    </row>
    <row r="133" spans="1:6" x14ac:dyDescent="0.25">
      <c r="A133" t="s">
        <v>114</v>
      </c>
      <c r="B133" t="s">
        <v>93</v>
      </c>
      <c r="C133" t="s">
        <v>128</v>
      </c>
      <c r="D133" t="s">
        <v>177</v>
      </c>
      <c r="E133">
        <v>2</v>
      </c>
      <c r="F133" t="b">
        <v>1</v>
      </c>
    </row>
    <row r="134" spans="1:6" x14ac:dyDescent="0.25">
      <c r="A134" t="s">
        <v>114</v>
      </c>
      <c r="B134" t="s">
        <v>93</v>
      </c>
      <c r="C134" t="s">
        <v>130</v>
      </c>
      <c r="D134" t="s">
        <v>177</v>
      </c>
      <c r="E134">
        <v>2</v>
      </c>
      <c r="F134" t="b">
        <v>1</v>
      </c>
    </row>
    <row r="135" spans="1:6" x14ac:dyDescent="0.25">
      <c r="A135" t="s">
        <v>114</v>
      </c>
      <c r="B135" t="s">
        <v>93</v>
      </c>
      <c r="C135" t="s">
        <v>94</v>
      </c>
      <c r="D135" t="s">
        <v>177</v>
      </c>
      <c r="E135">
        <v>2</v>
      </c>
      <c r="F135" t="b">
        <v>1</v>
      </c>
    </row>
    <row r="136" spans="1:6" x14ac:dyDescent="0.25">
      <c r="A136" t="s">
        <v>114</v>
      </c>
      <c r="B136" t="s">
        <v>93</v>
      </c>
      <c r="C136" t="s">
        <v>132</v>
      </c>
      <c r="E136">
        <v>0</v>
      </c>
      <c r="F136" t="b">
        <v>0</v>
      </c>
    </row>
    <row r="137" spans="1:6" x14ac:dyDescent="0.25">
      <c r="A137" t="s">
        <v>114</v>
      </c>
      <c r="B137" t="s">
        <v>93</v>
      </c>
      <c r="C137" t="s">
        <v>135</v>
      </c>
      <c r="D137" t="s">
        <v>17</v>
      </c>
      <c r="E137">
        <v>1</v>
      </c>
      <c r="F137" t="b">
        <v>1</v>
      </c>
    </row>
    <row r="138" spans="1:6" x14ac:dyDescent="0.25">
      <c r="A138" t="s">
        <v>114</v>
      </c>
      <c r="B138" t="s">
        <v>110</v>
      </c>
      <c r="C138" t="s">
        <v>142</v>
      </c>
      <c r="D138" t="s">
        <v>188</v>
      </c>
      <c r="E138">
        <v>4</v>
      </c>
      <c r="F138" t="b">
        <v>1</v>
      </c>
    </row>
    <row r="139" spans="1:6" x14ac:dyDescent="0.25">
      <c r="A139" t="s">
        <v>114</v>
      </c>
      <c r="B139" t="s">
        <v>110</v>
      </c>
      <c r="C139" t="s">
        <v>137</v>
      </c>
      <c r="D139" t="s">
        <v>189</v>
      </c>
      <c r="E139">
        <v>3</v>
      </c>
      <c r="F139" t="b">
        <v>1</v>
      </c>
    </row>
    <row r="140" spans="1:6" x14ac:dyDescent="0.25">
      <c r="A140" t="s">
        <v>114</v>
      </c>
      <c r="B140" t="s">
        <v>110</v>
      </c>
      <c r="C140" t="s">
        <v>138</v>
      </c>
      <c r="E140">
        <v>0</v>
      </c>
      <c r="F140" t="b">
        <v>0</v>
      </c>
    </row>
    <row r="141" spans="1:6" x14ac:dyDescent="0.25">
      <c r="A141" t="s">
        <v>114</v>
      </c>
      <c r="B141" t="s">
        <v>110</v>
      </c>
      <c r="C141" t="s">
        <v>111</v>
      </c>
      <c r="D141" t="s">
        <v>17</v>
      </c>
      <c r="E141">
        <v>1</v>
      </c>
      <c r="F141" t="b">
        <v>1</v>
      </c>
    </row>
    <row r="142" spans="1:6" x14ac:dyDescent="0.25">
      <c r="A142" t="s">
        <v>114</v>
      </c>
      <c r="B142" t="s">
        <v>110</v>
      </c>
      <c r="C142" t="s">
        <v>140</v>
      </c>
      <c r="D142" t="s">
        <v>177</v>
      </c>
      <c r="E142">
        <v>2</v>
      </c>
      <c r="F142" t="b">
        <v>1</v>
      </c>
    </row>
    <row r="143" spans="1:6" x14ac:dyDescent="0.25">
      <c r="A143" t="s">
        <v>114</v>
      </c>
      <c r="B143" t="s">
        <v>110</v>
      </c>
      <c r="C143" t="s">
        <v>146</v>
      </c>
      <c r="D143" t="s">
        <v>189</v>
      </c>
      <c r="E143">
        <v>3</v>
      </c>
      <c r="F143" t="b">
        <v>1</v>
      </c>
    </row>
    <row r="144" spans="1:6" x14ac:dyDescent="0.25">
      <c r="A144" t="s">
        <v>133</v>
      </c>
      <c r="B144" t="s">
        <v>43</v>
      </c>
      <c r="C144" t="s">
        <v>57</v>
      </c>
      <c r="D144" t="s">
        <v>190</v>
      </c>
      <c r="E144">
        <v>8</v>
      </c>
      <c r="F144" t="b">
        <v>1</v>
      </c>
    </row>
    <row r="145" spans="1:6" x14ac:dyDescent="0.25">
      <c r="A145" t="s">
        <v>133</v>
      </c>
      <c r="B145" t="s">
        <v>46</v>
      </c>
      <c r="C145" t="s">
        <v>51</v>
      </c>
      <c r="D145" t="s">
        <v>17</v>
      </c>
      <c r="E145">
        <v>1</v>
      </c>
      <c r="F145" t="b">
        <v>1</v>
      </c>
    </row>
    <row r="146" spans="1:6" x14ac:dyDescent="0.25">
      <c r="A146" t="s">
        <v>114</v>
      </c>
      <c r="B146" t="s">
        <v>110</v>
      </c>
      <c r="C146" t="s">
        <v>148</v>
      </c>
      <c r="D146" t="s">
        <v>177</v>
      </c>
      <c r="E146">
        <v>2</v>
      </c>
      <c r="F146" t="b">
        <v>1</v>
      </c>
    </row>
    <row r="147" spans="1:6" x14ac:dyDescent="0.25">
      <c r="A147" t="s">
        <v>133</v>
      </c>
      <c r="B147" t="s">
        <v>110</v>
      </c>
      <c r="C147" t="s">
        <v>142</v>
      </c>
      <c r="D147" t="s">
        <v>191</v>
      </c>
      <c r="E147">
        <v>7</v>
      </c>
      <c r="F147" t="b">
        <v>1</v>
      </c>
    </row>
    <row r="148" spans="1:6" x14ac:dyDescent="0.25">
      <c r="A148" t="s">
        <v>114</v>
      </c>
      <c r="B148" t="s">
        <v>110</v>
      </c>
      <c r="C148" t="s">
        <v>149</v>
      </c>
      <c r="D148" t="s">
        <v>177</v>
      </c>
      <c r="E148">
        <v>2</v>
      </c>
      <c r="F148" t="b">
        <v>1</v>
      </c>
    </row>
    <row r="149" spans="1:6" x14ac:dyDescent="0.25">
      <c r="A149" t="s">
        <v>133</v>
      </c>
      <c r="B149" t="s">
        <v>110</v>
      </c>
      <c r="C149" t="s">
        <v>137</v>
      </c>
      <c r="D149" t="s">
        <v>192</v>
      </c>
      <c r="E149">
        <v>2</v>
      </c>
      <c r="F149" t="b">
        <v>1</v>
      </c>
    </row>
    <row r="150" spans="1:6" x14ac:dyDescent="0.25">
      <c r="A150" t="s">
        <v>114</v>
      </c>
      <c r="B150" t="s">
        <v>110</v>
      </c>
      <c r="C150" t="s">
        <v>151</v>
      </c>
      <c r="D150" t="s">
        <v>177</v>
      </c>
      <c r="E150">
        <v>2</v>
      </c>
      <c r="F150" t="b">
        <v>1</v>
      </c>
    </row>
    <row r="151" spans="1:6" x14ac:dyDescent="0.25">
      <c r="A151" t="s">
        <v>133</v>
      </c>
      <c r="B151" t="s">
        <v>110</v>
      </c>
      <c r="C151" t="s">
        <v>111</v>
      </c>
      <c r="D151" t="s">
        <v>17</v>
      </c>
      <c r="E151">
        <v>1</v>
      </c>
      <c r="F151" t="b">
        <v>1</v>
      </c>
    </row>
    <row r="152" spans="1:6" x14ac:dyDescent="0.25">
      <c r="A152" t="s">
        <v>114</v>
      </c>
      <c r="B152" t="s">
        <v>59</v>
      </c>
      <c r="C152" t="s">
        <v>154</v>
      </c>
      <c r="D152" t="s">
        <v>29</v>
      </c>
      <c r="E152">
        <v>1</v>
      </c>
      <c r="F152" t="b">
        <v>1</v>
      </c>
    </row>
    <row r="153" spans="1:6" x14ac:dyDescent="0.25">
      <c r="A153" t="s">
        <v>133</v>
      </c>
      <c r="B153" t="s">
        <v>110</v>
      </c>
      <c r="C153" t="s">
        <v>146</v>
      </c>
      <c r="D153" t="s">
        <v>192</v>
      </c>
      <c r="E153">
        <v>2</v>
      </c>
      <c r="F153" t="b">
        <v>1</v>
      </c>
    </row>
    <row r="154" spans="1:6" x14ac:dyDescent="0.25">
      <c r="A154" t="s">
        <v>114</v>
      </c>
      <c r="B154" t="s">
        <v>59</v>
      </c>
      <c r="C154" t="s">
        <v>156</v>
      </c>
      <c r="D154" t="s">
        <v>177</v>
      </c>
      <c r="E154">
        <v>2</v>
      </c>
      <c r="F154" t="b">
        <v>1</v>
      </c>
    </row>
    <row r="155" spans="1:6" x14ac:dyDescent="0.25">
      <c r="A155" t="s">
        <v>133</v>
      </c>
      <c r="B155" t="s">
        <v>93</v>
      </c>
      <c r="C155" t="s">
        <v>135</v>
      </c>
      <c r="D155" t="s">
        <v>193</v>
      </c>
      <c r="E155">
        <v>2</v>
      </c>
      <c r="F155" t="b">
        <v>1</v>
      </c>
    </row>
    <row r="156" spans="1:6" x14ac:dyDescent="0.25">
      <c r="A156" t="s">
        <v>114</v>
      </c>
      <c r="B156" t="s">
        <v>59</v>
      </c>
      <c r="C156" t="s">
        <v>96</v>
      </c>
      <c r="D156" t="s">
        <v>29</v>
      </c>
      <c r="E156">
        <v>1</v>
      </c>
      <c r="F156" t="b">
        <v>1</v>
      </c>
    </row>
    <row r="157" spans="1:6" x14ac:dyDescent="0.25">
      <c r="A157" t="s">
        <v>152</v>
      </c>
      <c r="B157" t="s">
        <v>43</v>
      </c>
      <c r="C157" t="s">
        <v>57</v>
      </c>
      <c r="D157" t="s">
        <v>58</v>
      </c>
      <c r="E157">
        <v>2</v>
      </c>
      <c r="F157" t="b">
        <v>1</v>
      </c>
    </row>
    <row r="158" spans="1:6" x14ac:dyDescent="0.25">
      <c r="A158" t="s">
        <v>114</v>
      </c>
      <c r="B158" t="s">
        <v>59</v>
      </c>
      <c r="C158" t="s">
        <v>158</v>
      </c>
      <c r="D158" t="s">
        <v>177</v>
      </c>
      <c r="E158">
        <v>2</v>
      </c>
      <c r="F158" t="b">
        <v>1</v>
      </c>
    </row>
    <row r="159" spans="1:6" x14ac:dyDescent="0.25">
      <c r="A159" t="s">
        <v>152</v>
      </c>
      <c r="B159" t="s">
        <v>46</v>
      </c>
      <c r="C159" t="s">
        <v>51</v>
      </c>
      <c r="D159" t="s">
        <v>17</v>
      </c>
      <c r="E159">
        <v>1</v>
      </c>
      <c r="F159" t="b">
        <v>1</v>
      </c>
    </row>
    <row r="160" spans="1:6" x14ac:dyDescent="0.25">
      <c r="A160" t="s">
        <v>114</v>
      </c>
      <c r="B160" t="s">
        <v>59</v>
      </c>
      <c r="C160" t="s">
        <v>60</v>
      </c>
      <c r="D160" t="s">
        <v>177</v>
      </c>
      <c r="E160">
        <v>2</v>
      </c>
      <c r="F160" t="b">
        <v>1</v>
      </c>
    </row>
    <row r="161" spans="1:6" x14ac:dyDescent="0.25">
      <c r="A161" t="s">
        <v>152</v>
      </c>
      <c r="B161" t="s">
        <v>110</v>
      </c>
      <c r="C161" t="s">
        <v>142</v>
      </c>
      <c r="D161" t="s">
        <v>58</v>
      </c>
      <c r="E161">
        <v>2</v>
      </c>
      <c r="F161" t="b">
        <v>1</v>
      </c>
    </row>
    <row r="162" spans="1:6" x14ac:dyDescent="0.25">
      <c r="A162" t="s">
        <v>114</v>
      </c>
      <c r="B162" t="s">
        <v>160</v>
      </c>
      <c r="C162" t="s">
        <v>161</v>
      </c>
      <c r="D162" t="s">
        <v>177</v>
      </c>
      <c r="E162">
        <v>2</v>
      </c>
      <c r="F162" t="b">
        <v>1</v>
      </c>
    </row>
    <row r="163" spans="1:6" x14ac:dyDescent="0.25">
      <c r="A163" t="s">
        <v>152</v>
      </c>
      <c r="B163" t="s">
        <v>110</v>
      </c>
      <c r="C163" t="s">
        <v>137</v>
      </c>
      <c r="D163" t="s">
        <v>17</v>
      </c>
      <c r="E163">
        <v>1</v>
      </c>
      <c r="F163" t="b">
        <v>1</v>
      </c>
    </row>
    <row r="164" spans="1:6" x14ac:dyDescent="0.25">
      <c r="A164" t="s">
        <v>114</v>
      </c>
      <c r="B164" t="s">
        <v>160</v>
      </c>
      <c r="C164" t="s">
        <v>163</v>
      </c>
      <c r="E164">
        <v>0</v>
      </c>
      <c r="F164" t="b">
        <v>0</v>
      </c>
    </row>
    <row r="165" spans="1:6" x14ac:dyDescent="0.25">
      <c r="A165" t="s">
        <v>152</v>
      </c>
      <c r="B165" t="s">
        <v>110</v>
      </c>
      <c r="C165" t="s">
        <v>111</v>
      </c>
      <c r="D165" t="s">
        <v>17</v>
      </c>
      <c r="E165">
        <v>1</v>
      </c>
      <c r="F165" t="b">
        <v>1</v>
      </c>
    </row>
    <row r="166" spans="1:6" x14ac:dyDescent="0.25">
      <c r="A166" t="s">
        <v>114</v>
      </c>
      <c r="B166" t="s">
        <v>160</v>
      </c>
      <c r="C166" t="s">
        <v>165</v>
      </c>
      <c r="D166" t="s">
        <v>177</v>
      </c>
      <c r="E166">
        <v>2</v>
      </c>
      <c r="F166" t="b">
        <v>1</v>
      </c>
    </row>
    <row r="167" spans="1:6" x14ac:dyDescent="0.25">
      <c r="A167" t="s">
        <v>152</v>
      </c>
      <c r="B167" t="s">
        <v>110</v>
      </c>
      <c r="C167" t="s">
        <v>146</v>
      </c>
      <c r="D167" t="s">
        <v>17</v>
      </c>
      <c r="E167">
        <v>1</v>
      </c>
      <c r="F167" t="b">
        <v>1</v>
      </c>
    </row>
    <row r="168" spans="1:6" x14ac:dyDescent="0.25">
      <c r="A168" t="s">
        <v>114</v>
      </c>
      <c r="B168" t="s">
        <v>160</v>
      </c>
      <c r="C168" t="s">
        <v>166</v>
      </c>
      <c r="D168" t="s">
        <v>177</v>
      </c>
      <c r="E168">
        <v>2</v>
      </c>
      <c r="F168" t="b">
        <v>1</v>
      </c>
    </row>
    <row r="169" spans="1:6" x14ac:dyDescent="0.25">
      <c r="A169" t="s">
        <v>152</v>
      </c>
      <c r="B169" t="s">
        <v>93</v>
      </c>
      <c r="C169" t="s">
        <v>135</v>
      </c>
      <c r="D169" t="s">
        <v>17</v>
      </c>
      <c r="E169">
        <v>1</v>
      </c>
      <c r="F169" t="b">
        <v>1</v>
      </c>
    </row>
    <row r="170" spans="1:6" x14ac:dyDescent="0.25">
      <c r="A170" t="s">
        <v>114</v>
      </c>
      <c r="B170" t="s">
        <v>160</v>
      </c>
      <c r="C170" t="s">
        <v>168</v>
      </c>
      <c r="D170" t="s">
        <v>177</v>
      </c>
      <c r="E170">
        <v>2</v>
      </c>
      <c r="F170" t="b">
        <v>1</v>
      </c>
    </row>
    <row r="171" spans="1:6" x14ac:dyDescent="0.25">
      <c r="A171" t="s">
        <v>114</v>
      </c>
      <c r="B171" t="s">
        <v>160</v>
      </c>
      <c r="C171" t="s">
        <v>171</v>
      </c>
      <c r="E171">
        <v>0</v>
      </c>
      <c r="F171" t="b">
        <v>0</v>
      </c>
    </row>
    <row r="172" spans="1:6" x14ac:dyDescent="0.25">
      <c r="A172" t="s">
        <v>114</v>
      </c>
      <c r="B172" t="s">
        <v>160</v>
      </c>
      <c r="C172" t="s">
        <v>173</v>
      </c>
      <c r="D172" t="s">
        <v>177</v>
      </c>
      <c r="E172">
        <v>2</v>
      </c>
      <c r="F172" t="b">
        <v>1</v>
      </c>
    </row>
    <row r="173" spans="1:6" x14ac:dyDescent="0.25">
      <c r="A173" t="s">
        <v>133</v>
      </c>
      <c r="B173" t="s">
        <v>43</v>
      </c>
      <c r="C173" t="s">
        <v>61</v>
      </c>
      <c r="D173" t="s">
        <v>194</v>
      </c>
      <c r="E173">
        <v>6</v>
      </c>
      <c r="F173" t="b">
        <v>1</v>
      </c>
    </row>
    <row r="174" spans="1:6" x14ac:dyDescent="0.25">
      <c r="A174" t="s">
        <v>133</v>
      </c>
      <c r="B174" t="s">
        <v>43</v>
      </c>
      <c r="C174" t="s">
        <v>66</v>
      </c>
      <c r="D174" t="s">
        <v>195</v>
      </c>
      <c r="E174">
        <v>4</v>
      </c>
      <c r="F174" t="b">
        <v>1</v>
      </c>
    </row>
    <row r="175" spans="1:6" x14ac:dyDescent="0.25">
      <c r="A175" t="s">
        <v>133</v>
      </c>
      <c r="B175" t="s">
        <v>69</v>
      </c>
      <c r="C175" t="s">
        <v>70</v>
      </c>
      <c r="D175" t="s">
        <v>196</v>
      </c>
      <c r="E175">
        <v>3</v>
      </c>
      <c r="F175" t="b">
        <v>1</v>
      </c>
    </row>
    <row r="176" spans="1:6" x14ac:dyDescent="0.25">
      <c r="A176" t="s">
        <v>133</v>
      </c>
      <c r="B176" t="s">
        <v>69</v>
      </c>
      <c r="C176" t="s">
        <v>77</v>
      </c>
      <c r="D176" t="s">
        <v>197</v>
      </c>
      <c r="E176">
        <v>4</v>
      </c>
      <c r="F176" t="b">
        <v>1</v>
      </c>
    </row>
    <row r="177" spans="1:6" x14ac:dyDescent="0.25">
      <c r="A177" t="s">
        <v>133</v>
      </c>
      <c r="B177" t="s">
        <v>69</v>
      </c>
      <c r="C177" t="s">
        <v>79</v>
      </c>
      <c r="D177" t="s">
        <v>12</v>
      </c>
      <c r="E177">
        <v>1</v>
      </c>
      <c r="F177" t="b">
        <v>1</v>
      </c>
    </row>
    <row r="178" spans="1:6" x14ac:dyDescent="0.25">
      <c r="A178" t="s">
        <v>133</v>
      </c>
      <c r="B178" t="s">
        <v>69</v>
      </c>
      <c r="C178" t="s">
        <v>82</v>
      </c>
      <c r="D178" t="s">
        <v>198</v>
      </c>
      <c r="E178">
        <v>3</v>
      </c>
      <c r="F178" t="b">
        <v>1</v>
      </c>
    </row>
    <row r="179" spans="1:6" x14ac:dyDescent="0.25">
      <c r="A179" t="s">
        <v>133</v>
      </c>
      <c r="B179" t="s">
        <v>71</v>
      </c>
      <c r="C179" t="s">
        <v>86</v>
      </c>
      <c r="D179" t="s">
        <v>199</v>
      </c>
      <c r="E179">
        <v>7</v>
      </c>
      <c r="F179" t="b">
        <v>1</v>
      </c>
    </row>
    <row r="180" spans="1:6" x14ac:dyDescent="0.25">
      <c r="A180" t="s">
        <v>133</v>
      </c>
      <c r="B180" t="s">
        <v>71</v>
      </c>
      <c r="C180" t="s">
        <v>90</v>
      </c>
      <c r="E180">
        <v>0</v>
      </c>
      <c r="F180" t="b">
        <v>0</v>
      </c>
    </row>
    <row r="181" spans="1:6" x14ac:dyDescent="0.25">
      <c r="A181" t="s">
        <v>133</v>
      </c>
      <c r="B181" t="s">
        <v>71</v>
      </c>
      <c r="C181" t="s">
        <v>98</v>
      </c>
      <c r="D181" t="s">
        <v>200</v>
      </c>
      <c r="E181">
        <v>2</v>
      </c>
      <c r="F181" t="b">
        <v>1</v>
      </c>
    </row>
    <row r="182" spans="1:6" x14ac:dyDescent="0.25">
      <c r="A182" t="s">
        <v>133</v>
      </c>
      <c r="B182" t="s">
        <v>71</v>
      </c>
      <c r="C182" t="s">
        <v>99</v>
      </c>
      <c r="D182" t="s">
        <v>201</v>
      </c>
      <c r="E182">
        <v>2</v>
      </c>
      <c r="F182" t="b">
        <v>1</v>
      </c>
    </row>
    <row r="183" spans="1:6" x14ac:dyDescent="0.25">
      <c r="A183" t="s">
        <v>133</v>
      </c>
      <c r="B183" t="s">
        <v>83</v>
      </c>
      <c r="C183" t="s">
        <v>100</v>
      </c>
      <c r="E183">
        <v>0</v>
      </c>
      <c r="F183" t="b">
        <v>0</v>
      </c>
    </row>
    <row r="184" spans="1:6" x14ac:dyDescent="0.25">
      <c r="A184" t="s">
        <v>133</v>
      </c>
      <c r="B184" t="s">
        <v>83</v>
      </c>
      <c r="C184" t="s">
        <v>103</v>
      </c>
      <c r="D184" t="s">
        <v>202</v>
      </c>
      <c r="E184">
        <v>6</v>
      </c>
      <c r="F184" t="b">
        <v>1</v>
      </c>
    </row>
    <row r="185" spans="1:6" x14ac:dyDescent="0.25">
      <c r="A185" t="s">
        <v>133</v>
      </c>
      <c r="B185" t="s">
        <v>83</v>
      </c>
      <c r="C185" t="s">
        <v>91</v>
      </c>
      <c r="D185" t="s">
        <v>29</v>
      </c>
      <c r="E185">
        <v>1</v>
      </c>
      <c r="F185" t="b">
        <v>1</v>
      </c>
    </row>
    <row r="186" spans="1:6" x14ac:dyDescent="0.25">
      <c r="A186" t="s">
        <v>133</v>
      </c>
      <c r="B186" t="s">
        <v>46</v>
      </c>
      <c r="C186" t="s">
        <v>124</v>
      </c>
      <c r="D186" t="s">
        <v>125</v>
      </c>
      <c r="E186">
        <v>3</v>
      </c>
      <c r="F186" t="b">
        <v>1</v>
      </c>
    </row>
    <row r="187" spans="1:6" x14ac:dyDescent="0.25">
      <c r="A187" t="s">
        <v>133</v>
      </c>
      <c r="B187" t="s">
        <v>83</v>
      </c>
      <c r="C187" t="s">
        <v>84</v>
      </c>
      <c r="E187">
        <v>0</v>
      </c>
      <c r="F187" t="b">
        <v>0</v>
      </c>
    </row>
    <row r="188" spans="1:6" x14ac:dyDescent="0.25">
      <c r="A188" t="s">
        <v>133</v>
      </c>
      <c r="B188" t="s">
        <v>63</v>
      </c>
      <c r="C188" t="s">
        <v>113</v>
      </c>
      <c r="D188" t="s">
        <v>9</v>
      </c>
      <c r="E188">
        <v>1</v>
      </c>
      <c r="F188" t="b">
        <v>1</v>
      </c>
    </row>
    <row r="189" spans="1:6" x14ac:dyDescent="0.25">
      <c r="A189" t="s">
        <v>133</v>
      </c>
      <c r="B189" t="s">
        <v>63</v>
      </c>
      <c r="C189" t="s">
        <v>116</v>
      </c>
      <c r="E189">
        <v>0</v>
      </c>
      <c r="F189" t="b">
        <v>0</v>
      </c>
    </row>
    <row r="190" spans="1:6" x14ac:dyDescent="0.25">
      <c r="A190" t="s">
        <v>133</v>
      </c>
      <c r="B190" t="s">
        <v>63</v>
      </c>
      <c r="C190" t="s">
        <v>64</v>
      </c>
      <c r="D190" t="s">
        <v>24</v>
      </c>
      <c r="E190">
        <v>1</v>
      </c>
      <c r="F190" t="b">
        <v>1</v>
      </c>
    </row>
    <row r="191" spans="1:6" x14ac:dyDescent="0.25">
      <c r="A191" t="s">
        <v>133</v>
      </c>
      <c r="B191" t="s">
        <v>63</v>
      </c>
      <c r="C191" t="s">
        <v>76</v>
      </c>
      <c r="E191">
        <v>0</v>
      </c>
      <c r="F191" t="b">
        <v>0</v>
      </c>
    </row>
    <row r="192" spans="1:6" x14ac:dyDescent="0.25">
      <c r="A192" t="s">
        <v>133</v>
      </c>
      <c r="B192" t="s">
        <v>46</v>
      </c>
      <c r="C192" t="s">
        <v>123</v>
      </c>
      <c r="D192" t="s">
        <v>203</v>
      </c>
      <c r="E192">
        <v>2</v>
      </c>
      <c r="F192" t="b">
        <v>1</v>
      </c>
    </row>
    <row r="193" spans="1:6" x14ac:dyDescent="0.25">
      <c r="A193" t="s">
        <v>133</v>
      </c>
      <c r="B193" t="s">
        <v>63</v>
      </c>
      <c r="C193" t="s">
        <v>120</v>
      </c>
      <c r="E193">
        <v>0</v>
      </c>
      <c r="F193" t="b">
        <v>0</v>
      </c>
    </row>
    <row r="194" spans="1:6" x14ac:dyDescent="0.25">
      <c r="A194" t="s">
        <v>133</v>
      </c>
      <c r="B194" t="s">
        <v>63</v>
      </c>
      <c r="C194" t="s">
        <v>122</v>
      </c>
      <c r="E194">
        <v>0</v>
      </c>
      <c r="F194" t="b">
        <v>0</v>
      </c>
    </row>
    <row r="195" spans="1:6" x14ac:dyDescent="0.25">
      <c r="A195" t="s">
        <v>133</v>
      </c>
      <c r="B195" t="s">
        <v>46</v>
      </c>
      <c r="C195" t="s">
        <v>55</v>
      </c>
      <c r="D195" t="s">
        <v>204</v>
      </c>
      <c r="E195">
        <v>4</v>
      </c>
      <c r="F195" t="b">
        <v>1</v>
      </c>
    </row>
    <row r="196" spans="1:6" x14ac:dyDescent="0.25">
      <c r="A196" t="s">
        <v>133</v>
      </c>
      <c r="B196" t="s">
        <v>93</v>
      </c>
      <c r="C196" t="s">
        <v>108</v>
      </c>
      <c r="E196">
        <v>0</v>
      </c>
      <c r="F196" t="b">
        <v>0</v>
      </c>
    </row>
    <row r="197" spans="1:6" x14ac:dyDescent="0.25">
      <c r="A197" t="s">
        <v>152</v>
      </c>
      <c r="B197" t="s">
        <v>69</v>
      </c>
      <c r="C197" t="s">
        <v>82</v>
      </c>
      <c r="D197" t="s">
        <v>19</v>
      </c>
      <c r="E197">
        <v>1</v>
      </c>
      <c r="F197" t="b">
        <v>1</v>
      </c>
    </row>
    <row r="198" spans="1:6" x14ac:dyDescent="0.25">
      <c r="A198" t="s">
        <v>133</v>
      </c>
      <c r="B198" t="s">
        <v>93</v>
      </c>
      <c r="C198" t="s">
        <v>128</v>
      </c>
      <c r="D198" t="s">
        <v>205</v>
      </c>
      <c r="E198">
        <v>2</v>
      </c>
      <c r="F198" t="b">
        <v>1</v>
      </c>
    </row>
    <row r="199" spans="1:6" x14ac:dyDescent="0.25">
      <c r="A199" t="s">
        <v>152</v>
      </c>
      <c r="B199" t="s">
        <v>71</v>
      </c>
      <c r="C199" t="s">
        <v>99</v>
      </c>
      <c r="D199" t="s">
        <v>19</v>
      </c>
      <c r="E199">
        <v>1</v>
      </c>
      <c r="F199" t="b">
        <v>1</v>
      </c>
    </row>
    <row r="200" spans="1:6" x14ac:dyDescent="0.25">
      <c r="A200" t="s">
        <v>133</v>
      </c>
      <c r="B200" t="s">
        <v>93</v>
      </c>
      <c r="C200" t="s">
        <v>130</v>
      </c>
      <c r="D200" t="s">
        <v>29</v>
      </c>
      <c r="E200">
        <v>1</v>
      </c>
      <c r="F200" t="b">
        <v>1</v>
      </c>
    </row>
    <row r="201" spans="1:6" x14ac:dyDescent="0.25">
      <c r="A201" t="s">
        <v>152</v>
      </c>
      <c r="B201" t="s">
        <v>46</v>
      </c>
      <c r="C201" t="s">
        <v>124</v>
      </c>
      <c r="D201" t="s">
        <v>19</v>
      </c>
      <c r="E201">
        <v>1</v>
      </c>
      <c r="F201" t="b">
        <v>1</v>
      </c>
    </row>
    <row r="202" spans="1:6" x14ac:dyDescent="0.25">
      <c r="A202" t="s">
        <v>133</v>
      </c>
      <c r="B202" t="s">
        <v>93</v>
      </c>
      <c r="C202" t="s">
        <v>94</v>
      </c>
      <c r="D202" t="s">
        <v>206</v>
      </c>
      <c r="E202">
        <v>4</v>
      </c>
      <c r="F202" t="b">
        <v>1</v>
      </c>
    </row>
    <row r="203" spans="1:6" x14ac:dyDescent="0.25">
      <c r="A203" t="s">
        <v>133</v>
      </c>
      <c r="B203" t="s">
        <v>93</v>
      </c>
      <c r="C203" t="s">
        <v>132</v>
      </c>
      <c r="E203">
        <v>0</v>
      </c>
      <c r="F203" t="b">
        <v>0</v>
      </c>
    </row>
    <row r="204" spans="1:6" x14ac:dyDescent="0.25">
      <c r="A204" t="s">
        <v>169</v>
      </c>
      <c r="B204" t="s">
        <v>43</v>
      </c>
      <c r="C204" t="s">
        <v>57</v>
      </c>
      <c r="D204" t="s">
        <v>207</v>
      </c>
      <c r="E204">
        <v>6</v>
      </c>
      <c r="F204" t="b">
        <v>1</v>
      </c>
    </row>
    <row r="205" spans="1:6" x14ac:dyDescent="0.25">
      <c r="A205" t="s">
        <v>133</v>
      </c>
      <c r="B205" t="s">
        <v>110</v>
      </c>
      <c r="C205" t="s">
        <v>138</v>
      </c>
      <c r="D205" t="s">
        <v>9</v>
      </c>
      <c r="E205">
        <v>1</v>
      </c>
      <c r="F205" t="b">
        <v>1</v>
      </c>
    </row>
    <row r="206" spans="1:6" x14ac:dyDescent="0.25">
      <c r="A206" t="s">
        <v>133</v>
      </c>
      <c r="B206" t="s">
        <v>110</v>
      </c>
      <c r="C206" t="s">
        <v>140</v>
      </c>
      <c r="D206" t="s">
        <v>208</v>
      </c>
      <c r="E206">
        <v>3</v>
      </c>
      <c r="F206" t="b">
        <v>1</v>
      </c>
    </row>
    <row r="207" spans="1:6" x14ac:dyDescent="0.25">
      <c r="A207" t="s">
        <v>133</v>
      </c>
      <c r="B207" t="s">
        <v>110</v>
      </c>
      <c r="C207" t="s">
        <v>148</v>
      </c>
      <c r="D207" t="s">
        <v>29</v>
      </c>
      <c r="E207">
        <v>1</v>
      </c>
      <c r="F207" t="b">
        <v>1</v>
      </c>
    </row>
    <row r="208" spans="1:6" x14ac:dyDescent="0.25">
      <c r="A208" t="s">
        <v>133</v>
      </c>
      <c r="B208" t="s">
        <v>110</v>
      </c>
      <c r="C208" t="s">
        <v>149</v>
      </c>
      <c r="D208" t="s">
        <v>29</v>
      </c>
      <c r="E208">
        <v>1</v>
      </c>
      <c r="F208" t="b">
        <v>1</v>
      </c>
    </row>
    <row r="209" spans="1:6" x14ac:dyDescent="0.25">
      <c r="A209" t="s">
        <v>133</v>
      </c>
      <c r="B209" t="s">
        <v>110</v>
      </c>
      <c r="C209" t="s">
        <v>151</v>
      </c>
      <c r="D209" t="s">
        <v>29</v>
      </c>
      <c r="E209">
        <v>1</v>
      </c>
      <c r="F209" t="b">
        <v>1</v>
      </c>
    </row>
    <row r="210" spans="1:6" x14ac:dyDescent="0.25">
      <c r="A210" t="s">
        <v>133</v>
      </c>
      <c r="B210" t="s">
        <v>59</v>
      </c>
      <c r="C210" t="s">
        <v>154</v>
      </c>
      <c r="D210" t="s">
        <v>29</v>
      </c>
      <c r="E210">
        <v>1</v>
      </c>
      <c r="F210" t="b">
        <v>1</v>
      </c>
    </row>
    <row r="211" spans="1:6" x14ac:dyDescent="0.25">
      <c r="A211" t="s">
        <v>133</v>
      </c>
      <c r="B211" t="s">
        <v>59</v>
      </c>
      <c r="C211" t="s">
        <v>156</v>
      </c>
      <c r="D211" t="s">
        <v>29</v>
      </c>
      <c r="E211">
        <v>1</v>
      </c>
      <c r="F211" t="b">
        <v>1</v>
      </c>
    </row>
    <row r="212" spans="1:6" x14ac:dyDescent="0.25">
      <c r="A212" t="s">
        <v>133</v>
      </c>
      <c r="B212" t="s">
        <v>59</v>
      </c>
      <c r="C212" t="s">
        <v>96</v>
      </c>
      <c r="D212" t="s">
        <v>209</v>
      </c>
      <c r="E212">
        <v>2</v>
      </c>
      <c r="F212" t="b">
        <v>1</v>
      </c>
    </row>
    <row r="213" spans="1:6" x14ac:dyDescent="0.25">
      <c r="A213" t="s">
        <v>133</v>
      </c>
      <c r="B213" t="s">
        <v>59</v>
      </c>
      <c r="C213" t="s">
        <v>158</v>
      </c>
      <c r="D213" t="s">
        <v>210</v>
      </c>
      <c r="E213">
        <v>2</v>
      </c>
      <c r="F213" t="b">
        <v>1</v>
      </c>
    </row>
    <row r="214" spans="1:6" x14ac:dyDescent="0.25">
      <c r="A214" t="s">
        <v>133</v>
      </c>
      <c r="B214" t="s">
        <v>59</v>
      </c>
      <c r="C214" t="s">
        <v>60</v>
      </c>
      <c r="D214" t="s">
        <v>208</v>
      </c>
      <c r="E214">
        <v>3</v>
      </c>
      <c r="F214" t="b">
        <v>1</v>
      </c>
    </row>
    <row r="215" spans="1:6" x14ac:dyDescent="0.25">
      <c r="A215" t="s">
        <v>133</v>
      </c>
      <c r="B215" t="s">
        <v>160</v>
      </c>
      <c r="C215" t="s">
        <v>161</v>
      </c>
      <c r="D215" t="s">
        <v>29</v>
      </c>
      <c r="E215">
        <v>1</v>
      </c>
      <c r="F215" t="b">
        <v>1</v>
      </c>
    </row>
    <row r="216" spans="1:6" x14ac:dyDescent="0.25">
      <c r="A216" t="s">
        <v>133</v>
      </c>
      <c r="B216" t="s">
        <v>160</v>
      </c>
      <c r="C216" t="s">
        <v>163</v>
      </c>
      <c r="D216" t="s">
        <v>211</v>
      </c>
      <c r="E216">
        <v>2</v>
      </c>
      <c r="F216" t="b">
        <v>1</v>
      </c>
    </row>
    <row r="217" spans="1:6" x14ac:dyDescent="0.25">
      <c r="A217" t="s">
        <v>133</v>
      </c>
      <c r="B217" t="s">
        <v>160</v>
      </c>
      <c r="C217" t="s">
        <v>165</v>
      </c>
      <c r="D217" t="s">
        <v>209</v>
      </c>
      <c r="E217">
        <v>2</v>
      </c>
      <c r="F217" t="b">
        <v>1</v>
      </c>
    </row>
    <row r="218" spans="1:6" x14ac:dyDescent="0.25">
      <c r="A218" t="s">
        <v>133</v>
      </c>
      <c r="B218" t="s">
        <v>160</v>
      </c>
      <c r="C218" t="s">
        <v>166</v>
      </c>
      <c r="D218" t="s">
        <v>212</v>
      </c>
      <c r="E218">
        <v>3</v>
      </c>
      <c r="F218" t="b">
        <v>1</v>
      </c>
    </row>
    <row r="219" spans="1:6" x14ac:dyDescent="0.25">
      <c r="A219" t="s">
        <v>133</v>
      </c>
      <c r="B219" t="s">
        <v>160</v>
      </c>
      <c r="C219" t="s">
        <v>168</v>
      </c>
      <c r="D219" t="s">
        <v>209</v>
      </c>
      <c r="E219">
        <v>2</v>
      </c>
      <c r="F219" t="b">
        <v>1</v>
      </c>
    </row>
    <row r="220" spans="1:6" x14ac:dyDescent="0.25">
      <c r="A220" t="s">
        <v>133</v>
      </c>
      <c r="B220" t="s">
        <v>160</v>
      </c>
      <c r="C220" t="s">
        <v>171</v>
      </c>
      <c r="E220">
        <v>0</v>
      </c>
      <c r="F220" t="b">
        <v>0</v>
      </c>
    </row>
    <row r="221" spans="1:6" x14ac:dyDescent="0.25">
      <c r="A221" t="s">
        <v>133</v>
      </c>
      <c r="B221" t="s">
        <v>160</v>
      </c>
      <c r="C221" t="s">
        <v>173</v>
      </c>
      <c r="D221" t="s">
        <v>29</v>
      </c>
      <c r="E221">
        <v>1</v>
      </c>
      <c r="F221" t="b">
        <v>1</v>
      </c>
    </row>
    <row r="222" spans="1:6" x14ac:dyDescent="0.25">
      <c r="A222" t="s">
        <v>152</v>
      </c>
      <c r="B222" t="s">
        <v>43</v>
      </c>
      <c r="C222" t="s">
        <v>61</v>
      </c>
      <c r="D222" t="s">
        <v>32</v>
      </c>
      <c r="E222">
        <v>1</v>
      </c>
      <c r="F222" t="b">
        <v>1</v>
      </c>
    </row>
    <row r="223" spans="1:6" x14ac:dyDescent="0.25">
      <c r="A223" t="s">
        <v>152</v>
      </c>
      <c r="B223" t="s">
        <v>43</v>
      </c>
      <c r="C223" t="s">
        <v>66</v>
      </c>
      <c r="E223">
        <v>0</v>
      </c>
      <c r="F223" t="b">
        <v>0</v>
      </c>
    </row>
    <row r="224" spans="1:6" x14ac:dyDescent="0.25">
      <c r="A224" t="s">
        <v>152</v>
      </c>
      <c r="B224" t="s">
        <v>69</v>
      </c>
      <c r="C224" t="s">
        <v>70</v>
      </c>
      <c r="E224">
        <v>0</v>
      </c>
      <c r="F224" t="b">
        <v>0</v>
      </c>
    </row>
    <row r="225" spans="1:6" x14ac:dyDescent="0.25">
      <c r="A225" t="s">
        <v>152</v>
      </c>
      <c r="B225" t="s">
        <v>69</v>
      </c>
      <c r="C225" t="s">
        <v>77</v>
      </c>
      <c r="E225">
        <v>0</v>
      </c>
      <c r="F225" t="b">
        <v>0</v>
      </c>
    </row>
    <row r="226" spans="1:6" x14ac:dyDescent="0.25">
      <c r="A226" t="s">
        <v>152</v>
      </c>
      <c r="B226" t="s">
        <v>69</v>
      </c>
      <c r="C226" t="s">
        <v>79</v>
      </c>
      <c r="E226">
        <v>0</v>
      </c>
      <c r="F226" t="b">
        <v>0</v>
      </c>
    </row>
    <row r="227" spans="1:6" x14ac:dyDescent="0.25">
      <c r="A227" t="s">
        <v>152</v>
      </c>
      <c r="B227" t="s">
        <v>71</v>
      </c>
      <c r="C227" t="s">
        <v>90</v>
      </c>
      <c r="E227">
        <v>0</v>
      </c>
      <c r="F227" t="b">
        <v>0</v>
      </c>
    </row>
    <row r="228" spans="1:6" x14ac:dyDescent="0.25">
      <c r="A228" t="s">
        <v>152</v>
      </c>
      <c r="B228" t="s">
        <v>71</v>
      </c>
      <c r="C228" t="s">
        <v>98</v>
      </c>
      <c r="D228" t="s">
        <v>32</v>
      </c>
      <c r="E228">
        <v>1</v>
      </c>
      <c r="F228" t="b">
        <v>1</v>
      </c>
    </row>
    <row r="229" spans="1:6" x14ac:dyDescent="0.25">
      <c r="A229" t="s">
        <v>152</v>
      </c>
      <c r="B229" t="s">
        <v>83</v>
      </c>
      <c r="C229" t="s">
        <v>100</v>
      </c>
      <c r="E229">
        <v>0</v>
      </c>
      <c r="F229" t="b">
        <v>0</v>
      </c>
    </row>
    <row r="230" spans="1:6" x14ac:dyDescent="0.25">
      <c r="A230" t="s">
        <v>152</v>
      </c>
      <c r="B230" t="s">
        <v>83</v>
      </c>
      <c r="C230" t="s">
        <v>103</v>
      </c>
      <c r="E230">
        <v>0</v>
      </c>
      <c r="F230" t="b">
        <v>0</v>
      </c>
    </row>
    <row r="231" spans="1:6" x14ac:dyDescent="0.25">
      <c r="A231" t="s">
        <v>152</v>
      </c>
      <c r="B231" t="s">
        <v>83</v>
      </c>
      <c r="C231" t="s">
        <v>91</v>
      </c>
      <c r="E231">
        <v>0</v>
      </c>
      <c r="F231" t="b">
        <v>0</v>
      </c>
    </row>
    <row r="232" spans="1:6" x14ac:dyDescent="0.25">
      <c r="A232" t="s">
        <v>152</v>
      </c>
      <c r="B232" t="s">
        <v>83</v>
      </c>
      <c r="C232" t="s">
        <v>84</v>
      </c>
      <c r="E232">
        <v>0</v>
      </c>
      <c r="F232" t="b">
        <v>0</v>
      </c>
    </row>
    <row r="233" spans="1:6" x14ac:dyDescent="0.25">
      <c r="A233" t="s">
        <v>152</v>
      </c>
      <c r="B233" t="s">
        <v>63</v>
      </c>
      <c r="C233" t="s">
        <v>113</v>
      </c>
      <c r="E233">
        <v>0</v>
      </c>
      <c r="F233" t="b">
        <v>0</v>
      </c>
    </row>
    <row r="234" spans="1:6" x14ac:dyDescent="0.25">
      <c r="A234" t="s">
        <v>152</v>
      </c>
      <c r="B234" t="s">
        <v>63</v>
      </c>
      <c r="C234" t="s">
        <v>116</v>
      </c>
      <c r="E234">
        <v>0</v>
      </c>
      <c r="F234" t="b">
        <v>0</v>
      </c>
    </row>
    <row r="235" spans="1:6" x14ac:dyDescent="0.25">
      <c r="A235" t="s">
        <v>152</v>
      </c>
      <c r="B235" t="s">
        <v>63</v>
      </c>
      <c r="C235" t="s">
        <v>64</v>
      </c>
      <c r="E235">
        <v>0</v>
      </c>
      <c r="F235" t="b">
        <v>0</v>
      </c>
    </row>
    <row r="236" spans="1:6" x14ac:dyDescent="0.25">
      <c r="A236" t="s">
        <v>152</v>
      </c>
      <c r="B236" t="s">
        <v>63</v>
      </c>
      <c r="C236" t="s">
        <v>76</v>
      </c>
      <c r="E236">
        <v>0</v>
      </c>
      <c r="F236" t="b">
        <v>0</v>
      </c>
    </row>
    <row r="237" spans="1:6" x14ac:dyDescent="0.25">
      <c r="A237" t="s">
        <v>152</v>
      </c>
      <c r="B237" t="s">
        <v>63</v>
      </c>
      <c r="C237" t="s">
        <v>120</v>
      </c>
      <c r="E237">
        <v>0</v>
      </c>
      <c r="F237" t="b">
        <v>0</v>
      </c>
    </row>
    <row r="238" spans="1:6" x14ac:dyDescent="0.25">
      <c r="A238" t="s">
        <v>152</v>
      </c>
      <c r="B238" t="s">
        <v>63</v>
      </c>
      <c r="C238" t="s">
        <v>122</v>
      </c>
      <c r="E238">
        <v>0</v>
      </c>
      <c r="F238" t="b">
        <v>0</v>
      </c>
    </row>
    <row r="239" spans="1:6" x14ac:dyDescent="0.25">
      <c r="A239" t="s">
        <v>152</v>
      </c>
      <c r="B239" t="s">
        <v>46</v>
      </c>
      <c r="C239" t="s">
        <v>123</v>
      </c>
      <c r="E239">
        <v>0</v>
      </c>
      <c r="F239" t="b">
        <v>0</v>
      </c>
    </row>
    <row r="240" spans="1:6" x14ac:dyDescent="0.25">
      <c r="A240" t="s">
        <v>152</v>
      </c>
      <c r="B240" t="s">
        <v>46</v>
      </c>
      <c r="C240" t="s">
        <v>55</v>
      </c>
      <c r="E240">
        <v>0</v>
      </c>
      <c r="F240" t="b">
        <v>0</v>
      </c>
    </row>
    <row r="241" spans="1:6" x14ac:dyDescent="0.25">
      <c r="A241" t="s">
        <v>152</v>
      </c>
      <c r="B241" t="s">
        <v>93</v>
      </c>
      <c r="C241" t="s">
        <v>108</v>
      </c>
      <c r="E241">
        <v>0</v>
      </c>
      <c r="F241" t="b">
        <v>0</v>
      </c>
    </row>
    <row r="242" spans="1:6" x14ac:dyDescent="0.25">
      <c r="A242" t="s">
        <v>152</v>
      </c>
      <c r="B242" t="s">
        <v>93</v>
      </c>
      <c r="C242" t="s">
        <v>128</v>
      </c>
      <c r="E242">
        <v>0</v>
      </c>
      <c r="F242" t="b">
        <v>0</v>
      </c>
    </row>
    <row r="243" spans="1:6" x14ac:dyDescent="0.25">
      <c r="A243" t="s">
        <v>152</v>
      </c>
      <c r="B243" t="s">
        <v>93</v>
      </c>
      <c r="C243" t="s">
        <v>130</v>
      </c>
      <c r="E243">
        <v>0</v>
      </c>
      <c r="F243" t="b">
        <v>0</v>
      </c>
    </row>
    <row r="244" spans="1:6" x14ac:dyDescent="0.25">
      <c r="A244" t="s">
        <v>152</v>
      </c>
      <c r="B244" t="s">
        <v>93</v>
      </c>
      <c r="C244" t="s">
        <v>94</v>
      </c>
      <c r="E244">
        <v>0</v>
      </c>
      <c r="F244" t="b">
        <v>0</v>
      </c>
    </row>
    <row r="245" spans="1:6" x14ac:dyDescent="0.25">
      <c r="A245" t="s">
        <v>152</v>
      </c>
      <c r="B245" t="s">
        <v>93</v>
      </c>
      <c r="C245" t="s">
        <v>132</v>
      </c>
      <c r="E245">
        <v>0</v>
      </c>
      <c r="F245" t="b">
        <v>0</v>
      </c>
    </row>
    <row r="246" spans="1:6" x14ac:dyDescent="0.25">
      <c r="A246" t="s">
        <v>152</v>
      </c>
      <c r="B246" t="s">
        <v>110</v>
      </c>
      <c r="C246" t="s">
        <v>138</v>
      </c>
      <c r="E246">
        <v>0</v>
      </c>
      <c r="F246" t="b">
        <v>0</v>
      </c>
    </row>
    <row r="247" spans="1:6" x14ac:dyDescent="0.25">
      <c r="A247" t="s">
        <v>152</v>
      </c>
      <c r="B247" t="s">
        <v>110</v>
      </c>
      <c r="C247" t="s">
        <v>140</v>
      </c>
      <c r="E247">
        <v>0</v>
      </c>
      <c r="F247" t="b">
        <v>0</v>
      </c>
    </row>
    <row r="248" spans="1:6" x14ac:dyDescent="0.25">
      <c r="A248" t="s">
        <v>152</v>
      </c>
      <c r="B248" t="s">
        <v>110</v>
      </c>
      <c r="C248" t="s">
        <v>148</v>
      </c>
      <c r="E248">
        <v>0</v>
      </c>
      <c r="F248" t="b">
        <v>0</v>
      </c>
    </row>
    <row r="249" spans="1:6" x14ac:dyDescent="0.25">
      <c r="A249" t="s">
        <v>152</v>
      </c>
      <c r="B249" t="s">
        <v>110</v>
      </c>
      <c r="C249" t="s">
        <v>149</v>
      </c>
      <c r="E249">
        <v>0</v>
      </c>
      <c r="F249" t="b">
        <v>0</v>
      </c>
    </row>
    <row r="250" spans="1:6" x14ac:dyDescent="0.25">
      <c r="A250" t="s">
        <v>152</v>
      </c>
      <c r="B250" t="s">
        <v>110</v>
      </c>
      <c r="C250" t="s">
        <v>151</v>
      </c>
      <c r="E250">
        <v>0</v>
      </c>
      <c r="F250" t="b">
        <v>0</v>
      </c>
    </row>
    <row r="251" spans="1:6" x14ac:dyDescent="0.25">
      <c r="A251" t="s">
        <v>152</v>
      </c>
      <c r="B251" t="s">
        <v>59</v>
      </c>
      <c r="C251" t="s">
        <v>154</v>
      </c>
      <c r="E251">
        <v>0</v>
      </c>
      <c r="F251" t="b">
        <v>0</v>
      </c>
    </row>
    <row r="252" spans="1:6" x14ac:dyDescent="0.25">
      <c r="A252" t="s">
        <v>152</v>
      </c>
      <c r="B252" t="s">
        <v>59</v>
      </c>
      <c r="C252" t="s">
        <v>156</v>
      </c>
      <c r="E252">
        <v>0</v>
      </c>
      <c r="F252" t="b">
        <v>0</v>
      </c>
    </row>
    <row r="253" spans="1:6" x14ac:dyDescent="0.25">
      <c r="A253" t="s">
        <v>152</v>
      </c>
      <c r="B253" t="s">
        <v>59</v>
      </c>
      <c r="C253" t="s">
        <v>96</v>
      </c>
      <c r="E253">
        <v>0</v>
      </c>
      <c r="F253" t="b">
        <v>0</v>
      </c>
    </row>
    <row r="254" spans="1:6" x14ac:dyDescent="0.25">
      <c r="A254" t="s">
        <v>152</v>
      </c>
      <c r="B254" t="s">
        <v>59</v>
      </c>
      <c r="C254" t="s">
        <v>158</v>
      </c>
      <c r="E254">
        <v>0</v>
      </c>
      <c r="F254" t="b">
        <v>0</v>
      </c>
    </row>
    <row r="255" spans="1:6" x14ac:dyDescent="0.25">
      <c r="A255" t="s">
        <v>152</v>
      </c>
      <c r="B255" t="s">
        <v>59</v>
      </c>
      <c r="C255" t="s">
        <v>60</v>
      </c>
      <c r="E255">
        <v>0</v>
      </c>
      <c r="F255" t="b">
        <v>0</v>
      </c>
    </row>
    <row r="256" spans="1:6" x14ac:dyDescent="0.25">
      <c r="A256" t="s">
        <v>152</v>
      </c>
      <c r="B256" t="s">
        <v>160</v>
      </c>
      <c r="C256" t="s">
        <v>161</v>
      </c>
      <c r="E256">
        <v>0</v>
      </c>
      <c r="F256" t="b">
        <v>0</v>
      </c>
    </row>
    <row r="257" spans="1:6" x14ac:dyDescent="0.25">
      <c r="A257" t="s">
        <v>152</v>
      </c>
      <c r="B257" t="s">
        <v>160</v>
      </c>
      <c r="C257" t="s">
        <v>163</v>
      </c>
      <c r="E257">
        <v>0</v>
      </c>
      <c r="F257" t="b">
        <v>0</v>
      </c>
    </row>
    <row r="258" spans="1:6" x14ac:dyDescent="0.25">
      <c r="A258" t="s">
        <v>152</v>
      </c>
      <c r="B258" t="s">
        <v>160</v>
      </c>
      <c r="C258" t="s">
        <v>165</v>
      </c>
      <c r="E258">
        <v>0</v>
      </c>
      <c r="F258" t="b">
        <v>0</v>
      </c>
    </row>
    <row r="259" spans="1:6" x14ac:dyDescent="0.25">
      <c r="A259" t="s">
        <v>152</v>
      </c>
      <c r="B259" t="s">
        <v>160</v>
      </c>
      <c r="C259" t="s">
        <v>166</v>
      </c>
      <c r="E259">
        <v>0</v>
      </c>
      <c r="F259" t="b">
        <v>0</v>
      </c>
    </row>
    <row r="260" spans="1:6" x14ac:dyDescent="0.25">
      <c r="A260" t="s">
        <v>152</v>
      </c>
      <c r="B260" t="s">
        <v>160</v>
      </c>
      <c r="C260" t="s">
        <v>168</v>
      </c>
      <c r="E260">
        <v>0</v>
      </c>
      <c r="F260" t="b">
        <v>0</v>
      </c>
    </row>
    <row r="261" spans="1:6" x14ac:dyDescent="0.25">
      <c r="A261" t="s">
        <v>152</v>
      </c>
      <c r="B261" t="s">
        <v>160</v>
      </c>
      <c r="C261" t="s">
        <v>171</v>
      </c>
      <c r="E261">
        <v>0</v>
      </c>
      <c r="F261" t="b">
        <v>0</v>
      </c>
    </row>
    <row r="262" spans="1:6" x14ac:dyDescent="0.25">
      <c r="A262" t="s">
        <v>152</v>
      </c>
      <c r="B262" t="s">
        <v>160</v>
      </c>
      <c r="C262" t="s">
        <v>173</v>
      </c>
      <c r="E262">
        <v>0</v>
      </c>
      <c r="F262" t="b">
        <v>0</v>
      </c>
    </row>
    <row r="263" spans="1:6" x14ac:dyDescent="0.25">
      <c r="A263" t="s">
        <v>169</v>
      </c>
      <c r="B263" t="s">
        <v>43</v>
      </c>
      <c r="C263" t="s">
        <v>61</v>
      </c>
      <c r="E263">
        <v>0</v>
      </c>
      <c r="F263" t="b">
        <v>0</v>
      </c>
    </row>
    <row r="264" spans="1:6" x14ac:dyDescent="0.25">
      <c r="A264" t="s">
        <v>169</v>
      </c>
      <c r="B264" t="s">
        <v>43</v>
      </c>
      <c r="C264" t="s">
        <v>66</v>
      </c>
      <c r="E264">
        <v>0</v>
      </c>
      <c r="F264" t="b">
        <v>0</v>
      </c>
    </row>
    <row r="265" spans="1:6" x14ac:dyDescent="0.25">
      <c r="A265" t="s">
        <v>169</v>
      </c>
      <c r="B265" t="s">
        <v>69</v>
      </c>
      <c r="C265" t="s">
        <v>70</v>
      </c>
      <c r="E265">
        <v>0</v>
      </c>
      <c r="F265" t="b">
        <v>0</v>
      </c>
    </row>
    <row r="266" spans="1:6" x14ac:dyDescent="0.25">
      <c r="A266" t="s">
        <v>169</v>
      </c>
      <c r="B266" t="s">
        <v>69</v>
      </c>
      <c r="C266" t="s">
        <v>77</v>
      </c>
      <c r="E266">
        <v>0</v>
      </c>
      <c r="F266" t="b">
        <v>0</v>
      </c>
    </row>
    <row r="267" spans="1:6" x14ac:dyDescent="0.25">
      <c r="A267" t="s">
        <v>169</v>
      </c>
      <c r="B267" t="s">
        <v>69</v>
      </c>
      <c r="C267" t="s">
        <v>79</v>
      </c>
      <c r="D267" t="s">
        <v>213</v>
      </c>
      <c r="E267">
        <v>1</v>
      </c>
      <c r="F267" t="b">
        <v>1</v>
      </c>
    </row>
    <row r="268" spans="1:6" x14ac:dyDescent="0.25">
      <c r="A268" t="s">
        <v>169</v>
      </c>
      <c r="B268" t="s">
        <v>69</v>
      </c>
      <c r="C268" t="s">
        <v>80</v>
      </c>
      <c r="D268" t="s">
        <v>214</v>
      </c>
      <c r="E268">
        <v>3</v>
      </c>
      <c r="F268" t="b">
        <v>1</v>
      </c>
    </row>
    <row r="269" spans="1:6" x14ac:dyDescent="0.25">
      <c r="A269" t="s">
        <v>169</v>
      </c>
      <c r="B269" t="s">
        <v>69</v>
      </c>
      <c r="C269" t="s">
        <v>82</v>
      </c>
      <c r="D269" t="s">
        <v>19</v>
      </c>
      <c r="E269">
        <v>1</v>
      </c>
      <c r="F269" t="b">
        <v>1</v>
      </c>
    </row>
    <row r="270" spans="1:6" x14ac:dyDescent="0.25">
      <c r="A270" t="s">
        <v>169</v>
      </c>
      <c r="B270" t="s">
        <v>71</v>
      </c>
      <c r="C270" t="s">
        <v>86</v>
      </c>
      <c r="D270" t="s">
        <v>215</v>
      </c>
      <c r="E270">
        <v>3</v>
      </c>
      <c r="F270" t="b">
        <v>1</v>
      </c>
    </row>
    <row r="271" spans="1:6" x14ac:dyDescent="0.25">
      <c r="A271" t="s">
        <v>169</v>
      </c>
      <c r="B271" t="s">
        <v>71</v>
      </c>
      <c r="C271" t="s">
        <v>90</v>
      </c>
      <c r="D271" t="s">
        <v>216</v>
      </c>
      <c r="E271">
        <v>5</v>
      </c>
      <c r="F271" t="b">
        <v>1</v>
      </c>
    </row>
    <row r="272" spans="1:6" x14ac:dyDescent="0.25">
      <c r="A272" t="s">
        <v>169</v>
      </c>
      <c r="B272" t="s">
        <v>71</v>
      </c>
      <c r="C272" t="s">
        <v>72</v>
      </c>
      <c r="D272" t="s">
        <v>217</v>
      </c>
      <c r="E272">
        <v>3</v>
      </c>
      <c r="F272" t="b">
        <v>1</v>
      </c>
    </row>
    <row r="273" spans="1:6" x14ac:dyDescent="0.25">
      <c r="A273" t="s">
        <v>169</v>
      </c>
      <c r="B273" t="s">
        <v>71</v>
      </c>
      <c r="C273" t="s">
        <v>88</v>
      </c>
      <c r="D273" t="s">
        <v>218</v>
      </c>
      <c r="E273">
        <v>3</v>
      </c>
      <c r="F273" t="b">
        <v>1</v>
      </c>
    </row>
    <row r="274" spans="1:6" x14ac:dyDescent="0.25">
      <c r="A274" t="s">
        <v>169</v>
      </c>
      <c r="B274" t="s">
        <v>71</v>
      </c>
      <c r="C274" t="s">
        <v>98</v>
      </c>
      <c r="E274">
        <v>0</v>
      </c>
      <c r="F274" t="b">
        <v>0</v>
      </c>
    </row>
    <row r="275" spans="1:6" x14ac:dyDescent="0.25">
      <c r="A275" t="s">
        <v>169</v>
      </c>
      <c r="B275" t="s">
        <v>71</v>
      </c>
      <c r="C275" t="s">
        <v>99</v>
      </c>
      <c r="D275" t="s">
        <v>19</v>
      </c>
      <c r="E275">
        <v>1</v>
      </c>
      <c r="F275" t="b">
        <v>1</v>
      </c>
    </row>
    <row r="276" spans="1:6" x14ac:dyDescent="0.25">
      <c r="A276" t="s">
        <v>169</v>
      </c>
      <c r="B276" t="s">
        <v>83</v>
      </c>
      <c r="C276" t="s">
        <v>100</v>
      </c>
      <c r="D276" t="s">
        <v>219</v>
      </c>
      <c r="E276">
        <v>1</v>
      </c>
      <c r="F276" t="b">
        <v>1</v>
      </c>
    </row>
    <row r="277" spans="1:6" x14ac:dyDescent="0.25">
      <c r="A277" t="s">
        <v>169</v>
      </c>
      <c r="B277" t="s">
        <v>83</v>
      </c>
      <c r="C277" t="s">
        <v>101</v>
      </c>
      <c r="D277" t="s">
        <v>27</v>
      </c>
      <c r="E277">
        <v>1</v>
      </c>
      <c r="F277" t="b">
        <v>1</v>
      </c>
    </row>
    <row r="278" spans="1:6" x14ac:dyDescent="0.25">
      <c r="A278" t="s">
        <v>169</v>
      </c>
      <c r="B278" t="s">
        <v>83</v>
      </c>
      <c r="C278" t="s">
        <v>103</v>
      </c>
      <c r="D278" t="s">
        <v>219</v>
      </c>
      <c r="E278">
        <v>1</v>
      </c>
      <c r="F278" t="b">
        <v>1</v>
      </c>
    </row>
    <row r="279" spans="1:6" x14ac:dyDescent="0.25">
      <c r="A279" t="s">
        <v>169</v>
      </c>
      <c r="B279" t="s">
        <v>83</v>
      </c>
      <c r="C279" t="s">
        <v>104</v>
      </c>
      <c r="D279" t="s">
        <v>220</v>
      </c>
      <c r="E279">
        <v>3</v>
      </c>
      <c r="F279" t="b">
        <v>1</v>
      </c>
    </row>
    <row r="280" spans="1:6" x14ac:dyDescent="0.25">
      <c r="A280" t="s">
        <v>169</v>
      </c>
      <c r="B280" t="s">
        <v>83</v>
      </c>
      <c r="C280" t="s">
        <v>91</v>
      </c>
      <c r="D280" t="s">
        <v>221</v>
      </c>
      <c r="E280">
        <v>1</v>
      </c>
      <c r="F280" t="b">
        <v>1</v>
      </c>
    </row>
    <row r="281" spans="1:6" x14ac:dyDescent="0.25">
      <c r="A281" t="s">
        <v>169</v>
      </c>
      <c r="B281" t="s">
        <v>83</v>
      </c>
      <c r="C281" t="s">
        <v>84</v>
      </c>
      <c r="D281" t="s">
        <v>222</v>
      </c>
      <c r="E281">
        <v>1</v>
      </c>
      <c r="F281" t="b">
        <v>1</v>
      </c>
    </row>
    <row r="282" spans="1:6" x14ac:dyDescent="0.25">
      <c r="A282" t="s">
        <v>169</v>
      </c>
      <c r="B282" t="s">
        <v>63</v>
      </c>
      <c r="C282" t="s">
        <v>67</v>
      </c>
      <c r="D282" t="s">
        <v>223</v>
      </c>
      <c r="E282">
        <v>5</v>
      </c>
      <c r="F282" t="b">
        <v>1</v>
      </c>
    </row>
    <row r="283" spans="1:6" x14ac:dyDescent="0.25">
      <c r="A283" t="s">
        <v>169</v>
      </c>
      <c r="B283" t="s">
        <v>63</v>
      </c>
      <c r="C283" t="s">
        <v>113</v>
      </c>
      <c r="D283" t="s">
        <v>224</v>
      </c>
      <c r="E283">
        <v>1</v>
      </c>
      <c r="F283" t="b">
        <v>1</v>
      </c>
    </row>
    <row r="284" spans="1:6" x14ac:dyDescent="0.25">
      <c r="A284" t="s">
        <v>169</v>
      </c>
      <c r="B284" t="s">
        <v>63</v>
      </c>
      <c r="C284" t="s">
        <v>116</v>
      </c>
      <c r="E284">
        <v>0</v>
      </c>
      <c r="F284" t="b">
        <v>0</v>
      </c>
    </row>
    <row r="285" spans="1:6" x14ac:dyDescent="0.25">
      <c r="A285" t="s">
        <v>169</v>
      </c>
      <c r="B285" t="s">
        <v>63</v>
      </c>
      <c r="C285" t="s">
        <v>64</v>
      </c>
      <c r="E285">
        <v>0</v>
      </c>
      <c r="F285" t="b">
        <v>0</v>
      </c>
    </row>
    <row r="286" spans="1:6" x14ac:dyDescent="0.25">
      <c r="A286" t="s">
        <v>169</v>
      </c>
      <c r="B286" t="s">
        <v>63</v>
      </c>
      <c r="C286" t="s">
        <v>76</v>
      </c>
      <c r="E286">
        <v>0</v>
      </c>
      <c r="F286" t="b">
        <v>0</v>
      </c>
    </row>
    <row r="287" spans="1:6" x14ac:dyDescent="0.25">
      <c r="A287" t="s">
        <v>169</v>
      </c>
      <c r="B287" t="s">
        <v>63</v>
      </c>
      <c r="C287" t="s">
        <v>120</v>
      </c>
      <c r="D287" t="s">
        <v>225</v>
      </c>
      <c r="E287">
        <v>2</v>
      </c>
      <c r="F287" t="b">
        <v>1</v>
      </c>
    </row>
    <row r="288" spans="1:6" x14ac:dyDescent="0.25">
      <c r="A288" t="s">
        <v>169</v>
      </c>
      <c r="B288" t="s">
        <v>63</v>
      </c>
      <c r="C288" t="s">
        <v>122</v>
      </c>
      <c r="E288">
        <v>0</v>
      </c>
      <c r="F288" t="b">
        <v>0</v>
      </c>
    </row>
    <row r="289" spans="1:6" x14ac:dyDescent="0.25">
      <c r="A289" t="s">
        <v>169</v>
      </c>
      <c r="B289" t="s">
        <v>46</v>
      </c>
      <c r="C289" t="s">
        <v>106</v>
      </c>
      <c r="D289" t="s">
        <v>226</v>
      </c>
      <c r="E289">
        <v>2</v>
      </c>
      <c r="F289" t="b">
        <v>1</v>
      </c>
    </row>
    <row r="290" spans="1:6" x14ac:dyDescent="0.25">
      <c r="A290" t="s">
        <v>169</v>
      </c>
      <c r="B290" t="s">
        <v>46</v>
      </c>
      <c r="C290" t="s">
        <v>47</v>
      </c>
      <c r="D290" t="s">
        <v>227</v>
      </c>
      <c r="E290">
        <v>8</v>
      </c>
      <c r="F290" t="b">
        <v>1</v>
      </c>
    </row>
    <row r="291" spans="1:6" x14ac:dyDescent="0.25">
      <c r="A291" t="s">
        <v>169</v>
      </c>
      <c r="B291" t="s">
        <v>46</v>
      </c>
      <c r="C291" t="s">
        <v>123</v>
      </c>
      <c r="D291" t="s">
        <v>221</v>
      </c>
      <c r="E291">
        <v>1</v>
      </c>
      <c r="F291" t="b">
        <v>1</v>
      </c>
    </row>
    <row r="292" spans="1:6" x14ac:dyDescent="0.25">
      <c r="A292" t="s">
        <v>169</v>
      </c>
      <c r="B292" t="s">
        <v>46</v>
      </c>
      <c r="C292" t="s">
        <v>124</v>
      </c>
      <c r="D292" t="s">
        <v>228</v>
      </c>
      <c r="E292">
        <v>3</v>
      </c>
      <c r="F292" t="b">
        <v>1</v>
      </c>
    </row>
    <row r="293" spans="1:6" x14ac:dyDescent="0.25">
      <c r="A293" t="s">
        <v>169</v>
      </c>
      <c r="B293" t="s">
        <v>46</v>
      </c>
      <c r="C293" t="s">
        <v>55</v>
      </c>
      <c r="D293" t="s">
        <v>229</v>
      </c>
      <c r="E293">
        <v>2</v>
      </c>
      <c r="F293" t="b">
        <v>1</v>
      </c>
    </row>
    <row r="294" spans="1:6" x14ac:dyDescent="0.25">
      <c r="A294" t="s">
        <v>169</v>
      </c>
      <c r="B294" t="s">
        <v>46</v>
      </c>
      <c r="C294" t="s">
        <v>51</v>
      </c>
      <c r="D294" t="s">
        <v>230</v>
      </c>
      <c r="E294">
        <v>1</v>
      </c>
      <c r="F294" t="b">
        <v>1</v>
      </c>
    </row>
    <row r="295" spans="1:6" x14ac:dyDescent="0.25">
      <c r="A295" t="s">
        <v>169</v>
      </c>
      <c r="B295" t="s">
        <v>93</v>
      </c>
      <c r="C295" t="s">
        <v>108</v>
      </c>
      <c r="D295" t="s">
        <v>231</v>
      </c>
      <c r="E295">
        <v>1</v>
      </c>
      <c r="F295" t="b">
        <v>1</v>
      </c>
    </row>
    <row r="296" spans="1:6" x14ac:dyDescent="0.25">
      <c r="A296" t="s">
        <v>169</v>
      </c>
      <c r="B296" t="s">
        <v>93</v>
      </c>
      <c r="C296" t="s">
        <v>128</v>
      </c>
      <c r="D296" t="s">
        <v>232</v>
      </c>
      <c r="E296">
        <v>2</v>
      </c>
      <c r="F296" t="b">
        <v>1</v>
      </c>
    </row>
    <row r="297" spans="1:6" x14ac:dyDescent="0.25">
      <c r="A297" t="s">
        <v>169</v>
      </c>
      <c r="B297" t="s">
        <v>93</v>
      </c>
      <c r="C297" t="s">
        <v>130</v>
      </c>
      <c r="E297">
        <v>0</v>
      </c>
      <c r="F297" t="b">
        <v>0</v>
      </c>
    </row>
    <row r="298" spans="1:6" x14ac:dyDescent="0.25">
      <c r="A298" t="s">
        <v>169</v>
      </c>
      <c r="B298" t="s">
        <v>93</v>
      </c>
      <c r="C298" t="s">
        <v>94</v>
      </c>
      <c r="D298" t="s">
        <v>213</v>
      </c>
      <c r="E298">
        <v>1</v>
      </c>
      <c r="F298" t="b">
        <v>1</v>
      </c>
    </row>
    <row r="299" spans="1:6" x14ac:dyDescent="0.25">
      <c r="A299" t="s">
        <v>169</v>
      </c>
      <c r="B299" t="s">
        <v>93</v>
      </c>
      <c r="C299" t="s">
        <v>132</v>
      </c>
      <c r="E299">
        <v>0</v>
      </c>
      <c r="F299" t="b">
        <v>0</v>
      </c>
    </row>
    <row r="300" spans="1:6" x14ac:dyDescent="0.25">
      <c r="A300" t="s">
        <v>169</v>
      </c>
      <c r="B300" t="s">
        <v>93</v>
      </c>
      <c r="C300" t="s">
        <v>135</v>
      </c>
      <c r="E300">
        <v>0</v>
      </c>
      <c r="F300" t="b">
        <v>0</v>
      </c>
    </row>
    <row r="301" spans="1:6" x14ac:dyDescent="0.25">
      <c r="A301" t="s">
        <v>169</v>
      </c>
      <c r="B301" t="s">
        <v>110</v>
      </c>
      <c r="C301" t="s">
        <v>137</v>
      </c>
      <c r="E301">
        <v>0</v>
      </c>
      <c r="F301" t="b">
        <v>0</v>
      </c>
    </row>
    <row r="302" spans="1:6" x14ac:dyDescent="0.25">
      <c r="A302" t="s">
        <v>169</v>
      </c>
      <c r="B302" t="s">
        <v>110</v>
      </c>
      <c r="C302" t="s">
        <v>138</v>
      </c>
      <c r="E302">
        <v>0</v>
      </c>
      <c r="F302" t="b">
        <v>0</v>
      </c>
    </row>
    <row r="303" spans="1:6" x14ac:dyDescent="0.25">
      <c r="A303" t="s">
        <v>169</v>
      </c>
      <c r="B303" t="s">
        <v>110</v>
      </c>
      <c r="C303" t="s">
        <v>140</v>
      </c>
      <c r="E303">
        <v>0</v>
      </c>
      <c r="F303" t="b">
        <v>0</v>
      </c>
    </row>
    <row r="304" spans="1:6" x14ac:dyDescent="0.25">
      <c r="A304" t="s">
        <v>169</v>
      </c>
      <c r="B304" t="s">
        <v>110</v>
      </c>
      <c r="C304" t="s">
        <v>142</v>
      </c>
      <c r="D304" t="s">
        <v>19</v>
      </c>
      <c r="E304">
        <v>1</v>
      </c>
      <c r="F304" t="b">
        <v>1</v>
      </c>
    </row>
    <row r="305" spans="1:6" x14ac:dyDescent="0.25">
      <c r="A305" t="s">
        <v>169</v>
      </c>
      <c r="B305" t="s">
        <v>110</v>
      </c>
      <c r="C305" t="s">
        <v>111</v>
      </c>
      <c r="E305">
        <v>0</v>
      </c>
      <c r="F305" t="b">
        <v>0</v>
      </c>
    </row>
    <row r="306" spans="1:6" x14ac:dyDescent="0.25">
      <c r="A306" t="s">
        <v>169</v>
      </c>
      <c r="B306" t="s">
        <v>110</v>
      </c>
      <c r="C306" t="s">
        <v>146</v>
      </c>
      <c r="E306">
        <v>0</v>
      </c>
      <c r="F306" t="b">
        <v>0</v>
      </c>
    </row>
    <row r="307" spans="1:6" x14ac:dyDescent="0.25">
      <c r="A307" t="s">
        <v>169</v>
      </c>
      <c r="B307" t="s">
        <v>110</v>
      </c>
      <c r="C307" t="s">
        <v>148</v>
      </c>
      <c r="E307">
        <v>0</v>
      </c>
      <c r="F307" t="b">
        <v>0</v>
      </c>
    </row>
    <row r="308" spans="1:6" x14ac:dyDescent="0.25">
      <c r="A308" t="s">
        <v>169</v>
      </c>
      <c r="B308" t="s">
        <v>110</v>
      </c>
      <c r="C308" t="s">
        <v>149</v>
      </c>
      <c r="E308">
        <v>0</v>
      </c>
      <c r="F308" t="b">
        <v>0</v>
      </c>
    </row>
    <row r="309" spans="1:6" x14ac:dyDescent="0.25">
      <c r="A309" t="s">
        <v>169</v>
      </c>
      <c r="B309" t="s">
        <v>110</v>
      </c>
      <c r="C309" t="s">
        <v>151</v>
      </c>
      <c r="E309">
        <v>0</v>
      </c>
      <c r="F309" t="b">
        <v>0</v>
      </c>
    </row>
    <row r="310" spans="1:6" x14ac:dyDescent="0.25">
      <c r="A310" t="s">
        <v>169</v>
      </c>
      <c r="B310" t="s">
        <v>59</v>
      </c>
      <c r="C310" t="s">
        <v>154</v>
      </c>
      <c r="E310">
        <v>0</v>
      </c>
      <c r="F310" t="b">
        <v>0</v>
      </c>
    </row>
    <row r="311" spans="1:6" x14ac:dyDescent="0.25">
      <c r="A311" t="s">
        <v>169</v>
      </c>
      <c r="B311" t="s">
        <v>59</v>
      </c>
      <c r="C311" t="s">
        <v>156</v>
      </c>
      <c r="E311">
        <v>0</v>
      </c>
      <c r="F311" t="b">
        <v>0</v>
      </c>
    </row>
    <row r="312" spans="1:6" x14ac:dyDescent="0.25">
      <c r="A312" t="s">
        <v>169</v>
      </c>
      <c r="B312" t="s">
        <v>59</v>
      </c>
      <c r="C312" t="s">
        <v>96</v>
      </c>
      <c r="E312">
        <v>0</v>
      </c>
      <c r="F312" t="b">
        <v>0</v>
      </c>
    </row>
    <row r="313" spans="1:6" x14ac:dyDescent="0.25">
      <c r="A313" t="s">
        <v>169</v>
      </c>
      <c r="B313" t="s">
        <v>59</v>
      </c>
      <c r="C313" t="s">
        <v>158</v>
      </c>
      <c r="E313">
        <v>0</v>
      </c>
      <c r="F313" t="b">
        <v>0</v>
      </c>
    </row>
    <row r="314" spans="1:6" x14ac:dyDescent="0.25">
      <c r="A314" t="s">
        <v>169</v>
      </c>
      <c r="B314" t="s">
        <v>59</v>
      </c>
      <c r="C314" t="s">
        <v>60</v>
      </c>
      <c r="E314">
        <v>0</v>
      </c>
      <c r="F314" t="b">
        <v>0</v>
      </c>
    </row>
    <row r="315" spans="1:6" x14ac:dyDescent="0.25">
      <c r="A315" t="s">
        <v>169</v>
      </c>
      <c r="B315" t="s">
        <v>160</v>
      </c>
      <c r="C315" t="s">
        <v>161</v>
      </c>
      <c r="E315">
        <v>0</v>
      </c>
      <c r="F315" t="b">
        <v>0</v>
      </c>
    </row>
    <row r="316" spans="1:6" x14ac:dyDescent="0.25">
      <c r="A316" t="s">
        <v>169</v>
      </c>
      <c r="B316" t="s">
        <v>160</v>
      </c>
      <c r="C316" t="s">
        <v>163</v>
      </c>
      <c r="E316">
        <v>0</v>
      </c>
      <c r="F316" t="b">
        <v>0</v>
      </c>
    </row>
    <row r="317" spans="1:6" x14ac:dyDescent="0.25">
      <c r="A317" t="s">
        <v>169</v>
      </c>
      <c r="B317" t="s">
        <v>160</v>
      </c>
      <c r="C317" t="s">
        <v>165</v>
      </c>
      <c r="E317">
        <v>0</v>
      </c>
      <c r="F317" t="b">
        <v>0</v>
      </c>
    </row>
    <row r="318" spans="1:6" x14ac:dyDescent="0.25">
      <c r="A318" t="s">
        <v>169</v>
      </c>
      <c r="B318" t="s">
        <v>160</v>
      </c>
      <c r="C318" t="s">
        <v>166</v>
      </c>
      <c r="E318">
        <v>0</v>
      </c>
      <c r="F318" t="b">
        <v>0</v>
      </c>
    </row>
    <row r="319" spans="1:6" x14ac:dyDescent="0.25">
      <c r="A319" t="s">
        <v>169</v>
      </c>
      <c r="B319" t="s">
        <v>160</v>
      </c>
      <c r="C319" t="s">
        <v>168</v>
      </c>
      <c r="E319">
        <v>0</v>
      </c>
      <c r="F319" t="b">
        <v>0</v>
      </c>
    </row>
    <row r="320" spans="1:6" x14ac:dyDescent="0.25">
      <c r="A320" t="s">
        <v>169</v>
      </c>
      <c r="B320" t="s">
        <v>160</v>
      </c>
      <c r="C320" t="s">
        <v>171</v>
      </c>
      <c r="E320">
        <v>0</v>
      </c>
      <c r="F320" t="b">
        <v>0</v>
      </c>
    </row>
    <row r="321" spans="1:6" x14ac:dyDescent="0.25">
      <c r="A321" t="s">
        <v>169</v>
      </c>
      <c r="B321" t="s">
        <v>160</v>
      </c>
      <c r="C321" t="s">
        <v>173</v>
      </c>
      <c r="E321">
        <v>0</v>
      </c>
      <c r="F321" t="b">
        <v>0</v>
      </c>
    </row>
    <row r="322" spans="1:6" x14ac:dyDescent="0.25">
      <c r="A322" t="s">
        <v>233</v>
      </c>
      <c r="B322" t="s">
        <v>43</v>
      </c>
      <c r="C322" t="s">
        <v>44</v>
      </c>
      <c r="D322" t="s">
        <v>234</v>
      </c>
      <c r="E322">
        <v>5</v>
      </c>
      <c r="F322" t="b">
        <v>1</v>
      </c>
    </row>
    <row r="323" spans="1:6" x14ac:dyDescent="0.25">
      <c r="A323" t="s">
        <v>233</v>
      </c>
      <c r="B323" t="s">
        <v>43</v>
      </c>
      <c r="C323" t="s">
        <v>49</v>
      </c>
      <c r="D323" t="s">
        <v>235</v>
      </c>
      <c r="E323">
        <v>7</v>
      </c>
      <c r="F323" t="b">
        <v>1</v>
      </c>
    </row>
    <row r="324" spans="1:6" x14ac:dyDescent="0.25">
      <c r="A324" t="s">
        <v>233</v>
      </c>
      <c r="B324" t="s">
        <v>43</v>
      </c>
      <c r="C324" t="s">
        <v>53</v>
      </c>
      <c r="D324" t="s">
        <v>236</v>
      </c>
      <c r="E324">
        <v>9</v>
      </c>
      <c r="F324" t="b">
        <v>1</v>
      </c>
    </row>
    <row r="325" spans="1:6" x14ac:dyDescent="0.25">
      <c r="A325" t="s">
        <v>233</v>
      </c>
      <c r="B325" t="s">
        <v>43</v>
      </c>
      <c r="C325" t="s">
        <v>57</v>
      </c>
      <c r="D325" t="s">
        <v>237</v>
      </c>
      <c r="E325">
        <v>4</v>
      </c>
      <c r="F325" t="b">
        <v>1</v>
      </c>
    </row>
    <row r="326" spans="1:6" x14ac:dyDescent="0.25">
      <c r="A326" t="s">
        <v>233</v>
      </c>
      <c r="B326" t="s">
        <v>43</v>
      </c>
      <c r="C326" t="s">
        <v>61</v>
      </c>
      <c r="D326" t="s">
        <v>238</v>
      </c>
      <c r="E326">
        <v>1</v>
      </c>
      <c r="F326" t="b">
        <v>1</v>
      </c>
    </row>
    <row r="327" spans="1:6" x14ac:dyDescent="0.25">
      <c r="A327" t="s">
        <v>233</v>
      </c>
      <c r="B327" t="s">
        <v>43</v>
      </c>
      <c r="C327" t="s">
        <v>66</v>
      </c>
      <c r="D327" t="s">
        <v>239</v>
      </c>
      <c r="E327">
        <v>5</v>
      </c>
      <c r="F327" t="b">
        <v>1</v>
      </c>
    </row>
    <row r="328" spans="1:6" x14ac:dyDescent="0.25">
      <c r="A328" t="s">
        <v>233</v>
      </c>
      <c r="B328" t="s">
        <v>69</v>
      </c>
      <c r="C328" t="s">
        <v>70</v>
      </c>
      <c r="E328">
        <v>0</v>
      </c>
      <c r="F328" t="b">
        <v>0</v>
      </c>
    </row>
    <row r="329" spans="1:6" x14ac:dyDescent="0.25">
      <c r="A329" t="s">
        <v>233</v>
      </c>
      <c r="B329" t="s">
        <v>69</v>
      </c>
      <c r="C329" t="s">
        <v>74</v>
      </c>
      <c r="D329" t="s">
        <v>19</v>
      </c>
      <c r="E329">
        <v>1</v>
      </c>
      <c r="F329" t="b">
        <v>1</v>
      </c>
    </row>
    <row r="330" spans="1:6" x14ac:dyDescent="0.25">
      <c r="A330" t="s">
        <v>233</v>
      </c>
      <c r="B330" t="s">
        <v>69</v>
      </c>
      <c r="C330" t="s">
        <v>77</v>
      </c>
      <c r="D330" t="s">
        <v>240</v>
      </c>
      <c r="E330">
        <v>2</v>
      </c>
      <c r="F330" t="b">
        <v>1</v>
      </c>
    </row>
    <row r="331" spans="1:6" x14ac:dyDescent="0.25">
      <c r="A331" t="s">
        <v>233</v>
      </c>
      <c r="B331" t="s">
        <v>69</v>
      </c>
      <c r="C331" t="s">
        <v>79</v>
      </c>
      <c r="D331" t="s">
        <v>241</v>
      </c>
      <c r="E331">
        <v>1</v>
      </c>
      <c r="F331" t="b">
        <v>1</v>
      </c>
    </row>
    <row r="332" spans="1:6" x14ac:dyDescent="0.25">
      <c r="A332" t="s">
        <v>233</v>
      </c>
      <c r="B332" t="s">
        <v>69</v>
      </c>
      <c r="C332" t="s">
        <v>80</v>
      </c>
      <c r="D332" t="s">
        <v>242</v>
      </c>
      <c r="E332">
        <v>2</v>
      </c>
      <c r="F332" t="b">
        <v>1</v>
      </c>
    </row>
    <row r="333" spans="1:6" x14ac:dyDescent="0.25">
      <c r="A333" t="s">
        <v>233</v>
      </c>
      <c r="B333" t="s">
        <v>69</v>
      </c>
      <c r="C333" t="s">
        <v>82</v>
      </c>
      <c r="D333" t="s">
        <v>19</v>
      </c>
      <c r="E333">
        <v>1</v>
      </c>
      <c r="F333" t="b">
        <v>1</v>
      </c>
    </row>
    <row r="334" spans="1:6" x14ac:dyDescent="0.25">
      <c r="A334" t="s">
        <v>233</v>
      </c>
      <c r="B334" t="s">
        <v>71</v>
      </c>
      <c r="C334" t="s">
        <v>86</v>
      </c>
      <c r="E334">
        <v>0</v>
      </c>
      <c r="F334" t="b">
        <v>0</v>
      </c>
    </row>
    <row r="335" spans="1:6" x14ac:dyDescent="0.25">
      <c r="A335" t="s">
        <v>233</v>
      </c>
      <c r="B335" t="s">
        <v>71</v>
      </c>
      <c r="C335" t="s">
        <v>90</v>
      </c>
      <c r="E335">
        <v>0</v>
      </c>
      <c r="F335" t="b">
        <v>0</v>
      </c>
    </row>
    <row r="336" spans="1:6" x14ac:dyDescent="0.25">
      <c r="A336" t="s">
        <v>233</v>
      </c>
      <c r="B336" t="s">
        <v>71</v>
      </c>
      <c r="C336" t="s">
        <v>72</v>
      </c>
      <c r="D336" t="s">
        <v>243</v>
      </c>
      <c r="E336">
        <v>4</v>
      </c>
      <c r="F336" t="b">
        <v>1</v>
      </c>
    </row>
    <row r="337" spans="1:6" x14ac:dyDescent="0.25">
      <c r="A337" t="s">
        <v>233</v>
      </c>
      <c r="B337" t="s">
        <v>71</v>
      </c>
      <c r="C337" t="s">
        <v>88</v>
      </c>
      <c r="D337" t="s">
        <v>244</v>
      </c>
      <c r="E337">
        <v>3</v>
      </c>
      <c r="F337" t="b">
        <v>1</v>
      </c>
    </row>
    <row r="338" spans="1:6" x14ac:dyDescent="0.25">
      <c r="A338" t="s">
        <v>233</v>
      </c>
      <c r="B338" t="s">
        <v>71</v>
      </c>
      <c r="C338" t="s">
        <v>98</v>
      </c>
      <c r="E338">
        <v>0</v>
      </c>
      <c r="F338" t="b">
        <v>0</v>
      </c>
    </row>
    <row r="339" spans="1:6" x14ac:dyDescent="0.25">
      <c r="A339" t="s">
        <v>233</v>
      </c>
      <c r="B339" t="s">
        <v>71</v>
      </c>
      <c r="C339" t="s">
        <v>99</v>
      </c>
      <c r="D339" t="s">
        <v>19</v>
      </c>
      <c r="E339">
        <v>1</v>
      </c>
      <c r="F339" t="b">
        <v>1</v>
      </c>
    </row>
    <row r="340" spans="1:6" x14ac:dyDescent="0.25">
      <c r="A340" t="s">
        <v>233</v>
      </c>
      <c r="B340" t="s">
        <v>83</v>
      </c>
      <c r="C340" t="s">
        <v>100</v>
      </c>
      <c r="D340" t="s">
        <v>245</v>
      </c>
      <c r="E340">
        <v>1</v>
      </c>
      <c r="F340" t="b">
        <v>1</v>
      </c>
    </row>
    <row r="341" spans="1:6" x14ac:dyDescent="0.25">
      <c r="A341" t="s">
        <v>233</v>
      </c>
      <c r="B341" t="s">
        <v>83</v>
      </c>
      <c r="C341" t="s">
        <v>101</v>
      </c>
      <c r="D341" t="s">
        <v>27</v>
      </c>
      <c r="E341">
        <v>1</v>
      </c>
      <c r="F341" t="b">
        <v>1</v>
      </c>
    </row>
    <row r="342" spans="1:6" x14ac:dyDescent="0.25">
      <c r="A342" t="s">
        <v>233</v>
      </c>
      <c r="B342" t="s">
        <v>83</v>
      </c>
      <c r="C342" t="s">
        <v>103</v>
      </c>
      <c r="D342" t="s">
        <v>246</v>
      </c>
      <c r="E342">
        <v>5</v>
      </c>
      <c r="F342" t="b">
        <v>1</v>
      </c>
    </row>
    <row r="343" spans="1:6" x14ac:dyDescent="0.25">
      <c r="A343" t="s">
        <v>233</v>
      </c>
      <c r="B343" t="s">
        <v>83</v>
      </c>
      <c r="C343" t="s">
        <v>104</v>
      </c>
      <c r="D343" t="s">
        <v>247</v>
      </c>
      <c r="E343">
        <v>6</v>
      </c>
      <c r="F343" t="b">
        <v>1</v>
      </c>
    </row>
    <row r="344" spans="1:6" x14ac:dyDescent="0.25">
      <c r="A344" t="s">
        <v>233</v>
      </c>
      <c r="B344" t="s">
        <v>83</v>
      </c>
      <c r="C344" t="s">
        <v>91</v>
      </c>
      <c r="D344" t="s">
        <v>245</v>
      </c>
      <c r="E344">
        <v>1</v>
      </c>
      <c r="F344" t="b">
        <v>1</v>
      </c>
    </row>
    <row r="345" spans="1:6" x14ac:dyDescent="0.25">
      <c r="A345" t="s">
        <v>233</v>
      </c>
      <c r="B345" t="s">
        <v>83</v>
      </c>
      <c r="C345" t="s">
        <v>84</v>
      </c>
      <c r="D345" t="s">
        <v>248</v>
      </c>
      <c r="E345">
        <v>2</v>
      </c>
      <c r="F345" t="b">
        <v>1</v>
      </c>
    </row>
    <row r="346" spans="1:6" x14ac:dyDescent="0.25">
      <c r="A346" t="s">
        <v>233</v>
      </c>
      <c r="B346" t="s">
        <v>63</v>
      </c>
      <c r="C346" t="s">
        <v>67</v>
      </c>
      <c r="D346" t="s">
        <v>249</v>
      </c>
      <c r="E346">
        <v>4</v>
      </c>
      <c r="F346" t="b">
        <v>1</v>
      </c>
    </row>
    <row r="347" spans="1:6" x14ac:dyDescent="0.25">
      <c r="A347" t="s">
        <v>233</v>
      </c>
      <c r="B347" t="s">
        <v>63</v>
      </c>
      <c r="C347" t="s">
        <v>113</v>
      </c>
      <c r="E347">
        <v>0</v>
      </c>
      <c r="F347" t="b">
        <v>0</v>
      </c>
    </row>
    <row r="348" spans="1:6" x14ac:dyDescent="0.25">
      <c r="A348" t="s">
        <v>233</v>
      </c>
      <c r="B348" t="s">
        <v>63</v>
      </c>
      <c r="C348" t="s">
        <v>116</v>
      </c>
      <c r="E348">
        <v>0</v>
      </c>
      <c r="F348" t="b">
        <v>0</v>
      </c>
    </row>
    <row r="349" spans="1:6" x14ac:dyDescent="0.25">
      <c r="A349" t="s">
        <v>233</v>
      </c>
      <c r="B349" t="s">
        <v>63</v>
      </c>
      <c r="C349" t="s">
        <v>64</v>
      </c>
      <c r="E349">
        <v>0</v>
      </c>
      <c r="F349" t="b">
        <v>0</v>
      </c>
    </row>
    <row r="350" spans="1:6" x14ac:dyDescent="0.25">
      <c r="A350" t="s">
        <v>233</v>
      </c>
      <c r="B350" t="s">
        <v>63</v>
      </c>
      <c r="C350" t="s">
        <v>76</v>
      </c>
      <c r="E350">
        <v>0</v>
      </c>
      <c r="F350" t="b">
        <v>0</v>
      </c>
    </row>
    <row r="351" spans="1:6" x14ac:dyDescent="0.25">
      <c r="A351" t="s">
        <v>233</v>
      </c>
      <c r="B351" t="s">
        <v>63</v>
      </c>
      <c r="C351" t="s">
        <v>120</v>
      </c>
      <c r="E351">
        <v>0</v>
      </c>
      <c r="F351" t="b">
        <v>0</v>
      </c>
    </row>
    <row r="352" spans="1:6" x14ac:dyDescent="0.25">
      <c r="A352" t="s">
        <v>233</v>
      </c>
      <c r="B352" t="s">
        <v>63</v>
      </c>
      <c r="C352" t="s">
        <v>122</v>
      </c>
      <c r="E352">
        <v>0</v>
      </c>
      <c r="F352" t="b">
        <v>0</v>
      </c>
    </row>
    <row r="353" spans="1:6" x14ac:dyDescent="0.25">
      <c r="A353" t="s">
        <v>233</v>
      </c>
      <c r="B353" t="s">
        <v>46</v>
      </c>
      <c r="C353" t="s">
        <v>106</v>
      </c>
      <c r="D353" t="s">
        <v>245</v>
      </c>
      <c r="E353">
        <v>1</v>
      </c>
      <c r="F353" t="b">
        <v>1</v>
      </c>
    </row>
    <row r="354" spans="1:6" x14ac:dyDescent="0.25">
      <c r="A354" t="s">
        <v>233</v>
      </c>
      <c r="B354" t="s">
        <v>46</v>
      </c>
      <c r="C354" t="s">
        <v>47</v>
      </c>
      <c r="D354" t="s">
        <v>250</v>
      </c>
      <c r="E354">
        <v>9</v>
      </c>
      <c r="F354" t="b">
        <v>1</v>
      </c>
    </row>
    <row r="355" spans="1:6" x14ac:dyDescent="0.25">
      <c r="A355" t="s">
        <v>233</v>
      </c>
      <c r="B355" t="s">
        <v>46</v>
      </c>
      <c r="C355" t="s">
        <v>123</v>
      </c>
      <c r="E355">
        <v>0</v>
      </c>
      <c r="F355" t="b">
        <v>0</v>
      </c>
    </row>
    <row r="356" spans="1:6" x14ac:dyDescent="0.25">
      <c r="A356" t="s">
        <v>233</v>
      </c>
      <c r="B356" t="s">
        <v>46</v>
      </c>
      <c r="C356" t="s">
        <v>124</v>
      </c>
      <c r="D356" t="s">
        <v>19</v>
      </c>
      <c r="E356">
        <v>1</v>
      </c>
      <c r="F356" t="b">
        <v>1</v>
      </c>
    </row>
    <row r="357" spans="1:6" x14ac:dyDescent="0.25">
      <c r="A357" t="s">
        <v>233</v>
      </c>
      <c r="B357" t="s">
        <v>46</v>
      </c>
      <c r="C357" t="s">
        <v>55</v>
      </c>
      <c r="E357">
        <v>0</v>
      </c>
      <c r="F357" t="b">
        <v>0</v>
      </c>
    </row>
    <row r="358" spans="1:6" x14ac:dyDescent="0.25">
      <c r="A358" t="s">
        <v>233</v>
      </c>
      <c r="B358" t="s">
        <v>46</v>
      </c>
      <c r="C358" t="s">
        <v>51</v>
      </c>
      <c r="D358" t="s">
        <v>251</v>
      </c>
      <c r="E358">
        <v>2</v>
      </c>
      <c r="F358" t="b">
        <v>1</v>
      </c>
    </row>
    <row r="359" spans="1:6" x14ac:dyDescent="0.25">
      <c r="A359" t="s">
        <v>233</v>
      </c>
      <c r="B359" t="s">
        <v>93</v>
      </c>
      <c r="C359" t="s">
        <v>108</v>
      </c>
      <c r="E359">
        <v>0</v>
      </c>
      <c r="F359" t="b">
        <v>0</v>
      </c>
    </row>
    <row r="360" spans="1:6" x14ac:dyDescent="0.25">
      <c r="A360" t="s">
        <v>233</v>
      </c>
      <c r="B360" t="s">
        <v>93</v>
      </c>
      <c r="C360" t="s">
        <v>128</v>
      </c>
      <c r="D360" t="s">
        <v>30</v>
      </c>
      <c r="E360">
        <v>1</v>
      </c>
      <c r="F360" t="b">
        <v>1</v>
      </c>
    </row>
    <row r="361" spans="1:6" x14ac:dyDescent="0.25">
      <c r="A361" t="s">
        <v>233</v>
      </c>
      <c r="B361" t="s">
        <v>93</v>
      </c>
      <c r="C361" t="s">
        <v>130</v>
      </c>
      <c r="E361">
        <v>0</v>
      </c>
      <c r="F361" t="b">
        <v>0</v>
      </c>
    </row>
    <row r="362" spans="1:6" x14ac:dyDescent="0.25">
      <c r="A362" t="s">
        <v>233</v>
      </c>
      <c r="B362" t="s">
        <v>93</v>
      </c>
      <c r="C362" t="s">
        <v>94</v>
      </c>
      <c r="D362" t="s">
        <v>252</v>
      </c>
      <c r="E362">
        <v>3</v>
      </c>
      <c r="F362" t="b">
        <v>1</v>
      </c>
    </row>
    <row r="363" spans="1:6" x14ac:dyDescent="0.25">
      <c r="A363" t="s">
        <v>233</v>
      </c>
      <c r="B363" t="s">
        <v>93</v>
      </c>
      <c r="C363" t="s">
        <v>132</v>
      </c>
      <c r="E363">
        <v>0</v>
      </c>
      <c r="F363" t="b">
        <v>0</v>
      </c>
    </row>
    <row r="364" spans="1:6" x14ac:dyDescent="0.25">
      <c r="A364" t="s">
        <v>233</v>
      </c>
      <c r="B364" t="s">
        <v>93</v>
      </c>
      <c r="C364" t="s">
        <v>135</v>
      </c>
      <c r="D364" t="s">
        <v>253</v>
      </c>
      <c r="E364">
        <v>1</v>
      </c>
      <c r="F364" t="b">
        <v>1</v>
      </c>
    </row>
    <row r="365" spans="1:6" x14ac:dyDescent="0.25">
      <c r="A365" t="s">
        <v>233</v>
      </c>
      <c r="B365" t="s">
        <v>110</v>
      </c>
      <c r="C365" t="s">
        <v>137</v>
      </c>
      <c r="D365" t="s">
        <v>253</v>
      </c>
      <c r="E365">
        <v>1</v>
      </c>
      <c r="F365" t="b">
        <v>1</v>
      </c>
    </row>
    <row r="366" spans="1:6" x14ac:dyDescent="0.25">
      <c r="A366" t="s">
        <v>233</v>
      </c>
      <c r="B366" t="s">
        <v>110</v>
      </c>
      <c r="C366" t="s">
        <v>138</v>
      </c>
      <c r="E366">
        <v>0</v>
      </c>
      <c r="F366" t="b">
        <v>0</v>
      </c>
    </row>
    <row r="367" spans="1:6" x14ac:dyDescent="0.25">
      <c r="A367" t="s">
        <v>233</v>
      </c>
      <c r="B367" t="s">
        <v>110</v>
      </c>
      <c r="C367" t="s">
        <v>140</v>
      </c>
      <c r="E367">
        <v>0</v>
      </c>
      <c r="F367" t="b">
        <v>0</v>
      </c>
    </row>
    <row r="368" spans="1:6" x14ac:dyDescent="0.25">
      <c r="A368" t="s">
        <v>233</v>
      </c>
      <c r="B368" t="s">
        <v>110</v>
      </c>
      <c r="C368" t="s">
        <v>142</v>
      </c>
      <c r="D368" t="s">
        <v>254</v>
      </c>
      <c r="E368">
        <v>5</v>
      </c>
      <c r="F368" t="b">
        <v>1</v>
      </c>
    </row>
    <row r="369" spans="1:6" x14ac:dyDescent="0.25">
      <c r="A369" t="s">
        <v>233</v>
      </c>
      <c r="B369" t="s">
        <v>110</v>
      </c>
      <c r="C369" t="s">
        <v>111</v>
      </c>
      <c r="E369">
        <v>0</v>
      </c>
      <c r="F369" t="b">
        <v>0</v>
      </c>
    </row>
    <row r="370" spans="1:6" x14ac:dyDescent="0.25">
      <c r="A370" t="s">
        <v>233</v>
      </c>
      <c r="B370" t="s">
        <v>110</v>
      </c>
      <c r="C370" t="s">
        <v>146</v>
      </c>
      <c r="E370">
        <v>0</v>
      </c>
      <c r="F370" t="b">
        <v>0</v>
      </c>
    </row>
    <row r="371" spans="1:6" x14ac:dyDescent="0.25">
      <c r="A371" t="s">
        <v>233</v>
      </c>
      <c r="B371" t="s">
        <v>110</v>
      </c>
      <c r="C371" t="s">
        <v>148</v>
      </c>
      <c r="E371">
        <v>0</v>
      </c>
      <c r="F371" t="b">
        <v>0</v>
      </c>
    </row>
    <row r="372" spans="1:6" x14ac:dyDescent="0.25">
      <c r="A372" t="s">
        <v>233</v>
      </c>
      <c r="B372" t="s">
        <v>110</v>
      </c>
      <c r="C372" t="s">
        <v>149</v>
      </c>
      <c r="E372">
        <v>0</v>
      </c>
      <c r="F372" t="b">
        <v>0</v>
      </c>
    </row>
    <row r="373" spans="1:6" x14ac:dyDescent="0.25">
      <c r="A373" t="s">
        <v>233</v>
      </c>
      <c r="B373" t="s">
        <v>110</v>
      </c>
      <c r="C373" t="s">
        <v>151</v>
      </c>
      <c r="E373">
        <v>0</v>
      </c>
      <c r="F373" t="b">
        <v>0</v>
      </c>
    </row>
    <row r="374" spans="1:6" x14ac:dyDescent="0.25">
      <c r="A374" t="s">
        <v>233</v>
      </c>
      <c r="B374" t="s">
        <v>59</v>
      </c>
      <c r="C374" t="s">
        <v>154</v>
      </c>
      <c r="E374">
        <v>0</v>
      </c>
      <c r="F374" t="b">
        <v>0</v>
      </c>
    </row>
    <row r="375" spans="1:6" x14ac:dyDescent="0.25">
      <c r="A375" t="s">
        <v>233</v>
      </c>
      <c r="B375" t="s">
        <v>59</v>
      </c>
      <c r="C375" t="s">
        <v>156</v>
      </c>
      <c r="E375">
        <v>0</v>
      </c>
      <c r="F375" t="b">
        <v>0</v>
      </c>
    </row>
    <row r="376" spans="1:6" x14ac:dyDescent="0.25">
      <c r="A376" t="s">
        <v>233</v>
      </c>
      <c r="B376" t="s">
        <v>59</v>
      </c>
      <c r="C376" t="s">
        <v>96</v>
      </c>
      <c r="E376">
        <v>0</v>
      </c>
      <c r="F376" t="b">
        <v>0</v>
      </c>
    </row>
    <row r="377" spans="1:6" x14ac:dyDescent="0.25">
      <c r="A377" t="s">
        <v>233</v>
      </c>
      <c r="B377" t="s">
        <v>59</v>
      </c>
      <c r="C377" t="s">
        <v>158</v>
      </c>
      <c r="D377" t="s">
        <v>253</v>
      </c>
      <c r="E377">
        <v>1</v>
      </c>
      <c r="F377" t="b">
        <v>1</v>
      </c>
    </row>
    <row r="378" spans="1:6" x14ac:dyDescent="0.25">
      <c r="A378" t="s">
        <v>233</v>
      </c>
      <c r="B378" t="s">
        <v>59</v>
      </c>
      <c r="C378" t="s">
        <v>60</v>
      </c>
      <c r="D378" t="s">
        <v>241</v>
      </c>
      <c r="E378">
        <v>1</v>
      </c>
      <c r="F378" t="b">
        <v>1</v>
      </c>
    </row>
    <row r="379" spans="1:6" x14ac:dyDescent="0.25">
      <c r="A379" t="s">
        <v>233</v>
      </c>
      <c r="B379" t="s">
        <v>160</v>
      </c>
      <c r="C379" t="s">
        <v>161</v>
      </c>
      <c r="E379">
        <v>0</v>
      </c>
      <c r="F379" t="b">
        <v>0</v>
      </c>
    </row>
    <row r="380" spans="1:6" x14ac:dyDescent="0.25">
      <c r="A380" t="s">
        <v>233</v>
      </c>
      <c r="B380" t="s">
        <v>160</v>
      </c>
      <c r="C380" t="s">
        <v>163</v>
      </c>
      <c r="E380">
        <v>0</v>
      </c>
      <c r="F380" t="b">
        <v>0</v>
      </c>
    </row>
    <row r="381" spans="1:6" x14ac:dyDescent="0.25">
      <c r="A381" t="s">
        <v>233</v>
      </c>
      <c r="B381" t="s">
        <v>160</v>
      </c>
      <c r="C381" t="s">
        <v>165</v>
      </c>
      <c r="D381" t="s">
        <v>241</v>
      </c>
      <c r="E381">
        <v>1</v>
      </c>
      <c r="F381" t="b">
        <v>1</v>
      </c>
    </row>
    <row r="382" spans="1:6" x14ac:dyDescent="0.25">
      <c r="A382" t="s">
        <v>233</v>
      </c>
      <c r="B382" t="s">
        <v>160</v>
      </c>
      <c r="C382" t="s">
        <v>166</v>
      </c>
      <c r="E382">
        <v>0</v>
      </c>
      <c r="F382" t="b">
        <v>0</v>
      </c>
    </row>
    <row r="383" spans="1:6" x14ac:dyDescent="0.25">
      <c r="A383" t="s">
        <v>233</v>
      </c>
      <c r="B383" t="s">
        <v>160</v>
      </c>
      <c r="C383" t="s">
        <v>168</v>
      </c>
      <c r="E383">
        <v>0</v>
      </c>
      <c r="F383" t="b">
        <v>0</v>
      </c>
    </row>
    <row r="384" spans="1:6" x14ac:dyDescent="0.25">
      <c r="A384" t="s">
        <v>233</v>
      </c>
      <c r="B384" t="s">
        <v>160</v>
      </c>
      <c r="C384" t="s">
        <v>171</v>
      </c>
      <c r="E384">
        <v>0</v>
      </c>
      <c r="F384" t="b">
        <v>0</v>
      </c>
    </row>
    <row r="385" spans="1:6" x14ac:dyDescent="0.25">
      <c r="A385" t="s">
        <v>233</v>
      </c>
      <c r="B385" t="s">
        <v>160</v>
      </c>
      <c r="C385" t="s">
        <v>173</v>
      </c>
      <c r="E385">
        <v>0</v>
      </c>
      <c r="F385" t="b">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72E9F-D97F-4514-B957-FB4B23932CC5}">
  <dimension ref="A1:M108"/>
  <sheetViews>
    <sheetView topLeftCell="A28" workbookViewId="0">
      <selection activeCell="D44" sqref="D44"/>
    </sheetView>
  </sheetViews>
  <sheetFormatPr defaultColWidth="8.85546875" defaultRowHeight="15" x14ac:dyDescent="0.25"/>
  <cols>
    <col min="1" max="1" width="49" bestFit="1" customWidth="1"/>
    <col min="2" max="2" width="15" bestFit="1" customWidth="1"/>
    <col min="3" max="3" width="14.85546875" bestFit="1" customWidth="1"/>
    <col min="4" max="4" width="12.7109375" bestFit="1" customWidth="1"/>
    <col min="5" max="5" width="24.5703125" bestFit="1" customWidth="1"/>
    <col min="6" max="6" width="12.140625" bestFit="1" customWidth="1"/>
    <col min="7" max="7" width="65.5703125" bestFit="1" customWidth="1"/>
    <col min="8" max="8" width="10.140625" bestFit="1" customWidth="1"/>
    <col min="9" max="9" width="10.7109375" bestFit="1" customWidth="1"/>
    <col min="10" max="10" width="11" bestFit="1" customWidth="1"/>
    <col min="11" max="11" width="12.42578125" bestFit="1" customWidth="1"/>
    <col min="12" max="12" width="9.28515625" bestFit="1" customWidth="1"/>
    <col min="13" max="13" width="7.7109375" customWidth="1"/>
  </cols>
  <sheetData>
    <row r="1" spans="1:13" x14ac:dyDescent="0.25">
      <c r="A1" t="s">
        <v>255</v>
      </c>
      <c r="B1" t="s">
        <v>256</v>
      </c>
      <c r="C1" t="s">
        <v>257</v>
      </c>
      <c r="D1" t="s">
        <v>258</v>
      </c>
      <c r="E1" t="s">
        <v>36</v>
      </c>
      <c r="F1" t="s">
        <v>259</v>
      </c>
      <c r="G1" t="s">
        <v>260</v>
      </c>
      <c r="H1" t="s">
        <v>261</v>
      </c>
      <c r="I1" t="s">
        <v>262</v>
      </c>
      <c r="J1" t="s">
        <v>263</v>
      </c>
      <c r="K1" t="s">
        <v>264</v>
      </c>
      <c r="L1" t="s">
        <v>265</v>
      </c>
      <c r="M1" t="s">
        <v>266</v>
      </c>
    </row>
    <row r="2" spans="1:13" x14ac:dyDescent="0.25">
      <c r="A2" t="s">
        <v>267</v>
      </c>
      <c r="B2" t="s">
        <v>268</v>
      </c>
      <c r="C2" t="s">
        <v>269</v>
      </c>
      <c r="D2" t="s">
        <v>270</v>
      </c>
      <c r="E2" t="s">
        <v>42</v>
      </c>
      <c r="F2" t="s">
        <v>271</v>
      </c>
      <c r="G2" t="s">
        <v>65</v>
      </c>
      <c r="H2">
        <v>24</v>
      </c>
      <c r="I2">
        <v>10</v>
      </c>
      <c r="J2">
        <v>9</v>
      </c>
      <c r="K2">
        <v>6</v>
      </c>
      <c r="L2">
        <v>0</v>
      </c>
      <c r="M2">
        <v>49</v>
      </c>
    </row>
    <row r="3" spans="1:13" x14ac:dyDescent="0.25">
      <c r="A3" t="s">
        <v>267</v>
      </c>
      <c r="B3" t="s">
        <v>272</v>
      </c>
      <c r="C3" t="s">
        <v>273</v>
      </c>
      <c r="D3" t="s">
        <v>270</v>
      </c>
      <c r="E3" t="s">
        <v>42</v>
      </c>
      <c r="F3" t="s">
        <v>271</v>
      </c>
      <c r="G3" t="s">
        <v>85</v>
      </c>
      <c r="H3">
        <v>22</v>
      </c>
      <c r="I3">
        <v>14</v>
      </c>
      <c r="J3">
        <v>4</v>
      </c>
      <c r="K3">
        <v>8</v>
      </c>
      <c r="L3">
        <v>0</v>
      </c>
      <c r="M3">
        <v>48</v>
      </c>
    </row>
    <row r="4" spans="1:13" x14ac:dyDescent="0.25">
      <c r="A4" t="s">
        <v>267</v>
      </c>
      <c r="B4" t="s">
        <v>274</v>
      </c>
      <c r="C4" t="s">
        <v>275</v>
      </c>
      <c r="D4" t="s">
        <v>270</v>
      </c>
      <c r="E4" t="s">
        <v>42</v>
      </c>
      <c r="F4" t="s">
        <v>271</v>
      </c>
      <c r="G4" t="s">
        <v>97</v>
      </c>
      <c r="H4">
        <v>18</v>
      </c>
      <c r="I4">
        <v>14</v>
      </c>
      <c r="J4">
        <v>6</v>
      </c>
      <c r="K4">
        <v>10</v>
      </c>
      <c r="M4">
        <v>48</v>
      </c>
    </row>
    <row r="5" spans="1:13" x14ac:dyDescent="0.25">
      <c r="A5" t="s">
        <v>267</v>
      </c>
      <c r="B5" t="s">
        <v>276</v>
      </c>
      <c r="C5" t="s">
        <v>277</v>
      </c>
      <c r="D5" t="s">
        <v>270</v>
      </c>
      <c r="E5" t="s">
        <v>42</v>
      </c>
      <c r="F5" t="s">
        <v>271</v>
      </c>
      <c r="G5" t="s">
        <v>278</v>
      </c>
      <c r="M5">
        <v>0</v>
      </c>
    </row>
    <row r="6" spans="1:13" x14ac:dyDescent="0.25">
      <c r="A6" t="s">
        <v>267</v>
      </c>
      <c r="B6" t="s">
        <v>279</v>
      </c>
      <c r="C6" t="s">
        <v>280</v>
      </c>
      <c r="D6" t="s">
        <v>270</v>
      </c>
      <c r="E6" t="s">
        <v>42</v>
      </c>
      <c r="F6" t="s">
        <v>271</v>
      </c>
      <c r="G6" t="s">
        <v>281</v>
      </c>
      <c r="H6">
        <v>22</v>
      </c>
      <c r="J6">
        <v>16</v>
      </c>
      <c r="K6">
        <v>8</v>
      </c>
      <c r="M6">
        <v>46</v>
      </c>
    </row>
    <row r="7" spans="1:13" x14ac:dyDescent="0.25">
      <c r="A7" t="s">
        <v>267</v>
      </c>
      <c r="B7" t="s">
        <v>282</v>
      </c>
      <c r="C7" t="s">
        <v>283</v>
      </c>
      <c r="D7" t="s">
        <v>270</v>
      </c>
      <c r="E7" t="s">
        <v>42</v>
      </c>
      <c r="F7" t="s">
        <v>271</v>
      </c>
      <c r="G7" t="s">
        <v>109</v>
      </c>
      <c r="H7">
        <v>8</v>
      </c>
      <c r="J7">
        <v>12</v>
      </c>
      <c r="K7">
        <v>20</v>
      </c>
      <c r="M7">
        <v>40</v>
      </c>
    </row>
    <row r="8" spans="1:13" x14ac:dyDescent="0.25">
      <c r="A8" t="s">
        <v>267</v>
      </c>
      <c r="B8" t="s">
        <v>284</v>
      </c>
      <c r="C8" t="s">
        <v>285</v>
      </c>
      <c r="D8" t="s">
        <v>270</v>
      </c>
      <c r="E8" t="s">
        <v>42</v>
      </c>
      <c r="F8" t="s">
        <v>271</v>
      </c>
      <c r="G8" t="s">
        <v>286</v>
      </c>
      <c r="H8">
        <v>22</v>
      </c>
      <c r="I8">
        <v>18</v>
      </c>
      <c r="M8">
        <v>40</v>
      </c>
    </row>
    <row r="9" spans="1:13" x14ac:dyDescent="0.25">
      <c r="A9" t="s">
        <v>267</v>
      </c>
      <c r="B9" t="s">
        <v>287</v>
      </c>
      <c r="C9" t="s">
        <v>288</v>
      </c>
      <c r="D9" t="s">
        <v>270</v>
      </c>
      <c r="E9" t="s">
        <v>42</v>
      </c>
      <c r="F9" t="s">
        <v>271</v>
      </c>
      <c r="G9" t="s">
        <v>289</v>
      </c>
      <c r="H9">
        <v>10</v>
      </c>
      <c r="I9">
        <v>10</v>
      </c>
      <c r="M9">
        <v>20</v>
      </c>
    </row>
    <row r="10" spans="1:13" x14ac:dyDescent="0.25">
      <c r="A10" t="s">
        <v>290</v>
      </c>
      <c r="B10" t="s">
        <v>291</v>
      </c>
      <c r="C10" t="s">
        <v>292</v>
      </c>
      <c r="D10" t="s">
        <v>270</v>
      </c>
      <c r="E10" t="s">
        <v>114</v>
      </c>
      <c r="F10" t="s">
        <v>293</v>
      </c>
      <c r="G10" t="s">
        <v>294</v>
      </c>
      <c r="H10">
        <v>20</v>
      </c>
      <c r="J10">
        <v>10</v>
      </c>
      <c r="K10">
        <v>10</v>
      </c>
      <c r="M10">
        <v>40</v>
      </c>
    </row>
    <row r="11" spans="1:13" x14ac:dyDescent="0.25">
      <c r="A11" t="s">
        <v>290</v>
      </c>
      <c r="B11" t="s">
        <v>295</v>
      </c>
      <c r="C11" t="s">
        <v>296</v>
      </c>
      <c r="D11" t="s">
        <v>270</v>
      </c>
      <c r="E11" t="s">
        <v>114</v>
      </c>
      <c r="F11" t="s">
        <v>293</v>
      </c>
      <c r="G11" t="s">
        <v>297</v>
      </c>
      <c r="M11">
        <v>0</v>
      </c>
    </row>
    <row r="12" spans="1:13" x14ac:dyDescent="0.25">
      <c r="A12" t="s">
        <v>290</v>
      </c>
      <c r="B12" t="s">
        <v>298</v>
      </c>
      <c r="C12" t="s">
        <v>299</v>
      </c>
      <c r="D12" t="s">
        <v>270</v>
      </c>
      <c r="E12" t="s">
        <v>114</v>
      </c>
      <c r="F12" t="s">
        <v>293</v>
      </c>
      <c r="G12" t="s">
        <v>300</v>
      </c>
      <c r="H12">
        <v>20</v>
      </c>
      <c r="J12">
        <v>20</v>
      </c>
      <c r="M12">
        <v>40</v>
      </c>
    </row>
    <row r="13" spans="1:13" x14ac:dyDescent="0.25">
      <c r="A13" t="s">
        <v>290</v>
      </c>
      <c r="B13" t="s">
        <v>301</v>
      </c>
      <c r="C13" t="s">
        <v>302</v>
      </c>
      <c r="D13" t="s">
        <v>270</v>
      </c>
      <c r="E13" t="s">
        <v>114</v>
      </c>
      <c r="F13" t="s">
        <v>293</v>
      </c>
      <c r="G13" t="s">
        <v>303</v>
      </c>
      <c r="M13">
        <v>0</v>
      </c>
    </row>
    <row r="14" spans="1:13" x14ac:dyDescent="0.25">
      <c r="A14" t="s">
        <v>290</v>
      </c>
      <c r="B14" t="s">
        <v>304</v>
      </c>
      <c r="C14" t="s">
        <v>305</v>
      </c>
      <c r="D14" t="s">
        <v>270</v>
      </c>
      <c r="E14" t="s">
        <v>114</v>
      </c>
      <c r="F14" t="s">
        <v>293</v>
      </c>
      <c r="G14" t="s">
        <v>306</v>
      </c>
      <c r="H14">
        <v>10</v>
      </c>
      <c r="I14">
        <v>0</v>
      </c>
      <c r="J14">
        <v>19</v>
      </c>
      <c r="K14">
        <v>3</v>
      </c>
      <c r="L14">
        <v>8</v>
      </c>
      <c r="M14">
        <v>40</v>
      </c>
    </row>
    <row r="15" spans="1:13" x14ac:dyDescent="0.25">
      <c r="A15" t="s">
        <v>290</v>
      </c>
      <c r="B15" t="s">
        <v>307</v>
      </c>
      <c r="C15" t="s">
        <v>308</v>
      </c>
      <c r="D15" t="s">
        <v>270</v>
      </c>
      <c r="E15" t="s">
        <v>114</v>
      </c>
      <c r="F15" t="s">
        <v>293</v>
      </c>
      <c r="G15" t="s">
        <v>309</v>
      </c>
      <c r="M15">
        <v>0</v>
      </c>
    </row>
    <row r="16" spans="1:13" x14ac:dyDescent="0.25">
      <c r="A16" t="s">
        <v>290</v>
      </c>
      <c r="B16" t="s">
        <v>310</v>
      </c>
      <c r="C16" t="s">
        <v>311</v>
      </c>
      <c r="D16" t="s">
        <v>270</v>
      </c>
      <c r="E16" t="s">
        <v>114</v>
      </c>
      <c r="F16" t="s">
        <v>293</v>
      </c>
      <c r="G16" t="s">
        <v>29</v>
      </c>
      <c r="H16">
        <v>9</v>
      </c>
      <c r="I16">
        <v>3</v>
      </c>
      <c r="J16">
        <v>16</v>
      </c>
      <c r="K16">
        <v>6</v>
      </c>
      <c r="L16">
        <v>6</v>
      </c>
      <c r="M16">
        <v>40</v>
      </c>
    </row>
    <row r="17" spans="1:13" x14ac:dyDescent="0.25">
      <c r="A17" t="s">
        <v>290</v>
      </c>
      <c r="B17" t="s">
        <v>310</v>
      </c>
      <c r="C17" t="s">
        <v>311</v>
      </c>
      <c r="D17" t="s">
        <v>270</v>
      </c>
      <c r="E17" t="s">
        <v>133</v>
      </c>
      <c r="F17" t="s">
        <v>312</v>
      </c>
      <c r="G17" t="s">
        <v>29</v>
      </c>
      <c r="H17">
        <v>9</v>
      </c>
      <c r="I17">
        <v>3</v>
      </c>
      <c r="J17">
        <v>16</v>
      </c>
      <c r="K17">
        <v>6</v>
      </c>
      <c r="L17">
        <v>6</v>
      </c>
      <c r="M17">
        <v>40</v>
      </c>
    </row>
    <row r="18" spans="1:13" x14ac:dyDescent="0.25">
      <c r="A18" t="s">
        <v>290</v>
      </c>
      <c r="B18" t="s">
        <v>313</v>
      </c>
      <c r="C18" t="s">
        <v>314</v>
      </c>
      <c r="D18" t="s">
        <v>270</v>
      </c>
      <c r="E18" t="s">
        <v>114</v>
      </c>
      <c r="F18" t="s">
        <v>293</v>
      </c>
      <c r="G18" t="s">
        <v>315</v>
      </c>
      <c r="M18">
        <v>0</v>
      </c>
    </row>
    <row r="19" spans="1:13" x14ac:dyDescent="0.25">
      <c r="A19" t="s">
        <v>290</v>
      </c>
      <c r="B19" t="s">
        <v>316</v>
      </c>
      <c r="C19" t="s">
        <v>317</v>
      </c>
      <c r="D19" t="s">
        <v>270</v>
      </c>
      <c r="E19" t="s">
        <v>114</v>
      </c>
      <c r="F19" t="s">
        <v>293</v>
      </c>
      <c r="G19" t="s">
        <v>318</v>
      </c>
      <c r="H19">
        <v>20</v>
      </c>
      <c r="K19">
        <v>20</v>
      </c>
      <c r="M19">
        <v>40</v>
      </c>
    </row>
    <row r="20" spans="1:13" x14ac:dyDescent="0.25">
      <c r="A20" t="s">
        <v>319</v>
      </c>
      <c r="B20" t="s">
        <v>295</v>
      </c>
      <c r="C20" t="s">
        <v>296</v>
      </c>
      <c r="D20" t="s">
        <v>270</v>
      </c>
      <c r="E20" t="s">
        <v>152</v>
      </c>
      <c r="F20" t="s">
        <v>320</v>
      </c>
      <c r="G20" t="s">
        <v>321</v>
      </c>
      <c r="M20">
        <v>0</v>
      </c>
    </row>
    <row r="21" spans="1:13" x14ac:dyDescent="0.25">
      <c r="A21" t="s">
        <v>319</v>
      </c>
      <c r="B21" t="s">
        <v>322</v>
      </c>
      <c r="C21" t="s">
        <v>323</v>
      </c>
      <c r="D21" t="s">
        <v>270</v>
      </c>
      <c r="E21" t="s">
        <v>152</v>
      </c>
      <c r="F21" t="s">
        <v>320</v>
      </c>
      <c r="G21" t="s">
        <v>324</v>
      </c>
      <c r="M21">
        <v>0</v>
      </c>
    </row>
    <row r="22" spans="1:13" x14ac:dyDescent="0.25">
      <c r="A22" t="s">
        <v>319</v>
      </c>
      <c r="B22" t="s">
        <v>325</v>
      </c>
      <c r="C22" t="s">
        <v>326</v>
      </c>
      <c r="D22" t="s">
        <v>270</v>
      </c>
      <c r="E22" t="s">
        <v>152</v>
      </c>
      <c r="F22" t="s">
        <v>320</v>
      </c>
      <c r="G22" t="s">
        <v>327</v>
      </c>
      <c r="M22">
        <v>0</v>
      </c>
    </row>
    <row r="23" spans="1:13" x14ac:dyDescent="0.25">
      <c r="A23" t="s">
        <v>319</v>
      </c>
      <c r="B23" t="s">
        <v>328</v>
      </c>
      <c r="C23" t="s">
        <v>329</v>
      </c>
      <c r="D23" t="s">
        <v>270</v>
      </c>
      <c r="E23" t="s">
        <v>152</v>
      </c>
      <c r="F23" t="s">
        <v>320</v>
      </c>
      <c r="G23" t="s">
        <v>330</v>
      </c>
      <c r="M23">
        <v>0</v>
      </c>
    </row>
    <row r="24" spans="1:13" x14ac:dyDescent="0.25">
      <c r="A24" t="s">
        <v>319</v>
      </c>
      <c r="B24" t="s">
        <v>331</v>
      </c>
      <c r="C24" t="s">
        <v>332</v>
      </c>
      <c r="D24" t="s">
        <v>270</v>
      </c>
      <c r="E24" t="s">
        <v>152</v>
      </c>
      <c r="F24" t="s">
        <v>320</v>
      </c>
      <c r="G24" t="s">
        <v>333</v>
      </c>
      <c r="M24">
        <v>0</v>
      </c>
    </row>
    <row r="25" spans="1:13" x14ac:dyDescent="0.25">
      <c r="A25" t="s">
        <v>319</v>
      </c>
      <c r="B25" t="s">
        <v>334</v>
      </c>
      <c r="C25" t="s">
        <v>335</v>
      </c>
      <c r="D25" t="s">
        <v>270</v>
      </c>
      <c r="E25" t="s">
        <v>152</v>
      </c>
      <c r="F25" t="s">
        <v>320</v>
      </c>
      <c r="G25" t="s">
        <v>336</v>
      </c>
      <c r="M25">
        <v>0</v>
      </c>
    </row>
    <row r="26" spans="1:13" x14ac:dyDescent="0.25">
      <c r="A26" t="s">
        <v>319</v>
      </c>
      <c r="B26" t="s">
        <v>337</v>
      </c>
      <c r="C26" t="s">
        <v>338</v>
      </c>
      <c r="D26" t="s">
        <v>270</v>
      </c>
      <c r="E26" t="s">
        <v>152</v>
      </c>
      <c r="F26" t="s">
        <v>320</v>
      </c>
      <c r="G26" t="s">
        <v>339</v>
      </c>
      <c r="M26">
        <v>0</v>
      </c>
    </row>
    <row r="27" spans="1:13" x14ac:dyDescent="0.25">
      <c r="A27" t="s">
        <v>319</v>
      </c>
      <c r="B27" t="s">
        <v>340</v>
      </c>
      <c r="C27" t="s">
        <v>341</v>
      </c>
      <c r="D27" t="s">
        <v>270</v>
      </c>
      <c r="E27" t="s">
        <v>152</v>
      </c>
      <c r="F27" t="s">
        <v>320</v>
      </c>
      <c r="G27" t="s">
        <v>34</v>
      </c>
      <c r="M27">
        <v>0</v>
      </c>
    </row>
    <row r="28" spans="1:13" x14ac:dyDescent="0.25">
      <c r="A28" t="s">
        <v>319</v>
      </c>
      <c r="B28" t="s">
        <v>340</v>
      </c>
      <c r="C28" t="s">
        <v>341</v>
      </c>
      <c r="D28" t="s">
        <v>270</v>
      </c>
      <c r="E28" t="s">
        <v>133</v>
      </c>
      <c r="F28" t="s">
        <v>312</v>
      </c>
      <c r="G28" t="s">
        <v>34</v>
      </c>
      <c r="M28">
        <v>0</v>
      </c>
    </row>
    <row r="29" spans="1:13" x14ac:dyDescent="0.25">
      <c r="A29" t="s">
        <v>319</v>
      </c>
      <c r="B29" t="s">
        <v>342</v>
      </c>
      <c r="C29" t="s">
        <v>343</v>
      </c>
      <c r="D29" t="s">
        <v>270</v>
      </c>
      <c r="E29" t="s">
        <v>152</v>
      </c>
      <c r="F29" t="s">
        <v>320</v>
      </c>
      <c r="G29" t="s">
        <v>344</v>
      </c>
      <c r="M29">
        <v>0</v>
      </c>
    </row>
    <row r="30" spans="1:13" x14ac:dyDescent="0.25">
      <c r="A30" t="s">
        <v>319</v>
      </c>
      <c r="B30" t="s">
        <v>345</v>
      </c>
      <c r="C30" t="s">
        <v>346</v>
      </c>
      <c r="D30" t="s">
        <v>270</v>
      </c>
      <c r="E30" t="s">
        <v>152</v>
      </c>
      <c r="F30" t="s">
        <v>320</v>
      </c>
      <c r="G30" t="s">
        <v>347</v>
      </c>
      <c r="M30">
        <v>0</v>
      </c>
    </row>
    <row r="31" spans="1:13" x14ac:dyDescent="0.25">
      <c r="A31" t="s">
        <v>319</v>
      </c>
      <c r="B31" t="s">
        <v>348</v>
      </c>
      <c r="C31" t="s">
        <v>349</v>
      </c>
      <c r="D31" t="s">
        <v>270</v>
      </c>
      <c r="E31" t="s">
        <v>152</v>
      </c>
      <c r="F31" t="s">
        <v>320</v>
      </c>
      <c r="G31" t="s">
        <v>350</v>
      </c>
      <c r="M31">
        <v>0</v>
      </c>
    </row>
    <row r="32" spans="1:13" x14ac:dyDescent="0.25">
      <c r="A32" t="s">
        <v>351</v>
      </c>
      <c r="B32" t="s">
        <v>352</v>
      </c>
      <c r="C32" t="s">
        <v>353</v>
      </c>
      <c r="D32" t="s">
        <v>270</v>
      </c>
      <c r="E32" t="s">
        <v>169</v>
      </c>
      <c r="F32" t="s">
        <v>354</v>
      </c>
      <c r="G32" t="s">
        <v>224</v>
      </c>
      <c r="M32">
        <v>0</v>
      </c>
    </row>
    <row r="33" spans="1:13" x14ac:dyDescent="0.25">
      <c r="A33" t="s">
        <v>351</v>
      </c>
      <c r="B33" t="s">
        <v>355</v>
      </c>
      <c r="C33" t="s">
        <v>356</v>
      </c>
      <c r="D33" t="s">
        <v>270</v>
      </c>
      <c r="E33" t="s">
        <v>169</v>
      </c>
      <c r="F33" t="s">
        <v>354</v>
      </c>
      <c r="G33" t="s">
        <v>357</v>
      </c>
      <c r="H33">
        <v>20</v>
      </c>
      <c r="I33">
        <v>15</v>
      </c>
      <c r="J33">
        <v>9</v>
      </c>
      <c r="K33">
        <v>3</v>
      </c>
      <c r="M33">
        <v>47</v>
      </c>
    </row>
    <row r="34" spans="1:13" x14ac:dyDescent="0.25">
      <c r="A34" t="s">
        <v>351</v>
      </c>
      <c r="B34" t="s">
        <v>358</v>
      </c>
      <c r="C34" t="s">
        <v>359</v>
      </c>
      <c r="D34" t="s">
        <v>270</v>
      </c>
      <c r="E34" t="s">
        <v>169</v>
      </c>
      <c r="F34" t="s">
        <v>354</v>
      </c>
      <c r="G34" t="s">
        <v>360</v>
      </c>
      <c r="M34">
        <v>0</v>
      </c>
    </row>
    <row r="35" spans="1:13" x14ac:dyDescent="0.25">
      <c r="A35" t="s">
        <v>351</v>
      </c>
      <c r="B35" t="s">
        <v>361</v>
      </c>
      <c r="C35" t="s">
        <v>362</v>
      </c>
      <c r="D35" t="s">
        <v>270</v>
      </c>
      <c r="E35" t="s">
        <v>169</v>
      </c>
      <c r="F35" t="s">
        <v>354</v>
      </c>
      <c r="G35" t="s">
        <v>213</v>
      </c>
      <c r="H35">
        <v>22</v>
      </c>
      <c r="J35">
        <v>8</v>
      </c>
      <c r="K35">
        <v>14</v>
      </c>
      <c r="M35">
        <v>44</v>
      </c>
    </row>
    <row r="36" spans="1:13" x14ac:dyDescent="0.25">
      <c r="A36" t="s">
        <v>351</v>
      </c>
      <c r="B36" t="s">
        <v>363</v>
      </c>
      <c r="C36" t="s">
        <v>364</v>
      </c>
      <c r="D36" t="s">
        <v>270</v>
      </c>
      <c r="E36" t="s">
        <v>169</v>
      </c>
      <c r="F36" t="s">
        <v>354</v>
      </c>
      <c r="G36" t="s">
        <v>365</v>
      </c>
      <c r="M36">
        <v>0</v>
      </c>
    </row>
    <row r="37" spans="1:13" x14ac:dyDescent="0.25">
      <c r="A37" t="s">
        <v>351</v>
      </c>
      <c r="B37" t="s">
        <v>366</v>
      </c>
      <c r="C37" t="s">
        <v>367</v>
      </c>
      <c r="D37" t="s">
        <v>270</v>
      </c>
      <c r="E37" t="s">
        <v>169</v>
      </c>
      <c r="F37" t="s">
        <v>354</v>
      </c>
      <c r="G37" t="s">
        <v>231</v>
      </c>
      <c r="M37">
        <v>0</v>
      </c>
    </row>
    <row r="38" spans="1:13" x14ac:dyDescent="0.25">
      <c r="A38" t="s">
        <v>351</v>
      </c>
      <c r="B38" t="s">
        <v>368</v>
      </c>
      <c r="C38" t="s">
        <v>369</v>
      </c>
      <c r="D38" t="s">
        <v>270</v>
      </c>
      <c r="E38" t="s">
        <v>169</v>
      </c>
      <c r="F38" t="s">
        <v>354</v>
      </c>
      <c r="G38" t="s">
        <v>370</v>
      </c>
      <c r="M38">
        <v>0</v>
      </c>
    </row>
    <row r="39" spans="1:13" x14ac:dyDescent="0.25">
      <c r="A39" t="s">
        <v>351</v>
      </c>
      <c r="B39" t="s">
        <v>371</v>
      </c>
      <c r="C39" t="s">
        <v>372</v>
      </c>
      <c r="D39" t="s">
        <v>270</v>
      </c>
      <c r="E39" t="s">
        <v>169</v>
      </c>
      <c r="F39" t="s">
        <v>354</v>
      </c>
      <c r="G39" t="s">
        <v>221</v>
      </c>
      <c r="M39">
        <v>0</v>
      </c>
    </row>
    <row r="40" spans="1:13" x14ac:dyDescent="0.25">
      <c r="A40" t="s">
        <v>351</v>
      </c>
      <c r="B40" t="s">
        <v>373</v>
      </c>
      <c r="C40" t="s">
        <v>374</v>
      </c>
      <c r="D40" t="s">
        <v>270</v>
      </c>
      <c r="E40" t="s">
        <v>169</v>
      </c>
      <c r="F40" t="s">
        <v>354</v>
      </c>
      <c r="G40" t="s">
        <v>219</v>
      </c>
      <c r="M40">
        <v>0</v>
      </c>
    </row>
    <row r="41" spans="1:13" x14ac:dyDescent="0.25">
      <c r="A41" t="s">
        <v>351</v>
      </c>
      <c r="B41" t="s">
        <v>375</v>
      </c>
      <c r="C41" t="s">
        <v>376</v>
      </c>
      <c r="D41" t="s">
        <v>270</v>
      </c>
      <c r="E41" t="s">
        <v>169</v>
      </c>
      <c r="F41" t="s">
        <v>354</v>
      </c>
      <c r="G41" t="s">
        <v>222</v>
      </c>
      <c r="M41">
        <v>0</v>
      </c>
    </row>
    <row r="42" spans="1:13" x14ac:dyDescent="0.25">
      <c r="A42" t="s">
        <v>351</v>
      </c>
      <c r="B42" t="s">
        <v>377</v>
      </c>
      <c r="C42" t="s">
        <v>378</v>
      </c>
      <c r="D42" t="s">
        <v>270</v>
      </c>
      <c r="E42" t="s">
        <v>169</v>
      </c>
      <c r="F42" t="s">
        <v>354</v>
      </c>
      <c r="G42" t="s">
        <v>230</v>
      </c>
      <c r="H42">
        <v>18</v>
      </c>
      <c r="K42">
        <v>22</v>
      </c>
      <c r="L42">
        <v>4</v>
      </c>
      <c r="M42">
        <v>44</v>
      </c>
    </row>
    <row r="43" spans="1:13" x14ac:dyDescent="0.25">
      <c r="A43" t="s">
        <v>351</v>
      </c>
      <c r="B43" t="s">
        <v>379</v>
      </c>
      <c r="C43" t="s">
        <v>380</v>
      </c>
      <c r="D43" t="s">
        <v>270</v>
      </c>
      <c r="E43" t="s">
        <v>169</v>
      </c>
      <c r="F43" t="s">
        <v>354</v>
      </c>
      <c r="G43" t="s">
        <v>381</v>
      </c>
      <c r="M43">
        <v>0</v>
      </c>
    </row>
    <row r="44" spans="1:13" x14ac:dyDescent="0.25">
      <c r="A44" t="s">
        <v>351</v>
      </c>
      <c r="B44" t="s">
        <v>382</v>
      </c>
      <c r="C44" t="s">
        <v>383</v>
      </c>
      <c r="D44" t="s">
        <v>270</v>
      </c>
      <c r="E44" t="s">
        <v>169</v>
      </c>
      <c r="F44" t="s">
        <v>354</v>
      </c>
      <c r="G44" t="s">
        <v>384</v>
      </c>
      <c r="M44">
        <v>0</v>
      </c>
    </row>
    <row r="45" spans="1:13" x14ac:dyDescent="0.25">
      <c r="A45" t="s">
        <v>385</v>
      </c>
      <c r="B45" t="s">
        <v>386</v>
      </c>
      <c r="C45" t="s">
        <v>387</v>
      </c>
      <c r="D45" t="s">
        <v>270</v>
      </c>
      <c r="E45" t="s">
        <v>233</v>
      </c>
      <c r="F45" t="s">
        <v>388</v>
      </c>
      <c r="G45" t="s">
        <v>241</v>
      </c>
      <c r="H45">
        <v>44</v>
      </c>
      <c r="I45">
        <v>10</v>
      </c>
      <c r="J45">
        <v>4</v>
      </c>
      <c r="K45">
        <v>8</v>
      </c>
      <c r="L45">
        <v>0</v>
      </c>
      <c r="M45">
        <v>66</v>
      </c>
    </row>
    <row r="46" spans="1:13" x14ac:dyDescent="0.25">
      <c r="A46" t="s">
        <v>385</v>
      </c>
      <c r="B46" t="s">
        <v>389</v>
      </c>
      <c r="C46" t="s">
        <v>390</v>
      </c>
      <c r="D46" t="s">
        <v>270</v>
      </c>
      <c r="E46" t="s">
        <v>233</v>
      </c>
      <c r="F46" t="s">
        <v>388</v>
      </c>
      <c r="G46" t="s">
        <v>391</v>
      </c>
      <c r="H46">
        <v>22</v>
      </c>
      <c r="I46">
        <v>22</v>
      </c>
      <c r="M46">
        <v>44</v>
      </c>
    </row>
    <row r="47" spans="1:13" x14ac:dyDescent="0.25">
      <c r="A47" t="s">
        <v>385</v>
      </c>
      <c r="B47" t="s">
        <v>392</v>
      </c>
      <c r="C47" t="s">
        <v>393</v>
      </c>
      <c r="D47" t="s">
        <v>270</v>
      </c>
      <c r="E47" t="s">
        <v>233</v>
      </c>
      <c r="F47" t="s">
        <v>388</v>
      </c>
      <c r="G47" t="s">
        <v>394</v>
      </c>
      <c r="H47">
        <v>22</v>
      </c>
      <c r="I47">
        <v>6</v>
      </c>
      <c r="J47">
        <v>8</v>
      </c>
      <c r="K47">
        <v>4</v>
      </c>
      <c r="M47">
        <v>40</v>
      </c>
    </row>
    <row r="48" spans="1:13" x14ac:dyDescent="0.25">
      <c r="A48" t="s">
        <v>385</v>
      </c>
      <c r="B48" t="s">
        <v>395</v>
      </c>
      <c r="C48" t="s">
        <v>396</v>
      </c>
      <c r="D48" t="s">
        <v>270</v>
      </c>
      <c r="E48" t="s">
        <v>233</v>
      </c>
      <c r="F48" t="s">
        <v>388</v>
      </c>
      <c r="G48" t="s">
        <v>397</v>
      </c>
      <c r="H48">
        <v>44</v>
      </c>
      <c r="I48">
        <v>8</v>
      </c>
      <c r="J48">
        <v>8</v>
      </c>
      <c r="K48">
        <v>12</v>
      </c>
      <c r="L48">
        <v>4</v>
      </c>
      <c r="M48">
        <v>76</v>
      </c>
    </row>
    <row r="49" spans="1:13" x14ac:dyDescent="0.25">
      <c r="A49" t="s">
        <v>385</v>
      </c>
      <c r="B49" t="s">
        <v>398</v>
      </c>
      <c r="C49" t="s">
        <v>399</v>
      </c>
      <c r="D49" t="s">
        <v>270</v>
      </c>
      <c r="E49" t="s">
        <v>42</v>
      </c>
      <c r="F49" t="s">
        <v>271</v>
      </c>
      <c r="G49" t="s">
        <v>26</v>
      </c>
      <c r="H49">
        <v>22</v>
      </c>
      <c r="L49">
        <v>22</v>
      </c>
      <c r="M49">
        <v>44</v>
      </c>
    </row>
    <row r="50" spans="1:13" x14ac:dyDescent="0.25">
      <c r="A50" t="s">
        <v>385</v>
      </c>
      <c r="B50" t="s">
        <v>398</v>
      </c>
      <c r="C50" t="s">
        <v>399</v>
      </c>
      <c r="D50" t="s">
        <v>270</v>
      </c>
      <c r="E50" t="s">
        <v>114</v>
      </c>
      <c r="F50" t="s">
        <v>293</v>
      </c>
      <c r="G50" t="s">
        <v>26</v>
      </c>
      <c r="H50">
        <v>22</v>
      </c>
      <c r="L50">
        <v>22</v>
      </c>
      <c r="M50">
        <v>44</v>
      </c>
    </row>
    <row r="51" spans="1:13" x14ac:dyDescent="0.25">
      <c r="A51" t="s">
        <v>385</v>
      </c>
      <c r="B51" t="s">
        <v>398</v>
      </c>
      <c r="C51" t="s">
        <v>399</v>
      </c>
      <c r="D51" t="s">
        <v>270</v>
      </c>
      <c r="E51" t="s">
        <v>152</v>
      </c>
      <c r="F51" t="s">
        <v>320</v>
      </c>
      <c r="G51" t="s">
        <v>26</v>
      </c>
      <c r="H51">
        <v>22</v>
      </c>
      <c r="L51">
        <v>22</v>
      </c>
      <c r="M51">
        <v>44</v>
      </c>
    </row>
    <row r="52" spans="1:13" x14ac:dyDescent="0.25">
      <c r="A52" t="s">
        <v>385</v>
      </c>
      <c r="B52" t="s">
        <v>398</v>
      </c>
      <c r="C52" t="s">
        <v>399</v>
      </c>
      <c r="D52" t="s">
        <v>270</v>
      </c>
      <c r="E52" t="s">
        <v>233</v>
      </c>
      <c r="F52" t="s">
        <v>388</v>
      </c>
      <c r="G52" t="s">
        <v>26</v>
      </c>
      <c r="H52">
        <v>22</v>
      </c>
      <c r="L52">
        <v>22</v>
      </c>
      <c r="M52">
        <v>44</v>
      </c>
    </row>
    <row r="53" spans="1:13" x14ac:dyDescent="0.25">
      <c r="A53" t="s">
        <v>385</v>
      </c>
      <c r="B53" t="s">
        <v>398</v>
      </c>
      <c r="C53" t="s">
        <v>399</v>
      </c>
      <c r="D53" t="s">
        <v>270</v>
      </c>
      <c r="E53" t="s">
        <v>133</v>
      </c>
      <c r="F53" t="s">
        <v>312</v>
      </c>
      <c r="G53" t="s">
        <v>26</v>
      </c>
      <c r="H53">
        <v>22</v>
      </c>
      <c r="L53">
        <v>22</v>
      </c>
      <c r="M53">
        <v>44</v>
      </c>
    </row>
    <row r="54" spans="1:13" x14ac:dyDescent="0.25">
      <c r="A54" t="s">
        <v>385</v>
      </c>
      <c r="B54" t="s">
        <v>400</v>
      </c>
      <c r="C54" t="s">
        <v>401</v>
      </c>
      <c r="D54" t="s">
        <v>270</v>
      </c>
      <c r="E54" t="s">
        <v>233</v>
      </c>
      <c r="F54" t="s">
        <v>388</v>
      </c>
      <c r="G54" t="s">
        <v>402</v>
      </c>
      <c r="H54">
        <v>44</v>
      </c>
      <c r="I54">
        <v>10</v>
      </c>
      <c r="J54">
        <v>4</v>
      </c>
      <c r="K54">
        <v>8</v>
      </c>
      <c r="L54">
        <v>0</v>
      </c>
      <c r="M54">
        <v>66</v>
      </c>
    </row>
    <row r="55" spans="1:13" x14ac:dyDescent="0.25">
      <c r="A55" t="s">
        <v>385</v>
      </c>
      <c r="B55" t="s">
        <v>403</v>
      </c>
      <c r="C55" t="s">
        <v>404</v>
      </c>
      <c r="D55" t="s">
        <v>270</v>
      </c>
      <c r="E55" t="s">
        <v>233</v>
      </c>
      <c r="F55" t="s">
        <v>388</v>
      </c>
      <c r="G55" t="s">
        <v>238</v>
      </c>
      <c r="H55">
        <v>18</v>
      </c>
      <c r="I55">
        <v>4</v>
      </c>
      <c r="J55">
        <v>16</v>
      </c>
      <c r="K55">
        <v>0</v>
      </c>
      <c r="L55">
        <v>4</v>
      </c>
      <c r="M55">
        <v>42</v>
      </c>
    </row>
    <row r="56" spans="1:13" x14ac:dyDescent="0.25">
      <c r="A56" t="s">
        <v>385</v>
      </c>
      <c r="B56" t="s">
        <v>405</v>
      </c>
      <c r="C56" t="s">
        <v>406</v>
      </c>
      <c r="D56" t="s">
        <v>270</v>
      </c>
      <c r="E56" t="s">
        <v>233</v>
      </c>
      <c r="F56" t="s">
        <v>388</v>
      </c>
      <c r="G56" t="s">
        <v>407</v>
      </c>
      <c r="H56">
        <v>22</v>
      </c>
      <c r="I56">
        <v>22</v>
      </c>
      <c r="M56">
        <v>44</v>
      </c>
    </row>
    <row r="57" spans="1:13" x14ac:dyDescent="0.25">
      <c r="A57" t="s">
        <v>385</v>
      </c>
      <c r="B57" t="s">
        <v>408</v>
      </c>
      <c r="C57" t="s">
        <v>409</v>
      </c>
      <c r="D57" t="s">
        <v>270</v>
      </c>
      <c r="E57" t="s">
        <v>233</v>
      </c>
      <c r="F57" t="s">
        <v>388</v>
      </c>
      <c r="G57" t="s">
        <v>410</v>
      </c>
      <c r="H57">
        <v>22</v>
      </c>
      <c r="I57">
        <v>22</v>
      </c>
      <c r="M57">
        <v>44</v>
      </c>
    </row>
    <row r="58" spans="1:13" x14ac:dyDescent="0.25">
      <c r="A58" t="s">
        <v>385</v>
      </c>
      <c r="B58" t="s">
        <v>411</v>
      </c>
      <c r="C58" t="s">
        <v>412</v>
      </c>
      <c r="D58" t="s">
        <v>270</v>
      </c>
      <c r="E58" t="s">
        <v>233</v>
      </c>
      <c r="F58" t="s">
        <v>388</v>
      </c>
      <c r="G58" t="s">
        <v>30</v>
      </c>
      <c r="H58">
        <v>38</v>
      </c>
      <c r="I58">
        <v>6</v>
      </c>
      <c r="J58">
        <v>0</v>
      </c>
      <c r="K58">
        <v>0</v>
      </c>
      <c r="L58">
        <v>0</v>
      </c>
      <c r="M58">
        <v>44</v>
      </c>
    </row>
    <row r="59" spans="1:13" x14ac:dyDescent="0.25">
      <c r="A59" t="s">
        <v>385</v>
      </c>
      <c r="B59" t="s">
        <v>411</v>
      </c>
      <c r="C59" t="s">
        <v>412</v>
      </c>
      <c r="D59" t="s">
        <v>270</v>
      </c>
      <c r="E59" t="s">
        <v>133</v>
      </c>
      <c r="F59" t="s">
        <v>312</v>
      </c>
      <c r="G59" t="s">
        <v>30</v>
      </c>
      <c r="H59">
        <v>38</v>
      </c>
      <c r="I59">
        <v>6</v>
      </c>
      <c r="J59">
        <v>0</v>
      </c>
      <c r="K59">
        <v>0</v>
      </c>
      <c r="L59">
        <v>0</v>
      </c>
      <c r="M59">
        <v>44</v>
      </c>
    </row>
    <row r="60" spans="1:13" x14ac:dyDescent="0.25">
      <c r="A60" t="s">
        <v>385</v>
      </c>
      <c r="B60" t="s">
        <v>413</v>
      </c>
      <c r="C60" t="s">
        <v>414</v>
      </c>
      <c r="D60" t="s">
        <v>270</v>
      </c>
      <c r="E60" t="s">
        <v>233</v>
      </c>
      <c r="F60" t="s">
        <v>388</v>
      </c>
      <c r="G60" t="s">
        <v>415</v>
      </c>
      <c r="H60">
        <v>18</v>
      </c>
      <c r="I60">
        <v>4</v>
      </c>
      <c r="K60">
        <v>18</v>
      </c>
      <c r="M60">
        <v>40</v>
      </c>
    </row>
    <row r="61" spans="1:13" x14ac:dyDescent="0.25">
      <c r="A61" t="s">
        <v>385</v>
      </c>
      <c r="B61" t="s">
        <v>416</v>
      </c>
      <c r="C61" t="s">
        <v>417</v>
      </c>
      <c r="D61" t="s">
        <v>270</v>
      </c>
      <c r="E61" t="s">
        <v>233</v>
      </c>
      <c r="F61" t="s">
        <v>388</v>
      </c>
      <c r="G61" t="s">
        <v>7</v>
      </c>
      <c r="H61">
        <v>22</v>
      </c>
      <c r="J61">
        <v>8</v>
      </c>
      <c r="K61">
        <v>14</v>
      </c>
      <c r="M61">
        <v>44</v>
      </c>
    </row>
    <row r="62" spans="1:13" x14ac:dyDescent="0.25">
      <c r="A62" t="s">
        <v>385</v>
      </c>
      <c r="B62" t="s">
        <v>416</v>
      </c>
      <c r="C62" t="s">
        <v>417</v>
      </c>
      <c r="D62" t="s">
        <v>270</v>
      </c>
      <c r="E62" t="s">
        <v>133</v>
      </c>
      <c r="F62" t="s">
        <v>312</v>
      </c>
      <c r="G62" t="s">
        <v>7</v>
      </c>
      <c r="H62">
        <v>22</v>
      </c>
      <c r="J62">
        <v>8</v>
      </c>
      <c r="K62">
        <v>14</v>
      </c>
      <c r="M62">
        <v>44</v>
      </c>
    </row>
    <row r="63" spans="1:13" x14ac:dyDescent="0.25">
      <c r="A63" t="s">
        <v>385</v>
      </c>
      <c r="B63" t="s">
        <v>418</v>
      </c>
      <c r="C63" t="s">
        <v>419</v>
      </c>
      <c r="D63" t="s">
        <v>270</v>
      </c>
      <c r="E63" t="s">
        <v>233</v>
      </c>
      <c r="F63" t="s">
        <v>388</v>
      </c>
      <c r="G63" t="s">
        <v>245</v>
      </c>
      <c r="H63">
        <v>22</v>
      </c>
      <c r="I63">
        <v>22</v>
      </c>
      <c r="M63">
        <v>44</v>
      </c>
    </row>
    <row r="64" spans="1:13" x14ac:dyDescent="0.25">
      <c r="A64" t="s">
        <v>385</v>
      </c>
      <c r="B64" t="s">
        <v>420</v>
      </c>
      <c r="C64" t="s">
        <v>421</v>
      </c>
      <c r="D64" t="s">
        <v>270</v>
      </c>
      <c r="E64" t="s">
        <v>233</v>
      </c>
      <c r="F64" t="s">
        <v>388</v>
      </c>
      <c r="G64" t="s">
        <v>253</v>
      </c>
      <c r="I64">
        <v>8</v>
      </c>
      <c r="J64">
        <v>40</v>
      </c>
      <c r="K64">
        <v>12</v>
      </c>
      <c r="M64">
        <v>60</v>
      </c>
    </row>
    <row r="65" spans="1:13" x14ac:dyDescent="0.25">
      <c r="A65" t="s">
        <v>422</v>
      </c>
      <c r="B65" t="s">
        <v>423</v>
      </c>
      <c r="C65" t="s">
        <v>424</v>
      </c>
      <c r="D65" t="s">
        <v>270</v>
      </c>
      <c r="E65" t="s">
        <v>42</v>
      </c>
      <c r="F65" t="s">
        <v>271</v>
      </c>
      <c r="G65" t="s">
        <v>27</v>
      </c>
      <c r="M65">
        <v>0</v>
      </c>
    </row>
    <row r="66" spans="1:13" x14ac:dyDescent="0.25">
      <c r="A66" t="s">
        <v>422</v>
      </c>
      <c r="B66" t="s">
        <v>423</v>
      </c>
      <c r="C66" t="s">
        <v>424</v>
      </c>
      <c r="D66" t="s">
        <v>270</v>
      </c>
      <c r="E66" t="s">
        <v>114</v>
      </c>
      <c r="F66" t="s">
        <v>293</v>
      </c>
      <c r="G66" t="s">
        <v>27</v>
      </c>
      <c r="M66">
        <v>0</v>
      </c>
    </row>
    <row r="67" spans="1:13" x14ac:dyDescent="0.25">
      <c r="A67" t="s">
        <v>422</v>
      </c>
      <c r="B67" t="s">
        <v>423</v>
      </c>
      <c r="C67" t="s">
        <v>424</v>
      </c>
      <c r="D67" t="s">
        <v>270</v>
      </c>
      <c r="E67" t="s">
        <v>152</v>
      </c>
      <c r="F67" t="s">
        <v>320</v>
      </c>
      <c r="G67" t="s">
        <v>27</v>
      </c>
      <c r="M67">
        <v>0</v>
      </c>
    </row>
    <row r="68" spans="1:13" x14ac:dyDescent="0.25">
      <c r="A68" t="s">
        <v>422</v>
      </c>
      <c r="B68" t="s">
        <v>423</v>
      </c>
      <c r="C68" t="s">
        <v>424</v>
      </c>
      <c r="D68" t="s">
        <v>270</v>
      </c>
      <c r="E68" t="s">
        <v>169</v>
      </c>
      <c r="F68" t="s">
        <v>354</v>
      </c>
      <c r="G68" t="s">
        <v>27</v>
      </c>
      <c r="M68">
        <v>0</v>
      </c>
    </row>
    <row r="69" spans="1:13" x14ac:dyDescent="0.25">
      <c r="A69" t="s">
        <v>422</v>
      </c>
      <c r="B69" t="s">
        <v>423</v>
      </c>
      <c r="C69" t="s">
        <v>424</v>
      </c>
      <c r="D69" t="s">
        <v>270</v>
      </c>
      <c r="E69" t="s">
        <v>233</v>
      </c>
      <c r="F69" t="s">
        <v>388</v>
      </c>
      <c r="G69" t="s">
        <v>27</v>
      </c>
      <c r="M69">
        <v>0</v>
      </c>
    </row>
    <row r="70" spans="1:13" x14ac:dyDescent="0.25">
      <c r="A70" t="s">
        <v>422</v>
      </c>
      <c r="B70" t="s">
        <v>423</v>
      </c>
      <c r="C70" t="s">
        <v>424</v>
      </c>
      <c r="D70" t="s">
        <v>270</v>
      </c>
      <c r="E70" t="s">
        <v>133</v>
      </c>
      <c r="F70" t="s">
        <v>312</v>
      </c>
      <c r="G70" t="s">
        <v>27</v>
      </c>
      <c r="M70">
        <v>0</v>
      </c>
    </row>
    <row r="71" spans="1:13" x14ac:dyDescent="0.25">
      <c r="A71" t="s">
        <v>422</v>
      </c>
      <c r="B71" t="s">
        <v>425</v>
      </c>
      <c r="C71" t="s">
        <v>426</v>
      </c>
      <c r="D71" t="s">
        <v>270</v>
      </c>
      <c r="E71" t="s">
        <v>42</v>
      </c>
      <c r="F71" t="s">
        <v>271</v>
      </c>
      <c r="G71" t="s">
        <v>15</v>
      </c>
      <c r="H71">
        <v>33</v>
      </c>
      <c r="I71">
        <v>1</v>
      </c>
      <c r="J71">
        <v>6</v>
      </c>
      <c r="K71">
        <v>1</v>
      </c>
      <c r="L71">
        <v>3</v>
      </c>
      <c r="M71">
        <v>44</v>
      </c>
    </row>
    <row r="72" spans="1:13" x14ac:dyDescent="0.25">
      <c r="A72" t="s">
        <v>422</v>
      </c>
      <c r="B72" t="s">
        <v>425</v>
      </c>
      <c r="C72" t="s">
        <v>426</v>
      </c>
      <c r="D72" t="s">
        <v>270</v>
      </c>
      <c r="E72" t="s">
        <v>114</v>
      </c>
      <c r="F72" t="s">
        <v>293</v>
      </c>
      <c r="G72" t="s">
        <v>15</v>
      </c>
      <c r="H72">
        <v>33</v>
      </c>
      <c r="I72">
        <v>1</v>
      </c>
      <c r="J72">
        <v>6</v>
      </c>
      <c r="K72">
        <v>1</v>
      </c>
      <c r="L72">
        <v>3</v>
      </c>
      <c r="M72">
        <v>44</v>
      </c>
    </row>
    <row r="73" spans="1:13" x14ac:dyDescent="0.25">
      <c r="A73" t="s">
        <v>422</v>
      </c>
      <c r="B73" t="s">
        <v>425</v>
      </c>
      <c r="C73" t="s">
        <v>426</v>
      </c>
      <c r="D73" t="s">
        <v>270</v>
      </c>
      <c r="E73" t="s">
        <v>152</v>
      </c>
      <c r="F73" t="s">
        <v>320</v>
      </c>
      <c r="G73" t="s">
        <v>15</v>
      </c>
      <c r="H73">
        <v>33</v>
      </c>
      <c r="I73">
        <v>1</v>
      </c>
      <c r="J73">
        <v>6</v>
      </c>
      <c r="K73">
        <v>1</v>
      </c>
      <c r="L73">
        <v>3</v>
      </c>
      <c r="M73">
        <v>44</v>
      </c>
    </row>
    <row r="74" spans="1:13" x14ac:dyDescent="0.25">
      <c r="A74" t="s">
        <v>422</v>
      </c>
      <c r="B74" t="s">
        <v>425</v>
      </c>
      <c r="C74" t="s">
        <v>426</v>
      </c>
      <c r="D74" t="s">
        <v>270</v>
      </c>
      <c r="E74" t="s">
        <v>169</v>
      </c>
      <c r="F74" t="s">
        <v>354</v>
      </c>
      <c r="G74" t="s">
        <v>15</v>
      </c>
      <c r="H74">
        <v>33</v>
      </c>
      <c r="I74">
        <v>1</v>
      </c>
      <c r="J74">
        <v>6</v>
      </c>
      <c r="K74">
        <v>1</v>
      </c>
      <c r="L74">
        <v>3</v>
      </c>
      <c r="M74">
        <v>44</v>
      </c>
    </row>
    <row r="75" spans="1:13" x14ac:dyDescent="0.25">
      <c r="A75" t="s">
        <v>422</v>
      </c>
      <c r="B75" t="s">
        <v>425</v>
      </c>
      <c r="C75" t="s">
        <v>426</v>
      </c>
      <c r="D75" t="s">
        <v>270</v>
      </c>
      <c r="E75" t="s">
        <v>133</v>
      </c>
      <c r="F75" t="s">
        <v>312</v>
      </c>
      <c r="G75" t="s">
        <v>15</v>
      </c>
      <c r="H75">
        <v>33</v>
      </c>
      <c r="I75">
        <v>1</v>
      </c>
      <c r="J75">
        <v>6</v>
      </c>
      <c r="K75">
        <v>1</v>
      </c>
      <c r="L75">
        <v>3</v>
      </c>
      <c r="M75">
        <v>44</v>
      </c>
    </row>
    <row r="76" spans="1:13" x14ac:dyDescent="0.25">
      <c r="A76" t="s">
        <v>422</v>
      </c>
      <c r="B76" t="s">
        <v>427</v>
      </c>
      <c r="C76" t="s">
        <v>428</v>
      </c>
      <c r="D76" t="s">
        <v>270</v>
      </c>
      <c r="E76" t="s">
        <v>42</v>
      </c>
      <c r="F76" t="s">
        <v>271</v>
      </c>
      <c r="G76" t="s">
        <v>17</v>
      </c>
      <c r="H76">
        <v>11</v>
      </c>
      <c r="J76">
        <v>6</v>
      </c>
      <c r="K76">
        <v>11</v>
      </c>
      <c r="L76">
        <v>11</v>
      </c>
      <c r="M76">
        <v>39</v>
      </c>
    </row>
    <row r="77" spans="1:13" x14ac:dyDescent="0.25">
      <c r="A77" t="s">
        <v>422</v>
      </c>
      <c r="B77" t="s">
        <v>427</v>
      </c>
      <c r="C77" t="s">
        <v>428</v>
      </c>
      <c r="D77" t="s">
        <v>270</v>
      </c>
      <c r="E77" t="s">
        <v>114</v>
      </c>
      <c r="F77" t="s">
        <v>293</v>
      </c>
      <c r="G77" t="s">
        <v>17</v>
      </c>
      <c r="H77">
        <v>11</v>
      </c>
      <c r="J77">
        <v>6</v>
      </c>
      <c r="K77">
        <v>11</v>
      </c>
      <c r="L77">
        <v>11</v>
      </c>
      <c r="M77">
        <v>39</v>
      </c>
    </row>
    <row r="78" spans="1:13" x14ac:dyDescent="0.25">
      <c r="A78" t="s">
        <v>422</v>
      </c>
      <c r="B78" t="s">
        <v>427</v>
      </c>
      <c r="C78" t="s">
        <v>428</v>
      </c>
      <c r="D78" t="s">
        <v>270</v>
      </c>
      <c r="E78" t="s">
        <v>152</v>
      </c>
      <c r="F78" t="s">
        <v>320</v>
      </c>
      <c r="G78" t="s">
        <v>17</v>
      </c>
      <c r="H78">
        <v>11</v>
      </c>
      <c r="J78">
        <v>6</v>
      </c>
      <c r="K78">
        <v>11</v>
      </c>
      <c r="L78">
        <v>11</v>
      </c>
      <c r="M78">
        <v>39</v>
      </c>
    </row>
    <row r="79" spans="1:13" x14ac:dyDescent="0.25">
      <c r="A79" t="s">
        <v>422</v>
      </c>
      <c r="B79" t="s">
        <v>427</v>
      </c>
      <c r="C79" t="s">
        <v>428</v>
      </c>
      <c r="D79" t="s">
        <v>270</v>
      </c>
      <c r="E79" t="s">
        <v>133</v>
      </c>
      <c r="F79" t="s">
        <v>312</v>
      </c>
      <c r="G79" t="s">
        <v>17</v>
      </c>
      <c r="H79">
        <v>11</v>
      </c>
      <c r="J79">
        <v>6</v>
      </c>
      <c r="K79">
        <v>11</v>
      </c>
      <c r="L79">
        <v>11</v>
      </c>
      <c r="M79">
        <v>39</v>
      </c>
    </row>
    <row r="80" spans="1:13" x14ac:dyDescent="0.25">
      <c r="A80" t="s">
        <v>422</v>
      </c>
      <c r="B80" t="s">
        <v>429</v>
      </c>
      <c r="C80" t="s">
        <v>430</v>
      </c>
      <c r="D80" t="s">
        <v>270</v>
      </c>
      <c r="E80" t="s">
        <v>133</v>
      </c>
      <c r="F80" t="s">
        <v>312</v>
      </c>
      <c r="G80" t="s">
        <v>24</v>
      </c>
      <c r="H80">
        <v>22</v>
      </c>
      <c r="I80">
        <v>5</v>
      </c>
      <c r="J80">
        <v>3</v>
      </c>
      <c r="K80">
        <v>10</v>
      </c>
      <c r="L80">
        <v>4</v>
      </c>
      <c r="M80">
        <v>44</v>
      </c>
    </row>
    <row r="81" spans="1:13" x14ac:dyDescent="0.25">
      <c r="A81" t="s">
        <v>422</v>
      </c>
      <c r="B81" t="s">
        <v>431</v>
      </c>
      <c r="C81" t="s">
        <v>432</v>
      </c>
      <c r="D81" t="s">
        <v>270</v>
      </c>
      <c r="E81" t="s">
        <v>133</v>
      </c>
      <c r="F81" t="s">
        <v>312</v>
      </c>
      <c r="G81" t="s">
        <v>33</v>
      </c>
      <c r="H81">
        <v>23</v>
      </c>
      <c r="K81">
        <v>17</v>
      </c>
      <c r="M81">
        <v>40</v>
      </c>
    </row>
    <row r="82" spans="1:13" x14ac:dyDescent="0.25">
      <c r="A82" t="s">
        <v>422</v>
      </c>
      <c r="B82" t="s">
        <v>433</v>
      </c>
      <c r="C82" t="s">
        <v>434</v>
      </c>
      <c r="D82" t="s">
        <v>270</v>
      </c>
      <c r="E82" t="s">
        <v>42</v>
      </c>
      <c r="F82" t="s">
        <v>271</v>
      </c>
      <c r="G82" t="s">
        <v>28</v>
      </c>
      <c r="H82">
        <v>34</v>
      </c>
      <c r="I82">
        <v>6</v>
      </c>
      <c r="K82">
        <v>2</v>
      </c>
      <c r="M82">
        <v>42</v>
      </c>
    </row>
    <row r="83" spans="1:13" x14ac:dyDescent="0.25">
      <c r="A83" t="s">
        <v>422</v>
      </c>
      <c r="B83" t="s">
        <v>433</v>
      </c>
      <c r="C83" t="s">
        <v>434</v>
      </c>
      <c r="D83" t="s">
        <v>270</v>
      </c>
      <c r="E83" t="s">
        <v>133</v>
      </c>
      <c r="F83" t="s">
        <v>312</v>
      </c>
      <c r="G83" t="s">
        <v>28</v>
      </c>
      <c r="H83">
        <v>34</v>
      </c>
      <c r="I83">
        <v>6</v>
      </c>
      <c r="K83">
        <v>2</v>
      </c>
      <c r="M83">
        <v>42</v>
      </c>
    </row>
    <row r="84" spans="1:13" x14ac:dyDescent="0.25">
      <c r="A84" t="s">
        <v>422</v>
      </c>
      <c r="B84" t="s">
        <v>435</v>
      </c>
      <c r="C84" t="s">
        <v>436</v>
      </c>
      <c r="D84" t="s">
        <v>270</v>
      </c>
      <c r="E84" t="s">
        <v>42</v>
      </c>
      <c r="F84" t="s">
        <v>271</v>
      </c>
      <c r="G84" t="s">
        <v>23</v>
      </c>
      <c r="H84">
        <v>16</v>
      </c>
      <c r="I84">
        <v>5</v>
      </c>
      <c r="J84">
        <v>6</v>
      </c>
      <c r="K84">
        <v>7</v>
      </c>
      <c r="L84">
        <v>6</v>
      </c>
      <c r="M84">
        <v>40</v>
      </c>
    </row>
    <row r="85" spans="1:13" x14ac:dyDescent="0.25">
      <c r="A85" t="s">
        <v>422</v>
      </c>
      <c r="B85" t="s">
        <v>435</v>
      </c>
      <c r="C85" t="s">
        <v>436</v>
      </c>
      <c r="D85" t="s">
        <v>270</v>
      </c>
      <c r="E85" t="s">
        <v>133</v>
      </c>
      <c r="F85" t="s">
        <v>312</v>
      </c>
      <c r="G85" t="s">
        <v>23</v>
      </c>
      <c r="H85">
        <v>16</v>
      </c>
      <c r="I85">
        <v>5</v>
      </c>
      <c r="J85">
        <v>6</v>
      </c>
      <c r="K85">
        <v>7</v>
      </c>
      <c r="L85">
        <v>6</v>
      </c>
      <c r="M85">
        <v>40</v>
      </c>
    </row>
    <row r="86" spans="1:13" x14ac:dyDescent="0.25">
      <c r="A86" t="s">
        <v>422</v>
      </c>
      <c r="B86" t="s">
        <v>437</v>
      </c>
      <c r="C86" t="s">
        <v>438</v>
      </c>
      <c r="D86" t="s">
        <v>270</v>
      </c>
      <c r="E86" t="s">
        <v>133</v>
      </c>
      <c r="F86" t="s">
        <v>312</v>
      </c>
      <c r="G86" t="s">
        <v>25</v>
      </c>
      <c r="M86">
        <v>0</v>
      </c>
    </row>
    <row r="87" spans="1:13" x14ac:dyDescent="0.25">
      <c r="A87" t="s">
        <v>422</v>
      </c>
      <c r="B87" t="s">
        <v>439</v>
      </c>
      <c r="C87" t="s">
        <v>440</v>
      </c>
      <c r="D87" t="s">
        <v>270</v>
      </c>
      <c r="E87" t="s">
        <v>133</v>
      </c>
      <c r="F87" t="s">
        <v>312</v>
      </c>
      <c r="G87" t="s">
        <v>18</v>
      </c>
      <c r="H87">
        <v>22</v>
      </c>
      <c r="I87">
        <v>14</v>
      </c>
      <c r="J87">
        <v>2</v>
      </c>
      <c r="K87">
        <v>0</v>
      </c>
      <c r="L87">
        <v>11</v>
      </c>
      <c r="M87">
        <v>49</v>
      </c>
    </row>
    <row r="88" spans="1:13" x14ac:dyDescent="0.25">
      <c r="A88" t="s">
        <v>422</v>
      </c>
      <c r="B88" t="s">
        <v>441</v>
      </c>
      <c r="C88" t="s">
        <v>442</v>
      </c>
      <c r="D88" t="s">
        <v>270</v>
      </c>
      <c r="E88" t="s">
        <v>42</v>
      </c>
      <c r="F88" t="s">
        <v>271</v>
      </c>
      <c r="G88" t="s">
        <v>10</v>
      </c>
      <c r="M88">
        <v>0</v>
      </c>
    </row>
    <row r="89" spans="1:13" x14ac:dyDescent="0.25">
      <c r="A89" t="s">
        <v>422</v>
      </c>
      <c r="B89" t="s">
        <v>441</v>
      </c>
      <c r="C89" t="s">
        <v>442</v>
      </c>
      <c r="D89" t="s">
        <v>270</v>
      </c>
      <c r="E89" t="s">
        <v>133</v>
      </c>
      <c r="F89" t="s">
        <v>312</v>
      </c>
      <c r="G89" t="s">
        <v>10</v>
      </c>
      <c r="M89">
        <v>0</v>
      </c>
    </row>
    <row r="90" spans="1:13" x14ac:dyDescent="0.25">
      <c r="A90" t="s">
        <v>422</v>
      </c>
      <c r="B90" t="s">
        <v>443</v>
      </c>
      <c r="C90" t="s">
        <v>444</v>
      </c>
      <c r="D90" t="s">
        <v>270</v>
      </c>
      <c r="E90" t="s">
        <v>42</v>
      </c>
      <c r="F90" t="s">
        <v>271</v>
      </c>
      <c r="G90" t="s">
        <v>19</v>
      </c>
      <c r="H90">
        <v>10</v>
      </c>
      <c r="I90">
        <v>26</v>
      </c>
      <c r="M90">
        <v>36</v>
      </c>
    </row>
    <row r="91" spans="1:13" x14ac:dyDescent="0.25">
      <c r="A91" t="s">
        <v>422</v>
      </c>
      <c r="B91" t="s">
        <v>443</v>
      </c>
      <c r="C91" t="s">
        <v>444</v>
      </c>
      <c r="D91" t="s">
        <v>270</v>
      </c>
      <c r="E91" t="s">
        <v>114</v>
      </c>
      <c r="F91" t="s">
        <v>293</v>
      </c>
      <c r="G91" t="s">
        <v>19</v>
      </c>
      <c r="H91">
        <v>10</v>
      </c>
      <c r="I91">
        <v>26</v>
      </c>
      <c r="M91">
        <v>36</v>
      </c>
    </row>
    <row r="92" spans="1:13" x14ac:dyDescent="0.25">
      <c r="A92" t="s">
        <v>422</v>
      </c>
      <c r="B92" t="s">
        <v>443</v>
      </c>
      <c r="C92" t="s">
        <v>444</v>
      </c>
      <c r="D92" t="s">
        <v>270</v>
      </c>
      <c r="E92" t="s">
        <v>152</v>
      </c>
      <c r="F92" t="s">
        <v>320</v>
      </c>
      <c r="G92" t="s">
        <v>19</v>
      </c>
      <c r="H92">
        <v>10</v>
      </c>
      <c r="I92">
        <v>26</v>
      </c>
      <c r="M92">
        <v>36</v>
      </c>
    </row>
    <row r="93" spans="1:13" x14ac:dyDescent="0.25">
      <c r="A93" t="s">
        <v>422</v>
      </c>
      <c r="B93" t="s">
        <v>443</v>
      </c>
      <c r="C93" t="s">
        <v>444</v>
      </c>
      <c r="D93" t="s">
        <v>270</v>
      </c>
      <c r="E93" t="s">
        <v>169</v>
      </c>
      <c r="F93" t="s">
        <v>354</v>
      </c>
      <c r="G93" t="s">
        <v>19</v>
      </c>
      <c r="H93">
        <v>10</v>
      </c>
      <c r="I93">
        <v>26</v>
      </c>
      <c r="M93">
        <v>36</v>
      </c>
    </row>
    <row r="94" spans="1:13" x14ac:dyDescent="0.25">
      <c r="A94" t="s">
        <v>422</v>
      </c>
      <c r="B94" t="s">
        <v>443</v>
      </c>
      <c r="C94" t="s">
        <v>444</v>
      </c>
      <c r="D94" t="s">
        <v>270</v>
      </c>
      <c r="E94" t="s">
        <v>233</v>
      </c>
      <c r="F94" t="s">
        <v>388</v>
      </c>
      <c r="G94" t="s">
        <v>19</v>
      </c>
      <c r="H94">
        <v>10</v>
      </c>
      <c r="I94">
        <v>26</v>
      </c>
      <c r="M94">
        <v>36</v>
      </c>
    </row>
    <row r="95" spans="1:13" x14ac:dyDescent="0.25">
      <c r="A95" t="s">
        <v>422</v>
      </c>
      <c r="B95" t="s">
        <v>443</v>
      </c>
      <c r="C95" t="s">
        <v>444</v>
      </c>
      <c r="D95" t="s">
        <v>270</v>
      </c>
      <c r="E95" t="s">
        <v>133</v>
      </c>
      <c r="F95" t="s">
        <v>312</v>
      </c>
      <c r="G95" t="s">
        <v>19</v>
      </c>
      <c r="H95">
        <v>10</v>
      </c>
      <c r="I95">
        <v>26</v>
      </c>
      <c r="M95">
        <v>36</v>
      </c>
    </row>
    <row r="96" spans="1:13" x14ac:dyDescent="0.25">
      <c r="A96" t="s">
        <v>422</v>
      </c>
      <c r="B96" t="s">
        <v>445</v>
      </c>
      <c r="C96" t="s">
        <v>446</v>
      </c>
      <c r="D96" t="s">
        <v>270</v>
      </c>
      <c r="E96" t="s">
        <v>152</v>
      </c>
      <c r="F96" t="s">
        <v>320</v>
      </c>
      <c r="G96" t="s">
        <v>32</v>
      </c>
      <c r="H96">
        <v>22</v>
      </c>
      <c r="I96">
        <v>6</v>
      </c>
      <c r="J96">
        <v>12</v>
      </c>
      <c r="M96">
        <v>40</v>
      </c>
    </row>
    <row r="97" spans="1:13" x14ac:dyDescent="0.25">
      <c r="A97" t="s">
        <v>422</v>
      </c>
      <c r="B97" t="s">
        <v>445</v>
      </c>
      <c r="C97" t="s">
        <v>446</v>
      </c>
      <c r="D97" t="s">
        <v>270</v>
      </c>
      <c r="E97" t="s">
        <v>133</v>
      </c>
      <c r="F97" t="s">
        <v>312</v>
      </c>
      <c r="G97" t="s">
        <v>32</v>
      </c>
      <c r="H97">
        <v>22</v>
      </c>
      <c r="I97">
        <v>6</v>
      </c>
      <c r="J97">
        <v>12</v>
      </c>
      <c r="M97">
        <v>40</v>
      </c>
    </row>
    <row r="98" spans="1:13" x14ac:dyDescent="0.25">
      <c r="A98" t="s">
        <v>422</v>
      </c>
      <c r="B98" t="s">
        <v>447</v>
      </c>
      <c r="C98" t="s">
        <v>448</v>
      </c>
      <c r="D98" t="s">
        <v>270</v>
      </c>
      <c r="E98" t="s">
        <v>133</v>
      </c>
      <c r="F98" t="s">
        <v>312</v>
      </c>
      <c r="G98" t="s">
        <v>9</v>
      </c>
      <c r="I98">
        <v>6</v>
      </c>
      <c r="K98">
        <v>27</v>
      </c>
      <c r="L98">
        <v>4</v>
      </c>
      <c r="M98">
        <v>37</v>
      </c>
    </row>
    <row r="99" spans="1:13" x14ac:dyDescent="0.25">
      <c r="A99" t="s">
        <v>422</v>
      </c>
      <c r="B99" t="s">
        <v>449</v>
      </c>
      <c r="C99" t="s">
        <v>450</v>
      </c>
      <c r="D99" t="s">
        <v>270</v>
      </c>
      <c r="E99" t="s">
        <v>133</v>
      </c>
      <c r="F99" t="s">
        <v>312</v>
      </c>
      <c r="G99" t="s">
        <v>21</v>
      </c>
      <c r="H99">
        <v>22</v>
      </c>
      <c r="J99">
        <v>16</v>
      </c>
      <c r="K99">
        <v>6</v>
      </c>
      <c r="M99">
        <v>44</v>
      </c>
    </row>
    <row r="100" spans="1:13" x14ac:dyDescent="0.25">
      <c r="A100" t="s">
        <v>422</v>
      </c>
      <c r="B100" t="s">
        <v>451</v>
      </c>
      <c r="C100" t="s">
        <v>452</v>
      </c>
      <c r="D100" t="s">
        <v>270</v>
      </c>
      <c r="E100" t="s">
        <v>133</v>
      </c>
      <c r="F100" t="s">
        <v>312</v>
      </c>
      <c r="G100" t="s">
        <v>31</v>
      </c>
      <c r="H100">
        <v>20</v>
      </c>
      <c r="I100">
        <v>9</v>
      </c>
      <c r="J100">
        <v>13</v>
      </c>
      <c r="K100">
        <v>0</v>
      </c>
      <c r="L100">
        <v>0</v>
      </c>
      <c r="M100">
        <v>42</v>
      </c>
    </row>
    <row r="101" spans="1:13" x14ac:dyDescent="0.25">
      <c r="A101" t="s">
        <v>422</v>
      </c>
      <c r="B101" t="s">
        <v>453</v>
      </c>
      <c r="C101" t="s">
        <v>454</v>
      </c>
      <c r="D101" t="s">
        <v>270</v>
      </c>
      <c r="E101" t="s">
        <v>133</v>
      </c>
      <c r="F101" t="s">
        <v>312</v>
      </c>
      <c r="G101" t="s">
        <v>22</v>
      </c>
      <c r="H101">
        <v>20</v>
      </c>
      <c r="I101">
        <v>16</v>
      </c>
      <c r="J101">
        <v>4</v>
      </c>
      <c r="M101">
        <v>40</v>
      </c>
    </row>
    <row r="102" spans="1:13" x14ac:dyDescent="0.25">
      <c r="A102" t="s">
        <v>422</v>
      </c>
      <c r="B102" t="s">
        <v>455</v>
      </c>
      <c r="C102" t="s">
        <v>456</v>
      </c>
      <c r="D102" t="s">
        <v>270</v>
      </c>
      <c r="E102" t="s">
        <v>133</v>
      </c>
      <c r="F102" t="s">
        <v>312</v>
      </c>
      <c r="G102" t="s">
        <v>14</v>
      </c>
      <c r="M102">
        <v>0</v>
      </c>
    </row>
    <row r="103" spans="1:13" x14ac:dyDescent="0.25">
      <c r="A103" t="s">
        <v>422</v>
      </c>
      <c r="B103" t="s">
        <v>457</v>
      </c>
      <c r="C103" t="s">
        <v>458</v>
      </c>
      <c r="D103" t="s">
        <v>270</v>
      </c>
      <c r="E103" t="s">
        <v>133</v>
      </c>
      <c r="F103" t="s">
        <v>312</v>
      </c>
      <c r="G103" t="s">
        <v>11</v>
      </c>
      <c r="H103">
        <v>18</v>
      </c>
      <c r="I103">
        <v>4</v>
      </c>
      <c r="J103">
        <v>16</v>
      </c>
      <c r="M103">
        <v>38</v>
      </c>
    </row>
    <row r="104" spans="1:13" x14ac:dyDescent="0.25">
      <c r="A104" t="s">
        <v>422</v>
      </c>
      <c r="B104" t="s">
        <v>459</v>
      </c>
      <c r="C104" t="s">
        <v>460</v>
      </c>
      <c r="D104" t="s">
        <v>270</v>
      </c>
      <c r="E104" t="s">
        <v>133</v>
      </c>
      <c r="F104" t="s">
        <v>312</v>
      </c>
      <c r="G104" t="s">
        <v>12</v>
      </c>
      <c r="H104">
        <v>18</v>
      </c>
      <c r="I104">
        <v>4</v>
      </c>
      <c r="J104">
        <v>8</v>
      </c>
      <c r="K104">
        <v>4</v>
      </c>
      <c r="L104">
        <v>4</v>
      </c>
      <c r="M104">
        <v>38</v>
      </c>
    </row>
    <row r="105" spans="1:13" x14ac:dyDescent="0.25">
      <c r="A105" t="s">
        <v>422</v>
      </c>
      <c r="B105" t="s">
        <v>461</v>
      </c>
      <c r="C105" t="s">
        <v>462</v>
      </c>
      <c r="D105" t="s">
        <v>270</v>
      </c>
      <c r="E105" t="s">
        <v>133</v>
      </c>
      <c r="F105" t="s">
        <v>312</v>
      </c>
      <c r="G105" t="s">
        <v>20</v>
      </c>
      <c r="H105">
        <v>22</v>
      </c>
      <c r="I105">
        <v>16</v>
      </c>
      <c r="K105">
        <v>8</v>
      </c>
      <c r="M105">
        <v>46</v>
      </c>
    </row>
    <row r="106" spans="1:13" x14ac:dyDescent="0.25">
      <c r="A106" t="s">
        <v>422</v>
      </c>
      <c r="B106" t="s">
        <v>463</v>
      </c>
      <c r="C106" t="s">
        <v>464</v>
      </c>
      <c r="D106" t="s">
        <v>270</v>
      </c>
      <c r="E106" t="s">
        <v>133</v>
      </c>
      <c r="F106" t="s">
        <v>312</v>
      </c>
      <c r="G106" t="s">
        <v>13</v>
      </c>
      <c r="M106">
        <v>0</v>
      </c>
    </row>
    <row r="107" spans="1:13" x14ac:dyDescent="0.25">
      <c r="A107" t="s">
        <v>422</v>
      </c>
      <c r="B107" t="s">
        <v>465</v>
      </c>
      <c r="C107" t="s">
        <v>466</v>
      </c>
      <c r="D107" t="s">
        <v>270</v>
      </c>
      <c r="E107" t="s">
        <v>133</v>
      </c>
      <c r="F107" t="s">
        <v>312</v>
      </c>
      <c r="G107" t="s">
        <v>16</v>
      </c>
      <c r="H107">
        <v>18</v>
      </c>
      <c r="I107">
        <v>14</v>
      </c>
      <c r="J107">
        <v>2</v>
      </c>
      <c r="K107">
        <v>2</v>
      </c>
      <c r="M107">
        <v>36</v>
      </c>
    </row>
    <row r="108" spans="1:13" x14ac:dyDescent="0.25">
      <c r="A108" t="s">
        <v>422</v>
      </c>
      <c r="B108" t="s">
        <v>467</v>
      </c>
      <c r="C108" t="s">
        <v>468</v>
      </c>
      <c r="D108" t="s">
        <v>270</v>
      </c>
      <c r="E108" t="s">
        <v>133</v>
      </c>
      <c r="F108" t="s">
        <v>312</v>
      </c>
      <c r="G108" t="s">
        <v>8</v>
      </c>
      <c r="H108">
        <v>10</v>
      </c>
      <c r="J108">
        <v>40</v>
      </c>
      <c r="M108">
        <v>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9A730-01D0-478C-8727-CC964BB498E7}">
  <dimension ref="A1:O129"/>
  <sheetViews>
    <sheetView workbookViewId="0"/>
  </sheetViews>
  <sheetFormatPr defaultColWidth="8.85546875" defaultRowHeight="15" x14ac:dyDescent="0.25"/>
  <cols>
    <col min="1" max="1" width="41" bestFit="1" customWidth="1"/>
    <col min="2" max="2" width="12.7109375" bestFit="1" customWidth="1"/>
    <col min="3" max="3" width="13.7109375" bestFit="1" customWidth="1"/>
    <col min="4" max="4" width="11.7109375" bestFit="1" customWidth="1"/>
    <col min="5" max="5" width="20.7109375" bestFit="1" customWidth="1"/>
    <col min="6" max="6" width="11.28515625" bestFit="1" customWidth="1"/>
    <col min="7" max="7" width="55.140625" bestFit="1" customWidth="1"/>
    <col min="8" max="8" width="14" bestFit="1" customWidth="1"/>
    <col min="9" max="9" width="55.140625" bestFit="1" customWidth="1"/>
    <col min="10" max="10" width="9.42578125" bestFit="1" customWidth="1"/>
    <col min="11" max="11" width="11.28515625" bestFit="1" customWidth="1"/>
    <col min="12" max="12" width="7.85546875" bestFit="1" customWidth="1"/>
    <col min="13" max="13" width="33.42578125" bestFit="1" customWidth="1"/>
    <col min="14" max="14" width="15.28515625" bestFit="1" customWidth="1"/>
    <col min="15" max="15" width="20.7109375" bestFit="1" customWidth="1"/>
  </cols>
  <sheetData>
    <row r="1" spans="1:15" x14ac:dyDescent="0.25">
      <c r="A1" t="s">
        <v>255</v>
      </c>
      <c r="B1" t="s">
        <v>256</v>
      </c>
      <c r="C1" t="s">
        <v>257</v>
      </c>
      <c r="D1" t="s">
        <v>258</v>
      </c>
      <c r="E1" t="s">
        <v>36</v>
      </c>
      <c r="F1" t="s">
        <v>259</v>
      </c>
      <c r="G1" t="s">
        <v>260</v>
      </c>
      <c r="H1" t="s">
        <v>469</v>
      </c>
      <c r="I1" t="s">
        <v>20</v>
      </c>
      <c r="J1" t="s">
        <v>470</v>
      </c>
      <c r="K1" t="s">
        <v>471</v>
      </c>
      <c r="L1" t="s">
        <v>472</v>
      </c>
      <c r="M1" t="s">
        <v>473</v>
      </c>
      <c r="N1" t="s">
        <v>474</v>
      </c>
      <c r="O1" t="s">
        <v>475</v>
      </c>
    </row>
    <row r="2" spans="1:15" x14ac:dyDescent="0.25">
      <c r="A2" t="s">
        <v>267</v>
      </c>
      <c r="B2" t="s">
        <v>476</v>
      </c>
      <c r="C2" t="s">
        <v>269</v>
      </c>
      <c r="D2" t="s">
        <v>477</v>
      </c>
      <c r="E2" t="s">
        <v>42</v>
      </c>
      <c r="F2" t="s">
        <v>271</v>
      </c>
      <c r="G2" t="s">
        <v>65</v>
      </c>
      <c r="H2" t="s">
        <v>269</v>
      </c>
      <c r="I2" t="s">
        <v>65</v>
      </c>
      <c r="J2">
        <v>20</v>
      </c>
      <c r="K2">
        <v>1</v>
      </c>
      <c r="L2">
        <v>4</v>
      </c>
      <c r="M2" t="s">
        <v>478</v>
      </c>
      <c r="N2" t="s">
        <v>479</v>
      </c>
      <c r="O2" t="s">
        <v>42</v>
      </c>
    </row>
    <row r="3" spans="1:15" x14ac:dyDescent="0.25">
      <c r="A3" t="s">
        <v>267</v>
      </c>
      <c r="B3" t="s">
        <v>480</v>
      </c>
      <c r="C3" t="s">
        <v>273</v>
      </c>
      <c r="D3" t="s">
        <v>477</v>
      </c>
      <c r="E3" t="s">
        <v>42</v>
      </c>
      <c r="F3" t="s">
        <v>271</v>
      </c>
      <c r="G3" t="s">
        <v>85</v>
      </c>
      <c r="H3" t="s">
        <v>273</v>
      </c>
      <c r="I3" t="s">
        <v>85</v>
      </c>
      <c r="J3">
        <v>20</v>
      </c>
      <c r="K3">
        <v>2</v>
      </c>
      <c r="L3">
        <v>4</v>
      </c>
      <c r="M3" t="s">
        <v>481</v>
      </c>
      <c r="N3" t="s">
        <v>479</v>
      </c>
      <c r="O3" t="s">
        <v>42</v>
      </c>
    </row>
    <row r="4" spans="1:15" x14ac:dyDescent="0.25">
      <c r="A4" t="s">
        <v>267</v>
      </c>
      <c r="B4" t="s">
        <v>482</v>
      </c>
      <c r="C4" t="s">
        <v>275</v>
      </c>
      <c r="D4" t="s">
        <v>477</v>
      </c>
      <c r="E4" t="s">
        <v>42</v>
      </c>
      <c r="F4" t="s">
        <v>271</v>
      </c>
      <c r="G4" t="s">
        <v>97</v>
      </c>
      <c r="H4" t="s">
        <v>275</v>
      </c>
      <c r="I4" t="s">
        <v>97</v>
      </c>
      <c r="J4">
        <v>20</v>
      </c>
      <c r="K4">
        <v>1</v>
      </c>
      <c r="L4">
        <v>5</v>
      </c>
      <c r="M4" t="s">
        <v>483</v>
      </c>
      <c r="N4" t="s">
        <v>479</v>
      </c>
      <c r="O4" t="s">
        <v>42</v>
      </c>
    </row>
    <row r="5" spans="1:15" x14ac:dyDescent="0.25">
      <c r="A5" t="s">
        <v>267</v>
      </c>
      <c r="B5" t="s">
        <v>484</v>
      </c>
      <c r="C5" t="s">
        <v>277</v>
      </c>
      <c r="D5" t="s">
        <v>477</v>
      </c>
      <c r="E5" t="s">
        <v>42</v>
      </c>
      <c r="F5" t="s">
        <v>271</v>
      </c>
      <c r="G5" t="s">
        <v>278</v>
      </c>
      <c r="H5" t="s">
        <v>277</v>
      </c>
      <c r="I5" t="s">
        <v>278</v>
      </c>
    </row>
    <row r="6" spans="1:15" x14ac:dyDescent="0.25">
      <c r="A6" t="s">
        <v>267</v>
      </c>
      <c r="B6" t="s">
        <v>485</v>
      </c>
      <c r="C6" t="s">
        <v>280</v>
      </c>
      <c r="D6" t="s">
        <v>477</v>
      </c>
      <c r="E6" t="s">
        <v>42</v>
      </c>
      <c r="F6" t="s">
        <v>271</v>
      </c>
      <c r="G6" t="s">
        <v>281</v>
      </c>
      <c r="H6" t="s">
        <v>280</v>
      </c>
      <c r="I6" t="s">
        <v>281</v>
      </c>
      <c r="J6">
        <v>20</v>
      </c>
      <c r="K6">
        <v>1</v>
      </c>
      <c r="L6">
        <v>6</v>
      </c>
      <c r="M6" t="s">
        <v>486</v>
      </c>
      <c r="N6" t="s">
        <v>479</v>
      </c>
      <c r="O6" t="s">
        <v>42</v>
      </c>
    </row>
    <row r="7" spans="1:15" x14ac:dyDescent="0.25">
      <c r="A7" t="s">
        <v>267</v>
      </c>
      <c r="B7" t="s">
        <v>487</v>
      </c>
      <c r="C7" t="s">
        <v>283</v>
      </c>
      <c r="D7" t="s">
        <v>477</v>
      </c>
      <c r="E7" t="s">
        <v>42</v>
      </c>
      <c r="F7" t="s">
        <v>271</v>
      </c>
      <c r="G7" t="s">
        <v>109</v>
      </c>
      <c r="H7" t="s">
        <v>283</v>
      </c>
      <c r="I7" t="s">
        <v>109</v>
      </c>
      <c r="J7">
        <v>20</v>
      </c>
      <c r="K7">
        <v>2</v>
      </c>
      <c r="L7">
        <v>6</v>
      </c>
      <c r="M7" t="s">
        <v>488</v>
      </c>
      <c r="N7" t="s">
        <v>479</v>
      </c>
      <c r="O7" t="s">
        <v>42</v>
      </c>
    </row>
    <row r="8" spans="1:15" x14ac:dyDescent="0.25">
      <c r="A8" t="s">
        <v>267</v>
      </c>
      <c r="B8" t="s">
        <v>489</v>
      </c>
      <c r="C8" t="s">
        <v>285</v>
      </c>
      <c r="D8" t="s">
        <v>477</v>
      </c>
      <c r="E8" t="s">
        <v>42</v>
      </c>
      <c r="F8" t="s">
        <v>271</v>
      </c>
      <c r="G8" t="s">
        <v>286</v>
      </c>
      <c r="H8">
        <v>6303</v>
      </c>
      <c r="I8" t="s">
        <v>286</v>
      </c>
      <c r="J8">
        <v>20</v>
      </c>
      <c r="K8">
        <v>1</v>
      </c>
      <c r="L8">
        <v>6</v>
      </c>
      <c r="M8" t="s">
        <v>490</v>
      </c>
      <c r="N8" t="s">
        <v>479</v>
      </c>
      <c r="O8" t="s">
        <v>42</v>
      </c>
    </row>
    <row r="9" spans="1:15" x14ac:dyDescent="0.25">
      <c r="A9" t="s">
        <v>267</v>
      </c>
      <c r="B9" t="s">
        <v>491</v>
      </c>
      <c r="C9" t="s">
        <v>288</v>
      </c>
      <c r="D9" t="s">
        <v>477</v>
      </c>
      <c r="E9" t="s">
        <v>42</v>
      </c>
      <c r="F9" t="s">
        <v>271</v>
      </c>
      <c r="G9" t="s">
        <v>289</v>
      </c>
      <c r="H9" t="s">
        <v>288</v>
      </c>
      <c r="I9" t="s">
        <v>289</v>
      </c>
      <c r="J9">
        <v>20</v>
      </c>
      <c r="K9" t="s">
        <v>492</v>
      </c>
      <c r="L9">
        <v>6</v>
      </c>
      <c r="M9" t="s">
        <v>493</v>
      </c>
      <c r="N9" t="s">
        <v>494</v>
      </c>
      <c r="O9" t="s">
        <v>42</v>
      </c>
    </row>
    <row r="10" spans="1:15" x14ac:dyDescent="0.25">
      <c r="A10" t="s">
        <v>290</v>
      </c>
      <c r="B10" t="s">
        <v>495</v>
      </c>
      <c r="C10" t="s">
        <v>292</v>
      </c>
      <c r="D10" t="s">
        <v>477</v>
      </c>
      <c r="E10" t="s">
        <v>114</v>
      </c>
      <c r="F10" t="s">
        <v>293</v>
      </c>
      <c r="G10" t="s">
        <v>294</v>
      </c>
      <c r="H10" t="s">
        <v>292</v>
      </c>
      <c r="I10" t="s">
        <v>496</v>
      </c>
      <c r="J10">
        <v>20</v>
      </c>
      <c r="K10">
        <v>1</v>
      </c>
      <c r="L10">
        <v>4</v>
      </c>
      <c r="M10" t="s">
        <v>497</v>
      </c>
      <c r="N10" t="s">
        <v>494</v>
      </c>
      <c r="O10" t="s">
        <v>114</v>
      </c>
    </row>
    <row r="11" spans="1:15" x14ac:dyDescent="0.25">
      <c r="A11" t="s">
        <v>290</v>
      </c>
      <c r="B11" t="s">
        <v>498</v>
      </c>
      <c r="C11" t="s">
        <v>296</v>
      </c>
      <c r="D11" t="s">
        <v>477</v>
      </c>
      <c r="E11" t="s">
        <v>114</v>
      </c>
      <c r="F11" t="s">
        <v>293</v>
      </c>
      <c r="G11" t="s">
        <v>297</v>
      </c>
      <c r="H11" t="s">
        <v>296</v>
      </c>
      <c r="I11" t="s">
        <v>297</v>
      </c>
    </row>
    <row r="12" spans="1:15" x14ac:dyDescent="0.25">
      <c r="A12" t="s">
        <v>290</v>
      </c>
      <c r="B12" t="s">
        <v>499</v>
      </c>
      <c r="C12" t="s">
        <v>299</v>
      </c>
      <c r="D12" t="s">
        <v>477</v>
      </c>
      <c r="E12" t="s">
        <v>114</v>
      </c>
      <c r="F12" t="s">
        <v>293</v>
      </c>
      <c r="G12" t="s">
        <v>300</v>
      </c>
      <c r="H12" t="s">
        <v>299</v>
      </c>
      <c r="I12" t="s">
        <v>300</v>
      </c>
      <c r="J12">
        <v>20</v>
      </c>
      <c r="K12">
        <v>2</v>
      </c>
      <c r="L12">
        <v>5</v>
      </c>
      <c r="M12" t="s">
        <v>497</v>
      </c>
      <c r="N12" t="s">
        <v>494</v>
      </c>
      <c r="O12" t="s">
        <v>114</v>
      </c>
    </row>
    <row r="13" spans="1:15" x14ac:dyDescent="0.25">
      <c r="A13" t="s">
        <v>290</v>
      </c>
      <c r="B13" t="s">
        <v>500</v>
      </c>
      <c r="C13" t="s">
        <v>302</v>
      </c>
      <c r="D13" t="s">
        <v>477</v>
      </c>
      <c r="E13" t="s">
        <v>114</v>
      </c>
      <c r="F13" t="s">
        <v>293</v>
      </c>
      <c r="G13" t="s">
        <v>303</v>
      </c>
      <c r="H13" t="s">
        <v>302</v>
      </c>
      <c r="I13" t="s">
        <v>303</v>
      </c>
    </row>
    <row r="14" spans="1:15" x14ac:dyDescent="0.25">
      <c r="A14" t="s">
        <v>290</v>
      </c>
      <c r="B14" t="s">
        <v>501</v>
      </c>
      <c r="C14" t="s">
        <v>305</v>
      </c>
      <c r="D14" t="s">
        <v>477</v>
      </c>
      <c r="E14" t="s">
        <v>114</v>
      </c>
      <c r="F14" t="s">
        <v>293</v>
      </c>
      <c r="G14" t="s">
        <v>306</v>
      </c>
      <c r="H14" t="s">
        <v>305</v>
      </c>
      <c r="I14" t="s">
        <v>306</v>
      </c>
      <c r="J14">
        <v>20</v>
      </c>
      <c r="L14">
        <v>5</v>
      </c>
      <c r="M14" t="s">
        <v>502</v>
      </c>
      <c r="N14" t="s">
        <v>479</v>
      </c>
      <c r="O14" t="s">
        <v>114</v>
      </c>
    </row>
    <row r="15" spans="1:15" x14ac:dyDescent="0.25">
      <c r="A15" t="s">
        <v>290</v>
      </c>
      <c r="B15" t="s">
        <v>503</v>
      </c>
      <c r="C15" t="s">
        <v>308</v>
      </c>
      <c r="D15" t="s">
        <v>477</v>
      </c>
      <c r="E15" t="s">
        <v>114</v>
      </c>
      <c r="F15" t="s">
        <v>293</v>
      </c>
      <c r="G15" t="s">
        <v>309</v>
      </c>
      <c r="H15" t="s">
        <v>308</v>
      </c>
      <c r="I15" t="s">
        <v>309</v>
      </c>
    </row>
    <row r="16" spans="1:15" x14ac:dyDescent="0.25">
      <c r="A16" t="s">
        <v>290</v>
      </c>
      <c r="B16" t="s">
        <v>504</v>
      </c>
      <c r="C16" t="s">
        <v>311</v>
      </c>
      <c r="D16" t="s">
        <v>477</v>
      </c>
      <c r="E16" t="s">
        <v>114</v>
      </c>
      <c r="F16" t="s">
        <v>293</v>
      </c>
      <c r="G16" t="s">
        <v>29</v>
      </c>
      <c r="H16" t="s">
        <v>311</v>
      </c>
      <c r="I16" t="s">
        <v>29</v>
      </c>
      <c r="J16">
        <v>20</v>
      </c>
      <c r="K16">
        <v>1</v>
      </c>
      <c r="L16">
        <v>6</v>
      </c>
      <c r="M16" t="s">
        <v>502</v>
      </c>
      <c r="N16" t="s">
        <v>505</v>
      </c>
      <c r="O16" t="s">
        <v>506</v>
      </c>
    </row>
    <row r="17" spans="1:15" x14ac:dyDescent="0.25">
      <c r="A17" t="s">
        <v>290</v>
      </c>
      <c r="B17" t="s">
        <v>504</v>
      </c>
      <c r="C17" t="s">
        <v>311</v>
      </c>
      <c r="D17" t="s">
        <v>477</v>
      </c>
      <c r="E17" t="s">
        <v>133</v>
      </c>
      <c r="F17" t="s">
        <v>312</v>
      </c>
      <c r="G17" t="s">
        <v>29</v>
      </c>
      <c r="H17" t="s">
        <v>311</v>
      </c>
      <c r="I17" t="s">
        <v>29</v>
      </c>
      <c r="J17">
        <v>20</v>
      </c>
      <c r="K17">
        <v>1</v>
      </c>
      <c r="L17">
        <v>6</v>
      </c>
      <c r="M17" t="s">
        <v>502</v>
      </c>
      <c r="N17" t="s">
        <v>505</v>
      </c>
      <c r="O17" t="s">
        <v>506</v>
      </c>
    </row>
    <row r="18" spans="1:15" x14ac:dyDescent="0.25">
      <c r="A18" t="s">
        <v>290</v>
      </c>
      <c r="B18" t="s">
        <v>507</v>
      </c>
      <c r="C18" t="s">
        <v>314</v>
      </c>
      <c r="D18" t="s">
        <v>477</v>
      </c>
      <c r="E18" t="s">
        <v>114</v>
      </c>
      <c r="F18" t="s">
        <v>293</v>
      </c>
      <c r="G18" t="s">
        <v>315</v>
      </c>
      <c r="H18" t="s">
        <v>314</v>
      </c>
      <c r="I18" t="s">
        <v>315</v>
      </c>
      <c r="J18">
        <v>20</v>
      </c>
      <c r="K18">
        <v>1</v>
      </c>
      <c r="L18">
        <v>6</v>
      </c>
      <c r="M18" t="s">
        <v>508</v>
      </c>
      <c r="N18" t="s">
        <v>479</v>
      </c>
      <c r="O18" t="s">
        <v>114</v>
      </c>
    </row>
    <row r="19" spans="1:15" x14ac:dyDescent="0.25">
      <c r="A19" t="s">
        <v>290</v>
      </c>
      <c r="B19" t="s">
        <v>509</v>
      </c>
      <c r="C19" t="s">
        <v>317</v>
      </c>
      <c r="D19" t="s">
        <v>477</v>
      </c>
      <c r="E19" t="s">
        <v>114</v>
      </c>
      <c r="F19" t="s">
        <v>293</v>
      </c>
      <c r="G19" t="s">
        <v>318</v>
      </c>
      <c r="H19" t="s">
        <v>317</v>
      </c>
      <c r="I19" t="s">
        <v>318</v>
      </c>
      <c r="J19">
        <v>30</v>
      </c>
      <c r="K19" t="s">
        <v>492</v>
      </c>
      <c r="L19">
        <v>6</v>
      </c>
      <c r="M19" t="s">
        <v>497</v>
      </c>
      <c r="N19" t="s">
        <v>494</v>
      </c>
      <c r="O19" t="s">
        <v>114</v>
      </c>
    </row>
    <row r="20" spans="1:15" x14ac:dyDescent="0.25">
      <c r="A20" t="s">
        <v>510</v>
      </c>
      <c r="B20" t="s">
        <v>511</v>
      </c>
      <c r="C20" t="s">
        <v>424</v>
      </c>
      <c r="D20" t="s">
        <v>477</v>
      </c>
      <c r="E20" t="s">
        <v>42</v>
      </c>
      <c r="F20" t="s">
        <v>271</v>
      </c>
      <c r="G20" t="s">
        <v>27</v>
      </c>
      <c r="H20" t="s">
        <v>424</v>
      </c>
      <c r="I20" t="s">
        <v>27</v>
      </c>
      <c r="N20" t="s">
        <v>512</v>
      </c>
    </row>
    <row r="21" spans="1:15" x14ac:dyDescent="0.25">
      <c r="A21" t="s">
        <v>510</v>
      </c>
      <c r="B21" t="s">
        <v>511</v>
      </c>
      <c r="C21" t="s">
        <v>424</v>
      </c>
      <c r="D21" t="s">
        <v>477</v>
      </c>
      <c r="E21" t="s">
        <v>114</v>
      </c>
      <c r="F21" t="s">
        <v>293</v>
      </c>
      <c r="G21" t="s">
        <v>27</v>
      </c>
      <c r="H21" t="s">
        <v>424</v>
      </c>
      <c r="I21" t="s">
        <v>27</v>
      </c>
      <c r="N21" t="s">
        <v>512</v>
      </c>
    </row>
    <row r="22" spans="1:15" x14ac:dyDescent="0.25">
      <c r="A22" t="s">
        <v>510</v>
      </c>
      <c r="B22" t="s">
        <v>511</v>
      </c>
      <c r="C22" t="s">
        <v>424</v>
      </c>
      <c r="D22" t="s">
        <v>477</v>
      </c>
      <c r="E22" t="s">
        <v>152</v>
      </c>
      <c r="F22" t="s">
        <v>320</v>
      </c>
      <c r="G22" t="s">
        <v>27</v>
      </c>
      <c r="H22" t="s">
        <v>424</v>
      </c>
      <c r="I22" t="s">
        <v>27</v>
      </c>
      <c r="N22" t="s">
        <v>512</v>
      </c>
    </row>
    <row r="23" spans="1:15" x14ac:dyDescent="0.25">
      <c r="A23" t="s">
        <v>510</v>
      </c>
      <c r="B23" t="s">
        <v>511</v>
      </c>
      <c r="C23" t="s">
        <v>424</v>
      </c>
      <c r="D23" t="s">
        <v>477</v>
      </c>
      <c r="E23" t="s">
        <v>169</v>
      </c>
      <c r="F23" t="s">
        <v>354</v>
      </c>
      <c r="G23" t="s">
        <v>27</v>
      </c>
      <c r="H23" t="s">
        <v>424</v>
      </c>
      <c r="I23" t="s">
        <v>27</v>
      </c>
      <c r="N23" t="s">
        <v>512</v>
      </c>
    </row>
    <row r="24" spans="1:15" x14ac:dyDescent="0.25">
      <c r="A24" t="s">
        <v>510</v>
      </c>
      <c r="B24" t="s">
        <v>511</v>
      </c>
      <c r="C24" t="s">
        <v>424</v>
      </c>
      <c r="D24" t="s">
        <v>477</v>
      </c>
      <c r="E24" t="s">
        <v>233</v>
      </c>
      <c r="F24" t="s">
        <v>388</v>
      </c>
      <c r="G24" t="s">
        <v>27</v>
      </c>
      <c r="H24" t="s">
        <v>424</v>
      </c>
      <c r="I24" t="s">
        <v>27</v>
      </c>
      <c r="N24" t="s">
        <v>512</v>
      </c>
    </row>
    <row r="25" spans="1:15" x14ac:dyDescent="0.25">
      <c r="A25" t="s">
        <v>510</v>
      </c>
      <c r="B25" t="s">
        <v>513</v>
      </c>
      <c r="C25" t="s">
        <v>426</v>
      </c>
      <c r="D25" t="s">
        <v>477</v>
      </c>
      <c r="E25" t="s">
        <v>42</v>
      </c>
      <c r="F25" t="s">
        <v>271</v>
      </c>
      <c r="G25" t="s">
        <v>15</v>
      </c>
      <c r="H25" t="s">
        <v>426</v>
      </c>
      <c r="I25" t="s">
        <v>514</v>
      </c>
      <c r="J25">
        <v>20</v>
      </c>
      <c r="K25">
        <v>1</v>
      </c>
      <c r="L25">
        <v>4</v>
      </c>
      <c r="M25" t="s">
        <v>515</v>
      </c>
      <c r="N25" t="s">
        <v>479</v>
      </c>
      <c r="O25" t="s">
        <v>516</v>
      </c>
    </row>
    <row r="26" spans="1:15" x14ac:dyDescent="0.25">
      <c r="A26" t="s">
        <v>510</v>
      </c>
      <c r="B26" t="s">
        <v>513</v>
      </c>
      <c r="C26" t="s">
        <v>426</v>
      </c>
      <c r="D26" t="s">
        <v>477</v>
      </c>
      <c r="E26" t="s">
        <v>114</v>
      </c>
      <c r="F26" t="s">
        <v>293</v>
      </c>
      <c r="G26" t="s">
        <v>15</v>
      </c>
      <c r="H26" t="s">
        <v>426</v>
      </c>
      <c r="I26" t="s">
        <v>514</v>
      </c>
      <c r="J26">
        <v>20</v>
      </c>
      <c r="K26">
        <v>1</v>
      </c>
      <c r="L26">
        <v>4</v>
      </c>
      <c r="M26" t="s">
        <v>515</v>
      </c>
      <c r="N26" t="s">
        <v>479</v>
      </c>
      <c r="O26" t="s">
        <v>516</v>
      </c>
    </row>
    <row r="27" spans="1:15" x14ac:dyDescent="0.25">
      <c r="A27" t="s">
        <v>510</v>
      </c>
      <c r="B27" t="s">
        <v>513</v>
      </c>
      <c r="C27" t="s">
        <v>426</v>
      </c>
      <c r="D27" t="s">
        <v>477</v>
      </c>
      <c r="E27" t="s">
        <v>152</v>
      </c>
      <c r="F27" t="s">
        <v>320</v>
      </c>
      <c r="G27" t="s">
        <v>15</v>
      </c>
      <c r="H27" t="s">
        <v>426</v>
      </c>
      <c r="I27" t="s">
        <v>514</v>
      </c>
      <c r="J27">
        <v>20</v>
      </c>
      <c r="K27">
        <v>1</v>
      </c>
      <c r="L27">
        <v>4</v>
      </c>
      <c r="M27" t="s">
        <v>515</v>
      </c>
      <c r="N27" t="s">
        <v>479</v>
      </c>
      <c r="O27" t="s">
        <v>516</v>
      </c>
    </row>
    <row r="28" spans="1:15" x14ac:dyDescent="0.25">
      <c r="A28" t="s">
        <v>510</v>
      </c>
      <c r="B28" t="s">
        <v>513</v>
      </c>
      <c r="C28" t="s">
        <v>426</v>
      </c>
      <c r="D28" t="s">
        <v>477</v>
      </c>
      <c r="E28" t="s">
        <v>169</v>
      </c>
      <c r="F28" t="s">
        <v>354</v>
      </c>
      <c r="G28" t="s">
        <v>15</v>
      </c>
      <c r="H28" t="s">
        <v>426</v>
      </c>
      <c r="I28" t="s">
        <v>514</v>
      </c>
      <c r="J28">
        <v>20</v>
      </c>
      <c r="K28">
        <v>1</v>
      </c>
      <c r="L28">
        <v>4</v>
      </c>
      <c r="M28" t="s">
        <v>515</v>
      </c>
      <c r="N28" t="s">
        <v>479</v>
      </c>
      <c r="O28" t="s">
        <v>516</v>
      </c>
    </row>
    <row r="29" spans="1:15" x14ac:dyDescent="0.25">
      <c r="A29" t="s">
        <v>510</v>
      </c>
      <c r="B29" t="s">
        <v>517</v>
      </c>
      <c r="C29" t="s">
        <v>428</v>
      </c>
      <c r="D29" t="s">
        <v>477</v>
      </c>
      <c r="E29" t="s">
        <v>42</v>
      </c>
      <c r="F29" t="s">
        <v>271</v>
      </c>
      <c r="G29" t="s">
        <v>17</v>
      </c>
      <c r="H29" t="s">
        <v>428</v>
      </c>
      <c r="I29" t="s">
        <v>17</v>
      </c>
      <c r="J29">
        <v>20</v>
      </c>
      <c r="K29">
        <v>2</v>
      </c>
      <c r="L29">
        <v>4</v>
      </c>
      <c r="M29" t="s">
        <v>518</v>
      </c>
      <c r="N29" t="s">
        <v>479</v>
      </c>
      <c r="O29" t="s">
        <v>519</v>
      </c>
    </row>
    <row r="30" spans="1:15" x14ac:dyDescent="0.25">
      <c r="A30" t="s">
        <v>510</v>
      </c>
      <c r="B30" t="s">
        <v>517</v>
      </c>
      <c r="C30" t="s">
        <v>428</v>
      </c>
      <c r="D30" t="s">
        <v>477</v>
      </c>
      <c r="E30" t="s">
        <v>114</v>
      </c>
      <c r="F30" t="s">
        <v>293</v>
      </c>
      <c r="G30" t="s">
        <v>17</v>
      </c>
      <c r="H30" t="s">
        <v>428</v>
      </c>
      <c r="I30" t="s">
        <v>17</v>
      </c>
      <c r="J30">
        <v>20</v>
      </c>
      <c r="K30">
        <v>2</v>
      </c>
      <c r="L30">
        <v>4</v>
      </c>
      <c r="M30" t="s">
        <v>518</v>
      </c>
      <c r="N30" t="s">
        <v>479</v>
      </c>
      <c r="O30" t="s">
        <v>519</v>
      </c>
    </row>
    <row r="31" spans="1:15" x14ac:dyDescent="0.25">
      <c r="A31" t="s">
        <v>510</v>
      </c>
      <c r="B31" t="s">
        <v>517</v>
      </c>
      <c r="C31" t="s">
        <v>428</v>
      </c>
      <c r="D31" t="s">
        <v>477</v>
      </c>
      <c r="E31" t="s">
        <v>152</v>
      </c>
      <c r="F31" t="s">
        <v>320</v>
      </c>
      <c r="G31" t="s">
        <v>17</v>
      </c>
      <c r="H31" t="s">
        <v>428</v>
      </c>
      <c r="I31" t="s">
        <v>17</v>
      </c>
      <c r="J31">
        <v>20</v>
      </c>
      <c r="K31">
        <v>2</v>
      </c>
      <c r="L31">
        <v>4</v>
      </c>
      <c r="M31" t="s">
        <v>518</v>
      </c>
      <c r="N31" t="s">
        <v>479</v>
      </c>
      <c r="O31" t="s">
        <v>519</v>
      </c>
    </row>
    <row r="32" spans="1:15" x14ac:dyDescent="0.25">
      <c r="A32" t="s">
        <v>510</v>
      </c>
      <c r="B32" t="s">
        <v>520</v>
      </c>
      <c r="C32" t="s">
        <v>434</v>
      </c>
      <c r="D32" t="s">
        <v>477</v>
      </c>
      <c r="E32" t="s">
        <v>42</v>
      </c>
      <c r="F32" t="s">
        <v>271</v>
      </c>
      <c r="G32" t="s">
        <v>28</v>
      </c>
      <c r="H32" t="s">
        <v>434</v>
      </c>
      <c r="I32" t="s">
        <v>28</v>
      </c>
      <c r="J32">
        <v>20</v>
      </c>
      <c r="K32">
        <v>2</v>
      </c>
      <c r="L32">
        <v>5</v>
      </c>
      <c r="M32" t="s">
        <v>521</v>
      </c>
      <c r="N32" t="s">
        <v>512</v>
      </c>
      <c r="O32" t="s">
        <v>516</v>
      </c>
    </row>
    <row r="33" spans="1:15" x14ac:dyDescent="0.25">
      <c r="A33" t="s">
        <v>510</v>
      </c>
      <c r="B33" t="s">
        <v>522</v>
      </c>
      <c r="C33" t="s">
        <v>436</v>
      </c>
      <c r="D33" t="s">
        <v>477</v>
      </c>
      <c r="E33" t="s">
        <v>42</v>
      </c>
      <c r="F33" t="s">
        <v>271</v>
      </c>
      <c r="G33" t="s">
        <v>23</v>
      </c>
      <c r="H33" t="s">
        <v>436</v>
      </c>
      <c r="I33" t="s">
        <v>23</v>
      </c>
      <c r="J33">
        <v>20</v>
      </c>
      <c r="K33">
        <v>2</v>
      </c>
      <c r="L33">
        <v>5</v>
      </c>
      <c r="M33" t="s">
        <v>523</v>
      </c>
      <c r="N33" t="s">
        <v>479</v>
      </c>
      <c r="O33" t="s">
        <v>519</v>
      </c>
    </row>
    <row r="34" spans="1:15" x14ac:dyDescent="0.25">
      <c r="A34" t="s">
        <v>510</v>
      </c>
      <c r="B34" t="s">
        <v>524</v>
      </c>
      <c r="C34" t="s">
        <v>442</v>
      </c>
      <c r="D34" t="s">
        <v>477</v>
      </c>
      <c r="E34" t="s">
        <v>42</v>
      </c>
      <c r="F34" t="s">
        <v>271</v>
      </c>
      <c r="G34" t="s">
        <v>10</v>
      </c>
      <c r="H34" t="s">
        <v>442</v>
      </c>
      <c r="I34" t="s">
        <v>525</v>
      </c>
      <c r="L34">
        <v>5</v>
      </c>
      <c r="M34" t="s">
        <v>526</v>
      </c>
      <c r="N34" t="s">
        <v>479</v>
      </c>
      <c r="O34" t="s">
        <v>527</v>
      </c>
    </row>
    <row r="35" spans="1:15" x14ac:dyDescent="0.25">
      <c r="A35" t="s">
        <v>510</v>
      </c>
      <c r="B35" t="s">
        <v>528</v>
      </c>
      <c r="C35" t="s">
        <v>444</v>
      </c>
      <c r="D35" t="s">
        <v>477</v>
      </c>
      <c r="E35" t="s">
        <v>42</v>
      </c>
      <c r="F35" t="s">
        <v>271</v>
      </c>
      <c r="G35" t="s">
        <v>19</v>
      </c>
      <c r="H35" t="s">
        <v>444</v>
      </c>
      <c r="I35" t="s">
        <v>19</v>
      </c>
      <c r="J35">
        <v>40</v>
      </c>
      <c r="K35" t="s">
        <v>492</v>
      </c>
      <c r="L35">
        <v>6</v>
      </c>
      <c r="N35" t="s">
        <v>529</v>
      </c>
      <c r="O35" t="s">
        <v>516</v>
      </c>
    </row>
    <row r="36" spans="1:15" x14ac:dyDescent="0.25">
      <c r="A36" t="s">
        <v>510</v>
      </c>
      <c r="B36" t="s">
        <v>528</v>
      </c>
      <c r="C36" t="s">
        <v>444</v>
      </c>
      <c r="D36" t="s">
        <v>477</v>
      </c>
      <c r="E36" t="s">
        <v>114</v>
      </c>
      <c r="F36" t="s">
        <v>293</v>
      </c>
      <c r="G36" t="s">
        <v>19</v>
      </c>
      <c r="H36" t="s">
        <v>444</v>
      </c>
      <c r="I36" t="s">
        <v>19</v>
      </c>
      <c r="J36">
        <v>40</v>
      </c>
      <c r="K36" t="s">
        <v>492</v>
      </c>
      <c r="L36">
        <v>6</v>
      </c>
      <c r="N36" t="s">
        <v>529</v>
      </c>
      <c r="O36" t="s">
        <v>516</v>
      </c>
    </row>
    <row r="37" spans="1:15" x14ac:dyDescent="0.25">
      <c r="A37" t="s">
        <v>510</v>
      </c>
      <c r="B37" t="s">
        <v>528</v>
      </c>
      <c r="C37" t="s">
        <v>444</v>
      </c>
      <c r="D37" t="s">
        <v>477</v>
      </c>
      <c r="E37" t="s">
        <v>152</v>
      </c>
      <c r="F37" t="s">
        <v>320</v>
      </c>
      <c r="G37" t="s">
        <v>19</v>
      </c>
      <c r="H37" t="s">
        <v>444</v>
      </c>
      <c r="I37" t="s">
        <v>19</v>
      </c>
      <c r="J37">
        <v>40</v>
      </c>
      <c r="K37" t="s">
        <v>492</v>
      </c>
      <c r="L37">
        <v>6</v>
      </c>
      <c r="N37" t="s">
        <v>529</v>
      </c>
      <c r="O37" t="s">
        <v>516</v>
      </c>
    </row>
    <row r="38" spans="1:15" x14ac:dyDescent="0.25">
      <c r="A38" t="s">
        <v>510</v>
      </c>
      <c r="B38" t="s">
        <v>528</v>
      </c>
      <c r="C38" t="s">
        <v>444</v>
      </c>
      <c r="D38" t="s">
        <v>477</v>
      </c>
      <c r="E38" t="s">
        <v>169</v>
      </c>
      <c r="F38" t="s">
        <v>354</v>
      </c>
      <c r="G38" t="s">
        <v>19</v>
      </c>
      <c r="H38" t="s">
        <v>444</v>
      </c>
      <c r="I38" t="s">
        <v>19</v>
      </c>
      <c r="J38">
        <v>40</v>
      </c>
      <c r="K38" t="s">
        <v>492</v>
      </c>
      <c r="L38">
        <v>6</v>
      </c>
      <c r="N38" t="s">
        <v>529</v>
      </c>
      <c r="O38" t="s">
        <v>516</v>
      </c>
    </row>
    <row r="39" spans="1:15" x14ac:dyDescent="0.25">
      <c r="A39" t="s">
        <v>510</v>
      </c>
      <c r="B39" t="s">
        <v>528</v>
      </c>
      <c r="C39" t="s">
        <v>444</v>
      </c>
      <c r="D39" t="s">
        <v>477</v>
      </c>
      <c r="E39" t="s">
        <v>233</v>
      </c>
      <c r="F39" t="s">
        <v>388</v>
      </c>
      <c r="G39" t="s">
        <v>19</v>
      </c>
      <c r="H39" t="s">
        <v>444</v>
      </c>
      <c r="I39" t="s">
        <v>19</v>
      </c>
      <c r="J39">
        <v>40</v>
      </c>
      <c r="K39" t="s">
        <v>492</v>
      </c>
      <c r="L39">
        <v>6</v>
      </c>
      <c r="N39" t="s">
        <v>529</v>
      </c>
      <c r="O39" t="s">
        <v>516</v>
      </c>
    </row>
    <row r="40" spans="1:15" x14ac:dyDescent="0.25">
      <c r="A40" t="s">
        <v>510</v>
      </c>
      <c r="B40" t="s">
        <v>530</v>
      </c>
      <c r="C40" t="s">
        <v>446</v>
      </c>
      <c r="D40" t="s">
        <v>477</v>
      </c>
      <c r="E40" t="s">
        <v>152</v>
      </c>
      <c r="F40" t="s">
        <v>320</v>
      </c>
      <c r="G40" t="s">
        <v>32</v>
      </c>
      <c r="H40" t="s">
        <v>446</v>
      </c>
      <c r="I40" t="s">
        <v>32</v>
      </c>
      <c r="J40">
        <v>20</v>
      </c>
      <c r="K40">
        <v>1</v>
      </c>
      <c r="L40">
        <v>6</v>
      </c>
      <c r="M40" t="s">
        <v>531</v>
      </c>
      <c r="N40" t="s">
        <v>505</v>
      </c>
      <c r="O40" t="s">
        <v>506</v>
      </c>
    </row>
    <row r="41" spans="1:15" x14ac:dyDescent="0.25">
      <c r="A41" t="s">
        <v>319</v>
      </c>
      <c r="B41" t="s">
        <v>498</v>
      </c>
      <c r="C41" t="s">
        <v>296</v>
      </c>
      <c r="D41" t="s">
        <v>477</v>
      </c>
      <c r="E41" t="s">
        <v>152</v>
      </c>
      <c r="F41" t="s">
        <v>320</v>
      </c>
      <c r="G41" t="s">
        <v>321</v>
      </c>
      <c r="H41" t="s">
        <v>296</v>
      </c>
      <c r="I41" t="s">
        <v>321</v>
      </c>
    </row>
    <row r="42" spans="1:15" x14ac:dyDescent="0.25">
      <c r="A42" t="s">
        <v>319</v>
      </c>
      <c r="B42" t="s">
        <v>532</v>
      </c>
      <c r="C42" t="s">
        <v>323</v>
      </c>
      <c r="D42" t="s">
        <v>477</v>
      </c>
      <c r="E42" t="s">
        <v>152</v>
      </c>
      <c r="F42" t="s">
        <v>320</v>
      </c>
      <c r="G42" t="s">
        <v>324</v>
      </c>
      <c r="H42" t="s">
        <v>323</v>
      </c>
      <c r="I42" t="s">
        <v>533</v>
      </c>
    </row>
    <row r="43" spans="1:15" x14ac:dyDescent="0.25">
      <c r="A43" t="s">
        <v>319</v>
      </c>
      <c r="B43" t="s">
        <v>534</v>
      </c>
      <c r="C43" t="s">
        <v>326</v>
      </c>
      <c r="D43" t="s">
        <v>477</v>
      </c>
      <c r="E43" t="s">
        <v>152</v>
      </c>
      <c r="F43" t="s">
        <v>320</v>
      </c>
      <c r="G43" t="s">
        <v>327</v>
      </c>
      <c r="H43" t="s">
        <v>326</v>
      </c>
      <c r="I43" t="s">
        <v>327</v>
      </c>
    </row>
    <row r="44" spans="1:15" x14ac:dyDescent="0.25">
      <c r="A44" t="s">
        <v>319</v>
      </c>
      <c r="B44" t="s">
        <v>535</v>
      </c>
      <c r="C44" t="s">
        <v>329</v>
      </c>
      <c r="D44" t="s">
        <v>477</v>
      </c>
      <c r="E44" t="s">
        <v>152</v>
      </c>
      <c r="F44" t="s">
        <v>320</v>
      </c>
      <c r="G44" t="s">
        <v>330</v>
      </c>
      <c r="H44" t="s">
        <v>329</v>
      </c>
      <c r="I44" t="s">
        <v>330</v>
      </c>
    </row>
    <row r="45" spans="1:15" x14ac:dyDescent="0.25">
      <c r="A45" t="s">
        <v>319</v>
      </c>
      <c r="B45" t="s">
        <v>536</v>
      </c>
      <c r="C45" t="s">
        <v>332</v>
      </c>
      <c r="D45" t="s">
        <v>477</v>
      </c>
      <c r="E45" t="s">
        <v>152</v>
      </c>
      <c r="F45" t="s">
        <v>320</v>
      </c>
      <c r="G45" t="s">
        <v>333</v>
      </c>
      <c r="H45" t="s">
        <v>332</v>
      </c>
      <c r="I45" t="s">
        <v>333</v>
      </c>
    </row>
    <row r="46" spans="1:15" x14ac:dyDescent="0.25">
      <c r="A46" t="s">
        <v>319</v>
      </c>
      <c r="B46" t="s">
        <v>537</v>
      </c>
      <c r="C46" t="s">
        <v>335</v>
      </c>
      <c r="D46" t="s">
        <v>477</v>
      </c>
      <c r="E46" t="s">
        <v>152</v>
      </c>
      <c r="F46" t="s">
        <v>320</v>
      </c>
      <c r="G46" t="s">
        <v>336</v>
      </c>
      <c r="H46" t="s">
        <v>538</v>
      </c>
      <c r="I46" t="s">
        <v>336</v>
      </c>
    </row>
    <row r="47" spans="1:15" x14ac:dyDescent="0.25">
      <c r="A47" t="s">
        <v>319</v>
      </c>
      <c r="B47" t="s">
        <v>539</v>
      </c>
      <c r="C47" t="s">
        <v>338</v>
      </c>
      <c r="D47" t="s">
        <v>477</v>
      </c>
      <c r="E47" t="s">
        <v>152</v>
      </c>
      <c r="F47" t="s">
        <v>320</v>
      </c>
      <c r="G47" t="s">
        <v>339</v>
      </c>
      <c r="H47" t="s">
        <v>338</v>
      </c>
      <c r="I47" t="s">
        <v>339</v>
      </c>
    </row>
    <row r="48" spans="1:15" x14ac:dyDescent="0.25">
      <c r="A48" t="s">
        <v>319</v>
      </c>
      <c r="B48" t="s">
        <v>540</v>
      </c>
      <c r="C48" t="s">
        <v>341</v>
      </c>
      <c r="D48" t="s">
        <v>477</v>
      </c>
      <c r="E48" t="s">
        <v>152</v>
      </c>
      <c r="F48" t="s">
        <v>320</v>
      </c>
      <c r="G48" t="s">
        <v>34</v>
      </c>
      <c r="H48" t="s">
        <v>341</v>
      </c>
      <c r="I48" t="s">
        <v>34</v>
      </c>
    </row>
    <row r="49" spans="1:15" x14ac:dyDescent="0.25">
      <c r="A49" t="s">
        <v>319</v>
      </c>
      <c r="B49" t="s">
        <v>540</v>
      </c>
      <c r="C49" t="s">
        <v>341</v>
      </c>
      <c r="D49" t="s">
        <v>477</v>
      </c>
      <c r="E49" t="s">
        <v>133</v>
      </c>
      <c r="F49" t="s">
        <v>312</v>
      </c>
      <c r="G49" t="s">
        <v>34</v>
      </c>
      <c r="H49" t="s">
        <v>341</v>
      </c>
      <c r="I49" t="s">
        <v>34</v>
      </c>
    </row>
    <row r="50" spans="1:15" x14ac:dyDescent="0.25">
      <c r="A50" t="s">
        <v>319</v>
      </c>
      <c r="B50" t="s">
        <v>541</v>
      </c>
      <c r="C50" t="s">
        <v>343</v>
      </c>
      <c r="D50" t="s">
        <v>477</v>
      </c>
      <c r="E50" t="s">
        <v>152</v>
      </c>
      <c r="F50" t="s">
        <v>320</v>
      </c>
      <c r="G50" t="s">
        <v>344</v>
      </c>
      <c r="H50" t="s">
        <v>343</v>
      </c>
      <c r="I50" t="s">
        <v>542</v>
      </c>
    </row>
    <row r="51" spans="1:15" x14ac:dyDescent="0.25">
      <c r="A51" t="s">
        <v>319</v>
      </c>
      <c r="B51" t="s">
        <v>543</v>
      </c>
      <c r="C51" t="s">
        <v>346</v>
      </c>
      <c r="D51" t="s">
        <v>477</v>
      </c>
      <c r="E51" t="s">
        <v>152</v>
      </c>
      <c r="F51" t="s">
        <v>320</v>
      </c>
      <c r="G51" t="s">
        <v>347</v>
      </c>
      <c r="H51" t="s">
        <v>346</v>
      </c>
      <c r="I51" t="s">
        <v>544</v>
      </c>
    </row>
    <row r="52" spans="1:15" x14ac:dyDescent="0.25">
      <c r="A52" t="s">
        <v>319</v>
      </c>
      <c r="B52" t="s">
        <v>545</v>
      </c>
      <c r="C52" t="s">
        <v>349</v>
      </c>
      <c r="D52" t="s">
        <v>477</v>
      </c>
      <c r="E52" t="s">
        <v>152</v>
      </c>
      <c r="F52" t="s">
        <v>320</v>
      </c>
      <c r="G52" t="s">
        <v>350</v>
      </c>
      <c r="H52" t="s">
        <v>349</v>
      </c>
      <c r="I52" t="s">
        <v>546</v>
      </c>
    </row>
    <row r="53" spans="1:15" x14ac:dyDescent="0.25">
      <c r="A53" t="s">
        <v>351</v>
      </c>
      <c r="B53" t="s">
        <v>547</v>
      </c>
      <c r="C53" t="s">
        <v>353</v>
      </c>
      <c r="D53" t="s">
        <v>477</v>
      </c>
      <c r="E53" t="s">
        <v>169</v>
      </c>
      <c r="F53" t="s">
        <v>354</v>
      </c>
      <c r="G53" t="s">
        <v>224</v>
      </c>
      <c r="H53" t="s">
        <v>353</v>
      </c>
      <c r="I53" t="s">
        <v>224</v>
      </c>
      <c r="J53">
        <v>20</v>
      </c>
      <c r="K53" t="s">
        <v>492</v>
      </c>
      <c r="L53">
        <v>4</v>
      </c>
      <c r="M53" t="s">
        <v>548</v>
      </c>
      <c r="N53" t="s">
        <v>494</v>
      </c>
      <c r="O53" t="s">
        <v>169</v>
      </c>
    </row>
    <row r="54" spans="1:15" x14ac:dyDescent="0.25">
      <c r="A54" t="s">
        <v>351</v>
      </c>
      <c r="B54" t="s">
        <v>549</v>
      </c>
      <c r="C54" t="s">
        <v>356</v>
      </c>
      <c r="D54" t="s">
        <v>477</v>
      </c>
      <c r="E54" t="s">
        <v>169</v>
      </c>
      <c r="F54" t="s">
        <v>354</v>
      </c>
      <c r="G54" t="s">
        <v>357</v>
      </c>
      <c r="H54" t="s">
        <v>356</v>
      </c>
      <c r="I54" t="s">
        <v>357</v>
      </c>
      <c r="J54">
        <v>20</v>
      </c>
      <c r="K54">
        <v>1</v>
      </c>
      <c r="L54">
        <v>4</v>
      </c>
      <c r="M54" t="s">
        <v>550</v>
      </c>
      <c r="N54" t="s">
        <v>479</v>
      </c>
      <c r="O54" t="s">
        <v>169</v>
      </c>
    </row>
    <row r="55" spans="1:15" x14ac:dyDescent="0.25">
      <c r="A55" t="s">
        <v>351</v>
      </c>
      <c r="B55" t="s">
        <v>551</v>
      </c>
      <c r="C55" t="s">
        <v>359</v>
      </c>
      <c r="D55" t="s">
        <v>477</v>
      </c>
      <c r="E55" t="s">
        <v>169</v>
      </c>
      <c r="F55" t="s">
        <v>354</v>
      </c>
      <c r="G55" t="s">
        <v>360</v>
      </c>
      <c r="H55" t="s">
        <v>359</v>
      </c>
      <c r="I55" t="s">
        <v>360</v>
      </c>
      <c r="J55">
        <v>20</v>
      </c>
      <c r="K55">
        <v>2</v>
      </c>
      <c r="L55">
        <v>4</v>
      </c>
      <c r="M55" t="s">
        <v>552</v>
      </c>
      <c r="N55" t="s">
        <v>479</v>
      </c>
      <c r="O55" t="s">
        <v>169</v>
      </c>
    </row>
    <row r="56" spans="1:15" x14ac:dyDescent="0.25">
      <c r="A56" t="s">
        <v>351</v>
      </c>
      <c r="B56" t="s">
        <v>553</v>
      </c>
      <c r="C56" t="s">
        <v>362</v>
      </c>
      <c r="D56" t="s">
        <v>477</v>
      </c>
      <c r="E56" t="s">
        <v>169</v>
      </c>
      <c r="F56" t="s">
        <v>354</v>
      </c>
      <c r="G56" t="s">
        <v>213</v>
      </c>
      <c r="H56" t="s">
        <v>362</v>
      </c>
      <c r="I56" t="s">
        <v>213</v>
      </c>
      <c r="J56">
        <v>20</v>
      </c>
      <c r="K56">
        <v>2</v>
      </c>
      <c r="L56">
        <v>4</v>
      </c>
      <c r="M56" t="s">
        <v>554</v>
      </c>
      <c r="N56" t="s">
        <v>479</v>
      </c>
      <c r="O56" t="s">
        <v>169</v>
      </c>
    </row>
    <row r="57" spans="1:15" x14ac:dyDescent="0.25">
      <c r="A57" t="s">
        <v>351</v>
      </c>
      <c r="B57" t="s">
        <v>555</v>
      </c>
      <c r="C57" t="s">
        <v>364</v>
      </c>
      <c r="D57" t="s">
        <v>477</v>
      </c>
      <c r="E57" t="s">
        <v>169</v>
      </c>
      <c r="F57" t="s">
        <v>354</v>
      </c>
      <c r="G57" t="s">
        <v>365</v>
      </c>
      <c r="H57" t="s">
        <v>372</v>
      </c>
      <c r="I57" t="s">
        <v>365</v>
      </c>
      <c r="J57">
        <v>20</v>
      </c>
      <c r="K57" t="s">
        <v>492</v>
      </c>
      <c r="L57">
        <v>5</v>
      </c>
      <c r="M57" t="s">
        <v>548</v>
      </c>
      <c r="N57" t="s">
        <v>494</v>
      </c>
      <c r="O57" t="s">
        <v>169</v>
      </c>
    </row>
    <row r="58" spans="1:15" x14ac:dyDescent="0.25">
      <c r="A58" t="s">
        <v>351</v>
      </c>
      <c r="B58" t="s">
        <v>556</v>
      </c>
      <c r="C58" t="s">
        <v>367</v>
      </c>
      <c r="D58" t="s">
        <v>477</v>
      </c>
      <c r="E58" t="s">
        <v>169</v>
      </c>
      <c r="F58" t="s">
        <v>354</v>
      </c>
      <c r="G58" t="s">
        <v>231</v>
      </c>
      <c r="H58" t="s">
        <v>367</v>
      </c>
      <c r="I58" t="s">
        <v>231</v>
      </c>
      <c r="J58">
        <v>20</v>
      </c>
      <c r="K58">
        <v>1</v>
      </c>
      <c r="L58">
        <v>5</v>
      </c>
      <c r="M58" t="s">
        <v>557</v>
      </c>
      <c r="N58" t="s">
        <v>479</v>
      </c>
      <c r="O58" t="s">
        <v>169</v>
      </c>
    </row>
    <row r="59" spans="1:15" x14ac:dyDescent="0.25">
      <c r="A59" t="s">
        <v>351</v>
      </c>
      <c r="B59" t="s">
        <v>558</v>
      </c>
      <c r="C59" t="s">
        <v>369</v>
      </c>
      <c r="D59" t="s">
        <v>477</v>
      </c>
      <c r="E59" t="s">
        <v>169</v>
      </c>
      <c r="F59" t="s">
        <v>354</v>
      </c>
      <c r="G59" t="s">
        <v>370</v>
      </c>
      <c r="H59" t="s">
        <v>369</v>
      </c>
      <c r="I59" t="s">
        <v>370</v>
      </c>
      <c r="J59">
        <v>20</v>
      </c>
      <c r="K59">
        <v>2</v>
      </c>
      <c r="L59">
        <v>5</v>
      </c>
      <c r="M59" t="s">
        <v>559</v>
      </c>
      <c r="N59" t="s">
        <v>479</v>
      </c>
      <c r="O59" t="s">
        <v>169</v>
      </c>
    </row>
    <row r="60" spans="1:15" x14ac:dyDescent="0.25">
      <c r="A60" t="s">
        <v>351</v>
      </c>
      <c r="B60" t="s">
        <v>560</v>
      </c>
      <c r="C60" t="s">
        <v>372</v>
      </c>
      <c r="D60" t="s">
        <v>477</v>
      </c>
      <c r="E60" t="s">
        <v>169</v>
      </c>
      <c r="F60" t="s">
        <v>354</v>
      </c>
      <c r="G60" t="s">
        <v>221</v>
      </c>
      <c r="H60" t="s">
        <v>372</v>
      </c>
      <c r="I60" t="s">
        <v>221</v>
      </c>
      <c r="J60">
        <v>20</v>
      </c>
      <c r="K60">
        <v>2</v>
      </c>
      <c r="L60">
        <v>5</v>
      </c>
      <c r="M60" t="s">
        <v>561</v>
      </c>
      <c r="N60" t="s">
        <v>479</v>
      </c>
      <c r="O60" t="s">
        <v>169</v>
      </c>
    </row>
    <row r="61" spans="1:15" x14ac:dyDescent="0.25">
      <c r="A61" t="s">
        <v>351</v>
      </c>
      <c r="B61" t="s">
        <v>562</v>
      </c>
      <c r="C61" t="s">
        <v>374</v>
      </c>
      <c r="D61" t="s">
        <v>477</v>
      </c>
      <c r="E61" t="s">
        <v>169</v>
      </c>
      <c r="F61" t="s">
        <v>354</v>
      </c>
      <c r="G61" t="s">
        <v>219</v>
      </c>
      <c r="H61" t="s">
        <v>374</v>
      </c>
      <c r="I61" t="s">
        <v>219</v>
      </c>
      <c r="J61">
        <v>20</v>
      </c>
      <c r="K61">
        <v>1</v>
      </c>
      <c r="L61">
        <v>6</v>
      </c>
      <c r="M61" t="s">
        <v>552</v>
      </c>
      <c r="N61" t="s">
        <v>479</v>
      </c>
      <c r="O61" t="s">
        <v>169</v>
      </c>
    </row>
    <row r="62" spans="1:15" x14ac:dyDescent="0.25">
      <c r="A62" t="s">
        <v>351</v>
      </c>
      <c r="B62" t="s">
        <v>563</v>
      </c>
      <c r="C62" t="s">
        <v>376</v>
      </c>
      <c r="D62" t="s">
        <v>477</v>
      </c>
      <c r="E62" t="s">
        <v>169</v>
      </c>
      <c r="F62" t="s">
        <v>354</v>
      </c>
      <c r="G62" t="s">
        <v>222</v>
      </c>
      <c r="H62" t="s">
        <v>376</v>
      </c>
      <c r="I62" t="s">
        <v>222</v>
      </c>
      <c r="J62">
        <v>20</v>
      </c>
      <c r="K62">
        <v>1</v>
      </c>
      <c r="L62">
        <v>6</v>
      </c>
      <c r="M62" t="s">
        <v>564</v>
      </c>
      <c r="N62" t="s">
        <v>479</v>
      </c>
      <c r="O62" t="s">
        <v>169</v>
      </c>
    </row>
    <row r="63" spans="1:15" x14ac:dyDescent="0.25">
      <c r="A63" t="s">
        <v>351</v>
      </c>
      <c r="B63" t="s">
        <v>565</v>
      </c>
      <c r="C63" t="s">
        <v>378</v>
      </c>
      <c r="D63" t="s">
        <v>477</v>
      </c>
      <c r="E63" t="s">
        <v>169</v>
      </c>
      <c r="F63" t="s">
        <v>354</v>
      </c>
      <c r="G63" t="s">
        <v>230</v>
      </c>
      <c r="H63" t="s">
        <v>378</v>
      </c>
      <c r="I63" t="s">
        <v>230</v>
      </c>
      <c r="J63">
        <v>20</v>
      </c>
      <c r="K63">
        <v>2</v>
      </c>
      <c r="L63">
        <v>6</v>
      </c>
      <c r="M63" t="s">
        <v>566</v>
      </c>
      <c r="N63" t="s">
        <v>479</v>
      </c>
      <c r="O63" t="s">
        <v>169</v>
      </c>
    </row>
    <row r="64" spans="1:15" x14ac:dyDescent="0.25">
      <c r="A64" t="s">
        <v>351</v>
      </c>
      <c r="B64" t="s">
        <v>567</v>
      </c>
      <c r="C64" t="s">
        <v>380</v>
      </c>
      <c r="D64" t="s">
        <v>477</v>
      </c>
      <c r="E64" t="s">
        <v>169</v>
      </c>
      <c r="F64" t="s">
        <v>354</v>
      </c>
      <c r="G64" t="s">
        <v>381</v>
      </c>
      <c r="H64" t="s">
        <v>380</v>
      </c>
      <c r="I64" t="s">
        <v>568</v>
      </c>
      <c r="J64">
        <v>60</v>
      </c>
      <c r="K64" t="s">
        <v>492</v>
      </c>
      <c r="L64">
        <v>6</v>
      </c>
      <c r="M64" t="s">
        <v>569</v>
      </c>
      <c r="N64" t="s">
        <v>494</v>
      </c>
      <c r="O64" t="s">
        <v>169</v>
      </c>
    </row>
    <row r="65" spans="1:15" x14ac:dyDescent="0.25">
      <c r="A65" t="s">
        <v>351</v>
      </c>
      <c r="B65" t="s">
        <v>570</v>
      </c>
      <c r="C65" t="s">
        <v>383</v>
      </c>
      <c r="D65" t="s">
        <v>477</v>
      </c>
      <c r="E65" t="s">
        <v>169</v>
      </c>
      <c r="F65" t="s">
        <v>354</v>
      </c>
      <c r="G65" t="s">
        <v>384</v>
      </c>
      <c r="H65" t="s">
        <v>383</v>
      </c>
      <c r="I65" t="s">
        <v>571</v>
      </c>
      <c r="J65">
        <v>20</v>
      </c>
      <c r="K65" t="s">
        <v>492</v>
      </c>
      <c r="L65">
        <v>6</v>
      </c>
      <c r="M65" t="s">
        <v>572</v>
      </c>
      <c r="N65" t="s">
        <v>494</v>
      </c>
      <c r="O65" t="s">
        <v>169</v>
      </c>
    </row>
    <row r="66" spans="1:15" x14ac:dyDescent="0.25">
      <c r="A66" t="s">
        <v>385</v>
      </c>
      <c r="B66" t="s">
        <v>573</v>
      </c>
      <c r="C66" t="s">
        <v>387</v>
      </c>
      <c r="D66" t="s">
        <v>477</v>
      </c>
      <c r="E66" t="s">
        <v>233</v>
      </c>
      <c r="F66" t="s">
        <v>388</v>
      </c>
      <c r="G66" t="s">
        <v>241</v>
      </c>
      <c r="H66" t="s">
        <v>387</v>
      </c>
      <c r="I66" t="s">
        <v>241</v>
      </c>
      <c r="J66">
        <v>20</v>
      </c>
      <c r="K66">
        <v>2</v>
      </c>
      <c r="L66">
        <v>4</v>
      </c>
      <c r="M66" t="s">
        <v>574</v>
      </c>
      <c r="N66" t="s">
        <v>494</v>
      </c>
      <c r="O66" t="s">
        <v>233</v>
      </c>
    </row>
    <row r="67" spans="1:15" x14ac:dyDescent="0.25">
      <c r="A67" t="s">
        <v>385</v>
      </c>
      <c r="B67" t="s">
        <v>575</v>
      </c>
      <c r="C67" t="s">
        <v>390</v>
      </c>
      <c r="D67" t="s">
        <v>477</v>
      </c>
      <c r="E67" t="s">
        <v>233</v>
      </c>
      <c r="F67" t="s">
        <v>388</v>
      </c>
      <c r="G67" t="s">
        <v>391</v>
      </c>
      <c r="H67" t="s">
        <v>390</v>
      </c>
      <c r="I67" t="s">
        <v>576</v>
      </c>
      <c r="J67">
        <v>20</v>
      </c>
      <c r="K67">
        <v>1</v>
      </c>
      <c r="L67">
        <v>4</v>
      </c>
      <c r="M67" t="s">
        <v>577</v>
      </c>
      <c r="N67" t="s">
        <v>479</v>
      </c>
      <c r="O67" t="s">
        <v>233</v>
      </c>
    </row>
    <row r="68" spans="1:15" x14ac:dyDescent="0.25">
      <c r="A68" t="s">
        <v>385</v>
      </c>
      <c r="B68" t="s">
        <v>578</v>
      </c>
      <c r="C68" t="s">
        <v>393</v>
      </c>
      <c r="D68" t="s">
        <v>477</v>
      </c>
      <c r="E68" t="s">
        <v>233</v>
      </c>
      <c r="F68" t="s">
        <v>388</v>
      </c>
      <c r="G68" t="s">
        <v>394</v>
      </c>
      <c r="H68" t="s">
        <v>393</v>
      </c>
      <c r="I68" t="s">
        <v>394</v>
      </c>
      <c r="J68">
        <v>20</v>
      </c>
      <c r="K68">
        <v>2</v>
      </c>
      <c r="L68">
        <v>4</v>
      </c>
      <c r="M68" t="s">
        <v>579</v>
      </c>
      <c r="N68" t="s">
        <v>479</v>
      </c>
      <c r="O68" t="s">
        <v>233</v>
      </c>
    </row>
    <row r="69" spans="1:15" x14ac:dyDescent="0.25">
      <c r="A69" t="s">
        <v>385</v>
      </c>
      <c r="B69" t="s">
        <v>580</v>
      </c>
      <c r="C69" t="s">
        <v>396</v>
      </c>
      <c r="D69" t="s">
        <v>477</v>
      </c>
      <c r="E69" t="s">
        <v>233</v>
      </c>
      <c r="F69" t="s">
        <v>388</v>
      </c>
      <c r="G69" t="s">
        <v>397</v>
      </c>
      <c r="H69" t="s">
        <v>396</v>
      </c>
      <c r="I69" t="s">
        <v>397</v>
      </c>
      <c r="J69">
        <v>20</v>
      </c>
      <c r="K69">
        <v>1</v>
      </c>
      <c r="L69">
        <v>4</v>
      </c>
      <c r="M69" t="s">
        <v>574</v>
      </c>
      <c r="N69" t="s">
        <v>479</v>
      </c>
      <c r="O69" t="s">
        <v>233</v>
      </c>
    </row>
    <row r="70" spans="1:15" x14ac:dyDescent="0.25">
      <c r="A70" t="s">
        <v>385</v>
      </c>
      <c r="B70" t="s">
        <v>581</v>
      </c>
      <c r="C70" t="s">
        <v>399</v>
      </c>
      <c r="D70" t="s">
        <v>477</v>
      </c>
      <c r="E70" t="s">
        <v>42</v>
      </c>
      <c r="F70" t="s">
        <v>271</v>
      </c>
      <c r="G70" t="s">
        <v>26</v>
      </c>
      <c r="H70" t="s">
        <v>399</v>
      </c>
      <c r="I70" t="s">
        <v>26</v>
      </c>
      <c r="J70">
        <v>20</v>
      </c>
      <c r="K70">
        <v>1</v>
      </c>
      <c r="L70">
        <v>4</v>
      </c>
      <c r="M70" t="s">
        <v>582</v>
      </c>
      <c r="N70" t="s">
        <v>479</v>
      </c>
      <c r="O70" t="s">
        <v>519</v>
      </c>
    </row>
    <row r="71" spans="1:15" x14ac:dyDescent="0.25">
      <c r="A71" t="s">
        <v>385</v>
      </c>
      <c r="B71" t="s">
        <v>581</v>
      </c>
      <c r="C71" t="s">
        <v>399</v>
      </c>
      <c r="D71" t="s">
        <v>477</v>
      </c>
      <c r="E71" t="s">
        <v>114</v>
      </c>
      <c r="F71" t="s">
        <v>293</v>
      </c>
      <c r="G71" t="s">
        <v>26</v>
      </c>
      <c r="H71" t="s">
        <v>399</v>
      </c>
      <c r="I71" t="s">
        <v>26</v>
      </c>
      <c r="J71">
        <v>20</v>
      </c>
      <c r="K71">
        <v>1</v>
      </c>
      <c r="L71">
        <v>4</v>
      </c>
      <c r="M71" t="s">
        <v>582</v>
      </c>
      <c r="N71" t="s">
        <v>479</v>
      </c>
      <c r="O71" t="s">
        <v>519</v>
      </c>
    </row>
    <row r="72" spans="1:15" x14ac:dyDescent="0.25">
      <c r="A72" t="s">
        <v>385</v>
      </c>
      <c r="B72" t="s">
        <v>581</v>
      </c>
      <c r="C72" t="s">
        <v>399</v>
      </c>
      <c r="D72" t="s">
        <v>477</v>
      </c>
      <c r="E72" t="s">
        <v>152</v>
      </c>
      <c r="F72" t="s">
        <v>320</v>
      </c>
      <c r="G72" t="s">
        <v>26</v>
      </c>
      <c r="H72" t="s">
        <v>399</v>
      </c>
      <c r="I72" t="s">
        <v>26</v>
      </c>
      <c r="J72">
        <v>20</v>
      </c>
      <c r="K72">
        <v>1</v>
      </c>
      <c r="L72">
        <v>4</v>
      </c>
      <c r="M72" t="s">
        <v>582</v>
      </c>
      <c r="N72" t="s">
        <v>479</v>
      </c>
      <c r="O72" t="s">
        <v>519</v>
      </c>
    </row>
    <row r="73" spans="1:15" x14ac:dyDescent="0.25">
      <c r="A73" t="s">
        <v>385</v>
      </c>
      <c r="B73" t="s">
        <v>581</v>
      </c>
      <c r="C73" t="s">
        <v>399</v>
      </c>
      <c r="D73" t="s">
        <v>477</v>
      </c>
      <c r="E73" t="s">
        <v>233</v>
      </c>
      <c r="F73" t="s">
        <v>388</v>
      </c>
      <c r="G73" t="s">
        <v>26</v>
      </c>
      <c r="H73" t="s">
        <v>399</v>
      </c>
      <c r="I73" t="s">
        <v>26</v>
      </c>
      <c r="J73">
        <v>20</v>
      </c>
      <c r="K73">
        <v>1</v>
      </c>
      <c r="L73">
        <v>4</v>
      </c>
      <c r="M73" t="s">
        <v>582</v>
      </c>
      <c r="N73" t="s">
        <v>479</v>
      </c>
      <c r="O73" t="s">
        <v>519</v>
      </c>
    </row>
    <row r="74" spans="1:15" x14ac:dyDescent="0.25">
      <c r="A74" t="s">
        <v>385</v>
      </c>
      <c r="B74" t="s">
        <v>581</v>
      </c>
      <c r="C74" t="s">
        <v>399</v>
      </c>
      <c r="D74" t="s">
        <v>477</v>
      </c>
      <c r="E74" t="s">
        <v>133</v>
      </c>
      <c r="F74" t="s">
        <v>312</v>
      </c>
      <c r="G74" t="s">
        <v>26</v>
      </c>
      <c r="H74" t="s">
        <v>399</v>
      </c>
      <c r="I74" t="s">
        <v>26</v>
      </c>
      <c r="J74">
        <v>20</v>
      </c>
      <c r="K74">
        <v>1</v>
      </c>
      <c r="L74">
        <v>4</v>
      </c>
      <c r="M74" t="s">
        <v>582</v>
      </c>
      <c r="N74" t="s">
        <v>479</v>
      </c>
      <c r="O74" t="s">
        <v>519</v>
      </c>
    </row>
    <row r="75" spans="1:15" x14ac:dyDescent="0.25">
      <c r="A75" t="s">
        <v>385</v>
      </c>
      <c r="B75" t="s">
        <v>583</v>
      </c>
      <c r="C75" t="s">
        <v>401</v>
      </c>
      <c r="D75" t="s">
        <v>477</v>
      </c>
      <c r="E75" t="s">
        <v>233</v>
      </c>
      <c r="F75" t="s">
        <v>388</v>
      </c>
      <c r="G75" t="s">
        <v>402</v>
      </c>
      <c r="H75" t="s">
        <v>401</v>
      </c>
      <c r="I75" t="s">
        <v>402</v>
      </c>
      <c r="J75">
        <v>20</v>
      </c>
      <c r="K75">
        <v>1</v>
      </c>
      <c r="L75">
        <v>5</v>
      </c>
      <c r="M75" t="s">
        <v>574</v>
      </c>
      <c r="N75" t="s">
        <v>494</v>
      </c>
      <c r="O75" t="s">
        <v>233</v>
      </c>
    </row>
    <row r="76" spans="1:15" x14ac:dyDescent="0.25">
      <c r="A76" t="s">
        <v>385</v>
      </c>
      <c r="B76" t="s">
        <v>584</v>
      </c>
      <c r="C76" t="s">
        <v>404</v>
      </c>
      <c r="D76" t="s">
        <v>477</v>
      </c>
      <c r="E76" t="s">
        <v>233</v>
      </c>
      <c r="F76" t="s">
        <v>388</v>
      </c>
      <c r="G76" t="s">
        <v>238</v>
      </c>
      <c r="H76" t="s">
        <v>404</v>
      </c>
      <c r="I76" t="s">
        <v>238</v>
      </c>
      <c r="J76">
        <v>20</v>
      </c>
      <c r="K76">
        <v>1</v>
      </c>
      <c r="L76">
        <v>5</v>
      </c>
      <c r="M76" t="s">
        <v>585</v>
      </c>
      <c r="N76" t="s">
        <v>479</v>
      </c>
      <c r="O76" t="s">
        <v>233</v>
      </c>
    </row>
    <row r="77" spans="1:15" x14ac:dyDescent="0.25">
      <c r="A77" t="s">
        <v>385</v>
      </c>
      <c r="B77" t="s">
        <v>586</v>
      </c>
      <c r="C77" t="s">
        <v>406</v>
      </c>
      <c r="D77" t="s">
        <v>477</v>
      </c>
      <c r="E77" t="s">
        <v>233</v>
      </c>
      <c r="F77" t="s">
        <v>388</v>
      </c>
      <c r="G77" t="s">
        <v>407</v>
      </c>
      <c r="H77" t="s">
        <v>406</v>
      </c>
      <c r="I77" t="s">
        <v>407</v>
      </c>
      <c r="J77">
        <v>20</v>
      </c>
      <c r="K77">
        <v>1</v>
      </c>
      <c r="L77">
        <v>5</v>
      </c>
      <c r="M77" t="s">
        <v>587</v>
      </c>
      <c r="N77" t="s">
        <v>479</v>
      </c>
      <c r="O77" t="s">
        <v>233</v>
      </c>
    </row>
    <row r="78" spans="1:15" x14ac:dyDescent="0.25">
      <c r="A78" t="s">
        <v>385</v>
      </c>
      <c r="B78" t="s">
        <v>588</v>
      </c>
      <c r="C78" t="s">
        <v>409</v>
      </c>
      <c r="D78" t="s">
        <v>477</v>
      </c>
      <c r="E78" t="s">
        <v>233</v>
      </c>
      <c r="F78" t="s">
        <v>388</v>
      </c>
      <c r="G78" t="s">
        <v>410</v>
      </c>
      <c r="H78" t="s">
        <v>409</v>
      </c>
      <c r="I78" t="s">
        <v>589</v>
      </c>
      <c r="J78">
        <v>20</v>
      </c>
      <c r="K78">
        <v>2</v>
      </c>
      <c r="L78">
        <v>5</v>
      </c>
      <c r="M78" t="s">
        <v>590</v>
      </c>
      <c r="N78" t="s">
        <v>479</v>
      </c>
      <c r="O78" t="s">
        <v>233</v>
      </c>
    </row>
    <row r="79" spans="1:15" x14ac:dyDescent="0.25">
      <c r="A79" t="s">
        <v>385</v>
      </c>
      <c r="B79" t="s">
        <v>591</v>
      </c>
      <c r="C79" t="s">
        <v>412</v>
      </c>
      <c r="D79" t="s">
        <v>477</v>
      </c>
      <c r="E79" t="s">
        <v>233</v>
      </c>
      <c r="F79" t="s">
        <v>388</v>
      </c>
      <c r="G79" t="s">
        <v>30</v>
      </c>
      <c r="H79" t="s">
        <v>412</v>
      </c>
      <c r="I79" t="s">
        <v>30</v>
      </c>
      <c r="J79">
        <v>20</v>
      </c>
      <c r="K79">
        <v>2</v>
      </c>
      <c r="L79">
        <v>5</v>
      </c>
      <c r="M79" t="s">
        <v>585</v>
      </c>
      <c r="N79" t="s">
        <v>479</v>
      </c>
      <c r="O79" t="s">
        <v>516</v>
      </c>
    </row>
    <row r="80" spans="1:15" x14ac:dyDescent="0.25">
      <c r="A80" t="s">
        <v>385</v>
      </c>
      <c r="B80" t="s">
        <v>591</v>
      </c>
      <c r="C80" t="s">
        <v>412</v>
      </c>
      <c r="D80" t="s">
        <v>477</v>
      </c>
      <c r="E80" t="s">
        <v>133</v>
      </c>
      <c r="F80" t="s">
        <v>312</v>
      </c>
      <c r="G80" t="s">
        <v>30</v>
      </c>
      <c r="H80" t="s">
        <v>412</v>
      </c>
      <c r="I80" t="s">
        <v>30</v>
      </c>
      <c r="J80">
        <v>20</v>
      </c>
      <c r="K80">
        <v>2</v>
      </c>
      <c r="L80">
        <v>5</v>
      </c>
      <c r="M80" t="s">
        <v>585</v>
      </c>
      <c r="N80" t="s">
        <v>479</v>
      </c>
      <c r="O80" t="s">
        <v>516</v>
      </c>
    </row>
    <row r="81" spans="1:15" x14ac:dyDescent="0.25">
      <c r="A81" t="s">
        <v>385</v>
      </c>
      <c r="B81" t="s">
        <v>592</v>
      </c>
      <c r="C81" t="s">
        <v>414</v>
      </c>
      <c r="D81" t="s">
        <v>477</v>
      </c>
      <c r="E81" t="s">
        <v>233</v>
      </c>
      <c r="F81" t="s">
        <v>388</v>
      </c>
      <c r="G81" t="s">
        <v>415</v>
      </c>
      <c r="H81" t="s">
        <v>414</v>
      </c>
      <c r="I81" t="s">
        <v>415</v>
      </c>
      <c r="J81">
        <v>20</v>
      </c>
      <c r="K81">
        <v>1</v>
      </c>
      <c r="L81">
        <v>6</v>
      </c>
      <c r="M81" t="s">
        <v>593</v>
      </c>
      <c r="N81" t="s">
        <v>494</v>
      </c>
      <c r="O81" t="s">
        <v>233</v>
      </c>
    </row>
    <row r="82" spans="1:15" x14ac:dyDescent="0.25">
      <c r="A82" t="s">
        <v>385</v>
      </c>
      <c r="B82" t="s">
        <v>594</v>
      </c>
      <c r="C82" t="s">
        <v>417</v>
      </c>
      <c r="D82" t="s">
        <v>477</v>
      </c>
      <c r="E82" t="s">
        <v>233</v>
      </c>
      <c r="F82" t="s">
        <v>388</v>
      </c>
      <c r="G82" t="s">
        <v>7</v>
      </c>
      <c r="H82" t="s">
        <v>417</v>
      </c>
      <c r="I82" t="s">
        <v>7</v>
      </c>
      <c r="J82">
        <v>20</v>
      </c>
      <c r="K82">
        <v>1</v>
      </c>
      <c r="L82">
        <v>6</v>
      </c>
      <c r="M82" t="s">
        <v>595</v>
      </c>
      <c r="N82" t="s">
        <v>479</v>
      </c>
      <c r="O82" t="s">
        <v>233</v>
      </c>
    </row>
    <row r="83" spans="1:15" x14ac:dyDescent="0.25">
      <c r="A83" t="s">
        <v>385</v>
      </c>
      <c r="B83" t="s">
        <v>594</v>
      </c>
      <c r="C83" t="s">
        <v>417</v>
      </c>
      <c r="D83" t="s">
        <v>477</v>
      </c>
      <c r="E83" t="s">
        <v>133</v>
      </c>
      <c r="F83" t="s">
        <v>312</v>
      </c>
      <c r="G83" t="s">
        <v>7</v>
      </c>
      <c r="H83" t="s">
        <v>417</v>
      </c>
      <c r="I83" t="s">
        <v>7</v>
      </c>
      <c r="J83">
        <v>20</v>
      </c>
      <c r="K83">
        <v>1</v>
      </c>
      <c r="L83">
        <v>6</v>
      </c>
      <c r="M83" t="s">
        <v>595</v>
      </c>
      <c r="N83" t="s">
        <v>479</v>
      </c>
      <c r="O83" t="s">
        <v>233</v>
      </c>
    </row>
    <row r="84" spans="1:15" x14ac:dyDescent="0.25">
      <c r="A84" t="s">
        <v>385</v>
      </c>
      <c r="B84" t="s">
        <v>596</v>
      </c>
      <c r="C84" t="s">
        <v>419</v>
      </c>
      <c r="D84" t="s">
        <v>477</v>
      </c>
      <c r="E84" t="s">
        <v>233</v>
      </c>
      <c r="F84" t="s">
        <v>388</v>
      </c>
      <c r="G84" t="s">
        <v>245</v>
      </c>
      <c r="H84" t="s">
        <v>419</v>
      </c>
      <c r="I84" t="s">
        <v>245</v>
      </c>
      <c r="J84">
        <v>20</v>
      </c>
      <c r="K84">
        <v>2</v>
      </c>
      <c r="L84">
        <v>6</v>
      </c>
      <c r="M84" t="s">
        <v>597</v>
      </c>
      <c r="N84" t="s">
        <v>479</v>
      </c>
      <c r="O84" t="s">
        <v>519</v>
      </c>
    </row>
    <row r="85" spans="1:15" x14ac:dyDescent="0.25">
      <c r="A85" t="s">
        <v>385</v>
      </c>
      <c r="B85" t="s">
        <v>598</v>
      </c>
      <c r="C85" t="s">
        <v>421</v>
      </c>
      <c r="D85" t="s">
        <v>477</v>
      </c>
      <c r="E85" t="s">
        <v>233</v>
      </c>
      <c r="F85" t="s">
        <v>388</v>
      </c>
      <c r="G85" t="s">
        <v>253</v>
      </c>
      <c r="H85" t="s">
        <v>421</v>
      </c>
      <c r="I85" t="s">
        <v>599</v>
      </c>
      <c r="J85">
        <v>20</v>
      </c>
      <c r="K85">
        <v>2</v>
      </c>
      <c r="L85">
        <v>6</v>
      </c>
      <c r="M85" t="s">
        <v>593</v>
      </c>
      <c r="N85" t="s">
        <v>600</v>
      </c>
      <c r="O85" t="s">
        <v>233</v>
      </c>
    </row>
    <row r="86" spans="1:15" x14ac:dyDescent="0.25">
      <c r="A86" t="s">
        <v>422</v>
      </c>
      <c r="B86" t="s">
        <v>511</v>
      </c>
      <c r="C86" t="s">
        <v>424</v>
      </c>
      <c r="D86" t="s">
        <v>477</v>
      </c>
      <c r="E86" t="s">
        <v>42</v>
      </c>
      <c r="F86" t="s">
        <v>271</v>
      </c>
      <c r="G86" t="s">
        <v>27</v>
      </c>
      <c r="H86" t="s">
        <v>424</v>
      </c>
      <c r="I86" t="s">
        <v>27</v>
      </c>
      <c r="N86" t="s">
        <v>512</v>
      </c>
    </row>
    <row r="87" spans="1:15" x14ac:dyDescent="0.25">
      <c r="A87" t="s">
        <v>422</v>
      </c>
      <c r="B87" t="s">
        <v>511</v>
      </c>
      <c r="C87" t="s">
        <v>424</v>
      </c>
      <c r="D87" t="s">
        <v>477</v>
      </c>
      <c r="E87" t="s">
        <v>114</v>
      </c>
      <c r="F87" t="s">
        <v>293</v>
      </c>
      <c r="G87" t="s">
        <v>27</v>
      </c>
      <c r="H87" t="s">
        <v>424</v>
      </c>
      <c r="I87" t="s">
        <v>27</v>
      </c>
      <c r="N87" t="s">
        <v>512</v>
      </c>
    </row>
    <row r="88" spans="1:15" x14ac:dyDescent="0.25">
      <c r="A88" t="s">
        <v>422</v>
      </c>
      <c r="B88" t="s">
        <v>511</v>
      </c>
      <c r="C88" t="s">
        <v>424</v>
      </c>
      <c r="D88" t="s">
        <v>477</v>
      </c>
      <c r="E88" t="s">
        <v>152</v>
      </c>
      <c r="F88" t="s">
        <v>320</v>
      </c>
      <c r="G88" t="s">
        <v>27</v>
      </c>
      <c r="H88" t="s">
        <v>424</v>
      </c>
      <c r="I88" t="s">
        <v>27</v>
      </c>
      <c r="N88" t="s">
        <v>512</v>
      </c>
    </row>
    <row r="89" spans="1:15" x14ac:dyDescent="0.25">
      <c r="A89" t="s">
        <v>422</v>
      </c>
      <c r="B89" t="s">
        <v>511</v>
      </c>
      <c r="C89" t="s">
        <v>424</v>
      </c>
      <c r="D89" t="s">
        <v>477</v>
      </c>
      <c r="E89" t="s">
        <v>169</v>
      </c>
      <c r="F89" t="s">
        <v>354</v>
      </c>
      <c r="G89" t="s">
        <v>27</v>
      </c>
      <c r="H89" t="s">
        <v>424</v>
      </c>
      <c r="I89" t="s">
        <v>27</v>
      </c>
      <c r="N89" t="s">
        <v>512</v>
      </c>
    </row>
    <row r="90" spans="1:15" x14ac:dyDescent="0.25">
      <c r="A90" t="s">
        <v>422</v>
      </c>
      <c r="B90" t="s">
        <v>511</v>
      </c>
      <c r="C90" t="s">
        <v>424</v>
      </c>
      <c r="D90" t="s">
        <v>477</v>
      </c>
      <c r="E90" t="s">
        <v>233</v>
      </c>
      <c r="F90" t="s">
        <v>388</v>
      </c>
      <c r="G90" t="s">
        <v>27</v>
      </c>
      <c r="H90" t="s">
        <v>424</v>
      </c>
      <c r="I90" t="s">
        <v>27</v>
      </c>
      <c r="N90" t="s">
        <v>512</v>
      </c>
    </row>
    <row r="91" spans="1:15" x14ac:dyDescent="0.25">
      <c r="A91" t="s">
        <v>422</v>
      </c>
      <c r="B91" t="s">
        <v>511</v>
      </c>
      <c r="C91" t="s">
        <v>424</v>
      </c>
      <c r="D91" t="s">
        <v>477</v>
      </c>
      <c r="E91" t="s">
        <v>133</v>
      </c>
      <c r="F91" t="s">
        <v>312</v>
      </c>
      <c r="G91" t="s">
        <v>27</v>
      </c>
      <c r="H91" t="s">
        <v>424</v>
      </c>
      <c r="I91" t="s">
        <v>27</v>
      </c>
      <c r="N91" t="s">
        <v>512</v>
      </c>
    </row>
    <row r="92" spans="1:15" x14ac:dyDescent="0.25">
      <c r="A92" t="s">
        <v>422</v>
      </c>
      <c r="B92" t="s">
        <v>513</v>
      </c>
      <c r="C92" t="s">
        <v>426</v>
      </c>
      <c r="D92" t="s">
        <v>477</v>
      </c>
      <c r="E92" t="s">
        <v>42</v>
      </c>
      <c r="F92" t="s">
        <v>271</v>
      </c>
      <c r="G92" t="s">
        <v>15</v>
      </c>
      <c r="H92" t="s">
        <v>426</v>
      </c>
      <c r="I92" t="s">
        <v>514</v>
      </c>
      <c r="J92">
        <v>20</v>
      </c>
      <c r="K92">
        <v>1</v>
      </c>
      <c r="L92">
        <v>4</v>
      </c>
      <c r="M92" t="s">
        <v>515</v>
      </c>
      <c r="N92" t="s">
        <v>479</v>
      </c>
      <c r="O92" t="s">
        <v>516</v>
      </c>
    </row>
    <row r="93" spans="1:15" x14ac:dyDescent="0.25">
      <c r="A93" t="s">
        <v>422</v>
      </c>
      <c r="B93" t="s">
        <v>513</v>
      </c>
      <c r="C93" t="s">
        <v>426</v>
      </c>
      <c r="D93" t="s">
        <v>477</v>
      </c>
      <c r="E93" t="s">
        <v>114</v>
      </c>
      <c r="F93" t="s">
        <v>293</v>
      </c>
      <c r="G93" t="s">
        <v>15</v>
      </c>
      <c r="H93" t="s">
        <v>426</v>
      </c>
      <c r="I93" t="s">
        <v>514</v>
      </c>
      <c r="J93">
        <v>20</v>
      </c>
      <c r="K93">
        <v>1</v>
      </c>
      <c r="L93">
        <v>4</v>
      </c>
      <c r="M93" t="s">
        <v>515</v>
      </c>
      <c r="N93" t="s">
        <v>479</v>
      </c>
      <c r="O93" t="s">
        <v>516</v>
      </c>
    </row>
    <row r="94" spans="1:15" x14ac:dyDescent="0.25">
      <c r="A94" t="s">
        <v>422</v>
      </c>
      <c r="B94" t="s">
        <v>513</v>
      </c>
      <c r="C94" t="s">
        <v>426</v>
      </c>
      <c r="D94" t="s">
        <v>477</v>
      </c>
      <c r="E94" t="s">
        <v>152</v>
      </c>
      <c r="F94" t="s">
        <v>320</v>
      </c>
      <c r="G94" t="s">
        <v>15</v>
      </c>
      <c r="H94" t="s">
        <v>426</v>
      </c>
      <c r="I94" t="s">
        <v>514</v>
      </c>
      <c r="J94">
        <v>20</v>
      </c>
      <c r="K94">
        <v>1</v>
      </c>
      <c r="L94">
        <v>4</v>
      </c>
      <c r="M94" t="s">
        <v>515</v>
      </c>
      <c r="N94" t="s">
        <v>479</v>
      </c>
      <c r="O94" t="s">
        <v>516</v>
      </c>
    </row>
    <row r="95" spans="1:15" x14ac:dyDescent="0.25">
      <c r="A95" t="s">
        <v>422</v>
      </c>
      <c r="B95" t="s">
        <v>513</v>
      </c>
      <c r="C95" t="s">
        <v>426</v>
      </c>
      <c r="D95" t="s">
        <v>477</v>
      </c>
      <c r="E95" t="s">
        <v>169</v>
      </c>
      <c r="F95" t="s">
        <v>354</v>
      </c>
      <c r="G95" t="s">
        <v>15</v>
      </c>
      <c r="H95" t="s">
        <v>426</v>
      </c>
      <c r="I95" t="s">
        <v>514</v>
      </c>
      <c r="J95">
        <v>20</v>
      </c>
      <c r="K95">
        <v>1</v>
      </c>
      <c r="L95">
        <v>4</v>
      </c>
      <c r="M95" t="s">
        <v>515</v>
      </c>
      <c r="N95" t="s">
        <v>479</v>
      </c>
      <c r="O95" t="s">
        <v>516</v>
      </c>
    </row>
    <row r="96" spans="1:15" x14ac:dyDescent="0.25">
      <c r="A96" t="s">
        <v>422</v>
      </c>
      <c r="B96" t="s">
        <v>513</v>
      </c>
      <c r="C96" t="s">
        <v>426</v>
      </c>
      <c r="D96" t="s">
        <v>477</v>
      </c>
      <c r="E96" t="s">
        <v>133</v>
      </c>
      <c r="F96" t="s">
        <v>312</v>
      </c>
      <c r="G96" t="s">
        <v>15</v>
      </c>
      <c r="H96" t="s">
        <v>426</v>
      </c>
      <c r="I96" t="s">
        <v>514</v>
      </c>
      <c r="J96">
        <v>20</v>
      </c>
      <c r="K96">
        <v>1</v>
      </c>
      <c r="L96">
        <v>4</v>
      </c>
      <c r="M96" t="s">
        <v>515</v>
      </c>
      <c r="N96" t="s">
        <v>479</v>
      </c>
      <c r="O96" t="s">
        <v>516</v>
      </c>
    </row>
    <row r="97" spans="1:15" x14ac:dyDescent="0.25">
      <c r="A97" t="s">
        <v>422</v>
      </c>
      <c r="B97" t="s">
        <v>517</v>
      </c>
      <c r="C97" t="s">
        <v>428</v>
      </c>
      <c r="D97" t="s">
        <v>477</v>
      </c>
      <c r="E97" t="s">
        <v>42</v>
      </c>
      <c r="F97" t="s">
        <v>271</v>
      </c>
      <c r="G97" t="s">
        <v>17</v>
      </c>
      <c r="H97" t="s">
        <v>428</v>
      </c>
      <c r="I97" t="s">
        <v>17</v>
      </c>
      <c r="J97">
        <v>20</v>
      </c>
      <c r="K97">
        <v>2</v>
      </c>
      <c r="L97">
        <v>4</v>
      </c>
      <c r="M97" t="s">
        <v>518</v>
      </c>
      <c r="N97" t="s">
        <v>479</v>
      </c>
      <c r="O97" t="s">
        <v>519</v>
      </c>
    </row>
    <row r="98" spans="1:15" x14ac:dyDescent="0.25">
      <c r="A98" t="s">
        <v>422</v>
      </c>
      <c r="B98" t="s">
        <v>517</v>
      </c>
      <c r="C98" t="s">
        <v>428</v>
      </c>
      <c r="D98" t="s">
        <v>477</v>
      </c>
      <c r="E98" t="s">
        <v>114</v>
      </c>
      <c r="F98" t="s">
        <v>293</v>
      </c>
      <c r="G98" t="s">
        <v>17</v>
      </c>
      <c r="H98" t="s">
        <v>428</v>
      </c>
      <c r="I98" t="s">
        <v>17</v>
      </c>
      <c r="J98">
        <v>20</v>
      </c>
      <c r="K98">
        <v>2</v>
      </c>
      <c r="L98">
        <v>4</v>
      </c>
      <c r="M98" t="s">
        <v>518</v>
      </c>
      <c r="N98" t="s">
        <v>479</v>
      </c>
      <c r="O98" t="s">
        <v>519</v>
      </c>
    </row>
    <row r="99" spans="1:15" x14ac:dyDescent="0.25">
      <c r="A99" t="s">
        <v>422</v>
      </c>
      <c r="B99" t="s">
        <v>517</v>
      </c>
      <c r="C99" t="s">
        <v>428</v>
      </c>
      <c r="D99" t="s">
        <v>477</v>
      </c>
      <c r="E99" t="s">
        <v>152</v>
      </c>
      <c r="F99" t="s">
        <v>320</v>
      </c>
      <c r="G99" t="s">
        <v>17</v>
      </c>
      <c r="H99" t="s">
        <v>428</v>
      </c>
      <c r="I99" t="s">
        <v>17</v>
      </c>
      <c r="J99">
        <v>20</v>
      </c>
      <c r="K99">
        <v>2</v>
      </c>
      <c r="L99">
        <v>4</v>
      </c>
      <c r="M99" t="s">
        <v>518</v>
      </c>
      <c r="N99" t="s">
        <v>479</v>
      </c>
      <c r="O99" t="s">
        <v>519</v>
      </c>
    </row>
    <row r="100" spans="1:15" x14ac:dyDescent="0.25">
      <c r="A100" t="s">
        <v>422</v>
      </c>
      <c r="B100" t="s">
        <v>517</v>
      </c>
      <c r="C100" t="s">
        <v>428</v>
      </c>
      <c r="D100" t="s">
        <v>477</v>
      </c>
      <c r="E100" t="s">
        <v>133</v>
      </c>
      <c r="F100" t="s">
        <v>312</v>
      </c>
      <c r="G100" t="s">
        <v>17</v>
      </c>
      <c r="H100" t="s">
        <v>428</v>
      </c>
      <c r="I100" t="s">
        <v>17</v>
      </c>
      <c r="J100">
        <v>20</v>
      </c>
      <c r="K100">
        <v>2</v>
      </c>
      <c r="L100">
        <v>4</v>
      </c>
      <c r="M100" t="s">
        <v>518</v>
      </c>
      <c r="N100" t="s">
        <v>479</v>
      </c>
      <c r="O100" t="s">
        <v>519</v>
      </c>
    </row>
    <row r="101" spans="1:15" x14ac:dyDescent="0.25">
      <c r="A101" t="s">
        <v>422</v>
      </c>
      <c r="B101" t="s">
        <v>601</v>
      </c>
      <c r="C101" t="s">
        <v>430</v>
      </c>
      <c r="D101" t="s">
        <v>477</v>
      </c>
      <c r="E101" t="s">
        <v>133</v>
      </c>
      <c r="F101" t="s">
        <v>312</v>
      </c>
      <c r="G101" t="s">
        <v>24</v>
      </c>
      <c r="H101" t="s">
        <v>602</v>
      </c>
      <c r="I101" t="s">
        <v>603</v>
      </c>
      <c r="J101">
        <v>20</v>
      </c>
      <c r="K101">
        <v>1</v>
      </c>
      <c r="L101">
        <v>4</v>
      </c>
      <c r="M101" t="s">
        <v>604</v>
      </c>
      <c r="N101" t="s">
        <v>494</v>
      </c>
      <c r="O101" t="s">
        <v>133</v>
      </c>
    </row>
    <row r="102" spans="1:15" x14ac:dyDescent="0.25">
      <c r="A102" t="s">
        <v>422</v>
      </c>
      <c r="B102" t="s">
        <v>605</v>
      </c>
      <c r="C102" t="s">
        <v>432</v>
      </c>
      <c r="D102" t="s">
        <v>477</v>
      </c>
      <c r="E102" t="s">
        <v>133</v>
      </c>
      <c r="F102" t="s">
        <v>312</v>
      </c>
      <c r="G102" t="s">
        <v>33</v>
      </c>
      <c r="H102" t="s">
        <v>432</v>
      </c>
      <c r="I102" t="s">
        <v>33</v>
      </c>
      <c r="J102">
        <v>20</v>
      </c>
      <c r="K102">
        <v>2</v>
      </c>
      <c r="L102">
        <v>4</v>
      </c>
      <c r="M102" t="s">
        <v>606</v>
      </c>
      <c r="N102" t="s">
        <v>479</v>
      </c>
      <c r="O102" t="s">
        <v>133</v>
      </c>
    </row>
    <row r="103" spans="1:15" x14ac:dyDescent="0.25">
      <c r="A103" t="s">
        <v>422</v>
      </c>
      <c r="B103" t="s">
        <v>520</v>
      </c>
      <c r="C103" t="s">
        <v>434</v>
      </c>
      <c r="D103" t="s">
        <v>477</v>
      </c>
      <c r="E103" t="s">
        <v>42</v>
      </c>
      <c r="F103" t="s">
        <v>271</v>
      </c>
      <c r="G103" t="s">
        <v>28</v>
      </c>
      <c r="H103" t="s">
        <v>434</v>
      </c>
      <c r="I103" t="s">
        <v>28</v>
      </c>
      <c r="J103">
        <v>20</v>
      </c>
      <c r="K103">
        <v>2</v>
      </c>
      <c r="L103">
        <v>5</v>
      </c>
      <c r="M103" t="s">
        <v>521</v>
      </c>
      <c r="N103" t="s">
        <v>512</v>
      </c>
      <c r="O103" t="s">
        <v>516</v>
      </c>
    </row>
    <row r="104" spans="1:15" x14ac:dyDescent="0.25">
      <c r="A104" t="s">
        <v>422</v>
      </c>
      <c r="B104" t="s">
        <v>520</v>
      </c>
      <c r="C104" t="s">
        <v>434</v>
      </c>
      <c r="D104" t="s">
        <v>477</v>
      </c>
      <c r="E104" t="s">
        <v>133</v>
      </c>
      <c r="F104" t="s">
        <v>312</v>
      </c>
      <c r="G104" t="s">
        <v>28</v>
      </c>
      <c r="H104" t="s">
        <v>434</v>
      </c>
      <c r="I104" t="s">
        <v>28</v>
      </c>
      <c r="J104">
        <v>20</v>
      </c>
      <c r="K104">
        <v>2</v>
      </c>
      <c r="L104">
        <v>5</v>
      </c>
      <c r="M104" t="s">
        <v>521</v>
      </c>
      <c r="N104" t="s">
        <v>512</v>
      </c>
      <c r="O104" t="s">
        <v>516</v>
      </c>
    </row>
    <row r="105" spans="1:15" x14ac:dyDescent="0.25">
      <c r="A105" t="s">
        <v>422</v>
      </c>
      <c r="B105" t="s">
        <v>522</v>
      </c>
      <c r="C105" t="s">
        <v>436</v>
      </c>
      <c r="D105" t="s">
        <v>477</v>
      </c>
      <c r="E105" t="s">
        <v>42</v>
      </c>
      <c r="F105" t="s">
        <v>271</v>
      </c>
      <c r="G105" t="s">
        <v>23</v>
      </c>
      <c r="H105" t="s">
        <v>436</v>
      </c>
      <c r="I105" t="s">
        <v>23</v>
      </c>
      <c r="J105">
        <v>20</v>
      </c>
      <c r="K105">
        <v>2</v>
      </c>
      <c r="L105">
        <v>5</v>
      </c>
      <c r="M105" t="s">
        <v>523</v>
      </c>
      <c r="N105" t="s">
        <v>479</v>
      </c>
      <c r="O105" t="s">
        <v>519</v>
      </c>
    </row>
    <row r="106" spans="1:15" x14ac:dyDescent="0.25">
      <c r="A106" t="s">
        <v>422</v>
      </c>
      <c r="B106" t="s">
        <v>522</v>
      </c>
      <c r="C106" t="s">
        <v>436</v>
      </c>
      <c r="D106" t="s">
        <v>477</v>
      </c>
      <c r="E106" t="s">
        <v>133</v>
      </c>
      <c r="F106" t="s">
        <v>312</v>
      </c>
      <c r="G106" t="s">
        <v>23</v>
      </c>
      <c r="H106" t="s">
        <v>436</v>
      </c>
      <c r="I106" t="s">
        <v>23</v>
      </c>
      <c r="J106">
        <v>20</v>
      </c>
      <c r="K106">
        <v>2</v>
      </c>
      <c r="L106">
        <v>5</v>
      </c>
      <c r="M106" t="s">
        <v>523</v>
      </c>
      <c r="N106" t="s">
        <v>479</v>
      </c>
      <c r="O106" t="s">
        <v>519</v>
      </c>
    </row>
    <row r="107" spans="1:15" x14ac:dyDescent="0.25">
      <c r="A107" t="s">
        <v>422</v>
      </c>
      <c r="B107" t="s">
        <v>607</v>
      </c>
      <c r="C107" t="s">
        <v>438</v>
      </c>
      <c r="D107" t="s">
        <v>477</v>
      </c>
      <c r="E107" t="s">
        <v>133</v>
      </c>
      <c r="F107" t="s">
        <v>312</v>
      </c>
      <c r="G107" t="s">
        <v>25</v>
      </c>
      <c r="H107" t="s">
        <v>438</v>
      </c>
      <c r="I107" t="s">
        <v>25</v>
      </c>
      <c r="J107">
        <v>20</v>
      </c>
      <c r="K107">
        <v>1</v>
      </c>
      <c r="L107">
        <v>5</v>
      </c>
      <c r="N107" t="s">
        <v>494</v>
      </c>
      <c r="O107" t="s">
        <v>133</v>
      </c>
    </row>
    <row r="108" spans="1:15" x14ac:dyDescent="0.25">
      <c r="A108" t="s">
        <v>422</v>
      </c>
      <c r="B108" t="s">
        <v>608</v>
      </c>
      <c r="C108" t="s">
        <v>440</v>
      </c>
      <c r="D108" t="s">
        <v>477</v>
      </c>
      <c r="E108" t="s">
        <v>133</v>
      </c>
      <c r="F108" t="s">
        <v>312</v>
      </c>
      <c r="G108" t="s">
        <v>18</v>
      </c>
      <c r="H108" t="s">
        <v>440</v>
      </c>
      <c r="I108" t="s">
        <v>18</v>
      </c>
      <c r="J108">
        <v>20</v>
      </c>
      <c r="K108">
        <v>1</v>
      </c>
      <c r="L108">
        <v>5</v>
      </c>
      <c r="M108" t="s">
        <v>609</v>
      </c>
      <c r="N108" t="s">
        <v>479</v>
      </c>
      <c r="O108" t="s">
        <v>133</v>
      </c>
    </row>
    <row r="109" spans="1:15" x14ac:dyDescent="0.25">
      <c r="A109" t="s">
        <v>422</v>
      </c>
      <c r="B109" t="s">
        <v>524</v>
      </c>
      <c r="C109" t="s">
        <v>442</v>
      </c>
      <c r="D109" t="s">
        <v>477</v>
      </c>
      <c r="E109" t="s">
        <v>42</v>
      </c>
      <c r="F109" t="s">
        <v>271</v>
      </c>
      <c r="G109" t="s">
        <v>10</v>
      </c>
      <c r="H109" t="s">
        <v>442</v>
      </c>
      <c r="I109" t="s">
        <v>525</v>
      </c>
      <c r="L109">
        <v>5</v>
      </c>
      <c r="M109" t="s">
        <v>526</v>
      </c>
      <c r="N109" t="s">
        <v>479</v>
      </c>
      <c r="O109" t="s">
        <v>527</v>
      </c>
    </row>
    <row r="110" spans="1:15" x14ac:dyDescent="0.25">
      <c r="A110" t="s">
        <v>422</v>
      </c>
      <c r="B110" t="s">
        <v>524</v>
      </c>
      <c r="C110" t="s">
        <v>442</v>
      </c>
      <c r="D110" t="s">
        <v>477</v>
      </c>
      <c r="E110" t="s">
        <v>133</v>
      </c>
      <c r="F110" t="s">
        <v>312</v>
      </c>
      <c r="G110" t="s">
        <v>10</v>
      </c>
      <c r="H110" t="s">
        <v>442</v>
      </c>
      <c r="I110" t="s">
        <v>525</v>
      </c>
      <c r="L110">
        <v>5</v>
      </c>
      <c r="M110" t="s">
        <v>526</v>
      </c>
      <c r="N110" t="s">
        <v>479</v>
      </c>
      <c r="O110" t="s">
        <v>527</v>
      </c>
    </row>
    <row r="111" spans="1:15" x14ac:dyDescent="0.25">
      <c r="A111" t="s">
        <v>422</v>
      </c>
      <c r="B111" t="s">
        <v>528</v>
      </c>
      <c r="C111" t="s">
        <v>444</v>
      </c>
      <c r="D111" t="s">
        <v>477</v>
      </c>
      <c r="E111" t="s">
        <v>42</v>
      </c>
      <c r="F111" t="s">
        <v>271</v>
      </c>
      <c r="G111" t="s">
        <v>19</v>
      </c>
      <c r="H111" t="s">
        <v>444</v>
      </c>
      <c r="I111" t="s">
        <v>19</v>
      </c>
      <c r="J111">
        <v>40</v>
      </c>
      <c r="K111" t="s">
        <v>492</v>
      </c>
      <c r="L111">
        <v>6</v>
      </c>
      <c r="N111" t="s">
        <v>529</v>
      </c>
      <c r="O111" t="s">
        <v>516</v>
      </c>
    </row>
    <row r="112" spans="1:15" x14ac:dyDescent="0.25">
      <c r="A112" t="s">
        <v>422</v>
      </c>
      <c r="B112" t="s">
        <v>528</v>
      </c>
      <c r="C112" t="s">
        <v>444</v>
      </c>
      <c r="D112" t="s">
        <v>477</v>
      </c>
      <c r="E112" t="s">
        <v>114</v>
      </c>
      <c r="F112" t="s">
        <v>293</v>
      </c>
      <c r="G112" t="s">
        <v>19</v>
      </c>
      <c r="H112" t="s">
        <v>444</v>
      </c>
      <c r="I112" t="s">
        <v>19</v>
      </c>
      <c r="J112">
        <v>40</v>
      </c>
      <c r="K112" t="s">
        <v>492</v>
      </c>
      <c r="L112">
        <v>6</v>
      </c>
      <c r="N112" t="s">
        <v>529</v>
      </c>
      <c r="O112" t="s">
        <v>516</v>
      </c>
    </row>
    <row r="113" spans="1:15" x14ac:dyDescent="0.25">
      <c r="A113" t="s">
        <v>422</v>
      </c>
      <c r="B113" t="s">
        <v>528</v>
      </c>
      <c r="C113" t="s">
        <v>444</v>
      </c>
      <c r="D113" t="s">
        <v>477</v>
      </c>
      <c r="E113" t="s">
        <v>152</v>
      </c>
      <c r="F113" t="s">
        <v>320</v>
      </c>
      <c r="G113" t="s">
        <v>19</v>
      </c>
      <c r="H113" t="s">
        <v>444</v>
      </c>
      <c r="I113" t="s">
        <v>19</v>
      </c>
      <c r="J113">
        <v>40</v>
      </c>
      <c r="K113" t="s">
        <v>492</v>
      </c>
      <c r="L113">
        <v>6</v>
      </c>
      <c r="N113" t="s">
        <v>529</v>
      </c>
      <c r="O113" t="s">
        <v>516</v>
      </c>
    </row>
    <row r="114" spans="1:15" x14ac:dyDescent="0.25">
      <c r="A114" t="s">
        <v>422</v>
      </c>
      <c r="B114" t="s">
        <v>528</v>
      </c>
      <c r="C114" t="s">
        <v>444</v>
      </c>
      <c r="D114" t="s">
        <v>477</v>
      </c>
      <c r="E114" t="s">
        <v>169</v>
      </c>
      <c r="F114" t="s">
        <v>354</v>
      </c>
      <c r="G114" t="s">
        <v>19</v>
      </c>
      <c r="H114" t="s">
        <v>444</v>
      </c>
      <c r="I114" t="s">
        <v>19</v>
      </c>
      <c r="J114">
        <v>40</v>
      </c>
      <c r="K114" t="s">
        <v>492</v>
      </c>
      <c r="L114">
        <v>6</v>
      </c>
      <c r="N114" t="s">
        <v>529</v>
      </c>
      <c r="O114" t="s">
        <v>516</v>
      </c>
    </row>
    <row r="115" spans="1:15" x14ac:dyDescent="0.25">
      <c r="A115" t="s">
        <v>422</v>
      </c>
      <c r="B115" t="s">
        <v>528</v>
      </c>
      <c r="C115" t="s">
        <v>444</v>
      </c>
      <c r="D115" t="s">
        <v>477</v>
      </c>
      <c r="E115" t="s">
        <v>233</v>
      </c>
      <c r="F115" t="s">
        <v>388</v>
      </c>
      <c r="G115" t="s">
        <v>19</v>
      </c>
      <c r="H115" t="s">
        <v>444</v>
      </c>
      <c r="I115" t="s">
        <v>19</v>
      </c>
      <c r="J115">
        <v>40</v>
      </c>
      <c r="K115" t="s">
        <v>492</v>
      </c>
      <c r="L115">
        <v>6</v>
      </c>
      <c r="N115" t="s">
        <v>529</v>
      </c>
      <c r="O115" t="s">
        <v>516</v>
      </c>
    </row>
    <row r="116" spans="1:15" x14ac:dyDescent="0.25">
      <c r="A116" t="s">
        <v>422</v>
      </c>
      <c r="B116" t="s">
        <v>528</v>
      </c>
      <c r="C116" t="s">
        <v>444</v>
      </c>
      <c r="D116" t="s">
        <v>477</v>
      </c>
      <c r="E116" t="s">
        <v>133</v>
      </c>
      <c r="F116" t="s">
        <v>312</v>
      </c>
      <c r="G116" t="s">
        <v>19</v>
      </c>
      <c r="H116" t="s">
        <v>444</v>
      </c>
      <c r="I116" t="s">
        <v>19</v>
      </c>
      <c r="J116">
        <v>40</v>
      </c>
      <c r="K116" t="s">
        <v>492</v>
      </c>
      <c r="L116">
        <v>6</v>
      </c>
      <c r="N116" t="s">
        <v>529</v>
      </c>
      <c r="O116" t="s">
        <v>516</v>
      </c>
    </row>
    <row r="117" spans="1:15" x14ac:dyDescent="0.25">
      <c r="A117" t="s">
        <v>422</v>
      </c>
      <c r="B117" t="s">
        <v>530</v>
      </c>
      <c r="C117" t="s">
        <v>446</v>
      </c>
      <c r="D117" t="s">
        <v>477</v>
      </c>
      <c r="E117" t="s">
        <v>152</v>
      </c>
      <c r="F117" t="s">
        <v>320</v>
      </c>
      <c r="G117" t="s">
        <v>32</v>
      </c>
      <c r="H117" t="s">
        <v>446</v>
      </c>
      <c r="I117" t="s">
        <v>32</v>
      </c>
      <c r="J117">
        <v>20</v>
      </c>
      <c r="K117">
        <v>1</v>
      </c>
      <c r="L117">
        <v>6</v>
      </c>
      <c r="M117" t="s">
        <v>531</v>
      </c>
      <c r="N117" t="s">
        <v>505</v>
      </c>
      <c r="O117" t="s">
        <v>506</v>
      </c>
    </row>
    <row r="118" spans="1:15" x14ac:dyDescent="0.25">
      <c r="A118" t="s">
        <v>422</v>
      </c>
      <c r="B118" t="s">
        <v>530</v>
      </c>
      <c r="C118" t="s">
        <v>446</v>
      </c>
      <c r="D118" t="s">
        <v>477</v>
      </c>
      <c r="E118" t="s">
        <v>133</v>
      </c>
      <c r="F118" t="s">
        <v>312</v>
      </c>
      <c r="G118" t="s">
        <v>32</v>
      </c>
      <c r="H118" t="s">
        <v>446</v>
      </c>
      <c r="I118" t="s">
        <v>32</v>
      </c>
      <c r="J118">
        <v>20</v>
      </c>
      <c r="K118">
        <v>1</v>
      </c>
      <c r="L118">
        <v>6</v>
      </c>
      <c r="M118" t="s">
        <v>531</v>
      </c>
      <c r="N118" t="s">
        <v>505</v>
      </c>
      <c r="O118" t="s">
        <v>506</v>
      </c>
    </row>
    <row r="119" spans="1:15" x14ac:dyDescent="0.25">
      <c r="A119" t="s">
        <v>422</v>
      </c>
      <c r="B119" t="s">
        <v>610</v>
      </c>
      <c r="C119" t="s">
        <v>448</v>
      </c>
      <c r="D119" t="s">
        <v>477</v>
      </c>
      <c r="E119" t="s">
        <v>133</v>
      </c>
      <c r="F119" t="s">
        <v>312</v>
      </c>
      <c r="G119" t="s">
        <v>9</v>
      </c>
      <c r="H119" t="s">
        <v>448</v>
      </c>
      <c r="I119" t="s">
        <v>9</v>
      </c>
      <c r="J119">
        <v>20</v>
      </c>
      <c r="K119">
        <v>1</v>
      </c>
      <c r="L119">
        <v>6</v>
      </c>
      <c r="M119" t="s">
        <v>611</v>
      </c>
      <c r="N119" t="s">
        <v>505</v>
      </c>
      <c r="O119" t="s">
        <v>506</v>
      </c>
    </row>
    <row r="120" spans="1:15" x14ac:dyDescent="0.25">
      <c r="A120" t="s">
        <v>422</v>
      </c>
      <c r="B120" t="s">
        <v>612</v>
      </c>
      <c r="C120" t="s">
        <v>450</v>
      </c>
      <c r="D120" t="s">
        <v>477</v>
      </c>
      <c r="E120" t="s">
        <v>133</v>
      </c>
      <c r="F120" t="s">
        <v>312</v>
      </c>
      <c r="G120" t="s">
        <v>21</v>
      </c>
      <c r="H120" t="s">
        <v>450</v>
      </c>
      <c r="I120" t="s">
        <v>21</v>
      </c>
      <c r="J120">
        <v>20</v>
      </c>
      <c r="K120">
        <v>1</v>
      </c>
      <c r="L120">
        <v>6</v>
      </c>
      <c r="M120" t="s">
        <v>483</v>
      </c>
      <c r="N120" t="s">
        <v>505</v>
      </c>
      <c r="O120" t="s">
        <v>506</v>
      </c>
    </row>
    <row r="121" spans="1:15" x14ac:dyDescent="0.25">
      <c r="A121" t="s">
        <v>422</v>
      </c>
      <c r="B121" t="s">
        <v>613</v>
      </c>
      <c r="C121" t="s">
        <v>452</v>
      </c>
      <c r="D121" t="s">
        <v>477</v>
      </c>
      <c r="E121" t="s">
        <v>133</v>
      </c>
      <c r="F121" t="s">
        <v>312</v>
      </c>
      <c r="G121" t="s">
        <v>31</v>
      </c>
      <c r="H121" t="s">
        <v>452</v>
      </c>
      <c r="I121" t="s">
        <v>31</v>
      </c>
      <c r="J121">
        <v>20</v>
      </c>
      <c r="K121">
        <v>1</v>
      </c>
      <c r="L121">
        <v>6</v>
      </c>
      <c r="M121" t="s">
        <v>614</v>
      </c>
      <c r="N121" t="s">
        <v>505</v>
      </c>
      <c r="O121" t="s">
        <v>133</v>
      </c>
    </row>
    <row r="122" spans="1:15" x14ac:dyDescent="0.25">
      <c r="A122" t="s">
        <v>422</v>
      </c>
      <c r="B122" t="s">
        <v>615</v>
      </c>
      <c r="C122" t="s">
        <v>454</v>
      </c>
      <c r="D122" t="s">
        <v>477</v>
      </c>
      <c r="E122" t="s">
        <v>133</v>
      </c>
      <c r="F122" t="s">
        <v>312</v>
      </c>
      <c r="G122" t="s">
        <v>22</v>
      </c>
      <c r="H122" t="s">
        <v>454</v>
      </c>
      <c r="I122" t="s">
        <v>22</v>
      </c>
      <c r="J122">
        <v>20</v>
      </c>
      <c r="K122">
        <v>1</v>
      </c>
      <c r="L122">
        <v>6</v>
      </c>
      <c r="M122" t="s">
        <v>616</v>
      </c>
      <c r="N122" t="s">
        <v>505</v>
      </c>
      <c r="O122" t="s">
        <v>133</v>
      </c>
    </row>
    <row r="123" spans="1:15" x14ac:dyDescent="0.25">
      <c r="A123" t="s">
        <v>422</v>
      </c>
      <c r="B123" t="s">
        <v>617</v>
      </c>
      <c r="C123" t="s">
        <v>456</v>
      </c>
      <c r="D123" t="s">
        <v>477</v>
      </c>
      <c r="E123" t="s">
        <v>133</v>
      </c>
      <c r="F123" t="s">
        <v>312</v>
      </c>
      <c r="G123" t="s">
        <v>14</v>
      </c>
      <c r="H123" t="s">
        <v>456</v>
      </c>
      <c r="I123" t="s">
        <v>14</v>
      </c>
    </row>
    <row r="124" spans="1:15" x14ac:dyDescent="0.25">
      <c r="A124" t="s">
        <v>422</v>
      </c>
      <c r="B124" t="s">
        <v>618</v>
      </c>
      <c r="C124" t="s">
        <v>458</v>
      </c>
      <c r="D124" t="s">
        <v>477</v>
      </c>
      <c r="E124" t="s">
        <v>133</v>
      </c>
      <c r="F124" t="s">
        <v>312</v>
      </c>
      <c r="G124" t="s">
        <v>11</v>
      </c>
      <c r="H124" t="s">
        <v>458</v>
      </c>
      <c r="I124" t="s">
        <v>11</v>
      </c>
      <c r="J124">
        <v>20</v>
      </c>
      <c r="K124">
        <v>1</v>
      </c>
      <c r="L124">
        <v>6</v>
      </c>
      <c r="M124" t="s">
        <v>619</v>
      </c>
      <c r="N124" t="s">
        <v>505</v>
      </c>
      <c r="O124" t="s">
        <v>133</v>
      </c>
    </row>
    <row r="125" spans="1:15" x14ac:dyDescent="0.25">
      <c r="A125" t="s">
        <v>422</v>
      </c>
      <c r="B125" t="s">
        <v>620</v>
      </c>
      <c r="C125" t="s">
        <v>460</v>
      </c>
      <c r="D125" t="s">
        <v>477</v>
      </c>
      <c r="E125" t="s">
        <v>133</v>
      </c>
      <c r="F125" t="s">
        <v>312</v>
      </c>
      <c r="G125" t="s">
        <v>12</v>
      </c>
      <c r="H125" t="s">
        <v>460</v>
      </c>
      <c r="I125" t="s">
        <v>12</v>
      </c>
      <c r="J125">
        <v>20</v>
      </c>
      <c r="K125">
        <v>2</v>
      </c>
      <c r="L125">
        <v>6</v>
      </c>
      <c r="M125" t="s">
        <v>621</v>
      </c>
      <c r="N125" t="s">
        <v>505</v>
      </c>
      <c r="O125" t="s">
        <v>527</v>
      </c>
    </row>
    <row r="126" spans="1:15" x14ac:dyDescent="0.25">
      <c r="A126" t="s">
        <v>422</v>
      </c>
      <c r="B126" t="s">
        <v>622</v>
      </c>
      <c r="C126" t="s">
        <v>462</v>
      </c>
      <c r="D126" t="s">
        <v>477</v>
      </c>
      <c r="E126" t="s">
        <v>133</v>
      </c>
      <c r="F126" t="s">
        <v>312</v>
      </c>
      <c r="G126" t="s">
        <v>20</v>
      </c>
      <c r="H126" t="s">
        <v>462</v>
      </c>
      <c r="I126" t="s">
        <v>20</v>
      </c>
      <c r="J126">
        <v>20</v>
      </c>
      <c r="K126">
        <v>2</v>
      </c>
      <c r="L126">
        <v>6</v>
      </c>
      <c r="M126" t="s">
        <v>623</v>
      </c>
      <c r="N126" t="s">
        <v>505</v>
      </c>
      <c r="O126" t="s">
        <v>133</v>
      </c>
    </row>
    <row r="127" spans="1:15" x14ac:dyDescent="0.25">
      <c r="A127" t="s">
        <v>422</v>
      </c>
      <c r="B127" t="s">
        <v>624</v>
      </c>
      <c r="C127" t="s">
        <v>464</v>
      </c>
      <c r="D127" t="s">
        <v>477</v>
      </c>
      <c r="E127" t="s">
        <v>133</v>
      </c>
      <c r="F127" t="s">
        <v>312</v>
      </c>
      <c r="G127" t="s">
        <v>13</v>
      </c>
      <c r="H127" t="s">
        <v>464</v>
      </c>
      <c r="I127" t="s">
        <v>13</v>
      </c>
    </row>
    <row r="128" spans="1:15" x14ac:dyDescent="0.25">
      <c r="A128" t="s">
        <v>422</v>
      </c>
      <c r="B128" t="s">
        <v>625</v>
      </c>
      <c r="C128" t="s">
        <v>466</v>
      </c>
      <c r="D128" t="s">
        <v>477</v>
      </c>
      <c r="E128" t="s">
        <v>133</v>
      </c>
      <c r="F128" t="s">
        <v>312</v>
      </c>
      <c r="G128" t="s">
        <v>16</v>
      </c>
      <c r="H128" t="s">
        <v>466</v>
      </c>
      <c r="I128" t="s">
        <v>16</v>
      </c>
      <c r="N128" t="s">
        <v>505</v>
      </c>
    </row>
    <row r="129" spans="1:15" x14ac:dyDescent="0.25">
      <c r="A129" t="s">
        <v>422</v>
      </c>
      <c r="B129" t="s">
        <v>626</v>
      </c>
      <c r="C129" t="s">
        <v>468</v>
      </c>
      <c r="D129" t="s">
        <v>477</v>
      </c>
      <c r="E129" t="s">
        <v>133</v>
      </c>
      <c r="F129" t="s">
        <v>312</v>
      </c>
      <c r="G129" t="s">
        <v>8</v>
      </c>
      <c r="H129" t="s">
        <v>468</v>
      </c>
      <c r="I129" t="s">
        <v>627</v>
      </c>
      <c r="J129">
        <v>20</v>
      </c>
      <c r="K129" t="s">
        <v>492</v>
      </c>
      <c r="L129">
        <v>6</v>
      </c>
      <c r="M129" t="s">
        <v>628</v>
      </c>
      <c r="N129" t="s">
        <v>494</v>
      </c>
      <c r="O129" t="s">
        <v>133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D1138-D14A-45A0-8E10-7F4B452464FD}">
  <dimension ref="A1:K1296"/>
  <sheetViews>
    <sheetView workbookViewId="0">
      <selection activeCell="F45" sqref="F45"/>
    </sheetView>
  </sheetViews>
  <sheetFormatPr defaultColWidth="8.85546875" defaultRowHeight="15" x14ac:dyDescent="0.25"/>
  <cols>
    <col min="1" max="1" width="49" bestFit="1" customWidth="1"/>
    <col min="2" max="2" width="17.5703125" bestFit="1" customWidth="1"/>
    <col min="3" max="3" width="81.140625" bestFit="1" customWidth="1"/>
    <col min="4" max="4" width="13.42578125" bestFit="1" customWidth="1"/>
    <col min="5" max="5" width="42.42578125" bestFit="1" customWidth="1"/>
    <col min="6" max="6" width="38" bestFit="1" customWidth="1"/>
    <col min="7" max="7" width="14.85546875" bestFit="1" customWidth="1"/>
    <col min="8" max="8" width="12.7109375" bestFit="1" customWidth="1"/>
    <col min="9" max="9" width="24.5703125" bestFit="1" customWidth="1"/>
    <col min="10" max="10" width="12.140625" bestFit="1" customWidth="1"/>
    <col min="11" max="11" width="65.5703125" bestFit="1" customWidth="1"/>
  </cols>
  <sheetData>
    <row r="1" spans="1:11" x14ac:dyDescent="0.25">
      <c r="A1" t="s">
        <v>255</v>
      </c>
      <c r="B1" t="s">
        <v>256</v>
      </c>
      <c r="C1" t="s">
        <v>629</v>
      </c>
      <c r="D1" t="s">
        <v>630</v>
      </c>
      <c r="E1" t="s">
        <v>631</v>
      </c>
      <c r="F1" t="s">
        <v>632</v>
      </c>
      <c r="G1" t="s">
        <v>257</v>
      </c>
      <c r="H1" t="s">
        <v>258</v>
      </c>
      <c r="I1" t="s">
        <v>36</v>
      </c>
      <c r="J1" t="s">
        <v>259</v>
      </c>
      <c r="K1" t="s">
        <v>260</v>
      </c>
    </row>
    <row r="2" spans="1:11" x14ac:dyDescent="0.25">
      <c r="A2" t="s">
        <v>267</v>
      </c>
      <c r="B2" t="s">
        <v>633</v>
      </c>
      <c r="C2" t="s">
        <v>634</v>
      </c>
      <c r="D2" t="s">
        <v>635</v>
      </c>
      <c r="E2" t="s">
        <v>46</v>
      </c>
      <c r="F2" t="s">
        <v>47</v>
      </c>
      <c r="G2" t="s">
        <v>269</v>
      </c>
      <c r="H2" t="s">
        <v>636</v>
      </c>
      <c r="I2" t="s">
        <v>42</v>
      </c>
      <c r="J2" t="s">
        <v>271</v>
      </c>
      <c r="K2" t="s">
        <v>65</v>
      </c>
    </row>
    <row r="3" spans="1:11" x14ac:dyDescent="0.25">
      <c r="A3" t="s">
        <v>267</v>
      </c>
      <c r="B3" t="s">
        <v>633</v>
      </c>
      <c r="C3" t="s">
        <v>634</v>
      </c>
      <c r="D3" t="s">
        <v>635</v>
      </c>
      <c r="E3" t="s">
        <v>46</v>
      </c>
      <c r="F3" t="s">
        <v>51</v>
      </c>
      <c r="G3" t="s">
        <v>269</v>
      </c>
      <c r="H3" t="s">
        <v>636</v>
      </c>
      <c r="I3" t="s">
        <v>42</v>
      </c>
      <c r="J3" t="s">
        <v>271</v>
      </c>
      <c r="K3" t="s">
        <v>65</v>
      </c>
    </row>
    <row r="4" spans="1:11" x14ac:dyDescent="0.25">
      <c r="A4" t="s">
        <v>267</v>
      </c>
      <c r="B4" t="s">
        <v>633</v>
      </c>
      <c r="C4" t="s">
        <v>634</v>
      </c>
      <c r="D4" t="s">
        <v>635</v>
      </c>
      <c r="E4" t="s">
        <v>46</v>
      </c>
      <c r="F4" t="s">
        <v>55</v>
      </c>
      <c r="G4" t="s">
        <v>269</v>
      </c>
      <c r="H4" t="s">
        <v>636</v>
      </c>
      <c r="I4" t="s">
        <v>42</v>
      </c>
      <c r="J4" t="s">
        <v>271</v>
      </c>
      <c r="K4" t="s">
        <v>65</v>
      </c>
    </row>
    <row r="5" spans="1:11" x14ac:dyDescent="0.25">
      <c r="A5" t="s">
        <v>267</v>
      </c>
      <c r="B5" t="s">
        <v>633</v>
      </c>
      <c r="C5" t="s">
        <v>634</v>
      </c>
      <c r="D5" t="s">
        <v>635</v>
      </c>
      <c r="E5" t="s">
        <v>59</v>
      </c>
      <c r="F5" t="s">
        <v>60</v>
      </c>
      <c r="G5" t="s">
        <v>269</v>
      </c>
      <c r="H5" t="s">
        <v>636</v>
      </c>
      <c r="I5" t="s">
        <v>42</v>
      </c>
      <c r="J5" t="s">
        <v>271</v>
      </c>
      <c r="K5" t="s">
        <v>65</v>
      </c>
    </row>
    <row r="6" spans="1:11" x14ac:dyDescent="0.25">
      <c r="A6" t="s">
        <v>267</v>
      </c>
      <c r="B6" t="s">
        <v>633</v>
      </c>
      <c r="C6" t="s">
        <v>634</v>
      </c>
      <c r="D6" t="s">
        <v>635</v>
      </c>
      <c r="E6" t="s">
        <v>63</v>
      </c>
      <c r="F6" t="s">
        <v>64</v>
      </c>
      <c r="G6" t="s">
        <v>269</v>
      </c>
      <c r="H6" t="s">
        <v>636</v>
      </c>
      <c r="I6" t="s">
        <v>42</v>
      </c>
      <c r="J6" t="s">
        <v>271</v>
      </c>
      <c r="K6" t="s">
        <v>65</v>
      </c>
    </row>
    <row r="7" spans="1:11" x14ac:dyDescent="0.25">
      <c r="A7" t="s">
        <v>267</v>
      </c>
      <c r="B7" t="s">
        <v>633</v>
      </c>
      <c r="C7" t="s">
        <v>637</v>
      </c>
      <c r="D7" t="s">
        <v>638</v>
      </c>
      <c r="E7" t="s">
        <v>63</v>
      </c>
      <c r="F7" t="s">
        <v>67</v>
      </c>
      <c r="G7" t="s">
        <v>269</v>
      </c>
      <c r="H7" t="s">
        <v>636</v>
      </c>
      <c r="I7" t="s">
        <v>42</v>
      </c>
      <c r="J7" t="s">
        <v>271</v>
      </c>
      <c r="K7" t="s">
        <v>65</v>
      </c>
    </row>
    <row r="8" spans="1:11" x14ac:dyDescent="0.25">
      <c r="A8" t="s">
        <v>267</v>
      </c>
      <c r="B8" t="s">
        <v>633</v>
      </c>
      <c r="C8" t="s">
        <v>637</v>
      </c>
      <c r="D8" t="s">
        <v>638</v>
      </c>
      <c r="E8" t="s">
        <v>71</v>
      </c>
      <c r="F8" t="s">
        <v>72</v>
      </c>
      <c r="G8" t="s">
        <v>269</v>
      </c>
      <c r="H8" t="s">
        <v>636</v>
      </c>
      <c r="I8" t="s">
        <v>42</v>
      </c>
      <c r="J8" t="s">
        <v>271</v>
      </c>
      <c r="K8" t="s">
        <v>65</v>
      </c>
    </row>
    <row r="9" spans="1:11" x14ac:dyDescent="0.25">
      <c r="A9" t="s">
        <v>267</v>
      </c>
      <c r="B9" t="s">
        <v>633</v>
      </c>
      <c r="C9" t="s">
        <v>637</v>
      </c>
      <c r="D9" t="s">
        <v>638</v>
      </c>
      <c r="E9" t="s">
        <v>63</v>
      </c>
      <c r="F9" t="s">
        <v>76</v>
      </c>
      <c r="G9" t="s">
        <v>269</v>
      </c>
      <c r="H9" t="s">
        <v>636</v>
      </c>
      <c r="I9" t="s">
        <v>42</v>
      </c>
      <c r="J9" t="s">
        <v>271</v>
      </c>
      <c r="K9" t="s">
        <v>65</v>
      </c>
    </row>
    <row r="10" spans="1:11" x14ac:dyDescent="0.25">
      <c r="A10" t="s">
        <v>267</v>
      </c>
      <c r="B10" t="s">
        <v>633</v>
      </c>
      <c r="C10" t="s">
        <v>637</v>
      </c>
      <c r="G10" t="s">
        <v>269</v>
      </c>
      <c r="H10" t="s">
        <v>636</v>
      </c>
      <c r="I10" t="s">
        <v>42</v>
      </c>
      <c r="J10" t="s">
        <v>271</v>
      </c>
      <c r="K10" t="s">
        <v>65</v>
      </c>
    </row>
    <row r="11" spans="1:11" x14ac:dyDescent="0.25">
      <c r="A11" t="s">
        <v>267</v>
      </c>
      <c r="B11" t="s">
        <v>633</v>
      </c>
      <c r="C11" t="s">
        <v>637</v>
      </c>
      <c r="G11" t="s">
        <v>269</v>
      </c>
      <c r="H11" t="s">
        <v>636</v>
      </c>
      <c r="I11" t="s">
        <v>42</v>
      </c>
      <c r="J11" t="s">
        <v>271</v>
      </c>
      <c r="K11" t="s">
        <v>65</v>
      </c>
    </row>
    <row r="12" spans="1:11" x14ac:dyDescent="0.25">
      <c r="A12" t="s">
        <v>267</v>
      </c>
      <c r="B12" t="s">
        <v>633</v>
      </c>
      <c r="C12" t="s">
        <v>637</v>
      </c>
      <c r="G12" t="s">
        <v>269</v>
      </c>
      <c r="H12" t="s">
        <v>636</v>
      </c>
      <c r="I12" t="s">
        <v>42</v>
      </c>
      <c r="J12" t="s">
        <v>271</v>
      </c>
      <c r="K12" t="s">
        <v>65</v>
      </c>
    </row>
    <row r="13" spans="1:11" x14ac:dyDescent="0.25">
      <c r="A13" t="s">
        <v>267</v>
      </c>
      <c r="B13" t="s">
        <v>639</v>
      </c>
      <c r="C13" t="s">
        <v>634</v>
      </c>
      <c r="D13" t="s">
        <v>635</v>
      </c>
      <c r="E13" t="s">
        <v>43</v>
      </c>
      <c r="F13" t="s">
        <v>53</v>
      </c>
      <c r="G13" t="s">
        <v>273</v>
      </c>
      <c r="H13" t="s">
        <v>636</v>
      </c>
      <c r="I13" t="s">
        <v>42</v>
      </c>
      <c r="J13" t="s">
        <v>271</v>
      </c>
      <c r="K13" t="s">
        <v>85</v>
      </c>
    </row>
    <row r="14" spans="1:11" x14ac:dyDescent="0.25">
      <c r="A14" t="s">
        <v>267</v>
      </c>
      <c r="B14" t="s">
        <v>639</v>
      </c>
      <c r="C14" t="s">
        <v>634</v>
      </c>
      <c r="D14" t="s">
        <v>638</v>
      </c>
      <c r="E14" t="s">
        <v>43</v>
      </c>
      <c r="F14" t="s">
        <v>49</v>
      </c>
      <c r="G14" t="s">
        <v>273</v>
      </c>
      <c r="H14" t="s">
        <v>636</v>
      </c>
      <c r="I14" t="s">
        <v>42</v>
      </c>
      <c r="J14" t="s">
        <v>271</v>
      </c>
      <c r="K14" t="s">
        <v>85</v>
      </c>
    </row>
    <row r="15" spans="1:11" x14ac:dyDescent="0.25">
      <c r="A15" t="s">
        <v>267</v>
      </c>
      <c r="B15" t="s">
        <v>639</v>
      </c>
      <c r="C15" t="s">
        <v>634</v>
      </c>
      <c r="D15" t="s">
        <v>640</v>
      </c>
      <c r="E15" t="s">
        <v>83</v>
      </c>
      <c r="F15" t="s">
        <v>84</v>
      </c>
      <c r="G15" t="s">
        <v>273</v>
      </c>
      <c r="H15" t="s">
        <v>636</v>
      </c>
      <c r="I15" t="s">
        <v>42</v>
      </c>
      <c r="J15" t="s">
        <v>271</v>
      </c>
      <c r="K15" t="s">
        <v>85</v>
      </c>
    </row>
    <row r="16" spans="1:11" x14ac:dyDescent="0.25">
      <c r="A16" t="s">
        <v>267</v>
      </c>
      <c r="B16" t="s">
        <v>639</v>
      </c>
      <c r="C16" t="s">
        <v>634</v>
      </c>
      <c r="D16" t="s">
        <v>641</v>
      </c>
      <c r="E16" t="s">
        <v>71</v>
      </c>
      <c r="F16" t="s">
        <v>72</v>
      </c>
      <c r="G16" t="s">
        <v>273</v>
      </c>
      <c r="H16" t="s">
        <v>636</v>
      </c>
      <c r="I16" t="s">
        <v>42</v>
      </c>
      <c r="J16" t="s">
        <v>271</v>
      </c>
      <c r="K16" t="s">
        <v>85</v>
      </c>
    </row>
    <row r="17" spans="1:11" x14ac:dyDescent="0.25">
      <c r="A17" t="s">
        <v>267</v>
      </c>
      <c r="B17" t="s">
        <v>639</v>
      </c>
      <c r="C17" t="s">
        <v>634</v>
      </c>
      <c r="D17" t="s">
        <v>641</v>
      </c>
      <c r="E17" t="s">
        <v>71</v>
      </c>
      <c r="F17" t="s">
        <v>88</v>
      </c>
      <c r="G17" t="s">
        <v>273</v>
      </c>
      <c r="H17" t="s">
        <v>636</v>
      </c>
      <c r="I17" t="s">
        <v>42</v>
      </c>
      <c r="J17" t="s">
        <v>271</v>
      </c>
      <c r="K17" t="s">
        <v>85</v>
      </c>
    </row>
    <row r="18" spans="1:11" x14ac:dyDescent="0.25">
      <c r="A18" t="s">
        <v>267</v>
      </c>
      <c r="B18" t="s">
        <v>639</v>
      </c>
      <c r="C18" t="s">
        <v>637</v>
      </c>
      <c r="D18" t="s">
        <v>635</v>
      </c>
      <c r="E18" t="s">
        <v>43</v>
      </c>
      <c r="F18" t="s">
        <v>49</v>
      </c>
      <c r="G18" t="s">
        <v>273</v>
      </c>
      <c r="H18" t="s">
        <v>636</v>
      </c>
      <c r="I18" t="s">
        <v>42</v>
      </c>
      <c r="J18" t="s">
        <v>271</v>
      </c>
      <c r="K18" t="s">
        <v>85</v>
      </c>
    </row>
    <row r="19" spans="1:11" x14ac:dyDescent="0.25">
      <c r="A19" t="s">
        <v>267</v>
      </c>
      <c r="B19" t="s">
        <v>639</v>
      </c>
      <c r="C19" t="s">
        <v>637</v>
      </c>
      <c r="D19" t="s">
        <v>638</v>
      </c>
      <c r="E19" t="s">
        <v>83</v>
      </c>
      <c r="F19" t="s">
        <v>84</v>
      </c>
      <c r="G19" t="s">
        <v>273</v>
      </c>
      <c r="H19" t="s">
        <v>636</v>
      </c>
      <c r="I19" t="s">
        <v>42</v>
      </c>
      <c r="J19" t="s">
        <v>271</v>
      </c>
      <c r="K19" t="s">
        <v>85</v>
      </c>
    </row>
    <row r="20" spans="1:11" x14ac:dyDescent="0.25">
      <c r="A20" t="s">
        <v>267</v>
      </c>
      <c r="B20" t="s">
        <v>639</v>
      </c>
      <c r="C20" t="s">
        <v>637</v>
      </c>
      <c r="D20" t="s">
        <v>640</v>
      </c>
      <c r="E20" t="s">
        <v>71</v>
      </c>
      <c r="F20" t="s">
        <v>72</v>
      </c>
      <c r="G20" t="s">
        <v>273</v>
      </c>
      <c r="H20" t="s">
        <v>636</v>
      </c>
      <c r="I20" t="s">
        <v>42</v>
      </c>
      <c r="J20" t="s">
        <v>271</v>
      </c>
      <c r="K20" t="s">
        <v>85</v>
      </c>
    </row>
    <row r="21" spans="1:11" x14ac:dyDescent="0.25">
      <c r="A21" t="s">
        <v>267</v>
      </c>
      <c r="B21" t="s">
        <v>639</v>
      </c>
      <c r="C21" t="s">
        <v>637</v>
      </c>
      <c r="D21" t="s">
        <v>641</v>
      </c>
      <c r="E21" t="s">
        <v>83</v>
      </c>
      <c r="F21" t="s">
        <v>91</v>
      </c>
      <c r="G21" t="s">
        <v>273</v>
      </c>
      <c r="H21" t="s">
        <v>636</v>
      </c>
      <c r="I21" t="s">
        <v>42</v>
      </c>
      <c r="J21" t="s">
        <v>271</v>
      </c>
      <c r="K21" t="s">
        <v>85</v>
      </c>
    </row>
    <row r="22" spans="1:11" x14ac:dyDescent="0.25">
      <c r="A22" t="s">
        <v>267</v>
      </c>
      <c r="B22" t="s">
        <v>642</v>
      </c>
      <c r="C22" t="s">
        <v>634</v>
      </c>
      <c r="D22" t="s">
        <v>635</v>
      </c>
      <c r="E22" t="s">
        <v>71</v>
      </c>
      <c r="F22" t="s">
        <v>88</v>
      </c>
      <c r="G22" t="s">
        <v>275</v>
      </c>
      <c r="H22" t="s">
        <v>636</v>
      </c>
      <c r="I22" t="s">
        <v>42</v>
      </c>
      <c r="J22" t="s">
        <v>271</v>
      </c>
      <c r="K22" t="s">
        <v>97</v>
      </c>
    </row>
    <row r="23" spans="1:11" x14ac:dyDescent="0.25">
      <c r="A23" t="s">
        <v>267</v>
      </c>
      <c r="B23" t="s">
        <v>642</v>
      </c>
      <c r="C23" t="s">
        <v>634</v>
      </c>
      <c r="D23" t="s">
        <v>635</v>
      </c>
      <c r="E23" t="s">
        <v>93</v>
      </c>
      <c r="F23" t="s">
        <v>94</v>
      </c>
      <c r="G23" t="s">
        <v>275</v>
      </c>
      <c r="H23" t="s">
        <v>636</v>
      </c>
      <c r="I23" t="s">
        <v>42</v>
      </c>
      <c r="J23" t="s">
        <v>271</v>
      </c>
      <c r="K23" t="s">
        <v>97</v>
      </c>
    </row>
    <row r="24" spans="1:11" x14ac:dyDescent="0.25">
      <c r="A24" t="s">
        <v>267</v>
      </c>
      <c r="B24" t="s">
        <v>642</v>
      </c>
      <c r="C24" t="s">
        <v>634</v>
      </c>
      <c r="D24" t="s">
        <v>635</v>
      </c>
      <c r="E24" t="s">
        <v>83</v>
      </c>
      <c r="F24" t="s">
        <v>91</v>
      </c>
      <c r="G24" t="s">
        <v>275</v>
      </c>
      <c r="H24" t="s">
        <v>636</v>
      </c>
      <c r="I24" t="s">
        <v>42</v>
      </c>
      <c r="J24" t="s">
        <v>271</v>
      </c>
      <c r="K24" t="s">
        <v>97</v>
      </c>
    </row>
    <row r="25" spans="1:11" x14ac:dyDescent="0.25">
      <c r="A25" t="s">
        <v>267</v>
      </c>
      <c r="B25" t="s">
        <v>642</v>
      </c>
      <c r="C25" t="s">
        <v>634</v>
      </c>
      <c r="D25" t="s">
        <v>638</v>
      </c>
      <c r="E25" t="s">
        <v>59</v>
      </c>
      <c r="F25" t="s">
        <v>96</v>
      </c>
      <c r="G25" t="s">
        <v>275</v>
      </c>
      <c r="H25" t="s">
        <v>636</v>
      </c>
      <c r="I25" t="s">
        <v>42</v>
      </c>
      <c r="J25" t="s">
        <v>271</v>
      </c>
      <c r="K25" t="s">
        <v>97</v>
      </c>
    </row>
    <row r="26" spans="1:11" x14ac:dyDescent="0.25">
      <c r="A26" t="s">
        <v>267</v>
      </c>
      <c r="B26" t="s">
        <v>642</v>
      </c>
      <c r="C26" t="s">
        <v>637</v>
      </c>
      <c r="D26" t="s">
        <v>635</v>
      </c>
      <c r="E26" t="s">
        <v>43</v>
      </c>
      <c r="F26" t="s">
        <v>53</v>
      </c>
      <c r="G26" t="s">
        <v>275</v>
      </c>
      <c r="H26" t="s">
        <v>636</v>
      </c>
      <c r="I26" t="s">
        <v>42</v>
      </c>
      <c r="J26" t="s">
        <v>271</v>
      </c>
      <c r="K26" t="s">
        <v>97</v>
      </c>
    </row>
    <row r="27" spans="1:11" x14ac:dyDescent="0.25">
      <c r="A27" t="s">
        <v>267</v>
      </c>
      <c r="B27" t="s">
        <v>642</v>
      </c>
      <c r="C27" t="s">
        <v>637</v>
      </c>
      <c r="D27" t="s">
        <v>638</v>
      </c>
      <c r="E27" t="s">
        <v>59</v>
      </c>
      <c r="F27" t="s">
        <v>60</v>
      </c>
      <c r="G27" t="s">
        <v>275</v>
      </c>
      <c r="H27" t="s">
        <v>636</v>
      </c>
      <c r="I27" t="s">
        <v>42</v>
      </c>
      <c r="J27" t="s">
        <v>271</v>
      </c>
      <c r="K27" t="s">
        <v>97</v>
      </c>
    </row>
    <row r="28" spans="1:11" x14ac:dyDescent="0.25">
      <c r="A28" t="s">
        <v>267</v>
      </c>
      <c r="B28" t="s">
        <v>642</v>
      </c>
      <c r="C28" t="s">
        <v>637</v>
      </c>
      <c r="D28" t="s">
        <v>638</v>
      </c>
      <c r="E28" t="s">
        <v>46</v>
      </c>
      <c r="F28" t="s">
        <v>55</v>
      </c>
      <c r="G28" t="s">
        <v>275</v>
      </c>
      <c r="H28" t="s">
        <v>636</v>
      </c>
      <c r="I28" t="s">
        <v>42</v>
      </c>
      <c r="J28" t="s">
        <v>271</v>
      </c>
      <c r="K28" t="s">
        <v>97</v>
      </c>
    </row>
    <row r="29" spans="1:11" x14ac:dyDescent="0.25">
      <c r="A29" t="s">
        <v>267</v>
      </c>
      <c r="B29" t="s">
        <v>642</v>
      </c>
      <c r="C29" t="s">
        <v>637</v>
      </c>
      <c r="D29" t="s">
        <v>640</v>
      </c>
      <c r="E29" t="s">
        <v>63</v>
      </c>
      <c r="F29" t="s">
        <v>67</v>
      </c>
      <c r="G29" t="s">
        <v>275</v>
      </c>
      <c r="H29" t="s">
        <v>636</v>
      </c>
      <c r="I29" t="s">
        <v>42</v>
      </c>
      <c r="J29" t="s">
        <v>271</v>
      </c>
      <c r="K29" t="s">
        <v>97</v>
      </c>
    </row>
    <row r="30" spans="1:11" x14ac:dyDescent="0.25">
      <c r="A30" t="s">
        <v>267</v>
      </c>
      <c r="B30" t="s">
        <v>643</v>
      </c>
      <c r="C30" t="s">
        <v>634</v>
      </c>
      <c r="D30" t="s">
        <v>635</v>
      </c>
      <c r="E30" t="s">
        <v>43</v>
      </c>
      <c r="F30" t="s">
        <v>61</v>
      </c>
      <c r="G30" t="s">
        <v>277</v>
      </c>
      <c r="H30" t="s">
        <v>636</v>
      </c>
      <c r="I30" t="s">
        <v>42</v>
      </c>
      <c r="J30" t="s">
        <v>271</v>
      </c>
      <c r="K30" t="s">
        <v>278</v>
      </c>
    </row>
    <row r="31" spans="1:11" x14ac:dyDescent="0.25">
      <c r="A31" t="s">
        <v>267</v>
      </c>
      <c r="B31" t="s">
        <v>643</v>
      </c>
      <c r="C31" t="s">
        <v>634</v>
      </c>
      <c r="D31" t="s">
        <v>635</v>
      </c>
      <c r="E31" t="s">
        <v>43</v>
      </c>
      <c r="F31" t="s">
        <v>49</v>
      </c>
      <c r="G31" t="s">
        <v>277</v>
      </c>
      <c r="H31" t="s">
        <v>636</v>
      </c>
      <c r="I31" t="s">
        <v>42</v>
      </c>
      <c r="J31" t="s">
        <v>271</v>
      </c>
      <c r="K31" t="s">
        <v>278</v>
      </c>
    </row>
    <row r="32" spans="1:11" x14ac:dyDescent="0.25">
      <c r="A32" t="s">
        <v>267</v>
      </c>
      <c r="B32" t="s">
        <v>643</v>
      </c>
      <c r="C32" t="s">
        <v>634</v>
      </c>
      <c r="D32" t="s">
        <v>635</v>
      </c>
      <c r="E32" t="s">
        <v>71</v>
      </c>
      <c r="F32" t="s">
        <v>86</v>
      </c>
      <c r="G32" t="s">
        <v>277</v>
      </c>
      <c r="H32" t="s">
        <v>636</v>
      </c>
      <c r="I32" t="s">
        <v>42</v>
      </c>
      <c r="J32" t="s">
        <v>271</v>
      </c>
      <c r="K32" t="s">
        <v>278</v>
      </c>
    </row>
    <row r="33" spans="1:11" x14ac:dyDescent="0.25">
      <c r="A33" t="s">
        <v>267</v>
      </c>
      <c r="B33" t="s">
        <v>643</v>
      </c>
      <c r="C33" t="s">
        <v>637</v>
      </c>
      <c r="D33" t="s">
        <v>638</v>
      </c>
      <c r="E33" t="s">
        <v>46</v>
      </c>
      <c r="F33" t="s">
        <v>47</v>
      </c>
      <c r="G33" t="s">
        <v>277</v>
      </c>
      <c r="H33" t="s">
        <v>636</v>
      </c>
      <c r="I33" t="s">
        <v>42</v>
      </c>
      <c r="J33" t="s">
        <v>271</v>
      </c>
      <c r="K33" t="s">
        <v>278</v>
      </c>
    </row>
    <row r="34" spans="1:11" x14ac:dyDescent="0.25">
      <c r="A34" t="s">
        <v>267</v>
      </c>
      <c r="B34" t="s">
        <v>643</v>
      </c>
      <c r="C34" t="s">
        <v>637</v>
      </c>
      <c r="D34" t="s">
        <v>638</v>
      </c>
      <c r="E34" t="s">
        <v>69</v>
      </c>
      <c r="F34" t="s">
        <v>80</v>
      </c>
      <c r="G34" t="s">
        <v>277</v>
      </c>
      <c r="H34" t="s">
        <v>636</v>
      </c>
      <c r="I34" t="s">
        <v>42</v>
      </c>
      <c r="J34" t="s">
        <v>271</v>
      </c>
      <c r="K34" t="s">
        <v>278</v>
      </c>
    </row>
    <row r="35" spans="1:11" x14ac:dyDescent="0.25">
      <c r="A35" t="s">
        <v>267</v>
      </c>
      <c r="B35" t="s">
        <v>643</v>
      </c>
      <c r="C35" t="s">
        <v>637</v>
      </c>
      <c r="G35" t="s">
        <v>277</v>
      </c>
      <c r="H35" t="s">
        <v>636</v>
      </c>
      <c r="I35" t="s">
        <v>42</v>
      </c>
      <c r="J35" t="s">
        <v>271</v>
      </c>
      <c r="K35" t="s">
        <v>278</v>
      </c>
    </row>
    <row r="36" spans="1:11" x14ac:dyDescent="0.25">
      <c r="A36" t="s">
        <v>267</v>
      </c>
      <c r="B36" t="s">
        <v>643</v>
      </c>
      <c r="C36" t="s">
        <v>644</v>
      </c>
      <c r="G36" t="s">
        <v>277</v>
      </c>
      <c r="H36" t="s">
        <v>636</v>
      </c>
      <c r="I36" t="s">
        <v>42</v>
      </c>
      <c r="J36" t="s">
        <v>271</v>
      </c>
      <c r="K36" t="s">
        <v>278</v>
      </c>
    </row>
    <row r="37" spans="1:11" x14ac:dyDescent="0.25">
      <c r="A37" t="s">
        <v>267</v>
      </c>
      <c r="B37" t="s">
        <v>643</v>
      </c>
      <c r="C37" t="s">
        <v>644</v>
      </c>
      <c r="G37" t="s">
        <v>277</v>
      </c>
      <c r="H37" t="s">
        <v>636</v>
      </c>
      <c r="I37" t="s">
        <v>42</v>
      </c>
      <c r="J37" t="s">
        <v>271</v>
      </c>
      <c r="K37" t="s">
        <v>278</v>
      </c>
    </row>
    <row r="38" spans="1:11" x14ac:dyDescent="0.25">
      <c r="A38" t="s">
        <v>267</v>
      </c>
      <c r="B38" t="s">
        <v>643</v>
      </c>
      <c r="C38" t="s">
        <v>644</v>
      </c>
      <c r="G38" t="s">
        <v>277</v>
      </c>
      <c r="H38" t="s">
        <v>636</v>
      </c>
      <c r="I38" t="s">
        <v>42</v>
      </c>
      <c r="J38" t="s">
        <v>271</v>
      </c>
      <c r="K38" t="s">
        <v>278</v>
      </c>
    </row>
    <row r="39" spans="1:11" x14ac:dyDescent="0.25">
      <c r="A39" t="s">
        <v>267</v>
      </c>
      <c r="B39" t="s">
        <v>643</v>
      </c>
      <c r="C39" t="s">
        <v>645</v>
      </c>
      <c r="G39" t="s">
        <v>277</v>
      </c>
      <c r="H39" t="s">
        <v>636</v>
      </c>
      <c r="I39" t="s">
        <v>42</v>
      </c>
      <c r="J39" t="s">
        <v>271</v>
      </c>
      <c r="K39" t="s">
        <v>278</v>
      </c>
    </row>
    <row r="40" spans="1:11" x14ac:dyDescent="0.25">
      <c r="A40" t="s">
        <v>267</v>
      </c>
      <c r="B40" t="s">
        <v>643</v>
      </c>
      <c r="C40" t="s">
        <v>645</v>
      </c>
      <c r="G40" t="s">
        <v>277</v>
      </c>
      <c r="H40" t="s">
        <v>636</v>
      </c>
      <c r="I40" t="s">
        <v>42</v>
      </c>
      <c r="J40" t="s">
        <v>271</v>
      </c>
      <c r="K40" t="s">
        <v>278</v>
      </c>
    </row>
    <row r="41" spans="1:11" x14ac:dyDescent="0.25">
      <c r="A41" t="s">
        <v>267</v>
      </c>
      <c r="B41" t="s">
        <v>646</v>
      </c>
      <c r="C41" t="s">
        <v>634</v>
      </c>
      <c r="D41" t="s">
        <v>635</v>
      </c>
      <c r="E41" t="s">
        <v>43</v>
      </c>
      <c r="F41" t="s">
        <v>49</v>
      </c>
      <c r="G41" t="s">
        <v>280</v>
      </c>
      <c r="H41" t="s">
        <v>636</v>
      </c>
      <c r="I41" t="s">
        <v>42</v>
      </c>
      <c r="J41" t="s">
        <v>271</v>
      </c>
      <c r="K41" t="s">
        <v>281</v>
      </c>
    </row>
    <row r="42" spans="1:11" x14ac:dyDescent="0.25">
      <c r="A42" t="s">
        <v>267</v>
      </c>
      <c r="B42" t="s">
        <v>646</v>
      </c>
      <c r="C42" t="s">
        <v>634</v>
      </c>
      <c r="D42" t="s">
        <v>635</v>
      </c>
      <c r="E42" t="s">
        <v>43</v>
      </c>
      <c r="F42" t="s">
        <v>44</v>
      </c>
      <c r="G42" t="s">
        <v>280</v>
      </c>
      <c r="H42" t="s">
        <v>636</v>
      </c>
      <c r="I42" t="s">
        <v>42</v>
      </c>
      <c r="J42" t="s">
        <v>271</v>
      </c>
      <c r="K42" t="s">
        <v>281</v>
      </c>
    </row>
    <row r="43" spans="1:11" x14ac:dyDescent="0.25">
      <c r="A43" t="s">
        <v>267</v>
      </c>
      <c r="B43" t="s">
        <v>646</v>
      </c>
      <c r="C43" t="s">
        <v>634</v>
      </c>
      <c r="D43" t="s">
        <v>635</v>
      </c>
      <c r="E43" t="s">
        <v>69</v>
      </c>
      <c r="F43" t="s">
        <v>74</v>
      </c>
      <c r="G43" t="s">
        <v>280</v>
      </c>
      <c r="H43" t="s">
        <v>636</v>
      </c>
      <c r="I43" t="s">
        <v>42</v>
      </c>
      <c r="J43" t="s">
        <v>271</v>
      </c>
      <c r="K43" t="s">
        <v>281</v>
      </c>
    </row>
    <row r="44" spans="1:11" x14ac:dyDescent="0.25">
      <c r="A44" t="s">
        <v>267</v>
      </c>
      <c r="B44" t="s">
        <v>646</v>
      </c>
      <c r="C44" t="s">
        <v>634</v>
      </c>
      <c r="D44" t="s">
        <v>640</v>
      </c>
      <c r="E44" t="s">
        <v>69</v>
      </c>
      <c r="F44" t="s">
        <v>77</v>
      </c>
      <c r="G44" t="s">
        <v>280</v>
      </c>
      <c r="H44" t="s">
        <v>636</v>
      </c>
      <c r="I44" t="s">
        <v>42</v>
      </c>
      <c r="J44" t="s">
        <v>271</v>
      </c>
      <c r="K44" t="s">
        <v>281</v>
      </c>
    </row>
    <row r="45" spans="1:11" x14ac:dyDescent="0.25">
      <c r="A45" t="s">
        <v>267</v>
      </c>
      <c r="B45" t="s">
        <v>646</v>
      </c>
      <c r="C45" t="s">
        <v>634</v>
      </c>
      <c r="D45" t="s">
        <v>640</v>
      </c>
      <c r="E45" t="s">
        <v>69</v>
      </c>
      <c r="F45" t="s">
        <v>80</v>
      </c>
      <c r="G45" t="s">
        <v>280</v>
      </c>
      <c r="H45" t="s">
        <v>636</v>
      </c>
      <c r="I45" t="s">
        <v>42</v>
      </c>
      <c r="J45" t="s">
        <v>271</v>
      </c>
      <c r="K45" t="s">
        <v>281</v>
      </c>
    </row>
    <row r="46" spans="1:11" x14ac:dyDescent="0.25">
      <c r="A46" t="s">
        <v>267</v>
      </c>
      <c r="B46" t="s">
        <v>646</v>
      </c>
      <c r="C46" t="s">
        <v>634</v>
      </c>
      <c r="D46" t="s">
        <v>640</v>
      </c>
      <c r="E46" t="s">
        <v>46</v>
      </c>
      <c r="F46" t="s">
        <v>106</v>
      </c>
      <c r="G46" t="s">
        <v>280</v>
      </c>
      <c r="H46" t="s">
        <v>636</v>
      </c>
      <c r="I46" t="s">
        <v>42</v>
      </c>
      <c r="J46" t="s">
        <v>271</v>
      </c>
      <c r="K46" t="s">
        <v>281</v>
      </c>
    </row>
    <row r="47" spans="1:11" x14ac:dyDescent="0.25">
      <c r="A47" t="s">
        <v>267</v>
      </c>
      <c r="B47" t="s">
        <v>646</v>
      </c>
      <c r="C47" t="s">
        <v>637</v>
      </c>
      <c r="D47" t="s">
        <v>638</v>
      </c>
      <c r="E47" t="s">
        <v>69</v>
      </c>
      <c r="F47" t="s">
        <v>77</v>
      </c>
      <c r="G47" t="s">
        <v>280</v>
      </c>
      <c r="H47" t="s">
        <v>636</v>
      </c>
      <c r="I47" t="s">
        <v>42</v>
      </c>
      <c r="J47" t="s">
        <v>271</v>
      </c>
      <c r="K47" t="s">
        <v>281</v>
      </c>
    </row>
    <row r="48" spans="1:11" x14ac:dyDescent="0.25">
      <c r="A48" t="s">
        <v>267</v>
      </c>
      <c r="B48" t="s">
        <v>646</v>
      </c>
      <c r="C48" t="s">
        <v>637</v>
      </c>
      <c r="D48" t="s">
        <v>640</v>
      </c>
      <c r="E48" t="s">
        <v>46</v>
      </c>
      <c r="F48" t="s">
        <v>47</v>
      </c>
      <c r="G48" t="s">
        <v>280</v>
      </c>
      <c r="H48" t="s">
        <v>636</v>
      </c>
      <c r="I48" t="s">
        <v>42</v>
      </c>
      <c r="J48" t="s">
        <v>271</v>
      </c>
      <c r="K48" t="s">
        <v>281</v>
      </c>
    </row>
    <row r="49" spans="1:11" x14ac:dyDescent="0.25">
      <c r="A49" t="s">
        <v>267</v>
      </c>
      <c r="B49" t="s">
        <v>646</v>
      </c>
      <c r="C49" t="s">
        <v>644</v>
      </c>
      <c r="D49" t="s">
        <v>638</v>
      </c>
      <c r="E49" t="s">
        <v>43</v>
      </c>
      <c r="F49" t="s">
        <v>61</v>
      </c>
      <c r="G49" t="s">
        <v>280</v>
      </c>
      <c r="H49" t="s">
        <v>636</v>
      </c>
      <c r="I49" t="s">
        <v>42</v>
      </c>
      <c r="J49" t="s">
        <v>271</v>
      </c>
      <c r="K49" t="s">
        <v>281</v>
      </c>
    </row>
    <row r="50" spans="1:11" x14ac:dyDescent="0.25">
      <c r="A50" t="s">
        <v>267</v>
      </c>
      <c r="B50" t="s">
        <v>646</v>
      </c>
      <c r="C50" t="s">
        <v>645</v>
      </c>
      <c r="G50" t="s">
        <v>280</v>
      </c>
      <c r="H50" t="s">
        <v>636</v>
      </c>
      <c r="I50" t="s">
        <v>42</v>
      </c>
      <c r="J50" t="s">
        <v>271</v>
      </c>
      <c r="K50" t="s">
        <v>281</v>
      </c>
    </row>
    <row r="51" spans="1:11" x14ac:dyDescent="0.25">
      <c r="A51" t="s">
        <v>267</v>
      </c>
      <c r="B51" t="s">
        <v>646</v>
      </c>
      <c r="C51" t="s">
        <v>645</v>
      </c>
      <c r="G51" t="s">
        <v>280</v>
      </c>
      <c r="H51" t="s">
        <v>636</v>
      </c>
      <c r="I51" t="s">
        <v>42</v>
      </c>
      <c r="J51" t="s">
        <v>271</v>
      </c>
      <c r="K51" t="s">
        <v>281</v>
      </c>
    </row>
    <row r="52" spans="1:11" x14ac:dyDescent="0.25">
      <c r="A52" t="s">
        <v>267</v>
      </c>
      <c r="B52" t="s">
        <v>647</v>
      </c>
      <c r="C52" t="s">
        <v>634</v>
      </c>
      <c r="D52" t="s">
        <v>635</v>
      </c>
      <c r="E52" t="s">
        <v>43</v>
      </c>
      <c r="F52" t="s">
        <v>49</v>
      </c>
      <c r="G52" t="s">
        <v>283</v>
      </c>
      <c r="H52" t="s">
        <v>636</v>
      </c>
      <c r="I52" t="s">
        <v>42</v>
      </c>
      <c r="J52" t="s">
        <v>271</v>
      </c>
      <c r="K52" t="s">
        <v>109</v>
      </c>
    </row>
    <row r="53" spans="1:11" x14ac:dyDescent="0.25">
      <c r="A53" t="s">
        <v>267</v>
      </c>
      <c r="B53" t="s">
        <v>647</v>
      </c>
      <c r="C53" t="s">
        <v>634</v>
      </c>
      <c r="D53" t="s">
        <v>635</v>
      </c>
      <c r="E53" t="s">
        <v>69</v>
      </c>
      <c r="F53" t="s">
        <v>80</v>
      </c>
      <c r="G53" t="s">
        <v>283</v>
      </c>
      <c r="H53" t="s">
        <v>636</v>
      </c>
      <c r="I53" t="s">
        <v>42</v>
      </c>
      <c r="J53" t="s">
        <v>271</v>
      </c>
      <c r="K53" t="s">
        <v>109</v>
      </c>
    </row>
    <row r="54" spans="1:11" x14ac:dyDescent="0.25">
      <c r="A54" t="s">
        <v>267</v>
      </c>
      <c r="B54" t="s">
        <v>647</v>
      </c>
      <c r="C54" t="s">
        <v>634</v>
      </c>
      <c r="D54" t="s">
        <v>635</v>
      </c>
      <c r="E54" t="s">
        <v>71</v>
      </c>
      <c r="F54" t="s">
        <v>86</v>
      </c>
      <c r="G54" t="s">
        <v>283</v>
      </c>
      <c r="H54" t="s">
        <v>636</v>
      </c>
      <c r="I54" t="s">
        <v>42</v>
      </c>
      <c r="J54" t="s">
        <v>271</v>
      </c>
      <c r="K54" t="s">
        <v>109</v>
      </c>
    </row>
    <row r="55" spans="1:11" x14ac:dyDescent="0.25">
      <c r="A55" t="s">
        <v>267</v>
      </c>
      <c r="B55" t="s">
        <v>647</v>
      </c>
      <c r="C55" t="s">
        <v>634</v>
      </c>
      <c r="D55" t="s">
        <v>638</v>
      </c>
      <c r="E55" t="s">
        <v>46</v>
      </c>
      <c r="F55" t="s">
        <v>47</v>
      </c>
      <c r="G55" t="s">
        <v>283</v>
      </c>
      <c r="H55" t="s">
        <v>636</v>
      </c>
      <c r="I55" t="s">
        <v>42</v>
      </c>
      <c r="J55" t="s">
        <v>271</v>
      </c>
      <c r="K55" t="s">
        <v>109</v>
      </c>
    </row>
    <row r="56" spans="1:11" x14ac:dyDescent="0.25">
      <c r="A56" t="s">
        <v>267</v>
      </c>
      <c r="B56" t="s">
        <v>647</v>
      </c>
      <c r="C56" t="s">
        <v>634</v>
      </c>
      <c r="D56" t="s">
        <v>638</v>
      </c>
      <c r="E56" t="s">
        <v>93</v>
      </c>
      <c r="F56" t="s">
        <v>108</v>
      </c>
      <c r="G56" t="s">
        <v>283</v>
      </c>
      <c r="H56" t="s">
        <v>636</v>
      </c>
      <c r="I56" t="s">
        <v>42</v>
      </c>
      <c r="J56" t="s">
        <v>271</v>
      </c>
      <c r="K56" t="s">
        <v>109</v>
      </c>
    </row>
    <row r="57" spans="1:11" x14ac:dyDescent="0.25">
      <c r="A57" t="s">
        <v>267</v>
      </c>
      <c r="B57" t="s">
        <v>647</v>
      </c>
      <c r="C57" t="s">
        <v>634</v>
      </c>
      <c r="D57" t="s">
        <v>638</v>
      </c>
      <c r="E57" t="s">
        <v>110</v>
      </c>
      <c r="F57" t="s">
        <v>111</v>
      </c>
      <c r="G57" t="s">
        <v>283</v>
      </c>
      <c r="H57" t="s">
        <v>636</v>
      </c>
      <c r="I57" t="s">
        <v>42</v>
      </c>
      <c r="J57" t="s">
        <v>271</v>
      </c>
      <c r="K57" t="s">
        <v>109</v>
      </c>
    </row>
    <row r="58" spans="1:11" x14ac:dyDescent="0.25">
      <c r="A58" t="s">
        <v>267</v>
      </c>
      <c r="B58" t="s">
        <v>648</v>
      </c>
      <c r="C58" t="s">
        <v>634</v>
      </c>
      <c r="D58" t="s">
        <v>635</v>
      </c>
      <c r="E58" t="s">
        <v>43</v>
      </c>
      <c r="F58" t="s">
        <v>53</v>
      </c>
      <c r="G58" t="s">
        <v>285</v>
      </c>
      <c r="H58" t="s">
        <v>636</v>
      </c>
      <c r="I58" t="s">
        <v>42</v>
      </c>
      <c r="J58" t="s">
        <v>271</v>
      </c>
      <c r="K58" t="s">
        <v>286</v>
      </c>
    </row>
    <row r="59" spans="1:11" x14ac:dyDescent="0.25">
      <c r="A59" t="s">
        <v>267</v>
      </c>
      <c r="B59" t="s">
        <v>648</v>
      </c>
      <c r="C59" t="s">
        <v>634</v>
      </c>
      <c r="D59" t="s">
        <v>635</v>
      </c>
      <c r="E59" t="s">
        <v>43</v>
      </c>
      <c r="F59" t="s">
        <v>49</v>
      </c>
      <c r="G59" t="s">
        <v>285</v>
      </c>
      <c r="H59" t="s">
        <v>636</v>
      </c>
      <c r="I59" t="s">
        <v>42</v>
      </c>
      <c r="J59" t="s">
        <v>271</v>
      </c>
      <c r="K59" t="s">
        <v>286</v>
      </c>
    </row>
    <row r="60" spans="1:11" x14ac:dyDescent="0.25">
      <c r="A60" t="s">
        <v>267</v>
      </c>
      <c r="B60" t="s">
        <v>648</v>
      </c>
      <c r="C60" t="s">
        <v>634</v>
      </c>
      <c r="D60" t="s">
        <v>635</v>
      </c>
      <c r="E60" t="s">
        <v>71</v>
      </c>
      <c r="F60" t="s">
        <v>86</v>
      </c>
      <c r="G60" t="s">
        <v>285</v>
      </c>
      <c r="H60" t="s">
        <v>636</v>
      </c>
      <c r="I60" t="s">
        <v>42</v>
      </c>
      <c r="J60" t="s">
        <v>271</v>
      </c>
      <c r="K60" t="s">
        <v>286</v>
      </c>
    </row>
    <row r="61" spans="1:11" x14ac:dyDescent="0.25">
      <c r="A61" t="s">
        <v>267</v>
      </c>
      <c r="B61" t="s">
        <v>648</v>
      </c>
      <c r="C61" t="s">
        <v>637</v>
      </c>
      <c r="D61" t="s">
        <v>638</v>
      </c>
      <c r="E61" t="s">
        <v>46</v>
      </c>
      <c r="F61" t="s">
        <v>47</v>
      </c>
      <c r="G61" t="s">
        <v>285</v>
      </c>
      <c r="H61" t="s">
        <v>636</v>
      </c>
      <c r="I61" t="s">
        <v>42</v>
      </c>
      <c r="J61" t="s">
        <v>271</v>
      </c>
      <c r="K61" t="s">
        <v>286</v>
      </c>
    </row>
    <row r="62" spans="1:11" x14ac:dyDescent="0.25">
      <c r="A62" t="s">
        <v>267</v>
      </c>
      <c r="B62" t="s">
        <v>648</v>
      </c>
      <c r="C62" t="s">
        <v>637</v>
      </c>
      <c r="D62" t="s">
        <v>638</v>
      </c>
      <c r="E62" t="s">
        <v>69</v>
      </c>
      <c r="F62" t="s">
        <v>80</v>
      </c>
      <c r="G62" t="s">
        <v>285</v>
      </c>
      <c r="H62" t="s">
        <v>636</v>
      </c>
      <c r="I62" t="s">
        <v>42</v>
      </c>
      <c r="J62" t="s">
        <v>271</v>
      </c>
      <c r="K62" t="s">
        <v>286</v>
      </c>
    </row>
    <row r="63" spans="1:11" x14ac:dyDescent="0.25">
      <c r="A63" t="s">
        <v>267</v>
      </c>
      <c r="B63" t="s">
        <v>648</v>
      </c>
      <c r="C63" t="s">
        <v>637</v>
      </c>
      <c r="G63" t="s">
        <v>285</v>
      </c>
      <c r="H63" t="s">
        <v>636</v>
      </c>
      <c r="I63" t="s">
        <v>42</v>
      </c>
      <c r="J63" t="s">
        <v>271</v>
      </c>
      <c r="K63" t="s">
        <v>286</v>
      </c>
    </row>
    <row r="64" spans="1:11" x14ac:dyDescent="0.25">
      <c r="A64" t="s">
        <v>267</v>
      </c>
      <c r="B64" t="s">
        <v>648</v>
      </c>
      <c r="C64" t="s">
        <v>644</v>
      </c>
      <c r="G64" t="s">
        <v>285</v>
      </c>
      <c r="H64" t="s">
        <v>636</v>
      </c>
      <c r="I64" t="s">
        <v>42</v>
      </c>
      <c r="J64" t="s">
        <v>271</v>
      </c>
      <c r="K64" t="s">
        <v>286</v>
      </c>
    </row>
    <row r="65" spans="1:11" x14ac:dyDescent="0.25">
      <c r="A65" t="s">
        <v>267</v>
      </c>
      <c r="B65" t="s">
        <v>648</v>
      </c>
      <c r="C65" t="s">
        <v>644</v>
      </c>
      <c r="G65" t="s">
        <v>285</v>
      </c>
      <c r="H65" t="s">
        <v>636</v>
      </c>
      <c r="I65" t="s">
        <v>42</v>
      </c>
      <c r="J65" t="s">
        <v>271</v>
      </c>
      <c r="K65" t="s">
        <v>286</v>
      </c>
    </row>
    <row r="66" spans="1:11" x14ac:dyDescent="0.25">
      <c r="A66" t="s">
        <v>267</v>
      </c>
      <c r="B66" t="s">
        <v>648</v>
      </c>
      <c r="C66" t="s">
        <v>644</v>
      </c>
      <c r="G66" t="s">
        <v>285</v>
      </c>
      <c r="H66" t="s">
        <v>636</v>
      </c>
      <c r="I66" t="s">
        <v>42</v>
      </c>
      <c r="J66" t="s">
        <v>271</v>
      </c>
      <c r="K66" t="s">
        <v>286</v>
      </c>
    </row>
    <row r="67" spans="1:11" x14ac:dyDescent="0.25">
      <c r="A67" t="s">
        <v>267</v>
      </c>
      <c r="B67" t="s">
        <v>648</v>
      </c>
      <c r="C67" t="s">
        <v>645</v>
      </c>
      <c r="G67" t="s">
        <v>285</v>
      </c>
      <c r="H67" t="s">
        <v>636</v>
      </c>
      <c r="I67" t="s">
        <v>42</v>
      </c>
      <c r="J67" t="s">
        <v>271</v>
      </c>
      <c r="K67" t="s">
        <v>286</v>
      </c>
    </row>
    <row r="68" spans="1:11" x14ac:dyDescent="0.25">
      <c r="A68" t="s">
        <v>267</v>
      </c>
      <c r="B68" t="s">
        <v>648</v>
      </c>
      <c r="C68" t="s">
        <v>645</v>
      </c>
      <c r="G68" t="s">
        <v>285</v>
      </c>
      <c r="H68" t="s">
        <v>636</v>
      </c>
      <c r="I68" t="s">
        <v>42</v>
      </c>
      <c r="J68" t="s">
        <v>271</v>
      </c>
      <c r="K68" t="s">
        <v>286</v>
      </c>
    </row>
    <row r="69" spans="1:11" x14ac:dyDescent="0.25">
      <c r="A69" t="s">
        <v>267</v>
      </c>
      <c r="B69" t="s">
        <v>649</v>
      </c>
      <c r="C69" t="s">
        <v>634</v>
      </c>
      <c r="D69" t="s">
        <v>635</v>
      </c>
      <c r="E69" t="s">
        <v>43</v>
      </c>
      <c r="F69" t="s">
        <v>44</v>
      </c>
      <c r="G69" t="s">
        <v>288</v>
      </c>
      <c r="H69" t="s">
        <v>636</v>
      </c>
      <c r="I69" t="s">
        <v>42</v>
      </c>
      <c r="J69" t="s">
        <v>271</v>
      </c>
      <c r="K69" t="s">
        <v>289</v>
      </c>
    </row>
    <row r="70" spans="1:11" x14ac:dyDescent="0.25">
      <c r="A70" t="s">
        <v>267</v>
      </c>
      <c r="B70" t="s">
        <v>649</v>
      </c>
      <c r="C70" t="s">
        <v>634</v>
      </c>
      <c r="D70" t="s">
        <v>640</v>
      </c>
      <c r="E70" t="s">
        <v>63</v>
      </c>
      <c r="F70" t="s">
        <v>67</v>
      </c>
      <c r="G70" t="s">
        <v>288</v>
      </c>
      <c r="H70" t="s">
        <v>636</v>
      </c>
      <c r="I70" t="s">
        <v>42</v>
      </c>
      <c r="J70" t="s">
        <v>271</v>
      </c>
      <c r="K70" t="s">
        <v>289</v>
      </c>
    </row>
    <row r="71" spans="1:11" x14ac:dyDescent="0.25">
      <c r="A71" t="s">
        <v>267</v>
      </c>
      <c r="B71" t="s">
        <v>649</v>
      </c>
      <c r="C71" t="s">
        <v>634</v>
      </c>
      <c r="D71" t="s">
        <v>641</v>
      </c>
      <c r="E71" t="s">
        <v>71</v>
      </c>
      <c r="F71" t="s">
        <v>72</v>
      </c>
      <c r="G71" t="s">
        <v>288</v>
      </c>
      <c r="H71" t="s">
        <v>636</v>
      </c>
      <c r="I71" t="s">
        <v>42</v>
      </c>
      <c r="J71" t="s">
        <v>271</v>
      </c>
      <c r="K71" t="s">
        <v>289</v>
      </c>
    </row>
    <row r="72" spans="1:11" x14ac:dyDescent="0.25">
      <c r="A72" t="s">
        <v>267</v>
      </c>
      <c r="B72" t="s">
        <v>649</v>
      </c>
      <c r="C72" t="s">
        <v>637</v>
      </c>
      <c r="D72" t="s">
        <v>635</v>
      </c>
      <c r="E72" t="s">
        <v>93</v>
      </c>
      <c r="F72" t="s">
        <v>94</v>
      </c>
      <c r="G72" t="s">
        <v>288</v>
      </c>
      <c r="H72" t="s">
        <v>636</v>
      </c>
      <c r="I72" t="s">
        <v>42</v>
      </c>
      <c r="J72" t="s">
        <v>271</v>
      </c>
      <c r="K72" t="s">
        <v>289</v>
      </c>
    </row>
    <row r="73" spans="1:11" x14ac:dyDescent="0.25">
      <c r="A73" t="s">
        <v>267</v>
      </c>
      <c r="B73" t="s">
        <v>649</v>
      </c>
      <c r="C73" t="s">
        <v>637</v>
      </c>
      <c r="D73" t="s">
        <v>638</v>
      </c>
      <c r="E73" t="s">
        <v>46</v>
      </c>
      <c r="F73" t="s">
        <v>47</v>
      </c>
      <c r="G73" t="s">
        <v>288</v>
      </c>
      <c r="H73" t="s">
        <v>636</v>
      </c>
      <c r="I73" t="s">
        <v>42</v>
      </c>
      <c r="J73" t="s">
        <v>271</v>
      </c>
      <c r="K73" t="s">
        <v>289</v>
      </c>
    </row>
    <row r="74" spans="1:11" x14ac:dyDescent="0.25">
      <c r="A74" t="s">
        <v>290</v>
      </c>
      <c r="B74" t="s">
        <v>650</v>
      </c>
      <c r="C74" t="s">
        <v>634</v>
      </c>
      <c r="D74" t="s">
        <v>635</v>
      </c>
      <c r="E74" t="s">
        <v>43</v>
      </c>
      <c r="F74" t="s">
        <v>53</v>
      </c>
      <c r="G74" t="s">
        <v>292</v>
      </c>
      <c r="H74" t="s">
        <v>636</v>
      </c>
      <c r="I74" t="s">
        <v>114</v>
      </c>
      <c r="J74" t="s">
        <v>293</v>
      </c>
      <c r="K74" t="s">
        <v>294</v>
      </c>
    </row>
    <row r="75" spans="1:11" x14ac:dyDescent="0.25">
      <c r="A75" t="s">
        <v>290</v>
      </c>
      <c r="B75" t="s">
        <v>650</v>
      </c>
      <c r="C75" t="s">
        <v>634</v>
      </c>
      <c r="D75" t="s">
        <v>635</v>
      </c>
      <c r="E75" t="s">
        <v>43</v>
      </c>
      <c r="F75" t="s">
        <v>49</v>
      </c>
      <c r="G75" t="s">
        <v>292</v>
      </c>
      <c r="H75" t="s">
        <v>636</v>
      </c>
      <c r="I75" t="s">
        <v>114</v>
      </c>
      <c r="J75" t="s">
        <v>293</v>
      </c>
      <c r="K75" t="s">
        <v>294</v>
      </c>
    </row>
    <row r="76" spans="1:11" x14ac:dyDescent="0.25">
      <c r="A76" t="s">
        <v>290</v>
      </c>
      <c r="B76" t="s">
        <v>650</v>
      </c>
      <c r="C76" t="s">
        <v>634</v>
      </c>
      <c r="D76" t="s">
        <v>635</v>
      </c>
      <c r="E76" t="s">
        <v>71</v>
      </c>
      <c r="F76" t="s">
        <v>86</v>
      </c>
      <c r="G76" t="s">
        <v>292</v>
      </c>
      <c r="H76" t="s">
        <v>636</v>
      </c>
      <c r="I76" t="s">
        <v>114</v>
      </c>
      <c r="J76" t="s">
        <v>293</v>
      </c>
      <c r="K76" t="s">
        <v>294</v>
      </c>
    </row>
    <row r="77" spans="1:11" x14ac:dyDescent="0.25">
      <c r="A77" t="s">
        <v>290</v>
      </c>
      <c r="B77" t="s">
        <v>650</v>
      </c>
      <c r="C77" t="s">
        <v>637</v>
      </c>
      <c r="D77" t="s">
        <v>638</v>
      </c>
      <c r="E77" t="s">
        <v>46</v>
      </c>
      <c r="F77" t="s">
        <v>47</v>
      </c>
      <c r="G77" t="s">
        <v>292</v>
      </c>
      <c r="H77" t="s">
        <v>636</v>
      </c>
      <c r="I77" t="s">
        <v>114</v>
      </c>
      <c r="J77" t="s">
        <v>293</v>
      </c>
      <c r="K77" t="s">
        <v>294</v>
      </c>
    </row>
    <row r="78" spans="1:11" x14ac:dyDescent="0.25">
      <c r="A78" t="s">
        <v>290</v>
      </c>
      <c r="B78" t="s">
        <v>650</v>
      </c>
      <c r="C78" t="s">
        <v>637</v>
      </c>
      <c r="D78" t="s">
        <v>638</v>
      </c>
      <c r="E78" t="s">
        <v>69</v>
      </c>
      <c r="F78" t="s">
        <v>80</v>
      </c>
      <c r="G78" t="s">
        <v>292</v>
      </c>
      <c r="H78" t="s">
        <v>636</v>
      </c>
      <c r="I78" t="s">
        <v>114</v>
      </c>
      <c r="J78" t="s">
        <v>293</v>
      </c>
      <c r="K78" t="s">
        <v>294</v>
      </c>
    </row>
    <row r="79" spans="1:11" x14ac:dyDescent="0.25">
      <c r="A79" t="s">
        <v>290</v>
      </c>
      <c r="B79" t="s">
        <v>650</v>
      </c>
      <c r="C79" t="s">
        <v>637</v>
      </c>
      <c r="G79" t="s">
        <v>292</v>
      </c>
      <c r="H79" t="s">
        <v>636</v>
      </c>
      <c r="I79" t="s">
        <v>114</v>
      </c>
      <c r="J79" t="s">
        <v>293</v>
      </c>
      <c r="K79" t="s">
        <v>294</v>
      </c>
    </row>
    <row r="80" spans="1:11" x14ac:dyDescent="0.25">
      <c r="A80" t="s">
        <v>290</v>
      </c>
      <c r="B80" t="s">
        <v>650</v>
      </c>
      <c r="C80" t="s">
        <v>644</v>
      </c>
      <c r="G80" t="s">
        <v>292</v>
      </c>
      <c r="H80" t="s">
        <v>636</v>
      </c>
      <c r="I80" t="s">
        <v>114</v>
      </c>
      <c r="J80" t="s">
        <v>293</v>
      </c>
      <c r="K80" t="s">
        <v>294</v>
      </c>
    </row>
    <row r="81" spans="1:11" x14ac:dyDescent="0.25">
      <c r="A81" t="s">
        <v>290</v>
      </c>
      <c r="B81" t="s">
        <v>650</v>
      </c>
      <c r="C81" t="s">
        <v>644</v>
      </c>
      <c r="G81" t="s">
        <v>292</v>
      </c>
      <c r="H81" t="s">
        <v>636</v>
      </c>
      <c r="I81" t="s">
        <v>114</v>
      </c>
      <c r="J81" t="s">
        <v>293</v>
      </c>
      <c r="K81" t="s">
        <v>294</v>
      </c>
    </row>
    <row r="82" spans="1:11" x14ac:dyDescent="0.25">
      <c r="A82" t="s">
        <v>290</v>
      </c>
      <c r="B82" t="s">
        <v>650</v>
      </c>
      <c r="C82" t="s">
        <v>644</v>
      </c>
      <c r="G82" t="s">
        <v>292</v>
      </c>
      <c r="H82" t="s">
        <v>636</v>
      </c>
      <c r="I82" t="s">
        <v>114</v>
      </c>
      <c r="J82" t="s">
        <v>293</v>
      </c>
      <c r="K82" t="s">
        <v>294</v>
      </c>
    </row>
    <row r="83" spans="1:11" x14ac:dyDescent="0.25">
      <c r="A83" t="s">
        <v>290</v>
      </c>
      <c r="B83" t="s">
        <v>650</v>
      </c>
      <c r="C83" t="s">
        <v>645</v>
      </c>
      <c r="G83" t="s">
        <v>292</v>
      </c>
      <c r="H83" t="s">
        <v>636</v>
      </c>
      <c r="I83" t="s">
        <v>114</v>
      </c>
      <c r="J83" t="s">
        <v>293</v>
      </c>
      <c r="K83" t="s">
        <v>294</v>
      </c>
    </row>
    <row r="84" spans="1:11" x14ac:dyDescent="0.25">
      <c r="A84" t="s">
        <v>290</v>
      </c>
      <c r="B84" t="s">
        <v>650</v>
      </c>
      <c r="C84" t="s">
        <v>645</v>
      </c>
      <c r="G84" t="s">
        <v>292</v>
      </c>
      <c r="H84" t="s">
        <v>636</v>
      </c>
      <c r="I84" t="s">
        <v>114</v>
      </c>
      <c r="J84" t="s">
        <v>293</v>
      </c>
      <c r="K84" t="s">
        <v>294</v>
      </c>
    </row>
    <row r="85" spans="1:11" x14ac:dyDescent="0.25">
      <c r="A85" t="s">
        <v>422</v>
      </c>
      <c r="B85" t="s">
        <v>651</v>
      </c>
      <c r="C85" t="s">
        <v>634</v>
      </c>
      <c r="D85" t="s">
        <v>635</v>
      </c>
      <c r="E85" t="s">
        <v>43</v>
      </c>
      <c r="F85" t="s">
        <v>53</v>
      </c>
      <c r="G85" t="s">
        <v>424</v>
      </c>
      <c r="H85" t="s">
        <v>636</v>
      </c>
      <c r="I85" t="s">
        <v>42</v>
      </c>
      <c r="J85" t="s">
        <v>271</v>
      </c>
      <c r="K85" t="s">
        <v>27</v>
      </c>
    </row>
    <row r="86" spans="1:11" x14ac:dyDescent="0.25">
      <c r="A86" t="s">
        <v>422</v>
      </c>
      <c r="B86" t="s">
        <v>651</v>
      </c>
      <c r="C86" t="s">
        <v>634</v>
      </c>
      <c r="D86" t="s">
        <v>635</v>
      </c>
      <c r="E86" t="s">
        <v>43</v>
      </c>
      <c r="F86" t="s">
        <v>49</v>
      </c>
      <c r="G86" t="s">
        <v>424</v>
      </c>
      <c r="H86" t="s">
        <v>636</v>
      </c>
      <c r="I86" t="s">
        <v>42</v>
      </c>
      <c r="J86" t="s">
        <v>271</v>
      </c>
      <c r="K86" t="s">
        <v>27</v>
      </c>
    </row>
    <row r="87" spans="1:11" x14ac:dyDescent="0.25">
      <c r="A87" t="s">
        <v>422</v>
      </c>
      <c r="B87" t="s">
        <v>651</v>
      </c>
      <c r="C87" t="s">
        <v>634</v>
      </c>
      <c r="D87" t="s">
        <v>638</v>
      </c>
      <c r="E87" t="s">
        <v>43</v>
      </c>
      <c r="F87" t="s">
        <v>53</v>
      </c>
      <c r="G87" t="s">
        <v>424</v>
      </c>
      <c r="H87" t="s">
        <v>636</v>
      </c>
      <c r="I87" t="s">
        <v>42</v>
      </c>
      <c r="J87" t="s">
        <v>271</v>
      </c>
      <c r="K87" t="s">
        <v>27</v>
      </c>
    </row>
    <row r="88" spans="1:11" x14ac:dyDescent="0.25">
      <c r="A88" t="s">
        <v>422</v>
      </c>
      <c r="B88" t="s">
        <v>651</v>
      </c>
      <c r="C88" t="s">
        <v>637</v>
      </c>
      <c r="D88" t="s">
        <v>638</v>
      </c>
      <c r="E88" t="s">
        <v>69</v>
      </c>
      <c r="F88" t="s">
        <v>47</v>
      </c>
      <c r="G88" t="s">
        <v>424</v>
      </c>
      <c r="H88" t="s">
        <v>636</v>
      </c>
      <c r="I88" t="s">
        <v>42</v>
      </c>
      <c r="J88" t="s">
        <v>271</v>
      </c>
      <c r="K88" t="s">
        <v>27</v>
      </c>
    </row>
    <row r="89" spans="1:11" x14ac:dyDescent="0.25">
      <c r="A89" t="s">
        <v>422</v>
      </c>
      <c r="B89" t="s">
        <v>651</v>
      </c>
      <c r="C89" t="s">
        <v>637</v>
      </c>
      <c r="D89" t="s">
        <v>638</v>
      </c>
      <c r="E89" t="s">
        <v>69</v>
      </c>
      <c r="F89" t="s">
        <v>80</v>
      </c>
      <c r="G89" t="s">
        <v>424</v>
      </c>
      <c r="H89" t="s">
        <v>636</v>
      </c>
      <c r="I89" t="s">
        <v>42</v>
      </c>
      <c r="J89" t="s">
        <v>271</v>
      </c>
      <c r="K89" t="s">
        <v>27</v>
      </c>
    </row>
    <row r="90" spans="1:11" x14ac:dyDescent="0.25">
      <c r="A90" t="s">
        <v>422</v>
      </c>
      <c r="B90" t="s">
        <v>651</v>
      </c>
      <c r="C90" t="s">
        <v>637</v>
      </c>
      <c r="D90" t="s">
        <v>638</v>
      </c>
      <c r="E90" t="s">
        <v>71</v>
      </c>
      <c r="F90" t="s">
        <v>72</v>
      </c>
      <c r="G90" t="s">
        <v>424</v>
      </c>
      <c r="H90" t="s">
        <v>636</v>
      </c>
      <c r="I90" t="s">
        <v>42</v>
      </c>
      <c r="J90" t="s">
        <v>271</v>
      </c>
      <c r="K90" t="s">
        <v>27</v>
      </c>
    </row>
    <row r="91" spans="1:11" x14ac:dyDescent="0.25">
      <c r="A91" t="s">
        <v>422</v>
      </c>
      <c r="B91" t="s">
        <v>651</v>
      </c>
      <c r="C91" t="s">
        <v>644</v>
      </c>
      <c r="D91" t="s">
        <v>638</v>
      </c>
      <c r="E91" t="s">
        <v>83</v>
      </c>
      <c r="F91" t="s">
        <v>101</v>
      </c>
      <c r="G91" t="s">
        <v>424</v>
      </c>
      <c r="H91" t="s">
        <v>636</v>
      </c>
      <c r="I91" t="s">
        <v>42</v>
      </c>
      <c r="J91" t="s">
        <v>271</v>
      </c>
      <c r="K91" t="s">
        <v>27</v>
      </c>
    </row>
    <row r="92" spans="1:11" x14ac:dyDescent="0.25">
      <c r="A92" t="s">
        <v>422</v>
      </c>
      <c r="B92" t="s">
        <v>651</v>
      </c>
      <c r="C92" t="s">
        <v>644</v>
      </c>
      <c r="D92" t="s">
        <v>638</v>
      </c>
      <c r="E92" t="s">
        <v>83</v>
      </c>
      <c r="F92" t="s">
        <v>104</v>
      </c>
      <c r="G92" t="s">
        <v>424</v>
      </c>
      <c r="H92" t="s">
        <v>636</v>
      </c>
      <c r="I92" t="s">
        <v>42</v>
      </c>
      <c r="J92" t="s">
        <v>271</v>
      </c>
      <c r="K92" t="s">
        <v>27</v>
      </c>
    </row>
    <row r="93" spans="1:11" x14ac:dyDescent="0.25">
      <c r="A93" t="s">
        <v>422</v>
      </c>
      <c r="B93" t="s">
        <v>651</v>
      </c>
      <c r="C93" t="s">
        <v>644</v>
      </c>
      <c r="D93" t="s">
        <v>638</v>
      </c>
      <c r="E93" t="s">
        <v>46</v>
      </c>
      <c r="F93" t="s">
        <v>47</v>
      </c>
      <c r="G93" t="s">
        <v>424</v>
      </c>
      <c r="H93" t="s">
        <v>636</v>
      </c>
      <c r="I93" t="s">
        <v>42</v>
      </c>
      <c r="J93" t="s">
        <v>271</v>
      </c>
      <c r="K93" t="s">
        <v>27</v>
      </c>
    </row>
    <row r="94" spans="1:11" x14ac:dyDescent="0.25">
      <c r="A94" t="s">
        <v>422</v>
      </c>
      <c r="B94" t="s">
        <v>651</v>
      </c>
      <c r="C94" t="s">
        <v>645</v>
      </c>
      <c r="D94" t="s">
        <v>638</v>
      </c>
      <c r="E94" t="s">
        <v>110</v>
      </c>
      <c r="G94" t="s">
        <v>424</v>
      </c>
      <c r="H94" t="s">
        <v>636</v>
      </c>
      <c r="I94" t="s">
        <v>42</v>
      </c>
      <c r="J94" t="s">
        <v>271</v>
      </c>
      <c r="K94" t="s">
        <v>27</v>
      </c>
    </row>
    <row r="95" spans="1:11" x14ac:dyDescent="0.25">
      <c r="A95" t="s">
        <v>422</v>
      </c>
      <c r="B95" t="s">
        <v>651</v>
      </c>
      <c r="C95" t="s">
        <v>645</v>
      </c>
      <c r="D95" t="s">
        <v>638</v>
      </c>
      <c r="E95" t="s">
        <v>63</v>
      </c>
      <c r="F95" t="s">
        <v>67</v>
      </c>
      <c r="G95" t="s">
        <v>424</v>
      </c>
      <c r="H95" t="s">
        <v>636</v>
      </c>
      <c r="I95" t="s">
        <v>42</v>
      </c>
      <c r="J95" t="s">
        <v>271</v>
      </c>
      <c r="K95" t="s">
        <v>27</v>
      </c>
    </row>
    <row r="96" spans="1:11" x14ac:dyDescent="0.25">
      <c r="A96" t="s">
        <v>422</v>
      </c>
      <c r="B96" t="s">
        <v>651</v>
      </c>
      <c r="C96" t="s">
        <v>634</v>
      </c>
      <c r="D96" t="s">
        <v>635</v>
      </c>
      <c r="E96" t="s">
        <v>43</v>
      </c>
      <c r="F96" t="s">
        <v>53</v>
      </c>
      <c r="G96" t="s">
        <v>424</v>
      </c>
      <c r="H96" t="s">
        <v>636</v>
      </c>
      <c r="I96" t="s">
        <v>114</v>
      </c>
      <c r="J96" t="s">
        <v>293</v>
      </c>
      <c r="K96" t="s">
        <v>27</v>
      </c>
    </row>
    <row r="97" spans="1:11" x14ac:dyDescent="0.25">
      <c r="A97" t="s">
        <v>422</v>
      </c>
      <c r="B97" t="s">
        <v>651</v>
      </c>
      <c r="C97" t="s">
        <v>634</v>
      </c>
      <c r="D97" t="s">
        <v>635</v>
      </c>
      <c r="E97" t="s">
        <v>43</v>
      </c>
      <c r="F97" t="s">
        <v>49</v>
      </c>
      <c r="G97" t="s">
        <v>424</v>
      </c>
      <c r="H97" t="s">
        <v>636</v>
      </c>
      <c r="I97" t="s">
        <v>114</v>
      </c>
      <c r="J97" t="s">
        <v>293</v>
      </c>
      <c r="K97" t="s">
        <v>27</v>
      </c>
    </row>
    <row r="98" spans="1:11" x14ac:dyDescent="0.25">
      <c r="A98" t="s">
        <v>422</v>
      </c>
      <c r="B98" t="s">
        <v>651</v>
      </c>
      <c r="C98" t="s">
        <v>634</v>
      </c>
      <c r="D98" t="s">
        <v>638</v>
      </c>
      <c r="E98" t="s">
        <v>43</v>
      </c>
      <c r="F98" t="s">
        <v>53</v>
      </c>
      <c r="G98" t="s">
        <v>424</v>
      </c>
      <c r="H98" t="s">
        <v>636</v>
      </c>
      <c r="I98" t="s">
        <v>114</v>
      </c>
      <c r="J98" t="s">
        <v>293</v>
      </c>
      <c r="K98" t="s">
        <v>27</v>
      </c>
    </row>
    <row r="99" spans="1:11" x14ac:dyDescent="0.25">
      <c r="A99" t="s">
        <v>422</v>
      </c>
      <c r="B99" t="s">
        <v>651</v>
      </c>
      <c r="C99" t="s">
        <v>637</v>
      </c>
      <c r="D99" t="s">
        <v>638</v>
      </c>
      <c r="E99" t="s">
        <v>69</v>
      </c>
      <c r="F99" t="s">
        <v>47</v>
      </c>
      <c r="G99" t="s">
        <v>424</v>
      </c>
      <c r="H99" t="s">
        <v>636</v>
      </c>
      <c r="I99" t="s">
        <v>114</v>
      </c>
      <c r="J99" t="s">
        <v>293</v>
      </c>
      <c r="K99" t="s">
        <v>27</v>
      </c>
    </row>
    <row r="100" spans="1:11" x14ac:dyDescent="0.25">
      <c r="A100" t="s">
        <v>422</v>
      </c>
      <c r="B100" t="s">
        <v>651</v>
      </c>
      <c r="C100" t="s">
        <v>637</v>
      </c>
      <c r="D100" t="s">
        <v>638</v>
      </c>
      <c r="E100" t="s">
        <v>69</v>
      </c>
      <c r="F100" t="s">
        <v>80</v>
      </c>
      <c r="G100" t="s">
        <v>424</v>
      </c>
      <c r="H100" t="s">
        <v>636</v>
      </c>
      <c r="I100" t="s">
        <v>114</v>
      </c>
      <c r="J100" t="s">
        <v>293</v>
      </c>
      <c r="K100" t="s">
        <v>27</v>
      </c>
    </row>
    <row r="101" spans="1:11" x14ac:dyDescent="0.25">
      <c r="A101" t="s">
        <v>422</v>
      </c>
      <c r="B101" t="s">
        <v>651</v>
      </c>
      <c r="C101" t="s">
        <v>637</v>
      </c>
      <c r="D101" t="s">
        <v>638</v>
      </c>
      <c r="E101" t="s">
        <v>71</v>
      </c>
      <c r="F101" t="s">
        <v>72</v>
      </c>
      <c r="G101" t="s">
        <v>424</v>
      </c>
      <c r="H101" t="s">
        <v>636</v>
      </c>
      <c r="I101" t="s">
        <v>114</v>
      </c>
      <c r="J101" t="s">
        <v>293</v>
      </c>
      <c r="K101" t="s">
        <v>27</v>
      </c>
    </row>
    <row r="102" spans="1:11" x14ac:dyDescent="0.25">
      <c r="A102" t="s">
        <v>422</v>
      </c>
      <c r="B102" t="s">
        <v>651</v>
      </c>
      <c r="C102" t="s">
        <v>644</v>
      </c>
      <c r="D102" t="s">
        <v>638</v>
      </c>
      <c r="E102" t="s">
        <v>83</v>
      </c>
      <c r="F102" t="s">
        <v>101</v>
      </c>
      <c r="G102" t="s">
        <v>424</v>
      </c>
      <c r="H102" t="s">
        <v>636</v>
      </c>
      <c r="I102" t="s">
        <v>114</v>
      </c>
      <c r="J102" t="s">
        <v>293</v>
      </c>
      <c r="K102" t="s">
        <v>27</v>
      </c>
    </row>
    <row r="103" spans="1:11" x14ac:dyDescent="0.25">
      <c r="A103" t="s">
        <v>422</v>
      </c>
      <c r="B103" t="s">
        <v>651</v>
      </c>
      <c r="C103" t="s">
        <v>644</v>
      </c>
      <c r="D103" t="s">
        <v>638</v>
      </c>
      <c r="E103" t="s">
        <v>83</v>
      </c>
      <c r="F103" t="s">
        <v>104</v>
      </c>
      <c r="G103" t="s">
        <v>424</v>
      </c>
      <c r="H103" t="s">
        <v>636</v>
      </c>
      <c r="I103" t="s">
        <v>114</v>
      </c>
      <c r="J103" t="s">
        <v>293</v>
      </c>
      <c r="K103" t="s">
        <v>27</v>
      </c>
    </row>
    <row r="104" spans="1:11" x14ac:dyDescent="0.25">
      <c r="A104" t="s">
        <v>422</v>
      </c>
      <c r="B104" t="s">
        <v>651</v>
      </c>
      <c r="C104" t="s">
        <v>644</v>
      </c>
      <c r="D104" t="s">
        <v>638</v>
      </c>
      <c r="E104" t="s">
        <v>46</v>
      </c>
      <c r="F104" t="s">
        <v>47</v>
      </c>
      <c r="G104" t="s">
        <v>424</v>
      </c>
      <c r="H104" t="s">
        <v>636</v>
      </c>
      <c r="I104" t="s">
        <v>114</v>
      </c>
      <c r="J104" t="s">
        <v>293</v>
      </c>
      <c r="K104" t="s">
        <v>27</v>
      </c>
    </row>
    <row r="105" spans="1:11" x14ac:dyDescent="0.25">
      <c r="A105" t="s">
        <v>422</v>
      </c>
      <c r="B105" t="s">
        <v>651</v>
      </c>
      <c r="C105" t="s">
        <v>645</v>
      </c>
      <c r="D105" t="s">
        <v>638</v>
      </c>
      <c r="E105" t="s">
        <v>110</v>
      </c>
      <c r="G105" t="s">
        <v>424</v>
      </c>
      <c r="H105" t="s">
        <v>636</v>
      </c>
      <c r="I105" t="s">
        <v>114</v>
      </c>
      <c r="J105" t="s">
        <v>293</v>
      </c>
      <c r="K105" t="s">
        <v>27</v>
      </c>
    </row>
    <row r="106" spans="1:11" x14ac:dyDescent="0.25">
      <c r="A106" t="s">
        <v>422</v>
      </c>
      <c r="B106" t="s">
        <v>651</v>
      </c>
      <c r="C106" t="s">
        <v>645</v>
      </c>
      <c r="D106" t="s">
        <v>638</v>
      </c>
      <c r="E106" t="s">
        <v>63</v>
      </c>
      <c r="F106" t="s">
        <v>67</v>
      </c>
      <c r="G106" t="s">
        <v>424</v>
      </c>
      <c r="H106" t="s">
        <v>636</v>
      </c>
      <c r="I106" t="s">
        <v>114</v>
      </c>
      <c r="J106" t="s">
        <v>293</v>
      </c>
      <c r="K106" t="s">
        <v>27</v>
      </c>
    </row>
    <row r="107" spans="1:11" x14ac:dyDescent="0.25">
      <c r="A107" t="s">
        <v>422</v>
      </c>
      <c r="B107" t="s">
        <v>651</v>
      </c>
      <c r="C107" t="s">
        <v>634</v>
      </c>
      <c r="D107" t="s">
        <v>635</v>
      </c>
      <c r="E107" t="s">
        <v>43</v>
      </c>
      <c r="F107" t="s">
        <v>53</v>
      </c>
      <c r="G107" t="s">
        <v>424</v>
      </c>
      <c r="H107" t="s">
        <v>636</v>
      </c>
      <c r="I107" t="s">
        <v>133</v>
      </c>
      <c r="J107" t="s">
        <v>312</v>
      </c>
      <c r="K107" t="s">
        <v>27</v>
      </c>
    </row>
    <row r="108" spans="1:11" x14ac:dyDescent="0.25">
      <c r="A108" t="s">
        <v>422</v>
      </c>
      <c r="B108" t="s">
        <v>651</v>
      </c>
      <c r="C108" t="s">
        <v>634</v>
      </c>
      <c r="D108" t="s">
        <v>635</v>
      </c>
      <c r="E108" t="s">
        <v>43</v>
      </c>
      <c r="F108" t="s">
        <v>49</v>
      </c>
      <c r="G108" t="s">
        <v>424</v>
      </c>
      <c r="H108" t="s">
        <v>636</v>
      </c>
      <c r="I108" t="s">
        <v>133</v>
      </c>
      <c r="J108" t="s">
        <v>312</v>
      </c>
      <c r="K108" t="s">
        <v>27</v>
      </c>
    </row>
    <row r="109" spans="1:11" x14ac:dyDescent="0.25">
      <c r="A109" t="s">
        <v>422</v>
      </c>
      <c r="B109" t="s">
        <v>651</v>
      </c>
      <c r="C109" t="s">
        <v>634</v>
      </c>
      <c r="D109" t="s">
        <v>638</v>
      </c>
      <c r="E109" t="s">
        <v>43</v>
      </c>
      <c r="F109" t="s">
        <v>53</v>
      </c>
      <c r="G109" t="s">
        <v>424</v>
      </c>
      <c r="H109" t="s">
        <v>636</v>
      </c>
      <c r="I109" t="s">
        <v>133</v>
      </c>
      <c r="J109" t="s">
        <v>312</v>
      </c>
      <c r="K109" t="s">
        <v>27</v>
      </c>
    </row>
    <row r="110" spans="1:11" x14ac:dyDescent="0.25">
      <c r="A110" t="s">
        <v>422</v>
      </c>
      <c r="B110" t="s">
        <v>651</v>
      </c>
      <c r="C110" t="s">
        <v>637</v>
      </c>
      <c r="D110" t="s">
        <v>638</v>
      </c>
      <c r="E110" t="s">
        <v>69</v>
      </c>
      <c r="F110" t="s">
        <v>47</v>
      </c>
      <c r="G110" t="s">
        <v>424</v>
      </c>
      <c r="H110" t="s">
        <v>636</v>
      </c>
      <c r="I110" t="s">
        <v>133</v>
      </c>
      <c r="J110" t="s">
        <v>312</v>
      </c>
      <c r="K110" t="s">
        <v>27</v>
      </c>
    </row>
    <row r="111" spans="1:11" x14ac:dyDescent="0.25">
      <c r="A111" t="s">
        <v>422</v>
      </c>
      <c r="B111" t="s">
        <v>651</v>
      </c>
      <c r="C111" t="s">
        <v>637</v>
      </c>
      <c r="D111" t="s">
        <v>638</v>
      </c>
      <c r="E111" t="s">
        <v>69</v>
      </c>
      <c r="F111" t="s">
        <v>80</v>
      </c>
      <c r="G111" t="s">
        <v>424</v>
      </c>
      <c r="H111" t="s">
        <v>636</v>
      </c>
      <c r="I111" t="s">
        <v>133</v>
      </c>
      <c r="J111" t="s">
        <v>312</v>
      </c>
      <c r="K111" t="s">
        <v>27</v>
      </c>
    </row>
    <row r="112" spans="1:11" x14ac:dyDescent="0.25">
      <c r="A112" t="s">
        <v>422</v>
      </c>
      <c r="B112" t="s">
        <v>651</v>
      </c>
      <c r="C112" t="s">
        <v>637</v>
      </c>
      <c r="D112" t="s">
        <v>638</v>
      </c>
      <c r="E112" t="s">
        <v>71</v>
      </c>
      <c r="F112" t="s">
        <v>72</v>
      </c>
      <c r="G112" t="s">
        <v>424</v>
      </c>
      <c r="H112" t="s">
        <v>636</v>
      </c>
      <c r="I112" t="s">
        <v>133</v>
      </c>
      <c r="J112" t="s">
        <v>312</v>
      </c>
      <c r="K112" t="s">
        <v>27</v>
      </c>
    </row>
    <row r="113" spans="1:11" x14ac:dyDescent="0.25">
      <c r="A113" t="s">
        <v>422</v>
      </c>
      <c r="B113" t="s">
        <v>651</v>
      </c>
      <c r="C113" t="s">
        <v>644</v>
      </c>
      <c r="D113" t="s">
        <v>638</v>
      </c>
      <c r="E113" t="s">
        <v>83</v>
      </c>
      <c r="F113" t="s">
        <v>101</v>
      </c>
      <c r="G113" t="s">
        <v>424</v>
      </c>
      <c r="H113" t="s">
        <v>636</v>
      </c>
      <c r="I113" t="s">
        <v>133</v>
      </c>
      <c r="J113" t="s">
        <v>312</v>
      </c>
      <c r="K113" t="s">
        <v>27</v>
      </c>
    </row>
    <row r="114" spans="1:11" x14ac:dyDescent="0.25">
      <c r="A114" t="s">
        <v>422</v>
      </c>
      <c r="B114" t="s">
        <v>651</v>
      </c>
      <c r="C114" t="s">
        <v>644</v>
      </c>
      <c r="D114" t="s">
        <v>638</v>
      </c>
      <c r="E114" t="s">
        <v>83</v>
      </c>
      <c r="F114" t="s">
        <v>104</v>
      </c>
      <c r="G114" t="s">
        <v>424</v>
      </c>
      <c r="H114" t="s">
        <v>636</v>
      </c>
      <c r="I114" t="s">
        <v>133</v>
      </c>
      <c r="J114" t="s">
        <v>312</v>
      </c>
      <c r="K114" t="s">
        <v>27</v>
      </c>
    </row>
    <row r="115" spans="1:11" x14ac:dyDescent="0.25">
      <c r="A115" t="s">
        <v>422</v>
      </c>
      <c r="B115" t="s">
        <v>651</v>
      </c>
      <c r="C115" t="s">
        <v>644</v>
      </c>
      <c r="D115" t="s">
        <v>638</v>
      </c>
      <c r="E115" t="s">
        <v>46</v>
      </c>
      <c r="F115" t="s">
        <v>47</v>
      </c>
      <c r="G115" t="s">
        <v>424</v>
      </c>
      <c r="H115" t="s">
        <v>636</v>
      </c>
      <c r="I115" t="s">
        <v>133</v>
      </c>
      <c r="J115" t="s">
        <v>312</v>
      </c>
      <c r="K115" t="s">
        <v>27</v>
      </c>
    </row>
    <row r="116" spans="1:11" x14ac:dyDescent="0.25">
      <c r="A116" t="s">
        <v>422</v>
      </c>
      <c r="B116" t="s">
        <v>651</v>
      </c>
      <c r="C116" t="s">
        <v>645</v>
      </c>
      <c r="D116" t="s">
        <v>638</v>
      </c>
      <c r="E116" t="s">
        <v>110</v>
      </c>
      <c r="G116" t="s">
        <v>424</v>
      </c>
      <c r="H116" t="s">
        <v>636</v>
      </c>
      <c r="I116" t="s">
        <v>133</v>
      </c>
      <c r="J116" t="s">
        <v>312</v>
      </c>
      <c r="K116" t="s">
        <v>27</v>
      </c>
    </row>
    <row r="117" spans="1:11" x14ac:dyDescent="0.25">
      <c r="A117" t="s">
        <v>422</v>
      </c>
      <c r="B117" t="s">
        <v>651</v>
      </c>
      <c r="C117" t="s">
        <v>645</v>
      </c>
      <c r="D117" t="s">
        <v>638</v>
      </c>
      <c r="E117" t="s">
        <v>63</v>
      </c>
      <c r="F117" t="s">
        <v>67</v>
      </c>
      <c r="G117" t="s">
        <v>424</v>
      </c>
      <c r="H117" t="s">
        <v>636</v>
      </c>
      <c r="I117" t="s">
        <v>133</v>
      </c>
      <c r="J117" t="s">
        <v>312</v>
      </c>
      <c r="K117" t="s">
        <v>27</v>
      </c>
    </row>
    <row r="118" spans="1:11" x14ac:dyDescent="0.25">
      <c r="A118" t="s">
        <v>422</v>
      </c>
      <c r="B118" t="s">
        <v>651</v>
      </c>
      <c r="C118" t="s">
        <v>634</v>
      </c>
      <c r="D118" t="s">
        <v>635</v>
      </c>
      <c r="E118" t="s">
        <v>43</v>
      </c>
      <c r="F118" t="s">
        <v>53</v>
      </c>
      <c r="G118" t="s">
        <v>424</v>
      </c>
      <c r="H118" t="s">
        <v>636</v>
      </c>
      <c r="I118" t="s">
        <v>152</v>
      </c>
      <c r="J118" t="s">
        <v>320</v>
      </c>
      <c r="K118" t="s">
        <v>27</v>
      </c>
    </row>
    <row r="119" spans="1:11" x14ac:dyDescent="0.25">
      <c r="A119" t="s">
        <v>422</v>
      </c>
      <c r="B119" t="s">
        <v>651</v>
      </c>
      <c r="C119" t="s">
        <v>634</v>
      </c>
      <c r="D119" t="s">
        <v>635</v>
      </c>
      <c r="E119" t="s">
        <v>43</v>
      </c>
      <c r="F119" t="s">
        <v>49</v>
      </c>
      <c r="G119" t="s">
        <v>424</v>
      </c>
      <c r="H119" t="s">
        <v>636</v>
      </c>
      <c r="I119" t="s">
        <v>152</v>
      </c>
      <c r="J119" t="s">
        <v>320</v>
      </c>
      <c r="K119" t="s">
        <v>27</v>
      </c>
    </row>
    <row r="120" spans="1:11" x14ac:dyDescent="0.25">
      <c r="A120" t="s">
        <v>422</v>
      </c>
      <c r="B120" t="s">
        <v>651</v>
      </c>
      <c r="C120" t="s">
        <v>634</v>
      </c>
      <c r="D120" t="s">
        <v>638</v>
      </c>
      <c r="E120" t="s">
        <v>43</v>
      </c>
      <c r="F120" t="s">
        <v>53</v>
      </c>
      <c r="G120" t="s">
        <v>424</v>
      </c>
      <c r="H120" t="s">
        <v>636</v>
      </c>
      <c r="I120" t="s">
        <v>152</v>
      </c>
      <c r="J120" t="s">
        <v>320</v>
      </c>
      <c r="K120" t="s">
        <v>27</v>
      </c>
    </row>
    <row r="121" spans="1:11" x14ac:dyDescent="0.25">
      <c r="A121" t="s">
        <v>422</v>
      </c>
      <c r="B121" t="s">
        <v>651</v>
      </c>
      <c r="C121" t="s">
        <v>637</v>
      </c>
      <c r="D121" t="s">
        <v>638</v>
      </c>
      <c r="E121" t="s">
        <v>69</v>
      </c>
      <c r="F121" t="s">
        <v>47</v>
      </c>
      <c r="G121" t="s">
        <v>424</v>
      </c>
      <c r="H121" t="s">
        <v>636</v>
      </c>
      <c r="I121" t="s">
        <v>152</v>
      </c>
      <c r="J121" t="s">
        <v>320</v>
      </c>
      <c r="K121" t="s">
        <v>27</v>
      </c>
    </row>
    <row r="122" spans="1:11" x14ac:dyDescent="0.25">
      <c r="A122" t="s">
        <v>422</v>
      </c>
      <c r="B122" t="s">
        <v>651</v>
      </c>
      <c r="C122" t="s">
        <v>637</v>
      </c>
      <c r="D122" t="s">
        <v>638</v>
      </c>
      <c r="E122" t="s">
        <v>69</v>
      </c>
      <c r="F122" t="s">
        <v>80</v>
      </c>
      <c r="G122" t="s">
        <v>424</v>
      </c>
      <c r="H122" t="s">
        <v>636</v>
      </c>
      <c r="I122" t="s">
        <v>152</v>
      </c>
      <c r="J122" t="s">
        <v>320</v>
      </c>
      <c r="K122" t="s">
        <v>27</v>
      </c>
    </row>
    <row r="123" spans="1:11" x14ac:dyDescent="0.25">
      <c r="A123" t="s">
        <v>422</v>
      </c>
      <c r="B123" t="s">
        <v>651</v>
      </c>
      <c r="C123" t="s">
        <v>637</v>
      </c>
      <c r="D123" t="s">
        <v>638</v>
      </c>
      <c r="E123" t="s">
        <v>71</v>
      </c>
      <c r="F123" t="s">
        <v>72</v>
      </c>
      <c r="G123" t="s">
        <v>424</v>
      </c>
      <c r="H123" t="s">
        <v>636</v>
      </c>
      <c r="I123" t="s">
        <v>152</v>
      </c>
      <c r="J123" t="s">
        <v>320</v>
      </c>
      <c r="K123" t="s">
        <v>27</v>
      </c>
    </row>
    <row r="124" spans="1:11" x14ac:dyDescent="0.25">
      <c r="A124" t="s">
        <v>422</v>
      </c>
      <c r="B124" t="s">
        <v>651</v>
      </c>
      <c r="C124" t="s">
        <v>644</v>
      </c>
      <c r="D124" t="s">
        <v>638</v>
      </c>
      <c r="E124" t="s">
        <v>83</v>
      </c>
      <c r="F124" t="s">
        <v>101</v>
      </c>
      <c r="G124" t="s">
        <v>424</v>
      </c>
      <c r="H124" t="s">
        <v>636</v>
      </c>
      <c r="I124" t="s">
        <v>152</v>
      </c>
      <c r="J124" t="s">
        <v>320</v>
      </c>
      <c r="K124" t="s">
        <v>27</v>
      </c>
    </row>
    <row r="125" spans="1:11" x14ac:dyDescent="0.25">
      <c r="A125" t="s">
        <v>422</v>
      </c>
      <c r="B125" t="s">
        <v>651</v>
      </c>
      <c r="C125" t="s">
        <v>644</v>
      </c>
      <c r="D125" t="s">
        <v>638</v>
      </c>
      <c r="E125" t="s">
        <v>83</v>
      </c>
      <c r="F125" t="s">
        <v>104</v>
      </c>
      <c r="G125" t="s">
        <v>424</v>
      </c>
      <c r="H125" t="s">
        <v>636</v>
      </c>
      <c r="I125" t="s">
        <v>152</v>
      </c>
      <c r="J125" t="s">
        <v>320</v>
      </c>
      <c r="K125" t="s">
        <v>27</v>
      </c>
    </row>
    <row r="126" spans="1:11" x14ac:dyDescent="0.25">
      <c r="A126" t="s">
        <v>422</v>
      </c>
      <c r="B126" t="s">
        <v>651</v>
      </c>
      <c r="C126" t="s">
        <v>644</v>
      </c>
      <c r="D126" t="s">
        <v>638</v>
      </c>
      <c r="E126" t="s">
        <v>46</v>
      </c>
      <c r="F126" t="s">
        <v>47</v>
      </c>
      <c r="G126" t="s">
        <v>424</v>
      </c>
      <c r="H126" t="s">
        <v>636</v>
      </c>
      <c r="I126" t="s">
        <v>152</v>
      </c>
      <c r="J126" t="s">
        <v>320</v>
      </c>
      <c r="K126" t="s">
        <v>27</v>
      </c>
    </row>
    <row r="127" spans="1:11" x14ac:dyDescent="0.25">
      <c r="A127" t="s">
        <v>422</v>
      </c>
      <c r="B127" t="s">
        <v>651</v>
      </c>
      <c r="C127" t="s">
        <v>645</v>
      </c>
      <c r="D127" t="s">
        <v>638</v>
      </c>
      <c r="E127" t="s">
        <v>110</v>
      </c>
      <c r="G127" t="s">
        <v>424</v>
      </c>
      <c r="H127" t="s">
        <v>636</v>
      </c>
      <c r="I127" t="s">
        <v>152</v>
      </c>
      <c r="J127" t="s">
        <v>320</v>
      </c>
      <c r="K127" t="s">
        <v>27</v>
      </c>
    </row>
    <row r="128" spans="1:11" x14ac:dyDescent="0.25">
      <c r="A128" t="s">
        <v>422</v>
      </c>
      <c r="B128" t="s">
        <v>651</v>
      </c>
      <c r="C128" t="s">
        <v>645</v>
      </c>
      <c r="D128" t="s">
        <v>638</v>
      </c>
      <c r="E128" t="s">
        <v>63</v>
      </c>
      <c r="F128" t="s">
        <v>67</v>
      </c>
      <c r="G128" t="s">
        <v>424</v>
      </c>
      <c r="H128" t="s">
        <v>636</v>
      </c>
      <c r="I128" t="s">
        <v>152</v>
      </c>
      <c r="J128" t="s">
        <v>320</v>
      </c>
      <c r="K128" t="s">
        <v>27</v>
      </c>
    </row>
    <row r="129" spans="1:11" x14ac:dyDescent="0.25">
      <c r="A129" t="s">
        <v>290</v>
      </c>
      <c r="B129" t="s">
        <v>652</v>
      </c>
      <c r="C129" t="s">
        <v>634</v>
      </c>
      <c r="D129" t="s">
        <v>635</v>
      </c>
      <c r="E129" t="s">
        <v>43</v>
      </c>
      <c r="F129" t="s">
        <v>53</v>
      </c>
      <c r="G129" t="s">
        <v>296</v>
      </c>
      <c r="H129" t="s">
        <v>636</v>
      </c>
      <c r="I129" t="s">
        <v>114</v>
      </c>
      <c r="J129" t="s">
        <v>293</v>
      </c>
      <c r="K129" t="s">
        <v>297</v>
      </c>
    </row>
    <row r="130" spans="1:11" x14ac:dyDescent="0.25">
      <c r="A130" t="s">
        <v>290</v>
      </c>
      <c r="B130" t="s">
        <v>652</v>
      </c>
      <c r="C130" t="s">
        <v>634</v>
      </c>
      <c r="D130" t="s">
        <v>635</v>
      </c>
      <c r="E130" t="s">
        <v>43</v>
      </c>
      <c r="F130" t="s">
        <v>49</v>
      </c>
      <c r="G130" t="s">
        <v>296</v>
      </c>
      <c r="H130" t="s">
        <v>636</v>
      </c>
      <c r="I130" t="s">
        <v>114</v>
      </c>
      <c r="J130" t="s">
        <v>293</v>
      </c>
      <c r="K130" t="s">
        <v>297</v>
      </c>
    </row>
    <row r="131" spans="1:11" x14ac:dyDescent="0.25">
      <c r="A131" t="s">
        <v>290</v>
      </c>
      <c r="B131" t="s">
        <v>652</v>
      </c>
      <c r="C131" t="s">
        <v>634</v>
      </c>
      <c r="G131" t="s">
        <v>296</v>
      </c>
      <c r="H131" t="s">
        <v>636</v>
      </c>
      <c r="I131" t="s">
        <v>114</v>
      </c>
      <c r="J131" t="s">
        <v>293</v>
      </c>
      <c r="K131" t="s">
        <v>297</v>
      </c>
    </row>
    <row r="132" spans="1:11" x14ac:dyDescent="0.25">
      <c r="A132" t="s">
        <v>290</v>
      </c>
      <c r="B132" t="s">
        <v>652</v>
      </c>
      <c r="C132" t="s">
        <v>637</v>
      </c>
      <c r="G132" t="s">
        <v>296</v>
      </c>
      <c r="H132" t="s">
        <v>636</v>
      </c>
      <c r="I132" t="s">
        <v>114</v>
      </c>
      <c r="J132" t="s">
        <v>293</v>
      </c>
      <c r="K132" t="s">
        <v>297</v>
      </c>
    </row>
    <row r="133" spans="1:11" x14ac:dyDescent="0.25">
      <c r="A133" t="s">
        <v>290</v>
      </c>
      <c r="B133" t="s">
        <v>652</v>
      </c>
      <c r="C133" t="s">
        <v>637</v>
      </c>
      <c r="G133" t="s">
        <v>296</v>
      </c>
      <c r="H133" t="s">
        <v>636</v>
      </c>
      <c r="I133" t="s">
        <v>114</v>
      </c>
      <c r="J133" t="s">
        <v>293</v>
      </c>
      <c r="K133" t="s">
        <v>297</v>
      </c>
    </row>
    <row r="134" spans="1:11" x14ac:dyDescent="0.25">
      <c r="A134" t="s">
        <v>290</v>
      </c>
      <c r="B134" t="s">
        <v>652</v>
      </c>
      <c r="C134" t="s">
        <v>637</v>
      </c>
      <c r="G134" t="s">
        <v>296</v>
      </c>
      <c r="H134" t="s">
        <v>636</v>
      </c>
      <c r="I134" t="s">
        <v>114</v>
      </c>
      <c r="J134" t="s">
        <v>293</v>
      </c>
      <c r="K134" t="s">
        <v>297</v>
      </c>
    </row>
    <row r="135" spans="1:11" x14ac:dyDescent="0.25">
      <c r="A135" t="s">
        <v>290</v>
      </c>
      <c r="B135" t="s">
        <v>652</v>
      </c>
      <c r="C135" t="s">
        <v>644</v>
      </c>
      <c r="G135" t="s">
        <v>296</v>
      </c>
      <c r="H135" t="s">
        <v>636</v>
      </c>
      <c r="I135" t="s">
        <v>114</v>
      </c>
      <c r="J135" t="s">
        <v>293</v>
      </c>
      <c r="K135" t="s">
        <v>297</v>
      </c>
    </row>
    <row r="136" spans="1:11" x14ac:dyDescent="0.25">
      <c r="A136" t="s">
        <v>290</v>
      </c>
      <c r="B136" t="s">
        <v>652</v>
      </c>
      <c r="C136" t="s">
        <v>644</v>
      </c>
      <c r="G136" t="s">
        <v>296</v>
      </c>
      <c r="H136" t="s">
        <v>636</v>
      </c>
      <c r="I136" t="s">
        <v>114</v>
      </c>
      <c r="J136" t="s">
        <v>293</v>
      </c>
      <c r="K136" t="s">
        <v>297</v>
      </c>
    </row>
    <row r="137" spans="1:11" x14ac:dyDescent="0.25">
      <c r="A137" t="s">
        <v>290</v>
      </c>
      <c r="B137" t="s">
        <v>652</v>
      </c>
      <c r="C137" t="s">
        <v>644</v>
      </c>
      <c r="G137" t="s">
        <v>296</v>
      </c>
      <c r="H137" t="s">
        <v>636</v>
      </c>
      <c r="I137" t="s">
        <v>114</v>
      </c>
      <c r="J137" t="s">
        <v>293</v>
      </c>
      <c r="K137" t="s">
        <v>297</v>
      </c>
    </row>
    <row r="138" spans="1:11" x14ac:dyDescent="0.25">
      <c r="A138" t="s">
        <v>290</v>
      </c>
      <c r="B138" t="s">
        <v>652</v>
      </c>
      <c r="C138" t="s">
        <v>645</v>
      </c>
      <c r="G138" t="s">
        <v>296</v>
      </c>
      <c r="H138" t="s">
        <v>636</v>
      </c>
      <c r="I138" t="s">
        <v>114</v>
      </c>
      <c r="J138" t="s">
        <v>293</v>
      </c>
      <c r="K138" t="s">
        <v>297</v>
      </c>
    </row>
    <row r="139" spans="1:11" x14ac:dyDescent="0.25">
      <c r="A139" t="s">
        <v>290</v>
      </c>
      <c r="B139" t="s">
        <v>652</v>
      </c>
      <c r="C139" t="s">
        <v>645</v>
      </c>
      <c r="G139" t="s">
        <v>296</v>
      </c>
      <c r="H139" t="s">
        <v>636</v>
      </c>
      <c r="I139" t="s">
        <v>114</v>
      </c>
      <c r="J139" t="s">
        <v>293</v>
      </c>
      <c r="K139" t="s">
        <v>297</v>
      </c>
    </row>
    <row r="140" spans="1:11" x14ac:dyDescent="0.25">
      <c r="A140" t="s">
        <v>319</v>
      </c>
      <c r="B140" t="s">
        <v>652</v>
      </c>
      <c r="C140" t="s">
        <v>634</v>
      </c>
      <c r="D140" t="s">
        <v>635</v>
      </c>
      <c r="E140" t="s">
        <v>43</v>
      </c>
      <c r="F140" t="s">
        <v>53</v>
      </c>
      <c r="G140" t="s">
        <v>296</v>
      </c>
      <c r="H140" t="s">
        <v>636</v>
      </c>
      <c r="I140" t="s">
        <v>152</v>
      </c>
      <c r="J140" t="s">
        <v>320</v>
      </c>
      <c r="K140" t="s">
        <v>321</v>
      </c>
    </row>
    <row r="141" spans="1:11" x14ac:dyDescent="0.25">
      <c r="A141" t="s">
        <v>319</v>
      </c>
      <c r="B141" t="s">
        <v>652</v>
      </c>
      <c r="C141" t="s">
        <v>634</v>
      </c>
      <c r="D141" t="s">
        <v>635</v>
      </c>
      <c r="E141" t="s">
        <v>43</v>
      </c>
      <c r="F141" t="s">
        <v>49</v>
      </c>
      <c r="G141" t="s">
        <v>296</v>
      </c>
      <c r="H141" t="s">
        <v>636</v>
      </c>
      <c r="I141" t="s">
        <v>152</v>
      </c>
      <c r="J141" t="s">
        <v>320</v>
      </c>
      <c r="K141" t="s">
        <v>321</v>
      </c>
    </row>
    <row r="142" spans="1:11" x14ac:dyDescent="0.25">
      <c r="A142" t="s">
        <v>319</v>
      </c>
      <c r="B142" t="s">
        <v>652</v>
      </c>
      <c r="C142" t="s">
        <v>634</v>
      </c>
      <c r="D142" t="s">
        <v>635</v>
      </c>
      <c r="E142" t="s">
        <v>71</v>
      </c>
      <c r="F142" t="s">
        <v>86</v>
      </c>
      <c r="G142" t="s">
        <v>296</v>
      </c>
      <c r="H142" t="s">
        <v>636</v>
      </c>
      <c r="I142" t="s">
        <v>152</v>
      </c>
      <c r="J142" t="s">
        <v>320</v>
      </c>
      <c r="K142" t="s">
        <v>321</v>
      </c>
    </row>
    <row r="143" spans="1:11" x14ac:dyDescent="0.25">
      <c r="A143" t="s">
        <v>319</v>
      </c>
      <c r="B143" t="s">
        <v>652</v>
      </c>
      <c r="C143" t="s">
        <v>637</v>
      </c>
      <c r="D143" t="s">
        <v>638</v>
      </c>
      <c r="E143" t="s">
        <v>46</v>
      </c>
      <c r="F143" t="s">
        <v>47</v>
      </c>
      <c r="G143" t="s">
        <v>296</v>
      </c>
      <c r="H143" t="s">
        <v>636</v>
      </c>
      <c r="I143" t="s">
        <v>152</v>
      </c>
      <c r="J143" t="s">
        <v>320</v>
      </c>
      <c r="K143" t="s">
        <v>321</v>
      </c>
    </row>
    <row r="144" spans="1:11" x14ac:dyDescent="0.25">
      <c r="A144" t="s">
        <v>319</v>
      </c>
      <c r="B144" t="s">
        <v>652</v>
      </c>
      <c r="C144" t="s">
        <v>637</v>
      </c>
      <c r="D144" t="s">
        <v>638</v>
      </c>
      <c r="E144" t="s">
        <v>69</v>
      </c>
      <c r="F144" t="s">
        <v>80</v>
      </c>
      <c r="G144" t="s">
        <v>296</v>
      </c>
      <c r="H144" t="s">
        <v>636</v>
      </c>
      <c r="I144" t="s">
        <v>152</v>
      </c>
      <c r="J144" t="s">
        <v>320</v>
      </c>
      <c r="K144" t="s">
        <v>321</v>
      </c>
    </row>
    <row r="145" spans="1:11" x14ac:dyDescent="0.25">
      <c r="A145" t="s">
        <v>319</v>
      </c>
      <c r="B145" t="s">
        <v>652</v>
      </c>
      <c r="C145" t="s">
        <v>637</v>
      </c>
      <c r="G145" t="s">
        <v>296</v>
      </c>
      <c r="H145" t="s">
        <v>636</v>
      </c>
      <c r="I145" t="s">
        <v>152</v>
      </c>
      <c r="J145" t="s">
        <v>320</v>
      </c>
      <c r="K145" t="s">
        <v>321</v>
      </c>
    </row>
    <row r="146" spans="1:11" x14ac:dyDescent="0.25">
      <c r="A146" t="s">
        <v>319</v>
      </c>
      <c r="B146" t="s">
        <v>652</v>
      </c>
      <c r="C146" t="s">
        <v>644</v>
      </c>
      <c r="G146" t="s">
        <v>296</v>
      </c>
      <c r="H146" t="s">
        <v>636</v>
      </c>
      <c r="I146" t="s">
        <v>152</v>
      </c>
      <c r="J146" t="s">
        <v>320</v>
      </c>
      <c r="K146" t="s">
        <v>321</v>
      </c>
    </row>
    <row r="147" spans="1:11" x14ac:dyDescent="0.25">
      <c r="A147" t="s">
        <v>319</v>
      </c>
      <c r="B147" t="s">
        <v>652</v>
      </c>
      <c r="C147" t="s">
        <v>644</v>
      </c>
      <c r="G147" t="s">
        <v>296</v>
      </c>
      <c r="H147" t="s">
        <v>636</v>
      </c>
      <c r="I147" t="s">
        <v>152</v>
      </c>
      <c r="J147" t="s">
        <v>320</v>
      </c>
      <c r="K147" t="s">
        <v>321</v>
      </c>
    </row>
    <row r="148" spans="1:11" x14ac:dyDescent="0.25">
      <c r="A148" t="s">
        <v>319</v>
      </c>
      <c r="B148" t="s">
        <v>652</v>
      </c>
      <c r="C148" t="s">
        <v>644</v>
      </c>
      <c r="G148" t="s">
        <v>296</v>
      </c>
      <c r="H148" t="s">
        <v>636</v>
      </c>
      <c r="I148" t="s">
        <v>152</v>
      </c>
      <c r="J148" t="s">
        <v>320</v>
      </c>
      <c r="K148" t="s">
        <v>321</v>
      </c>
    </row>
    <row r="149" spans="1:11" x14ac:dyDescent="0.25">
      <c r="A149" t="s">
        <v>319</v>
      </c>
      <c r="B149" t="s">
        <v>652</v>
      </c>
      <c r="C149" t="s">
        <v>645</v>
      </c>
      <c r="G149" t="s">
        <v>296</v>
      </c>
      <c r="H149" t="s">
        <v>636</v>
      </c>
      <c r="I149" t="s">
        <v>152</v>
      </c>
      <c r="J149" t="s">
        <v>320</v>
      </c>
      <c r="K149" t="s">
        <v>321</v>
      </c>
    </row>
    <row r="150" spans="1:11" x14ac:dyDescent="0.25">
      <c r="A150" t="s">
        <v>319</v>
      </c>
      <c r="B150" t="s">
        <v>652</v>
      </c>
      <c r="C150" t="s">
        <v>645</v>
      </c>
      <c r="G150" t="s">
        <v>296</v>
      </c>
      <c r="H150" t="s">
        <v>636</v>
      </c>
      <c r="I150" t="s">
        <v>152</v>
      </c>
      <c r="J150" t="s">
        <v>320</v>
      </c>
      <c r="K150" t="s">
        <v>321</v>
      </c>
    </row>
    <row r="151" spans="1:11" x14ac:dyDescent="0.25">
      <c r="A151" t="s">
        <v>422</v>
      </c>
      <c r="B151" t="s">
        <v>653</v>
      </c>
      <c r="C151" t="s">
        <v>634</v>
      </c>
      <c r="D151" t="s">
        <v>635</v>
      </c>
      <c r="E151" t="s">
        <v>43</v>
      </c>
      <c r="F151" t="s">
        <v>49</v>
      </c>
      <c r="G151" t="s">
        <v>426</v>
      </c>
      <c r="H151" t="s">
        <v>636</v>
      </c>
      <c r="I151" t="s">
        <v>42</v>
      </c>
      <c r="J151" t="s">
        <v>271</v>
      </c>
      <c r="K151" t="s">
        <v>15</v>
      </c>
    </row>
    <row r="152" spans="1:11" x14ac:dyDescent="0.25">
      <c r="A152" t="s">
        <v>422</v>
      </c>
      <c r="B152" t="s">
        <v>653</v>
      </c>
      <c r="C152" t="s">
        <v>634</v>
      </c>
      <c r="D152" t="s">
        <v>635</v>
      </c>
      <c r="E152" t="s">
        <v>43</v>
      </c>
      <c r="F152" t="s">
        <v>44</v>
      </c>
      <c r="G152" t="s">
        <v>426</v>
      </c>
      <c r="H152" t="s">
        <v>636</v>
      </c>
      <c r="I152" t="s">
        <v>42</v>
      </c>
      <c r="J152" t="s">
        <v>271</v>
      </c>
      <c r="K152" t="s">
        <v>15</v>
      </c>
    </row>
    <row r="153" spans="1:11" x14ac:dyDescent="0.25">
      <c r="A153" t="s">
        <v>422</v>
      </c>
      <c r="B153" t="s">
        <v>653</v>
      </c>
      <c r="C153" t="s">
        <v>634</v>
      </c>
      <c r="D153" t="s">
        <v>638</v>
      </c>
      <c r="E153" t="s">
        <v>69</v>
      </c>
      <c r="F153" t="s">
        <v>74</v>
      </c>
      <c r="G153" t="s">
        <v>426</v>
      </c>
      <c r="H153" t="s">
        <v>636</v>
      </c>
      <c r="I153" t="s">
        <v>42</v>
      </c>
      <c r="J153" t="s">
        <v>271</v>
      </c>
      <c r="K153" t="s">
        <v>15</v>
      </c>
    </row>
    <row r="154" spans="1:11" x14ac:dyDescent="0.25">
      <c r="A154" t="s">
        <v>422</v>
      </c>
      <c r="B154" t="s">
        <v>653</v>
      </c>
      <c r="C154" t="s">
        <v>634</v>
      </c>
      <c r="D154" t="s">
        <v>638</v>
      </c>
      <c r="E154" t="s">
        <v>83</v>
      </c>
      <c r="F154" t="s">
        <v>104</v>
      </c>
      <c r="G154" t="s">
        <v>426</v>
      </c>
      <c r="H154" t="s">
        <v>636</v>
      </c>
      <c r="I154" t="s">
        <v>42</v>
      </c>
      <c r="J154" t="s">
        <v>271</v>
      </c>
      <c r="K154" t="s">
        <v>15</v>
      </c>
    </row>
    <row r="155" spans="1:11" x14ac:dyDescent="0.25">
      <c r="A155" t="s">
        <v>422</v>
      </c>
      <c r="B155" t="s">
        <v>653</v>
      </c>
      <c r="C155" t="s">
        <v>634</v>
      </c>
      <c r="D155" t="s">
        <v>638</v>
      </c>
      <c r="E155" t="s">
        <v>46</v>
      </c>
      <c r="F155" t="s">
        <v>106</v>
      </c>
      <c r="G155" t="s">
        <v>426</v>
      </c>
      <c r="H155" t="s">
        <v>636</v>
      </c>
      <c r="I155" t="s">
        <v>42</v>
      </c>
      <c r="J155" t="s">
        <v>271</v>
      </c>
      <c r="K155" t="s">
        <v>15</v>
      </c>
    </row>
    <row r="156" spans="1:11" x14ac:dyDescent="0.25">
      <c r="A156" t="s">
        <v>422</v>
      </c>
      <c r="B156" t="s">
        <v>653</v>
      </c>
      <c r="C156" t="s">
        <v>634</v>
      </c>
      <c r="D156" t="s">
        <v>640</v>
      </c>
      <c r="E156" t="s">
        <v>63</v>
      </c>
      <c r="F156" t="s">
        <v>67</v>
      </c>
      <c r="G156" t="s">
        <v>426</v>
      </c>
      <c r="H156" t="s">
        <v>636</v>
      </c>
      <c r="I156" t="s">
        <v>42</v>
      </c>
      <c r="J156" t="s">
        <v>271</v>
      </c>
      <c r="K156" t="s">
        <v>15</v>
      </c>
    </row>
    <row r="157" spans="1:11" x14ac:dyDescent="0.25">
      <c r="A157" t="s">
        <v>422</v>
      </c>
      <c r="B157" t="s">
        <v>653</v>
      </c>
      <c r="C157" t="s">
        <v>637</v>
      </c>
      <c r="D157" t="s">
        <v>635</v>
      </c>
      <c r="E157" t="s">
        <v>43</v>
      </c>
      <c r="F157" t="s">
        <v>49</v>
      </c>
      <c r="G157" t="s">
        <v>426</v>
      </c>
      <c r="H157" t="s">
        <v>636</v>
      </c>
      <c r="I157" t="s">
        <v>42</v>
      </c>
      <c r="J157" t="s">
        <v>271</v>
      </c>
      <c r="K157" t="s">
        <v>15</v>
      </c>
    </row>
    <row r="158" spans="1:11" x14ac:dyDescent="0.25">
      <c r="A158" t="s">
        <v>422</v>
      </c>
      <c r="B158" t="s">
        <v>653</v>
      </c>
      <c r="C158" t="s">
        <v>637</v>
      </c>
      <c r="D158" t="s">
        <v>638</v>
      </c>
      <c r="E158" t="s">
        <v>43</v>
      </c>
      <c r="F158" t="s">
        <v>49</v>
      </c>
      <c r="G158" t="s">
        <v>426</v>
      </c>
      <c r="H158" t="s">
        <v>636</v>
      </c>
      <c r="I158" t="s">
        <v>42</v>
      </c>
      <c r="J158" t="s">
        <v>271</v>
      </c>
      <c r="K158" t="s">
        <v>15</v>
      </c>
    </row>
    <row r="159" spans="1:11" x14ac:dyDescent="0.25">
      <c r="A159" t="s">
        <v>422</v>
      </c>
      <c r="B159" t="s">
        <v>653</v>
      </c>
      <c r="C159" t="s">
        <v>637</v>
      </c>
      <c r="D159" t="s">
        <v>638</v>
      </c>
      <c r="E159" t="s">
        <v>43</v>
      </c>
      <c r="F159" t="s">
        <v>44</v>
      </c>
      <c r="G159" t="s">
        <v>426</v>
      </c>
      <c r="H159" t="s">
        <v>636</v>
      </c>
      <c r="I159" t="s">
        <v>42</v>
      </c>
      <c r="J159" t="s">
        <v>271</v>
      </c>
      <c r="K159" t="s">
        <v>15</v>
      </c>
    </row>
    <row r="160" spans="1:11" x14ac:dyDescent="0.25">
      <c r="A160" t="s">
        <v>422</v>
      </c>
      <c r="B160" t="s">
        <v>653</v>
      </c>
      <c r="C160" t="s">
        <v>637</v>
      </c>
      <c r="D160" t="s">
        <v>640</v>
      </c>
      <c r="E160" t="s">
        <v>71</v>
      </c>
      <c r="F160" t="s">
        <v>88</v>
      </c>
      <c r="G160" t="s">
        <v>426</v>
      </c>
      <c r="H160" t="s">
        <v>636</v>
      </c>
      <c r="I160" t="s">
        <v>42</v>
      </c>
      <c r="J160" t="s">
        <v>271</v>
      </c>
      <c r="K160" t="s">
        <v>15</v>
      </c>
    </row>
    <row r="161" spans="1:11" x14ac:dyDescent="0.25">
      <c r="A161" t="s">
        <v>422</v>
      </c>
      <c r="B161" t="s">
        <v>653</v>
      </c>
      <c r="C161" t="s">
        <v>634</v>
      </c>
      <c r="D161" t="s">
        <v>635</v>
      </c>
      <c r="E161" t="s">
        <v>43</v>
      </c>
      <c r="F161" t="s">
        <v>49</v>
      </c>
      <c r="G161" t="s">
        <v>426</v>
      </c>
      <c r="H161" t="s">
        <v>636</v>
      </c>
      <c r="I161" t="s">
        <v>114</v>
      </c>
      <c r="J161" t="s">
        <v>293</v>
      </c>
      <c r="K161" t="s">
        <v>15</v>
      </c>
    </row>
    <row r="162" spans="1:11" x14ac:dyDescent="0.25">
      <c r="A162" t="s">
        <v>422</v>
      </c>
      <c r="B162" t="s">
        <v>653</v>
      </c>
      <c r="C162" t="s">
        <v>634</v>
      </c>
      <c r="D162" t="s">
        <v>635</v>
      </c>
      <c r="E162" t="s">
        <v>43</v>
      </c>
      <c r="F162" t="s">
        <v>44</v>
      </c>
      <c r="G162" t="s">
        <v>426</v>
      </c>
      <c r="H162" t="s">
        <v>636</v>
      </c>
      <c r="I162" t="s">
        <v>114</v>
      </c>
      <c r="J162" t="s">
        <v>293</v>
      </c>
      <c r="K162" t="s">
        <v>15</v>
      </c>
    </row>
    <row r="163" spans="1:11" x14ac:dyDescent="0.25">
      <c r="A163" t="s">
        <v>422</v>
      </c>
      <c r="B163" t="s">
        <v>653</v>
      </c>
      <c r="C163" t="s">
        <v>634</v>
      </c>
      <c r="D163" t="s">
        <v>638</v>
      </c>
      <c r="E163" t="s">
        <v>69</v>
      </c>
      <c r="F163" t="s">
        <v>74</v>
      </c>
      <c r="G163" t="s">
        <v>426</v>
      </c>
      <c r="H163" t="s">
        <v>636</v>
      </c>
      <c r="I163" t="s">
        <v>114</v>
      </c>
      <c r="J163" t="s">
        <v>293</v>
      </c>
      <c r="K163" t="s">
        <v>15</v>
      </c>
    </row>
    <row r="164" spans="1:11" x14ac:dyDescent="0.25">
      <c r="A164" t="s">
        <v>422</v>
      </c>
      <c r="B164" t="s">
        <v>653</v>
      </c>
      <c r="C164" t="s">
        <v>634</v>
      </c>
      <c r="D164" t="s">
        <v>638</v>
      </c>
      <c r="E164" t="s">
        <v>83</v>
      </c>
      <c r="F164" t="s">
        <v>104</v>
      </c>
      <c r="G164" t="s">
        <v>426</v>
      </c>
      <c r="H164" t="s">
        <v>636</v>
      </c>
      <c r="I164" t="s">
        <v>114</v>
      </c>
      <c r="J164" t="s">
        <v>293</v>
      </c>
      <c r="K164" t="s">
        <v>15</v>
      </c>
    </row>
    <row r="165" spans="1:11" x14ac:dyDescent="0.25">
      <c r="A165" t="s">
        <v>422</v>
      </c>
      <c r="B165" t="s">
        <v>653</v>
      </c>
      <c r="C165" t="s">
        <v>634</v>
      </c>
      <c r="D165" t="s">
        <v>638</v>
      </c>
      <c r="E165" t="s">
        <v>46</v>
      </c>
      <c r="F165" t="s">
        <v>106</v>
      </c>
      <c r="G165" t="s">
        <v>426</v>
      </c>
      <c r="H165" t="s">
        <v>636</v>
      </c>
      <c r="I165" t="s">
        <v>114</v>
      </c>
      <c r="J165" t="s">
        <v>293</v>
      </c>
      <c r="K165" t="s">
        <v>15</v>
      </c>
    </row>
    <row r="166" spans="1:11" x14ac:dyDescent="0.25">
      <c r="A166" t="s">
        <v>422</v>
      </c>
      <c r="B166" t="s">
        <v>653</v>
      </c>
      <c r="C166" t="s">
        <v>634</v>
      </c>
      <c r="D166" t="s">
        <v>640</v>
      </c>
      <c r="E166" t="s">
        <v>63</v>
      </c>
      <c r="F166" t="s">
        <v>67</v>
      </c>
      <c r="G166" t="s">
        <v>426</v>
      </c>
      <c r="H166" t="s">
        <v>636</v>
      </c>
      <c r="I166" t="s">
        <v>114</v>
      </c>
      <c r="J166" t="s">
        <v>293</v>
      </c>
      <c r="K166" t="s">
        <v>15</v>
      </c>
    </row>
    <row r="167" spans="1:11" x14ac:dyDescent="0.25">
      <c r="A167" t="s">
        <v>422</v>
      </c>
      <c r="B167" t="s">
        <v>653</v>
      </c>
      <c r="C167" t="s">
        <v>637</v>
      </c>
      <c r="D167" t="s">
        <v>635</v>
      </c>
      <c r="E167" t="s">
        <v>43</v>
      </c>
      <c r="F167" t="s">
        <v>49</v>
      </c>
      <c r="G167" t="s">
        <v>426</v>
      </c>
      <c r="H167" t="s">
        <v>636</v>
      </c>
      <c r="I167" t="s">
        <v>114</v>
      </c>
      <c r="J167" t="s">
        <v>293</v>
      </c>
      <c r="K167" t="s">
        <v>15</v>
      </c>
    </row>
    <row r="168" spans="1:11" x14ac:dyDescent="0.25">
      <c r="A168" t="s">
        <v>422</v>
      </c>
      <c r="B168" t="s">
        <v>653</v>
      </c>
      <c r="C168" t="s">
        <v>637</v>
      </c>
      <c r="D168" t="s">
        <v>638</v>
      </c>
      <c r="E168" t="s">
        <v>43</v>
      </c>
      <c r="F168" t="s">
        <v>49</v>
      </c>
      <c r="G168" t="s">
        <v>426</v>
      </c>
      <c r="H168" t="s">
        <v>636</v>
      </c>
      <c r="I168" t="s">
        <v>114</v>
      </c>
      <c r="J168" t="s">
        <v>293</v>
      </c>
      <c r="K168" t="s">
        <v>15</v>
      </c>
    </row>
    <row r="169" spans="1:11" x14ac:dyDescent="0.25">
      <c r="A169" t="s">
        <v>422</v>
      </c>
      <c r="B169" t="s">
        <v>653</v>
      </c>
      <c r="C169" t="s">
        <v>637</v>
      </c>
      <c r="D169" t="s">
        <v>638</v>
      </c>
      <c r="E169" t="s">
        <v>43</v>
      </c>
      <c r="F169" t="s">
        <v>44</v>
      </c>
      <c r="G169" t="s">
        <v>426</v>
      </c>
      <c r="H169" t="s">
        <v>636</v>
      </c>
      <c r="I169" t="s">
        <v>114</v>
      </c>
      <c r="J169" t="s">
        <v>293</v>
      </c>
      <c r="K169" t="s">
        <v>15</v>
      </c>
    </row>
    <row r="170" spans="1:11" x14ac:dyDescent="0.25">
      <c r="A170" t="s">
        <v>422</v>
      </c>
      <c r="B170" t="s">
        <v>653</v>
      </c>
      <c r="C170" t="s">
        <v>637</v>
      </c>
      <c r="D170" t="s">
        <v>640</v>
      </c>
      <c r="E170" t="s">
        <v>71</v>
      </c>
      <c r="F170" t="s">
        <v>88</v>
      </c>
      <c r="G170" t="s">
        <v>426</v>
      </c>
      <c r="H170" t="s">
        <v>636</v>
      </c>
      <c r="I170" t="s">
        <v>114</v>
      </c>
      <c r="J170" t="s">
        <v>293</v>
      </c>
      <c r="K170" t="s">
        <v>15</v>
      </c>
    </row>
    <row r="171" spans="1:11" x14ac:dyDescent="0.25">
      <c r="A171" t="s">
        <v>422</v>
      </c>
      <c r="B171" t="s">
        <v>653</v>
      </c>
      <c r="C171" t="s">
        <v>634</v>
      </c>
      <c r="D171" t="s">
        <v>635</v>
      </c>
      <c r="E171" t="s">
        <v>43</v>
      </c>
      <c r="F171" t="s">
        <v>49</v>
      </c>
      <c r="G171" t="s">
        <v>426</v>
      </c>
      <c r="H171" t="s">
        <v>636</v>
      </c>
      <c r="I171" t="s">
        <v>133</v>
      </c>
      <c r="J171" t="s">
        <v>312</v>
      </c>
      <c r="K171" t="s">
        <v>15</v>
      </c>
    </row>
    <row r="172" spans="1:11" x14ac:dyDescent="0.25">
      <c r="A172" t="s">
        <v>422</v>
      </c>
      <c r="B172" t="s">
        <v>653</v>
      </c>
      <c r="C172" t="s">
        <v>634</v>
      </c>
      <c r="D172" t="s">
        <v>635</v>
      </c>
      <c r="E172" t="s">
        <v>43</v>
      </c>
      <c r="F172" t="s">
        <v>44</v>
      </c>
      <c r="G172" t="s">
        <v>426</v>
      </c>
      <c r="H172" t="s">
        <v>636</v>
      </c>
      <c r="I172" t="s">
        <v>133</v>
      </c>
      <c r="J172" t="s">
        <v>312</v>
      </c>
      <c r="K172" t="s">
        <v>15</v>
      </c>
    </row>
    <row r="173" spans="1:11" x14ac:dyDescent="0.25">
      <c r="A173" t="s">
        <v>422</v>
      </c>
      <c r="B173" t="s">
        <v>653</v>
      </c>
      <c r="C173" t="s">
        <v>634</v>
      </c>
      <c r="D173" t="s">
        <v>638</v>
      </c>
      <c r="E173" t="s">
        <v>69</v>
      </c>
      <c r="F173" t="s">
        <v>74</v>
      </c>
      <c r="G173" t="s">
        <v>426</v>
      </c>
      <c r="H173" t="s">
        <v>636</v>
      </c>
      <c r="I173" t="s">
        <v>133</v>
      </c>
      <c r="J173" t="s">
        <v>312</v>
      </c>
      <c r="K173" t="s">
        <v>15</v>
      </c>
    </row>
    <row r="174" spans="1:11" x14ac:dyDescent="0.25">
      <c r="A174" t="s">
        <v>422</v>
      </c>
      <c r="B174" t="s">
        <v>653</v>
      </c>
      <c r="C174" t="s">
        <v>634</v>
      </c>
      <c r="D174" t="s">
        <v>638</v>
      </c>
      <c r="E174" t="s">
        <v>83</v>
      </c>
      <c r="F174" t="s">
        <v>104</v>
      </c>
      <c r="G174" t="s">
        <v>426</v>
      </c>
      <c r="H174" t="s">
        <v>636</v>
      </c>
      <c r="I174" t="s">
        <v>133</v>
      </c>
      <c r="J174" t="s">
        <v>312</v>
      </c>
      <c r="K174" t="s">
        <v>15</v>
      </c>
    </row>
    <row r="175" spans="1:11" x14ac:dyDescent="0.25">
      <c r="A175" t="s">
        <v>422</v>
      </c>
      <c r="B175" t="s">
        <v>653</v>
      </c>
      <c r="C175" t="s">
        <v>634</v>
      </c>
      <c r="D175" t="s">
        <v>638</v>
      </c>
      <c r="E175" t="s">
        <v>46</v>
      </c>
      <c r="F175" t="s">
        <v>106</v>
      </c>
      <c r="G175" t="s">
        <v>426</v>
      </c>
      <c r="H175" t="s">
        <v>636</v>
      </c>
      <c r="I175" t="s">
        <v>133</v>
      </c>
      <c r="J175" t="s">
        <v>312</v>
      </c>
      <c r="K175" t="s">
        <v>15</v>
      </c>
    </row>
    <row r="176" spans="1:11" x14ac:dyDescent="0.25">
      <c r="A176" t="s">
        <v>422</v>
      </c>
      <c r="B176" t="s">
        <v>653</v>
      </c>
      <c r="C176" t="s">
        <v>634</v>
      </c>
      <c r="D176" t="s">
        <v>640</v>
      </c>
      <c r="E176" t="s">
        <v>63</v>
      </c>
      <c r="F176" t="s">
        <v>67</v>
      </c>
      <c r="G176" t="s">
        <v>426</v>
      </c>
      <c r="H176" t="s">
        <v>636</v>
      </c>
      <c r="I176" t="s">
        <v>133</v>
      </c>
      <c r="J176" t="s">
        <v>312</v>
      </c>
      <c r="K176" t="s">
        <v>15</v>
      </c>
    </row>
    <row r="177" spans="1:11" x14ac:dyDescent="0.25">
      <c r="A177" t="s">
        <v>422</v>
      </c>
      <c r="B177" t="s">
        <v>653</v>
      </c>
      <c r="C177" t="s">
        <v>637</v>
      </c>
      <c r="D177" t="s">
        <v>635</v>
      </c>
      <c r="E177" t="s">
        <v>43</v>
      </c>
      <c r="F177" t="s">
        <v>49</v>
      </c>
      <c r="G177" t="s">
        <v>426</v>
      </c>
      <c r="H177" t="s">
        <v>636</v>
      </c>
      <c r="I177" t="s">
        <v>133</v>
      </c>
      <c r="J177" t="s">
        <v>312</v>
      </c>
      <c r="K177" t="s">
        <v>15</v>
      </c>
    </row>
    <row r="178" spans="1:11" x14ac:dyDescent="0.25">
      <c r="A178" t="s">
        <v>422</v>
      </c>
      <c r="B178" t="s">
        <v>653</v>
      </c>
      <c r="C178" t="s">
        <v>637</v>
      </c>
      <c r="D178" t="s">
        <v>638</v>
      </c>
      <c r="E178" t="s">
        <v>43</v>
      </c>
      <c r="F178" t="s">
        <v>49</v>
      </c>
      <c r="G178" t="s">
        <v>426</v>
      </c>
      <c r="H178" t="s">
        <v>636</v>
      </c>
      <c r="I178" t="s">
        <v>133</v>
      </c>
      <c r="J178" t="s">
        <v>312</v>
      </c>
      <c r="K178" t="s">
        <v>15</v>
      </c>
    </row>
    <row r="179" spans="1:11" x14ac:dyDescent="0.25">
      <c r="A179" t="s">
        <v>422</v>
      </c>
      <c r="B179" t="s">
        <v>653</v>
      </c>
      <c r="C179" t="s">
        <v>637</v>
      </c>
      <c r="D179" t="s">
        <v>638</v>
      </c>
      <c r="E179" t="s">
        <v>43</v>
      </c>
      <c r="F179" t="s">
        <v>44</v>
      </c>
      <c r="G179" t="s">
        <v>426</v>
      </c>
      <c r="H179" t="s">
        <v>636</v>
      </c>
      <c r="I179" t="s">
        <v>133</v>
      </c>
      <c r="J179" t="s">
        <v>312</v>
      </c>
      <c r="K179" t="s">
        <v>15</v>
      </c>
    </row>
    <row r="180" spans="1:11" x14ac:dyDescent="0.25">
      <c r="A180" t="s">
        <v>422</v>
      </c>
      <c r="B180" t="s">
        <v>653</v>
      </c>
      <c r="C180" t="s">
        <v>637</v>
      </c>
      <c r="D180" t="s">
        <v>640</v>
      </c>
      <c r="E180" t="s">
        <v>71</v>
      </c>
      <c r="F180" t="s">
        <v>88</v>
      </c>
      <c r="G180" t="s">
        <v>426</v>
      </c>
      <c r="H180" t="s">
        <v>636</v>
      </c>
      <c r="I180" t="s">
        <v>133</v>
      </c>
      <c r="J180" t="s">
        <v>312</v>
      </c>
      <c r="K180" t="s">
        <v>15</v>
      </c>
    </row>
    <row r="181" spans="1:11" x14ac:dyDescent="0.25">
      <c r="A181" t="s">
        <v>422</v>
      </c>
      <c r="B181" t="s">
        <v>653</v>
      </c>
      <c r="C181" t="s">
        <v>634</v>
      </c>
      <c r="D181" t="s">
        <v>635</v>
      </c>
      <c r="E181" t="s">
        <v>43</v>
      </c>
      <c r="F181" t="s">
        <v>49</v>
      </c>
      <c r="G181" t="s">
        <v>426</v>
      </c>
      <c r="H181" t="s">
        <v>636</v>
      </c>
      <c r="I181" t="s">
        <v>152</v>
      </c>
      <c r="J181" t="s">
        <v>320</v>
      </c>
      <c r="K181" t="s">
        <v>15</v>
      </c>
    </row>
    <row r="182" spans="1:11" x14ac:dyDescent="0.25">
      <c r="A182" t="s">
        <v>422</v>
      </c>
      <c r="B182" t="s">
        <v>653</v>
      </c>
      <c r="C182" t="s">
        <v>634</v>
      </c>
      <c r="D182" t="s">
        <v>635</v>
      </c>
      <c r="E182" t="s">
        <v>43</v>
      </c>
      <c r="F182" t="s">
        <v>44</v>
      </c>
      <c r="G182" t="s">
        <v>426</v>
      </c>
      <c r="H182" t="s">
        <v>636</v>
      </c>
      <c r="I182" t="s">
        <v>152</v>
      </c>
      <c r="J182" t="s">
        <v>320</v>
      </c>
      <c r="K182" t="s">
        <v>15</v>
      </c>
    </row>
    <row r="183" spans="1:11" x14ac:dyDescent="0.25">
      <c r="A183" t="s">
        <v>422</v>
      </c>
      <c r="B183" t="s">
        <v>653</v>
      </c>
      <c r="C183" t="s">
        <v>634</v>
      </c>
      <c r="D183" t="s">
        <v>638</v>
      </c>
      <c r="E183" t="s">
        <v>69</v>
      </c>
      <c r="F183" t="s">
        <v>74</v>
      </c>
      <c r="G183" t="s">
        <v>426</v>
      </c>
      <c r="H183" t="s">
        <v>636</v>
      </c>
      <c r="I183" t="s">
        <v>152</v>
      </c>
      <c r="J183" t="s">
        <v>320</v>
      </c>
      <c r="K183" t="s">
        <v>15</v>
      </c>
    </row>
    <row r="184" spans="1:11" x14ac:dyDescent="0.25">
      <c r="A184" t="s">
        <v>422</v>
      </c>
      <c r="B184" t="s">
        <v>653</v>
      </c>
      <c r="C184" t="s">
        <v>634</v>
      </c>
      <c r="D184" t="s">
        <v>638</v>
      </c>
      <c r="E184" t="s">
        <v>83</v>
      </c>
      <c r="F184" t="s">
        <v>104</v>
      </c>
      <c r="G184" t="s">
        <v>426</v>
      </c>
      <c r="H184" t="s">
        <v>636</v>
      </c>
      <c r="I184" t="s">
        <v>152</v>
      </c>
      <c r="J184" t="s">
        <v>320</v>
      </c>
      <c r="K184" t="s">
        <v>15</v>
      </c>
    </row>
    <row r="185" spans="1:11" x14ac:dyDescent="0.25">
      <c r="A185" t="s">
        <v>422</v>
      </c>
      <c r="B185" t="s">
        <v>653</v>
      </c>
      <c r="C185" t="s">
        <v>634</v>
      </c>
      <c r="D185" t="s">
        <v>638</v>
      </c>
      <c r="E185" t="s">
        <v>46</v>
      </c>
      <c r="F185" t="s">
        <v>106</v>
      </c>
      <c r="G185" t="s">
        <v>426</v>
      </c>
      <c r="H185" t="s">
        <v>636</v>
      </c>
      <c r="I185" t="s">
        <v>152</v>
      </c>
      <c r="J185" t="s">
        <v>320</v>
      </c>
      <c r="K185" t="s">
        <v>15</v>
      </c>
    </row>
    <row r="186" spans="1:11" x14ac:dyDescent="0.25">
      <c r="A186" t="s">
        <v>422</v>
      </c>
      <c r="B186" t="s">
        <v>653</v>
      </c>
      <c r="C186" t="s">
        <v>634</v>
      </c>
      <c r="D186" t="s">
        <v>640</v>
      </c>
      <c r="E186" t="s">
        <v>63</v>
      </c>
      <c r="F186" t="s">
        <v>67</v>
      </c>
      <c r="G186" t="s">
        <v>426</v>
      </c>
      <c r="H186" t="s">
        <v>636</v>
      </c>
      <c r="I186" t="s">
        <v>152</v>
      </c>
      <c r="J186" t="s">
        <v>320</v>
      </c>
      <c r="K186" t="s">
        <v>15</v>
      </c>
    </row>
    <row r="187" spans="1:11" x14ac:dyDescent="0.25">
      <c r="A187" t="s">
        <v>422</v>
      </c>
      <c r="B187" t="s">
        <v>653</v>
      </c>
      <c r="C187" t="s">
        <v>637</v>
      </c>
      <c r="D187" t="s">
        <v>635</v>
      </c>
      <c r="E187" t="s">
        <v>43</v>
      </c>
      <c r="F187" t="s">
        <v>49</v>
      </c>
      <c r="G187" t="s">
        <v>426</v>
      </c>
      <c r="H187" t="s">
        <v>636</v>
      </c>
      <c r="I187" t="s">
        <v>152</v>
      </c>
      <c r="J187" t="s">
        <v>320</v>
      </c>
      <c r="K187" t="s">
        <v>15</v>
      </c>
    </row>
    <row r="188" spans="1:11" x14ac:dyDescent="0.25">
      <c r="A188" t="s">
        <v>422</v>
      </c>
      <c r="B188" t="s">
        <v>653</v>
      </c>
      <c r="C188" t="s">
        <v>637</v>
      </c>
      <c r="D188" t="s">
        <v>638</v>
      </c>
      <c r="E188" t="s">
        <v>43</v>
      </c>
      <c r="F188" t="s">
        <v>49</v>
      </c>
      <c r="G188" t="s">
        <v>426</v>
      </c>
      <c r="H188" t="s">
        <v>636</v>
      </c>
      <c r="I188" t="s">
        <v>152</v>
      </c>
      <c r="J188" t="s">
        <v>320</v>
      </c>
      <c r="K188" t="s">
        <v>15</v>
      </c>
    </row>
    <row r="189" spans="1:11" x14ac:dyDescent="0.25">
      <c r="A189" t="s">
        <v>422</v>
      </c>
      <c r="B189" t="s">
        <v>653</v>
      </c>
      <c r="C189" t="s">
        <v>637</v>
      </c>
      <c r="D189" t="s">
        <v>638</v>
      </c>
      <c r="E189" t="s">
        <v>43</v>
      </c>
      <c r="F189" t="s">
        <v>44</v>
      </c>
      <c r="G189" t="s">
        <v>426</v>
      </c>
      <c r="H189" t="s">
        <v>636</v>
      </c>
      <c r="I189" t="s">
        <v>152</v>
      </c>
      <c r="J189" t="s">
        <v>320</v>
      </c>
      <c r="K189" t="s">
        <v>15</v>
      </c>
    </row>
    <row r="190" spans="1:11" x14ac:dyDescent="0.25">
      <c r="A190" t="s">
        <v>422</v>
      </c>
      <c r="B190" t="s">
        <v>653</v>
      </c>
      <c r="C190" t="s">
        <v>637</v>
      </c>
      <c r="D190" t="s">
        <v>640</v>
      </c>
      <c r="E190" t="s">
        <v>71</v>
      </c>
      <c r="F190" t="s">
        <v>88</v>
      </c>
      <c r="G190" t="s">
        <v>426</v>
      </c>
      <c r="H190" t="s">
        <v>636</v>
      </c>
      <c r="I190" t="s">
        <v>152</v>
      </c>
      <c r="J190" t="s">
        <v>320</v>
      </c>
      <c r="K190" t="s">
        <v>15</v>
      </c>
    </row>
    <row r="191" spans="1:11" x14ac:dyDescent="0.25">
      <c r="A191" t="s">
        <v>290</v>
      </c>
      <c r="B191" t="s">
        <v>654</v>
      </c>
      <c r="C191" t="s">
        <v>634</v>
      </c>
      <c r="D191" t="s">
        <v>635</v>
      </c>
      <c r="E191" t="s">
        <v>43</v>
      </c>
      <c r="F191" t="s">
        <v>53</v>
      </c>
      <c r="G191" t="s">
        <v>299</v>
      </c>
      <c r="H191" t="s">
        <v>636</v>
      </c>
      <c r="I191" t="s">
        <v>114</v>
      </c>
      <c r="J191" t="s">
        <v>293</v>
      </c>
      <c r="K191" t="s">
        <v>300</v>
      </c>
    </row>
    <row r="192" spans="1:11" x14ac:dyDescent="0.25">
      <c r="A192" t="s">
        <v>290</v>
      </c>
      <c r="B192" t="s">
        <v>654</v>
      </c>
      <c r="C192" t="s">
        <v>634</v>
      </c>
      <c r="D192" t="s">
        <v>635</v>
      </c>
      <c r="E192" t="s">
        <v>43</v>
      </c>
      <c r="F192" t="s">
        <v>49</v>
      </c>
      <c r="G192" t="s">
        <v>299</v>
      </c>
      <c r="H192" t="s">
        <v>636</v>
      </c>
      <c r="I192" t="s">
        <v>114</v>
      </c>
      <c r="J192" t="s">
        <v>293</v>
      </c>
      <c r="K192" t="s">
        <v>300</v>
      </c>
    </row>
    <row r="193" spans="1:11" x14ac:dyDescent="0.25">
      <c r="A193" t="s">
        <v>290</v>
      </c>
      <c r="B193" t="s">
        <v>654</v>
      </c>
      <c r="C193" t="s">
        <v>634</v>
      </c>
      <c r="D193" t="s">
        <v>635</v>
      </c>
      <c r="E193" t="s">
        <v>71</v>
      </c>
      <c r="F193" t="s">
        <v>86</v>
      </c>
      <c r="G193" t="s">
        <v>299</v>
      </c>
      <c r="H193" t="s">
        <v>636</v>
      </c>
      <c r="I193" t="s">
        <v>114</v>
      </c>
      <c r="J193" t="s">
        <v>293</v>
      </c>
      <c r="K193" t="s">
        <v>300</v>
      </c>
    </row>
    <row r="194" spans="1:11" x14ac:dyDescent="0.25">
      <c r="A194" t="s">
        <v>290</v>
      </c>
      <c r="B194" t="s">
        <v>654</v>
      </c>
      <c r="C194" t="s">
        <v>637</v>
      </c>
      <c r="D194" t="s">
        <v>638</v>
      </c>
      <c r="E194" t="s">
        <v>46</v>
      </c>
      <c r="F194" t="s">
        <v>47</v>
      </c>
      <c r="G194" t="s">
        <v>299</v>
      </c>
      <c r="H194" t="s">
        <v>636</v>
      </c>
      <c r="I194" t="s">
        <v>114</v>
      </c>
      <c r="J194" t="s">
        <v>293</v>
      </c>
      <c r="K194" t="s">
        <v>300</v>
      </c>
    </row>
    <row r="195" spans="1:11" x14ac:dyDescent="0.25">
      <c r="A195" t="s">
        <v>290</v>
      </c>
      <c r="B195" t="s">
        <v>654</v>
      </c>
      <c r="C195" t="s">
        <v>637</v>
      </c>
      <c r="D195" t="s">
        <v>638</v>
      </c>
      <c r="E195" t="s">
        <v>69</v>
      </c>
      <c r="F195" t="s">
        <v>80</v>
      </c>
      <c r="G195" t="s">
        <v>299</v>
      </c>
      <c r="H195" t="s">
        <v>636</v>
      </c>
      <c r="I195" t="s">
        <v>114</v>
      </c>
      <c r="J195" t="s">
        <v>293</v>
      </c>
      <c r="K195" t="s">
        <v>300</v>
      </c>
    </row>
    <row r="196" spans="1:11" x14ac:dyDescent="0.25">
      <c r="A196" t="s">
        <v>290</v>
      </c>
      <c r="B196" t="s">
        <v>654</v>
      </c>
      <c r="C196" t="s">
        <v>637</v>
      </c>
      <c r="G196" t="s">
        <v>299</v>
      </c>
      <c r="H196" t="s">
        <v>636</v>
      </c>
      <c r="I196" t="s">
        <v>114</v>
      </c>
      <c r="J196" t="s">
        <v>293</v>
      </c>
      <c r="K196" t="s">
        <v>300</v>
      </c>
    </row>
    <row r="197" spans="1:11" x14ac:dyDescent="0.25">
      <c r="A197" t="s">
        <v>290</v>
      </c>
      <c r="B197" t="s">
        <v>654</v>
      </c>
      <c r="C197" t="s">
        <v>644</v>
      </c>
      <c r="G197" t="s">
        <v>299</v>
      </c>
      <c r="H197" t="s">
        <v>636</v>
      </c>
      <c r="I197" t="s">
        <v>114</v>
      </c>
      <c r="J197" t="s">
        <v>293</v>
      </c>
      <c r="K197" t="s">
        <v>300</v>
      </c>
    </row>
    <row r="198" spans="1:11" x14ac:dyDescent="0.25">
      <c r="A198" t="s">
        <v>290</v>
      </c>
      <c r="B198" t="s">
        <v>654</v>
      </c>
      <c r="C198" t="s">
        <v>644</v>
      </c>
      <c r="G198" t="s">
        <v>299</v>
      </c>
      <c r="H198" t="s">
        <v>636</v>
      </c>
      <c r="I198" t="s">
        <v>114</v>
      </c>
      <c r="J198" t="s">
        <v>293</v>
      </c>
      <c r="K198" t="s">
        <v>300</v>
      </c>
    </row>
    <row r="199" spans="1:11" x14ac:dyDescent="0.25">
      <c r="A199" t="s">
        <v>290</v>
      </c>
      <c r="B199" t="s">
        <v>654</v>
      </c>
      <c r="C199" t="s">
        <v>644</v>
      </c>
      <c r="G199" t="s">
        <v>299</v>
      </c>
      <c r="H199" t="s">
        <v>636</v>
      </c>
      <c r="I199" t="s">
        <v>114</v>
      </c>
      <c r="J199" t="s">
        <v>293</v>
      </c>
      <c r="K199" t="s">
        <v>300</v>
      </c>
    </row>
    <row r="200" spans="1:11" x14ac:dyDescent="0.25">
      <c r="A200" t="s">
        <v>290</v>
      </c>
      <c r="B200" t="s">
        <v>654</v>
      </c>
      <c r="C200" t="s">
        <v>645</v>
      </c>
      <c r="G200" t="s">
        <v>299</v>
      </c>
      <c r="H200" t="s">
        <v>636</v>
      </c>
      <c r="I200" t="s">
        <v>114</v>
      </c>
      <c r="J200" t="s">
        <v>293</v>
      </c>
      <c r="K200" t="s">
        <v>300</v>
      </c>
    </row>
    <row r="201" spans="1:11" x14ac:dyDescent="0.25">
      <c r="A201" t="s">
        <v>290</v>
      </c>
      <c r="B201" t="s">
        <v>654</v>
      </c>
      <c r="C201" t="s">
        <v>645</v>
      </c>
      <c r="G201" t="s">
        <v>299</v>
      </c>
      <c r="H201" t="s">
        <v>636</v>
      </c>
      <c r="I201" t="s">
        <v>114</v>
      </c>
      <c r="J201" t="s">
        <v>293</v>
      </c>
      <c r="K201" t="s">
        <v>300</v>
      </c>
    </row>
    <row r="202" spans="1:11" x14ac:dyDescent="0.25">
      <c r="A202" t="s">
        <v>422</v>
      </c>
      <c r="B202" t="s">
        <v>655</v>
      </c>
      <c r="C202" t="s">
        <v>634</v>
      </c>
      <c r="D202" t="s">
        <v>635</v>
      </c>
      <c r="E202" t="s">
        <v>43</v>
      </c>
      <c r="F202" t="s">
        <v>53</v>
      </c>
      <c r="G202" t="s">
        <v>428</v>
      </c>
      <c r="H202" t="s">
        <v>636</v>
      </c>
      <c r="I202" t="s">
        <v>42</v>
      </c>
      <c r="J202" t="s">
        <v>271</v>
      </c>
      <c r="K202" t="s">
        <v>17</v>
      </c>
    </row>
    <row r="203" spans="1:11" x14ac:dyDescent="0.25">
      <c r="A203" t="s">
        <v>422</v>
      </c>
      <c r="B203" t="s">
        <v>655</v>
      </c>
      <c r="C203" t="s">
        <v>634</v>
      </c>
      <c r="D203" t="s">
        <v>635</v>
      </c>
      <c r="E203" t="s">
        <v>71</v>
      </c>
      <c r="F203" t="s">
        <v>72</v>
      </c>
      <c r="G203" t="s">
        <v>428</v>
      </c>
      <c r="H203" t="s">
        <v>636</v>
      </c>
      <c r="I203" t="s">
        <v>42</v>
      </c>
      <c r="J203" t="s">
        <v>271</v>
      </c>
      <c r="K203" t="s">
        <v>17</v>
      </c>
    </row>
    <row r="204" spans="1:11" x14ac:dyDescent="0.25">
      <c r="A204" t="s">
        <v>422</v>
      </c>
      <c r="B204" t="s">
        <v>655</v>
      </c>
      <c r="C204" t="s">
        <v>637</v>
      </c>
      <c r="D204" t="s">
        <v>638</v>
      </c>
      <c r="E204" t="s">
        <v>43</v>
      </c>
      <c r="F204" t="s">
        <v>57</v>
      </c>
      <c r="G204" t="s">
        <v>428</v>
      </c>
      <c r="H204" t="s">
        <v>636</v>
      </c>
      <c r="I204" t="s">
        <v>42</v>
      </c>
      <c r="J204" t="s">
        <v>271</v>
      </c>
      <c r="K204" t="s">
        <v>17</v>
      </c>
    </row>
    <row r="205" spans="1:11" x14ac:dyDescent="0.25">
      <c r="A205" t="s">
        <v>422</v>
      </c>
      <c r="B205" t="s">
        <v>655</v>
      </c>
      <c r="C205" t="s">
        <v>637</v>
      </c>
      <c r="D205" t="s">
        <v>638</v>
      </c>
      <c r="E205" t="s">
        <v>46</v>
      </c>
      <c r="F205" t="s">
        <v>51</v>
      </c>
      <c r="G205" t="s">
        <v>428</v>
      </c>
      <c r="H205" t="s">
        <v>636</v>
      </c>
      <c r="I205" t="s">
        <v>42</v>
      </c>
      <c r="J205" t="s">
        <v>271</v>
      </c>
      <c r="K205" t="s">
        <v>17</v>
      </c>
    </row>
    <row r="206" spans="1:11" x14ac:dyDescent="0.25">
      <c r="A206" t="s">
        <v>422</v>
      </c>
      <c r="B206" t="s">
        <v>655</v>
      </c>
      <c r="C206" t="s">
        <v>637</v>
      </c>
      <c r="D206" t="s">
        <v>638</v>
      </c>
      <c r="E206" t="s">
        <v>69</v>
      </c>
      <c r="F206" t="s">
        <v>74</v>
      </c>
      <c r="G206" t="s">
        <v>428</v>
      </c>
      <c r="H206" t="s">
        <v>636</v>
      </c>
      <c r="I206" t="s">
        <v>42</v>
      </c>
      <c r="J206" t="s">
        <v>271</v>
      </c>
      <c r="K206" t="s">
        <v>17</v>
      </c>
    </row>
    <row r="207" spans="1:11" x14ac:dyDescent="0.25">
      <c r="A207" t="s">
        <v>422</v>
      </c>
      <c r="B207" t="s">
        <v>655</v>
      </c>
      <c r="C207" t="s">
        <v>637</v>
      </c>
      <c r="D207" t="s">
        <v>638</v>
      </c>
      <c r="E207" t="s">
        <v>71</v>
      </c>
      <c r="F207" t="s">
        <v>72</v>
      </c>
      <c r="G207" t="s">
        <v>428</v>
      </c>
      <c r="H207" t="s">
        <v>636</v>
      </c>
      <c r="I207" t="s">
        <v>42</v>
      </c>
      <c r="J207" t="s">
        <v>271</v>
      </c>
      <c r="K207" t="s">
        <v>17</v>
      </c>
    </row>
    <row r="208" spans="1:11" x14ac:dyDescent="0.25">
      <c r="A208" t="s">
        <v>422</v>
      </c>
      <c r="B208" t="s">
        <v>655</v>
      </c>
      <c r="C208" t="s">
        <v>637</v>
      </c>
      <c r="D208" t="s">
        <v>638</v>
      </c>
      <c r="E208" t="s">
        <v>110</v>
      </c>
      <c r="F208" t="s">
        <v>142</v>
      </c>
      <c r="G208" t="s">
        <v>428</v>
      </c>
      <c r="H208" t="s">
        <v>636</v>
      </c>
      <c r="I208" t="s">
        <v>42</v>
      </c>
      <c r="J208" t="s">
        <v>271</v>
      </c>
      <c r="K208" t="s">
        <v>17</v>
      </c>
    </row>
    <row r="209" spans="1:11" x14ac:dyDescent="0.25">
      <c r="A209" t="s">
        <v>422</v>
      </c>
      <c r="B209" t="s">
        <v>655</v>
      </c>
      <c r="C209" t="s">
        <v>637</v>
      </c>
      <c r="D209" t="s">
        <v>638</v>
      </c>
      <c r="E209" t="s">
        <v>110</v>
      </c>
      <c r="F209" t="s">
        <v>137</v>
      </c>
      <c r="G209" t="s">
        <v>428</v>
      </c>
      <c r="H209" t="s">
        <v>636</v>
      </c>
      <c r="I209" t="s">
        <v>42</v>
      </c>
      <c r="J209" t="s">
        <v>271</v>
      </c>
      <c r="K209" t="s">
        <v>17</v>
      </c>
    </row>
    <row r="210" spans="1:11" x14ac:dyDescent="0.25">
      <c r="A210" t="s">
        <v>422</v>
      </c>
      <c r="B210" t="s">
        <v>655</v>
      </c>
      <c r="C210" t="s">
        <v>637</v>
      </c>
      <c r="D210" t="s">
        <v>638</v>
      </c>
      <c r="E210" t="s">
        <v>110</v>
      </c>
      <c r="F210" t="s">
        <v>111</v>
      </c>
      <c r="G210" t="s">
        <v>428</v>
      </c>
      <c r="H210" t="s">
        <v>636</v>
      </c>
      <c r="I210" t="s">
        <v>42</v>
      </c>
      <c r="J210" t="s">
        <v>271</v>
      </c>
      <c r="K210" t="s">
        <v>17</v>
      </c>
    </row>
    <row r="211" spans="1:11" x14ac:dyDescent="0.25">
      <c r="A211" t="s">
        <v>422</v>
      </c>
      <c r="B211" t="s">
        <v>655</v>
      </c>
      <c r="C211" t="s">
        <v>637</v>
      </c>
      <c r="D211" t="s">
        <v>638</v>
      </c>
      <c r="E211" t="s">
        <v>110</v>
      </c>
      <c r="F211" t="s">
        <v>146</v>
      </c>
      <c r="G211" t="s">
        <v>428</v>
      </c>
      <c r="H211" t="s">
        <v>636</v>
      </c>
      <c r="I211" t="s">
        <v>42</v>
      </c>
      <c r="J211" t="s">
        <v>271</v>
      </c>
      <c r="K211" t="s">
        <v>17</v>
      </c>
    </row>
    <row r="212" spans="1:11" x14ac:dyDescent="0.25">
      <c r="A212" t="s">
        <v>422</v>
      </c>
      <c r="B212" t="s">
        <v>655</v>
      </c>
      <c r="C212" t="s">
        <v>637</v>
      </c>
      <c r="D212" t="s">
        <v>638</v>
      </c>
      <c r="E212" t="s">
        <v>93</v>
      </c>
      <c r="F212" t="s">
        <v>135</v>
      </c>
      <c r="G212" t="s">
        <v>428</v>
      </c>
      <c r="H212" t="s">
        <v>636</v>
      </c>
      <c r="I212" t="s">
        <v>42</v>
      </c>
      <c r="J212" t="s">
        <v>271</v>
      </c>
      <c r="K212" t="s">
        <v>17</v>
      </c>
    </row>
    <row r="213" spans="1:11" x14ac:dyDescent="0.25">
      <c r="A213" t="s">
        <v>422</v>
      </c>
      <c r="B213" t="s">
        <v>655</v>
      </c>
      <c r="C213" t="s">
        <v>637</v>
      </c>
      <c r="D213" t="s">
        <v>640</v>
      </c>
      <c r="E213" t="s">
        <v>43</v>
      </c>
      <c r="F213" t="s">
        <v>57</v>
      </c>
      <c r="G213" t="s">
        <v>428</v>
      </c>
      <c r="H213" t="s">
        <v>636</v>
      </c>
      <c r="I213" t="s">
        <v>42</v>
      </c>
      <c r="J213" t="s">
        <v>271</v>
      </c>
      <c r="K213" t="s">
        <v>17</v>
      </c>
    </row>
    <row r="214" spans="1:11" x14ac:dyDescent="0.25">
      <c r="A214" t="s">
        <v>422</v>
      </c>
      <c r="B214" t="s">
        <v>655</v>
      </c>
      <c r="C214" t="s">
        <v>637</v>
      </c>
      <c r="D214" t="s">
        <v>640</v>
      </c>
      <c r="E214" t="s">
        <v>46</v>
      </c>
      <c r="F214" t="s">
        <v>51</v>
      </c>
      <c r="G214" t="s">
        <v>428</v>
      </c>
      <c r="H214" t="s">
        <v>636</v>
      </c>
      <c r="I214" t="s">
        <v>42</v>
      </c>
      <c r="J214" t="s">
        <v>271</v>
      </c>
      <c r="K214" t="s">
        <v>17</v>
      </c>
    </row>
    <row r="215" spans="1:11" x14ac:dyDescent="0.25">
      <c r="A215" t="s">
        <v>422</v>
      </c>
      <c r="B215" t="s">
        <v>655</v>
      </c>
      <c r="C215" t="s">
        <v>637</v>
      </c>
      <c r="D215" t="s">
        <v>640</v>
      </c>
      <c r="E215" t="s">
        <v>69</v>
      </c>
      <c r="F215" t="s">
        <v>74</v>
      </c>
      <c r="G215" t="s">
        <v>428</v>
      </c>
      <c r="H215" t="s">
        <v>636</v>
      </c>
      <c r="I215" t="s">
        <v>42</v>
      </c>
      <c r="J215" t="s">
        <v>271</v>
      </c>
      <c r="K215" t="s">
        <v>17</v>
      </c>
    </row>
    <row r="216" spans="1:11" x14ac:dyDescent="0.25">
      <c r="A216" t="s">
        <v>422</v>
      </c>
      <c r="B216" t="s">
        <v>655</v>
      </c>
      <c r="C216" t="s">
        <v>637</v>
      </c>
      <c r="D216" t="s">
        <v>640</v>
      </c>
      <c r="E216" t="s">
        <v>71</v>
      </c>
      <c r="F216" t="s">
        <v>72</v>
      </c>
      <c r="G216" t="s">
        <v>428</v>
      </c>
      <c r="H216" t="s">
        <v>636</v>
      </c>
      <c r="I216" t="s">
        <v>42</v>
      </c>
      <c r="J216" t="s">
        <v>271</v>
      </c>
      <c r="K216" t="s">
        <v>17</v>
      </c>
    </row>
    <row r="217" spans="1:11" x14ac:dyDescent="0.25">
      <c r="A217" t="s">
        <v>422</v>
      </c>
      <c r="B217" t="s">
        <v>655</v>
      </c>
      <c r="C217" t="s">
        <v>637</v>
      </c>
      <c r="D217" t="s">
        <v>640</v>
      </c>
      <c r="E217" t="s">
        <v>110</v>
      </c>
      <c r="F217" t="s">
        <v>142</v>
      </c>
      <c r="G217" t="s">
        <v>428</v>
      </c>
      <c r="H217" t="s">
        <v>636</v>
      </c>
      <c r="I217" t="s">
        <v>42</v>
      </c>
      <c r="J217" t="s">
        <v>271</v>
      </c>
      <c r="K217" t="s">
        <v>17</v>
      </c>
    </row>
    <row r="218" spans="1:11" x14ac:dyDescent="0.25">
      <c r="A218" t="s">
        <v>422</v>
      </c>
      <c r="B218" t="s">
        <v>655</v>
      </c>
      <c r="C218" t="s">
        <v>637</v>
      </c>
      <c r="D218" t="s">
        <v>640</v>
      </c>
      <c r="E218" t="s">
        <v>110</v>
      </c>
      <c r="F218" t="s">
        <v>137</v>
      </c>
      <c r="G218" t="s">
        <v>428</v>
      </c>
      <c r="H218" t="s">
        <v>636</v>
      </c>
      <c r="I218" t="s">
        <v>42</v>
      </c>
      <c r="J218" t="s">
        <v>271</v>
      </c>
      <c r="K218" t="s">
        <v>17</v>
      </c>
    </row>
    <row r="219" spans="1:11" x14ac:dyDescent="0.25">
      <c r="A219" t="s">
        <v>422</v>
      </c>
      <c r="B219" t="s">
        <v>655</v>
      </c>
      <c r="C219" t="s">
        <v>637</v>
      </c>
      <c r="D219" t="s">
        <v>640</v>
      </c>
      <c r="E219" t="s">
        <v>110</v>
      </c>
      <c r="F219" t="s">
        <v>111</v>
      </c>
      <c r="G219" t="s">
        <v>428</v>
      </c>
      <c r="H219" t="s">
        <v>636</v>
      </c>
      <c r="I219" t="s">
        <v>42</v>
      </c>
      <c r="J219" t="s">
        <v>271</v>
      </c>
      <c r="K219" t="s">
        <v>17</v>
      </c>
    </row>
    <row r="220" spans="1:11" x14ac:dyDescent="0.25">
      <c r="A220" t="s">
        <v>422</v>
      </c>
      <c r="B220" t="s">
        <v>655</v>
      </c>
      <c r="C220" t="s">
        <v>637</v>
      </c>
      <c r="D220" t="s">
        <v>640</v>
      </c>
      <c r="E220" t="s">
        <v>110</v>
      </c>
      <c r="F220" t="s">
        <v>146</v>
      </c>
      <c r="G220" t="s">
        <v>428</v>
      </c>
      <c r="H220" t="s">
        <v>636</v>
      </c>
      <c r="I220" t="s">
        <v>42</v>
      </c>
      <c r="J220" t="s">
        <v>271</v>
      </c>
      <c r="K220" t="s">
        <v>17</v>
      </c>
    </row>
    <row r="221" spans="1:11" x14ac:dyDescent="0.25">
      <c r="A221" t="s">
        <v>422</v>
      </c>
      <c r="B221" t="s">
        <v>655</v>
      </c>
      <c r="C221" t="s">
        <v>637</v>
      </c>
      <c r="D221" t="s">
        <v>640</v>
      </c>
      <c r="E221" t="s">
        <v>93</v>
      </c>
      <c r="F221" t="s">
        <v>135</v>
      </c>
      <c r="G221" t="s">
        <v>428</v>
      </c>
      <c r="H221" t="s">
        <v>636</v>
      </c>
      <c r="I221" t="s">
        <v>42</v>
      </c>
      <c r="J221" t="s">
        <v>271</v>
      </c>
      <c r="K221" t="s">
        <v>17</v>
      </c>
    </row>
    <row r="222" spans="1:11" x14ac:dyDescent="0.25">
      <c r="A222" t="s">
        <v>422</v>
      </c>
      <c r="B222" t="s">
        <v>655</v>
      </c>
      <c r="C222" t="s">
        <v>634</v>
      </c>
      <c r="D222" t="s">
        <v>635</v>
      </c>
      <c r="E222" t="s">
        <v>43</v>
      </c>
      <c r="F222" t="s">
        <v>53</v>
      </c>
      <c r="G222" t="s">
        <v>428</v>
      </c>
      <c r="H222" t="s">
        <v>636</v>
      </c>
      <c r="I222" t="s">
        <v>114</v>
      </c>
      <c r="J222" t="s">
        <v>293</v>
      </c>
      <c r="K222" t="s">
        <v>17</v>
      </c>
    </row>
    <row r="223" spans="1:11" x14ac:dyDescent="0.25">
      <c r="A223" t="s">
        <v>422</v>
      </c>
      <c r="B223" t="s">
        <v>655</v>
      </c>
      <c r="C223" t="s">
        <v>634</v>
      </c>
      <c r="D223" t="s">
        <v>635</v>
      </c>
      <c r="E223" t="s">
        <v>71</v>
      </c>
      <c r="F223" t="s">
        <v>72</v>
      </c>
      <c r="G223" t="s">
        <v>428</v>
      </c>
      <c r="H223" t="s">
        <v>636</v>
      </c>
      <c r="I223" t="s">
        <v>114</v>
      </c>
      <c r="J223" t="s">
        <v>293</v>
      </c>
      <c r="K223" t="s">
        <v>17</v>
      </c>
    </row>
    <row r="224" spans="1:11" x14ac:dyDescent="0.25">
      <c r="A224" t="s">
        <v>422</v>
      </c>
      <c r="B224" t="s">
        <v>655</v>
      </c>
      <c r="C224" t="s">
        <v>637</v>
      </c>
      <c r="D224" t="s">
        <v>638</v>
      </c>
      <c r="E224" t="s">
        <v>43</v>
      </c>
      <c r="F224" t="s">
        <v>57</v>
      </c>
      <c r="G224" t="s">
        <v>428</v>
      </c>
      <c r="H224" t="s">
        <v>636</v>
      </c>
      <c r="I224" t="s">
        <v>114</v>
      </c>
      <c r="J224" t="s">
        <v>293</v>
      </c>
      <c r="K224" t="s">
        <v>17</v>
      </c>
    </row>
    <row r="225" spans="1:11" x14ac:dyDescent="0.25">
      <c r="A225" t="s">
        <v>422</v>
      </c>
      <c r="B225" t="s">
        <v>655</v>
      </c>
      <c r="C225" t="s">
        <v>637</v>
      </c>
      <c r="D225" t="s">
        <v>638</v>
      </c>
      <c r="E225" t="s">
        <v>46</v>
      </c>
      <c r="F225" t="s">
        <v>51</v>
      </c>
      <c r="G225" t="s">
        <v>428</v>
      </c>
      <c r="H225" t="s">
        <v>636</v>
      </c>
      <c r="I225" t="s">
        <v>114</v>
      </c>
      <c r="J225" t="s">
        <v>293</v>
      </c>
      <c r="K225" t="s">
        <v>17</v>
      </c>
    </row>
    <row r="226" spans="1:11" x14ac:dyDescent="0.25">
      <c r="A226" t="s">
        <v>422</v>
      </c>
      <c r="B226" t="s">
        <v>655</v>
      </c>
      <c r="C226" t="s">
        <v>637</v>
      </c>
      <c r="D226" t="s">
        <v>638</v>
      </c>
      <c r="E226" t="s">
        <v>69</v>
      </c>
      <c r="F226" t="s">
        <v>74</v>
      </c>
      <c r="G226" t="s">
        <v>428</v>
      </c>
      <c r="H226" t="s">
        <v>636</v>
      </c>
      <c r="I226" t="s">
        <v>114</v>
      </c>
      <c r="J226" t="s">
        <v>293</v>
      </c>
      <c r="K226" t="s">
        <v>17</v>
      </c>
    </row>
    <row r="227" spans="1:11" x14ac:dyDescent="0.25">
      <c r="A227" t="s">
        <v>422</v>
      </c>
      <c r="B227" t="s">
        <v>655</v>
      </c>
      <c r="C227" t="s">
        <v>637</v>
      </c>
      <c r="D227" t="s">
        <v>638</v>
      </c>
      <c r="E227" t="s">
        <v>71</v>
      </c>
      <c r="F227" t="s">
        <v>72</v>
      </c>
      <c r="G227" t="s">
        <v>428</v>
      </c>
      <c r="H227" t="s">
        <v>636</v>
      </c>
      <c r="I227" t="s">
        <v>114</v>
      </c>
      <c r="J227" t="s">
        <v>293</v>
      </c>
      <c r="K227" t="s">
        <v>17</v>
      </c>
    </row>
    <row r="228" spans="1:11" x14ac:dyDescent="0.25">
      <c r="A228" t="s">
        <v>422</v>
      </c>
      <c r="B228" t="s">
        <v>655</v>
      </c>
      <c r="C228" t="s">
        <v>637</v>
      </c>
      <c r="D228" t="s">
        <v>638</v>
      </c>
      <c r="E228" t="s">
        <v>110</v>
      </c>
      <c r="F228" t="s">
        <v>142</v>
      </c>
      <c r="G228" t="s">
        <v>428</v>
      </c>
      <c r="H228" t="s">
        <v>636</v>
      </c>
      <c r="I228" t="s">
        <v>114</v>
      </c>
      <c r="J228" t="s">
        <v>293</v>
      </c>
      <c r="K228" t="s">
        <v>17</v>
      </c>
    </row>
    <row r="229" spans="1:11" x14ac:dyDescent="0.25">
      <c r="A229" t="s">
        <v>422</v>
      </c>
      <c r="B229" t="s">
        <v>655</v>
      </c>
      <c r="C229" t="s">
        <v>637</v>
      </c>
      <c r="D229" t="s">
        <v>638</v>
      </c>
      <c r="E229" t="s">
        <v>110</v>
      </c>
      <c r="F229" t="s">
        <v>137</v>
      </c>
      <c r="G229" t="s">
        <v>428</v>
      </c>
      <c r="H229" t="s">
        <v>636</v>
      </c>
      <c r="I229" t="s">
        <v>114</v>
      </c>
      <c r="J229" t="s">
        <v>293</v>
      </c>
      <c r="K229" t="s">
        <v>17</v>
      </c>
    </row>
    <row r="230" spans="1:11" x14ac:dyDescent="0.25">
      <c r="A230" t="s">
        <v>422</v>
      </c>
      <c r="B230" t="s">
        <v>655</v>
      </c>
      <c r="C230" t="s">
        <v>637</v>
      </c>
      <c r="D230" t="s">
        <v>638</v>
      </c>
      <c r="E230" t="s">
        <v>110</v>
      </c>
      <c r="F230" t="s">
        <v>111</v>
      </c>
      <c r="G230" t="s">
        <v>428</v>
      </c>
      <c r="H230" t="s">
        <v>636</v>
      </c>
      <c r="I230" t="s">
        <v>114</v>
      </c>
      <c r="J230" t="s">
        <v>293</v>
      </c>
      <c r="K230" t="s">
        <v>17</v>
      </c>
    </row>
    <row r="231" spans="1:11" x14ac:dyDescent="0.25">
      <c r="A231" t="s">
        <v>422</v>
      </c>
      <c r="B231" t="s">
        <v>655</v>
      </c>
      <c r="C231" t="s">
        <v>637</v>
      </c>
      <c r="D231" t="s">
        <v>638</v>
      </c>
      <c r="E231" t="s">
        <v>110</v>
      </c>
      <c r="F231" t="s">
        <v>146</v>
      </c>
      <c r="G231" t="s">
        <v>428</v>
      </c>
      <c r="H231" t="s">
        <v>636</v>
      </c>
      <c r="I231" t="s">
        <v>114</v>
      </c>
      <c r="J231" t="s">
        <v>293</v>
      </c>
      <c r="K231" t="s">
        <v>17</v>
      </c>
    </row>
    <row r="232" spans="1:11" x14ac:dyDescent="0.25">
      <c r="A232" t="s">
        <v>422</v>
      </c>
      <c r="B232" t="s">
        <v>655</v>
      </c>
      <c r="C232" t="s">
        <v>637</v>
      </c>
      <c r="D232" t="s">
        <v>638</v>
      </c>
      <c r="E232" t="s">
        <v>93</v>
      </c>
      <c r="F232" t="s">
        <v>135</v>
      </c>
      <c r="G232" t="s">
        <v>428</v>
      </c>
      <c r="H232" t="s">
        <v>636</v>
      </c>
      <c r="I232" t="s">
        <v>114</v>
      </c>
      <c r="J232" t="s">
        <v>293</v>
      </c>
      <c r="K232" t="s">
        <v>17</v>
      </c>
    </row>
    <row r="233" spans="1:11" x14ac:dyDescent="0.25">
      <c r="A233" t="s">
        <v>422</v>
      </c>
      <c r="B233" t="s">
        <v>655</v>
      </c>
      <c r="C233" t="s">
        <v>637</v>
      </c>
      <c r="D233" t="s">
        <v>640</v>
      </c>
      <c r="E233" t="s">
        <v>43</v>
      </c>
      <c r="F233" t="s">
        <v>57</v>
      </c>
      <c r="G233" t="s">
        <v>428</v>
      </c>
      <c r="H233" t="s">
        <v>636</v>
      </c>
      <c r="I233" t="s">
        <v>114</v>
      </c>
      <c r="J233" t="s">
        <v>293</v>
      </c>
      <c r="K233" t="s">
        <v>17</v>
      </c>
    </row>
    <row r="234" spans="1:11" x14ac:dyDescent="0.25">
      <c r="A234" t="s">
        <v>422</v>
      </c>
      <c r="B234" t="s">
        <v>655</v>
      </c>
      <c r="C234" t="s">
        <v>637</v>
      </c>
      <c r="D234" t="s">
        <v>640</v>
      </c>
      <c r="E234" t="s">
        <v>46</v>
      </c>
      <c r="F234" t="s">
        <v>51</v>
      </c>
      <c r="G234" t="s">
        <v>428</v>
      </c>
      <c r="H234" t="s">
        <v>636</v>
      </c>
      <c r="I234" t="s">
        <v>114</v>
      </c>
      <c r="J234" t="s">
        <v>293</v>
      </c>
      <c r="K234" t="s">
        <v>17</v>
      </c>
    </row>
    <row r="235" spans="1:11" x14ac:dyDescent="0.25">
      <c r="A235" t="s">
        <v>422</v>
      </c>
      <c r="B235" t="s">
        <v>655</v>
      </c>
      <c r="C235" t="s">
        <v>637</v>
      </c>
      <c r="D235" t="s">
        <v>640</v>
      </c>
      <c r="E235" t="s">
        <v>69</v>
      </c>
      <c r="F235" t="s">
        <v>74</v>
      </c>
      <c r="G235" t="s">
        <v>428</v>
      </c>
      <c r="H235" t="s">
        <v>636</v>
      </c>
      <c r="I235" t="s">
        <v>114</v>
      </c>
      <c r="J235" t="s">
        <v>293</v>
      </c>
      <c r="K235" t="s">
        <v>17</v>
      </c>
    </row>
    <row r="236" spans="1:11" x14ac:dyDescent="0.25">
      <c r="A236" t="s">
        <v>422</v>
      </c>
      <c r="B236" t="s">
        <v>655</v>
      </c>
      <c r="C236" t="s">
        <v>637</v>
      </c>
      <c r="D236" t="s">
        <v>640</v>
      </c>
      <c r="E236" t="s">
        <v>71</v>
      </c>
      <c r="F236" t="s">
        <v>72</v>
      </c>
      <c r="G236" t="s">
        <v>428</v>
      </c>
      <c r="H236" t="s">
        <v>636</v>
      </c>
      <c r="I236" t="s">
        <v>114</v>
      </c>
      <c r="J236" t="s">
        <v>293</v>
      </c>
      <c r="K236" t="s">
        <v>17</v>
      </c>
    </row>
    <row r="237" spans="1:11" x14ac:dyDescent="0.25">
      <c r="A237" t="s">
        <v>422</v>
      </c>
      <c r="B237" t="s">
        <v>655</v>
      </c>
      <c r="C237" t="s">
        <v>637</v>
      </c>
      <c r="D237" t="s">
        <v>640</v>
      </c>
      <c r="E237" t="s">
        <v>110</v>
      </c>
      <c r="F237" t="s">
        <v>142</v>
      </c>
      <c r="G237" t="s">
        <v>428</v>
      </c>
      <c r="H237" t="s">
        <v>636</v>
      </c>
      <c r="I237" t="s">
        <v>114</v>
      </c>
      <c r="J237" t="s">
        <v>293</v>
      </c>
      <c r="K237" t="s">
        <v>17</v>
      </c>
    </row>
    <row r="238" spans="1:11" x14ac:dyDescent="0.25">
      <c r="A238" t="s">
        <v>422</v>
      </c>
      <c r="B238" t="s">
        <v>655</v>
      </c>
      <c r="C238" t="s">
        <v>637</v>
      </c>
      <c r="D238" t="s">
        <v>640</v>
      </c>
      <c r="E238" t="s">
        <v>110</v>
      </c>
      <c r="F238" t="s">
        <v>137</v>
      </c>
      <c r="G238" t="s">
        <v>428</v>
      </c>
      <c r="H238" t="s">
        <v>636</v>
      </c>
      <c r="I238" t="s">
        <v>114</v>
      </c>
      <c r="J238" t="s">
        <v>293</v>
      </c>
      <c r="K238" t="s">
        <v>17</v>
      </c>
    </row>
    <row r="239" spans="1:11" x14ac:dyDescent="0.25">
      <c r="A239" t="s">
        <v>422</v>
      </c>
      <c r="B239" t="s">
        <v>655</v>
      </c>
      <c r="C239" t="s">
        <v>637</v>
      </c>
      <c r="D239" t="s">
        <v>640</v>
      </c>
      <c r="E239" t="s">
        <v>110</v>
      </c>
      <c r="F239" t="s">
        <v>111</v>
      </c>
      <c r="G239" t="s">
        <v>428</v>
      </c>
      <c r="H239" t="s">
        <v>636</v>
      </c>
      <c r="I239" t="s">
        <v>114</v>
      </c>
      <c r="J239" t="s">
        <v>293</v>
      </c>
      <c r="K239" t="s">
        <v>17</v>
      </c>
    </row>
    <row r="240" spans="1:11" x14ac:dyDescent="0.25">
      <c r="A240" t="s">
        <v>422</v>
      </c>
      <c r="B240" t="s">
        <v>655</v>
      </c>
      <c r="C240" t="s">
        <v>637</v>
      </c>
      <c r="D240" t="s">
        <v>640</v>
      </c>
      <c r="E240" t="s">
        <v>110</v>
      </c>
      <c r="F240" t="s">
        <v>146</v>
      </c>
      <c r="G240" t="s">
        <v>428</v>
      </c>
      <c r="H240" t="s">
        <v>636</v>
      </c>
      <c r="I240" t="s">
        <v>114</v>
      </c>
      <c r="J240" t="s">
        <v>293</v>
      </c>
      <c r="K240" t="s">
        <v>17</v>
      </c>
    </row>
    <row r="241" spans="1:11" x14ac:dyDescent="0.25">
      <c r="A241" t="s">
        <v>422</v>
      </c>
      <c r="B241" t="s">
        <v>655</v>
      </c>
      <c r="C241" t="s">
        <v>637</v>
      </c>
      <c r="D241" t="s">
        <v>640</v>
      </c>
      <c r="E241" t="s">
        <v>93</v>
      </c>
      <c r="F241" t="s">
        <v>135</v>
      </c>
      <c r="G241" t="s">
        <v>428</v>
      </c>
      <c r="H241" t="s">
        <v>636</v>
      </c>
      <c r="I241" t="s">
        <v>114</v>
      </c>
      <c r="J241" t="s">
        <v>293</v>
      </c>
      <c r="K241" t="s">
        <v>17</v>
      </c>
    </row>
    <row r="242" spans="1:11" x14ac:dyDescent="0.25">
      <c r="A242" t="s">
        <v>422</v>
      </c>
      <c r="B242" t="s">
        <v>655</v>
      </c>
      <c r="C242" t="s">
        <v>634</v>
      </c>
      <c r="D242" t="s">
        <v>635</v>
      </c>
      <c r="E242" t="s">
        <v>43</v>
      </c>
      <c r="F242" t="s">
        <v>53</v>
      </c>
      <c r="G242" t="s">
        <v>428</v>
      </c>
      <c r="H242" t="s">
        <v>636</v>
      </c>
      <c r="I242" t="s">
        <v>133</v>
      </c>
      <c r="J242" t="s">
        <v>312</v>
      </c>
      <c r="K242" t="s">
        <v>17</v>
      </c>
    </row>
    <row r="243" spans="1:11" x14ac:dyDescent="0.25">
      <c r="A243" t="s">
        <v>422</v>
      </c>
      <c r="B243" t="s">
        <v>655</v>
      </c>
      <c r="C243" t="s">
        <v>634</v>
      </c>
      <c r="D243" t="s">
        <v>635</v>
      </c>
      <c r="E243" t="s">
        <v>71</v>
      </c>
      <c r="F243" t="s">
        <v>72</v>
      </c>
      <c r="G243" t="s">
        <v>428</v>
      </c>
      <c r="H243" t="s">
        <v>636</v>
      </c>
      <c r="I243" t="s">
        <v>133</v>
      </c>
      <c r="J243" t="s">
        <v>312</v>
      </c>
      <c r="K243" t="s">
        <v>17</v>
      </c>
    </row>
    <row r="244" spans="1:11" x14ac:dyDescent="0.25">
      <c r="A244" t="s">
        <v>422</v>
      </c>
      <c r="B244" t="s">
        <v>655</v>
      </c>
      <c r="C244" t="s">
        <v>637</v>
      </c>
      <c r="D244" t="s">
        <v>638</v>
      </c>
      <c r="E244" t="s">
        <v>43</v>
      </c>
      <c r="F244" t="s">
        <v>57</v>
      </c>
      <c r="G244" t="s">
        <v>428</v>
      </c>
      <c r="H244" t="s">
        <v>636</v>
      </c>
      <c r="I244" t="s">
        <v>133</v>
      </c>
      <c r="J244" t="s">
        <v>312</v>
      </c>
      <c r="K244" t="s">
        <v>17</v>
      </c>
    </row>
    <row r="245" spans="1:11" x14ac:dyDescent="0.25">
      <c r="A245" t="s">
        <v>422</v>
      </c>
      <c r="B245" t="s">
        <v>655</v>
      </c>
      <c r="C245" t="s">
        <v>637</v>
      </c>
      <c r="D245" t="s">
        <v>638</v>
      </c>
      <c r="E245" t="s">
        <v>46</v>
      </c>
      <c r="F245" t="s">
        <v>51</v>
      </c>
      <c r="G245" t="s">
        <v>428</v>
      </c>
      <c r="H245" t="s">
        <v>636</v>
      </c>
      <c r="I245" t="s">
        <v>133</v>
      </c>
      <c r="J245" t="s">
        <v>312</v>
      </c>
      <c r="K245" t="s">
        <v>17</v>
      </c>
    </row>
    <row r="246" spans="1:11" x14ac:dyDescent="0.25">
      <c r="A246" t="s">
        <v>422</v>
      </c>
      <c r="B246" t="s">
        <v>655</v>
      </c>
      <c r="C246" t="s">
        <v>637</v>
      </c>
      <c r="D246" t="s">
        <v>638</v>
      </c>
      <c r="E246" t="s">
        <v>69</v>
      </c>
      <c r="F246" t="s">
        <v>74</v>
      </c>
      <c r="G246" t="s">
        <v>428</v>
      </c>
      <c r="H246" t="s">
        <v>636</v>
      </c>
      <c r="I246" t="s">
        <v>133</v>
      </c>
      <c r="J246" t="s">
        <v>312</v>
      </c>
      <c r="K246" t="s">
        <v>17</v>
      </c>
    </row>
    <row r="247" spans="1:11" x14ac:dyDescent="0.25">
      <c r="A247" t="s">
        <v>422</v>
      </c>
      <c r="B247" t="s">
        <v>655</v>
      </c>
      <c r="C247" t="s">
        <v>637</v>
      </c>
      <c r="D247" t="s">
        <v>638</v>
      </c>
      <c r="E247" t="s">
        <v>71</v>
      </c>
      <c r="F247" t="s">
        <v>72</v>
      </c>
      <c r="G247" t="s">
        <v>428</v>
      </c>
      <c r="H247" t="s">
        <v>636</v>
      </c>
      <c r="I247" t="s">
        <v>133</v>
      </c>
      <c r="J247" t="s">
        <v>312</v>
      </c>
      <c r="K247" t="s">
        <v>17</v>
      </c>
    </row>
    <row r="248" spans="1:11" x14ac:dyDescent="0.25">
      <c r="A248" t="s">
        <v>422</v>
      </c>
      <c r="B248" t="s">
        <v>655</v>
      </c>
      <c r="C248" t="s">
        <v>637</v>
      </c>
      <c r="D248" t="s">
        <v>638</v>
      </c>
      <c r="E248" t="s">
        <v>110</v>
      </c>
      <c r="F248" t="s">
        <v>142</v>
      </c>
      <c r="G248" t="s">
        <v>428</v>
      </c>
      <c r="H248" t="s">
        <v>636</v>
      </c>
      <c r="I248" t="s">
        <v>133</v>
      </c>
      <c r="J248" t="s">
        <v>312</v>
      </c>
      <c r="K248" t="s">
        <v>17</v>
      </c>
    </row>
    <row r="249" spans="1:11" x14ac:dyDescent="0.25">
      <c r="A249" t="s">
        <v>422</v>
      </c>
      <c r="B249" t="s">
        <v>655</v>
      </c>
      <c r="C249" t="s">
        <v>637</v>
      </c>
      <c r="D249" t="s">
        <v>638</v>
      </c>
      <c r="E249" t="s">
        <v>110</v>
      </c>
      <c r="F249" t="s">
        <v>137</v>
      </c>
      <c r="G249" t="s">
        <v>428</v>
      </c>
      <c r="H249" t="s">
        <v>636</v>
      </c>
      <c r="I249" t="s">
        <v>133</v>
      </c>
      <c r="J249" t="s">
        <v>312</v>
      </c>
      <c r="K249" t="s">
        <v>17</v>
      </c>
    </row>
    <row r="250" spans="1:11" x14ac:dyDescent="0.25">
      <c r="A250" t="s">
        <v>422</v>
      </c>
      <c r="B250" t="s">
        <v>655</v>
      </c>
      <c r="C250" t="s">
        <v>637</v>
      </c>
      <c r="D250" t="s">
        <v>638</v>
      </c>
      <c r="E250" t="s">
        <v>110</v>
      </c>
      <c r="F250" t="s">
        <v>111</v>
      </c>
      <c r="G250" t="s">
        <v>428</v>
      </c>
      <c r="H250" t="s">
        <v>636</v>
      </c>
      <c r="I250" t="s">
        <v>133</v>
      </c>
      <c r="J250" t="s">
        <v>312</v>
      </c>
      <c r="K250" t="s">
        <v>17</v>
      </c>
    </row>
    <row r="251" spans="1:11" x14ac:dyDescent="0.25">
      <c r="A251" t="s">
        <v>422</v>
      </c>
      <c r="B251" t="s">
        <v>655</v>
      </c>
      <c r="C251" t="s">
        <v>637</v>
      </c>
      <c r="D251" t="s">
        <v>638</v>
      </c>
      <c r="E251" t="s">
        <v>110</v>
      </c>
      <c r="F251" t="s">
        <v>146</v>
      </c>
      <c r="G251" t="s">
        <v>428</v>
      </c>
      <c r="H251" t="s">
        <v>636</v>
      </c>
      <c r="I251" t="s">
        <v>133</v>
      </c>
      <c r="J251" t="s">
        <v>312</v>
      </c>
      <c r="K251" t="s">
        <v>17</v>
      </c>
    </row>
    <row r="252" spans="1:11" x14ac:dyDescent="0.25">
      <c r="A252" t="s">
        <v>422</v>
      </c>
      <c r="B252" t="s">
        <v>655</v>
      </c>
      <c r="C252" t="s">
        <v>637</v>
      </c>
      <c r="D252" t="s">
        <v>638</v>
      </c>
      <c r="E252" t="s">
        <v>93</v>
      </c>
      <c r="F252" t="s">
        <v>135</v>
      </c>
      <c r="G252" t="s">
        <v>428</v>
      </c>
      <c r="H252" t="s">
        <v>636</v>
      </c>
      <c r="I252" t="s">
        <v>133</v>
      </c>
      <c r="J252" t="s">
        <v>312</v>
      </c>
      <c r="K252" t="s">
        <v>17</v>
      </c>
    </row>
    <row r="253" spans="1:11" x14ac:dyDescent="0.25">
      <c r="A253" t="s">
        <v>422</v>
      </c>
      <c r="B253" t="s">
        <v>655</v>
      </c>
      <c r="C253" t="s">
        <v>637</v>
      </c>
      <c r="D253" t="s">
        <v>640</v>
      </c>
      <c r="E253" t="s">
        <v>43</v>
      </c>
      <c r="F253" t="s">
        <v>57</v>
      </c>
      <c r="G253" t="s">
        <v>428</v>
      </c>
      <c r="H253" t="s">
        <v>636</v>
      </c>
      <c r="I253" t="s">
        <v>133</v>
      </c>
      <c r="J253" t="s">
        <v>312</v>
      </c>
      <c r="K253" t="s">
        <v>17</v>
      </c>
    </row>
    <row r="254" spans="1:11" x14ac:dyDescent="0.25">
      <c r="A254" t="s">
        <v>422</v>
      </c>
      <c r="B254" t="s">
        <v>655</v>
      </c>
      <c r="C254" t="s">
        <v>637</v>
      </c>
      <c r="D254" t="s">
        <v>640</v>
      </c>
      <c r="E254" t="s">
        <v>46</v>
      </c>
      <c r="F254" t="s">
        <v>51</v>
      </c>
      <c r="G254" t="s">
        <v>428</v>
      </c>
      <c r="H254" t="s">
        <v>636</v>
      </c>
      <c r="I254" t="s">
        <v>133</v>
      </c>
      <c r="J254" t="s">
        <v>312</v>
      </c>
      <c r="K254" t="s">
        <v>17</v>
      </c>
    </row>
    <row r="255" spans="1:11" x14ac:dyDescent="0.25">
      <c r="A255" t="s">
        <v>422</v>
      </c>
      <c r="B255" t="s">
        <v>655</v>
      </c>
      <c r="C255" t="s">
        <v>637</v>
      </c>
      <c r="D255" t="s">
        <v>640</v>
      </c>
      <c r="E255" t="s">
        <v>69</v>
      </c>
      <c r="F255" t="s">
        <v>74</v>
      </c>
      <c r="G255" t="s">
        <v>428</v>
      </c>
      <c r="H255" t="s">
        <v>636</v>
      </c>
      <c r="I255" t="s">
        <v>133</v>
      </c>
      <c r="J255" t="s">
        <v>312</v>
      </c>
      <c r="K255" t="s">
        <v>17</v>
      </c>
    </row>
    <row r="256" spans="1:11" x14ac:dyDescent="0.25">
      <c r="A256" t="s">
        <v>422</v>
      </c>
      <c r="B256" t="s">
        <v>655</v>
      </c>
      <c r="C256" t="s">
        <v>637</v>
      </c>
      <c r="D256" t="s">
        <v>640</v>
      </c>
      <c r="E256" t="s">
        <v>71</v>
      </c>
      <c r="F256" t="s">
        <v>72</v>
      </c>
      <c r="G256" t="s">
        <v>428</v>
      </c>
      <c r="H256" t="s">
        <v>636</v>
      </c>
      <c r="I256" t="s">
        <v>133</v>
      </c>
      <c r="J256" t="s">
        <v>312</v>
      </c>
      <c r="K256" t="s">
        <v>17</v>
      </c>
    </row>
    <row r="257" spans="1:11" x14ac:dyDescent="0.25">
      <c r="A257" t="s">
        <v>422</v>
      </c>
      <c r="B257" t="s">
        <v>655</v>
      </c>
      <c r="C257" t="s">
        <v>637</v>
      </c>
      <c r="D257" t="s">
        <v>640</v>
      </c>
      <c r="E257" t="s">
        <v>110</v>
      </c>
      <c r="F257" t="s">
        <v>142</v>
      </c>
      <c r="G257" t="s">
        <v>428</v>
      </c>
      <c r="H257" t="s">
        <v>636</v>
      </c>
      <c r="I257" t="s">
        <v>133</v>
      </c>
      <c r="J257" t="s">
        <v>312</v>
      </c>
      <c r="K257" t="s">
        <v>17</v>
      </c>
    </row>
    <row r="258" spans="1:11" x14ac:dyDescent="0.25">
      <c r="A258" t="s">
        <v>422</v>
      </c>
      <c r="B258" t="s">
        <v>655</v>
      </c>
      <c r="C258" t="s">
        <v>637</v>
      </c>
      <c r="D258" t="s">
        <v>640</v>
      </c>
      <c r="E258" t="s">
        <v>110</v>
      </c>
      <c r="F258" t="s">
        <v>137</v>
      </c>
      <c r="G258" t="s">
        <v>428</v>
      </c>
      <c r="H258" t="s">
        <v>636</v>
      </c>
      <c r="I258" t="s">
        <v>133</v>
      </c>
      <c r="J258" t="s">
        <v>312</v>
      </c>
      <c r="K258" t="s">
        <v>17</v>
      </c>
    </row>
    <row r="259" spans="1:11" x14ac:dyDescent="0.25">
      <c r="A259" t="s">
        <v>422</v>
      </c>
      <c r="B259" t="s">
        <v>655</v>
      </c>
      <c r="C259" t="s">
        <v>637</v>
      </c>
      <c r="D259" t="s">
        <v>640</v>
      </c>
      <c r="E259" t="s">
        <v>110</v>
      </c>
      <c r="F259" t="s">
        <v>111</v>
      </c>
      <c r="G259" t="s">
        <v>428</v>
      </c>
      <c r="H259" t="s">
        <v>636</v>
      </c>
      <c r="I259" t="s">
        <v>133</v>
      </c>
      <c r="J259" t="s">
        <v>312</v>
      </c>
      <c r="K259" t="s">
        <v>17</v>
      </c>
    </row>
    <row r="260" spans="1:11" x14ac:dyDescent="0.25">
      <c r="A260" t="s">
        <v>422</v>
      </c>
      <c r="B260" t="s">
        <v>655</v>
      </c>
      <c r="C260" t="s">
        <v>637</v>
      </c>
      <c r="D260" t="s">
        <v>640</v>
      </c>
      <c r="E260" t="s">
        <v>110</v>
      </c>
      <c r="F260" t="s">
        <v>146</v>
      </c>
      <c r="G260" t="s">
        <v>428</v>
      </c>
      <c r="H260" t="s">
        <v>636</v>
      </c>
      <c r="I260" t="s">
        <v>133</v>
      </c>
      <c r="J260" t="s">
        <v>312</v>
      </c>
      <c r="K260" t="s">
        <v>17</v>
      </c>
    </row>
    <row r="261" spans="1:11" x14ac:dyDescent="0.25">
      <c r="A261" t="s">
        <v>422</v>
      </c>
      <c r="B261" t="s">
        <v>655</v>
      </c>
      <c r="C261" t="s">
        <v>637</v>
      </c>
      <c r="D261" t="s">
        <v>640</v>
      </c>
      <c r="E261" t="s">
        <v>93</v>
      </c>
      <c r="F261" t="s">
        <v>135</v>
      </c>
      <c r="G261" t="s">
        <v>428</v>
      </c>
      <c r="H261" t="s">
        <v>636</v>
      </c>
      <c r="I261" t="s">
        <v>133</v>
      </c>
      <c r="J261" t="s">
        <v>312</v>
      </c>
      <c r="K261" t="s">
        <v>17</v>
      </c>
    </row>
    <row r="262" spans="1:11" x14ac:dyDescent="0.25">
      <c r="A262" t="s">
        <v>422</v>
      </c>
      <c r="B262" t="s">
        <v>655</v>
      </c>
      <c r="C262" t="s">
        <v>634</v>
      </c>
      <c r="D262" t="s">
        <v>635</v>
      </c>
      <c r="E262" t="s">
        <v>43</v>
      </c>
      <c r="F262" t="s">
        <v>53</v>
      </c>
      <c r="G262" t="s">
        <v>428</v>
      </c>
      <c r="H262" t="s">
        <v>636</v>
      </c>
      <c r="I262" t="s">
        <v>152</v>
      </c>
      <c r="J262" t="s">
        <v>320</v>
      </c>
      <c r="K262" t="s">
        <v>17</v>
      </c>
    </row>
    <row r="263" spans="1:11" x14ac:dyDescent="0.25">
      <c r="A263" t="s">
        <v>422</v>
      </c>
      <c r="B263" t="s">
        <v>655</v>
      </c>
      <c r="C263" t="s">
        <v>634</v>
      </c>
      <c r="D263" t="s">
        <v>635</v>
      </c>
      <c r="E263" t="s">
        <v>71</v>
      </c>
      <c r="F263" t="s">
        <v>72</v>
      </c>
      <c r="G263" t="s">
        <v>428</v>
      </c>
      <c r="H263" t="s">
        <v>636</v>
      </c>
      <c r="I263" t="s">
        <v>152</v>
      </c>
      <c r="J263" t="s">
        <v>320</v>
      </c>
      <c r="K263" t="s">
        <v>17</v>
      </c>
    </row>
    <row r="264" spans="1:11" x14ac:dyDescent="0.25">
      <c r="A264" t="s">
        <v>422</v>
      </c>
      <c r="B264" t="s">
        <v>655</v>
      </c>
      <c r="C264" t="s">
        <v>637</v>
      </c>
      <c r="D264" t="s">
        <v>638</v>
      </c>
      <c r="E264" t="s">
        <v>43</v>
      </c>
      <c r="F264" t="s">
        <v>57</v>
      </c>
      <c r="G264" t="s">
        <v>428</v>
      </c>
      <c r="H264" t="s">
        <v>636</v>
      </c>
      <c r="I264" t="s">
        <v>152</v>
      </c>
      <c r="J264" t="s">
        <v>320</v>
      </c>
      <c r="K264" t="s">
        <v>17</v>
      </c>
    </row>
    <row r="265" spans="1:11" x14ac:dyDescent="0.25">
      <c r="A265" t="s">
        <v>422</v>
      </c>
      <c r="B265" t="s">
        <v>655</v>
      </c>
      <c r="C265" t="s">
        <v>637</v>
      </c>
      <c r="D265" t="s">
        <v>638</v>
      </c>
      <c r="E265" t="s">
        <v>46</v>
      </c>
      <c r="F265" t="s">
        <v>51</v>
      </c>
      <c r="G265" t="s">
        <v>428</v>
      </c>
      <c r="H265" t="s">
        <v>636</v>
      </c>
      <c r="I265" t="s">
        <v>152</v>
      </c>
      <c r="J265" t="s">
        <v>320</v>
      </c>
      <c r="K265" t="s">
        <v>17</v>
      </c>
    </row>
    <row r="266" spans="1:11" x14ac:dyDescent="0.25">
      <c r="A266" t="s">
        <v>422</v>
      </c>
      <c r="B266" t="s">
        <v>655</v>
      </c>
      <c r="C266" t="s">
        <v>637</v>
      </c>
      <c r="D266" t="s">
        <v>638</v>
      </c>
      <c r="E266" t="s">
        <v>69</v>
      </c>
      <c r="F266" t="s">
        <v>74</v>
      </c>
      <c r="G266" t="s">
        <v>428</v>
      </c>
      <c r="H266" t="s">
        <v>636</v>
      </c>
      <c r="I266" t="s">
        <v>152</v>
      </c>
      <c r="J266" t="s">
        <v>320</v>
      </c>
      <c r="K266" t="s">
        <v>17</v>
      </c>
    </row>
    <row r="267" spans="1:11" x14ac:dyDescent="0.25">
      <c r="A267" t="s">
        <v>422</v>
      </c>
      <c r="B267" t="s">
        <v>655</v>
      </c>
      <c r="C267" t="s">
        <v>637</v>
      </c>
      <c r="D267" t="s">
        <v>638</v>
      </c>
      <c r="E267" t="s">
        <v>71</v>
      </c>
      <c r="F267" t="s">
        <v>72</v>
      </c>
      <c r="G267" t="s">
        <v>428</v>
      </c>
      <c r="H267" t="s">
        <v>636</v>
      </c>
      <c r="I267" t="s">
        <v>152</v>
      </c>
      <c r="J267" t="s">
        <v>320</v>
      </c>
      <c r="K267" t="s">
        <v>17</v>
      </c>
    </row>
    <row r="268" spans="1:11" x14ac:dyDescent="0.25">
      <c r="A268" t="s">
        <v>422</v>
      </c>
      <c r="B268" t="s">
        <v>655</v>
      </c>
      <c r="C268" t="s">
        <v>637</v>
      </c>
      <c r="D268" t="s">
        <v>638</v>
      </c>
      <c r="E268" t="s">
        <v>110</v>
      </c>
      <c r="F268" t="s">
        <v>142</v>
      </c>
      <c r="G268" t="s">
        <v>428</v>
      </c>
      <c r="H268" t="s">
        <v>636</v>
      </c>
      <c r="I268" t="s">
        <v>152</v>
      </c>
      <c r="J268" t="s">
        <v>320</v>
      </c>
      <c r="K268" t="s">
        <v>17</v>
      </c>
    </row>
    <row r="269" spans="1:11" x14ac:dyDescent="0.25">
      <c r="A269" t="s">
        <v>422</v>
      </c>
      <c r="B269" t="s">
        <v>655</v>
      </c>
      <c r="C269" t="s">
        <v>637</v>
      </c>
      <c r="D269" t="s">
        <v>638</v>
      </c>
      <c r="E269" t="s">
        <v>110</v>
      </c>
      <c r="F269" t="s">
        <v>137</v>
      </c>
      <c r="G269" t="s">
        <v>428</v>
      </c>
      <c r="H269" t="s">
        <v>636</v>
      </c>
      <c r="I269" t="s">
        <v>152</v>
      </c>
      <c r="J269" t="s">
        <v>320</v>
      </c>
      <c r="K269" t="s">
        <v>17</v>
      </c>
    </row>
    <row r="270" spans="1:11" x14ac:dyDescent="0.25">
      <c r="A270" t="s">
        <v>422</v>
      </c>
      <c r="B270" t="s">
        <v>655</v>
      </c>
      <c r="C270" t="s">
        <v>637</v>
      </c>
      <c r="D270" t="s">
        <v>638</v>
      </c>
      <c r="E270" t="s">
        <v>110</v>
      </c>
      <c r="F270" t="s">
        <v>111</v>
      </c>
      <c r="G270" t="s">
        <v>428</v>
      </c>
      <c r="H270" t="s">
        <v>636</v>
      </c>
      <c r="I270" t="s">
        <v>152</v>
      </c>
      <c r="J270" t="s">
        <v>320</v>
      </c>
      <c r="K270" t="s">
        <v>17</v>
      </c>
    </row>
    <row r="271" spans="1:11" x14ac:dyDescent="0.25">
      <c r="A271" t="s">
        <v>422</v>
      </c>
      <c r="B271" t="s">
        <v>655</v>
      </c>
      <c r="C271" t="s">
        <v>637</v>
      </c>
      <c r="D271" t="s">
        <v>638</v>
      </c>
      <c r="E271" t="s">
        <v>110</v>
      </c>
      <c r="F271" t="s">
        <v>146</v>
      </c>
      <c r="G271" t="s">
        <v>428</v>
      </c>
      <c r="H271" t="s">
        <v>636</v>
      </c>
      <c r="I271" t="s">
        <v>152</v>
      </c>
      <c r="J271" t="s">
        <v>320</v>
      </c>
      <c r="K271" t="s">
        <v>17</v>
      </c>
    </row>
    <row r="272" spans="1:11" x14ac:dyDescent="0.25">
      <c r="A272" t="s">
        <v>422</v>
      </c>
      <c r="B272" t="s">
        <v>655</v>
      </c>
      <c r="C272" t="s">
        <v>637</v>
      </c>
      <c r="D272" t="s">
        <v>638</v>
      </c>
      <c r="E272" t="s">
        <v>93</v>
      </c>
      <c r="F272" t="s">
        <v>135</v>
      </c>
      <c r="G272" t="s">
        <v>428</v>
      </c>
      <c r="H272" t="s">
        <v>636</v>
      </c>
      <c r="I272" t="s">
        <v>152</v>
      </c>
      <c r="J272" t="s">
        <v>320</v>
      </c>
      <c r="K272" t="s">
        <v>17</v>
      </c>
    </row>
    <row r="273" spans="1:11" x14ac:dyDescent="0.25">
      <c r="A273" t="s">
        <v>422</v>
      </c>
      <c r="B273" t="s">
        <v>655</v>
      </c>
      <c r="C273" t="s">
        <v>637</v>
      </c>
      <c r="D273" t="s">
        <v>640</v>
      </c>
      <c r="E273" t="s">
        <v>43</v>
      </c>
      <c r="F273" t="s">
        <v>57</v>
      </c>
      <c r="G273" t="s">
        <v>428</v>
      </c>
      <c r="H273" t="s">
        <v>636</v>
      </c>
      <c r="I273" t="s">
        <v>152</v>
      </c>
      <c r="J273" t="s">
        <v>320</v>
      </c>
      <c r="K273" t="s">
        <v>17</v>
      </c>
    </row>
    <row r="274" spans="1:11" x14ac:dyDescent="0.25">
      <c r="A274" t="s">
        <v>422</v>
      </c>
      <c r="B274" t="s">
        <v>655</v>
      </c>
      <c r="C274" t="s">
        <v>637</v>
      </c>
      <c r="D274" t="s">
        <v>640</v>
      </c>
      <c r="E274" t="s">
        <v>46</v>
      </c>
      <c r="F274" t="s">
        <v>51</v>
      </c>
      <c r="G274" t="s">
        <v>428</v>
      </c>
      <c r="H274" t="s">
        <v>636</v>
      </c>
      <c r="I274" t="s">
        <v>152</v>
      </c>
      <c r="J274" t="s">
        <v>320</v>
      </c>
      <c r="K274" t="s">
        <v>17</v>
      </c>
    </row>
    <row r="275" spans="1:11" x14ac:dyDescent="0.25">
      <c r="A275" t="s">
        <v>422</v>
      </c>
      <c r="B275" t="s">
        <v>655</v>
      </c>
      <c r="C275" t="s">
        <v>637</v>
      </c>
      <c r="D275" t="s">
        <v>640</v>
      </c>
      <c r="E275" t="s">
        <v>69</v>
      </c>
      <c r="F275" t="s">
        <v>74</v>
      </c>
      <c r="G275" t="s">
        <v>428</v>
      </c>
      <c r="H275" t="s">
        <v>636</v>
      </c>
      <c r="I275" t="s">
        <v>152</v>
      </c>
      <c r="J275" t="s">
        <v>320</v>
      </c>
      <c r="K275" t="s">
        <v>17</v>
      </c>
    </row>
    <row r="276" spans="1:11" x14ac:dyDescent="0.25">
      <c r="A276" t="s">
        <v>422</v>
      </c>
      <c r="B276" t="s">
        <v>655</v>
      </c>
      <c r="C276" t="s">
        <v>637</v>
      </c>
      <c r="D276" t="s">
        <v>640</v>
      </c>
      <c r="E276" t="s">
        <v>71</v>
      </c>
      <c r="F276" t="s">
        <v>72</v>
      </c>
      <c r="G276" t="s">
        <v>428</v>
      </c>
      <c r="H276" t="s">
        <v>636</v>
      </c>
      <c r="I276" t="s">
        <v>152</v>
      </c>
      <c r="J276" t="s">
        <v>320</v>
      </c>
      <c r="K276" t="s">
        <v>17</v>
      </c>
    </row>
    <row r="277" spans="1:11" x14ac:dyDescent="0.25">
      <c r="A277" t="s">
        <v>422</v>
      </c>
      <c r="B277" t="s">
        <v>655</v>
      </c>
      <c r="C277" t="s">
        <v>637</v>
      </c>
      <c r="D277" t="s">
        <v>640</v>
      </c>
      <c r="E277" t="s">
        <v>110</v>
      </c>
      <c r="F277" t="s">
        <v>142</v>
      </c>
      <c r="G277" t="s">
        <v>428</v>
      </c>
      <c r="H277" t="s">
        <v>636</v>
      </c>
      <c r="I277" t="s">
        <v>152</v>
      </c>
      <c r="J277" t="s">
        <v>320</v>
      </c>
      <c r="K277" t="s">
        <v>17</v>
      </c>
    </row>
    <row r="278" spans="1:11" x14ac:dyDescent="0.25">
      <c r="A278" t="s">
        <v>422</v>
      </c>
      <c r="B278" t="s">
        <v>655</v>
      </c>
      <c r="C278" t="s">
        <v>637</v>
      </c>
      <c r="D278" t="s">
        <v>640</v>
      </c>
      <c r="E278" t="s">
        <v>110</v>
      </c>
      <c r="F278" t="s">
        <v>137</v>
      </c>
      <c r="G278" t="s">
        <v>428</v>
      </c>
      <c r="H278" t="s">
        <v>636</v>
      </c>
      <c r="I278" t="s">
        <v>152</v>
      </c>
      <c r="J278" t="s">
        <v>320</v>
      </c>
      <c r="K278" t="s">
        <v>17</v>
      </c>
    </row>
    <row r="279" spans="1:11" x14ac:dyDescent="0.25">
      <c r="A279" t="s">
        <v>422</v>
      </c>
      <c r="B279" t="s">
        <v>655</v>
      </c>
      <c r="C279" t="s">
        <v>637</v>
      </c>
      <c r="D279" t="s">
        <v>640</v>
      </c>
      <c r="E279" t="s">
        <v>110</v>
      </c>
      <c r="F279" t="s">
        <v>111</v>
      </c>
      <c r="G279" t="s">
        <v>428</v>
      </c>
      <c r="H279" t="s">
        <v>636</v>
      </c>
      <c r="I279" t="s">
        <v>152</v>
      </c>
      <c r="J279" t="s">
        <v>320</v>
      </c>
      <c r="K279" t="s">
        <v>17</v>
      </c>
    </row>
    <row r="280" spans="1:11" x14ac:dyDescent="0.25">
      <c r="A280" t="s">
        <v>422</v>
      </c>
      <c r="B280" t="s">
        <v>655</v>
      </c>
      <c r="C280" t="s">
        <v>637</v>
      </c>
      <c r="D280" t="s">
        <v>640</v>
      </c>
      <c r="E280" t="s">
        <v>110</v>
      </c>
      <c r="F280" t="s">
        <v>146</v>
      </c>
      <c r="G280" t="s">
        <v>428</v>
      </c>
      <c r="H280" t="s">
        <v>636</v>
      </c>
      <c r="I280" t="s">
        <v>152</v>
      </c>
      <c r="J280" t="s">
        <v>320</v>
      </c>
      <c r="K280" t="s">
        <v>17</v>
      </c>
    </row>
    <row r="281" spans="1:11" x14ac:dyDescent="0.25">
      <c r="A281" t="s">
        <v>422</v>
      </c>
      <c r="B281" t="s">
        <v>655</v>
      </c>
      <c r="C281" t="s">
        <v>637</v>
      </c>
      <c r="D281" t="s">
        <v>640</v>
      </c>
      <c r="E281" t="s">
        <v>93</v>
      </c>
      <c r="F281" t="s">
        <v>135</v>
      </c>
      <c r="G281" t="s">
        <v>428</v>
      </c>
      <c r="H281" t="s">
        <v>636</v>
      </c>
      <c r="I281" t="s">
        <v>152</v>
      </c>
      <c r="J281" t="s">
        <v>320</v>
      </c>
      <c r="K281" t="s">
        <v>17</v>
      </c>
    </row>
    <row r="282" spans="1:11" x14ac:dyDescent="0.25">
      <c r="A282" t="s">
        <v>290</v>
      </c>
      <c r="B282" t="s">
        <v>656</v>
      </c>
      <c r="C282" t="s">
        <v>634</v>
      </c>
      <c r="D282" t="s">
        <v>635</v>
      </c>
      <c r="E282" t="s">
        <v>43</v>
      </c>
      <c r="F282" t="s">
        <v>53</v>
      </c>
      <c r="G282" t="s">
        <v>302</v>
      </c>
      <c r="H282" t="s">
        <v>636</v>
      </c>
      <c r="I282" t="s">
        <v>114</v>
      </c>
      <c r="J282" t="s">
        <v>293</v>
      </c>
      <c r="K282" t="s">
        <v>303</v>
      </c>
    </row>
    <row r="283" spans="1:11" x14ac:dyDescent="0.25">
      <c r="A283" t="s">
        <v>290</v>
      </c>
      <c r="B283" t="s">
        <v>656</v>
      </c>
      <c r="C283" t="s">
        <v>634</v>
      </c>
      <c r="D283" t="s">
        <v>635</v>
      </c>
      <c r="E283" t="s">
        <v>43</v>
      </c>
      <c r="F283" t="s">
        <v>49</v>
      </c>
      <c r="G283" t="s">
        <v>302</v>
      </c>
      <c r="H283" t="s">
        <v>636</v>
      </c>
      <c r="I283" t="s">
        <v>114</v>
      </c>
      <c r="J283" t="s">
        <v>293</v>
      </c>
      <c r="K283" t="s">
        <v>303</v>
      </c>
    </row>
    <row r="284" spans="1:11" x14ac:dyDescent="0.25">
      <c r="A284" t="s">
        <v>290</v>
      </c>
      <c r="B284" t="s">
        <v>656</v>
      </c>
      <c r="C284" t="s">
        <v>634</v>
      </c>
      <c r="G284" t="s">
        <v>302</v>
      </c>
      <c r="H284" t="s">
        <v>636</v>
      </c>
      <c r="I284" t="s">
        <v>114</v>
      </c>
      <c r="J284" t="s">
        <v>293</v>
      </c>
      <c r="K284" t="s">
        <v>303</v>
      </c>
    </row>
    <row r="285" spans="1:11" x14ac:dyDescent="0.25">
      <c r="A285" t="s">
        <v>290</v>
      </c>
      <c r="B285" t="s">
        <v>656</v>
      </c>
      <c r="C285" t="s">
        <v>637</v>
      </c>
      <c r="G285" t="s">
        <v>302</v>
      </c>
      <c r="H285" t="s">
        <v>636</v>
      </c>
      <c r="I285" t="s">
        <v>114</v>
      </c>
      <c r="J285" t="s">
        <v>293</v>
      </c>
      <c r="K285" t="s">
        <v>303</v>
      </c>
    </row>
    <row r="286" spans="1:11" x14ac:dyDescent="0.25">
      <c r="A286" t="s">
        <v>290</v>
      </c>
      <c r="B286" t="s">
        <v>656</v>
      </c>
      <c r="C286" t="s">
        <v>637</v>
      </c>
      <c r="G286" t="s">
        <v>302</v>
      </c>
      <c r="H286" t="s">
        <v>636</v>
      </c>
      <c r="I286" t="s">
        <v>114</v>
      </c>
      <c r="J286" t="s">
        <v>293</v>
      </c>
      <c r="K286" t="s">
        <v>303</v>
      </c>
    </row>
    <row r="287" spans="1:11" x14ac:dyDescent="0.25">
      <c r="A287" t="s">
        <v>290</v>
      </c>
      <c r="B287" t="s">
        <v>656</v>
      </c>
      <c r="C287" t="s">
        <v>637</v>
      </c>
      <c r="G287" t="s">
        <v>302</v>
      </c>
      <c r="H287" t="s">
        <v>636</v>
      </c>
      <c r="I287" t="s">
        <v>114</v>
      </c>
      <c r="J287" t="s">
        <v>293</v>
      </c>
      <c r="K287" t="s">
        <v>303</v>
      </c>
    </row>
    <row r="288" spans="1:11" x14ac:dyDescent="0.25">
      <c r="A288" t="s">
        <v>290</v>
      </c>
      <c r="B288" t="s">
        <v>656</v>
      </c>
      <c r="C288" t="s">
        <v>644</v>
      </c>
      <c r="G288" t="s">
        <v>302</v>
      </c>
      <c r="H288" t="s">
        <v>636</v>
      </c>
      <c r="I288" t="s">
        <v>114</v>
      </c>
      <c r="J288" t="s">
        <v>293</v>
      </c>
      <c r="K288" t="s">
        <v>303</v>
      </c>
    </row>
    <row r="289" spans="1:11" x14ac:dyDescent="0.25">
      <c r="A289" t="s">
        <v>290</v>
      </c>
      <c r="B289" t="s">
        <v>656</v>
      </c>
      <c r="C289" t="s">
        <v>644</v>
      </c>
      <c r="G289" t="s">
        <v>302</v>
      </c>
      <c r="H289" t="s">
        <v>636</v>
      </c>
      <c r="I289" t="s">
        <v>114</v>
      </c>
      <c r="J289" t="s">
        <v>293</v>
      </c>
      <c r="K289" t="s">
        <v>303</v>
      </c>
    </row>
    <row r="290" spans="1:11" x14ac:dyDescent="0.25">
      <c r="A290" t="s">
        <v>290</v>
      </c>
      <c r="B290" t="s">
        <v>656</v>
      </c>
      <c r="C290" t="s">
        <v>644</v>
      </c>
      <c r="G290" t="s">
        <v>302</v>
      </c>
      <c r="H290" t="s">
        <v>636</v>
      </c>
      <c r="I290" t="s">
        <v>114</v>
      </c>
      <c r="J290" t="s">
        <v>293</v>
      </c>
      <c r="K290" t="s">
        <v>303</v>
      </c>
    </row>
    <row r="291" spans="1:11" x14ac:dyDescent="0.25">
      <c r="A291" t="s">
        <v>290</v>
      </c>
      <c r="B291" t="s">
        <v>656</v>
      </c>
      <c r="C291" t="s">
        <v>645</v>
      </c>
      <c r="G291" t="s">
        <v>302</v>
      </c>
      <c r="H291" t="s">
        <v>636</v>
      </c>
      <c r="I291" t="s">
        <v>114</v>
      </c>
      <c r="J291" t="s">
        <v>293</v>
      </c>
      <c r="K291" t="s">
        <v>303</v>
      </c>
    </row>
    <row r="292" spans="1:11" x14ac:dyDescent="0.25">
      <c r="A292" t="s">
        <v>290</v>
      </c>
      <c r="B292" t="s">
        <v>656</v>
      </c>
      <c r="C292" t="s">
        <v>645</v>
      </c>
      <c r="G292" t="s">
        <v>302</v>
      </c>
      <c r="H292" t="s">
        <v>636</v>
      </c>
      <c r="I292" t="s">
        <v>114</v>
      </c>
      <c r="J292" t="s">
        <v>293</v>
      </c>
      <c r="K292" t="s">
        <v>303</v>
      </c>
    </row>
    <row r="293" spans="1:11" x14ac:dyDescent="0.25">
      <c r="A293" t="s">
        <v>385</v>
      </c>
      <c r="B293" t="s">
        <v>657</v>
      </c>
      <c r="C293" t="s">
        <v>634</v>
      </c>
      <c r="D293" t="s">
        <v>635</v>
      </c>
      <c r="E293" t="s">
        <v>43</v>
      </c>
      <c r="F293" t="s">
        <v>53</v>
      </c>
      <c r="G293" t="s">
        <v>399</v>
      </c>
      <c r="H293" t="s">
        <v>636</v>
      </c>
      <c r="I293" t="s">
        <v>42</v>
      </c>
      <c r="J293" t="s">
        <v>271</v>
      </c>
      <c r="K293" t="s">
        <v>26</v>
      </c>
    </row>
    <row r="294" spans="1:11" x14ac:dyDescent="0.25">
      <c r="A294" t="s">
        <v>385</v>
      </c>
      <c r="B294" t="s">
        <v>657</v>
      </c>
      <c r="C294" t="s">
        <v>634</v>
      </c>
      <c r="D294" t="s">
        <v>635</v>
      </c>
      <c r="E294" t="s">
        <v>83</v>
      </c>
      <c r="F294" t="s">
        <v>104</v>
      </c>
      <c r="G294" t="s">
        <v>399</v>
      </c>
      <c r="H294" t="s">
        <v>636</v>
      </c>
      <c r="I294" t="s">
        <v>42</v>
      </c>
      <c r="J294" t="s">
        <v>271</v>
      </c>
      <c r="K294" t="s">
        <v>26</v>
      </c>
    </row>
    <row r="295" spans="1:11" x14ac:dyDescent="0.25">
      <c r="A295" t="s">
        <v>385</v>
      </c>
      <c r="B295" t="s">
        <v>657</v>
      </c>
      <c r="C295" t="s">
        <v>637</v>
      </c>
      <c r="D295" t="s">
        <v>638</v>
      </c>
      <c r="E295" t="s">
        <v>43</v>
      </c>
      <c r="F295" t="s">
        <v>53</v>
      </c>
      <c r="G295" t="s">
        <v>399</v>
      </c>
      <c r="H295" t="s">
        <v>636</v>
      </c>
      <c r="I295" t="s">
        <v>42</v>
      </c>
      <c r="J295" t="s">
        <v>271</v>
      </c>
      <c r="K295" t="s">
        <v>26</v>
      </c>
    </row>
    <row r="296" spans="1:11" x14ac:dyDescent="0.25">
      <c r="A296" t="s">
        <v>385</v>
      </c>
      <c r="B296" t="s">
        <v>657</v>
      </c>
      <c r="C296" t="s">
        <v>637</v>
      </c>
      <c r="D296" t="s">
        <v>638</v>
      </c>
      <c r="E296" t="s">
        <v>83</v>
      </c>
      <c r="F296" t="s">
        <v>104</v>
      </c>
      <c r="G296" t="s">
        <v>399</v>
      </c>
      <c r="H296" t="s">
        <v>636</v>
      </c>
      <c r="I296" t="s">
        <v>42</v>
      </c>
      <c r="J296" t="s">
        <v>271</v>
      </c>
      <c r="K296" t="s">
        <v>26</v>
      </c>
    </row>
    <row r="297" spans="1:11" x14ac:dyDescent="0.25">
      <c r="A297" t="s">
        <v>385</v>
      </c>
      <c r="B297" t="s">
        <v>657</v>
      </c>
      <c r="C297" t="s">
        <v>634</v>
      </c>
      <c r="D297" t="s">
        <v>635</v>
      </c>
      <c r="E297" t="s">
        <v>43</v>
      </c>
      <c r="F297" t="s">
        <v>53</v>
      </c>
      <c r="G297" t="s">
        <v>399</v>
      </c>
      <c r="H297" t="s">
        <v>636</v>
      </c>
      <c r="I297" t="s">
        <v>114</v>
      </c>
      <c r="J297" t="s">
        <v>293</v>
      </c>
      <c r="K297" t="s">
        <v>26</v>
      </c>
    </row>
    <row r="298" spans="1:11" x14ac:dyDescent="0.25">
      <c r="A298" t="s">
        <v>385</v>
      </c>
      <c r="B298" t="s">
        <v>657</v>
      </c>
      <c r="C298" t="s">
        <v>634</v>
      </c>
      <c r="D298" t="s">
        <v>635</v>
      </c>
      <c r="E298" t="s">
        <v>83</v>
      </c>
      <c r="F298" t="s">
        <v>104</v>
      </c>
      <c r="G298" t="s">
        <v>399</v>
      </c>
      <c r="H298" t="s">
        <v>636</v>
      </c>
      <c r="I298" t="s">
        <v>114</v>
      </c>
      <c r="J298" t="s">
        <v>293</v>
      </c>
      <c r="K298" t="s">
        <v>26</v>
      </c>
    </row>
    <row r="299" spans="1:11" x14ac:dyDescent="0.25">
      <c r="A299" t="s">
        <v>385</v>
      </c>
      <c r="B299" t="s">
        <v>657</v>
      </c>
      <c r="C299" t="s">
        <v>637</v>
      </c>
      <c r="D299" t="s">
        <v>638</v>
      </c>
      <c r="E299" t="s">
        <v>43</v>
      </c>
      <c r="F299" t="s">
        <v>53</v>
      </c>
      <c r="G299" t="s">
        <v>399</v>
      </c>
      <c r="H299" t="s">
        <v>636</v>
      </c>
      <c r="I299" t="s">
        <v>114</v>
      </c>
      <c r="J299" t="s">
        <v>293</v>
      </c>
      <c r="K299" t="s">
        <v>26</v>
      </c>
    </row>
    <row r="300" spans="1:11" x14ac:dyDescent="0.25">
      <c r="A300" t="s">
        <v>385</v>
      </c>
      <c r="B300" t="s">
        <v>657</v>
      </c>
      <c r="C300" t="s">
        <v>637</v>
      </c>
      <c r="D300" t="s">
        <v>638</v>
      </c>
      <c r="E300" t="s">
        <v>83</v>
      </c>
      <c r="F300" t="s">
        <v>104</v>
      </c>
      <c r="G300" t="s">
        <v>399</v>
      </c>
      <c r="H300" t="s">
        <v>636</v>
      </c>
      <c r="I300" t="s">
        <v>114</v>
      </c>
      <c r="J300" t="s">
        <v>293</v>
      </c>
      <c r="K300" t="s">
        <v>26</v>
      </c>
    </row>
    <row r="301" spans="1:11" x14ac:dyDescent="0.25">
      <c r="A301" t="s">
        <v>385</v>
      </c>
      <c r="B301" t="s">
        <v>657</v>
      </c>
      <c r="C301" t="s">
        <v>634</v>
      </c>
      <c r="D301" t="s">
        <v>635</v>
      </c>
      <c r="E301" t="s">
        <v>43</v>
      </c>
      <c r="F301" t="s">
        <v>53</v>
      </c>
      <c r="G301" t="s">
        <v>399</v>
      </c>
      <c r="H301" t="s">
        <v>636</v>
      </c>
      <c r="I301" t="s">
        <v>133</v>
      </c>
      <c r="J301" t="s">
        <v>312</v>
      </c>
      <c r="K301" t="s">
        <v>26</v>
      </c>
    </row>
    <row r="302" spans="1:11" x14ac:dyDescent="0.25">
      <c r="A302" t="s">
        <v>385</v>
      </c>
      <c r="B302" t="s">
        <v>657</v>
      </c>
      <c r="C302" t="s">
        <v>634</v>
      </c>
      <c r="D302" t="s">
        <v>635</v>
      </c>
      <c r="E302" t="s">
        <v>83</v>
      </c>
      <c r="F302" t="s">
        <v>104</v>
      </c>
      <c r="G302" t="s">
        <v>399</v>
      </c>
      <c r="H302" t="s">
        <v>636</v>
      </c>
      <c r="I302" t="s">
        <v>133</v>
      </c>
      <c r="J302" t="s">
        <v>312</v>
      </c>
      <c r="K302" t="s">
        <v>26</v>
      </c>
    </row>
    <row r="303" spans="1:11" x14ac:dyDescent="0.25">
      <c r="A303" t="s">
        <v>385</v>
      </c>
      <c r="B303" t="s">
        <v>657</v>
      </c>
      <c r="C303" t="s">
        <v>637</v>
      </c>
      <c r="D303" t="s">
        <v>638</v>
      </c>
      <c r="E303" t="s">
        <v>43</v>
      </c>
      <c r="F303" t="s">
        <v>53</v>
      </c>
      <c r="G303" t="s">
        <v>399</v>
      </c>
      <c r="H303" t="s">
        <v>636</v>
      </c>
      <c r="I303" t="s">
        <v>133</v>
      </c>
      <c r="J303" t="s">
        <v>312</v>
      </c>
      <c r="K303" t="s">
        <v>26</v>
      </c>
    </row>
    <row r="304" spans="1:11" x14ac:dyDescent="0.25">
      <c r="A304" t="s">
        <v>385</v>
      </c>
      <c r="B304" t="s">
        <v>657</v>
      </c>
      <c r="C304" t="s">
        <v>637</v>
      </c>
      <c r="D304" t="s">
        <v>638</v>
      </c>
      <c r="E304" t="s">
        <v>83</v>
      </c>
      <c r="F304" t="s">
        <v>104</v>
      </c>
      <c r="G304" t="s">
        <v>399</v>
      </c>
      <c r="H304" t="s">
        <v>636</v>
      </c>
      <c r="I304" t="s">
        <v>133</v>
      </c>
      <c r="J304" t="s">
        <v>312</v>
      </c>
      <c r="K304" t="s">
        <v>26</v>
      </c>
    </row>
    <row r="305" spans="1:11" x14ac:dyDescent="0.25">
      <c r="A305" t="s">
        <v>385</v>
      </c>
      <c r="B305" t="s">
        <v>657</v>
      </c>
      <c r="C305" t="s">
        <v>634</v>
      </c>
      <c r="D305" t="s">
        <v>635</v>
      </c>
      <c r="E305" t="s">
        <v>43</v>
      </c>
      <c r="F305" t="s">
        <v>53</v>
      </c>
      <c r="G305" t="s">
        <v>399</v>
      </c>
      <c r="H305" t="s">
        <v>636</v>
      </c>
      <c r="I305" t="s">
        <v>152</v>
      </c>
      <c r="J305" t="s">
        <v>320</v>
      </c>
      <c r="K305" t="s">
        <v>26</v>
      </c>
    </row>
    <row r="306" spans="1:11" x14ac:dyDescent="0.25">
      <c r="A306" t="s">
        <v>385</v>
      </c>
      <c r="B306" t="s">
        <v>657</v>
      </c>
      <c r="C306" t="s">
        <v>634</v>
      </c>
      <c r="D306" t="s">
        <v>635</v>
      </c>
      <c r="E306" t="s">
        <v>83</v>
      </c>
      <c r="F306" t="s">
        <v>104</v>
      </c>
      <c r="G306" t="s">
        <v>399</v>
      </c>
      <c r="H306" t="s">
        <v>636</v>
      </c>
      <c r="I306" t="s">
        <v>152</v>
      </c>
      <c r="J306" t="s">
        <v>320</v>
      </c>
      <c r="K306" t="s">
        <v>26</v>
      </c>
    </row>
    <row r="307" spans="1:11" x14ac:dyDescent="0.25">
      <c r="A307" t="s">
        <v>385</v>
      </c>
      <c r="B307" t="s">
        <v>657</v>
      </c>
      <c r="C307" t="s">
        <v>637</v>
      </c>
      <c r="D307" t="s">
        <v>638</v>
      </c>
      <c r="E307" t="s">
        <v>43</v>
      </c>
      <c r="F307" t="s">
        <v>53</v>
      </c>
      <c r="G307" t="s">
        <v>399</v>
      </c>
      <c r="H307" t="s">
        <v>636</v>
      </c>
      <c r="I307" t="s">
        <v>152</v>
      </c>
      <c r="J307" t="s">
        <v>320</v>
      </c>
      <c r="K307" t="s">
        <v>26</v>
      </c>
    </row>
    <row r="308" spans="1:11" x14ac:dyDescent="0.25">
      <c r="A308" t="s">
        <v>385</v>
      </c>
      <c r="B308" t="s">
        <v>657</v>
      </c>
      <c r="C308" t="s">
        <v>637</v>
      </c>
      <c r="D308" t="s">
        <v>638</v>
      </c>
      <c r="E308" t="s">
        <v>83</v>
      </c>
      <c r="F308" t="s">
        <v>104</v>
      </c>
      <c r="G308" t="s">
        <v>399</v>
      </c>
      <c r="H308" t="s">
        <v>636</v>
      </c>
      <c r="I308" t="s">
        <v>152</v>
      </c>
      <c r="J308" t="s">
        <v>320</v>
      </c>
      <c r="K308" t="s">
        <v>26</v>
      </c>
    </row>
    <row r="309" spans="1:11" x14ac:dyDescent="0.25">
      <c r="A309" t="s">
        <v>290</v>
      </c>
      <c r="B309" t="s">
        <v>658</v>
      </c>
      <c r="C309" t="s">
        <v>634</v>
      </c>
      <c r="D309" t="s">
        <v>635</v>
      </c>
      <c r="E309" t="s">
        <v>83</v>
      </c>
      <c r="F309" t="s">
        <v>91</v>
      </c>
      <c r="G309" t="s">
        <v>305</v>
      </c>
      <c r="H309" t="s">
        <v>636</v>
      </c>
      <c r="I309" t="s">
        <v>114</v>
      </c>
      <c r="J309" t="s">
        <v>293</v>
      </c>
      <c r="K309" t="s">
        <v>306</v>
      </c>
    </row>
    <row r="310" spans="1:11" x14ac:dyDescent="0.25">
      <c r="A310" t="s">
        <v>290</v>
      </c>
      <c r="B310" t="s">
        <v>658</v>
      </c>
      <c r="C310" t="s">
        <v>634</v>
      </c>
      <c r="D310" t="s">
        <v>635</v>
      </c>
      <c r="E310" t="s">
        <v>63</v>
      </c>
      <c r="F310" t="s">
        <v>113</v>
      </c>
      <c r="G310" t="s">
        <v>305</v>
      </c>
      <c r="H310" t="s">
        <v>636</v>
      </c>
      <c r="I310" t="s">
        <v>114</v>
      </c>
      <c r="J310" t="s">
        <v>293</v>
      </c>
      <c r="K310" t="s">
        <v>306</v>
      </c>
    </row>
    <row r="311" spans="1:11" x14ac:dyDescent="0.25">
      <c r="A311" t="s">
        <v>290</v>
      </c>
      <c r="B311" t="s">
        <v>658</v>
      </c>
      <c r="C311" t="s">
        <v>634</v>
      </c>
      <c r="D311" t="s">
        <v>635</v>
      </c>
      <c r="E311" t="s">
        <v>63</v>
      </c>
      <c r="F311" t="s">
        <v>116</v>
      </c>
      <c r="G311" t="s">
        <v>305</v>
      </c>
      <c r="H311" t="s">
        <v>636</v>
      </c>
      <c r="I311" t="s">
        <v>114</v>
      </c>
      <c r="J311" t="s">
        <v>293</v>
      </c>
      <c r="K311" t="s">
        <v>306</v>
      </c>
    </row>
    <row r="312" spans="1:11" x14ac:dyDescent="0.25">
      <c r="A312" t="s">
        <v>290</v>
      </c>
      <c r="B312" t="s">
        <v>658</v>
      </c>
      <c r="C312" t="s">
        <v>634</v>
      </c>
      <c r="D312" t="s">
        <v>635</v>
      </c>
      <c r="E312" t="s">
        <v>46</v>
      </c>
      <c r="F312" t="s">
        <v>55</v>
      </c>
      <c r="G312" t="s">
        <v>305</v>
      </c>
      <c r="H312" t="s">
        <v>636</v>
      </c>
      <c r="I312" t="s">
        <v>114</v>
      </c>
      <c r="J312" t="s">
        <v>293</v>
      </c>
      <c r="K312" t="s">
        <v>306</v>
      </c>
    </row>
    <row r="313" spans="1:11" x14ac:dyDescent="0.25">
      <c r="A313" t="s">
        <v>290</v>
      </c>
      <c r="B313" t="s">
        <v>658</v>
      </c>
      <c r="C313" t="s">
        <v>634</v>
      </c>
      <c r="D313" t="s">
        <v>635</v>
      </c>
      <c r="E313" t="s">
        <v>93</v>
      </c>
      <c r="F313" t="s">
        <v>94</v>
      </c>
      <c r="G313" t="s">
        <v>305</v>
      </c>
      <c r="H313" t="s">
        <v>636</v>
      </c>
      <c r="I313" t="s">
        <v>114</v>
      </c>
      <c r="J313" t="s">
        <v>293</v>
      </c>
      <c r="K313" t="s">
        <v>306</v>
      </c>
    </row>
    <row r="314" spans="1:11" x14ac:dyDescent="0.25">
      <c r="A314" t="s">
        <v>290</v>
      </c>
      <c r="B314" t="s">
        <v>658</v>
      </c>
      <c r="C314" t="s">
        <v>634</v>
      </c>
      <c r="D314" t="s">
        <v>635</v>
      </c>
      <c r="E314" t="s">
        <v>59</v>
      </c>
      <c r="F314" t="s">
        <v>156</v>
      </c>
      <c r="G314" t="s">
        <v>305</v>
      </c>
      <c r="H314" t="s">
        <v>636</v>
      </c>
      <c r="I314" t="s">
        <v>114</v>
      </c>
      <c r="J314" t="s">
        <v>293</v>
      </c>
      <c r="K314" t="s">
        <v>306</v>
      </c>
    </row>
    <row r="315" spans="1:11" x14ac:dyDescent="0.25">
      <c r="A315" t="s">
        <v>290</v>
      </c>
      <c r="B315" t="s">
        <v>658</v>
      </c>
      <c r="C315" t="s">
        <v>634</v>
      </c>
      <c r="D315" t="s">
        <v>635</v>
      </c>
      <c r="E315" t="s">
        <v>59</v>
      </c>
      <c r="F315" t="s">
        <v>60</v>
      </c>
      <c r="G315" t="s">
        <v>305</v>
      </c>
      <c r="H315" t="s">
        <v>636</v>
      </c>
      <c r="I315" t="s">
        <v>114</v>
      </c>
      <c r="J315" t="s">
        <v>293</v>
      </c>
      <c r="K315" t="s">
        <v>306</v>
      </c>
    </row>
    <row r="316" spans="1:11" x14ac:dyDescent="0.25">
      <c r="A316" t="s">
        <v>290</v>
      </c>
      <c r="B316" t="s">
        <v>658</v>
      </c>
      <c r="C316" t="s">
        <v>634</v>
      </c>
      <c r="D316" t="s">
        <v>635</v>
      </c>
      <c r="E316" t="s">
        <v>160</v>
      </c>
      <c r="F316" t="s">
        <v>161</v>
      </c>
      <c r="G316" t="s">
        <v>305</v>
      </c>
      <c r="H316" t="s">
        <v>636</v>
      </c>
      <c r="I316" t="s">
        <v>114</v>
      </c>
      <c r="J316" t="s">
        <v>293</v>
      </c>
      <c r="K316" t="s">
        <v>306</v>
      </c>
    </row>
    <row r="317" spans="1:11" x14ac:dyDescent="0.25">
      <c r="A317" t="s">
        <v>290</v>
      </c>
      <c r="B317" t="s">
        <v>658</v>
      </c>
      <c r="C317" t="s">
        <v>634</v>
      </c>
      <c r="D317" t="s">
        <v>635</v>
      </c>
      <c r="E317" t="s">
        <v>160</v>
      </c>
      <c r="F317" t="s">
        <v>165</v>
      </c>
      <c r="G317" t="s">
        <v>305</v>
      </c>
      <c r="H317" t="s">
        <v>636</v>
      </c>
      <c r="I317" t="s">
        <v>114</v>
      </c>
      <c r="J317" t="s">
        <v>293</v>
      </c>
      <c r="K317" t="s">
        <v>306</v>
      </c>
    </row>
    <row r="318" spans="1:11" x14ac:dyDescent="0.25">
      <c r="A318" t="s">
        <v>290</v>
      </c>
      <c r="B318" t="s">
        <v>658</v>
      </c>
      <c r="C318" t="s">
        <v>634</v>
      </c>
      <c r="D318" t="s">
        <v>635</v>
      </c>
      <c r="E318" t="s">
        <v>160</v>
      </c>
      <c r="F318" t="s">
        <v>166</v>
      </c>
      <c r="G318" t="s">
        <v>305</v>
      </c>
      <c r="H318" t="s">
        <v>636</v>
      </c>
      <c r="I318" t="s">
        <v>114</v>
      </c>
      <c r="J318" t="s">
        <v>293</v>
      </c>
      <c r="K318" t="s">
        <v>306</v>
      </c>
    </row>
    <row r="319" spans="1:11" x14ac:dyDescent="0.25">
      <c r="A319" t="s">
        <v>290</v>
      </c>
      <c r="B319" t="s">
        <v>658</v>
      </c>
      <c r="C319" t="s">
        <v>634</v>
      </c>
      <c r="D319" t="s">
        <v>635</v>
      </c>
      <c r="E319" t="s">
        <v>160</v>
      </c>
      <c r="F319" t="s">
        <v>168</v>
      </c>
      <c r="G319" t="s">
        <v>305</v>
      </c>
      <c r="H319" t="s">
        <v>636</v>
      </c>
      <c r="I319" t="s">
        <v>114</v>
      </c>
      <c r="J319" t="s">
        <v>293</v>
      </c>
      <c r="K319" t="s">
        <v>306</v>
      </c>
    </row>
    <row r="320" spans="1:11" x14ac:dyDescent="0.25">
      <c r="A320" t="s">
        <v>290</v>
      </c>
      <c r="B320" t="s">
        <v>658</v>
      </c>
      <c r="C320" t="s">
        <v>634</v>
      </c>
      <c r="D320" t="s">
        <v>635</v>
      </c>
      <c r="E320" t="s">
        <v>160</v>
      </c>
      <c r="F320" t="s">
        <v>173</v>
      </c>
      <c r="G320" t="s">
        <v>305</v>
      </c>
      <c r="H320" t="s">
        <v>636</v>
      </c>
      <c r="I320" t="s">
        <v>114</v>
      </c>
      <c r="J320" t="s">
        <v>293</v>
      </c>
      <c r="K320" t="s">
        <v>306</v>
      </c>
    </row>
    <row r="321" spans="1:11" x14ac:dyDescent="0.25">
      <c r="A321" t="s">
        <v>290</v>
      </c>
      <c r="B321" t="s">
        <v>658</v>
      </c>
      <c r="C321" t="s">
        <v>634</v>
      </c>
      <c r="D321" t="s">
        <v>638</v>
      </c>
      <c r="E321" t="s">
        <v>71</v>
      </c>
      <c r="F321" t="s">
        <v>86</v>
      </c>
      <c r="G321" t="s">
        <v>305</v>
      </c>
      <c r="H321" t="s">
        <v>636</v>
      </c>
      <c r="I321" t="s">
        <v>114</v>
      </c>
      <c r="J321" t="s">
        <v>293</v>
      </c>
      <c r="K321" t="s">
        <v>306</v>
      </c>
    </row>
    <row r="322" spans="1:11" x14ac:dyDescent="0.25">
      <c r="A322" t="s">
        <v>290</v>
      </c>
      <c r="B322" t="s">
        <v>658</v>
      </c>
      <c r="C322" t="s">
        <v>634</v>
      </c>
      <c r="D322" t="s">
        <v>638</v>
      </c>
      <c r="E322" t="s">
        <v>71</v>
      </c>
      <c r="F322" t="s">
        <v>72</v>
      </c>
      <c r="G322" t="s">
        <v>305</v>
      </c>
      <c r="H322" t="s">
        <v>636</v>
      </c>
      <c r="I322" t="s">
        <v>114</v>
      </c>
      <c r="J322" t="s">
        <v>293</v>
      </c>
      <c r="K322" t="s">
        <v>306</v>
      </c>
    </row>
    <row r="323" spans="1:11" x14ac:dyDescent="0.25">
      <c r="A323" t="s">
        <v>290</v>
      </c>
      <c r="B323" t="s">
        <v>658</v>
      </c>
      <c r="C323" t="s">
        <v>634</v>
      </c>
      <c r="D323" t="s">
        <v>638</v>
      </c>
      <c r="E323" t="s">
        <v>71</v>
      </c>
      <c r="F323" t="s">
        <v>88</v>
      </c>
      <c r="G323" t="s">
        <v>305</v>
      </c>
      <c r="H323" t="s">
        <v>636</v>
      </c>
      <c r="I323" t="s">
        <v>114</v>
      </c>
      <c r="J323" t="s">
        <v>293</v>
      </c>
      <c r="K323" t="s">
        <v>306</v>
      </c>
    </row>
    <row r="324" spans="1:11" x14ac:dyDescent="0.25">
      <c r="A324" t="s">
        <v>290</v>
      </c>
      <c r="B324" t="s">
        <v>658</v>
      </c>
      <c r="C324" t="s">
        <v>634</v>
      </c>
      <c r="D324" t="s">
        <v>638</v>
      </c>
      <c r="E324" t="s">
        <v>71</v>
      </c>
      <c r="F324" t="s">
        <v>98</v>
      </c>
      <c r="G324" t="s">
        <v>305</v>
      </c>
      <c r="H324" t="s">
        <v>636</v>
      </c>
      <c r="I324" t="s">
        <v>114</v>
      </c>
      <c r="J324" t="s">
        <v>293</v>
      </c>
      <c r="K324" t="s">
        <v>306</v>
      </c>
    </row>
    <row r="325" spans="1:11" x14ac:dyDescent="0.25">
      <c r="A325" t="s">
        <v>290</v>
      </c>
      <c r="B325" t="s">
        <v>658</v>
      </c>
      <c r="C325" t="s">
        <v>634</v>
      </c>
      <c r="D325" t="s">
        <v>638</v>
      </c>
      <c r="E325" t="s">
        <v>71</v>
      </c>
      <c r="F325" t="s">
        <v>99</v>
      </c>
      <c r="G325" t="s">
        <v>305</v>
      </c>
      <c r="H325" t="s">
        <v>636</v>
      </c>
      <c r="I325" t="s">
        <v>114</v>
      </c>
      <c r="J325" t="s">
        <v>293</v>
      </c>
      <c r="K325" t="s">
        <v>306</v>
      </c>
    </row>
    <row r="326" spans="1:11" x14ac:dyDescent="0.25">
      <c r="A326" t="s">
        <v>290</v>
      </c>
      <c r="B326" t="s">
        <v>658</v>
      </c>
      <c r="C326" t="s">
        <v>634</v>
      </c>
      <c r="D326" t="s">
        <v>638</v>
      </c>
      <c r="E326" t="s">
        <v>46</v>
      </c>
      <c r="F326" t="s">
        <v>47</v>
      </c>
      <c r="G326" t="s">
        <v>305</v>
      </c>
      <c r="H326" t="s">
        <v>636</v>
      </c>
      <c r="I326" t="s">
        <v>114</v>
      </c>
      <c r="J326" t="s">
        <v>293</v>
      </c>
      <c r="K326" t="s">
        <v>306</v>
      </c>
    </row>
    <row r="327" spans="1:11" x14ac:dyDescent="0.25">
      <c r="A327" t="s">
        <v>290</v>
      </c>
      <c r="B327" t="s">
        <v>658</v>
      </c>
      <c r="C327" t="s">
        <v>634</v>
      </c>
      <c r="D327" t="s">
        <v>638</v>
      </c>
      <c r="E327" t="s">
        <v>46</v>
      </c>
      <c r="F327" t="s">
        <v>123</v>
      </c>
      <c r="G327" t="s">
        <v>305</v>
      </c>
      <c r="H327" t="s">
        <v>636</v>
      </c>
      <c r="I327" t="s">
        <v>114</v>
      </c>
      <c r="J327" t="s">
        <v>293</v>
      </c>
      <c r="K327" t="s">
        <v>306</v>
      </c>
    </row>
    <row r="328" spans="1:11" x14ac:dyDescent="0.25">
      <c r="A328" t="s">
        <v>290</v>
      </c>
      <c r="B328" t="s">
        <v>658</v>
      </c>
      <c r="C328" t="s">
        <v>634</v>
      </c>
      <c r="D328" t="s">
        <v>638</v>
      </c>
      <c r="E328" t="s">
        <v>46</v>
      </c>
      <c r="F328" t="s">
        <v>55</v>
      </c>
      <c r="G328" t="s">
        <v>305</v>
      </c>
      <c r="H328" t="s">
        <v>636</v>
      </c>
      <c r="I328" t="s">
        <v>114</v>
      </c>
      <c r="J328" t="s">
        <v>293</v>
      </c>
      <c r="K328" t="s">
        <v>306</v>
      </c>
    </row>
    <row r="329" spans="1:11" x14ac:dyDescent="0.25">
      <c r="A329" t="s">
        <v>290</v>
      </c>
      <c r="B329" t="s">
        <v>658</v>
      </c>
      <c r="C329" t="s">
        <v>634</v>
      </c>
      <c r="D329" t="s">
        <v>638</v>
      </c>
      <c r="E329" t="s">
        <v>110</v>
      </c>
      <c r="F329" t="s">
        <v>137</v>
      </c>
      <c r="G329" t="s">
        <v>305</v>
      </c>
      <c r="H329" t="s">
        <v>636</v>
      </c>
      <c r="I329" t="s">
        <v>114</v>
      </c>
      <c r="J329" t="s">
        <v>293</v>
      </c>
      <c r="K329" t="s">
        <v>306</v>
      </c>
    </row>
    <row r="330" spans="1:11" x14ac:dyDescent="0.25">
      <c r="A330" t="s">
        <v>290</v>
      </c>
      <c r="B330" t="s">
        <v>658</v>
      </c>
      <c r="C330" t="s">
        <v>634</v>
      </c>
      <c r="D330" t="s">
        <v>638</v>
      </c>
      <c r="E330" t="s">
        <v>110</v>
      </c>
      <c r="F330" t="s">
        <v>140</v>
      </c>
      <c r="G330" t="s">
        <v>305</v>
      </c>
      <c r="H330" t="s">
        <v>636</v>
      </c>
      <c r="I330" t="s">
        <v>114</v>
      </c>
      <c r="J330" t="s">
        <v>293</v>
      </c>
      <c r="K330" t="s">
        <v>306</v>
      </c>
    </row>
    <row r="331" spans="1:11" x14ac:dyDescent="0.25">
      <c r="A331" t="s">
        <v>290</v>
      </c>
      <c r="B331" t="s">
        <v>658</v>
      </c>
      <c r="C331" t="s">
        <v>634</v>
      </c>
      <c r="D331" t="s">
        <v>638</v>
      </c>
      <c r="E331" t="s">
        <v>110</v>
      </c>
      <c r="F331" t="s">
        <v>142</v>
      </c>
      <c r="G331" t="s">
        <v>305</v>
      </c>
      <c r="H331" t="s">
        <v>636</v>
      </c>
      <c r="I331" t="s">
        <v>114</v>
      </c>
      <c r="J331" t="s">
        <v>293</v>
      </c>
      <c r="K331" t="s">
        <v>306</v>
      </c>
    </row>
    <row r="332" spans="1:11" x14ac:dyDescent="0.25">
      <c r="A332" t="s">
        <v>290</v>
      </c>
      <c r="B332" t="s">
        <v>658</v>
      </c>
      <c r="C332" t="s">
        <v>634</v>
      </c>
      <c r="D332" t="s">
        <v>638</v>
      </c>
      <c r="E332" t="s">
        <v>110</v>
      </c>
      <c r="F332" t="s">
        <v>146</v>
      </c>
      <c r="G332" t="s">
        <v>305</v>
      </c>
      <c r="H332" t="s">
        <v>636</v>
      </c>
      <c r="I332" t="s">
        <v>114</v>
      </c>
      <c r="J332" t="s">
        <v>293</v>
      </c>
      <c r="K332" t="s">
        <v>306</v>
      </c>
    </row>
    <row r="333" spans="1:11" x14ac:dyDescent="0.25">
      <c r="A333" t="s">
        <v>290</v>
      </c>
      <c r="B333" t="s">
        <v>658</v>
      </c>
      <c r="C333" t="s">
        <v>634</v>
      </c>
      <c r="D333" t="s">
        <v>638</v>
      </c>
      <c r="E333" t="s">
        <v>110</v>
      </c>
      <c r="F333" t="s">
        <v>148</v>
      </c>
      <c r="G333" t="s">
        <v>305</v>
      </c>
      <c r="H333" t="s">
        <v>636</v>
      </c>
      <c r="I333" t="s">
        <v>114</v>
      </c>
      <c r="J333" t="s">
        <v>293</v>
      </c>
      <c r="K333" t="s">
        <v>306</v>
      </c>
    </row>
    <row r="334" spans="1:11" x14ac:dyDescent="0.25">
      <c r="A334" t="s">
        <v>290</v>
      </c>
      <c r="B334" t="s">
        <v>658</v>
      </c>
      <c r="C334" t="s">
        <v>634</v>
      </c>
      <c r="D334" t="s">
        <v>638</v>
      </c>
      <c r="E334" t="s">
        <v>110</v>
      </c>
      <c r="F334" t="s">
        <v>149</v>
      </c>
      <c r="G334" t="s">
        <v>305</v>
      </c>
      <c r="H334" t="s">
        <v>636</v>
      </c>
      <c r="I334" t="s">
        <v>114</v>
      </c>
      <c r="J334" t="s">
        <v>293</v>
      </c>
      <c r="K334" t="s">
        <v>306</v>
      </c>
    </row>
    <row r="335" spans="1:11" x14ac:dyDescent="0.25">
      <c r="A335" t="s">
        <v>290</v>
      </c>
      <c r="B335" t="s">
        <v>658</v>
      </c>
      <c r="C335" t="s">
        <v>634</v>
      </c>
      <c r="D335" t="s">
        <v>638</v>
      </c>
      <c r="E335" t="s">
        <v>110</v>
      </c>
      <c r="F335" t="s">
        <v>151</v>
      </c>
      <c r="G335" t="s">
        <v>305</v>
      </c>
      <c r="H335" t="s">
        <v>636</v>
      </c>
      <c r="I335" t="s">
        <v>114</v>
      </c>
      <c r="J335" t="s">
        <v>293</v>
      </c>
      <c r="K335" t="s">
        <v>306</v>
      </c>
    </row>
    <row r="336" spans="1:11" x14ac:dyDescent="0.25">
      <c r="A336" t="s">
        <v>290</v>
      </c>
      <c r="B336" t="s">
        <v>658</v>
      </c>
      <c r="C336" t="s">
        <v>634</v>
      </c>
      <c r="D336" t="s">
        <v>638</v>
      </c>
      <c r="E336" t="s">
        <v>59</v>
      </c>
      <c r="F336" t="s">
        <v>158</v>
      </c>
      <c r="G336" t="s">
        <v>305</v>
      </c>
      <c r="H336" t="s">
        <v>636</v>
      </c>
      <c r="I336" t="s">
        <v>114</v>
      </c>
      <c r="J336" t="s">
        <v>293</v>
      </c>
      <c r="K336" t="s">
        <v>306</v>
      </c>
    </row>
    <row r="337" spans="1:11" x14ac:dyDescent="0.25">
      <c r="A337" t="s">
        <v>290</v>
      </c>
      <c r="B337" t="s">
        <v>658</v>
      </c>
      <c r="C337" t="s">
        <v>634</v>
      </c>
      <c r="D337" t="s">
        <v>638</v>
      </c>
      <c r="E337" t="s">
        <v>59</v>
      </c>
      <c r="F337" t="s">
        <v>60</v>
      </c>
      <c r="G337" t="s">
        <v>305</v>
      </c>
      <c r="H337" t="s">
        <v>636</v>
      </c>
      <c r="I337" t="s">
        <v>114</v>
      </c>
      <c r="J337" t="s">
        <v>293</v>
      </c>
      <c r="K337" t="s">
        <v>306</v>
      </c>
    </row>
    <row r="338" spans="1:11" x14ac:dyDescent="0.25">
      <c r="A338" t="s">
        <v>290</v>
      </c>
      <c r="B338" t="s">
        <v>658</v>
      </c>
      <c r="C338" t="s">
        <v>634</v>
      </c>
      <c r="D338" t="s">
        <v>638</v>
      </c>
      <c r="E338" t="s">
        <v>160</v>
      </c>
      <c r="F338" t="s">
        <v>161</v>
      </c>
      <c r="G338" t="s">
        <v>305</v>
      </c>
      <c r="H338" t="s">
        <v>636</v>
      </c>
      <c r="I338" t="s">
        <v>114</v>
      </c>
      <c r="J338" t="s">
        <v>293</v>
      </c>
      <c r="K338" t="s">
        <v>306</v>
      </c>
    </row>
    <row r="339" spans="1:11" x14ac:dyDescent="0.25">
      <c r="A339" t="s">
        <v>290</v>
      </c>
      <c r="B339" t="s">
        <v>658</v>
      </c>
      <c r="C339" t="s">
        <v>634</v>
      </c>
      <c r="D339" t="s">
        <v>638</v>
      </c>
      <c r="E339" t="s">
        <v>160</v>
      </c>
      <c r="F339" t="s">
        <v>165</v>
      </c>
      <c r="G339" t="s">
        <v>305</v>
      </c>
      <c r="H339" t="s">
        <v>636</v>
      </c>
      <c r="I339" t="s">
        <v>114</v>
      </c>
      <c r="J339" t="s">
        <v>293</v>
      </c>
      <c r="K339" t="s">
        <v>306</v>
      </c>
    </row>
    <row r="340" spans="1:11" x14ac:dyDescent="0.25">
      <c r="A340" t="s">
        <v>290</v>
      </c>
      <c r="B340" t="s">
        <v>658</v>
      </c>
      <c r="C340" t="s">
        <v>634</v>
      </c>
      <c r="D340" t="s">
        <v>638</v>
      </c>
      <c r="E340" t="s">
        <v>160</v>
      </c>
      <c r="F340" t="s">
        <v>166</v>
      </c>
      <c r="G340" t="s">
        <v>305</v>
      </c>
      <c r="H340" t="s">
        <v>636</v>
      </c>
      <c r="I340" t="s">
        <v>114</v>
      </c>
      <c r="J340" t="s">
        <v>293</v>
      </c>
      <c r="K340" t="s">
        <v>306</v>
      </c>
    </row>
    <row r="341" spans="1:11" x14ac:dyDescent="0.25">
      <c r="A341" t="s">
        <v>290</v>
      </c>
      <c r="B341" t="s">
        <v>658</v>
      </c>
      <c r="C341" t="s">
        <v>634</v>
      </c>
      <c r="D341" t="s">
        <v>638</v>
      </c>
      <c r="E341" t="s">
        <v>160</v>
      </c>
      <c r="F341" t="s">
        <v>168</v>
      </c>
      <c r="G341" t="s">
        <v>305</v>
      </c>
      <c r="H341" t="s">
        <v>636</v>
      </c>
      <c r="I341" t="s">
        <v>114</v>
      </c>
      <c r="J341" t="s">
        <v>293</v>
      </c>
      <c r="K341" t="s">
        <v>306</v>
      </c>
    </row>
    <row r="342" spans="1:11" x14ac:dyDescent="0.25">
      <c r="A342" t="s">
        <v>290</v>
      </c>
      <c r="B342" t="s">
        <v>658</v>
      </c>
      <c r="C342" t="s">
        <v>634</v>
      </c>
      <c r="D342" t="s">
        <v>638</v>
      </c>
      <c r="E342" t="s">
        <v>160</v>
      </c>
      <c r="F342" t="s">
        <v>173</v>
      </c>
      <c r="G342" t="s">
        <v>305</v>
      </c>
      <c r="H342" t="s">
        <v>636</v>
      </c>
      <c r="I342" t="s">
        <v>114</v>
      </c>
      <c r="J342" t="s">
        <v>293</v>
      </c>
      <c r="K342" t="s">
        <v>306</v>
      </c>
    </row>
    <row r="343" spans="1:11" x14ac:dyDescent="0.25">
      <c r="A343" t="s">
        <v>290</v>
      </c>
      <c r="B343" t="s">
        <v>658</v>
      </c>
      <c r="C343" t="s">
        <v>634</v>
      </c>
      <c r="D343" t="s">
        <v>638</v>
      </c>
      <c r="E343" t="s">
        <v>93</v>
      </c>
      <c r="F343" t="s">
        <v>128</v>
      </c>
      <c r="G343" t="s">
        <v>305</v>
      </c>
      <c r="H343" t="s">
        <v>636</v>
      </c>
      <c r="I343" t="s">
        <v>114</v>
      </c>
      <c r="J343" t="s">
        <v>293</v>
      </c>
      <c r="K343" t="s">
        <v>306</v>
      </c>
    </row>
    <row r="344" spans="1:11" x14ac:dyDescent="0.25">
      <c r="A344" t="s">
        <v>290</v>
      </c>
      <c r="B344" t="s">
        <v>658</v>
      </c>
      <c r="C344" t="s">
        <v>634</v>
      </c>
      <c r="D344" t="s">
        <v>638</v>
      </c>
      <c r="E344" t="s">
        <v>93</v>
      </c>
      <c r="F344" t="s">
        <v>130</v>
      </c>
      <c r="G344" t="s">
        <v>305</v>
      </c>
      <c r="H344" t="s">
        <v>636</v>
      </c>
      <c r="I344" t="s">
        <v>114</v>
      </c>
      <c r="J344" t="s">
        <v>293</v>
      </c>
      <c r="K344" t="s">
        <v>306</v>
      </c>
    </row>
    <row r="345" spans="1:11" x14ac:dyDescent="0.25">
      <c r="A345" t="s">
        <v>290</v>
      </c>
      <c r="B345" t="s">
        <v>658</v>
      </c>
      <c r="C345" t="s">
        <v>634</v>
      </c>
      <c r="D345" t="s">
        <v>638</v>
      </c>
      <c r="E345" t="s">
        <v>93</v>
      </c>
      <c r="F345" t="s">
        <v>94</v>
      </c>
      <c r="G345" t="s">
        <v>305</v>
      </c>
      <c r="H345" t="s">
        <v>636</v>
      </c>
      <c r="I345" t="s">
        <v>114</v>
      </c>
      <c r="J345" t="s">
        <v>293</v>
      </c>
      <c r="K345" t="s">
        <v>306</v>
      </c>
    </row>
    <row r="346" spans="1:11" x14ac:dyDescent="0.25">
      <c r="A346" t="s">
        <v>290</v>
      </c>
      <c r="B346" t="s">
        <v>658</v>
      </c>
      <c r="C346" t="s">
        <v>634</v>
      </c>
      <c r="D346" t="s">
        <v>640</v>
      </c>
      <c r="E346" t="s">
        <v>71</v>
      </c>
      <c r="F346" t="s">
        <v>86</v>
      </c>
      <c r="G346" t="s">
        <v>305</v>
      </c>
      <c r="H346" t="s">
        <v>636</v>
      </c>
      <c r="I346" t="s">
        <v>114</v>
      </c>
      <c r="J346" t="s">
        <v>293</v>
      </c>
      <c r="K346" t="s">
        <v>306</v>
      </c>
    </row>
    <row r="347" spans="1:11" x14ac:dyDescent="0.25">
      <c r="A347" t="s">
        <v>290</v>
      </c>
      <c r="B347" t="s">
        <v>658</v>
      </c>
      <c r="C347" t="s">
        <v>634</v>
      </c>
      <c r="D347" t="s">
        <v>640</v>
      </c>
      <c r="E347" t="s">
        <v>71</v>
      </c>
      <c r="F347" t="s">
        <v>88</v>
      </c>
      <c r="G347" t="s">
        <v>305</v>
      </c>
      <c r="H347" t="s">
        <v>636</v>
      </c>
      <c r="I347" t="s">
        <v>114</v>
      </c>
      <c r="J347" t="s">
        <v>293</v>
      </c>
      <c r="K347" t="s">
        <v>306</v>
      </c>
    </row>
    <row r="348" spans="1:11" x14ac:dyDescent="0.25">
      <c r="A348" t="s">
        <v>290</v>
      </c>
      <c r="B348" t="s">
        <v>658</v>
      </c>
      <c r="C348" t="s">
        <v>634</v>
      </c>
      <c r="D348" t="s">
        <v>640</v>
      </c>
      <c r="E348" t="s">
        <v>71</v>
      </c>
      <c r="F348" t="s">
        <v>99</v>
      </c>
      <c r="G348" t="s">
        <v>305</v>
      </c>
      <c r="H348" t="s">
        <v>636</v>
      </c>
      <c r="I348" t="s">
        <v>114</v>
      </c>
      <c r="J348" t="s">
        <v>293</v>
      </c>
      <c r="K348" t="s">
        <v>306</v>
      </c>
    </row>
    <row r="349" spans="1:11" x14ac:dyDescent="0.25">
      <c r="A349" t="s">
        <v>290</v>
      </c>
      <c r="B349" t="s">
        <v>658</v>
      </c>
      <c r="C349" t="s">
        <v>634</v>
      </c>
      <c r="D349" t="s">
        <v>640</v>
      </c>
      <c r="E349" t="s">
        <v>83</v>
      </c>
      <c r="F349" t="s">
        <v>101</v>
      </c>
      <c r="G349" t="s">
        <v>305</v>
      </c>
      <c r="H349" t="s">
        <v>636</v>
      </c>
      <c r="I349" t="s">
        <v>114</v>
      </c>
      <c r="J349" t="s">
        <v>293</v>
      </c>
      <c r="K349" t="s">
        <v>306</v>
      </c>
    </row>
    <row r="350" spans="1:11" x14ac:dyDescent="0.25">
      <c r="A350" t="s">
        <v>290</v>
      </c>
      <c r="B350" t="s">
        <v>658</v>
      </c>
      <c r="C350" t="s">
        <v>634</v>
      </c>
      <c r="D350" t="s">
        <v>640</v>
      </c>
      <c r="E350" t="s">
        <v>83</v>
      </c>
      <c r="F350" t="s">
        <v>103</v>
      </c>
      <c r="G350" t="s">
        <v>305</v>
      </c>
      <c r="H350" t="s">
        <v>636</v>
      </c>
      <c r="I350" t="s">
        <v>114</v>
      </c>
      <c r="J350" t="s">
        <v>293</v>
      </c>
      <c r="K350" t="s">
        <v>306</v>
      </c>
    </row>
    <row r="351" spans="1:11" x14ac:dyDescent="0.25">
      <c r="A351" t="s">
        <v>290</v>
      </c>
      <c r="B351" t="s">
        <v>658</v>
      </c>
      <c r="C351" t="s">
        <v>634</v>
      </c>
      <c r="D351" t="s">
        <v>640</v>
      </c>
      <c r="E351" t="s">
        <v>63</v>
      </c>
      <c r="F351" t="s">
        <v>67</v>
      </c>
      <c r="G351" t="s">
        <v>305</v>
      </c>
      <c r="H351" t="s">
        <v>636</v>
      </c>
      <c r="I351" t="s">
        <v>114</v>
      </c>
      <c r="J351" t="s">
        <v>293</v>
      </c>
      <c r="K351" t="s">
        <v>306</v>
      </c>
    </row>
    <row r="352" spans="1:11" x14ac:dyDescent="0.25">
      <c r="A352" t="s">
        <v>290</v>
      </c>
      <c r="B352" t="s">
        <v>658</v>
      </c>
      <c r="C352" t="s">
        <v>634</v>
      </c>
      <c r="D352" t="s">
        <v>640</v>
      </c>
      <c r="E352" t="s">
        <v>59</v>
      </c>
      <c r="F352" t="s">
        <v>156</v>
      </c>
      <c r="G352" t="s">
        <v>305</v>
      </c>
      <c r="H352" t="s">
        <v>636</v>
      </c>
      <c r="I352" t="s">
        <v>114</v>
      </c>
      <c r="J352" t="s">
        <v>293</v>
      </c>
      <c r="K352" t="s">
        <v>306</v>
      </c>
    </row>
    <row r="353" spans="1:11" x14ac:dyDescent="0.25">
      <c r="A353" t="s">
        <v>290</v>
      </c>
      <c r="B353" t="s">
        <v>658</v>
      </c>
      <c r="C353" t="s">
        <v>634</v>
      </c>
      <c r="D353" t="s">
        <v>640</v>
      </c>
      <c r="E353" t="s">
        <v>59</v>
      </c>
      <c r="F353" t="s">
        <v>60</v>
      </c>
      <c r="G353" t="s">
        <v>305</v>
      </c>
      <c r="H353" t="s">
        <v>636</v>
      </c>
      <c r="I353" t="s">
        <v>114</v>
      </c>
      <c r="J353" t="s">
        <v>293</v>
      </c>
      <c r="K353" t="s">
        <v>306</v>
      </c>
    </row>
    <row r="354" spans="1:11" x14ac:dyDescent="0.25">
      <c r="A354" t="s">
        <v>290</v>
      </c>
      <c r="B354" t="s">
        <v>658</v>
      </c>
      <c r="C354" t="s">
        <v>637</v>
      </c>
      <c r="D354" t="s">
        <v>635</v>
      </c>
      <c r="E354" t="s">
        <v>83</v>
      </c>
      <c r="F354" t="s">
        <v>91</v>
      </c>
      <c r="G354" t="s">
        <v>305</v>
      </c>
      <c r="H354" t="s">
        <v>636</v>
      </c>
      <c r="I354" t="s">
        <v>114</v>
      </c>
      <c r="J354" t="s">
        <v>293</v>
      </c>
      <c r="K354" t="s">
        <v>306</v>
      </c>
    </row>
    <row r="355" spans="1:11" x14ac:dyDescent="0.25">
      <c r="A355" t="s">
        <v>290</v>
      </c>
      <c r="B355" t="s">
        <v>658</v>
      </c>
      <c r="C355" t="s">
        <v>637</v>
      </c>
      <c r="D355" t="s">
        <v>635</v>
      </c>
      <c r="E355" t="s">
        <v>63</v>
      </c>
      <c r="F355" t="s">
        <v>113</v>
      </c>
      <c r="G355" t="s">
        <v>305</v>
      </c>
      <c r="H355" t="s">
        <v>636</v>
      </c>
      <c r="I355" t="s">
        <v>114</v>
      </c>
      <c r="J355" t="s">
        <v>293</v>
      </c>
      <c r="K355" t="s">
        <v>306</v>
      </c>
    </row>
    <row r="356" spans="1:11" x14ac:dyDescent="0.25">
      <c r="A356" t="s">
        <v>290</v>
      </c>
      <c r="B356" t="s">
        <v>658</v>
      </c>
      <c r="C356" t="s">
        <v>637</v>
      </c>
      <c r="D356" t="s">
        <v>635</v>
      </c>
      <c r="E356" t="s">
        <v>63</v>
      </c>
      <c r="F356" t="s">
        <v>116</v>
      </c>
      <c r="G356" t="s">
        <v>305</v>
      </c>
      <c r="H356" t="s">
        <v>636</v>
      </c>
      <c r="I356" t="s">
        <v>114</v>
      </c>
      <c r="J356" t="s">
        <v>293</v>
      </c>
      <c r="K356" t="s">
        <v>306</v>
      </c>
    </row>
    <row r="357" spans="1:11" x14ac:dyDescent="0.25">
      <c r="A357" t="s">
        <v>290</v>
      </c>
      <c r="B357" t="s">
        <v>658</v>
      </c>
      <c r="C357" t="s">
        <v>637</v>
      </c>
      <c r="D357" t="s">
        <v>635</v>
      </c>
      <c r="E357" t="s">
        <v>46</v>
      </c>
      <c r="F357" t="s">
        <v>55</v>
      </c>
      <c r="G357" t="s">
        <v>305</v>
      </c>
      <c r="H357" t="s">
        <v>636</v>
      </c>
      <c r="I357" t="s">
        <v>114</v>
      </c>
      <c r="J357" t="s">
        <v>293</v>
      </c>
      <c r="K357" t="s">
        <v>306</v>
      </c>
    </row>
    <row r="358" spans="1:11" x14ac:dyDescent="0.25">
      <c r="A358" t="s">
        <v>290</v>
      </c>
      <c r="B358" t="s">
        <v>658</v>
      </c>
      <c r="C358" t="s">
        <v>637</v>
      </c>
      <c r="D358" t="s">
        <v>635</v>
      </c>
      <c r="E358" t="s">
        <v>93</v>
      </c>
      <c r="F358" t="s">
        <v>94</v>
      </c>
      <c r="G358" t="s">
        <v>305</v>
      </c>
      <c r="H358" t="s">
        <v>636</v>
      </c>
      <c r="I358" t="s">
        <v>114</v>
      </c>
      <c r="J358" t="s">
        <v>293</v>
      </c>
      <c r="K358" t="s">
        <v>306</v>
      </c>
    </row>
    <row r="359" spans="1:11" x14ac:dyDescent="0.25">
      <c r="A359" t="s">
        <v>290</v>
      </c>
      <c r="B359" t="s">
        <v>658</v>
      </c>
      <c r="C359" t="s">
        <v>637</v>
      </c>
      <c r="D359" t="s">
        <v>635</v>
      </c>
      <c r="E359" t="s">
        <v>59</v>
      </c>
      <c r="F359" t="s">
        <v>156</v>
      </c>
      <c r="G359" t="s">
        <v>305</v>
      </c>
      <c r="H359" t="s">
        <v>636</v>
      </c>
      <c r="I359" t="s">
        <v>114</v>
      </c>
      <c r="J359" t="s">
        <v>293</v>
      </c>
      <c r="K359" t="s">
        <v>306</v>
      </c>
    </row>
    <row r="360" spans="1:11" x14ac:dyDescent="0.25">
      <c r="A360" t="s">
        <v>290</v>
      </c>
      <c r="B360" t="s">
        <v>658</v>
      </c>
      <c r="C360" t="s">
        <v>637</v>
      </c>
      <c r="D360" t="s">
        <v>635</v>
      </c>
      <c r="E360" t="s">
        <v>59</v>
      </c>
      <c r="F360" t="s">
        <v>60</v>
      </c>
      <c r="G360" t="s">
        <v>305</v>
      </c>
      <c r="H360" t="s">
        <v>636</v>
      </c>
      <c r="I360" t="s">
        <v>114</v>
      </c>
      <c r="J360" t="s">
        <v>293</v>
      </c>
      <c r="K360" t="s">
        <v>306</v>
      </c>
    </row>
    <row r="361" spans="1:11" x14ac:dyDescent="0.25">
      <c r="A361" t="s">
        <v>290</v>
      </c>
      <c r="B361" t="s">
        <v>658</v>
      </c>
      <c r="C361" t="s">
        <v>637</v>
      </c>
      <c r="D361" t="s">
        <v>635</v>
      </c>
      <c r="E361" t="s">
        <v>160</v>
      </c>
      <c r="F361" t="s">
        <v>161</v>
      </c>
      <c r="G361" t="s">
        <v>305</v>
      </c>
      <c r="H361" t="s">
        <v>636</v>
      </c>
      <c r="I361" t="s">
        <v>114</v>
      </c>
      <c r="J361" t="s">
        <v>293</v>
      </c>
      <c r="K361" t="s">
        <v>306</v>
      </c>
    </row>
    <row r="362" spans="1:11" x14ac:dyDescent="0.25">
      <c r="A362" t="s">
        <v>290</v>
      </c>
      <c r="B362" t="s">
        <v>658</v>
      </c>
      <c r="C362" t="s">
        <v>637</v>
      </c>
      <c r="D362" t="s">
        <v>635</v>
      </c>
      <c r="E362" t="s">
        <v>160</v>
      </c>
      <c r="F362" t="s">
        <v>165</v>
      </c>
      <c r="G362" t="s">
        <v>305</v>
      </c>
      <c r="H362" t="s">
        <v>636</v>
      </c>
      <c r="I362" t="s">
        <v>114</v>
      </c>
      <c r="J362" t="s">
        <v>293</v>
      </c>
      <c r="K362" t="s">
        <v>306</v>
      </c>
    </row>
    <row r="363" spans="1:11" x14ac:dyDescent="0.25">
      <c r="A363" t="s">
        <v>290</v>
      </c>
      <c r="B363" t="s">
        <v>658</v>
      </c>
      <c r="C363" t="s">
        <v>637</v>
      </c>
      <c r="D363" t="s">
        <v>635</v>
      </c>
      <c r="E363" t="s">
        <v>160</v>
      </c>
      <c r="F363" t="s">
        <v>166</v>
      </c>
      <c r="G363" t="s">
        <v>305</v>
      </c>
      <c r="H363" t="s">
        <v>636</v>
      </c>
      <c r="I363" t="s">
        <v>114</v>
      </c>
      <c r="J363" t="s">
        <v>293</v>
      </c>
      <c r="K363" t="s">
        <v>306</v>
      </c>
    </row>
    <row r="364" spans="1:11" x14ac:dyDescent="0.25">
      <c r="A364" t="s">
        <v>290</v>
      </c>
      <c r="B364" t="s">
        <v>658</v>
      </c>
      <c r="C364" t="s">
        <v>637</v>
      </c>
      <c r="D364" t="s">
        <v>635</v>
      </c>
      <c r="E364" t="s">
        <v>160</v>
      </c>
      <c r="F364" t="s">
        <v>168</v>
      </c>
      <c r="G364" t="s">
        <v>305</v>
      </c>
      <c r="H364" t="s">
        <v>636</v>
      </c>
      <c r="I364" t="s">
        <v>114</v>
      </c>
      <c r="J364" t="s">
        <v>293</v>
      </c>
      <c r="K364" t="s">
        <v>306</v>
      </c>
    </row>
    <row r="365" spans="1:11" x14ac:dyDescent="0.25">
      <c r="A365" t="s">
        <v>290</v>
      </c>
      <c r="B365" t="s">
        <v>658</v>
      </c>
      <c r="C365" t="s">
        <v>637</v>
      </c>
      <c r="D365" t="s">
        <v>635</v>
      </c>
      <c r="E365" t="s">
        <v>160</v>
      </c>
      <c r="F365" t="s">
        <v>173</v>
      </c>
      <c r="G365" t="s">
        <v>305</v>
      </c>
      <c r="H365" t="s">
        <v>636</v>
      </c>
      <c r="I365" t="s">
        <v>114</v>
      </c>
      <c r="J365" t="s">
        <v>293</v>
      </c>
      <c r="K365" t="s">
        <v>306</v>
      </c>
    </row>
    <row r="366" spans="1:11" x14ac:dyDescent="0.25">
      <c r="A366" t="s">
        <v>290</v>
      </c>
      <c r="B366" t="s">
        <v>658</v>
      </c>
      <c r="C366" t="s">
        <v>637</v>
      </c>
      <c r="D366" t="s">
        <v>640</v>
      </c>
      <c r="E366" t="s">
        <v>71</v>
      </c>
      <c r="F366" t="s">
        <v>88</v>
      </c>
      <c r="G366" t="s">
        <v>305</v>
      </c>
      <c r="H366" t="s">
        <v>636</v>
      </c>
      <c r="I366" t="s">
        <v>114</v>
      </c>
      <c r="J366" t="s">
        <v>293</v>
      </c>
      <c r="K366" t="s">
        <v>306</v>
      </c>
    </row>
    <row r="367" spans="1:11" x14ac:dyDescent="0.25">
      <c r="A367" t="s">
        <v>290</v>
      </c>
      <c r="B367" t="s">
        <v>658</v>
      </c>
      <c r="C367" t="s">
        <v>637</v>
      </c>
      <c r="D367" t="s">
        <v>640</v>
      </c>
      <c r="E367" t="s">
        <v>83</v>
      </c>
      <c r="F367" t="s">
        <v>101</v>
      </c>
      <c r="G367" t="s">
        <v>305</v>
      </c>
      <c r="H367" t="s">
        <v>636</v>
      </c>
      <c r="I367" t="s">
        <v>114</v>
      </c>
      <c r="J367" t="s">
        <v>293</v>
      </c>
      <c r="K367" t="s">
        <v>306</v>
      </c>
    </row>
    <row r="368" spans="1:11" x14ac:dyDescent="0.25">
      <c r="A368" t="s">
        <v>290</v>
      </c>
      <c r="B368" t="s">
        <v>658</v>
      </c>
      <c r="C368" t="s">
        <v>637</v>
      </c>
      <c r="D368" t="s">
        <v>640</v>
      </c>
      <c r="E368" t="s">
        <v>83</v>
      </c>
      <c r="F368" t="s">
        <v>103</v>
      </c>
      <c r="G368" t="s">
        <v>305</v>
      </c>
      <c r="H368" t="s">
        <v>636</v>
      </c>
      <c r="I368" t="s">
        <v>114</v>
      </c>
      <c r="J368" t="s">
        <v>293</v>
      </c>
      <c r="K368" t="s">
        <v>306</v>
      </c>
    </row>
    <row r="369" spans="1:11" x14ac:dyDescent="0.25">
      <c r="A369" t="s">
        <v>290</v>
      </c>
      <c r="B369" t="s">
        <v>658</v>
      </c>
      <c r="C369" t="s">
        <v>637</v>
      </c>
      <c r="D369" t="s">
        <v>640</v>
      </c>
      <c r="E369" t="s">
        <v>59</v>
      </c>
      <c r="F369" t="s">
        <v>156</v>
      </c>
      <c r="G369" t="s">
        <v>305</v>
      </c>
      <c r="H369" t="s">
        <v>636</v>
      </c>
      <c r="I369" t="s">
        <v>114</v>
      </c>
      <c r="J369" t="s">
        <v>293</v>
      </c>
      <c r="K369" t="s">
        <v>306</v>
      </c>
    </row>
    <row r="370" spans="1:11" x14ac:dyDescent="0.25">
      <c r="A370" t="s">
        <v>290</v>
      </c>
      <c r="B370" t="s">
        <v>658</v>
      </c>
      <c r="C370" t="s">
        <v>637</v>
      </c>
      <c r="D370" t="s">
        <v>640</v>
      </c>
      <c r="E370" t="s">
        <v>59</v>
      </c>
      <c r="F370" t="s">
        <v>60</v>
      </c>
      <c r="G370" t="s">
        <v>305</v>
      </c>
      <c r="H370" t="s">
        <v>636</v>
      </c>
      <c r="I370" t="s">
        <v>114</v>
      </c>
      <c r="J370" t="s">
        <v>293</v>
      </c>
      <c r="K370" t="s">
        <v>306</v>
      </c>
    </row>
    <row r="371" spans="1:11" x14ac:dyDescent="0.25">
      <c r="A371" t="s">
        <v>422</v>
      </c>
      <c r="B371" t="s">
        <v>659</v>
      </c>
      <c r="C371" t="s">
        <v>634</v>
      </c>
      <c r="D371" t="s">
        <v>635</v>
      </c>
      <c r="E371" t="s">
        <v>43</v>
      </c>
      <c r="F371" t="s">
        <v>53</v>
      </c>
      <c r="G371" t="s">
        <v>434</v>
      </c>
      <c r="H371" t="s">
        <v>636</v>
      </c>
      <c r="I371" t="s">
        <v>42</v>
      </c>
      <c r="J371" t="s">
        <v>271</v>
      </c>
      <c r="K371" t="s">
        <v>28</v>
      </c>
    </row>
    <row r="372" spans="1:11" x14ac:dyDescent="0.25">
      <c r="A372" t="s">
        <v>422</v>
      </c>
      <c r="B372" t="s">
        <v>659</v>
      </c>
      <c r="D372" t="s">
        <v>635</v>
      </c>
      <c r="E372" t="s">
        <v>43</v>
      </c>
      <c r="F372" t="s">
        <v>49</v>
      </c>
      <c r="G372" t="s">
        <v>434</v>
      </c>
      <c r="H372" t="s">
        <v>636</v>
      </c>
      <c r="I372" t="s">
        <v>42</v>
      </c>
      <c r="J372" t="s">
        <v>271</v>
      </c>
      <c r="K372" t="s">
        <v>28</v>
      </c>
    </row>
    <row r="373" spans="1:11" x14ac:dyDescent="0.25">
      <c r="A373" t="s">
        <v>422</v>
      </c>
      <c r="B373" t="s">
        <v>659</v>
      </c>
      <c r="D373" t="s">
        <v>635</v>
      </c>
      <c r="E373" t="s">
        <v>71</v>
      </c>
      <c r="F373" t="s">
        <v>86</v>
      </c>
      <c r="G373" t="s">
        <v>434</v>
      </c>
      <c r="H373" t="s">
        <v>636</v>
      </c>
      <c r="I373" t="s">
        <v>42</v>
      </c>
      <c r="J373" t="s">
        <v>271</v>
      </c>
      <c r="K373" t="s">
        <v>28</v>
      </c>
    </row>
    <row r="374" spans="1:11" x14ac:dyDescent="0.25">
      <c r="A374" t="s">
        <v>422</v>
      </c>
      <c r="B374" t="s">
        <v>659</v>
      </c>
      <c r="D374" t="s">
        <v>638</v>
      </c>
      <c r="E374" t="s">
        <v>46</v>
      </c>
      <c r="F374" t="s">
        <v>47</v>
      </c>
      <c r="G374" t="s">
        <v>434</v>
      </c>
      <c r="H374" t="s">
        <v>636</v>
      </c>
      <c r="I374" t="s">
        <v>42</v>
      </c>
      <c r="J374" t="s">
        <v>271</v>
      </c>
      <c r="K374" t="s">
        <v>28</v>
      </c>
    </row>
    <row r="375" spans="1:11" x14ac:dyDescent="0.25">
      <c r="A375" t="s">
        <v>422</v>
      </c>
      <c r="B375" t="s">
        <v>659</v>
      </c>
      <c r="D375" t="s">
        <v>638</v>
      </c>
      <c r="E375" t="s">
        <v>69</v>
      </c>
      <c r="F375" t="s">
        <v>80</v>
      </c>
      <c r="G375" t="s">
        <v>434</v>
      </c>
      <c r="H375" t="s">
        <v>636</v>
      </c>
      <c r="I375" t="s">
        <v>42</v>
      </c>
      <c r="J375" t="s">
        <v>271</v>
      </c>
      <c r="K375" t="s">
        <v>28</v>
      </c>
    </row>
    <row r="376" spans="1:11" x14ac:dyDescent="0.25">
      <c r="A376" t="s">
        <v>422</v>
      </c>
      <c r="B376" t="s">
        <v>659</v>
      </c>
      <c r="D376" t="s">
        <v>640</v>
      </c>
      <c r="E376" t="s">
        <v>83</v>
      </c>
      <c r="F376" t="s">
        <v>104</v>
      </c>
      <c r="G376" t="s">
        <v>434</v>
      </c>
      <c r="H376" t="s">
        <v>636</v>
      </c>
      <c r="I376" t="s">
        <v>42</v>
      </c>
      <c r="J376" t="s">
        <v>271</v>
      </c>
      <c r="K376" t="s">
        <v>28</v>
      </c>
    </row>
    <row r="377" spans="1:11" x14ac:dyDescent="0.25">
      <c r="A377" t="s">
        <v>422</v>
      </c>
      <c r="B377" t="s">
        <v>659</v>
      </c>
      <c r="C377" t="s">
        <v>637</v>
      </c>
      <c r="D377" t="s">
        <v>638</v>
      </c>
      <c r="E377" t="s">
        <v>43</v>
      </c>
      <c r="F377" t="s">
        <v>49</v>
      </c>
      <c r="G377" t="s">
        <v>434</v>
      </c>
      <c r="H377" t="s">
        <v>636</v>
      </c>
      <c r="I377" t="s">
        <v>42</v>
      </c>
      <c r="J377" t="s">
        <v>271</v>
      </c>
      <c r="K377" t="s">
        <v>28</v>
      </c>
    </row>
    <row r="378" spans="1:11" x14ac:dyDescent="0.25">
      <c r="A378" t="s">
        <v>422</v>
      </c>
      <c r="B378" t="s">
        <v>659</v>
      </c>
      <c r="D378" t="s">
        <v>638</v>
      </c>
      <c r="E378" t="s">
        <v>71</v>
      </c>
      <c r="F378" t="s">
        <v>86</v>
      </c>
      <c r="G378" t="s">
        <v>434</v>
      </c>
      <c r="H378" t="s">
        <v>636</v>
      </c>
      <c r="I378" t="s">
        <v>42</v>
      </c>
      <c r="J378" t="s">
        <v>271</v>
      </c>
      <c r="K378" t="s">
        <v>28</v>
      </c>
    </row>
    <row r="379" spans="1:11" x14ac:dyDescent="0.25">
      <c r="A379" t="s">
        <v>422</v>
      </c>
      <c r="B379" t="s">
        <v>659</v>
      </c>
      <c r="D379" t="s">
        <v>640</v>
      </c>
      <c r="E379" t="s">
        <v>83</v>
      </c>
      <c r="F379" t="s">
        <v>101</v>
      </c>
      <c r="G379" t="s">
        <v>434</v>
      </c>
      <c r="H379" t="s">
        <v>636</v>
      </c>
      <c r="I379" t="s">
        <v>42</v>
      </c>
      <c r="J379" t="s">
        <v>271</v>
      </c>
      <c r="K379" t="s">
        <v>28</v>
      </c>
    </row>
    <row r="380" spans="1:11" x14ac:dyDescent="0.25">
      <c r="A380" t="s">
        <v>422</v>
      </c>
      <c r="B380" t="s">
        <v>659</v>
      </c>
      <c r="D380" t="s">
        <v>640</v>
      </c>
      <c r="E380" t="s">
        <v>46</v>
      </c>
      <c r="F380" t="s">
        <v>124</v>
      </c>
      <c r="G380" t="s">
        <v>434</v>
      </c>
      <c r="H380" t="s">
        <v>636</v>
      </c>
      <c r="I380" t="s">
        <v>42</v>
      </c>
      <c r="J380" t="s">
        <v>271</v>
      </c>
      <c r="K380" t="s">
        <v>28</v>
      </c>
    </row>
    <row r="381" spans="1:11" x14ac:dyDescent="0.25">
      <c r="A381" t="s">
        <v>422</v>
      </c>
      <c r="B381" t="s">
        <v>659</v>
      </c>
      <c r="C381" t="s">
        <v>634</v>
      </c>
      <c r="D381" t="s">
        <v>635</v>
      </c>
      <c r="E381" t="s">
        <v>43</v>
      </c>
      <c r="F381" t="s">
        <v>53</v>
      </c>
      <c r="G381" t="s">
        <v>434</v>
      </c>
      <c r="H381" t="s">
        <v>636</v>
      </c>
      <c r="I381" t="s">
        <v>133</v>
      </c>
      <c r="J381" t="s">
        <v>312</v>
      </c>
      <c r="K381" t="s">
        <v>28</v>
      </c>
    </row>
    <row r="382" spans="1:11" x14ac:dyDescent="0.25">
      <c r="A382" t="s">
        <v>422</v>
      </c>
      <c r="B382" t="s">
        <v>659</v>
      </c>
      <c r="D382" t="s">
        <v>635</v>
      </c>
      <c r="E382" t="s">
        <v>43</v>
      </c>
      <c r="F382" t="s">
        <v>49</v>
      </c>
      <c r="G382" t="s">
        <v>434</v>
      </c>
      <c r="H382" t="s">
        <v>636</v>
      </c>
      <c r="I382" t="s">
        <v>133</v>
      </c>
      <c r="J382" t="s">
        <v>312</v>
      </c>
      <c r="K382" t="s">
        <v>28</v>
      </c>
    </row>
    <row r="383" spans="1:11" x14ac:dyDescent="0.25">
      <c r="A383" t="s">
        <v>422</v>
      </c>
      <c r="B383" t="s">
        <v>659</v>
      </c>
      <c r="D383" t="s">
        <v>635</v>
      </c>
      <c r="E383" t="s">
        <v>71</v>
      </c>
      <c r="F383" t="s">
        <v>86</v>
      </c>
      <c r="G383" t="s">
        <v>434</v>
      </c>
      <c r="H383" t="s">
        <v>636</v>
      </c>
      <c r="I383" t="s">
        <v>133</v>
      </c>
      <c r="J383" t="s">
        <v>312</v>
      </c>
      <c r="K383" t="s">
        <v>28</v>
      </c>
    </row>
    <row r="384" spans="1:11" x14ac:dyDescent="0.25">
      <c r="A384" t="s">
        <v>422</v>
      </c>
      <c r="B384" t="s">
        <v>659</v>
      </c>
      <c r="D384" t="s">
        <v>638</v>
      </c>
      <c r="E384" t="s">
        <v>46</v>
      </c>
      <c r="F384" t="s">
        <v>47</v>
      </c>
      <c r="G384" t="s">
        <v>434</v>
      </c>
      <c r="H384" t="s">
        <v>636</v>
      </c>
      <c r="I384" t="s">
        <v>133</v>
      </c>
      <c r="J384" t="s">
        <v>312</v>
      </c>
      <c r="K384" t="s">
        <v>28</v>
      </c>
    </row>
    <row r="385" spans="1:11" x14ac:dyDescent="0.25">
      <c r="A385" t="s">
        <v>422</v>
      </c>
      <c r="B385" t="s">
        <v>659</v>
      </c>
      <c r="D385" t="s">
        <v>638</v>
      </c>
      <c r="E385" t="s">
        <v>69</v>
      </c>
      <c r="F385" t="s">
        <v>80</v>
      </c>
      <c r="G385" t="s">
        <v>434</v>
      </c>
      <c r="H385" t="s">
        <v>636</v>
      </c>
      <c r="I385" t="s">
        <v>133</v>
      </c>
      <c r="J385" t="s">
        <v>312</v>
      </c>
      <c r="K385" t="s">
        <v>28</v>
      </c>
    </row>
    <row r="386" spans="1:11" x14ac:dyDescent="0.25">
      <c r="A386" t="s">
        <v>422</v>
      </c>
      <c r="B386" t="s">
        <v>659</v>
      </c>
      <c r="D386" t="s">
        <v>640</v>
      </c>
      <c r="E386" t="s">
        <v>83</v>
      </c>
      <c r="F386" t="s">
        <v>104</v>
      </c>
      <c r="G386" t="s">
        <v>434</v>
      </c>
      <c r="H386" t="s">
        <v>636</v>
      </c>
      <c r="I386" t="s">
        <v>133</v>
      </c>
      <c r="J386" t="s">
        <v>312</v>
      </c>
      <c r="K386" t="s">
        <v>28</v>
      </c>
    </row>
    <row r="387" spans="1:11" x14ac:dyDescent="0.25">
      <c r="A387" t="s">
        <v>422</v>
      </c>
      <c r="B387" t="s">
        <v>659</v>
      </c>
      <c r="C387" t="s">
        <v>637</v>
      </c>
      <c r="D387" t="s">
        <v>638</v>
      </c>
      <c r="E387" t="s">
        <v>43</v>
      </c>
      <c r="F387" t="s">
        <v>49</v>
      </c>
      <c r="G387" t="s">
        <v>434</v>
      </c>
      <c r="H387" t="s">
        <v>636</v>
      </c>
      <c r="I387" t="s">
        <v>133</v>
      </c>
      <c r="J387" t="s">
        <v>312</v>
      </c>
      <c r="K387" t="s">
        <v>28</v>
      </c>
    </row>
    <row r="388" spans="1:11" x14ac:dyDescent="0.25">
      <c r="A388" t="s">
        <v>422</v>
      </c>
      <c r="B388" t="s">
        <v>659</v>
      </c>
      <c r="D388" t="s">
        <v>638</v>
      </c>
      <c r="E388" t="s">
        <v>71</v>
      </c>
      <c r="F388" t="s">
        <v>86</v>
      </c>
      <c r="G388" t="s">
        <v>434</v>
      </c>
      <c r="H388" t="s">
        <v>636</v>
      </c>
      <c r="I388" t="s">
        <v>133</v>
      </c>
      <c r="J388" t="s">
        <v>312</v>
      </c>
      <c r="K388" t="s">
        <v>28</v>
      </c>
    </row>
    <row r="389" spans="1:11" x14ac:dyDescent="0.25">
      <c r="A389" t="s">
        <v>422</v>
      </c>
      <c r="B389" t="s">
        <v>659</v>
      </c>
      <c r="D389" t="s">
        <v>640</v>
      </c>
      <c r="E389" t="s">
        <v>83</v>
      </c>
      <c r="F389" t="s">
        <v>101</v>
      </c>
      <c r="G389" t="s">
        <v>434</v>
      </c>
      <c r="H389" t="s">
        <v>636</v>
      </c>
      <c r="I389" t="s">
        <v>133</v>
      </c>
      <c r="J389" t="s">
        <v>312</v>
      </c>
      <c r="K389" t="s">
        <v>28</v>
      </c>
    </row>
    <row r="390" spans="1:11" x14ac:dyDescent="0.25">
      <c r="A390" t="s">
        <v>422</v>
      </c>
      <c r="B390" t="s">
        <v>659</v>
      </c>
      <c r="D390" t="s">
        <v>640</v>
      </c>
      <c r="E390" t="s">
        <v>46</v>
      </c>
      <c r="F390" t="s">
        <v>124</v>
      </c>
      <c r="G390" t="s">
        <v>434</v>
      </c>
      <c r="H390" t="s">
        <v>636</v>
      </c>
      <c r="I390" t="s">
        <v>133</v>
      </c>
      <c r="J390" t="s">
        <v>312</v>
      </c>
      <c r="K390" t="s">
        <v>28</v>
      </c>
    </row>
    <row r="391" spans="1:11" x14ac:dyDescent="0.25">
      <c r="A391" t="s">
        <v>290</v>
      </c>
      <c r="B391" t="s">
        <v>660</v>
      </c>
      <c r="C391" t="s">
        <v>634</v>
      </c>
      <c r="D391" t="s">
        <v>635</v>
      </c>
      <c r="E391" t="s">
        <v>83</v>
      </c>
      <c r="F391" t="s">
        <v>91</v>
      </c>
      <c r="G391" t="s">
        <v>308</v>
      </c>
      <c r="H391" t="s">
        <v>636</v>
      </c>
      <c r="I391" t="s">
        <v>114</v>
      </c>
      <c r="J391" t="s">
        <v>293</v>
      </c>
      <c r="K391" t="s">
        <v>309</v>
      </c>
    </row>
    <row r="392" spans="1:11" x14ac:dyDescent="0.25">
      <c r="A392" t="s">
        <v>290</v>
      </c>
      <c r="B392" t="s">
        <v>660</v>
      </c>
      <c r="C392" t="s">
        <v>634</v>
      </c>
      <c r="D392" t="s">
        <v>635</v>
      </c>
      <c r="E392" t="s">
        <v>63</v>
      </c>
      <c r="F392" t="s">
        <v>113</v>
      </c>
      <c r="G392" t="s">
        <v>308</v>
      </c>
      <c r="H392" t="s">
        <v>636</v>
      </c>
      <c r="I392" t="s">
        <v>114</v>
      </c>
      <c r="J392" t="s">
        <v>293</v>
      </c>
      <c r="K392" t="s">
        <v>309</v>
      </c>
    </row>
    <row r="393" spans="1:11" x14ac:dyDescent="0.25">
      <c r="A393" t="s">
        <v>290</v>
      </c>
      <c r="B393" t="s">
        <v>660</v>
      </c>
      <c r="C393" t="s">
        <v>634</v>
      </c>
      <c r="D393" t="s">
        <v>635</v>
      </c>
      <c r="E393" t="s">
        <v>63</v>
      </c>
      <c r="F393" t="s">
        <v>116</v>
      </c>
      <c r="G393" t="s">
        <v>308</v>
      </c>
      <c r="H393" t="s">
        <v>636</v>
      </c>
      <c r="I393" t="s">
        <v>114</v>
      </c>
      <c r="J393" t="s">
        <v>293</v>
      </c>
      <c r="K393" t="s">
        <v>309</v>
      </c>
    </row>
    <row r="394" spans="1:11" x14ac:dyDescent="0.25">
      <c r="A394" t="s">
        <v>290</v>
      </c>
      <c r="B394" t="s">
        <v>660</v>
      </c>
      <c r="C394" t="s">
        <v>634</v>
      </c>
      <c r="D394" t="s">
        <v>635</v>
      </c>
      <c r="E394" t="s">
        <v>46</v>
      </c>
      <c r="F394" t="s">
        <v>55</v>
      </c>
      <c r="G394" t="s">
        <v>308</v>
      </c>
      <c r="H394" t="s">
        <v>636</v>
      </c>
      <c r="I394" t="s">
        <v>114</v>
      </c>
      <c r="J394" t="s">
        <v>293</v>
      </c>
      <c r="K394" t="s">
        <v>309</v>
      </c>
    </row>
    <row r="395" spans="1:11" x14ac:dyDescent="0.25">
      <c r="A395" t="s">
        <v>290</v>
      </c>
      <c r="B395" t="s">
        <v>660</v>
      </c>
      <c r="C395" t="s">
        <v>634</v>
      </c>
      <c r="G395" t="s">
        <v>308</v>
      </c>
      <c r="H395" t="s">
        <v>636</v>
      </c>
      <c r="I395" t="s">
        <v>114</v>
      </c>
      <c r="J395" t="s">
        <v>293</v>
      </c>
      <c r="K395" t="s">
        <v>309</v>
      </c>
    </row>
    <row r="396" spans="1:11" x14ac:dyDescent="0.25">
      <c r="A396" t="s">
        <v>290</v>
      </c>
      <c r="B396" t="s">
        <v>660</v>
      </c>
      <c r="C396" t="s">
        <v>634</v>
      </c>
      <c r="G396" t="s">
        <v>308</v>
      </c>
      <c r="H396" t="s">
        <v>636</v>
      </c>
      <c r="I396" t="s">
        <v>114</v>
      </c>
      <c r="J396" t="s">
        <v>293</v>
      </c>
      <c r="K396" t="s">
        <v>309</v>
      </c>
    </row>
    <row r="397" spans="1:11" x14ac:dyDescent="0.25">
      <c r="A397" t="s">
        <v>290</v>
      </c>
      <c r="B397" t="s">
        <v>660</v>
      </c>
      <c r="C397" t="s">
        <v>634</v>
      </c>
      <c r="G397" t="s">
        <v>308</v>
      </c>
      <c r="H397" t="s">
        <v>636</v>
      </c>
      <c r="I397" t="s">
        <v>114</v>
      </c>
      <c r="J397" t="s">
        <v>293</v>
      </c>
      <c r="K397" t="s">
        <v>309</v>
      </c>
    </row>
    <row r="398" spans="1:11" x14ac:dyDescent="0.25">
      <c r="A398" t="s">
        <v>290</v>
      </c>
      <c r="B398" t="s">
        <v>660</v>
      </c>
      <c r="C398" t="s">
        <v>634</v>
      </c>
      <c r="G398" t="s">
        <v>308</v>
      </c>
      <c r="H398" t="s">
        <v>636</v>
      </c>
      <c r="I398" t="s">
        <v>114</v>
      </c>
      <c r="J398" t="s">
        <v>293</v>
      </c>
      <c r="K398" t="s">
        <v>309</v>
      </c>
    </row>
    <row r="399" spans="1:11" x14ac:dyDescent="0.25">
      <c r="A399" t="s">
        <v>290</v>
      </c>
      <c r="B399" t="s">
        <v>660</v>
      </c>
      <c r="C399" t="s">
        <v>634</v>
      </c>
      <c r="G399" t="s">
        <v>308</v>
      </c>
      <c r="H399" t="s">
        <v>636</v>
      </c>
      <c r="I399" t="s">
        <v>114</v>
      </c>
      <c r="J399" t="s">
        <v>293</v>
      </c>
      <c r="K399" t="s">
        <v>309</v>
      </c>
    </row>
    <row r="400" spans="1:11" x14ac:dyDescent="0.25">
      <c r="A400" t="s">
        <v>290</v>
      </c>
      <c r="B400" t="s">
        <v>660</v>
      </c>
      <c r="C400" t="s">
        <v>634</v>
      </c>
      <c r="G400" t="s">
        <v>308</v>
      </c>
      <c r="H400" t="s">
        <v>636</v>
      </c>
      <c r="I400" t="s">
        <v>114</v>
      </c>
      <c r="J400" t="s">
        <v>293</v>
      </c>
      <c r="K400" t="s">
        <v>309</v>
      </c>
    </row>
    <row r="401" spans="1:11" x14ac:dyDescent="0.25">
      <c r="A401" t="s">
        <v>290</v>
      </c>
      <c r="B401" t="s">
        <v>660</v>
      </c>
      <c r="C401" t="s">
        <v>634</v>
      </c>
      <c r="G401" t="s">
        <v>308</v>
      </c>
      <c r="H401" t="s">
        <v>636</v>
      </c>
      <c r="I401" t="s">
        <v>114</v>
      </c>
      <c r="J401" t="s">
        <v>293</v>
      </c>
      <c r="K401" t="s">
        <v>309</v>
      </c>
    </row>
    <row r="402" spans="1:11" x14ac:dyDescent="0.25">
      <c r="A402" t="s">
        <v>290</v>
      </c>
      <c r="B402" t="s">
        <v>660</v>
      </c>
      <c r="C402" t="s">
        <v>634</v>
      </c>
      <c r="G402" t="s">
        <v>308</v>
      </c>
      <c r="H402" t="s">
        <v>636</v>
      </c>
      <c r="I402" t="s">
        <v>114</v>
      </c>
      <c r="J402" t="s">
        <v>293</v>
      </c>
      <c r="K402" t="s">
        <v>309</v>
      </c>
    </row>
    <row r="403" spans="1:11" x14ac:dyDescent="0.25">
      <c r="A403" t="s">
        <v>290</v>
      </c>
      <c r="B403" t="s">
        <v>660</v>
      </c>
      <c r="C403" t="s">
        <v>634</v>
      </c>
      <c r="G403" t="s">
        <v>308</v>
      </c>
      <c r="H403" t="s">
        <v>636</v>
      </c>
      <c r="I403" t="s">
        <v>114</v>
      </c>
      <c r="J403" t="s">
        <v>293</v>
      </c>
      <c r="K403" t="s">
        <v>309</v>
      </c>
    </row>
    <row r="404" spans="1:11" x14ac:dyDescent="0.25">
      <c r="A404" t="s">
        <v>290</v>
      </c>
      <c r="B404" t="s">
        <v>660</v>
      </c>
      <c r="C404" t="s">
        <v>634</v>
      </c>
      <c r="G404" t="s">
        <v>308</v>
      </c>
      <c r="H404" t="s">
        <v>636</v>
      </c>
      <c r="I404" t="s">
        <v>114</v>
      </c>
      <c r="J404" t="s">
        <v>293</v>
      </c>
      <c r="K404" t="s">
        <v>309</v>
      </c>
    </row>
    <row r="405" spans="1:11" x14ac:dyDescent="0.25">
      <c r="A405" t="s">
        <v>290</v>
      </c>
      <c r="B405" t="s">
        <v>660</v>
      </c>
      <c r="C405" t="s">
        <v>634</v>
      </c>
      <c r="G405" t="s">
        <v>308</v>
      </c>
      <c r="H405" t="s">
        <v>636</v>
      </c>
      <c r="I405" t="s">
        <v>114</v>
      </c>
      <c r="J405" t="s">
        <v>293</v>
      </c>
      <c r="K405" t="s">
        <v>309</v>
      </c>
    </row>
    <row r="406" spans="1:11" x14ac:dyDescent="0.25">
      <c r="A406" t="s">
        <v>290</v>
      </c>
      <c r="B406" t="s">
        <v>660</v>
      </c>
      <c r="C406" t="s">
        <v>634</v>
      </c>
      <c r="G406" t="s">
        <v>308</v>
      </c>
      <c r="H406" t="s">
        <v>636</v>
      </c>
      <c r="I406" t="s">
        <v>114</v>
      </c>
      <c r="J406" t="s">
        <v>293</v>
      </c>
      <c r="K406" t="s">
        <v>309</v>
      </c>
    </row>
    <row r="407" spans="1:11" x14ac:dyDescent="0.25">
      <c r="A407" t="s">
        <v>290</v>
      </c>
      <c r="B407" t="s">
        <v>660</v>
      </c>
      <c r="C407" t="s">
        <v>634</v>
      </c>
      <c r="G407" t="s">
        <v>308</v>
      </c>
      <c r="H407" t="s">
        <v>636</v>
      </c>
      <c r="I407" t="s">
        <v>114</v>
      </c>
      <c r="J407" t="s">
        <v>293</v>
      </c>
      <c r="K407" t="s">
        <v>309</v>
      </c>
    </row>
    <row r="408" spans="1:11" x14ac:dyDescent="0.25">
      <c r="A408" t="s">
        <v>290</v>
      </c>
      <c r="B408" t="s">
        <v>660</v>
      </c>
      <c r="C408" t="s">
        <v>634</v>
      </c>
      <c r="G408" t="s">
        <v>308</v>
      </c>
      <c r="H408" t="s">
        <v>636</v>
      </c>
      <c r="I408" t="s">
        <v>114</v>
      </c>
      <c r="J408" t="s">
        <v>293</v>
      </c>
      <c r="K408" t="s">
        <v>309</v>
      </c>
    </row>
    <row r="409" spans="1:11" x14ac:dyDescent="0.25">
      <c r="A409" t="s">
        <v>290</v>
      </c>
      <c r="B409" t="s">
        <v>660</v>
      </c>
      <c r="C409" t="s">
        <v>634</v>
      </c>
      <c r="G409" t="s">
        <v>308</v>
      </c>
      <c r="H409" t="s">
        <v>636</v>
      </c>
      <c r="I409" t="s">
        <v>114</v>
      </c>
      <c r="J409" t="s">
        <v>293</v>
      </c>
      <c r="K409" t="s">
        <v>309</v>
      </c>
    </row>
    <row r="410" spans="1:11" x14ac:dyDescent="0.25">
      <c r="A410" t="s">
        <v>290</v>
      </c>
      <c r="B410" t="s">
        <v>660</v>
      </c>
      <c r="C410" t="s">
        <v>634</v>
      </c>
      <c r="G410" t="s">
        <v>308</v>
      </c>
      <c r="H410" t="s">
        <v>636</v>
      </c>
      <c r="I410" t="s">
        <v>114</v>
      </c>
      <c r="J410" t="s">
        <v>293</v>
      </c>
      <c r="K410" t="s">
        <v>309</v>
      </c>
    </row>
    <row r="411" spans="1:11" x14ac:dyDescent="0.25">
      <c r="A411" t="s">
        <v>290</v>
      </c>
      <c r="B411" t="s">
        <v>660</v>
      </c>
      <c r="C411" t="s">
        <v>634</v>
      </c>
      <c r="G411" t="s">
        <v>308</v>
      </c>
      <c r="H411" t="s">
        <v>636</v>
      </c>
      <c r="I411" t="s">
        <v>114</v>
      </c>
      <c r="J411" t="s">
        <v>293</v>
      </c>
      <c r="K411" t="s">
        <v>309</v>
      </c>
    </row>
    <row r="412" spans="1:11" x14ac:dyDescent="0.25">
      <c r="A412" t="s">
        <v>290</v>
      </c>
      <c r="B412" t="s">
        <v>660</v>
      </c>
      <c r="C412" t="s">
        <v>634</v>
      </c>
      <c r="G412" t="s">
        <v>308</v>
      </c>
      <c r="H412" t="s">
        <v>636</v>
      </c>
      <c r="I412" t="s">
        <v>114</v>
      </c>
      <c r="J412" t="s">
        <v>293</v>
      </c>
      <c r="K412" t="s">
        <v>309</v>
      </c>
    </row>
    <row r="413" spans="1:11" x14ac:dyDescent="0.25">
      <c r="A413" t="s">
        <v>290</v>
      </c>
      <c r="B413" t="s">
        <v>660</v>
      </c>
      <c r="C413" t="s">
        <v>634</v>
      </c>
      <c r="G413" t="s">
        <v>308</v>
      </c>
      <c r="H413" t="s">
        <v>636</v>
      </c>
      <c r="I413" t="s">
        <v>114</v>
      </c>
      <c r="J413" t="s">
        <v>293</v>
      </c>
      <c r="K413" t="s">
        <v>309</v>
      </c>
    </row>
    <row r="414" spans="1:11" x14ac:dyDescent="0.25">
      <c r="A414" t="s">
        <v>290</v>
      </c>
      <c r="B414" t="s">
        <v>660</v>
      </c>
      <c r="C414" t="s">
        <v>634</v>
      </c>
      <c r="G414" t="s">
        <v>308</v>
      </c>
      <c r="H414" t="s">
        <v>636</v>
      </c>
      <c r="I414" t="s">
        <v>114</v>
      </c>
      <c r="J414" t="s">
        <v>293</v>
      </c>
      <c r="K414" t="s">
        <v>309</v>
      </c>
    </row>
    <row r="415" spans="1:11" x14ac:dyDescent="0.25">
      <c r="A415" t="s">
        <v>290</v>
      </c>
      <c r="B415" t="s">
        <v>660</v>
      </c>
      <c r="C415" t="s">
        <v>634</v>
      </c>
      <c r="G415" t="s">
        <v>308</v>
      </c>
      <c r="H415" t="s">
        <v>636</v>
      </c>
      <c r="I415" t="s">
        <v>114</v>
      </c>
      <c r="J415" t="s">
        <v>293</v>
      </c>
      <c r="K415" t="s">
        <v>309</v>
      </c>
    </row>
    <row r="416" spans="1:11" x14ac:dyDescent="0.25">
      <c r="A416" t="s">
        <v>290</v>
      </c>
      <c r="B416" t="s">
        <v>660</v>
      </c>
      <c r="C416" t="s">
        <v>634</v>
      </c>
      <c r="G416" t="s">
        <v>308</v>
      </c>
      <c r="H416" t="s">
        <v>636</v>
      </c>
      <c r="I416" t="s">
        <v>114</v>
      </c>
      <c r="J416" t="s">
        <v>293</v>
      </c>
      <c r="K416" t="s">
        <v>309</v>
      </c>
    </row>
    <row r="417" spans="1:11" x14ac:dyDescent="0.25">
      <c r="A417" t="s">
        <v>290</v>
      </c>
      <c r="B417" t="s">
        <v>660</v>
      </c>
      <c r="C417" t="s">
        <v>634</v>
      </c>
      <c r="G417" t="s">
        <v>308</v>
      </c>
      <c r="H417" t="s">
        <v>636</v>
      </c>
      <c r="I417" t="s">
        <v>114</v>
      </c>
      <c r="J417" t="s">
        <v>293</v>
      </c>
      <c r="K417" t="s">
        <v>309</v>
      </c>
    </row>
    <row r="418" spans="1:11" x14ac:dyDescent="0.25">
      <c r="A418" t="s">
        <v>290</v>
      </c>
      <c r="B418" t="s">
        <v>660</v>
      </c>
      <c r="C418" t="s">
        <v>634</v>
      </c>
      <c r="G418" t="s">
        <v>308</v>
      </c>
      <c r="H418" t="s">
        <v>636</v>
      </c>
      <c r="I418" t="s">
        <v>114</v>
      </c>
      <c r="J418" t="s">
        <v>293</v>
      </c>
      <c r="K418" t="s">
        <v>309</v>
      </c>
    </row>
    <row r="419" spans="1:11" x14ac:dyDescent="0.25">
      <c r="A419" t="s">
        <v>290</v>
      </c>
      <c r="B419" t="s">
        <v>660</v>
      </c>
      <c r="C419" t="s">
        <v>634</v>
      </c>
      <c r="G419" t="s">
        <v>308</v>
      </c>
      <c r="H419" t="s">
        <v>636</v>
      </c>
      <c r="I419" t="s">
        <v>114</v>
      </c>
      <c r="J419" t="s">
        <v>293</v>
      </c>
      <c r="K419" t="s">
        <v>309</v>
      </c>
    </row>
    <row r="420" spans="1:11" x14ac:dyDescent="0.25">
      <c r="A420" t="s">
        <v>290</v>
      </c>
      <c r="B420" t="s">
        <v>660</v>
      </c>
      <c r="C420" t="s">
        <v>634</v>
      </c>
      <c r="G420" t="s">
        <v>308</v>
      </c>
      <c r="H420" t="s">
        <v>636</v>
      </c>
      <c r="I420" t="s">
        <v>114</v>
      </c>
      <c r="J420" t="s">
        <v>293</v>
      </c>
      <c r="K420" t="s">
        <v>309</v>
      </c>
    </row>
    <row r="421" spans="1:11" x14ac:dyDescent="0.25">
      <c r="A421" t="s">
        <v>290</v>
      </c>
      <c r="B421" t="s">
        <v>660</v>
      </c>
      <c r="C421" t="s">
        <v>634</v>
      </c>
      <c r="G421" t="s">
        <v>308</v>
      </c>
      <c r="H421" t="s">
        <v>636</v>
      </c>
      <c r="I421" t="s">
        <v>114</v>
      </c>
      <c r="J421" t="s">
        <v>293</v>
      </c>
      <c r="K421" t="s">
        <v>309</v>
      </c>
    </row>
    <row r="422" spans="1:11" x14ac:dyDescent="0.25">
      <c r="A422" t="s">
        <v>290</v>
      </c>
      <c r="B422" t="s">
        <v>660</v>
      </c>
      <c r="C422" t="s">
        <v>634</v>
      </c>
      <c r="G422" t="s">
        <v>308</v>
      </c>
      <c r="H422" t="s">
        <v>636</v>
      </c>
      <c r="I422" t="s">
        <v>114</v>
      </c>
      <c r="J422" t="s">
        <v>293</v>
      </c>
      <c r="K422" t="s">
        <v>309</v>
      </c>
    </row>
    <row r="423" spans="1:11" x14ac:dyDescent="0.25">
      <c r="A423" t="s">
        <v>290</v>
      </c>
      <c r="B423" t="s">
        <v>660</v>
      </c>
      <c r="C423" t="s">
        <v>634</v>
      </c>
      <c r="G423" t="s">
        <v>308</v>
      </c>
      <c r="H423" t="s">
        <v>636</v>
      </c>
      <c r="I423" t="s">
        <v>114</v>
      </c>
      <c r="J423" t="s">
        <v>293</v>
      </c>
      <c r="K423" t="s">
        <v>309</v>
      </c>
    </row>
    <row r="424" spans="1:11" x14ac:dyDescent="0.25">
      <c r="A424" t="s">
        <v>290</v>
      </c>
      <c r="B424" t="s">
        <v>660</v>
      </c>
      <c r="C424" t="s">
        <v>634</v>
      </c>
      <c r="G424" t="s">
        <v>308</v>
      </c>
      <c r="H424" t="s">
        <v>636</v>
      </c>
      <c r="I424" t="s">
        <v>114</v>
      </c>
      <c r="J424" t="s">
        <v>293</v>
      </c>
      <c r="K424" t="s">
        <v>309</v>
      </c>
    </row>
    <row r="425" spans="1:11" x14ac:dyDescent="0.25">
      <c r="A425" t="s">
        <v>290</v>
      </c>
      <c r="B425" t="s">
        <v>660</v>
      </c>
      <c r="C425" t="s">
        <v>634</v>
      </c>
      <c r="G425" t="s">
        <v>308</v>
      </c>
      <c r="H425" t="s">
        <v>636</v>
      </c>
      <c r="I425" t="s">
        <v>114</v>
      </c>
      <c r="J425" t="s">
        <v>293</v>
      </c>
      <c r="K425" t="s">
        <v>309</v>
      </c>
    </row>
    <row r="426" spans="1:11" x14ac:dyDescent="0.25">
      <c r="A426" t="s">
        <v>290</v>
      </c>
      <c r="B426" t="s">
        <v>660</v>
      </c>
      <c r="C426" t="s">
        <v>634</v>
      </c>
      <c r="G426" t="s">
        <v>308</v>
      </c>
      <c r="H426" t="s">
        <v>636</v>
      </c>
      <c r="I426" t="s">
        <v>114</v>
      </c>
      <c r="J426" t="s">
        <v>293</v>
      </c>
      <c r="K426" t="s">
        <v>309</v>
      </c>
    </row>
    <row r="427" spans="1:11" x14ac:dyDescent="0.25">
      <c r="A427" t="s">
        <v>290</v>
      </c>
      <c r="B427" t="s">
        <v>660</v>
      </c>
      <c r="C427" t="s">
        <v>634</v>
      </c>
      <c r="G427" t="s">
        <v>308</v>
      </c>
      <c r="H427" t="s">
        <v>636</v>
      </c>
      <c r="I427" t="s">
        <v>114</v>
      </c>
      <c r="J427" t="s">
        <v>293</v>
      </c>
      <c r="K427" t="s">
        <v>309</v>
      </c>
    </row>
    <row r="428" spans="1:11" x14ac:dyDescent="0.25">
      <c r="A428" t="s">
        <v>290</v>
      </c>
      <c r="B428" t="s">
        <v>660</v>
      </c>
      <c r="C428" t="s">
        <v>634</v>
      </c>
      <c r="G428" t="s">
        <v>308</v>
      </c>
      <c r="H428" t="s">
        <v>636</v>
      </c>
      <c r="I428" t="s">
        <v>114</v>
      </c>
      <c r="J428" t="s">
        <v>293</v>
      </c>
      <c r="K428" t="s">
        <v>309</v>
      </c>
    </row>
    <row r="429" spans="1:11" x14ac:dyDescent="0.25">
      <c r="A429" t="s">
        <v>290</v>
      </c>
      <c r="B429" t="s">
        <v>660</v>
      </c>
      <c r="C429" t="s">
        <v>634</v>
      </c>
      <c r="G429" t="s">
        <v>308</v>
      </c>
      <c r="H429" t="s">
        <v>636</v>
      </c>
      <c r="I429" t="s">
        <v>114</v>
      </c>
      <c r="J429" t="s">
        <v>293</v>
      </c>
      <c r="K429" t="s">
        <v>309</v>
      </c>
    </row>
    <row r="430" spans="1:11" x14ac:dyDescent="0.25">
      <c r="A430" t="s">
        <v>290</v>
      </c>
      <c r="B430" t="s">
        <v>660</v>
      </c>
      <c r="C430" t="s">
        <v>634</v>
      </c>
      <c r="G430" t="s">
        <v>308</v>
      </c>
      <c r="H430" t="s">
        <v>636</v>
      </c>
      <c r="I430" t="s">
        <v>114</v>
      </c>
      <c r="J430" t="s">
        <v>293</v>
      </c>
      <c r="K430" t="s">
        <v>309</v>
      </c>
    </row>
    <row r="431" spans="1:11" x14ac:dyDescent="0.25">
      <c r="A431" t="s">
        <v>290</v>
      </c>
      <c r="B431" t="s">
        <v>660</v>
      </c>
      <c r="C431" t="s">
        <v>634</v>
      </c>
      <c r="G431" t="s">
        <v>308</v>
      </c>
      <c r="H431" t="s">
        <v>636</v>
      </c>
      <c r="I431" t="s">
        <v>114</v>
      </c>
      <c r="J431" t="s">
        <v>293</v>
      </c>
      <c r="K431" t="s">
        <v>309</v>
      </c>
    </row>
    <row r="432" spans="1:11" x14ac:dyDescent="0.25">
      <c r="A432" t="s">
        <v>290</v>
      </c>
      <c r="B432" t="s">
        <v>660</v>
      </c>
      <c r="C432" t="s">
        <v>634</v>
      </c>
      <c r="G432" t="s">
        <v>308</v>
      </c>
      <c r="H432" t="s">
        <v>636</v>
      </c>
      <c r="I432" t="s">
        <v>114</v>
      </c>
      <c r="J432" t="s">
        <v>293</v>
      </c>
      <c r="K432" t="s">
        <v>309</v>
      </c>
    </row>
    <row r="433" spans="1:11" x14ac:dyDescent="0.25">
      <c r="A433" t="s">
        <v>290</v>
      </c>
      <c r="B433" t="s">
        <v>660</v>
      </c>
      <c r="C433" t="s">
        <v>634</v>
      </c>
      <c r="G433" t="s">
        <v>308</v>
      </c>
      <c r="H433" t="s">
        <v>636</v>
      </c>
      <c r="I433" t="s">
        <v>114</v>
      </c>
      <c r="J433" t="s">
        <v>293</v>
      </c>
      <c r="K433" t="s">
        <v>309</v>
      </c>
    </row>
    <row r="434" spans="1:11" x14ac:dyDescent="0.25">
      <c r="A434" t="s">
        <v>290</v>
      </c>
      <c r="B434" t="s">
        <v>660</v>
      </c>
      <c r="C434" t="s">
        <v>634</v>
      </c>
      <c r="G434" t="s">
        <v>308</v>
      </c>
      <c r="H434" t="s">
        <v>636</v>
      </c>
      <c r="I434" t="s">
        <v>114</v>
      </c>
      <c r="J434" t="s">
        <v>293</v>
      </c>
      <c r="K434" t="s">
        <v>309</v>
      </c>
    </row>
    <row r="435" spans="1:11" x14ac:dyDescent="0.25">
      <c r="A435" t="s">
        <v>290</v>
      </c>
      <c r="B435" t="s">
        <v>660</v>
      </c>
      <c r="C435" t="s">
        <v>634</v>
      </c>
      <c r="G435" t="s">
        <v>308</v>
      </c>
      <c r="H435" t="s">
        <v>636</v>
      </c>
      <c r="I435" t="s">
        <v>114</v>
      </c>
      <c r="J435" t="s">
        <v>293</v>
      </c>
      <c r="K435" t="s">
        <v>309</v>
      </c>
    </row>
    <row r="436" spans="1:11" x14ac:dyDescent="0.25">
      <c r="A436" t="s">
        <v>290</v>
      </c>
      <c r="B436" t="s">
        <v>660</v>
      </c>
      <c r="C436" t="s">
        <v>637</v>
      </c>
      <c r="G436" t="s">
        <v>308</v>
      </c>
      <c r="H436" t="s">
        <v>636</v>
      </c>
      <c r="I436" t="s">
        <v>114</v>
      </c>
      <c r="J436" t="s">
        <v>293</v>
      </c>
      <c r="K436" t="s">
        <v>309</v>
      </c>
    </row>
    <row r="437" spans="1:11" x14ac:dyDescent="0.25">
      <c r="A437" t="s">
        <v>290</v>
      </c>
      <c r="B437" t="s">
        <v>660</v>
      </c>
      <c r="C437" t="s">
        <v>637</v>
      </c>
      <c r="G437" t="s">
        <v>308</v>
      </c>
      <c r="H437" t="s">
        <v>636</v>
      </c>
      <c r="I437" t="s">
        <v>114</v>
      </c>
      <c r="J437" t="s">
        <v>293</v>
      </c>
      <c r="K437" t="s">
        <v>309</v>
      </c>
    </row>
    <row r="438" spans="1:11" x14ac:dyDescent="0.25">
      <c r="A438" t="s">
        <v>290</v>
      </c>
      <c r="B438" t="s">
        <v>660</v>
      </c>
      <c r="C438" t="s">
        <v>637</v>
      </c>
      <c r="G438" t="s">
        <v>308</v>
      </c>
      <c r="H438" t="s">
        <v>636</v>
      </c>
      <c r="I438" t="s">
        <v>114</v>
      </c>
      <c r="J438" t="s">
        <v>293</v>
      </c>
      <c r="K438" t="s">
        <v>309</v>
      </c>
    </row>
    <row r="439" spans="1:11" x14ac:dyDescent="0.25">
      <c r="A439" t="s">
        <v>290</v>
      </c>
      <c r="B439" t="s">
        <v>660</v>
      </c>
      <c r="C439" t="s">
        <v>637</v>
      </c>
      <c r="G439" t="s">
        <v>308</v>
      </c>
      <c r="H439" t="s">
        <v>636</v>
      </c>
      <c r="I439" t="s">
        <v>114</v>
      </c>
      <c r="J439" t="s">
        <v>293</v>
      </c>
      <c r="K439" t="s">
        <v>309</v>
      </c>
    </row>
    <row r="440" spans="1:11" x14ac:dyDescent="0.25">
      <c r="A440" t="s">
        <v>290</v>
      </c>
      <c r="B440" t="s">
        <v>660</v>
      </c>
      <c r="C440" t="s">
        <v>637</v>
      </c>
      <c r="G440" t="s">
        <v>308</v>
      </c>
      <c r="H440" t="s">
        <v>636</v>
      </c>
      <c r="I440" t="s">
        <v>114</v>
      </c>
      <c r="J440" t="s">
        <v>293</v>
      </c>
      <c r="K440" t="s">
        <v>309</v>
      </c>
    </row>
    <row r="441" spans="1:11" x14ac:dyDescent="0.25">
      <c r="A441" t="s">
        <v>290</v>
      </c>
      <c r="B441" t="s">
        <v>660</v>
      </c>
      <c r="C441" t="s">
        <v>637</v>
      </c>
      <c r="G441" t="s">
        <v>308</v>
      </c>
      <c r="H441" t="s">
        <v>636</v>
      </c>
      <c r="I441" t="s">
        <v>114</v>
      </c>
      <c r="J441" t="s">
        <v>293</v>
      </c>
      <c r="K441" t="s">
        <v>309</v>
      </c>
    </row>
    <row r="442" spans="1:11" x14ac:dyDescent="0.25">
      <c r="A442" t="s">
        <v>290</v>
      </c>
      <c r="B442" t="s">
        <v>660</v>
      </c>
      <c r="C442" t="s">
        <v>637</v>
      </c>
      <c r="G442" t="s">
        <v>308</v>
      </c>
      <c r="H442" t="s">
        <v>636</v>
      </c>
      <c r="I442" t="s">
        <v>114</v>
      </c>
      <c r="J442" t="s">
        <v>293</v>
      </c>
      <c r="K442" t="s">
        <v>309</v>
      </c>
    </row>
    <row r="443" spans="1:11" x14ac:dyDescent="0.25">
      <c r="A443" t="s">
        <v>290</v>
      </c>
      <c r="B443" t="s">
        <v>660</v>
      </c>
      <c r="C443" t="s">
        <v>637</v>
      </c>
      <c r="G443" t="s">
        <v>308</v>
      </c>
      <c r="H443" t="s">
        <v>636</v>
      </c>
      <c r="I443" t="s">
        <v>114</v>
      </c>
      <c r="J443" t="s">
        <v>293</v>
      </c>
      <c r="K443" t="s">
        <v>309</v>
      </c>
    </row>
    <row r="444" spans="1:11" x14ac:dyDescent="0.25">
      <c r="A444" t="s">
        <v>290</v>
      </c>
      <c r="B444" t="s">
        <v>660</v>
      </c>
      <c r="C444" t="s">
        <v>637</v>
      </c>
      <c r="G444" t="s">
        <v>308</v>
      </c>
      <c r="H444" t="s">
        <v>636</v>
      </c>
      <c r="I444" t="s">
        <v>114</v>
      </c>
      <c r="J444" t="s">
        <v>293</v>
      </c>
      <c r="K444" t="s">
        <v>309</v>
      </c>
    </row>
    <row r="445" spans="1:11" x14ac:dyDescent="0.25">
      <c r="A445" t="s">
        <v>290</v>
      </c>
      <c r="B445" t="s">
        <v>660</v>
      </c>
      <c r="C445" t="s">
        <v>637</v>
      </c>
      <c r="G445" t="s">
        <v>308</v>
      </c>
      <c r="H445" t="s">
        <v>636</v>
      </c>
      <c r="I445" t="s">
        <v>114</v>
      </c>
      <c r="J445" t="s">
        <v>293</v>
      </c>
      <c r="K445" t="s">
        <v>309</v>
      </c>
    </row>
    <row r="446" spans="1:11" x14ac:dyDescent="0.25">
      <c r="A446" t="s">
        <v>290</v>
      </c>
      <c r="B446" t="s">
        <v>660</v>
      </c>
      <c r="C446" t="s">
        <v>637</v>
      </c>
      <c r="G446" t="s">
        <v>308</v>
      </c>
      <c r="H446" t="s">
        <v>636</v>
      </c>
      <c r="I446" t="s">
        <v>114</v>
      </c>
      <c r="J446" t="s">
        <v>293</v>
      </c>
      <c r="K446" t="s">
        <v>309</v>
      </c>
    </row>
    <row r="447" spans="1:11" x14ac:dyDescent="0.25">
      <c r="A447" t="s">
        <v>290</v>
      </c>
      <c r="B447" t="s">
        <v>660</v>
      </c>
      <c r="C447" t="s">
        <v>637</v>
      </c>
      <c r="G447" t="s">
        <v>308</v>
      </c>
      <c r="H447" t="s">
        <v>636</v>
      </c>
      <c r="I447" t="s">
        <v>114</v>
      </c>
      <c r="J447" t="s">
        <v>293</v>
      </c>
      <c r="K447" t="s">
        <v>309</v>
      </c>
    </row>
    <row r="448" spans="1:11" x14ac:dyDescent="0.25">
      <c r="A448" t="s">
        <v>290</v>
      </c>
      <c r="B448" t="s">
        <v>660</v>
      </c>
      <c r="C448" t="s">
        <v>637</v>
      </c>
      <c r="G448" t="s">
        <v>308</v>
      </c>
      <c r="H448" t="s">
        <v>636</v>
      </c>
      <c r="I448" t="s">
        <v>114</v>
      </c>
      <c r="J448" t="s">
        <v>293</v>
      </c>
      <c r="K448" t="s">
        <v>309</v>
      </c>
    </row>
    <row r="449" spans="1:11" x14ac:dyDescent="0.25">
      <c r="A449" t="s">
        <v>290</v>
      </c>
      <c r="B449" t="s">
        <v>660</v>
      </c>
      <c r="C449" t="s">
        <v>637</v>
      </c>
      <c r="G449" t="s">
        <v>308</v>
      </c>
      <c r="H449" t="s">
        <v>636</v>
      </c>
      <c r="I449" t="s">
        <v>114</v>
      </c>
      <c r="J449" t="s">
        <v>293</v>
      </c>
      <c r="K449" t="s">
        <v>309</v>
      </c>
    </row>
    <row r="450" spans="1:11" x14ac:dyDescent="0.25">
      <c r="A450" t="s">
        <v>290</v>
      </c>
      <c r="B450" t="s">
        <v>660</v>
      </c>
      <c r="C450" t="s">
        <v>637</v>
      </c>
      <c r="G450" t="s">
        <v>308</v>
      </c>
      <c r="H450" t="s">
        <v>636</v>
      </c>
      <c r="I450" t="s">
        <v>114</v>
      </c>
      <c r="J450" t="s">
        <v>293</v>
      </c>
      <c r="K450" t="s">
        <v>309</v>
      </c>
    </row>
    <row r="451" spans="1:11" x14ac:dyDescent="0.25">
      <c r="A451" t="s">
        <v>290</v>
      </c>
      <c r="B451" t="s">
        <v>660</v>
      </c>
      <c r="C451" t="s">
        <v>637</v>
      </c>
      <c r="G451" t="s">
        <v>308</v>
      </c>
      <c r="H451" t="s">
        <v>636</v>
      </c>
      <c r="I451" t="s">
        <v>114</v>
      </c>
      <c r="J451" t="s">
        <v>293</v>
      </c>
      <c r="K451" t="s">
        <v>309</v>
      </c>
    </row>
    <row r="452" spans="1:11" x14ac:dyDescent="0.25">
      <c r="A452" t="s">
        <v>290</v>
      </c>
      <c r="B452" t="s">
        <v>660</v>
      </c>
      <c r="C452" t="s">
        <v>637</v>
      </c>
      <c r="G452" t="s">
        <v>308</v>
      </c>
      <c r="H452" t="s">
        <v>636</v>
      </c>
      <c r="I452" t="s">
        <v>114</v>
      </c>
      <c r="J452" t="s">
        <v>293</v>
      </c>
      <c r="K452" t="s">
        <v>309</v>
      </c>
    </row>
    <row r="453" spans="1:11" x14ac:dyDescent="0.25">
      <c r="A453" t="s">
        <v>422</v>
      </c>
      <c r="B453" t="s">
        <v>661</v>
      </c>
      <c r="C453" t="s">
        <v>634</v>
      </c>
      <c r="D453" t="s">
        <v>635</v>
      </c>
      <c r="E453" t="s">
        <v>43</v>
      </c>
      <c r="F453" t="s">
        <v>49</v>
      </c>
      <c r="G453" t="s">
        <v>436</v>
      </c>
      <c r="H453" t="s">
        <v>636</v>
      </c>
      <c r="I453" t="s">
        <v>42</v>
      </c>
      <c r="J453" t="s">
        <v>271</v>
      </c>
      <c r="K453" t="s">
        <v>23</v>
      </c>
    </row>
    <row r="454" spans="1:11" x14ac:dyDescent="0.25">
      <c r="A454" t="s">
        <v>422</v>
      </c>
      <c r="B454" t="s">
        <v>661</v>
      </c>
      <c r="C454" t="s">
        <v>634</v>
      </c>
      <c r="D454" t="s">
        <v>635</v>
      </c>
      <c r="E454" t="s">
        <v>43</v>
      </c>
      <c r="F454" t="s">
        <v>44</v>
      </c>
      <c r="G454" t="s">
        <v>436</v>
      </c>
      <c r="H454" t="s">
        <v>636</v>
      </c>
      <c r="I454" t="s">
        <v>42</v>
      </c>
      <c r="J454" t="s">
        <v>271</v>
      </c>
      <c r="K454" t="s">
        <v>23</v>
      </c>
    </row>
    <row r="455" spans="1:11" x14ac:dyDescent="0.25">
      <c r="A455" t="s">
        <v>422</v>
      </c>
      <c r="B455" t="s">
        <v>661</v>
      </c>
      <c r="C455" t="s">
        <v>634</v>
      </c>
      <c r="D455" t="s">
        <v>635</v>
      </c>
      <c r="E455" t="s">
        <v>69</v>
      </c>
      <c r="F455" t="s">
        <v>77</v>
      </c>
      <c r="G455" t="s">
        <v>436</v>
      </c>
      <c r="H455" t="s">
        <v>636</v>
      </c>
      <c r="I455" t="s">
        <v>42</v>
      </c>
      <c r="J455" t="s">
        <v>271</v>
      </c>
      <c r="K455" t="s">
        <v>23</v>
      </c>
    </row>
    <row r="456" spans="1:11" x14ac:dyDescent="0.25">
      <c r="A456" t="s">
        <v>422</v>
      </c>
      <c r="B456" t="s">
        <v>661</v>
      </c>
      <c r="C456" t="s">
        <v>634</v>
      </c>
      <c r="D456" t="s">
        <v>635</v>
      </c>
      <c r="E456" t="s">
        <v>83</v>
      </c>
      <c r="F456" t="s">
        <v>104</v>
      </c>
      <c r="G456" t="s">
        <v>436</v>
      </c>
      <c r="H456" t="s">
        <v>636</v>
      </c>
      <c r="I456" t="s">
        <v>42</v>
      </c>
      <c r="J456" t="s">
        <v>271</v>
      </c>
      <c r="K456" t="s">
        <v>23</v>
      </c>
    </row>
    <row r="457" spans="1:11" x14ac:dyDescent="0.25">
      <c r="A457" t="s">
        <v>422</v>
      </c>
      <c r="B457" t="s">
        <v>661</v>
      </c>
      <c r="C457" t="s">
        <v>634</v>
      </c>
      <c r="D457" t="s">
        <v>635</v>
      </c>
      <c r="E457" t="s">
        <v>46</v>
      </c>
      <c r="F457" t="s">
        <v>124</v>
      </c>
      <c r="G457" t="s">
        <v>436</v>
      </c>
      <c r="H457" t="s">
        <v>636</v>
      </c>
      <c r="I457" t="s">
        <v>42</v>
      </c>
      <c r="J457" t="s">
        <v>271</v>
      </c>
      <c r="K457" t="s">
        <v>23</v>
      </c>
    </row>
    <row r="458" spans="1:11" x14ac:dyDescent="0.25">
      <c r="A458" t="s">
        <v>422</v>
      </c>
      <c r="B458" t="s">
        <v>661</v>
      </c>
      <c r="C458" t="s">
        <v>637</v>
      </c>
      <c r="D458" t="s">
        <v>638</v>
      </c>
      <c r="E458" t="s">
        <v>43</v>
      </c>
      <c r="F458" t="s">
        <v>66</v>
      </c>
      <c r="G458" t="s">
        <v>436</v>
      </c>
      <c r="H458" t="s">
        <v>636</v>
      </c>
      <c r="I458" t="s">
        <v>42</v>
      </c>
      <c r="J458" t="s">
        <v>271</v>
      </c>
      <c r="K458" t="s">
        <v>23</v>
      </c>
    </row>
    <row r="459" spans="1:11" x14ac:dyDescent="0.25">
      <c r="A459" t="s">
        <v>422</v>
      </c>
      <c r="B459" t="s">
        <v>661</v>
      </c>
      <c r="C459" t="s">
        <v>637</v>
      </c>
      <c r="D459" t="s">
        <v>638</v>
      </c>
      <c r="E459" t="s">
        <v>46</v>
      </c>
      <c r="F459" t="s">
        <v>47</v>
      </c>
      <c r="G459" t="s">
        <v>436</v>
      </c>
      <c r="H459" t="s">
        <v>636</v>
      </c>
      <c r="I459" t="s">
        <v>42</v>
      </c>
      <c r="J459" t="s">
        <v>271</v>
      </c>
      <c r="K459" t="s">
        <v>23</v>
      </c>
    </row>
    <row r="460" spans="1:11" x14ac:dyDescent="0.25">
      <c r="A460" t="s">
        <v>422</v>
      </c>
      <c r="B460" t="s">
        <v>661</v>
      </c>
      <c r="C460" t="s">
        <v>637</v>
      </c>
      <c r="D460" t="s">
        <v>638</v>
      </c>
      <c r="E460" t="s">
        <v>46</v>
      </c>
      <c r="F460" t="s">
        <v>123</v>
      </c>
      <c r="G460" t="s">
        <v>436</v>
      </c>
      <c r="H460" t="s">
        <v>636</v>
      </c>
      <c r="I460" t="s">
        <v>42</v>
      </c>
      <c r="J460" t="s">
        <v>271</v>
      </c>
      <c r="K460" t="s">
        <v>23</v>
      </c>
    </row>
    <row r="461" spans="1:11" x14ac:dyDescent="0.25">
      <c r="A461" t="s">
        <v>422</v>
      </c>
      <c r="B461" t="s">
        <v>661</v>
      </c>
      <c r="C461" t="s">
        <v>637</v>
      </c>
      <c r="D461" t="s">
        <v>638</v>
      </c>
      <c r="E461" t="s">
        <v>110</v>
      </c>
      <c r="F461" t="s">
        <v>142</v>
      </c>
      <c r="G461" t="s">
        <v>436</v>
      </c>
      <c r="H461" t="s">
        <v>636</v>
      </c>
      <c r="I461" t="s">
        <v>42</v>
      </c>
      <c r="J461" t="s">
        <v>271</v>
      </c>
      <c r="K461" t="s">
        <v>23</v>
      </c>
    </row>
    <row r="462" spans="1:11" x14ac:dyDescent="0.25">
      <c r="A462" t="s">
        <v>422</v>
      </c>
      <c r="B462" t="s">
        <v>661</v>
      </c>
      <c r="C462" t="s">
        <v>637</v>
      </c>
      <c r="D462" t="s">
        <v>638</v>
      </c>
      <c r="E462" t="s">
        <v>83</v>
      </c>
      <c r="F462" t="s">
        <v>103</v>
      </c>
      <c r="G462" t="s">
        <v>436</v>
      </c>
      <c r="H462" t="s">
        <v>636</v>
      </c>
      <c r="I462" t="s">
        <v>42</v>
      </c>
      <c r="J462" t="s">
        <v>271</v>
      </c>
      <c r="K462" t="s">
        <v>23</v>
      </c>
    </row>
    <row r="463" spans="1:11" x14ac:dyDescent="0.25">
      <c r="A463" t="s">
        <v>422</v>
      </c>
      <c r="B463" t="s">
        <v>661</v>
      </c>
      <c r="C463" t="s">
        <v>645</v>
      </c>
      <c r="G463" t="s">
        <v>436</v>
      </c>
      <c r="H463" t="s">
        <v>636</v>
      </c>
      <c r="I463" t="s">
        <v>42</v>
      </c>
      <c r="J463" t="s">
        <v>271</v>
      </c>
      <c r="K463" t="s">
        <v>23</v>
      </c>
    </row>
    <row r="464" spans="1:11" x14ac:dyDescent="0.25">
      <c r="A464" t="s">
        <v>422</v>
      </c>
      <c r="B464" t="s">
        <v>661</v>
      </c>
      <c r="C464" t="s">
        <v>634</v>
      </c>
      <c r="D464" t="s">
        <v>635</v>
      </c>
      <c r="E464" t="s">
        <v>43</v>
      </c>
      <c r="F464" t="s">
        <v>49</v>
      </c>
      <c r="G464" t="s">
        <v>436</v>
      </c>
      <c r="H464" t="s">
        <v>636</v>
      </c>
      <c r="I464" t="s">
        <v>133</v>
      </c>
      <c r="J464" t="s">
        <v>312</v>
      </c>
      <c r="K464" t="s">
        <v>23</v>
      </c>
    </row>
    <row r="465" spans="1:11" x14ac:dyDescent="0.25">
      <c r="A465" t="s">
        <v>422</v>
      </c>
      <c r="B465" t="s">
        <v>661</v>
      </c>
      <c r="C465" t="s">
        <v>634</v>
      </c>
      <c r="D465" t="s">
        <v>635</v>
      </c>
      <c r="E465" t="s">
        <v>43</v>
      </c>
      <c r="F465" t="s">
        <v>44</v>
      </c>
      <c r="G465" t="s">
        <v>436</v>
      </c>
      <c r="H465" t="s">
        <v>636</v>
      </c>
      <c r="I465" t="s">
        <v>133</v>
      </c>
      <c r="J465" t="s">
        <v>312</v>
      </c>
      <c r="K465" t="s">
        <v>23</v>
      </c>
    </row>
    <row r="466" spans="1:11" x14ac:dyDescent="0.25">
      <c r="A466" t="s">
        <v>422</v>
      </c>
      <c r="B466" t="s">
        <v>661</v>
      </c>
      <c r="C466" t="s">
        <v>634</v>
      </c>
      <c r="D466" t="s">
        <v>635</v>
      </c>
      <c r="E466" t="s">
        <v>69</v>
      </c>
      <c r="F466" t="s">
        <v>77</v>
      </c>
      <c r="G466" t="s">
        <v>436</v>
      </c>
      <c r="H466" t="s">
        <v>636</v>
      </c>
      <c r="I466" t="s">
        <v>133</v>
      </c>
      <c r="J466" t="s">
        <v>312</v>
      </c>
      <c r="K466" t="s">
        <v>23</v>
      </c>
    </row>
    <row r="467" spans="1:11" x14ac:dyDescent="0.25">
      <c r="A467" t="s">
        <v>422</v>
      </c>
      <c r="B467" t="s">
        <v>661</v>
      </c>
      <c r="C467" t="s">
        <v>634</v>
      </c>
      <c r="D467" t="s">
        <v>635</v>
      </c>
      <c r="E467" t="s">
        <v>83</v>
      </c>
      <c r="F467" t="s">
        <v>104</v>
      </c>
      <c r="G467" t="s">
        <v>436</v>
      </c>
      <c r="H467" t="s">
        <v>636</v>
      </c>
      <c r="I467" t="s">
        <v>133</v>
      </c>
      <c r="J467" t="s">
        <v>312</v>
      </c>
      <c r="K467" t="s">
        <v>23</v>
      </c>
    </row>
    <row r="468" spans="1:11" x14ac:dyDescent="0.25">
      <c r="A468" t="s">
        <v>422</v>
      </c>
      <c r="B468" t="s">
        <v>661</v>
      </c>
      <c r="C468" t="s">
        <v>634</v>
      </c>
      <c r="D468" t="s">
        <v>635</v>
      </c>
      <c r="E468" t="s">
        <v>46</v>
      </c>
      <c r="F468" t="s">
        <v>124</v>
      </c>
      <c r="G468" t="s">
        <v>436</v>
      </c>
      <c r="H468" t="s">
        <v>636</v>
      </c>
      <c r="I468" t="s">
        <v>133</v>
      </c>
      <c r="J468" t="s">
        <v>312</v>
      </c>
      <c r="K468" t="s">
        <v>23</v>
      </c>
    </row>
    <row r="469" spans="1:11" x14ac:dyDescent="0.25">
      <c r="A469" t="s">
        <v>422</v>
      </c>
      <c r="B469" t="s">
        <v>661</v>
      </c>
      <c r="C469" t="s">
        <v>637</v>
      </c>
      <c r="D469" t="s">
        <v>638</v>
      </c>
      <c r="E469" t="s">
        <v>43</v>
      </c>
      <c r="F469" t="s">
        <v>66</v>
      </c>
      <c r="G469" t="s">
        <v>436</v>
      </c>
      <c r="H469" t="s">
        <v>636</v>
      </c>
      <c r="I469" t="s">
        <v>133</v>
      </c>
      <c r="J469" t="s">
        <v>312</v>
      </c>
      <c r="K469" t="s">
        <v>23</v>
      </c>
    </row>
    <row r="470" spans="1:11" x14ac:dyDescent="0.25">
      <c r="A470" t="s">
        <v>422</v>
      </c>
      <c r="B470" t="s">
        <v>661</v>
      </c>
      <c r="C470" t="s">
        <v>637</v>
      </c>
      <c r="D470" t="s">
        <v>638</v>
      </c>
      <c r="E470" t="s">
        <v>46</v>
      </c>
      <c r="F470" t="s">
        <v>47</v>
      </c>
      <c r="G470" t="s">
        <v>436</v>
      </c>
      <c r="H470" t="s">
        <v>636</v>
      </c>
      <c r="I470" t="s">
        <v>133</v>
      </c>
      <c r="J470" t="s">
        <v>312</v>
      </c>
      <c r="K470" t="s">
        <v>23</v>
      </c>
    </row>
    <row r="471" spans="1:11" x14ac:dyDescent="0.25">
      <c r="A471" t="s">
        <v>422</v>
      </c>
      <c r="B471" t="s">
        <v>661</v>
      </c>
      <c r="C471" t="s">
        <v>637</v>
      </c>
      <c r="D471" t="s">
        <v>638</v>
      </c>
      <c r="E471" t="s">
        <v>46</v>
      </c>
      <c r="F471" t="s">
        <v>123</v>
      </c>
      <c r="G471" t="s">
        <v>436</v>
      </c>
      <c r="H471" t="s">
        <v>636</v>
      </c>
      <c r="I471" t="s">
        <v>133</v>
      </c>
      <c r="J471" t="s">
        <v>312</v>
      </c>
      <c r="K471" t="s">
        <v>23</v>
      </c>
    </row>
    <row r="472" spans="1:11" x14ac:dyDescent="0.25">
      <c r="A472" t="s">
        <v>422</v>
      </c>
      <c r="B472" t="s">
        <v>661</v>
      </c>
      <c r="C472" t="s">
        <v>637</v>
      </c>
      <c r="D472" t="s">
        <v>638</v>
      </c>
      <c r="E472" t="s">
        <v>110</v>
      </c>
      <c r="F472" t="s">
        <v>142</v>
      </c>
      <c r="G472" t="s">
        <v>436</v>
      </c>
      <c r="H472" t="s">
        <v>636</v>
      </c>
      <c r="I472" t="s">
        <v>133</v>
      </c>
      <c r="J472" t="s">
        <v>312</v>
      </c>
      <c r="K472" t="s">
        <v>23</v>
      </c>
    </row>
    <row r="473" spans="1:11" x14ac:dyDescent="0.25">
      <c r="A473" t="s">
        <v>422</v>
      </c>
      <c r="B473" t="s">
        <v>661</v>
      </c>
      <c r="C473" t="s">
        <v>637</v>
      </c>
      <c r="D473" t="s">
        <v>638</v>
      </c>
      <c r="E473" t="s">
        <v>83</v>
      </c>
      <c r="F473" t="s">
        <v>103</v>
      </c>
      <c r="G473" t="s">
        <v>436</v>
      </c>
      <c r="H473" t="s">
        <v>636</v>
      </c>
      <c r="I473" t="s">
        <v>133</v>
      </c>
      <c r="J473" t="s">
        <v>312</v>
      </c>
      <c r="K473" t="s">
        <v>23</v>
      </c>
    </row>
    <row r="474" spans="1:11" x14ac:dyDescent="0.25">
      <c r="A474" t="s">
        <v>422</v>
      </c>
      <c r="B474" t="s">
        <v>661</v>
      </c>
      <c r="C474" t="s">
        <v>645</v>
      </c>
      <c r="G474" t="s">
        <v>436</v>
      </c>
      <c r="H474" t="s">
        <v>636</v>
      </c>
      <c r="I474" t="s">
        <v>133</v>
      </c>
      <c r="J474" t="s">
        <v>312</v>
      </c>
      <c r="K474" t="s">
        <v>23</v>
      </c>
    </row>
    <row r="475" spans="1:11" x14ac:dyDescent="0.25">
      <c r="A475" t="s">
        <v>290</v>
      </c>
      <c r="B475" t="s">
        <v>662</v>
      </c>
      <c r="C475" t="s">
        <v>634</v>
      </c>
      <c r="D475" t="s">
        <v>635</v>
      </c>
      <c r="E475" t="s">
        <v>43</v>
      </c>
      <c r="F475" t="s">
        <v>53</v>
      </c>
      <c r="G475" t="s">
        <v>314</v>
      </c>
      <c r="H475" t="s">
        <v>636</v>
      </c>
      <c r="I475" t="s">
        <v>114</v>
      </c>
      <c r="J475" t="s">
        <v>293</v>
      </c>
      <c r="K475" t="s">
        <v>315</v>
      </c>
    </row>
    <row r="476" spans="1:11" x14ac:dyDescent="0.25">
      <c r="A476" t="s">
        <v>290</v>
      </c>
      <c r="B476" t="s">
        <v>662</v>
      </c>
      <c r="C476" t="s">
        <v>634</v>
      </c>
      <c r="D476" t="s">
        <v>635</v>
      </c>
      <c r="E476" t="s">
        <v>43</v>
      </c>
      <c r="F476" t="s">
        <v>49</v>
      </c>
      <c r="G476" t="s">
        <v>314</v>
      </c>
      <c r="H476" t="s">
        <v>636</v>
      </c>
      <c r="I476" t="s">
        <v>114</v>
      </c>
      <c r="J476" t="s">
        <v>293</v>
      </c>
      <c r="K476" t="s">
        <v>315</v>
      </c>
    </row>
    <row r="477" spans="1:11" x14ac:dyDescent="0.25">
      <c r="A477" t="s">
        <v>290</v>
      </c>
      <c r="B477" t="s">
        <v>662</v>
      </c>
      <c r="C477" t="s">
        <v>634</v>
      </c>
      <c r="D477" t="s">
        <v>635</v>
      </c>
      <c r="E477" t="s">
        <v>71</v>
      </c>
      <c r="F477" t="s">
        <v>86</v>
      </c>
      <c r="G477" t="s">
        <v>314</v>
      </c>
      <c r="H477" t="s">
        <v>636</v>
      </c>
      <c r="I477" t="s">
        <v>114</v>
      </c>
      <c r="J477" t="s">
        <v>293</v>
      </c>
      <c r="K477" t="s">
        <v>315</v>
      </c>
    </row>
    <row r="478" spans="1:11" x14ac:dyDescent="0.25">
      <c r="A478" t="s">
        <v>290</v>
      </c>
      <c r="B478" t="s">
        <v>662</v>
      </c>
      <c r="C478" t="s">
        <v>637</v>
      </c>
      <c r="D478" t="s">
        <v>638</v>
      </c>
      <c r="E478" t="s">
        <v>46</v>
      </c>
      <c r="F478" t="s">
        <v>47</v>
      </c>
      <c r="G478" t="s">
        <v>314</v>
      </c>
      <c r="H478" t="s">
        <v>636</v>
      </c>
      <c r="I478" t="s">
        <v>114</v>
      </c>
      <c r="J478" t="s">
        <v>293</v>
      </c>
      <c r="K478" t="s">
        <v>315</v>
      </c>
    </row>
    <row r="479" spans="1:11" x14ac:dyDescent="0.25">
      <c r="A479" t="s">
        <v>290</v>
      </c>
      <c r="B479" t="s">
        <v>662</v>
      </c>
      <c r="C479" t="s">
        <v>637</v>
      </c>
      <c r="D479" t="s">
        <v>638</v>
      </c>
      <c r="E479" t="s">
        <v>69</v>
      </c>
      <c r="F479" t="s">
        <v>80</v>
      </c>
      <c r="G479" t="s">
        <v>314</v>
      </c>
      <c r="H479" t="s">
        <v>636</v>
      </c>
      <c r="I479" t="s">
        <v>114</v>
      </c>
      <c r="J479" t="s">
        <v>293</v>
      </c>
      <c r="K479" t="s">
        <v>315</v>
      </c>
    </row>
    <row r="480" spans="1:11" x14ac:dyDescent="0.25">
      <c r="A480" t="s">
        <v>290</v>
      </c>
      <c r="B480" t="s">
        <v>662</v>
      </c>
      <c r="C480" t="s">
        <v>637</v>
      </c>
      <c r="G480" t="s">
        <v>314</v>
      </c>
      <c r="H480" t="s">
        <v>636</v>
      </c>
      <c r="I480" t="s">
        <v>114</v>
      </c>
      <c r="J480" t="s">
        <v>293</v>
      </c>
      <c r="K480" t="s">
        <v>315</v>
      </c>
    </row>
    <row r="481" spans="1:11" x14ac:dyDescent="0.25">
      <c r="A481" t="s">
        <v>290</v>
      </c>
      <c r="B481" t="s">
        <v>662</v>
      </c>
      <c r="C481" t="s">
        <v>644</v>
      </c>
      <c r="G481" t="s">
        <v>314</v>
      </c>
      <c r="H481" t="s">
        <v>636</v>
      </c>
      <c r="I481" t="s">
        <v>114</v>
      </c>
      <c r="J481" t="s">
        <v>293</v>
      </c>
      <c r="K481" t="s">
        <v>315</v>
      </c>
    </row>
    <row r="482" spans="1:11" x14ac:dyDescent="0.25">
      <c r="A482" t="s">
        <v>290</v>
      </c>
      <c r="B482" t="s">
        <v>662</v>
      </c>
      <c r="C482" t="s">
        <v>644</v>
      </c>
      <c r="G482" t="s">
        <v>314</v>
      </c>
      <c r="H482" t="s">
        <v>636</v>
      </c>
      <c r="I482" t="s">
        <v>114</v>
      </c>
      <c r="J482" t="s">
        <v>293</v>
      </c>
      <c r="K482" t="s">
        <v>315</v>
      </c>
    </row>
    <row r="483" spans="1:11" x14ac:dyDescent="0.25">
      <c r="A483" t="s">
        <v>290</v>
      </c>
      <c r="B483" t="s">
        <v>662</v>
      </c>
      <c r="C483" t="s">
        <v>644</v>
      </c>
      <c r="G483" t="s">
        <v>314</v>
      </c>
      <c r="H483" t="s">
        <v>636</v>
      </c>
      <c r="I483" t="s">
        <v>114</v>
      </c>
      <c r="J483" t="s">
        <v>293</v>
      </c>
      <c r="K483" t="s">
        <v>315</v>
      </c>
    </row>
    <row r="484" spans="1:11" x14ac:dyDescent="0.25">
      <c r="A484" t="s">
        <v>290</v>
      </c>
      <c r="B484" t="s">
        <v>662</v>
      </c>
      <c r="C484" t="s">
        <v>645</v>
      </c>
      <c r="G484" t="s">
        <v>314</v>
      </c>
      <c r="H484" t="s">
        <v>636</v>
      </c>
      <c r="I484" t="s">
        <v>114</v>
      </c>
      <c r="J484" t="s">
        <v>293</v>
      </c>
      <c r="K484" t="s">
        <v>315</v>
      </c>
    </row>
    <row r="485" spans="1:11" x14ac:dyDescent="0.25">
      <c r="A485" t="s">
        <v>290</v>
      </c>
      <c r="B485" t="s">
        <v>662</v>
      </c>
      <c r="C485" t="s">
        <v>645</v>
      </c>
      <c r="G485" t="s">
        <v>314</v>
      </c>
      <c r="H485" t="s">
        <v>636</v>
      </c>
      <c r="I485" t="s">
        <v>114</v>
      </c>
      <c r="J485" t="s">
        <v>293</v>
      </c>
      <c r="K485" t="s">
        <v>315</v>
      </c>
    </row>
    <row r="486" spans="1:11" x14ac:dyDescent="0.25">
      <c r="A486" t="s">
        <v>422</v>
      </c>
      <c r="B486" t="s">
        <v>663</v>
      </c>
      <c r="C486" t="s">
        <v>634</v>
      </c>
      <c r="D486" t="s">
        <v>635</v>
      </c>
      <c r="G486" t="s">
        <v>442</v>
      </c>
      <c r="H486" t="s">
        <v>636</v>
      </c>
      <c r="I486" t="s">
        <v>42</v>
      </c>
      <c r="J486" t="s">
        <v>271</v>
      </c>
      <c r="K486" t="s">
        <v>10</v>
      </c>
    </row>
    <row r="487" spans="1:11" x14ac:dyDescent="0.25">
      <c r="A487" t="s">
        <v>422</v>
      </c>
      <c r="B487" t="s">
        <v>663</v>
      </c>
      <c r="C487" t="s">
        <v>634</v>
      </c>
      <c r="D487" t="s">
        <v>635</v>
      </c>
      <c r="G487" t="s">
        <v>442</v>
      </c>
      <c r="H487" t="s">
        <v>636</v>
      </c>
      <c r="I487" t="s">
        <v>42</v>
      </c>
      <c r="J487" t="s">
        <v>271</v>
      </c>
      <c r="K487" t="s">
        <v>10</v>
      </c>
    </row>
    <row r="488" spans="1:11" x14ac:dyDescent="0.25">
      <c r="A488" t="s">
        <v>422</v>
      </c>
      <c r="B488" t="s">
        <v>663</v>
      </c>
      <c r="C488" t="s">
        <v>634</v>
      </c>
      <c r="D488" t="s">
        <v>635</v>
      </c>
      <c r="G488" t="s">
        <v>442</v>
      </c>
      <c r="H488" t="s">
        <v>636</v>
      </c>
      <c r="I488" t="s">
        <v>42</v>
      </c>
      <c r="J488" t="s">
        <v>271</v>
      </c>
      <c r="K488" t="s">
        <v>10</v>
      </c>
    </row>
    <row r="489" spans="1:11" x14ac:dyDescent="0.25">
      <c r="A489" t="s">
        <v>422</v>
      </c>
      <c r="B489" t="s">
        <v>663</v>
      </c>
      <c r="C489" t="s">
        <v>637</v>
      </c>
      <c r="D489" t="s">
        <v>638</v>
      </c>
      <c r="G489" t="s">
        <v>442</v>
      </c>
      <c r="H489" t="s">
        <v>636</v>
      </c>
      <c r="I489" t="s">
        <v>42</v>
      </c>
      <c r="J489" t="s">
        <v>271</v>
      </c>
      <c r="K489" t="s">
        <v>10</v>
      </c>
    </row>
    <row r="490" spans="1:11" x14ac:dyDescent="0.25">
      <c r="A490" t="s">
        <v>422</v>
      </c>
      <c r="B490" t="s">
        <v>663</v>
      </c>
      <c r="C490" t="s">
        <v>637</v>
      </c>
      <c r="D490" t="s">
        <v>638</v>
      </c>
      <c r="G490" t="s">
        <v>442</v>
      </c>
      <c r="H490" t="s">
        <v>636</v>
      </c>
      <c r="I490" t="s">
        <v>42</v>
      </c>
      <c r="J490" t="s">
        <v>271</v>
      </c>
      <c r="K490" t="s">
        <v>10</v>
      </c>
    </row>
    <row r="491" spans="1:11" x14ac:dyDescent="0.25">
      <c r="A491" t="s">
        <v>422</v>
      </c>
      <c r="B491" t="s">
        <v>663</v>
      </c>
      <c r="C491" t="s">
        <v>637</v>
      </c>
      <c r="G491" t="s">
        <v>442</v>
      </c>
      <c r="H491" t="s">
        <v>636</v>
      </c>
      <c r="I491" t="s">
        <v>42</v>
      </c>
      <c r="J491" t="s">
        <v>271</v>
      </c>
      <c r="K491" t="s">
        <v>10</v>
      </c>
    </row>
    <row r="492" spans="1:11" x14ac:dyDescent="0.25">
      <c r="A492" t="s">
        <v>422</v>
      </c>
      <c r="B492" t="s">
        <v>663</v>
      </c>
      <c r="C492" t="s">
        <v>644</v>
      </c>
      <c r="G492" t="s">
        <v>442</v>
      </c>
      <c r="H492" t="s">
        <v>636</v>
      </c>
      <c r="I492" t="s">
        <v>42</v>
      </c>
      <c r="J492" t="s">
        <v>271</v>
      </c>
      <c r="K492" t="s">
        <v>10</v>
      </c>
    </row>
    <row r="493" spans="1:11" x14ac:dyDescent="0.25">
      <c r="A493" t="s">
        <v>422</v>
      </c>
      <c r="B493" t="s">
        <v>663</v>
      </c>
      <c r="C493" t="s">
        <v>644</v>
      </c>
      <c r="G493" t="s">
        <v>442</v>
      </c>
      <c r="H493" t="s">
        <v>636</v>
      </c>
      <c r="I493" t="s">
        <v>42</v>
      </c>
      <c r="J493" t="s">
        <v>271</v>
      </c>
      <c r="K493" t="s">
        <v>10</v>
      </c>
    </row>
    <row r="494" spans="1:11" x14ac:dyDescent="0.25">
      <c r="A494" t="s">
        <v>422</v>
      </c>
      <c r="B494" t="s">
        <v>663</v>
      </c>
      <c r="C494" t="s">
        <v>644</v>
      </c>
      <c r="G494" t="s">
        <v>442</v>
      </c>
      <c r="H494" t="s">
        <v>636</v>
      </c>
      <c r="I494" t="s">
        <v>42</v>
      </c>
      <c r="J494" t="s">
        <v>271</v>
      </c>
      <c r="K494" t="s">
        <v>10</v>
      </c>
    </row>
    <row r="495" spans="1:11" x14ac:dyDescent="0.25">
      <c r="A495" t="s">
        <v>422</v>
      </c>
      <c r="B495" t="s">
        <v>663</v>
      </c>
      <c r="C495" t="s">
        <v>645</v>
      </c>
      <c r="G495" t="s">
        <v>442</v>
      </c>
      <c r="H495" t="s">
        <v>636</v>
      </c>
      <c r="I495" t="s">
        <v>42</v>
      </c>
      <c r="J495" t="s">
        <v>271</v>
      </c>
      <c r="K495" t="s">
        <v>10</v>
      </c>
    </row>
    <row r="496" spans="1:11" x14ac:dyDescent="0.25">
      <c r="A496" t="s">
        <v>422</v>
      </c>
      <c r="B496" t="s">
        <v>663</v>
      </c>
      <c r="C496" t="s">
        <v>645</v>
      </c>
      <c r="G496" t="s">
        <v>442</v>
      </c>
      <c r="H496" t="s">
        <v>636</v>
      </c>
      <c r="I496" t="s">
        <v>42</v>
      </c>
      <c r="J496" t="s">
        <v>271</v>
      </c>
      <c r="K496" t="s">
        <v>10</v>
      </c>
    </row>
    <row r="497" spans="1:11" x14ac:dyDescent="0.25">
      <c r="A497" t="s">
        <v>422</v>
      </c>
      <c r="B497" t="s">
        <v>663</v>
      </c>
      <c r="C497" t="s">
        <v>634</v>
      </c>
      <c r="D497" t="s">
        <v>635</v>
      </c>
      <c r="G497" t="s">
        <v>442</v>
      </c>
      <c r="H497" t="s">
        <v>636</v>
      </c>
      <c r="I497" t="s">
        <v>133</v>
      </c>
      <c r="J497" t="s">
        <v>312</v>
      </c>
      <c r="K497" t="s">
        <v>10</v>
      </c>
    </row>
    <row r="498" spans="1:11" x14ac:dyDescent="0.25">
      <c r="A498" t="s">
        <v>422</v>
      </c>
      <c r="B498" t="s">
        <v>663</v>
      </c>
      <c r="C498" t="s">
        <v>634</v>
      </c>
      <c r="D498" t="s">
        <v>635</v>
      </c>
      <c r="G498" t="s">
        <v>442</v>
      </c>
      <c r="H498" t="s">
        <v>636</v>
      </c>
      <c r="I498" t="s">
        <v>133</v>
      </c>
      <c r="J498" t="s">
        <v>312</v>
      </c>
      <c r="K498" t="s">
        <v>10</v>
      </c>
    </row>
    <row r="499" spans="1:11" x14ac:dyDescent="0.25">
      <c r="A499" t="s">
        <v>422</v>
      </c>
      <c r="B499" t="s">
        <v>663</v>
      </c>
      <c r="C499" t="s">
        <v>634</v>
      </c>
      <c r="D499" t="s">
        <v>635</v>
      </c>
      <c r="G499" t="s">
        <v>442</v>
      </c>
      <c r="H499" t="s">
        <v>636</v>
      </c>
      <c r="I499" t="s">
        <v>133</v>
      </c>
      <c r="J499" t="s">
        <v>312</v>
      </c>
      <c r="K499" t="s">
        <v>10</v>
      </c>
    </row>
    <row r="500" spans="1:11" x14ac:dyDescent="0.25">
      <c r="A500" t="s">
        <v>422</v>
      </c>
      <c r="B500" t="s">
        <v>663</v>
      </c>
      <c r="C500" t="s">
        <v>637</v>
      </c>
      <c r="D500" t="s">
        <v>638</v>
      </c>
      <c r="G500" t="s">
        <v>442</v>
      </c>
      <c r="H500" t="s">
        <v>636</v>
      </c>
      <c r="I500" t="s">
        <v>133</v>
      </c>
      <c r="J500" t="s">
        <v>312</v>
      </c>
      <c r="K500" t="s">
        <v>10</v>
      </c>
    </row>
    <row r="501" spans="1:11" x14ac:dyDescent="0.25">
      <c r="A501" t="s">
        <v>422</v>
      </c>
      <c r="B501" t="s">
        <v>663</v>
      </c>
      <c r="C501" t="s">
        <v>637</v>
      </c>
      <c r="D501" t="s">
        <v>638</v>
      </c>
      <c r="G501" t="s">
        <v>442</v>
      </c>
      <c r="H501" t="s">
        <v>636</v>
      </c>
      <c r="I501" t="s">
        <v>133</v>
      </c>
      <c r="J501" t="s">
        <v>312</v>
      </c>
      <c r="K501" t="s">
        <v>10</v>
      </c>
    </row>
    <row r="502" spans="1:11" x14ac:dyDescent="0.25">
      <c r="A502" t="s">
        <v>422</v>
      </c>
      <c r="B502" t="s">
        <v>663</v>
      </c>
      <c r="C502" t="s">
        <v>637</v>
      </c>
      <c r="G502" t="s">
        <v>442</v>
      </c>
      <c r="H502" t="s">
        <v>636</v>
      </c>
      <c r="I502" t="s">
        <v>133</v>
      </c>
      <c r="J502" t="s">
        <v>312</v>
      </c>
      <c r="K502" t="s">
        <v>10</v>
      </c>
    </row>
    <row r="503" spans="1:11" x14ac:dyDescent="0.25">
      <c r="A503" t="s">
        <v>422</v>
      </c>
      <c r="B503" t="s">
        <v>663</v>
      </c>
      <c r="C503" t="s">
        <v>644</v>
      </c>
      <c r="G503" t="s">
        <v>442</v>
      </c>
      <c r="H503" t="s">
        <v>636</v>
      </c>
      <c r="I503" t="s">
        <v>133</v>
      </c>
      <c r="J503" t="s">
        <v>312</v>
      </c>
      <c r="K503" t="s">
        <v>10</v>
      </c>
    </row>
    <row r="504" spans="1:11" x14ac:dyDescent="0.25">
      <c r="A504" t="s">
        <v>422</v>
      </c>
      <c r="B504" t="s">
        <v>663</v>
      </c>
      <c r="C504" t="s">
        <v>644</v>
      </c>
      <c r="G504" t="s">
        <v>442</v>
      </c>
      <c r="H504" t="s">
        <v>636</v>
      </c>
      <c r="I504" t="s">
        <v>133</v>
      </c>
      <c r="J504" t="s">
        <v>312</v>
      </c>
      <c r="K504" t="s">
        <v>10</v>
      </c>
    </row>
    <row r="505" spans="1:11" x14ac:dyDescent="0.25">
      <c r="A505" t="s">
        <v>422</v>
      </c>
      <c r="B505" t="s">
        <v>663</v>
      </c>
      <c r="C505" t="s">
        <v>644</v>
      </c>
      <c r="G505" t="s">
        <v>442</v>
      </c>
      <c r="H505" t="s">
        <v>636</v>
      </c>
      <c r="I505" t="s">
        <v>133</v>
      </c>
      <c r="J505" t="s">
        <v>312</v>
      </c>
      <c r="K505" t="s">
        <v>10</v>
      </c>
    </row>
    <row r="506" spans="1:11" x14ac:dyDescent="0.25">
      <c r="A506" t="s">
        <v>422</v>
      </c>
      <c r="B506" t="s">
        <v>663</v>
      </c>
      <c r="C506" t="s">
        <v>645</v>
      </c>
      <c r="G506" t="s">
        <v>442</v>
      </c>
      <c r="H506" t="s">
        <v>636</v>
      </c>
      <c r="I506" t="s">
        <v>133</v>
      </c>
      <c r="J506" t="s">
        <v>312</v>
      </c>
      <c r="K506" t="s">
        <v>10</v>
      </c>
    </row>
    <row r="507" spans="1:11" x14ac:dyDescent="0.25">
      <c r="A507" t="s">
        <v>422</v>
      </c>
      <c r="B507" t="s">
        <v>663</v>
      </c>
      <c r="C507" t="s">
        <v>645</v>
      </c>
      <c r="G507" t="s">
        <v>442</v>
      </c>
      <c r="H507" t="s">
        <v>636</v>
      </c>
      <c r="I507" t="s">
        <v>133</v>
      </c>
      <c r="J507" t="s">
        <v>312</v>
      </c>
      <c r="K507" t="s">
        <v>10</v>
      </c>
    </row>
    <row r="508" spans="1:11" x14ac:dyDescent="0.25">
      <c r="A508" t="s">
        <v>290</v>
      </c>
      <c r="B508" t="s">
        <v>664</v>
      </c>
      <c r="C508" t="s">
        <v>634</v>
      </c>
      <c r="D508" t="s">
        <v>635</v>
      </c>
      <c r="E508" t="s">
        <v>43</v>
      </c>
      <c r="F508" t="s">
        <v>53</v>
      </c>
      <c r="G508" t="s">
        <v>317</v>
      </c>
      <c r="H508" t="s">
        <v>636</v>
      </c>
      <c r="I508" t="s">
        <v>114</v>
      </c>
      <c r="J508" t="s">
        <v>293</v>
      </c>
      <c r="K508" t="s">
        <v>318</v>
      </c>
    </row>
    <row r="509" spans="1:11" x14ac:dyDescent="0.25">
      <c r="A509" t="s">
        <v>290</v>
      </c>
      <c r="B509" t="s">
        <v>664</v>
      </c>
      <c r="C509" t="s">
        <v>634</v>
      </c>
      <c r="D509" t="s">
        <v>635</v>
      </c>
      <c r="E509" t="s">
        <v>43</v>
      </c>
      <c r="F509" t="s">
        <v>49</v>
      </c>
      <c r="G509" t="s">
        <v>317</v>
      </c>
      <c r="H509" t="s">
        <v>636</v>
      </c>
      <c r="I509" t="s">
        <v>114</v>
      </c>
      <c r="J509" t="s">
        <v>293</v>
      </c>
      <c r="K509" t="s">
        <v>318</v>
      </c>
    </row>
    <row r="510" spans="1:11" x14ac:dyDescent="0.25">
      <c r="A510" t="s">
        <v>290</v>
      </c>
      <c r="B510" t="s">
        <v>664</v>
      </c>
      <c r="C510" t="s">
        <v>634</v>
      </c>
      <c r="D510" t="s">
        <v>635</v>
      </c>
      <c r="E510" t="s">
        <v>71</v>
      </c>
      <c r="F510" t="s">
        <v>86</v>
      </c>
      <c r="G510" t="s">
        <v>317</v>
      </c>
      <c r="H510" t="s">
        <v>636</v>
      </c>
      <c r="I510" t="s">
        <v>114</v>
      </c>
      <c r="J510" t="s">
        <v>293</v>
      </c>
      <c r="K510" t="s">
        <v>318</v>
      </c>
    </row>
    <row r="511" spans="1:11" x14ac:dyDescent="0.25">
      <c r="A511" t="s">
        <v>290</v>
      </c>
      <c r="B511" t="s">
        <v>664</v>
      </c>
      <c r="C511" t="s">
        <v>637</v>
      </c>
      <c r="D511" t="s">
        <v>638</v>
      </c>
      <c r="E511" t="s">
        <v>46</v>
      </c>
      <c r="F511" t="s">
        <v>47</v>
      </c>
      <c r="G511" t="s">
        <v>317</v>
      </c>
      <c r="H511" t="s">
        <v>636</v>
      </c>
      <c r="I511" t="s">
        <v>114</v>
      </c>
      <c r="J511" t="s">
        <v>293</v>
      </c>
      <c r="K511" t="s">
        <v>318</v>
      </c>
    </row>
    <row r="512" spans="1:11" x14ac:dyDescent="0.25">
      <c r="A512" t="s">
        <v>290</v>
      </c>
      <c r="B512" t="s">
        <v>664</v>
      </c>
      <c r="C512" t="s">
        <v>637</v>
      </c>
      <c r="D512" t="s">
        <v>638</v>
      </c>
      <c r="E512" t="s">
        <v>69</v>
      </c>
      <c r="F512" t="s">
        <v>80</v>
      </c>
      <c r="G512" t="s">
        <v>317</v>
      </c>
      <c r="H512" t="s">
        <v>636</v>
      </c>
      <c r="I512" t="s">
        <v>114</v>
      </c>
      <c r="J512" t="s">
        <v>293</v>
      </c>
      <c r="K512" t="s">
        <v>318</v>
      </c>
    </row>
    <row r="513" spans="1:11" x14ac:dyDescent="0.25">
      <c r="A513" t="s">
        <v>290</v>
      </c>
      <c r="B513" t="s">
        <v>664</v>
      </c>
      <c r="C513" t="s">
        <v>637</v>
      </c>
      <c r="G513" t="s">
        <v>317</v>
      </c>
      <c r="H513" t="s">
        <v>636</v>
      </c>
      <c r="I513" t="s">
        <v>114</v>
      </c>
      <c r="J513" t="s">
        <v>293</v>
      </c>
      <c r="K513" t="s">
        <v>318</v>
      </c>
    </row>
    <row r="514" spans="1:11" x14ac:dyDescent="0.25">
      <c r="A514" t="s">
        <v>290</v>
      </c>
      <c r="B514" t="s">
        <v>664</v>
      </c>
      <c r="C514" t="s">
        <v>644</v>
      </c>
      <c r="G514" t="s">
        <v>317</v>
      </c>
      <c r="H514" t="s">
        <v>636</v>
      </c>
      <c r="I514" t="s">
        <v>114</v>
      </c>
      <c r="J514" t="s">
        <v>293</v>
      </c>
      <c r="K514" t="s">
        <v>318</v>
      </c>
    </row>
    <row r="515" spans="1:11" x14ac:dyDescent="0.25">
      <c r="A515" t="s">
        <v>290</v>
      </c>
      <c r="B515" t="s">
        <v>664</v>
      </c>
      <c r="C515" t="s">
        <v>644</v>
      </c>
      <c r="G515" t="s">
        <v>317</v>
      </c>
      <c r="H515" t="s">
        <v>636</v>
      </c>
      <c r="I515" t="s">
        <v>114</v>
      </c>
      <c r="J515" t="s">
        <v>293</v>
      </c>
      <c r="K515" t="s">
        <v>318</v>
      </c>
    </row>
    <row r="516" spans="1:11" x14ac:dyDescent="0.25">
      <c r="A516" t="s">
        <v>290</v>
      </c>
      <c r="B516" t="s">
        <v>664</v>
      </c>
      <c r="C516" t="s">
        <v>644</v>
      </c>
      <c r="G516" t="s">
        <v>317</v>
      </c>
      <c r="H516" t="s">
        <v>636</v>
      </c>
      <c r="I516" t="s">
        <v>114</v>
      </c>
      <c r="J516" t="s">
        <v>293</v>
      </c>
      <c r="K516" t="s">
        <v>318</v>
      </c>
    </row>
    <row r="517" spans="1:11" x14ac:dyDescent="0.25">
      <c r="A517" t="s">
        <v>290</v>
      </c>
      <c r="B517" t="s">
        <v>664</v>
      </c>
      <c r="C517" t="s">
        <v>645</v>
      </c>
      <c r="G517" t="s">
        <v>317</v>
      </c>
      <c r="H517" t="s">
        <v>636</v>
      </c>
      <c r="I517" t="s">
        <v>114</v>
      </c>
      <c r="J517" t="s">
        <v>293</v>
      </c>
      <c r="K517" t="s">
        <v>318</v>
      </c>
    </row>
    <row r="518" spans="1:11" x14ac:dyDescent="0.25">
      <c r="A518" t="s">
        <v>290</v>
      </c>
      <c r="B518" t="s">
        <v>664</v>
      </c>
      <c r="C518" t="s">
        <v>645</v>
      </c>
      <c r="G518" t="s">
        <v>317</v>
      </c>
      <c r="H518" t="s">
        <v>636</v>
      </c>
      <c r="I518" t="s">
        <v>114</v>
      </c>
      <c r="J518" t="s">
        <v>293</v>
      </c>
      <c r="K518" t="s">
        <v>318</v>
      </c>
    </row>
    <row r="519" spans="1:11" x14ac:dyDescent="0.25">
      <c r="A519" t="s">
        <v>422</v>
      </c>
      <c r="B519" t="s">
        <v>665</v>
      </c>
      <c r="C519" t="s">
        <v>634</v>
      </c>
      <c r="D519" t="s">
        <v>635</v>
      </c>
      <c r="E519" t="s">
        <v>69</v>
      </c>
      <c r="F519" t="s">
        <v>74</v>
      </c>
      <c r="G519" t="s">
        <v>444</v>
      </c>
      <c r="H519" t="s">
        <v>636</v>
      </c>
      <c r="I519" t="s">
        <v>42</v>
      </c>
      <c r="J519" t="s">
        <v>271</v>
      </c>
      <c r="K519" t="s">
        <v>19</v>
      </c>
    </row>
    <row r="520" spans="1:11" x14ac:dyDescent="0.25">
      <c r="A520" t="s">
        <v>422</v>
      </c>
      <c r="B520" t="s">
        <v>665</v>
      </c>
      <c r="C520" t="s">
        <v>634</v>
      </c>
      <c r="D520" t="s">
        <v>635</v>
      </c>
      <c r="E520" t="s">
        <v>69</v>
      </c>
      <c r="F520" t="s">
        <v>82</v>
      </c>
      <c r="G520" t="s">
        <v>444</v>
      </c>
      <c r="H520" t="s">
        <v>636</v>
      </c>
      <c r="I520" t="s">
        <v>42</v>
      </c>
      <c r="J520" t="s">
        <v>271</v>
      </c>
      <c r="K520" t="s">
        <v>19</v>
      </c>
    </row>
    <row r="521" spans="1:11" x14ac:dyDescent="0.25">
      <c r="A521" t="s">
        <v>422</v>
      </c>
      <c r="B521" t="s">
        <v>665</v>
      </c>
      <c r="C521" t="s">
        <v>634</v>
      </c>
      <c r="D521" t="s">
        <v>635</v>
      </c>
      <c r="E521" t="s">
        <v>71</v>
      </c>
      <c r="F521" t="s">
        <v>99</v>
      </c>
      <c r="G521" t="s">
        <v>444</v>
      </c>
      <c r="H521" t="s">
        <v>636</v>
      </c>
      <c r="I521" t="s">
        <v>42</v>
      </c>
      <c r="J521" t="s">
        <v>271</v>
      </c>
      <c r="K521" t="s">
        <v>19</v>
      </c>
    </row>
    <row r="522" spans="1:11" x14ac:dyDescent="0.25">
      <c r="A522" t="s">
        <v>422</v>
      </c>
      <c r="B522" t="s">
        <v>665</v>
      </c>
      <c r="C522" t="s">
        <v>637</v>
      </c>
      <c r="D522" t="s">
        <v>635</v>
      </c>
      <c r="E522" t="s">
        <v>71</v>
      </c>
      <c r="F522" t="s">
        <v>88</v>
      </c>
      <c r="G522" t="s">
        <v>444</v>
      </c>
      <c r="H522" t="s">
        <v>636</v>
      </c>
      <c r="I522" t="s">
        <v>42</v>
      </c>
      <c r="J522" t="s">
        <v>271</v>
      </c>
      <c r="K522" t="s">
        <v>19</v>
      </c>
    </row>
    <row r="523" spans="1:11" x14ac:dyDescent="0.25">
      <c r="A523" t="s">
        <v>422</v>
      </c>
      <c r="B523" t="s">
        <v>665</v>
      </c>
      <c r="C523" t="s">
        <v>637</v>
      </c>
      <c r="D523" t="s">
        <v>638</v>
      </c>
      <c r="E523" t="s">
        <v>43</v>
      </c>
      <c r="F523" t="s">
        <v>49</v>
      </c>
      <c r="G523" t="s">
        <v>444</v>
      </c>
      <c r="H523" t="s">
        <v>636</v>
      </c>
      <c r="I523" t="s">
        <v>42</v>
      </c>
      <c r="J523" t="s">
        <v>271</v>
      </c>
      <c r="K523" t="s">
        <v>19</v>
      </c>
    </row>
    <row r="524" spans="1:11" x14ac:dyDescent="0.25">
      <c r="A524" t="s">
        <v>422</v>
      </c>
      <c r="B524" t="s">
        <v>665</v>
      </c>
      <c r="C524" t="s">
        <v>637</v>
      </c>
      <c r="D524" t="s">
        <v>638</v>
      </c>
      <c r="E524" t="s">
        <v>43</v>
      </c>
      <c r="F524" t="s">
        <v>44</v>
      </c>
      <c r="G524" t="s">
        <v>444</v>
      </c>
      <c r="H524" t="s">
        <v>636</v>
      </c>
      <c r="I524" t="s">
        <v>42</v>
      </c>
      <c r="J524" t="s">
        <v>271</v>
      </c>
      <c r="K524" t="s">
        <v>19</v>
      </c>
    </row>
    <row r="525" spans="1:11" x14ac:dyDescent="0.25">
      <c r="A525" t="s">
        <v>422</v>
      </c>
      <c r="B525" t="s">
        <v>665</v>
      </c>
      <c r="C525" t="s">
        <v>644</v>
      </c>
      <c r="D525" t="s">
        <v>638</v>
      </c>
      <c r="E525" t="s">
        <v>43</v>
      </c>
      <c r="F525" t="s">
        <v>57</v>
      </c>
      <c r="G525" t="s">
        <v>444</v>
      </c>
      <c r="H525" t="s">
        <v>636</v>
      </c>
      <c r="I525" t="s">
        <v>42</v>
      </c>
      <c r="J525" t="s">
        <v>271</v>
      </c>
      <c r="K525" t="s">
        <v>19</v>
      </c>
    </row>
    <row r="526" spans="1:11" x14ac:dyDescent="0.25">
      <c r="A526" t="s">
        <v>422</v>
      </c>
      <c r="B526" t="s">
        <v>665</v>
      </c>
      <c r="C526" t="s">
        <v>644</v>
      </c>
      <c r="D526" t="s">
        <v>638</v>
      </c>
      <c r="E526" t="s">
        <v>46</v>
      </c>
      <c r="F526" t="s">
        <v>124</v>
      </c>
      <c r="G526" t="s">
        <v>444</v>
      </c>
      <c r="H526" t="s">
        <v>636</v>
      </c>
      <c r="I526" t="s">
        <v>42</v>
      </c>
      <c r="J526" t="s">
        <v>271</v>
      </c>
      <c r="K526" t="s">
        <v>19</v>
      </c>
    </row>
    <row r="527" spans="1:11" x14ac:dyDescent="0.25">
      <c r="A527" t="s">
        <v>422</v>
      </c>
      <c r="B527" t="s">
        <v>665</v>
      </c>
      <c r="C527" t="s">
        <v>644</v>
      </c>
      <c r="D527" t="s">
        <v>640</v>
      </c>
      <c r="E527" t="s">
        <v>83</v>
      </c>
      <c r="F527" t="s">
        <v>104</v>
      </c>
      <c r="G527" t="s">
        <v>444</v>
      </c>
      <c r="H527" t="s">
        <v>636</v>
      </c>
      <c r="I527" t="s">
        <v>42</v>
      </c>
      <c r="J527" t="s">
        <v>271</v>
      </c>
      <c r="K527" t="s">
        <v>19</v>
      </c>
    </row>
    <row r="528" spans="1:11" x14ac:dyDescent="0.25">
      <c r="A528" t="s">
        <v>422</v>
      </c>
      <c r="B528" t="s">
        <v>665</v>
      </c>
      <c r="C528" t="s">
        <v>645</v>
      </c>
      <c r="D528" t="s">
        <v>640</v>
      </c>
      <c r="E528" t="s">
        <v>46</v>
      </c>
      <c r="F528" t="s">
        <v>47</v>
      </c>
      <c r="G528" t="s">
        <v>444</v>
      </c>
      <c r="H528" t="s">
        <v>636</v>
      </c>
      <c r="I528" t="s">
        <v>42</v>
      </c>
      <c r="J528" t="s">
        <v>271</v>
      </c>
      <c r="K528" t="s">
        <v>19</v>
      </c>
    </row>
    <row r="529" spans="1:11" x14ac:dyDescent="0.25">
      <c r="A529" t="s">
        <v>422</v>
      </c>
      <c r="B529" t="s">
        <v>665</v>
      </c>
      <c r="C529" t="s">
        <v>645</v>
      </c>
      <c r="D529" t="s">
        <v>640</v>
      </c>
      <c r="E529" t="s">
        <v>110</v>
      </c>
      <c r="F529" t="s">
        <v>142</v>
      </c>
      <c r="G529" t="s">
        <v>444</v>
      </c>
      <c r="H529" t="s">
        <v>636</v>
      </c>
      <c r="I529" t="s">
        <v>42</v>
      </c>
      <c r="J529" t="s">
        <v>271</v>
      </c>
      <c r="K529" t="s">
        <v>19</v>
      </c>
    </row>
    <row r="530" spans="1:11" x14ac:dyDescent="0.25">
      <c r="A530" t="s">
        <v>422</v>
      </c>
      <c r="B530" t="s">
        <v>665</v>
      </c>
      <c r="C530" t="s">
        <v>634</v>
      </c>
      <c r="D530" t="s">
        <v>635</v>
      </c>
      <c r="E530" t="s">
        <v>69</v>
      </c>
      <c r="F530" t="s">
        <v>74</v>
      </c>
      <c r="G530" t="s">
        <v>444</v>
      </c>
      <c r="H530" t="s">
        <v>636</v>
      </c>
      <c r="I530" t="s">
        <v>114</v>
      </c>
      <c r="J530" t="s">
        <v>293</v>
      </c>
      <c r="K530" t="s">
        <v>19</v>
      </c>
    </row>
    <row r="531" spans="1:11" x14ac:dyDescent="0.25">
      <c r="A531" t="s">
        <v>422</v>
      </c>
      <c r="B531" t="s">
        <v>665</v>
      </c>
      <c r="C531" t="s">
        <v>634</v>
      </c>
      <c r="D531" t="s">
        <v>635</v>
      </c>
      <c r="E531" t="s">
        <v>69</v>
      </c>
      <c r="F531" t="s">
        <v>82</v>
      </c>
      <c r="G531" t="s">
        <v>444</v>
      </c>
      <c r="H531" t="s">
        <v>636</v>
      </c>
      <c r="I531" t="s">
        <v>114</v>
      </c>
      <c r="J531" t="s">
        <v>293</v>
      </c>
      <c r="K531" t="s">
        <v>19</v>
      </c>
    </row>
    <row r="532" spans="1:11" x14ac:dyDescent="0.25">
      <c r="A532" t="s">
        <v>422</v>
      </c>
      <c r="B532" t="s">
        <v>665</v>
      </c>
      <c r="C532" t="s">
        <v>634</v>
      </c>
      <c r="D532" t="s">
        <v>635</v>
      </c>
      <c r="E532" t="s">
        <v>71</v>
      </c>
      <c r="F532" t="s">
        <v>99</v>
      </c>
      <c r="G532" t="s">
        <v>444</v>
      </c>
      <c r="H532" t="s">
        <v>636</v>
      </c>
      <c r="I532" t="s">
        <v>114</v>
      </c>
      <c r="J532" t="s">
        <v>293</v>
      </c>
      <c r="K532" t="s">
        <v>19</v>
      </c>
    </row>
    <row r="533" spans="1:11" x14ac:dyDescent="0.25">
      <c r="A533" t="s">
        <v>422</v>
      </c>
      <c r="B533" t="s">
        <v>665</v>
      </c>
      <c r="C533" t="s">
        <v>637</v>
      </c>
      <c r="D533" t="s">
        <v>635</v>
      </c>
      <c r="E533" t="s">
        <v>71</v>
      </c>
      <c r="F533" t="s">
        <v>88</v>
      </c>
      <c r="G533" t="s">
        <v>444</v>
      </c>
      <c r="H533" t="s">
        <v>636</v>
      </c>
      <c r="I533" t="s">
        <v>114</v>
      </c>
      <c r="J533" t="s">
        <v>293</v>
      </c>
      <c r="K533" t="s">
        <v>19</v>
      </c>
    </row>
    <row r="534" spans="1:11" x14ac:dyDescent="0.25">
      <c r="A534" t="s">
        <v>422</v>
      </c>
      <c r="B534" t="s">
        <v>665</v>
      </c>
      <c r="C534" t="s">
        <v>637</v>
      </c>
      <c r="D534" t="s">
        <v>638</v>
      </c>
      <c r="E534" t="s">
        <v>43</v>
      </c>
      <c r="F534" t="s">
        <v>49</v>
      </c>
      <c r="G534" t="s">
        <v>444</v>
      </c>
      <c r="H534" t="s">
        <v>636</v>
      </c>
      <c r="I534" t="s">
        <v>114</v>
      </c>
      <c r="J534" t="s">
        <v>293</v>
      </c>
      <c r="K534" t="s">
        <v>19</v>
      </c>
    </row>
    <row r="535" spans="1:11" x14ac:dyDescent="0.25">
      <c r="A535" t="s">
        <v>422</v>
      </c>
      <c r="B535" t="s">
        <v>665</v>
      </c>
      <c r="C535" t="s">
        <v>637</v>
      </c>
      <c r="D535" t="s">
        <v>638</v>
      </c>
      <c r="E535" t="s">
        <v>43</v>
      </c>
      <c r="F535" t="s">
        <v>44</v>
      </c>
      <c r="G535" t="s">
        <v>444</v>
      </c>
      <c r="H535" t="s">
        <v>636</v>
      </c>
      <c r="I535" t="s">
        <v>114</v>
      </c>
      <c r="J535" t="s">
        <v>293</v>
      </c>
      <c r="K535" t="s">
        <v>19</v>
      </c>
    </row>
    <row r="536" spans="1:11" x14ac:dyDescent="0.25">
      <c r="A536" t="s">
        <v>422</v>
      </c>
      <c r="B536" t="s">
        <v>665</v>
      </c>
      <c r="C536" t="s">
        <v>644</v>
      </c>
      <c r="D536" t="s">
        <v>638</v>
      </c>
      <c r="E536" t="s">
        <v>43</v>
      </c>
      <c r="F536" t="s">
        <v>57</v>
      </c>
      <c r="G536" t="s">
        <v>444</v>
      </c>
      <c r="H536" t="s">
        <v>636</v>
      </c>
      <c r="I536" t="s">
        <v>114</v>
      </c>
      <c r="J536" t="s">
        <v>293</v>
      </c>
      <c r="K536" t="s">
        <v>19</v>
      </c>
    </row>
    <row r="537" spans="1:11" x14ac:dyDescent="0.25">
      <c r="A537" t="s">
        <v>422</v>
      </c>
      <c r="B537" t="s">
        <v>665</v>
      </c>
      <c r="C537" t="s">
        <v>644</v>
      </c>
      <c r="D537" t="s">
        <v>638</v>
      </c>
      <c r="E537" t="s">
        <v>46</v>
      </c>
      <c r="F537" t="s">
        <v>124</v>
      </c>
      <c r="G537" t="s">
        <v>444</v>
      </c>
      <c r="H537" t="s">
        <v>636</v>
      </c>
      <c r="I537" t="s">
        <v>114</v>
      </c>
      <c r="J537" t="s">
        <v>293</v>
      </c>
      <c r="K537" t="s">
        <v>19</v>
      </c>
    </row>
    <row r="538" spans="1:11" x14ac:dyDescent="0.25">
      <c r="A538" t="s">
        <v>422</v>
      </c>
      <c r="B538" t="s">
        <v>665</v>
      </c>
      <c r="C538" t="s">
        <v>644</v>
      </c>
      <c r="D538" t="s">
        <v>640</v>
      </c>
      <c r="E538" t="s">
        <v>83</v>
      </c>
      <c r="F538" t="s">
        <v>104</v>
      </c>
      <c r="G538" t="s">
        <v>444</v>
      </c>
      <c r="H538" t="s">
        <v>636</v>
      </c>
      <c r="I538" t="s">
        <v>114</v>
      </c>
      <c r="J538" t="s">
        <v>293</v>
      </c>
      <c r="K538" t="s">
        <v>19</v>
      </c>
    </row>
    <row r="539" spans="1:11" x14ac:dyDescent="0.25">
      <c r="A539" t="s">
        <v>422</v>
      </c>
      <c r="B539" t="s">
        <v>665</v>
      </c>
      <c r="C539" t="s">
        <v>645</v>
      </c>
      <c r="D539" t="s">
        <v>640</v>
      </c>
      <c r="E539" t="s">
        <v>46</v>
      </c>
      <c r="F539" t="s">
        <v>47</v>
      </c>
      <c r="G539" t="s">
        <v>444</v>
      </c>
      <c r="H539" t="s">
        <v>636</v>
      </c>
      <c r="I539" t="s">
        <v>114</v>
      </c>
      <c r="J539" t="s">
        <v>293</v>
      </c>
      <c r="K539" t="s">
        <v>19</v>
      </c>
    </row>
    <row r="540" spans="1:11" x14ac:dyDescent="0.25">
      <c r="A540" t="s">
        <v>422</v>
      </c>
      <c r="B540" t="s">
        <v>665</v>
      </c>
      <c r="C540" t="s">
        <v>645</v>
      </c>
      <c r="D540" t="s">
        <v>640</v>
      </c>
      <c r="E540" t="s">
        <v>110</v>
      </c>
      <c r="F540" t="s">
        <v>142</v>
      </c>
      <c r="G540" t="s">
        <v>444</v>
      </c>
      <c r="H540" t="s">
        <v>636</v>
      </c>
      <c r="I540" t="s">
        <v>114</v>
      </c>
      <c r="J540" t="s">
        <v>293</v>
      </c>
      <c r="K540" t="s">
        <v>19</v>
      </c>
    </row>
    <row r="541" spans="1:11" x14ac:dyDescent="0.25">
      <c r="A541" t="s">
        <v>422</v>
      </c>
      <c r="B541" t="s">
        <v>665</v>
      </c>
      <c r="C541" t="s">
        <v>634</v>
      </c>
      <c r="D541" t="s">
        <v>635</v>
      </c>
      <c r="E541" t="s">
        <v>69</v>
      </c>
      <c r="F541" t="s">
        <v>74</v>
      </c>
      <c r="G541" t="s">
        <v>444</v>
      </c>
      <c r="H541" t="s">
        <v>636</v>
      </c>
      <c r="I541" t="s">
        <v>133</v>
      </c>
      <c r="J541" t="s">
        <v>312</v>
      </c>
      <c r="K541" t="s">
        <v>19</v>
      </c>
    </row>
    <row r="542" spans="1:11" x14ac:dyDescent="0.25">
      <c r="A542" t="s">
        <v>422</v>
      </c>
      <c r="B542" t="s">
        <v>665</v>
      </c>
      <c r="C542" t="s">
        <v>634</v>
      </c>
      <c r="D542" t="s">
        <v>635</v>
      </c>
      <c r="E542" t="s">
        <v>69</v>
      </c>
      <c r="F542" t="s">
        <v>82</v>
      </c>
      <c r="G542" t="s">
        <v>444</v>
      </c>
      <c r="H542" t="s">
        <v>636</v>
      </c>
      <c r="I542" t="s">
        <v>133</v>
      </c>
      <c r="J542" t="s">
        <v>312</v>
      </c>
      <c r="K542" t="s">
        <v>19</v>
      </c>
    </row>
    <row r="543" spans="1:11" x14ac:dyDescent="0.25">
      <c r="A543" t="s">
        <v>422</v>
      </c>
      <c r="B543" t="s">
        <v>665</v>
      </c>
      <c r="C543" t="s">
        <v>634</v>
      </c>
      <c r="D543" t="s">
        <v>635</v>
      </c>
      <c r="E543" t="s">
        <v>71</v>
      </c>
      <c r="F543" t="s">
        <v>99</v>
      </c>
      <c r="G543" t="s">
        <v>444</v>
      </c>
      <c r="H543" t="s">
        <v>636</v>
      </c>
      <c r="I543" t="s">
        <v>133</v>
      </c>
      <c r="J543" t="s">
        <v>312</v>
      </c>
      <c r="K543" t="s">
        <v>19</v>
      </c>
    </row>
    <row r="544" spans="1:11" x14ac:dyDescent="0.25">
      <c r="A544" t="s">
        <v>422</v>
      </c>
      <c r="B544" t="s">
        <v>665</v>
      </c>
      <c r="C544" t="s">
        <v>637</v>
      </c>
      <c r="D544" t="s">
        <v>635</v>
      </c>
      <c r="E544" t="s">
        <v>71</v>
      </c>
      <c r="F544" t="s">
        <v>88</v>
      </c>
      <c r="G544" t="s">
        <v>444</v>
      </c>
      <c r="H544" t="s">
        <v>636</v>
      </c>
      <c r="I544" t="s">
        <v>133</v>
      </c>
      <c r="J544" t="s">
        <v>312</v>
      </c>
      <c r="K544" t="s">
        <v>19</v>
      </c>
    </row>
    <row r="545" spans="1:11" x14ac:dyDescent="0.25">
      <c r="A545" t="s">
        <v>422</v>
      </c>
      <c r="B545" t="s">
        <v>665</v>
      </c>
      <c r="C545" t="s">
        <v>637</v>
      </c>
      <c r="D545" t="s">
        <v>638</v>
      </c>
      <c r="E545" t="s">
        <v>43</v>
      </c>
      <c r="F545" t="s">
        <v>49</v>
      </c>
      <c r="G545" t="s">
        <v>444</v>
      </c>
      <c r="H545" t="s">
        <v>636</v>
      </c>
      <c r="I545" t="s">
        <v>133</v>
      </c>
      <c r="J545" t="s">
        <v>312</v>
      </c>
      <c r="K545" t="s">
        <v>19</v>
      </c>
    </row>
    <row r="546" spans="1:11" x14ac:dyDescent="0.25">
      <c r="A546" t="s">
        <v>422</v>
      </c>
      <c r="B546" t="s">
        <v>665</v>
      </c>
      <c r="C546" t="s">
        <v>637</v>
      </c>
      <c r="D546" t="s">
        <v>638</v>
      </c>
      <c r="E546" t="s">
        <v>43</v>
      </c>
      <c r="F546" t="s">
        <v>44</v>
      </c>
      <c r="G546" t="s">
        <v>444</v>
      </c>
      <c r="H546" t="s">
        <v>636</v>
      </c>
      <c r="I546" t="s">
        <v>133</v>
      </c>
      <c r="J546" t="s">
        <v>312</v>
      </c>
      <c r="K546" t="s">
        <v>19</v>
      </c>
    </row>
    <row r="547" spans="1:11" x14ac:dyDescent="0.25">
      <c r="A547" t="s">
        <v>422</v>
      </c>
      <c r="B547" t="s">
        <v>665</v>
      </c>
      <c r="C547" t="s">
        <v>644</v>
      </c>
      <c r="D547" t="s">
        <v>638</v>
      </c>
      <c r="E547" t="s">
        <v>43</v>
      </c>
      <c r="F547" t="s">
        <v>57</v>
      </c>
      <c r="G547" t="s">
        <v>444</v>
      </c>
      <c r="H547" t="s">
        <v>636</v>
      </c>
      <c r="I547" t="s">
        <v>133</v>
      </c>
      <c r="J547" t="s">
        <v>312</v>
      </c>
      <c r="K547" t="s">
        <v>19</v>
      </c>
    </row>
    <row r="548" spans="1:11" x14ac:dyDescent="0.25">
      <c r="A548" t="s">
        <v>422</v>
      </c>
      <c r="B548" t="s">
        <v>665</v>
      </c>
      <c r="C548" t="s">
        <v>644</v>
      </c>
      <c r="D548" t="s">
        <v>638</v>
      </c>
      <c r="E548" t="s">
        <v>46</v>
      </c>
      <c r="F548" t="s">
        <v>124</v>
      </c>
      <c r="G548" t="s">
        <v>444</v>
      </c>
      <c r="H548" t="s">
        <v>636</v>
      </c>
      <c r="I548" t="s">
        <v>133</v>
      </c>
      <c r="J548" t="s">
        <v>312</v>
      </c>
      <c r="K548" t="s">
        <v>19</v>
      </c>
    </row>
    <row r="549" spans="1:11" x14ac:dyDescent="0.25">
      <c r="A549" t="s">
        <v>422</v>
      </c>
      <c r="B549" t="s">
        <v>665</v>
      </c>
      <c r="C549" t="s">
        <v>644</v>
      </c>
      <c r="D549" t="s">
        <v>640</v>
      </c>
      <c r="E549" t="s">
        <v>83</v>
      </c>
      <c r="F549" t="s">
        <v>104</v>
      </c>
      <c r="G549" t="s">
        <v>444</v>
      </c>
      <c r="H549" t="s">
        <v>636</v>
      </c>
      <c r="I549" t="s">
        <v>133</v>
      </c>
      <c r="J549" t="s">
        <v>312</v>
      </c>
      <c r="K549" t="s">
        <v>19</v>
      </c>
    </row>
    <row r="550" spans="1:11" x14ac:dyDescent="0.25">
      <c r="A550" t="s">
        <v>422</v>
      </c>
      <c r="B550" t="s">
        <v>665</v>
      </c>
      <c r="C550" t="s">
        <v>645</v>
      </c>
      <c r="D550" t="s">
        <v>640</v>
      </c>
      <c r="E550" t="s">
        <v>46</v>
      </c>
      <c r="F550" t="s">
        <v>47</v>
      </c>
      <c r="G550" t="s">
        <v>444</v>
      </c>
      <c r="H550" t="s">
        <v>636</v>
      </c>
      <c r="I550" t="s">
        <v>133</v>
      </c>
      <c r="J550" t="s">
        <v>312</v>
      </c>
      <c r="K550" t="s">
        <v>19</v>
      </c>
    </row>
    <row r="551" spans="1:11" x14ac:dyDescent="0.25">
      <c r="A551" t="s">
        <v>422</v>
      </c>
      <c r="B551" t="s">
        <v>665</v>
      </c>
      <c r="C551" t="s">
        <v>645</v>
      </c>
      <c r="D551" t="s">
        <v>640</v>
      </c>
      <c r="E551" t="s">
        <v>110</v>
      </c>
      <c r="F551" t="s">
        <v>142</v>
      </c>
      <c r="G551" t="s">
        <v>444</v>
      </c>
      <c r="H551" t="s">
        <v>636</v>
      </c>
      <c r="I551" t="s">
        <v>133</v>
      </c>
      <c r="J551" t="s">
        <v>312</v>
      </c>
      <c r="K551" t="s">
        <v>19</v>
      </c>
    </row>
    <row r="552" spans="1:11" x14ac:dyDescent="0.25">
      <c r="A552" t="s">
        <v>422</v>
      </c>
      <c r="B552" t="s">
        <v>665</v>
      </c>
      <c r="C552" t="s">
        <v>634</v>
      </c>
      <c r="D552" t="s">
        <v>635</v>
      </c>
      <c r="E552" t="s">
        <v>69</v>
      </c>
      <c r="F552" t="s">
        <v>74</v>
      </c>
      <c r="G552" t="s">
        <v>444</v>
      </c>
      <c r="H552" t="s">
        <v>636</v>
      </c>
      <c r="I552" t="s">
        <v>152</v>
      </c>
      <c r="J552" t="s">
        <v>320</v>
      </c>
      <c r="K552" t="s">
        <v>19</v>
      </c>
    </row>
    <row r="553" spans="1:11" x14ac:dyDescent="0.25">
      <c r="A553" t="s">
        <v>422</v>
      </c>
      <c r="B553" t="s">
        <v>665</v>
      </c>
      <c r="C553" t="s">
        <v>634</v>
      </c>
      <c r="D553" t="s">
        <v>635</v>
      </c>
      <c r="E553" t="s">
        <v>69</v>
      </c>
      <c r="F553" t="s">
        <v>82</v>
      </c>
      <c r="G553" t="s">
        <v>444</v>
      </c>
      <c r="H553" t="s">
        <v>636</v>
      </c>
      <c r="I553" t="s">
        <v>152</v>
      </c>
      <c r="J553" t="s">
        <v>320</v>
      </c>
      <c r="K553" t="s">
        <v>19</v>
      </c>
    </row>
    <row r="554" spans="1:11" x14ac:dyDescent="0.25">
      <c r="A554" t="s">
        <v>422</v>
      </c>
      <c r="B554" t="s">
        <v>665</v>
      </c>
      <c r="C554" t="s">
        <v>634</v>
      </c>
      <c r="D554" t="s">
        <v>635</v>
      </c>
      <c r="E554" t="s">
        <v>71</v>
      </c>
      <c r="F554" t="s">
        <v>99</v>
      </c>
      <c r="G554" t="s">
        <v>444</v>
      </c>
      <c r="H554" t="s">
        <v>636</v>
      </c>
      <c r="I554" t="s">
        <v>152</v>
      </c>
      <c r="J554" t="s">
        <v>320</v>
      </c>
      <c r="K554" t="s">
        <v>19</v>
      </c>
    </row>
    <row r="555" spans="1:11" x14ac:dyDescent="0.25">
      <c r="A555" t="s">
        <v>422</v>
      </c>
      <c r="B555" t="s">
        <v>665</v>
      </c>
      <c r="C555" t="s">
        <v>637</v>
      </c>
      <c r="D555" t="s">
        <v>635</v>
      </c>
      <c r="E555" t="s">
        <v>71</v>
      </c>
      <c r="F555" t="s">
        <v>88</v>
      </c>
      <c r="G555" t="s">
        <v>444</v>
      </c>
      <c r="H555" t="s">
        <v>636</v>
      </c>
      <c r="I555" t="s">
        <v>152</v>
      </c>
      <c r="J555" t="s">
        <v>320</v>
      </c>
      <c r="K555" t="s">
        <v>19</v>
      </c>
    </row>
    <row r="556" spans="1:11" x14ac:dyDescent="0.25">
      <c r="A556" t="s">
        <v>422</v>
      </c>
      <c r="B556" t="s">
        <v>665</v>
      </c>
      <c r="C556" t="s">
        <v>637</v>
      </c>
      <c r="D556" t="s">
        <v>638</v>
      </c>
      <c r="E556" t="s">
        <v>43</v>
      </c>
      <c r="F556" t="s">
        <v>49</v>
      </c>
      <c r="G556" t="s">
        <v>444</v>
      </c>
      <c r="H556" t="s">
        <v>636</v>
      </c>
      <c r="I556" t="s">
        <v>152</v>
      </c>
      <c r="J556" t="s">
        <v>320</v>
      </c>
      <c r="K556" t="s">
        <v>19</v>
      </c>
    </row>
    <row r="557" spans="1:11" x14ac:dyDescent="0.25">
      <c r="A557" t="s">
        <v>422</v>
      </c>
      <c r="B557" t="s">
        <v>665</v>
      </c>
      <c r="C557" t="s">
        <v>637</v>
      </c>
      <c r="D557" t="s">
        <v>638</v>
      </c>
      <c r="E557" t="s">
        <v>43</v>
      </c>
      <c r="F557" t="s">
        <v>44</v>
      </c>
      <c r="G557" t="s">
        <v>444</v>
      </c>
      <c r="H557" t="s">
        <v>636</v>
      </c>
      <c r="I557" t="s">
        <v>152</v>
      </c>
      <c r="J557" t="s">
        <v>320</v>
      </c>
      <c r="K557" t="s">
        <v>19</v>
      </c>
    </row>
    <row r="558" spans="1:11" x14ac:dyDescent="0.25">
      <c r="A558" t="s">
        <v>422</v>
      </c>
      <c r="B558" t="s">
        <v>665</v>
      </c>
      <c r="C558" t="s">
        <v>644</v>
      </c>
      <c r="D558" t="s">
        <v>638</v>
      </c>
      <c r="E558" t="s">
        <v>43</v>
      </c>
      <c r="F558" t="s">
        <v>57</v>
      </c>
      <c r="G558" t="s">
        <v>444</v>
      </c>
      <c r="H558" t="s">
        <v>636</v>
      </c>
      <c r="I558" t="s">
        <v>152</v>
      </c>
      <c r="J558" t="s">
        <v>320</v>
      </c>
      <c r="K558" t="s">
        <v>19</v>
      </c>
    </row>
    <row r="559" spans="1:11" x14ac:dyDescent="0.25">
      <c r="A559" t="s">
        <v>422</v>
      </c>
      <c r="B559" t="s">
        <v>665</v>
      </c>
      <c r="C559" t="s">
        <v>644</v>
      </c>
      <c r="D559" t="s">
        <v>638</v>
      </c>
      <c r="E559" t="s">
        <v>46</v>
      </c>
      <c r="F559" t="s">
        <v>124</v>
      </c>
      <c r="G559" t="s">
        <v>444</v>
      </c>
      <c r="H559" t="s">
        <v>636</v>
      </c>
      <c r="I559" t="s">
        <v>152</v>
      </c>
      <c r="J559" t="s">
        <v>320</v>
      </c>
      <c r="K559" t="s">
        <v>19</v>
      </c>
    </row>
    <row r="560" spans="1:11" x14ac:dyDescent="0.25">
      <c r="A560" t="s">
        <v>422</v>
      </c>
      <c r="B560" t="s">
        <v>665</v>
      </c>
      <c r="C560" t="s">
        <v>644</v>
      </c>
      <c r="D560" t="s">
        <v>640</v>
      </c>
      <c r="E560" t="s">
        <v>83</v>
      </c>
      <c r="F560" t="s">
        <v>104</v>
      </c>
      <c r="G560" t="s">
        <v>444</v>
      </c>
      <c r="H560" t="s">
        <v>636</v>
      </c>
      <c r="I560" t="s">
        <v>152</v>
      </c>
      <c r="J560" t="s">
        <v>320</v>
      </c>
      <c r="K560" t="s">
        <v>19</v>
      </c>
    </row>
    <row r="561" spans="1:11" x14ac:dyDescent="0.25">
      <c r="A561" t="s">
        <v>422</v>
      </c>
      <c r="B561" t="s">
        <v>665</v>
      </c>
      <c r="C561" t="s">
        <v>645</v>
      </c>
      <c r="D561" t="s">
        <v>640</v>
      </c>
      <c r="E561" t="s">
        <v>46</v>
      </c>
      <c r="F561" t="s">
        <v>47</v>
      </c>
      <c r="G561" t="s">
        <v>444</v>
      </c>
      <c r="H561" t="s">
        <v>636</v>
      </c>
      <c r="I561" t="s">
        <v>152</v>
      </c>
      <c r="J561" t="s">
        <v>320</v>
      </c>
      <c r="K561" t="s">
        <v>19</v>
      </c>
    </row>
    <row r="562" spans="1:11" x14ac:dyDescent="0.25">
      <c r="A562" t="s">
        <v>422</v>
      </c>
      <c r="B562" t="s">
        <v>665</v>
      </c>
      <c r="C562" t="s">
        <v>645</v>
      </c>
      <c r="D562" t="s">
        <v>640</v>
      </c>
      <c r="E562" t="s">
        <v>110</v>
      </c>
      <c r="F562" t="s">
        <v>142</v>
      </c>
      <c r="G562" t="s">
        <v>444</v>
      </c>
      <c r="H562" t="s">
        <v>636</v>
      </c>
      <c r="I562" t="s">
        <v>152</v>
      </c>
      <c r="J562" t="s">
        <v>320</v>
      </c>
      <c r="K562" t="s">
        <v>19</v>
      </c>
    </row>
    <row r="563" spans="1:11" x14ac:dyDescent="0.25">
      <c r="A563" t="s">
        <v>290</v>
      </c>
      <c r="B563" t="s">
        <v>666</v>
      </c>
      <c r="C563" t="s">
        <v>634</v>
      </c>
      <c r="D563" t="s">
        <v>635</v>
      </c>
      <c r="E563" t="s">
        <v>83</v>
      </c>
      <c r="F563" t="s">
        <v>101</v>
      </c>
      <c r="G563" t="s">
        <v>311</v>
      </c>
      <c r="H563" t="s">
        <v>636</v>
      </c>
      <c r="I563" t="s">
        <v>114</v>
      </c>
      <c r="J563" t="s">
        <v>293</v>
      </c>
      <c r="K563" t="s">
        <v>29</v>
      </c>
    </row>
    <row r="564" spans="1:11" x14ac:dyDescent="0.25">
      <c r="A564" t="s">
        <v>290</v>
      </c>
      <c r="B564" t="s">
        <v>666</v>
      </c>
      <c r="C564" t="s">
        <v>634</v>
      </c>
      <c r="D564" t="s">
        <v>635</v>
      </c>
      <c r="E564" t="s">
        <v>83</v>
      </c>
      <c r="F564" t="s">
        <v>91</v>
      </c>
      <c r="G564" t="s">
        <v>311</v>
      </c>
      <c r="H564" t="s">
        <v>636</v>
      </c>
      <c r="I564" t="s">
        <v>114</v>
      </c>
      <c r="J564" t="s">
        <v>293</v>
      </c>
      <c r="K564" t="s">
        <v>29</v>
      </c>
    </row>
    <row r="565" spans="1:11" x14ac:dyDescent="0.25">
      <c r="A565" t="s">
        <v>290</v>
      </c>
      <c r="B565" t="s">
        <v>666</v>
      </c>
      <c r="C565" t="s">
        <v>634</v>
      </c>
      <c r="D565" t="s">
        <v>638</v>
      </c>
      <c r="E565" t="s">
        <v>71</v>
      </c>
      <c r="F565" t="s">
        <v>86</v>
      </c>
      <c r="G565" t="s">
        <v>311</v>
      </c>
      <c r="H565" t="s">
        <v>636</v>
      </c>
      <c r="I565" t="s">
        <v>114</v>
      </c>
      <c r="J565" t="s">
        <v>293</v>
      </c>
      <c r="K565" t="s">
        <v>29</v>
      </c>
    </row>
    <row r="566" spans="1:11" x14ac:dyDescent="0.25">
      <c r="A566" t="s">
        <v>290</v>
      </c>
      <c r="B566" t="s">
        <v>666</v>
      </c>
      <c r="C566" t="s">
        <v>634</v>
      </c>
      <c r="D566" t="s">
        <v>638</v>
      </c>
      <c r="E566" t="s">
        <v>71</v>
      </c>
      <c r="F566" t="s">
        <v>72</v>
      </c>
      <c r="G566" t="s">
        <v>311</v>
      </c>
      <c r="H566" t="s">
        <v>636</v>
      </c>
      <c r="I566" t="s">
        <v>114</v>
      </c>
      <c r="J566" t="s">
        <v>293</v>
      </c>
      <c r="K566" t="s">
        <v>29</v>
      </c>
    </row>
    <row r="567" spans="1:11" x14ac:dyDescent="0.25">
      <c r="A567" t="s">
        <v>290</v>
      </c>
      <c r="B567" t="s">
        <v>666</v>
      </c>
      <c r="C567" t="s">
        <v>634</v>
      </c>
      <c r="D567" t="s">
        <v>638</v>
      </c>
      <c r="E567" t="s">
        <v>71</v>
      </c>
      <c r="F567" t="s">
        <v>88</v>
      </c>
      <c r="G567" t="s">
        <v>311</v>
      </c>
      <c r="H567" t="s">
        <v>636</v>
      </c>
      <c r="I567" t="s">
        <v>114</v>
      </c>
      <c r="J567" t="s">
        <v>293</v>
      </c>
      <c r="K567" t="s">
        <v>29</v>
      </c>
    </row>
    <row r="568" spans="1:11" x14ac:dyDescent="0.25">
      <c r="A568" t="s">
        <v>290</v>
      </c>
      <c r="B568" t="s">
        <v>666</v>
      </c>
      <c r="C568" t="s">
        <v>634</v>
      </c>
      <c r="D568" t="s">
        <v>638</v>
      </c>
      <c r="E568" t="s">
        <v>71</v>
      </c>
      <c r="F568" t="s">
        <v>99</v>
      </c>
      <c r="G568" t="s">
        <v>311</v>
      </c>
      <c r="H568" t="s">
        <v>636</v>
      </c>
      <c r="I568" t="s">
        <v>114</v>
      </c>
      <c r="J568" t="s">
        <v>293</v>
      </c>
      <c r="K568" t="s">
        <v>29</v>
      </c>
    </row>
    <row r="569" spans="1:11" x14ac:dyDescent="0.25">
      <c r="A569" t="s">
        <v>290</v>
      </c>
      <c r="B569" t="s">
        <v>666</v>
      </c>
      <c r="C569" t="s">
        <v>634</v>
      </c>
      <c r="D569" t="s">
        <v>638</v>
      </c>
      <c r="E569" t="s">
        <v>71</v>
      </c>
      <c r="F569" t="s">
        <v>86</v>
      </c>
      <c r="G569" t="s">
        <v>311</v>
      </c>
      <c r="H569" t="s">
        <v>636</v>
      </c>
      <c r="I569" t="s">
        <v>114</v>
      </c>
      <c r="J569" t="s">
        <v>293</v>
      </c>
      <c r="K569" t="s">
        <v>29</v>
      </c>
    </row>
    <row r="570" spans="1:11" x14ac:dyDescent="0.25">
      <c r="A570" t="s">
        <v>290</v>
      </c>
      <c r="B570" t="s">
        <v>666</v>
      </c>
      <c r="C570" t="s">
        <v>634</v>
      </c>
      <c r="D570" t="s">
        <v>638</v>
      </c>
      <c r="E570" t="s">
        <v>71</v>
      </c>
      <c r="F570" t="s">
        <v>72</v>
      </c>
      <c r="G570" t="s">
        <v>311</v>
      </c>
      <c r="H570" t="s">
        <v>636</v>
      </c>
      <c r="I570" t="s">
        <v>114</v>
      </c>
      <c r="J570" t="s">
        <v>293</v>
      </c>
      <c r="K570" t="s">
        <v>29</v>
      </c>
    </row>
    <row r="571" spans="1:11" x14ac:dyDescent="0.25">
      <c r="A571" t="s">
        <v>290</v>
      </c>
      <c r="B571" t="s">
        <v>666</v>
      </c>
      <c r="C571" t="s">
        <v>634</v>
      </c>
      <c r="D571" t="s">
        <v>638</v>
      </c>
      <c r="E571" t="s">
        <v>71</v>
      </c>
      <c r="F571" t="s">
        <v>88</v>
      </c>
      <c r="G571" t="s">
        <v>311</v>
      </c>
      <c r="H571" t="s">
        <v>636</v>
      </c>
      <c r="I571" t="s">
        <v>114</v>
      </c>
      <c r="J571" t="s">
        <v>293</v>
      </c>
      <c r="K571" t="s">
        <v>29</v>
      </c>
    </row>
    <row r="572" spans="1:11" x14ac:dyDescent="0.25">
      <c r="A572" t="s">
        <v>290</v>
      </c>
      <c r="B572" t="s">
        <v>666</v>
      </c>
      <c r="C572" t="s">
        <v>634</v>
      </c>
      <c r="D572" t="s">
        <v>638</v>
      </c>
      <c r="E572" t="s">
        <v>71</v>
      </c>
      <c r="F572" t="s">
        <v>98</v>
      </c>
      <c r="G572" t="s">
        <v>311</v>
      </c>
      <c r="H572" t="s">
        <v>636</v>
      </c>
      <c r="I572" t="s">
        <v>114</v>
      </c>
      <c r="J572" t="s">
        <v>293</v>
      </c>
      <c r="K572" t="s">
        <v>29</v>
      </c>
    </row>
    <row r="573" spans="1:11" x14ac:dyDescent="0.25">
      <c r="A573" t="s">
        <v>290</v>
      </c>
      <c r="B573" t="s">
        <v>666</v>
      </c>
      <c r="C573" t="s">
        <v>634</v>
      </c>
      <c r="D573" t="s">
        <v>638</v>
      </c>
      <c r="E573" t="s">
        <v>71</v>
      </c>
      <c r="F573" t="s">
        <v>99</v>
      </c>
      <c r="G573" t="s">
        <v>311</v>
      </c>
      <c r="H573" t="s">
        <v>636</v>
      </c>
      <c r="I573" t="s">
        <v>114</v>
      </c>
      <c r="J573" t="s">
        <v>293</v>
      </c>
      <c r="K573" t="s">
        <v>29</v>
      </c>
    </row>
    <row r="574" spans="1:11" x14ac:dyDescent="0.25">
      <c r="A574" t="s">
        <v>290</v>
      </c>
      <c r="B574" t="s">
        <v>666</v>
      </c>
      <c r="C574" t="s">
        <v>634</v>
      </c>
      <c r="D574" t="s">
        <v>638</v>
      </c>
      <c r="E574" t="s">
        <v>46</v>
      </c>
      <c r="F574" t="s">
        <v>47</v>
      </c>
      <c r="G574" t="s">
        <v>311</v>
      </c>
      <c r="H574" t="s">
        <v>636</v>
      </c>
      <c r="I574" t="s">
        <v>114</v>
      </c>
      <c r="J574" t="s">
        <v>293</v>
      </c>
      <c r="K574" t="s">
        <v>29</v>
      </c>
    </row>
    <row r="575" spans="1:11" x14ac:dyDescent="0.25">
      <c r="A575" t="s">
        <v>290</v>
      </c>
      <c r="B575" t="s">
        <v>666</v>
      </c>
      <c r="C575" t="s">
        <v>634</v>
      </c>
      <c r="D575" t="s">
        <v>638</v>
      </c>
      <c r="E575" t="s">
        <v>46</v>
      </c>
      <c r="F575" t="s">
        <v>123</v>
      </c>
      <c r="G575" t="s">
        <v>311</v>
      </c>
      <c r="H575" t="s">
        <v>636</v>
      </c>
      <c r="I575" t="s">
        <v>114</v>
      </c>
      <c r="J575" t="s">
        <v>293</v>
      </c>
      <c r="K575" t="s">
        <v>29</v>
      </c>
    </row>
    <row r="576" spans="1:11" x14ac:dyDescent="0.25">
      <c r="A576" t="s">
        <v>290</v>
      </c>
      <c r="B576" t="s">
        <v>666</v>
      </c>
      <c r="C576" t="s">
        <v>634</v>
      </c>
      <c r="D576" t="s">
        <v>638</v>
      </c>
      <c r="E576" t="s">
        <v>46</v>
      </c>
      <c r="F576" t="s">
        <v>55</v>
      </c>
      <c r="G576" t="s">
        <v>311</v>
      </c>
      <c r="H576" t="s">
        <v>636</v>
      </c>
      <c r="I576" t="s">
        <v>114</v>
      </c>
      <c r="J576" t="s">
        <v>293</v>
      </c>
      <c r="K576" t="s">
        <v>29</v>
      </c>
    </row>
    <row r="577" spans="1:11" x14ac:dyDescent="0.25">
      <c r="A577" t="s">
        <v>290</v>
      </c>
      <c r="B577" t="s">
        <v>666</v>
      </c>
      <c r="C577" t="s">
        <v>634</v>
      </c>
      <c r="D577" t="s">
        <v>638</v>
      </c>
      <c r="E577" t="s">
        <v>110</v>
      </c>
      <c r="F577" t="s">
        <v>137</v>
      </c>
      <c r="G577" t="s">
        <v>311</v>
      </c>
      <c r="H577" t="s">
        <v>636</v>
      </c>
      <c r="I577" t="s">
        <v>114</v>
      </c>
      <c r="J577" t="s">
        <v>293</v>
      </c>
      <c r="K577" t="s">
        <v>29</v>
      </c>
    </row>
    <row r="578" spans="1:11" x14ac:dyDescent="0.25">
      <c r="A578" t="s">
        <v>290</v>
      </c>
      <c r="B578" t="s">
        <v>666</v>
      </c>
      <c r="C578" t="s">
        <v>634</v>
      </c>
      <c r="D578" t="s">
        <v>638</v>
      </c>
      <c r="E578" t="s">
        <v>110</v>
      </c>
      <c r="F578" t="s">
        <v>140</v>
      </c>
      <c r="G578" t="s">
        <v>311</v>
      </c>
      <c r="H578" t="s">
        <v>636</v>
      </c>
      <c r="I578" t="s">
        <v>114</v>
      </c>
      <c r="J578" t="s">
        <v>293</v>
      </c>
      <c r="K578" t="s">
        <v>29</v>
      </c>
    </row>
    <row r="579" spans="1:11" x14ac:dyDescent="0.25">
      <c r="A579" t="s">
        <v>290</v>
      </c>
      <c r="B579" t="s">
        <v>666</v>
      </c>
      <c r="C579" t="s">
        <v>634</v>
      </c>
      <c r="D579" t="s">
        <v>638</v>
      </c>
      <c r="E579" t="s">
        <v>110</v>
      </c>
      <c r="F579" t="s">
        <v>142</v>
      </c>
      <c r="G579" t="s">
        <v>311</v>
      </c>
      <c r="H579" t="s">
        <v>636</v>
      </c>
      <c r="I579" t="s">
        <v>114</v>
      </c>
      <c r="J579" t="s">
        <v>293</v>
      </c>
      <c r="K579" t="s">
        <v>29</v>
      </c>
    </row>
    <row r="580" spans="1:11" x14ac:dyDescent="0.25">
      <c r="A580" t="s">
        <v>290</v>
      </c>
      <c r="B580" t="s">
        <v>666</v>
      </c>
      <c r="C580" t="s">
        <v>634</v>
      </c>
      <c r="D580" t="s">
        <v>638</v>
      </c>
      <c r="E580" t="s">
        <v>110</v>
      </c>
      <c r="F580" t="s">
        <v>146</v>
      </c>
      <c r="G580" t="s">
        <v>311</v>
      </c>
      <c r="H580" t="s">
        <v>636</v>
      </c>
      <c r="I580" t="s">
        <v>114</v>
      </c>
      <c r="J580" t="s">
        <v>293</v>
      </c>
      <c r="K580" t="s">
        <v>29</v>
      </c>
    </row>
    <row r="581" spans="1:11" x14ac:dyDescent="0.25">
      <c r="A581" t="s">
        <v>290</v>
      </c>
      <c r="B581" t="s">
        <v>666</v>
      </c>
      <c r="C581" t="s">
        <v>634</v>
      </c>
      <c r="D581" t="s">
        <v>638</v>
      </c>
      <c r="E581" t="s">
        <v>110</v>
      </c>
      <c r="F581" t="s">
        <v>148</v>
      </c>
      <c r="G581" t="s">
        <v>311</v>
      </c>
      <c r="H581" t="s">
        <v>636</v>
      </c>
      <c r="I581" t="s">
        <v>114</v>
      </c>
      <c r="J581" t="s">
        <v>293</v>
      </c>
      <c r="K581" t="s">
        <v>29</v>
      </c>
    </row>
    <row r="582" spans="1:11" x14ac:dyDescent="0.25">
      <c r="A582" t="s">
        <v>290</v>
      </c>
      <c r="B582" t="s">
        <v>666</v>
      </c>
      <c r="C582" t="s">
        <v>634</v>
      </c>
      <c r="D582" t="s">
        <v>638</v>
      </c>
      <c r="E582" t="s">
        <v>110</v>
      </c>
      <c r="F582" t="s">
        <v>149</v>
      </c>
      <c r="G582" t="s">
        <v>311</v>
      </c>
      <c r="H582" t="s">
        <v>636</v>
      </c>
      <c r="I582" t="s">
        <v>114</v>
      </c>
      <c r="J582" t="s">
        <v>293</v>
      </c>
      <c r="K582" t="s">
        <v>29</v>
      </c>
    </row>
    <row r="583" spans="1:11" x14ac:dyDescent="0.25">
      <c r="A583" t="s">
        <v>290</v>
      </c>
      <c r="B583" t="s">
        <v>666</v>
      </c>
      <c r="C583" t="s">
        <v>634</v>
      </c>
      <c r="D583" t="s">
        <v>638</v>
      </c>
      <c r="E583" t="s">
        <v>110</v>
      </c>
      <c r="F583" t="s">
        <v>151</v>
      </c>
      <c r="G583" t="s">
        <v>311</v>
      </c>
      <c r="H583" t="s">
        <v>636</v>
      </c>
      <c r="I583" t="s">
        <v>114</v>
      </c>
      <c r="J583" t="s">
        <v>293</v>
      </c>
      <c r="K583" t="s">
        <v>29</v>
      </c>
    </row>
    <row r="584" spans="1:11" x14ac:dyDescent="0.25">
      <c r="A584" t="s">
        <v>290</v>
      </c>
      <c r="B584" t="s">
        <v>666</v>
      </c>
      <c r="C584" t="s">
        <v>634</v>
      </c>
      <c r="D584" t="s">
        <v>638</v>
      </c>
      <c r="E584" t="s">
        <v>59</v>
      </c>
      <c r="F584" t="s">
        <v>158</v>
      </c>
      <c r="G584" t="s">
        <v>311</v>
      </c>
      <c r="H584" t="s">
        <v>636</v>
      </c>
      <c r="I584" t="s">
        <v>114</v>
      </c>
      <c r="J584" t="s">
        <v>293</v>
      </c>
      <c r="K584" t="s">
        <v>29</v>
      </c>
    </row>
    <row r="585" spans="1:11" x14ac:dyDescent="0.25">
      <c r="A585" t="s">
        <v>290</v>
      </c>
      <c r="B585" t="s">
        <v>666</v>
      </c>
      <c r="C585" t="s">
        <v>634</v>
      </c>
      <c r="D585" t="s">
        <v>638</v>
      </c>
      <c r="E585" t="s">
        <v>59</v>
      </c>
      <c r="F585" t="s">
        <v>60</v>
      </c>
      <c r="G585" t="s">
        <v>311</v>
      </c>
      <c r="H585" t="s">
        <v>636</v>
      </c>
      <c r="I585" t="s">
        <v>114</v>
      </c>
      <c r="J585" t="s">
        <v>293</v>
      </c>
      <c r="K585" t="s">
        <v>29</v>
      </c>
    </row>
    <row r="586" spans="1:11" x14ac:dyDescent="0.25">
      <c r="A586" t="s">
        <v>290</v>
      </c>
      <c r="B586" t="s">
        <v>666</v>
      </c>
      <c r="C586" t="s">
        <v>634</v>
      </c>
      <c r="D586" t="s">
        <v>638</v>
      </c>
      <c r="E586" t="s">
        <v>160</v>
      </c>
      <c r="F586" t="s">
        <v>161</v>
      </c>
      <c r="G586" t="s">
        <v>311</v>
      </c>
      <c r="H586" t="s">
        <v>636</v>
      </c>
      <c r="I586" t="s">
        <v>114</v>
      </c>
      <c r="J586" t="s">
        <v>293</v>
      </c>
      <c r="K586" t="s">
        <v>29</v>
      </c>
    </row>
    <row r="587" spans="1:11" x14ac:dyDescent="0.25">
      <c r="A587" t="s">
        <v>290</v>
      </c>
      <c r="B587" t="s">
        <v>666</v>
      </c>
      <c r="C587" t="s">
        <v>634</v>
      </c>
      <c r="D587" t="s">
        <v>638</v>
      </c>
      <c r="E587" t="s">
        <v>160</v>
      </c>
      <c r="F587" t="s">
        <v>165</v>
      </c>
      <c r="G587" t="s">
        <v>311</v>
      </c>
      <c r="H587" t="s">
        <v>636</v>
      </c>
      <c r="I587" t="s">
        <v>114</v>
      </c>
      <c r="J587" t="s">
        <v>293</v>
      </c>
      <c r="K587" t="s">
        <v>29</v>
      </c>
    </row>
    <row r="588" spans="1:11" x14ac:dyDescent="0.25">
      <c r="A588" t="s">
        <v>290</v>
      </c>
      <c r="B588" t="s">
        <v>666</v>
      </c>
      <c r="C588" t="s">
        <v>634</v>
      </c>
      <c r="D588" t="s">
        <v>638</v>
      </c>
      <c r="E588" t="s">
        <v>160</v>
      </c>
      <c r="F588" t="s">
        <v>166</v>
      </c>
      <c r="G588" t="s">
        <v>311</v>
      </c>
      <c r="H588" t="s">
        <v>636</v>
      </c>
      <c r="I588" t="s">
        <v>114</v>
      </c>
      <c r="J588" t="s">
        <v>293</v>
      </c>
      <c r="K588" t="s">
        <v>29</v>
      </c>
    </row>
    <row r="589" spans="1:11" x14ac:dyDescent="0.25">
      <c r="A589" t="s">
        <v>290</v>
      </c>
      <c r="B589" t="s">
        <v>666</v>
      </c>
      <c r="C589" t="s">
        <v>634</v>
      </c>
      <c r="D589" t="s">
        <v>638</v>
      </c>
      <c r="E589" t="s">
        <v>160</v>
      </c>
      <c r="F589" t="s">
        <v>168</v>
      </c>
      <c r="G589" t="s">
        <v>311</v>
      </c>
      <c r="H589" t="s">
        <v>636</v>
      </c>
      <c r="I589" t="s">
        <v>114</v>
      </c>
      <c r="J589" t="s">
        <v>293</v>
      </c>
      <c r="K589" t="s">
        <v>29</v>
      </c>
    </row>
    <row r="590" spans="1:11" x14ac:dyDescent="0.25">
      <c r="A590" t="s">
        <v>290</v>
      </c>
      <c r="B590" t="s">
        <v>666</v>
      </c>
      <c r="C590" t="s">
        <v>634</v>
      </c>
      <c r="D590" t="s">
        <v>638</v>
      </c>
      <c r="E590" t="s">
        <v>160</v>
      </c>
      <c r="F590" t="s">
        <v>173</v>
      </c>
      <c r="G590" t="s">
        <v>311</v>
      </c>
      <c r="H590" t="s">
        <v>636</v>
      </c>
      <c r="I590" t="s">
        <v>114</v>
      </c>
      <c r="J590" t="s">
        <v>293</v>
      </c>
      <c r="K590" t="s">
        <v>29</v>
      </c>
    </row>
    <row r="591" spans="1:11" x14ac:dyDescent="0.25">
      <c r="A591" t="s">
        <v>290</v>
      </c>
      <c r="B591" t="s">
        <v>666</v>
      </c>
      <c r="C591" t="s">
        <v>634</v>
      </c>
      <c r="D591" t="s">
        <v>638</v>
      </c>
      <c r="E591" t="s">
        <v>93</v>
      </c>
      <c r="F591" t="s">
        <v>128</v>
      </c>
      <c r="G591" t="s">
        <v>311</v>
      </c>
      <c r="H591" t="s">
        <v>636</v>
      </c>
      <c r="I591" t="s">
        <v>114</v>
      </c>
      <c r="J591" t="s">
        <v>293</v>
      </c>
      <c r="K591" t="s">
        <v>29</v>
      </c>
    </row>
    <row r="592" spans="1:11" x14ac:dyDescent="0.25">
      <c r="A592" t="s">
        <v>290</v>
      </c>
      <c r="B592" t="s">
        <v>666</v>
      </c>
      <c r="C592" t="s">
        <v>634</v>
      </c>
      <c r="D592" t="s">
        <v>638</v>
      </c>
      <c r="E592" t="s">
        <v>93</v>
      </c>
      <c r="F592" t="s">
        <v>130</v>
      </c>
      <c r="G592" t="s">
        <v>311</v>
      </c>
      <c r="H592" t="s">
        <v>636</v>
      </c>
      <c r="I592" t="s">
        <v>114</v>
      </c>
      <c r="J592" t="s">
        <v>293</v>
      </c>
      <c r="K592" t="s">
        <v>29</v>
      </c>
    </row>
    <row r="593" spans="1:11" x14ac:dyDescent="0.25">
      <c r="A593" t="s">
        <v>290</v>
      </c>
      <c r="B593" t="s">
        <v>666</v>
      </c>
      <c r="C593" t="s">
        <v>634</v>
      </c>
      <c r="D593" t="s">
        <v>638</v>
      </c>
      <c r="E593" t="s">
        <v>93</v>
      </c>
      <c r="F593" t="s">
        <v>94</v>
      </c>
      <c r="G593" t="s">
        <v>311</v>
      </c>
      <c r="H593" t="s">
        <v>636</v>
      </c>
      <c r="I593" t="s">
        <v>114</v>
      </c>
      <c r="J593" t="s">
        <v>293</v>
      </c>
      <c r="K593" t="s">
        <v>29</v>
      </c>
    </row>
    <row r="594" spans="1:11" x14ac:dyDescent="0.25">
      <c r="A594" t="s">
        <v>290</v>
      </c>
      <c r="B594" t="s">
        <v>666</v>
      </c>
      <c r="C594" t="s">
        <v>637</v>
      </c>
      <c r="D594" t="s">
        <v>635</v>
      </c>
      <c r="E594" t="s">
        <v>83</v>
      </c>
      <c r="F594" t="s">
        <v>101</v>
      </c>
      <c r="G594" t="s">
        <v>311</v>
      </c>
      <c r="H594" t="s">
        <v>636</v>
      </c>
      <c r="I594" t="s">
        <v>114</v>
      </c>
      <c r="J594" t="s">
        <v>293</v>
      </c>
      <c r="K594" t="s">
        <v>29</v>
      </c>
    </row>
    <row r="595" spans="1:11" x14ac:dyDescent="0.25">
      <c r="A595" t="s">
        <v>290</v>
      </c>
      <c r="B595" t="s">
        <v>666</v>
      </c>
      <c r="C595" t="s">
        <v>637</v>
      </c>
      <c r="D595" t="s">
        <v>635</v>
      </c>
      <c r="E595" t="s">
        <v>83</v>
      </c>
      <c r="F595" t="s">
        <v>103</v>
      </c>
      <c r="G595" t="s">
        <v>311</v>
      </c>
      <c r="H595" t="s">
        <v>636</v>
      </c>
      <c r="I595" t="s">
        <v>114</v>
      </c>
      <c r="J595" t="s">
        <v>293</v>
      </c>
      <c r="K595" t="s">
        <v>29</v>
      </c>
    </row>
    <row r="596" spans="1:11" x14ac:dyDescent="0.25">
      <c r="A596" t="s">
        <v>290</v>
      </c>
      <c r="B596" t="s">
        <v>666</v>
      </c>
      <c r="C596" t="s">
        <v>637</v>
      </c>
      <c r="D596" t="s">
        <v>635</v>
      </c>
      <c r="E596" t="s">
        <v>83</v>
      </c>
      <c r="F596" t="s">
        <v>104</v>
      </c>
      <c r="G596" t="s">
        <v>311</v>
      </c>
      <c r="H596" t="s">
        <v>636</v>
      </c>
      <c r="I596" t="s">
        <v>114</v>
      </c>
      <c r="J596" t="s">
        <v>293</v>
      </c>
      <c r="K596" t="s">
        <v>29</v>
      </c>
    </row>
    <row r="597" spans="1:11" x14ac:dyDescent="0.25">
      <c r="A597" t="s">
        <v>290</v>
      </c>
      <c r="B597" t="s">
        <v>666</v>
      </c>
      <c r="C597" t="s">
        <v>637</v>
      </c>
      <c r="D597" t="s">
        <v>635</v>
      </c>
      <c r="E597" t="s">
        <v>83</v>
      </c>
      <c r="F597" t="s">
        <v>91</v>
      </c>
      <c r="G597" t="s">
        <v>311</v>
      </c>
      <c r="H597" t="s">
        <v>636</v>
      </c>
      <c r="I597" t="s">
        <v>114</v>
      </c>
      <c r="J597" t="s">
        <v>293</v>
      </c>
      <c r="K597" t="s">
        <v>29</v>
      </c>
    </row>
    <row r="598" spans="1:11" x14ac:dyDescent="0.25">
      <c r="A598" t="s">
        <v>290</v>
      </c>
      <c r="B598" t="s">
        <v>666</v>
      </c>
      <c r="C598" t="s">
        <v>637</v>
      </c>
      <c r="D598" t="s">
        <v>640</v>
      </c>
      <c r="E598" t="s">
        <v>93</v>
      </c>
      <c r="F598" t="s">
        <v>128</v>
      </c>
      <c r="G598" t="s">
        <v>311</v>
      </c>
      <c r="H598" t="s">
        <v>636</v>
      </c>
      <c r="I598" t="s">
        <v>114</v>
      </c>
      <c r="J598" t="s">
        <v>293</v>
      </c>
      <c r="K598" t="s">
        <v>29</v>
      </c>
    </row>
    <row r="599" spans="1:11" x14ac:dyDescent="0.25">
      <c r="A599" t="s">
        <v>290</v>
      </c>
      <c r="B599" t="s">
        <v>666</v>
      </c>
      <c r="C599" t="s">
        <v>637</v>
      </c>
      <c r="D599" t="s">
        <v>640</v>
      </c>
      <c r="E599" t="s">
        <v>93</v>
      </c>
      <c r="F599" t="s">
        <v>94</v>
      </c>
      <c r="G599" t="s">
        <v>311</v>
      </c>
      <c r="H599" t="s">
        <v>636</v>
      </c>
      <c r="I599" t="s">
        <v>114</v>
      </c>
      <c r="J599" t="s">
        <v>293</v>
      </c>
      <c r="K599" t="s">
        <v>29</v>
      </c>
    </row>
    <row r="600" spans="1:11" x14ac:dyDescent="0.25">
      <c r="A600" t="s">
        <v>290</v>
      </c>
      <c r="B600" t="s">
        <v>666</v>
      </c>
      <c r="C600" t="s">
        <v>637</v>
      </c>
      <c r="D600" t="s">
        <v>640</v>
      </c>
      <c r="E600" t="s">
        <v>59</v>
      </c>
      <c r="F600" t="s">
        <v>154</v>
      </c>
      <c r="G600" t="s">
        <v>311</v>
      </c>
      <c r="H600" t="s">
        <v>636</v>
      </c>
      <c r="I600" t="s">
        <v>114</v>
      </c>
      <c r="J600" t="s">
        <v>293</v>
      </c>
      <c r="K600" t="s">
        <v>29</v>
      </c>
    </row>
    <row r="601" spans="1:11" x14ac:dyDescent="0.25">
      <c r="A601" t="s">
        <v>290</v>
      </c>
      <c r="B601" t="s">
        <v>666</v>
      </c>
      <c r="C601" t="s">
        <v>637</v>
      </c>
      <c r="D601" t="s">
        <v>640</v>
      </c>
      <c r="E601" t="s">
        <v>59</v>
      </c>
      <c r="F601" t="s">
        <v>156</v>
      </c>
      <c r="G601" t="s">
        <v>311</v>
      </c>
      <c r="H601" t="s">
        <v>636</v>
      </c>
      <c r="I601" t="s">
        <v>114</v>
      </c>
      <c r="J601" t="s">
        <v>293</v>
      </c>
      <c r="K601" t="s">
        <v>29</v>
      </c>
    </row>
    <row r="602" spans="1:11" x14ac:dyDescent="0.25">
      <c r="A602" t="s">
        <v>290</v>
      </c>
      <c r="B602" t="s">
        <v>666</v>
      </c>
      <c r="C602" t="s">
        <v>637</v>
      </c>
      <c r="D602" t="s">
        <v>640</v>
      </c>
      <c r="E602" t="s">
        <v>59</v>
      </c>
      <c r="F602" t="s">
        <v>96</v>
      </c>
      <c r="G602" t="s">
        <v>311</v>
      </c>
      <c r="H602" t="s">
        <v>636</v>
      </c>
      <c r="I602" t="s">
        <v>114</v>
      </c>
      <c r="J602" t="s">
        <v>293</v>
      </c>
      <c r="K602" t="s">
        <v>29</v>
      </c>
    </row>
    <row r="603" spans="1:11" x14ac:dyDescent="0.25">
      <c r="A603" t="s">
        <v>290</v>
      </c>
      <c r="B603" t="s">
        <v>666</v>
      </c>
      <c r="C603" t="s">
        <v>634</v>
      </c>
      <c r="D603" t="s">
        <v>635</v>
      </c>
      <c r="E603" t="s">
        <v>83</v>
      </c>
      <c r="F603" t="s">
        <v>101</v>
      </c>
      <c r="G603" t="s">
        <v>311</v>
      </c>
      <c r="H603" t="s">
        <v>636</v>
      </c>
      <c r="I603" t="s">
        <v>133</v>
      </c>
      <c r="J603" t="s">
        <v>312</v>
      </c>
      <c r="K603" t="s">
        <v>29</v>
      </c>
    </row>
    <row r="604" spans="1:11" x14ac:dyDescent="0.25">
      <c r="A604" t="s">
        <v>290</v>
      </c>
      <c r="B604" t="s">
        <v>666</v>
      </c>
      <c r="C604" t="s">
        <v>634</v>
      </c>
      <c r="D604" t="s">
        <v>635</v>
      </c>
      <c r="E604" t="s">
        <v>83</v>
      </c>
      <c r="F604" t="s">
        <v>91</v>
      </c>
      <c r="G604" t="s">
        <v>311</v>
      </c>
      <c r="H604" t="s">
        <v>636</v>
      </c>
      <c r="I604" t="s">
        <v>133</v>
      </c>
      <c r="J604" t="s">
        <v>312</v>
      </c>
      <c r="K604" t="s">
        <v>29</v>
      </c>
    </row>
    <row r="605" spans="1:11" x14ac:dyDescent="0.25">
      <c r="A605" t="s">
        <v>290</v>
      </c>
      <c r="B605" t="s">
        <v>666</v>
      </c>
      <c r="C605" t="s">
        <v>634</v>
      </c>
      <c r="D605" t="s">
        <v>638</v>
      </c>
      <c r="E605" t="s">
        <v>71</v>
      </c>
      <c r="F605" t="s">
        <v>86</v>
      </c>
      <c r="G605" t="s">
        <v>311</v>
      </c>
      <c r="H605" t="s">
        <v>636</v>
      </c>
      <c r="I605" t="s">
        <v>133</v>
      </c>
      <c r="J605" t="s">
        <v>312</v>
      </c>
      <c r="K605" t="s">
        <v>29</v>
      </c>
    </row>
    <row r="606" spans="1:11" x14ac:dyDescent="0.25">
      <c r="A606" t="s">
        <v>290</v>
      </c>
      <c r="B606" t="s">
        <v>666</v>
      </c>
      <c r="C606" t="s">
        <v>634</v>
      </c>
      <c r="D606" t="s">
        <v>638</v>
      </c>
      <c r="E606" t="s">
        <v>71</v>
      </c>
      <c r="F606" t="s">
        <v>72</v>
      </c>
      <c r="G606" t="s">
        <v>311</v>
      </c>
      <c r="H606" t="s">
        <v>636</v>
      </c>
      <c r="I606" t="s">
        <v>133</v>
      </c>
      <c r="J606" t="s">
        <v>312</v>
      </c>
      <c r="K606" t="s">
        <v>29</v>
      </c>
    </row>
    <row r="607" spans="1:11" x14ac:dyDescent="0.25">
      <c r="A607" t="s">
        <v>290</v>
      </c>
      <c r="B607" t="s">
        <v>666</v>
      </c>
      <c r="C607" t="s">
        <v>634</v>
      </c>
      <c r="D607" t="s">
        <v>638</v>
      </c>
      <c r="E607" t="s">
        <v>71</v>
      </c>
      <c r="F607" t="s">
        <v>88</v>
      </c>
      <c r="G607" t="s">
        <v>311</v>
      </c>
      <c r="H607" t="s">
        <v>636</v>
      </c>
      <c r="I607" t="s">
        <v>133</v>
      </c>
      <c r="J607" t="s">
        <v>312</v>
      </c>
      <c r="K607" t="s">
        <v>29</v>
      </c>
    </row>
    <row r="608" spans="1:11" x14ac:dyDescent="0.25">
      <c r="A608" t="s">
        <v>290</v>
      </c>
      <c r="B608" t="s">
        <v>666</v>
      </c>
      <c r="C608" t="s">
        <v>634</v>
      </c>
      <c r="D608" t="s">
        <v>638</v>
      </c>
      <c r="E608" t="s">
        <v>71</v>
      </c>
      <c r="F608" t="s">
        <v>99</v>
      </c>
      <c r="G608" t="s">
        <v>311</v>
      </c>
      <c r="H608" t="s">
        <v>636</v>
      </c>
      <c r="I608" t="s">
        <v>133</v>
      </c>
      <c r="J608" t="s">
        <v>312</v>
      </c>
      <c r="K608" t="s">
        <v>29</v>
      </c>
    </row>
    <row r="609" spans="1:11" x14ac:dyDescent="0.25">
      <c r="A609" t="s">
        <v>290</v>
      </c>
      <c r="B609" t="s">
        <v>666</v>
      </c>
      <c r="C609" t="s">
        <v>634</v>
      </c>
      <c r="D609" t="s">
        <v>638</v>
      </c>
      <c r="E609" t="s">
        <v>71</v>
      </c>
      <c r="F609" t="s">
        <v>86</v>
      </c>
      <c r="G609" t="s">
        <v>311</v>
      </c>
      <c r="H609" t="s">
        <v>636</v>
      </c>
      <c r="I609" t="s">
        <v>133</v>
      </c>
      <c r="J609" t="s">
        <v>312</v>
      </c>
      <c r="K609" t="s">
        <v>29</v>
      </c>
    </row>
    <row r="610" spans="1:11" x14ac:dyDescent="0.25">
      <c r="A610" t="s">
        <v>290</v>
      </c>
      <c r="B610" t="s">
        <v>666</v>
      </c>
      <c r="C610" t="s">
        <v>634</v>
      </c>
      <c r="D610" t="s">
        <v>638</v>
      </c>
      <c r="E610" t="s">
        <v>71</v>
      </c>
      <c r="F610" t="s">
        <v>72</v>
      </c>
      <c r="G610" t="s">
        <v>311</v>
      </c>
      <c r="H610" t="s">
        <v>636</v>
      </c>
      <c r="I610" t="s">
        <v>133</v>
      </c>
      <c r="J610" t="s">
        <v>312</v>
      </c>
      <c r="K610" t="s">
        <v>29</v>
      </c>
    </row>
    <row r="611" spans="1:11" x14ac:dyDescent="0.25">
      <c r="A611" t="s">
        <v>290</v>
      </c>
      <c r="B611" t="s">
        <v>666</v>
      </c>
      <c r="C611" t="s">
        <v>634</v>
      </c>
      <c r="D611" t="s">
        <v>638</v>
      </c>
      <c r="E611" t="s">
        <v>71</v>
      </c>
      <c r="F611" t="s">
        <v>88</v>
      </c>
      <c r="G611" t="s">
        <v>311</v>
      </c>
      <c r="H611" t="s">
        <v>636</v>
      </c>
      <c r="I611" t="s">
        <v>133</v>
      </c>
      <c r="J611" t="s">
        <v>312</v>
      </c>
      <c r="K611" t="s">
        <v>29</v>
      </c>
    </row>
    <row r="612" spans="1:11" x14ac:dyDescent="0.25">
      <c r="A612" t="s">
        <v>290</v>
      </c>
      <c r="B612" t="s">
        <v>666</v>
      </c>
      <c r="C612" t="s">
        <v>634</v>
      </c>
      <c r="D612" t="s">
        <v>638</v>
      </c>
      <c r="E612" t="s">
        <v>71</v>
      </c>
      <c r="F612" t="s">
        <v>98</v>
      </c>
      <c r="G612" t="s">
        <v>311</v>
      </c>
      <c r="H612" t="s">
        <v>636</v>
      </c>
      <c r="I612" t="s">
        <v>133</v>
      </c>
      <c r="J612" t="s">
        <v>312</v>
      </c>
      <c r="K612" t="s">
        <v>29</v>
      </c>
    </row>
    <row r="613" spans="1:11" x14ac:dyDescent="0.25">
      <c r="A613" t="s">
        <v>290</v>
      </c>
      <c r="B613" t="s">
        <v>666</v>
      </c>
      <c r="C613" t="s">
        <v>634</v>
      </c>
      <c r="D613" t="s">
        <v>638</v>
      </c>
      <c r="E613" t="s">
        <v>71</v>
      </c>
      <c r="F613" t="s">
        <v>99</v>
      </c>
      <c r="G613" t="s">
        <v>311</v>
      </c>
      <c r="H613" t="s">
        <v>636</v>
      </c>
      <c r="I613" t="s">
        <v>133</v>
      </c>
      <c r="J613" t="s">
        <v>312</v>
      </c>
      <c r="K613" t="s">
        <v>29</v>
      </c>
    </row>
    <row r="614" spans="1:11" x14ac:dyDescent="0.25">
      <c r="A614" t="s">
        <v>290</v>
      </c>
      <c r="B614" t="s">
        <v>666</v>
      </c>
      <c r="C614" t="s">
        <v>634</v>
      </c>
      <c r="D614" t="s">
        <v>638</v>
      </c>
      <c r="E614" t="s">
        <v>46</v>
      </c>
      <c r="F614" t="s">
        <v>47</v>
      </c>
      <c r="G614" t="s">
        <v>311</v>
      </c>
      <c r="H614" t="s">
        <v>636</v>
      </c>
      <c r="I614" t="s">
        <v>133</v>
      </c>
      <c r="J614" t="s">
        <v>312</v>
      </c>
      <c r="K614" t="s">
        <v>29</v>
      </c>
    </row>
    <row r="615" spans="1:11" x14ac:dyDescent="0.25">
      <c r="A615" t="s">
        <v>290</v>
      </c>
      <c r="B615" t="s">
        <v>666</v>
      </c>
      <c r="C615" t="s">
        <v>634</v>
      </c>
      <c r="D615" t="s">
        <v>638</v>
      </c>
      <c r="E615" t="s">
        <v>46</v>
      </c>
      <c r="F615" t="s">
        <v>123</v>
      </c>
      <c r="G615" t="s">
        <v>311</v>
      </c>
      <c r="H615" t="s">
        <v>636</v>
      </c>
      <c r="I615" t="s">
        <v>133</v>
      </c>
      <c r="J615" t="s">
        <v>312</v>
      </c>
      <c r="K615" t="s">
        <v>29</v>
      </c>
    </row>
    <row r="616" spans="1:11" x14ac:dyDescent="0.25">
      <c r="A616" t="s">
        <v>290</v>
      </c>
      <c r="B616" t="s">
        <v>666</v>
      </c>
      <c r="C616" t="s">
        <v>634</v>
      </c>
      <c r="D616" t="s">
        <v>638</v>
      </c>
      <c r="E616" t="s">
        <v>46</v>
      </c>
      <c r="F616" t="s">
        <v>55</v>
      </c>
      <c r="G616" t="s">
        <v>311</v>
      </c>
      <c r="H616" t="s">
        <v>636</v>
      </c>
      <c r="I616" t="s">
        <v>133</v>
      </c>
      <c r="J616" t="s">
        <v>312</v>
      </c>
      <c r="K616" t="s">
        <v>29</v>
      </c>
    </row>
    <row r="617" spans="1:11" x14ac:dyDescent="0.25">
      <c r="A617" t="s">
        <v>290</v>
      </c>
      <c r="B617" t="s">
        <v>666</v>
      </c>
      <c r="C617" t="s">
        <v>634</v>
      </c>
      <c r="D617" t="s">
        <v>638</v>
      </c>
      <c r="E617" t="s">
        <v>110</v>
      </c>
      <c r="F617" t="s">
        <v>137</v>
      </c>
      <c r="G617" t="s">
        <v>311</v>
      </c>
      <c r="H617" t="s">
        <v>636</v>
      </c>
      <c r="I617" t="s">
        <v>133</v>
      </c>
      <c r="J617" t="s">
        <v>312</v>
      </c>
      <c r="K617" t="s">
        <v>29</v>
      </c>
    </row>
    <row r="618" spans="1:11" x14ac:dyDescent="0.25">
      <c r="A618" t="s">
        <v>290</v>
      </c>
      <c r="B618" t="s">
        <v>666</v>
      </c>
      <c r="C618" t="s">
        <v>634</v>
      </c>
      <c r="D618" t="s">
        <v>638</v>
      </c>
      <c r="E618" t="s">
        <v>110</v>
      </c>
      <c r="F618" t="s">
        <v>140</v>
      </c>
      <c r="G618" t="s">
        <v>311</v>
      </c>
      <c r="H618" t="s">
        <v>636</v>
      </c>
      <c r="I618" t="s">
        <v>133</v>
      </c>
      <c r="J618" t="s">
        <v>312</v>
      </c>
      <c r="K618" t="s">
        <v>29</v>
      </c>
    </row>
    <row r="619" spans="1:11" x14ac:dyDescent="0.25">
      <c r="A619" t="s">
        <v>290</v>
      </c>
      <c r="B619" t="s">
        <v>666</v>
      </c>
      <c r="C619" t="s">
        <v>634</v>
      </c>
      <c r="D619" t="s">
        <v>638</v>
      </c>
      <c r="E619" t="s">
        <v>110</v>
      </c>
      <c r="F619" t="s">
        <v>142</v>
      </c>
      <c r="G619" t="s">
        <v>311</v>
      </c>
      <c r="H619" t="s">
        <v>636</v>
      </c>
      <c r="I619" t="s">
        <v>133</v>
      </c>
      <c r="J619" t="s">
        <v>312</v>
      </c>
      <c r="K619" t="s">
        <v>29</v>
      </c>
    </row>
    <row r="620" spans="1:11" x14ac:dyDescent="0.25">
      <c r="A620" t="s">
        <v>290</v>
      </c>
      <c r="B620" t="s">
        <v>666</v>
      </c>
      <c r="C620" t="s">
        <v>634</v>
      </c>
      <c r="D620" t="s">
        <v>638</v>
      </c>
      <c r="E620" t="s">
        <v>110</v>
      </c>
      <c r="F620" t="s">
        <v>146</v>
      </c>
      <c r="G620" t="s">
        <v>311</v>
      </c>
      <c r="H620" t="s">
        <v>636</v>
      </c>
      <c r="I620" t="s">
        <v>133</v>
      </c>
      <c r="J620" t="s">
        <v>312</v>
      </c>
      <c r="K620" t="s">
        <v>29</v>
      </c>
    </row>
    <row r="621" spans="1:11" x14ac:dyDescent="0.25">
      <c r="A621" t="s">
        <v>290</v>
      </c>
      <c r="B621" t="s">
        <v>666</v>
      </c>
      <c r="C621" t="s">
        <v>634</v>
      </c>
      <c r="D621" t="s">
        <v>638</v>
      </c>
      <c r="E621" t="s">
        <v>110</v>
      </c>
      <c r="F621" t="s">
        <v>148</v>
      </c>
      <c r="G621" t="s">
        <v>311</v>
      </c>
      <c r="H621" t="s">
        <v>636</v>
      </c>
      <c r="I621" t="s">
        <v>133</v>
      </c>
      <c r="J621" t="s">
        <v>312</v>
      </c>
      <c r="K621" t="s">
        <v>29</v>
      </c>
    </row>
    <row r="622" spans="1:11" x14ac:dyDescent="0.25">
      <c r="A622" t="s">
        <v>290</v>
      </c>
      <c r="B622" t="s">
        <v>666</v>
      </c>
      <c r="C622" t="s">
        <v>634</v>
      </c>
      <c r="D622" t="s">
        <v>638</v>
      </c>
      <c r="E622" t="s">
        <v>110</v>
      </c>
      <c r="F622" t="s">
        <v>149</v>
      </c>
      <c r="G622" t="s">
        <v>311</v>
      </c>
      <c r="H622" t="s">
        <v>636</v>
      </c>
      <c r="I622" t="s">
        <v>133</v>
      </c>
      <c r="J622" t="s">
        <v>312</v>
      </c>
      <c r="K622" t="s">
        <v>29</v>
      </c>
    </row>
    <row r="623" spans="1:11" x14ac:dyDescent="0.25">
      <c r="A623" t="s">
        <v>290</v>
      </c>
      <c r="B623" t="s">
        <v>666</v>
      </c>
      <c r="C623" t="s">
        <v>634</v>
      </c>
      <c r="D623" t="s">
        <v>638</v>
      </c>
      <c r="E623" t="s">
        <v>110</v>
      </c>
      <c r="F623" t="s">
        <v>151</v>
      </c>
      <c r="G623" t="s">
        <v>311</v>
      </c>
      <c r="H623" t="s">
        <v>636</v>
      </c>
      <c r="I623" t="s">
        <v>133</v>
      </c>
      <c r="J623" t="s">
        <v>312</v>
      </c>
      <c r="K623" t="s">
        <v>29</v>
      </c>
    </row>
    <row r="624" spans="1:11" x14ac:dyDescent="0.25">
      <c r="A624" t="s">
        <v>290</v>
      </c>
      <c r="B624" t="s">
        <v>666</v>
      </c>
      <c r="C624" t="s">
        <v>634</v>
      </c>
      <c r="D624" t="s">
        <v>638</v>
      </c>
      <c r="E624" t="s">
        <v>59</v>
      </c>
      <c r="F624" t="s">
        <v>158</v>
      </c>
      <c r="G624" t="s">
        <v>311</v>
      </c>
      <c r="H624" t="s">
        <v>636</v>
      </c>
      <c r="I624" t="s">
        <v>133</v>
      </c>
      <c r="J624" t="s">
        <v>312</v>
      </c>
      <c r="K624" t="s">
        <v>29</v>
      </c>
    </row>
    <row r="625" spans="1:11" x14ac:dyDescent="0.25">
      <c r="A625" t="s">
        <v>290</v>
      </c>
      <c r="B625" t="s">
        <v>666</v>
      </c>
      <c r="C625" t="s">
        <v>634</v>
      </c>
      <c r="D625" t="s">
        <v>638</v>
      </c>
      <c r="E625" t="s">
        <v>59</v>
      </c>
      <c r="F625" t="s">
        <v>60</v>
      </c>
      <c r="G625" t="s">
        <v>311</v>
      </c>
      <c r="H625" t="s">
        <v>636</v>
      </c>
      <c r="I625" t="s">
        <v>133</v>
      </c>
      <c r="J625" t="s">
        <v>312</v>
      </c>
      <c r="K625" t="s">
        <v>29</v>
      </c>
    </row>
    <row r="626" spans="1:11" x14ac:dyDescent="0.25">
      <c r="A626" t="s">
        <v>290</v>
      </c>
      <c r="B626" t="s">
        <v>666</v>
      </c>
      <c r="C626" t="s">
        <v>634</v>
      </c>
      <c r="D626" t="s">
        <v>638</v>
      </c>
      <c r="E626" t="s">
        <v>160</v>
      </c>
      <c r="F626" t="s">
        <v>161</v>
      </c>
      <c r="G626" t="s">
        <v>311</v>
      </c>
      <c r="H626" t="s">
        <v>636</v>
      </c>
      <c r="I626" t="s">
        <v>133</v>
      </c>
      <c r="J626" t="s">
        <v>312</v>
      </c>
      <c r="K626" t="s">
        <v>29</v>
      </c>
    </row>
    <row r="627" spans="1:11" x14ac:dyDescent="0.25">
      <c r="A627" t="s">
        <v>290</v>
      </c>
      <c r="B627" t="s">
        <v>666</v>
      </c>
      <c r="C627" t="s">
        <v>634</v>
      </c>
      <c r="D627" t="s">
        <v>638</v>
      </c>
      <c r="E627" t="s">
        <v>160</v>
      </c>
      <c r="F627" t="s">
        <v>165</v>
      </c>
      <c r="G627" t="s">
        <v>311</v>
      </c>
      <c r="H627" t="s">
        <v>636</v>
      </c>
      <c r="I627" t="s">
        <v>133</v>
      </c>
      <c r="J627" t="s">
        <v>312</v>
      </c>
      <c r="K627" t="s">
        <v>29</v>
      </c>
    </row>
    <row r="628" spans="1:11" x14ac:dyDescent="0.25">
      <c r="A628" t="s">
        <v>290</v>
      </c>
      <c r="B628" t="s">
        <v>666</v>
      </c>
      <c r="C628" t="s">
        <v>634</v>
      </c>
      <c r="D628" t="s">
        <v>638</v>
      </c>
      <c r="E628" t="s">
        <v>160</v>
      </c>
      <c r="F628" t="s">
        <v>166</v>
      </c>
      <c r="G628" t="s">
        <v>311</v>
      </c>
      <c r="H628" t="s">
        <v>636</v>
      </c>
      <c r="I628" t="s">
        <v>133</v>
      </c>
      <c r="J628" t="s">
        <v>312</v>
      </c>
      <c r="K628" t="s">
        <v>29</v>
      </c>
    </row>
    <row r="629" spans="1:11" x14ac:dyDescent="0.25">
      <c r="A629" t="s">
        <v>290</v>
      </c>
      <c r="B629" t="s">
        <v>666</v>
      </c>
      <c r="C629" t="s">
        <v>634</v>
      </c>
      <c r="D629" t="s">
        <v>638</v>
      </c>
      <c r="E629" t="s">
        <v>160</v>
      </c>
      <c r="F629" t="s">
        <v>168</v>
      </c>
      <c r="G629" t="s">
        <v>311</v>
      </c>
      <c r="H629" t="s">
        <v>636</v>
      </c>
      <c r="I629" t="s">
        <v>133</v>
      </c>
      <c r="J629" t="s">
        <v>312</v>
      </c>
      <c r="K629" t="s">
        <v>29</v>
      </c>
    </row>
    <row r="630" spans="1:11" x14ac:dyDescent="0.25">
      <c r="A630" t="s">
        <v>290</v>
      </c>
      <c r="B630" t="s">
        <v>666</v>
      </c>
      <c r="C630" t="s">
        <v>634</v>
      </c>
      <c r="D630" t="s">
        <v>638</v>
      </c>
      <c r="E630" t="s">
        <v>160</v>
      </c>
      <c r="F630" t="s">
        <v>173</v>
      </c>
      <c r="G630" t="s">
        <v>311</v>
      </c>
      <c r="H630" t="s">
        <v>636</v>
      </c>
      <c r="I630" t="s">
        <v>133</v>
      </c>
      <c r="J630" t="s">
        <v>312</v>
      </c>
      <c r="K630" t="s">
        <v>29</v>
      </c>
    </row>
    <row r="631" spans="1:11" x14ac:dyDescent="0.25">
      <c r="A631" t="s">
        <v>290</v>
      </c>
      <c r="B631" t="s">
        <v>666</v>
      </c>
      <c r="C631" t="s">
        <v>634</v>
      </c>
      <c r="D631" t="s">
        <v>638</v>
      </c>
      <c r="E631" t="s">
        <v>93</v>
      </c>
      <c r="F631" t="s">
        <v>128</v>
      </c>
      <c r="G631" t="s">
        <v>311</v>
      </c>
      <c r="H631" t="s">
        <v>636</v>
      </c>
      <c r="I631" t="s">
        <v>133</v>
      </c>
      <c r="J631" t="s">
        <v>312</v>
      </c>
      <c r="K631" t="s">
        <v>29</v>
      </c>
    </row>
    <row r="632" spans="1:11" x14ac:dyDescent="0.25">
      <c r="A632" t="s">
        <v>290</v>
      </c>
      <c r="B632" t="s">
        <v>666</v>
      </c>
      <c r="C632" t="s">
        <v>634</v>
      </c>
      <c r="D632" t="s">
        <v>638</v>
      </c>
      <c r="E632" t="s">
        <v>93</v>
      </c>
      <c r="F632" t="s">
        <v>130</v>
      </c>
      <c r="G632" t="s">
        <v>311</v>
      </c>
      <c r="H632" t="s">
        <v>636</v>
      </c>
      <c r="I632" t="s">
        <v>133</v>
      </c>
      <c r="J632" t="s">
        <v>312</v>
      </c>
      <c r="K632" t="s">
        <v>29</v>
      </c>
    </row>
    <row r="633" spans="1:11" x14ac:dyDescent="0.25">
      <c r="A633" t="s">
        <v>290</v>
      </c>
      <c r="B633" t="s">
        <v>666</v>
      </c>
      <c r="C633" t="s">
        <v>634</v>
      </c>
      <c r="D633" t="s">
        <v>638</v>
      </c>
      <c r="E633" t="s">
        <v>93</v>
      </c>
      <c r="F633" t="s">
        <v>94</v>
      </c>
      <c r="G633" t="s">
        <v>311</v>
      </c>
      <c r="H633" t="s">
        <v>636</v>
      </c>
      <c r="I633" t="s">
        <v>133</v>
      </c>
      <c r="J633" t="s">
        <v>312</v>
      </c>
      <c r="K633" t="s">
        <v>29</v>
      </c>
    </row>
    <row r="634" spans="1:11" x14ac:dyDescent="0.25">
      <c r="A634" t="s">
        <v>290</v>
      </c>
      <c r="B634" t="s">
        <v>666</v>
      </c>
      <c r="C634" t="s">
        <v>637</v>
      </c>
      <c r="D634" t="s">
        <v>635</v>
      </c>
      <c r="E634" t="s">
        <v>83</v>
      </c>
      <c r="F634" t="s">
        <v>101</v>
      </c>
      <c r="G634" t="s">
        <v>311</v>
      </c>
      <c r="H634" t="s">
        <v>636</v>
      </c>
      <c r="I634" t="s">
        <v>133</v>
      </c>
      <c r="J634" t="s">
        <v>312</v>
      </c>
      <c r="K634" t="s">
        <v>29</v>
      </c>
    </row>
    <row r="635" spans="1:11" x14ac:dyDescent="0.25">
      <c r="A635" t="s">
        <v>290</v>
      </c>
      <c r="B635" t="s">
        <v>666</v>
      </c>
      <c r="C635" t="s">
        <v>637</v>
      </c>
      <c r="D635" t="s">
        <v>635</v>
      </c>
      <c r="E635" t="s">
        <v>83</v>
      </c>
      <c r="F635" t="s">
        <v>103</v>
      </c>
      <c r="G635" t="s">
        <v>311</v>
      </c>
      <c r="H635" t="s">
        <v>636</v>
      </c>
      <c r="I635" t="s">
        <v>133</v>
      </c>
      <c r="J635" t="s">
        <v>312</v>
      </c>
      <c r="K635" t="s">
        <v>29</v>
      </c>
    </row>
    <row r="636" spans="1:11" x14ac:dyDescent="0.25">
      <c r="A636" t="s">
        <v>290</v>
      </c>
      <c r="B636" t="s">
        <v>666</v>
      </c>
      <c r="C636" t="s">
        <v>637</v>
      </c>
      <c r="D636" t="s">
        <v>635</v>
      </c>
      <c r="E636" t="s">
        <v>83</v>
      </c>
      <c r="F636" t="s">
        <v>104</v>
      </c>
      <c r="G636" t="s">
        <v>311</v>
      </c>
      <c r="H636" t="s">
        <v>636</v>
      </c>
      <c r="I636" t="s">
        <v>133</v>
      </c>
      <c r="J636" t="s">
        <v>312</v>
      </c>
      <c r="K636" t="s">
        <v>29</v>
      </c>
    </row>
    <row r="637" spans="1:11" x14ac:dyDescent="0.25">
      <c r="A637" t="s">
        <v>290</v>
      </c>
      <c r="B637" t="s">
        <v>666</v>
      </c>
      <c r="C637" t="s">
        <v>637</v>
      </c>
      <c r="D637" t="s">
        <v>635</v>
      </c>
      <c r="E637" t="s">
        <v>83</v>
      </c>
      <c r="F637" t="s">
        <v>91</v>
      </c>
      <c r="G637" t="s">
        <v>311</v>
      </c>
      <c r="H637" t="s">
        <v>636</v>
      </c>
      <c r="I637" t="s">
        <v>133</v>
      </c>
      <c r="J637" t="s">
        <v>312</v>
      </c>
      <c r="K637" t="s">
        <v>29</v>
      </c>
    </row>
    <row r="638" spans="1:11" x14ac:dyDescent="0.25">
      <c r="A638" t="s">
        <v>290</v>
      </c>
      <c r="B638" t="s">
        <v>666</v>
      </c>
      <c r="C638" t="s">
        <v>637</v>
      </c>
      <c r="D638" t="s">
        <v>640</v>
      </c>
      <c r="E638" t="s">
        <v>93</v>
      </c>
      <c r="F638" t="s">
        <v>128</v>
      </c>
      <c r="G638" t="s">
        <v>311</v>
      </c>
      <c r="H638" t="s">
        <v>636</v>
      </c>
      <c r="I638" t="s">
        <v>133</v>
      </c>
      <c r="J638" t="s">
        <v>312</v>
      </c>
      <c r="K638" t="s">
        <v>29</v>
      </c>
    </row>
    <row r="639" spans="1:11" x14ac:dyDescent="0.25">
      <c r="A639" t="s">
        <v>290</v>
      </c>
      <c r="B639" t="s">
        <v>666</v>
      </c>
      <c r="C639" t="s">
        <v>637</v>
      </c>
      <c r="D639" t="s">
        <v>640</v>
      </c>
      <c r="E639" t="s">
        <v>93</v>
      </c>
      <c r="F639" t="s">
        <v>94</v>
      </c>
      <c r="G639" t="s">
        <v>311</v>
      </c>
      <c r="H639" t="s">
        <v>636</v>
      </c>
      <c r="I639" t="s">
        <v>133</v>
      </c>
      <c r="J639" t="s">
        <v>312</v>
      </c>
      <c r="K639" t="s">
        <v>29</v>
      </c>
    </row>
    <row r="640" spans="1:11" x14ac:dyDescent="0.25">
      <c r="A640" t="s">
        <v>290</v>
      </c>
      <c r="B640" t="s">
        <v>666</v>
      </c>
      <c r="C640" t="s">
        <v>637</v>
      </c>
      <c r="D640" t="s">
        <v>640</v>
      </c>
      <c r="E640" t="s">
        <v>59</v>
      </c>
      <c r="F640" t="s">
        <v>154</v>
      </c>
      <c r="G640" t="s">
        <v>311</v>
      </c>
      <c r="H640" t="s">
        <v>636</v>
      </c>
      <c r="I640" t="s">
        <v>133</v>
      </c>
      <c r="J640" t="s">
        <v>312</v>
      </c>
      <c r="K640" t="s">
        <v>29</v>
      </c>
    </row>
    <row r="641" spans="1:11" x14ac:dyDescent="0.25">
      <c r="A641" t="s">
        <v>290</v>
      </c>
      <c r="B641" t="s">
        <v>666</v>
      </c>
      <c r="C641" t="s">
        <v>637</v>
      </c>
      <c r="D641" t="s">
        <v>640</v>
      </c>
      <c r="E641" t="s">
        <v>59</v>
      </c>
      <c r="F641" t="s">
        <v>156</v>
      </c>
      <c r="G641" t="s">
        <v>311</v>
      </c>
      <c r="H641" t="s">
        <v>636</v>
      </c>
      <c r="I641" t="s">
        <v>133</v>
      </c>
      <c r="J641" t="s">
        <v>312</v>
      </c>
      <c r="K641" t="s">
        <v>29</v>
      </c>
    </row>
    <row r="642" spans="1:11" x14ac:dyDescent="0.25">
      <c r="A642" t="s">
        <v>290</v>
      </c>
      <c r="B642" t="s">
        <v>666</v>
      </c>
      <c r="C642" t="s">
        <v>637</v>
      </c>
      <c r="D642" t="s">
        <v>640</v>
      </c>
      <c r="E642" t="s">
        <v>59</v>
      </c>
      <c r="F642" t="s">
        <v>96</v>
      </c>
      <c r="G642" t="s">
        <v>311</v>
      </c>
      <c r="H642" t="s">
        <v>636</v>
      </c>
      <c r="I642" t="s">
        <v>133</v>
      </c>
      <c r="J642" t="s">
        <v>312</v>
      </c>
      <c r="K642" t="s">
        <v>29</v>
      </c>
    </row>
    <row r="643" spans="1:11" x14ac:dyDescent="0.25">
      <c r="A643" t="s">
        <v>422</v>
      </c>
      <c r="B643" t="s">
        <v>667</v>
      </c>
      <c r="C643" t="s">
        <v>634</v>
      </c>
      <c r="D643" t="s">
        <v>635</v>
      </c>
      <c r="E643" t="s">
        <v>63</v>
      </c>
      <c r="F643" t="s">
        <v>67</v>
      </c>
      <c r="G643" t="s">
        <v>430</v>
      </c>
      <c r="H643" t="s">
        <v>636</v>
      </c>
      <c r="I643" t="s">
        <v>133</v>
      </c>
      <c r="J643" t="s">
        <v>312</v>
      </c>
      <c r="K643" t="s">
        <v>24</v>
      </c>
    </row>
    <row r="644" spans="1:11" x14ac:dyDescent="0.25">
      <c r="A644" t="s">
        <v>422</v>
      </c>
      <c r="B644" t="s">
        <v>667</v>
      </c>
      <c r="C644" t="s">
        <v>634</v>
      </c>
      <c r="D644" t="s">
        <v>635</v>
      </c>
      <c r="E644" t="s">
        <v>59</v>
      </c>
      <c r="F644" t="s">
        <v>60</v>
      </c>
      <c r="G644" t="s">
        <v>430</v>
      </c>
      <c r="H644" t="s">
        <v>636</v>
      </c>
      <c r="I644" t="s">
        <v>133</v>
      </c>
      <c r="J644" t="s">
        <v>312</v>
      </c>
      <c r="K644" t="s">
        <v>24</v>
      </c>
    </row>
    <row r="645" spans="1:11" x14ac:dyDescent="0.25">
      <c r="A645" t="s">
        <v>422</v>
      </c>
      <c r="B645" t="s">
        <v>667</v>
      </c>
      <c r="C645" t="s">
        <v>634</v>
      </c>
      <c r="D645" t="s">
        <v>635</v>
      </c>
      <c r="E645" t="s">
        <v>46</v>
      </c>
      <c r="F645" t="s">
        <v>47</v>
      </c>
      <c r="G645" t="s">
        <v>430</v>
      </c>
      <c r="H645" t="s">
        <v>636</v>
      </c>
      <c r="I645" t="s">
        <v>133</v>
      </c>
      <c r="J645" t="s">
        <v>312</v>
      </c>
      <c r="K645" t="s">
        <v>24</v>
      </c>
    </row>
    <row r="646" spans="1:11" x14ac:dyDescent="0.25">
      <c r="A646" t="s">
        <v>422</v>
      </c>
      <c r="B646" t="s">
        <v>667</v>
      </c>
      <c r="C646" t="s">
        <v>637</v>
      </c>
      <c r="D646" t="s">
        <v>638</v>
      </c>
      <c r="E646" t="s">
        <v>46</v>
      </c>
      <c r="F646" t="s">
        <v>55</v>
      </c>
      <c r="G646" t="s">
        <v>430</v>
      </c>
      <c r="H646" t="s">
        <v>636</v>
      </c>
      <c r="I646" t="s">
        <v>133</v>
      </c>
      <c r="J646" t="s">
        <v>312</v>
      </c>
      <c r="K646" t="s">
        <v>24</v>
      </c>
    </row>
    <row r="647" spans="1:11" x14ac:dyDescent="0.25">
      <c r="A647" t="s">
        <v>422</v>
      </c>
      <c r="B647" t="s">
        <v>667</v>
      </c>
      <c r="C647" t="s">
        <v>637</v>
      </c>
      <c r="D647" t="s">
        <v>640</v>
      </c>
      <c r="E647" t="s">
        <v>63</v>
      </c>
      <c r="F647" t="s">
        <v>64</v>
      </c>
      <c r="G647" t="s">
        <v>430</v>
      </c>
      <c r="H647" t="s">
        <v>636</v>
      </c>
      <c r="I647" t="s">
        <v>133</v>
      </c>
      <c r="J647" t="s">
        <v>312</v>
      </c>
      <c r="K647" t="s">
        <v>24</v>
      </c>
    </row>
    <row r="648" spans="1:11" x14ac:dyDescent="0.25">
      <c r="A648" t="s">
        <v>422</v>
      </c>
      <c r="B648" t="s">
        <v>667</v>
      </c>
      <c r="C648" t="s">
        <v>637</v>
      </c>
      <c r="D648" t="s">
        <v>640</v>
      </c>
      <c r="E648" t="s">
        <v>110</v>
      </c>
      <c r="F648" t="s">
        <v>140</v>
      </c>
      <c r="G648" t="s">
        <v>430</v>
      </c>
      <c r="H648" t="s">
        <v>636</v>
      </c>
      <c r="I648" t="s">
        <v>133</v>
      </c>
      <c r="J648" t="s">
        <v>312</v>
      </c>
      <c r="K648" t="s">
        <v>24</v>
      </c>
    </row>
    <row r="649" spans="1:11" x14ac:dyDescent="0.25">
      <c r="A649" t="s">
        <v>422</v>
      </c>
      <c r="B649" t="s">
        <v>668</v>
      </c>
      <c r="C649" t="s">
        <v>634</v>
      </c>
      <c r="D649" t="s">
        <v>635</v>
      </c>
      <c r="E649" t="s">
        <v>43</v>
      </c>
      <c r="F649" t="s">
        <v>53</v>
      </c>
      <c r="G649" t="s">
        <v>432</v>
      </c>
      <c r="H649" t="s">
        <v>636</v>
      </c>
      <c r="I649" t="s">
        <v>133</v>
      </c>
      <c r="J649" t="s">
        <v>312</v>
      </c>
      <c r="K649" t="s">
        <v>33</v>
      </c>
    </row>
    <row r="650" spans="1:11" x14ac:dyDescent="0.25">
      <c r="A650" t="s">
        <v>422</v>
      </c>
      <c r="B650" t="s">
        <v>668</v>
      </c>
      <c r="C650" t="s">
        <v>634</v>
      </c>
      <c r="D650" t="s">
        <v>635</v>
      </c>
      <c r="E650" t="s">
        <v>43</v>
      </c>
      <c r="F650" t="s">
        <v>49</v>
      </c>
      <c r="G650" t="s">
        <v>432</v>
      </c>
      <c r="H650" t="s">
        <v>636</v>
      </c>
      <c r="I650" t="s">
        <v>133</v>
      </c>
      <c r="J650" t="s">
        <v>312</v>
      </c>
      <c r="K650" t="s">
        <v>33</v>
      </c>
    </row>
    <row r="651" spans="1:11" x14ac:dyDescent="0.25">
      <c r="A651" t="s">
        <v>422</v>
      </c>
      <c r="B651" t="s">
        <v>668</v>
      </c>
      <c r="C651" t="s">
        <v>634</v>
      </c>
      <c r="D651" t="s">
        <v>638</v>
      </c>
      <c r="E651" t="s">
        <v>43</v>
      </c>
      <c r="F651" t="s">
        <v>53</v>
      </c>
      <c r="G651" t="s">
        <v>432</v>
      </c>
      <c r="H651" t="s">
        <v>636</v>
      </c>
      <c r="I651" t="s">
        <v>133</v>
      </c>
      <c r="J651" t="s">
        <v>312</v>
      </c>
      <c r="K651" t="s">
        <v>33</v>
      </c>
    </row>
    <row r="652" spans="1:11" x14ac:dyDescent="0.25">
      <c r="A652" t="s">
        <v>422</v>
      </c>
      <c r="B652" t="s">
        <v>668</v>
      </c>
      <c r="C652" t="s">
        <v>637</v>
      </c>
      <c r="D652" t="s">
        <v>638</v>
      </c>
      <c r="E652" t="s">
        <v>69</v>
      </c>
      <c r="F652" t="s">
        <v>47</v>
      </c>
      <c r="G652" t="s">
        <v>432</v>
      </c>
      <c r="H652" t="s">
        <v>636</v>
      </c>
      <c r="I652" t="s">
        <v>133</v>
      </c>
      <c r="J652" t="s">
        <v>312</v>
      </c>
      <c r="K652" t="s">
        <v>33</v>
      </c>
    </row>
    <row r="653" spans="1:11" x14ac:dyDescent="0.25">
      <c r="A653" t="s">
        <v>422</v>
      </c>
      <c r="B653" t="s">
        <v>668</v>
      </c>
      <c r="C653" t="s">
        <v>637</v>
      </c>
      <c r="D653" t="s">
        <v>638</v>
      </c>
      <c r="E653" t="s">
        <v>69</v>
      </c>
      <c r="F653" t="s">
        <v>80</v>
      </c>
      <c r="G653" t="s">
        <v>432</v>
      </c>
      <c r="H653" t="s">
        <v>636</v>
      </c>
      <c r="I653" t="s">
        <v>133</v>
      </c>
      <c r="J653" t="s">
        <v>312</v>
      </c>
      <c r="K653" t="s">
        <v>33</v>
      </c>
    </row>
    <row r="654" spans="1:11" x14ac:dyDescent="0.25">
      <c r="A654" t="s">
        <v>422</v>
      </c>
      <c r="B654" t="s">
        <v>668</v>
      </c>
      <c r="C654" t="s">
        <v>637</v>
      </c>
      <c r="D654" t="s">
        <v>638</v>
      </c>
      <c r="E654" t="s">
        <v>71</v>
      </c>
      <c r="F654" t="s">
        <v>72</v>
      </c>
      <c r="G654" t="s">
        <v>432</v>
      </c>
      <c r="H654" t="s">
        <v>636</v>
      </c>
      <c r="I654" t="s">
        <v>133</v>
      </c>
      <c r="J654" t="s">
        <v>312</v>
      </c>
      <c r="K654" t="s">
        <v>33</v>
      </c>
    </row>
    <row r="655" spans="1:11" x14ac:dyDescent="0.25">
      <c r="A655" t="s">
        <v>422</v>
      </c>
      <c r="B655" t="s">
        <v>668</v>
      </c>
      <c r="C655" t="s">
        <v>644</v>
      </c>
      <c r="D655" t="s">
        <v>638</v>
      </c>
      <c r="E655" t="s">
        <v>83</v>
      </c>
      <c r="F655" t="s">
        <v>101</v>
      </c>
      <c r="G655" t="s">
        <v>432</v>
      </c>
      <c r="H655" t="s">
        <v>636</v>
      </c>
      <c r="I655" t="s">
        <v>133</v>
      </c>
      <c r="J655" t="s">
        <v>312</v>
      </c>
      <c r="K655" t="s">
        <v>33</v>
      </c>
    </row>
    <row r="656" spans="1:11" x14ac:dyDescent="0.25">
      <c r="A656" t="s">
        <v>422</v>
      </c>
      <c r="B656" t="s">
        <v>668</v>
      </c>
      <c r="C656" t="s">
        <v>644</v>
      </c>
      <c r="D656" t="s">
        <v>638</v>
      </c>
      <c r="E656" t="s">
        <v>83</v>
      </c>
      <c r="F656" t="s">
        <v>104</v>
      </c>
      <c r="G656" t="s">
        <v>432</v>
      </c>
      <c r="H656" t="s">
        <v>636</v>
      </c>
      <c r="I656" t="s">
        <v>133</v>
      </c>
      <c r="J656" t="s">
        <v>312</v>
      </c>
      <c r="K656" t="s">
        <v>33</v>
      </c>
    </row>
    <row r="657" spans="1:11" x14ac:dyDescent="0.25">
      <c r="A657" t="s">
        <v>422</v>
      </c>
      <c r="B657" t="s">
        <v>668</v>
      </c>
      <c r="C657" t="s">
        <v>644</v>
      </c>
      <c r="D657" t="s">
        <v>638</v>
      </c>
      <c r="E657" t="s">
        <v>46</v>
      </c>
      <c r="F657" t="s">
        <v>47</v>
      </c>
      <c r="G657" t="s">
        <v>432</v>
      </c>
      <c r="H657" t="s">
        <v>636</v>
      </c>
      <c r="I657" t="s">
        <v>133</v>
      </c>
      <c r="J657" t="s">
        <v>312</v>
      </c>
      <c r="K657" t="s">
        <v>33</v>
      </c>
    </row>
    <row r="658" spans="1:11" x14ac:dyDescent="0.25">
      <c r="A658" t="s">
        <v>422</v>
      </c>
      <c r="B658" t="s">
        <v>668</v>
      </c>
      <c r="C658" t="s">
        <v>645</v>
      </c>
      <c r="D658" t="s">
        <v>638</v>
      </c>
      <c r="E658" t="s">
        <v>110</v>
      </c>
      <c r="G658" t="s">
        <v>432</v>
      </c>
      <c r="H658" t="s">
        <v>636</v>
      </c>
      <c r="I658" t="s">
        <v>133</v>
      </c>
      <c r="J658" t="s">
        <v>312</v>
      </c>
      <c r="K658" t="s">
        <v>33</v>
      </c>
    </row>
    <row r="659" spans="1:11" x14ac:dyDescent="0.25">
      <c r="A659" t="s">
        <v>422</v>
      </c>
      <c r="B659" t="s">
        <v>668</v>
      </c>
      <c r="C659" t="s">
        <v>645</v>
      </c>
      <c r="D659" t="s">
        <v>638</v>
      </c>
      <c r="E659" t="s">
        <v>63</v>
      </c>
      <c r="F659" t="s">
        <v>67</v>
      </c>
      <c r="G659" t="s">
        <v>432</v>
      </c>
      <c r="H659" t="s">
        <v>636</v>
      </c>
      <c r="I659" t="s">
        <v>133</v>
      </c>
      <c r="J659" t="s">
        <v>312</v>
      </c>
      <c r="K659" t="s">
        <v>33</v>
      </c>
    </row>
    <row r="660" spans="1:11" x14ac:dyDescent="0.25">
      <c r="A660" t="s">
        <v>422</v>
      </c>
      <c r="B660" t="s">
        <v>669</v>
      </c>
      <c r="C660" t="s">
        <v>634</v>
      </c>
      <c r="G660" t="s">
        <v>438</v>
      </c>
      <c r="H660" t="s">
        <v>636</v>
      </c>
      <c r="I660" t="s">
        <v>133</v>
      </c>
      <c r="J660" t="s">
        <v>312</v>
      </c>
      <c r="K660" t="s">
        <v>25</v>
      </c>
    </row>
    <row r="661" spans="1:11" x14ac:dyDescent="0.25">
      <c r="A661" t="s">
        <v>422</v>
      </c>
      <c r="B661" t="s">
        <v>669</v>
      </c>
      <c r="C661" t="s">
        <v>634</v>
      </c>
      <c r="G661" t="s">
        <v>438</v>
      </c>
      <c r="H661" t="s">
        <v>636</v>
      </c>
      <c r="I661" t="s">
        <v>133</v>
      </c>
      <c r="J661" t="s">
        <v>312</v>
      </c>
      <c r="K661" t="s">
        <v>25</v>
      </c>
    </row>
    <row r="662" spans="1:11" x14ac:dyDescent="0.25">
      <c r="A662" t="s">
        <v>422</v>
      </c>
      <c r="B662" t="s">
        <v>669</v>
      </c>
      <c r="C662" t="s">
        <v>634</v>
      </c>
      <c r="G662" t="s">
        <v>438</v>
      </c>
      <c r="H662" t="s">
        <v>636</v>
      </c>
      <c r="I662" t="s">
        <v>133</v>
      </c>
      <c r="J662" t="s">
        <v>312</v>
      </c>
      <c r="K662" t="s">
        <v>25</v>
      </c>
    </row>
    <row r="663" spans="1:11" x14ac:dyDescent="0.25">
      <c r="A663" t="s">
        <v>422</v>
      </c>
      <c r="B663" t="s">
        <v>669</v>
      </c>
      <c r="C663" t="s">
        <v>634</v>
      </c>
      <c r="G663" t="s">
        <v>438</v>
      </c>
      <c r="H663" t="s">
        <v>636</v>
      </c>
      <c r="I663" t="s">
        <v>133</v>
      </c>
      <c r="J663" t="s">
        <v>312</v>
      </c>
      <c r="K663" t="s">
        <v>25</v>
      </c>
    </row>
    <row r="664" spans="1:11" x14ac:dyDescent="0.25">
      <c r="A664" t="s">
        <v>422</v>
      </c>
      <c r="B664" t="s">
        <v>669</v>
      </c>
      <c r="C664" t="s">
        <v>634</v>
      </c>
      <c r="G664" t="s">
        <v>438</v>
      </c>
      <c r="H664" t="s">
        <v>636</v>
      </c>
      <c r="I664" t="s">
        <v>133</v>
      </c>
      <c r="J664" t="s">
        <v>312</v>
      </c>
      <c r="K664" t="s">
        <v>25</v>
      </c>
    </row>
    <row r="665" spans="1:11" x14ac:dyDescent="0.25">
      <c r="A665" t="s">
        <v>422</v>
      </c>
      <c r="B665" t="s">
        <v>669</v>
      </c>
      <c r="C665" t="s">
        <v>637</v>
      </c>
      <c r="G665" t="s">
        <v>438</v>
      </c>
      <c r="H665" t="s">
        <v>636</v>
      </c>
      <c r="I665" t="s">
        <v>133</v>
      </c>
      <c r="J665" t="s">
        <v>312</v>
      </c>
      <c r="K665" t="s">
        <v>25</v>
      </c>
    </row>
    <row r="666" spans="1:11" x14ac:dyDescent="0.25">
      <c r="A666" t="s">
        <v>422</v>
      </c>
      <c r="B666" t="s">
        <v>669</v>
      </c>
      <c r="C666" t="s">
        <v>637</v>
      </c>
      <c r="G666" t="s">
        <v>438</v>
      </c>
      <c r="H666" t="s">
        <v>636</v>
      </c>
      <c r="I666" t="s">
        <v>133</v>
      </c>
      <c r="J666" t="s">
        <v>312</v>
      </c>
      <c r="K666" t="s">
        <v>25</v>
      </c>
    </row>
    <row r="667" spans="1:11" x14ac:dyDescent="0.25">
      <c r="A667" t="s">
        <v>422</v>
      </c>
      <c r="B667" t="s">
        <v>669</v>
      </c>
      <c r="C667" t="s">
        <v>637</v>
      </c>
      <c r="G667" t="s">
        <v>438</v>
      </c>
      <c r="H667" t="s">
        <v>636</v>
      </c>
      <c r="I667" t="s">
        <v>133</v>
      </c>
      <c r="J667" t="s">
        <v>312</v>
      </c>
      <c r="K667" t="s">
        <v>25</v>
      </c>
    </row>
    <row r="668" spans="1:11" x14ac:dyDescent="0.25">
      <c r="A668" t="s">
        <v>422</v>
      </c>
      <c r="B668" t="s">
        <v>670</v>
      </c>
      <c r="C668" t="s">
        <v>634</v>
      </c>
      <c r="D668" t="s">
        <v>635</v>
      </c>
      <c r="E668" t="s">
        <v>43</v>
      </c>
      <c r="F668" t="s">
        <v>53</v>
      </c>
      <c r="G668" t="s">
        <v>440</v>
      </c>
      <c r="H668" t="s">
        <v>636</v>
      </c>
      <c r="I668" t="s">
        <v>133</v>
      </c>
      <c r="J668" t="s">
        <v>312</v>
      </c>
      <c r="K668" t="s">
        <v>18</v>
      </c>
    </row>
    <row r="669" spans="1:11" x14ac:dyDescent="0.25">
      <c r="A669" t="s">
        <v>422</v>
      </c>
      <c r="B669" t="s">
        <v>670</v>
      </c>
      <c r="C669" t="s">
        <v>634</v>
      </c>
      <c r="D669" t="s">
        <v>635</v>
      </c>
      <c r="E669" t="s">
        <v>83</v>
      </c>
      <c r="F669" t="s">
        <v>104</v>
      </c>
      <c r="G669" t="s">
        <v>440</v>
      </c>
      <c r="H669" t="s">
        <v>636</v>
      </c>
      <c r="I669" t="s">
        <v>133</v>
      </c>
      <c r="J669" t="s">
        <v>312</v>
      </c>
      <c r="K669" t="s">
        <v>18</v>
      </c>
    </row>
    <row r="670" spans="1:11" x14ac:dyDescent="0.25">
      <c r="A670" t="s">
        <v>422</v>
      </c>
      <c r="B670" t="s">
        <v>670</v>
      </c>
      <c r="C670" t="s">
        <v>634</v>
      </c>
      <c r="D670" t="s">
        <v>635</v>
      </c>
      <c r="E670" t="s">
        <v>83</v>
      </c>
      <c r="F670" t="s">
        <v>101</v>
      </c>
      <c r="G670" t="s">
        <v>440</v>
      </c>
      <c r="H670" t="s">
        <v>636</v>
      </c>
      <c r="I670" t="s">
        <v>133</v>
      </c>
      <c r="J670" t="s">
        <v>312</v>
      </c>
      <c r="K670" t="s">
        <v>18</v>
      </c>
    </row>
    <row r="671" spans="1:11" x14ac:dyDescent="0.25">
      <c r="A671" t="s">
        <v>422</v>
      </c>
      <c r="B671" t="s">
        <v>670</v>
      </c>
      <c r="C671" t="s">
        <v>634</v>
      </c>
      <c r="D671" t="s">
        <v>635</v>
      </c>
      <c r="E671" t="s">
        <v>46</v>
      </c>
      <c r="F671" t="s">
        <v>47</v>
      </c>
      <c r="G671" t="s">
        <v>440</v>
      </c>
      <c r="H671" t="s">
        <v>636</v>
      </c>
      <c r="I671" t="s">
        <v>133</v>
      </c>
      <c r="J671" t="s">
        <v>312</v>
      </c>
      <c r="K671" t="s">
        <v>18</v>
      </c>
    </row>
    <row r="672" spans="1:11" x14ac:dyDescent="0.25">
      <c r="A672" t="s">
        <v>422</v>
      </c>
      <c r="B672" t="s">
        <v>670</v>
      </c>
      <c r="C672" t="s">
        <v>634</v>
      </c>
      <c r="D672" t="s">
        <v>635</v>
      </c>
      <c r="E672" t="s">
        <v>160</v>
      </c>
      <c r="F672" t="s">
        <v>163</v>
      </c>
      <c r="G672" t="s">
        <v>440</v>
      </c>
      <c r="H672" t="s">
        <v>636</v>
      </c>
      <c r="I672" t="s">
        <v>133</v>
      </c>
      <c r="J672" t="s">
        <v>312</v>
      </c>
      <c r="K672" t="s">
        <v>18</v>
      </c>
    </row>
    <row r="673" spans="1:11" x14ac:dyDescent="0.25">
      <c r="A673" t="s">
        <v>422</v>
      </c>
      <c r="B673" t="s">
        <v>670</v>
      </c>
      <c r="C673" t="s">
        <v>637</v>
      </c>
      <c r="D673" t="s">
        <v>638</v>
      </c>
      <c r="E673" t="s">
        <v>71</v>
      </c>
      <c r="F673" t="s">
        <v>72</v>
      </c>
      <c r="G673" t="s">
        <v>440</v>
      </c>
      <c r="H673" t="s">
        <v>636</v>
      </c>
      <c r="I673" t="s">
        <v>133</v>
      </c>
      <c r="J673" t="s">
        <v>312</v>
      </c>
      <c r="K673" t="s">
        <v>18</v>
      </c>
    </row>
    <row r="674" spans="1:11" x14ac:dyDescent="0.25">
      <c r="A674" t="s">
        <v>422</v>
      </c>
      <c r="B674" t="s">
        <v>670</v>
      </c>
      <c r="C674" t="s">
        <v>637</v>
      </c>
      <c r="D674" t="s">
        <v>638</v>
      </c>
      <c r="E674" t="s">
        <v>69</v>
      </c>
      <c r="F674" t="s">
        <v>80</v>
      </c>
      <c r="G674" t="s">
        <v>440</v>
      </c>
      <c r="H674" t="s">
        <v>636</v>
      </c>
      <c r="I674" t="s">
        <v>133</v>
      </c>
      <c r="J674" t="s">
        <v>312</v>
      </c>
      <c r="K674" t="s">
        <v>18</v>
      </c>
    </row>
    <row r="675" spans="1:11" x14ac:dyDescent="0.25">
      <c r="A675" t="s">
        <v>422</v>
      </c>
      <c r="B675" t="s">
        <v>670</v>
      </c>
      <c r="C675" t="s">
        <v>637</v>
      </c>
      <c r="D675" t="s">
        <v>640</v>
      </c>
      <c r="E675" t="s">
        <v>46</v>
      </c>
      <c r="F675" t="s">
        <v>55</v>
      </c>
      <c r="G675" t="s">
        <v>440</v>
      </c>
      <c r="H675" t="s">
        <v>636</v>
      </c>
      <c r="I675" t="s">
        <v>133</v>
      </c>
      <c r="J675" t="s">
        <v>312</v>
      </c>
      <c r="K675" t="s">
        <v>18</v>
      </c>
    </row>
    <row r="676" spans="1:11" x14ac:dyDescent="0.25">
      <c r="A676" t="s">
        <v>422</v>
      </c>
      <c r="B676" t="s">
        <v>671</v>
      </c>
      <c r="C676" t="s">
        <v>634</v>
      </c>
      <c r="D676" t="s">
        <v>635</v>
      </c>
      <c r="E676" t="s">
        <v>43</v>
      </c>
      <c r="F676" t="s">
        <v>53</v>
      </c>
      <c r="G676" t="s">
        <v>452</v>
      </c>
      <c r="H676" t="s">
        <v>636</v>
      </c>
      <c r="I676" t="s">
        <v>133</v>
      </c>
      <c r="J676" t="s">
        <v>312</v>
      </c>
      <c r="K676" t="s">
        <v>31</v>
      </c>
    </row>
    <row r="677" spans="1:11" x14ac:dyDescent="0.25">
      <c r="A677" t="s">
        <v>422</v>
      </c>
      <c r="B677" t="s">
        <v>671</v>
      </c>
      <c r="C677" t="s">
        <v>634</v>
      </c>
      <c r="D677" t="s">
        <v>635</v>
      </c>
      <c r="E677" t="s">
        <v>43</v>
      </c>
      <c r="F677" t="s">
        <v>49</v>
      </c>
      <c r="G677" t="s">
        <v>452</v>
      </c>
      <c r="H677" t="s">
        <v>636</v>
      </c>
      <c r="I677" t="s">
        <v>133</v>
      </c>
      <c r="J677" t="s">
        <v>312</v>
      </c>
      <c r="K677" t="s">
        <v>31</v>
      </c>
    </row>
    <row r="678" spans="1:11" x14ac:dyDescent="0.25">
      <c r="A678" t="s">
        <v>422</v>
      </c>
      <c r="B678" t="s">
        <v>671</v>
      </c>
      <c r="C678" t="s">
        <v>634</v>
      </c>
      <c r="D678" t="s">
        <v>635</v>
      </c>
      <c r="E678" t="s">
        <v>71</v>
      </c>
      <c r="F678" t="s">
        <v>86</v>
      </c>
      <c r="G678" t="s">
        <v>452</v>
      </c>
      <c r="H678" t="s">
        <v>636</v>
      </c>
      <c r="I678" t="s">
        <v>133</v>
      </c>
      <c r="J678" t="s">
        <v>312</v>
      </c>
      <c r="K678" t="s">
        <v>31</v>
      </c>
    </row>
    <row r="679" spans="1:11" x14ac:dyDescent="0.25">
      <c r="A679" t="s">
        <v>422</v>
      </c>
      <c r="B679" t="s">
        <v>671</v>
      </c>
      <c r="C679" t="s">
        <v>637</v>
      </c>
      <c r="D679" t="s">
        <v>638</v>
      </c>
      <c r="E679" t="s">
        <v>46</v>
      </c>
      <c r="F679" t="s">
        <v>47</v>
      </c>
      <c r="G679" t="s">
        <v>452</v>
      </c>
      <c r="H679" t="s">
        <v>636</v>
      </c>
      <c r="I679" t="s">
        <v>133</v>
      </c>
      <c r="J679" t="s">
        <v>312</v>
      </c>
      <c r="K679" t="s">
        <v>31</v>
      </c>
    </row>
    <row r="680" spans="1:11" x14ac:dyDescent="0.25">
      <c r="A680" t="s">
        <v>422</v>
      </c>
      <c r="B680" t="s">
        <v>671</v>
      </c>
      <c r="C680" t="s">
        <v>637</v>
      </c>
      <c r="D680" t="s">
        <v>638</v>
      </c>
      <c r="E680" t="s">
        <v>69</v>
      </c>
      <c r="F680" t="s">
        <v>80</v>
      </c>
      <c r="G680" t="s">
        <v>452</v>
      </c>
      <c r="H680" t="s">
        <v>636</v>
      </c>
      <c r="I680" t="s">
        <v>133</v>
      </c>
      <c r="J680" t="s">
        <v>312</v>
      </c>
      <c r="K680" t="s">
        <v>31</v>
      </c>
    </row>
    <row r="681" spans="1:11" x14ac:dyDescent="0.25">
      <c r="A681" t="s">
        <v>422</v>
      </c>
      <c r="B681" t="s">
        <v>671</v>
      </c>
      <c r="C681" t="s">
        <v>637</v>
      </c>
      <c r="G681" t="s">
        <v>452</v>
      </c>
      <c r="H681" t="s">
        <v>636</v>
      </c>
      <c r="I681" t="s">
        <v>133</v>
      </c>
      <c r="J681" t="s">
        <v>312</v>
      </c>
      <c r="K681" t="s">
        <v>31</v>
      </c>
    </row>
    <row r="682" spans="1:11" x14ac:dyDescent="0.25">
      <c r="A682" t="s">
        <v>422</v>
      </c>
      <c r="B682" t="s">
        <v>671</v>
      </c>
      <c r="C682" t="s">
        <v>644</v>
      </c>
      <c r="G682" t="s">
        <v>452</v>
      </c>
      <c r="H682" t="s">
        <v>636</v>
      </c>
      <c r="I682" t="s">
        <v>133</v>
      </c>
      <c r="J682" t="s">
        <v>312</v>
      </c>
      <c r="K682" t="s">
        <v>31</v>
      </c>
    </row>
    <row r="683" spans="1:11" x14ac:dyDescent="0.25">
      <c r="A683" t="s">
        <v>422</v>
      </c>
      <c r="B683" t="s">
        <v>671</v>
      </c>
      <c r="C683" t="s">
        <v>644</v>
      </c>
      <c r="G683" t="s">
        <v>452</v>
      </c>
      <c r="H683" t="s">
        <v>636</v>
      </c>
      <c r="I683" t="s">
        <v>133</v>
      </c>
      <c r="J683" t="s">
        <v>312</v>
      </c>
      <c r="K683" t="s">
        <v>31</v>
      </c>
    </row>
    <row r="684" spans="1:11" x14ac:dyDescent="0.25">
      <c r="A684" t="s">
        <v>422</v>
      </c>
      <c r="B684" t="s">
        <v>671</v>
      </c>
      <c r="C684" t="s">
        <v>644</v>
      </c>
      <c r="G684" t="s">
        <v>452</v>
      </c>
      <c r="H684" t="s">
        <v>636</v>
      </c>
      <c r="I684" t="s">
        <v>133</v>
      </c>
      <c r="J684" t="s">
        <v>312</v>
      </c>
      <c r="K684" t="s">
        <v>31</v>
      </c>
    </row>
    <row r="685" spans="1:11" x14ac:dyDescent="0.25">
      <c r="A685" t="s">
        <v>422</v>
      </c>
      <c r="B685" t="s">
        <v>671</v>
      </c>
      <c r="C685" t="s">
        <v>645</v>
      </c>
      <c r="G685" t="s">
        <v>452</v>
      </c>
      <c r="H685" t="s">
        <v>636</v>
      </c>
      <c r="I685" t="s">
        <v>133</v>
      </c>
      <c r="J685" t="s">
        <v>312</v>
      </c>
      <c r="K685" t="s">
        <v>31</v>
      </c>
    </row>
    <row r="686" spans="1:11" x14ac:dyDescent="0.25">
      <c r="A686" t="s">
        <v>422</v>
      </c>
      <c r="B686" t="s">
        <v>671</v>
      </c>
      <c r="C686" t="s">
        <v>645</v>
      </c>
      <c r="G686" t="s">
        <v>452</v>
      </c>
      <c r="H686" t="s">
        <v>636</v>
      </c>
      <c r="I686" t="s">
        <v>133</v>
      </c>
      <c r="J686" t="s">
        <v>312</v>
      </c>
      <c r="K686" t="s">
        <v>31</v>
      </c>
    </row>
    <row r="687" spans="1:11" x14ac:dyDescent="0.25">
      <c r="A687" t="s">
        <v>422</v>
      </c>
      <c r="B687" t="s">
        <v>672</v>
      </c>
      <c r="C687" t="s">
        <v>634</v>
      </c>
      <c r="D687" t="s">
        <v>635</v>
      </c>
      <c r="E687" t="s">
        <v>43</v>
      </c>
      <c r="F687" t="s">
        <v>57</v>
      </c>
      <c r="G687" t="s">
        <v>454</v>
      </c>
      <c r="H687" t="s">
        <v>636</v>
      </c>
      <c r="I687" t="s">
        <v>133</v>
      </c>
      <c r="J687" t="s">
        <v>312</v>
      </c>
      <c r="K687" t="s">
        <v>22</v>
      </c>
    </row>
    <row r="688" spans="1:11" x14ac:dyDescent="0.25">
      <c r="A688" t="s">
        <v>422</v>
      </c>
      <c r="B688" t="s">
        <v>672</v>
      </c>
      <c r="C688" t="s">
        <v>634</v>
      </c>
      <c r="D688" t="s">
        <v>638</v>
      </c>
      <c r="E688" t="s">
        <v>83</v>
      </c>
      <c r="F688" t="s">
        <v>103</v>
      </c>
      <c r="G688" t="s">
        <v>454</v>
      </c>
      <c r="H688" t="s">
        <v>636</v>
      </c>
      <c r="I688" t="s">
        <v>133</v>
      </c>
      <c r="J688" t="s">
        <v>312</v>
      </c>
      <c r="K688" t="s">
        <v>22</v>
      </c>
    </row>
    <row r="689" spans="1:11" x14ac:dyDescent="0.25">
      <c r="A689" t="s">
        <v>422</v>
      </c>
      <c r="B689" t="s">
        <v>672</v>
      </c>
      <c r="C689" t="s">
        <v>634</v>
      </c>
      <c r="D689" t="s">
        <v>641</v>
      </c>
      <c r="E689" t="s">
        <v>43</v>
      </c>
      <c r="F689" t="s">
        <v>57</v>
      </c>
      <c r="G689" t="s">
        <v>454</v>
      </c>
      <c r="H689" t="s">
        <v>636</v>
      </c>
      <c r="I689" t="s">
        <v>133</v>
      </c>
      <c r="J689" t="s">
        <v>312</v>
      </c>
      <c r="K689" t="s">
        <v>22</v>
      </c>
    </row>
    <row r="690" spans="1:11" x14ac:dyDescent="0.25">
      <c r="A690" t="s">
        <v>422</v>
      </c>
      <c r="B690" t="s">
        <v>672</v>
      </c>
      <c r="C690" t="s">
        <v>637</v>
      </c>
      <c r="D690" t="s">
        <v>638</v>
      </c>
      <c r="E690" t="s">
        <v>83</v>
      </c>
      <c r="F690" t="s">
        <v>103</v>
      </c>
      <c r="G690" t="s">
        <v>454</v>
      </c>
      <c r="H690" t="s">
        <v>636</v>
      </c>
      <c r="I690" t="s">
        <v>133</v>
      </c>
      <c r="J690" t="s">
        <v>312</v>
      </c>
      <c r="K690" t="s">
        <v>22</v>
      </c>
    </row>
    <row r="691" spans="1:11" x14ac:dyDescent="0.25">
      <c r="A691" t="s">
        <v>422</v>
      </c>
      <c r="B691" t="s">
        <v>672</v>
      </c>
      <c r="C691" t="s">
        <v>637</v>
      </c>
      <c r="D691" t="s">
        <v>640</v>
      </c>
      <c r="E691" t="s">
        <v>43</v>
      </c>
      <c r="F691" t="s">
        <v>61</v>
      </c>
      <c r="G691" t="s">
        <v>454</v>
      </c>
      <c r="H691" t="s">
        <v>636</v>
      </c>
      <c r="I691" t="s">
        <v>133</v>
      </c>
      <c r="J691" t="s">
        <v>312</v>
      </c>
      <c r="K691" t="s">
        <v>22</v>
      </c>
    </row>
    <row r="692" spans="1:11" x14ac:dyDescent="0.25">
      <c r="A692" t="s">
        <v>422</v>
      </c>
      <c r="B692" t="s">
        <v>672</v>
      </c>
      <c r="C692" t="s">
        <v>637</v>
      </c>
      <c r="G692" t="s">
        <v>454</v>
      </c>
      <c r="H692" t="s">
        <v>636</v>
      </c>
      <c r="I692" t="s">
        <v>133</v>
      </c>
      <c r="J692" t="s">
        <v>312</v>
      </c>
      <c r="K692" t="s">
        <v>22</v>
      </c>
    </row>
    <row r="693" spans="1:11" x14ac:dyDescent="0.25">
      <c r="A693" t="s">
        <v>422</v>
      </c>
      <c r="B693" t="s">
        <v>672</v>
      </c>
      <c r="C693" t="s">
        <v>644</v>
      </c>
      <c r="G693" t="s">
        <v>454</v>
      </c>
      <c r="H693" t="s">
        <v>636</v>
      </c>
      <c r="I693" t="s">
        <v>133</v>
      </c>
      <c r="J693" t="s">
        <v>312</v>
      </c>
      <c r="K693" t="s">
        <v>22</v>
      </c>
    </row>
    <row r="694" spans="1:11" x14ac:dyDescent="0.25">
      <c r="A694" t="s">
        <v>422</v>
      </c>
      <c r="B694" t="s">
        <v>672</v>
      </c>
      <c r="C694" t="s">
        <v>644</v>
      </c>
      <c r="G694" t="s">
        <v>454</v>
      </c>
      <c r="H694" t="s">
        <v>636</v>
      </c>
      <c r="I694" t="s">
        <v>133</v>
      </c>
      <c r="J694" t="s">
        <v>312</v>
      </c>
      <c r="K694" t="s">
        <v>22</v>
      </c>
    </row>
    <row r="695" spans="1:11" x14ac:dyDescent="0.25">
      <c r="A695" t="s">
        <v>422</v>
      </c>
      <c r="B695" t="s">
        <v>672</v>
      </c>
      <c r="C695" t="s">
        <v>644</v>
      </c>
      <c r="G695" t="s">
        <v>454</v>
      </c>
      <c r="H695" t="s">
        <v>636</v>
      </c>
      <c r="I695" t="s">
        <v>133</v>
      </c>
      <c r="J695" t="s">
        <v>312</v>
      </c>
      <c r="K695" t="s">
        <v>22</v>
      </c>
    </row>
    <row r="696" spans="1:11" x14ac:dyDescent="0.25">
      <c r="A696" t="s">
        <v>422</v>
      </c>
      <c r="B696" t="s">
        <v>672</v>
      </c>
      <c r="C696" t="s">
        <v>645</v>
      </c>
      <c r="G696" t="s">
        <v>454</v>
      </c>
      <c r="H696" t="s">
        <v>636</v>
      </c>
      <c r="I696" t="s">
        <v>133</v>
      </c>
      <c r="J696" t="s">
        <v>312</v>
      </c>
      <c r="K696" t="s">
        <v>22</v>
      </c>
    </row>
    <row r="697" spans="1:11" x14ac:dyDescent="0.25">
      <c r="A697" t="s">
        <v>422</v>
      </c>
      <c r="B697" t="s">
        <v>672</v>
      </c>
      <c r="C697" t="s">
        <v>645</v>
      </c>
      <c r="G697" t="s">
        <v>454</v>
      </c>
      <c r="H697" t="s">
        <v>636</v>
      </c>
      <c r="I697" t="s">
        <v>133</v>
      </c>
      <c r="J697" t="s">
        <v>312</v>
      </c>
      <c r="K697" t="s">
        <v>22</v>
      </c>
    </row>
    <row r="698" spans="1:11" x14ac:dyDescent="0.25">
      <c r="A698" t="s">
        <v>422</v>
      </c>
      <c r="B698" t="s">
        <v>673</v>
      </c>
      <c r="C698" t="s">
        <v>634</v>
      </c>
      <c r="D698" t="s">
        <v>635</v>
      </c>
      <c r="E698" t="s">
        <v>43</v>
      </c>
      <c r="F698" t="s">
        <v>57</v>
      </c>
      <c r="G698" t="s">
        <v>456</v>
      </c>
      <c r="H698" t="s">
        <v>636</v>
      </c>
      <c r="I698" t="s">
        <v>133</v>
      </c>
      <c r="J698" t="s">
        <v>312</v>
      </c>
      <c r="K698" t="s">
        <v>14</v>
      </c>
    </row>
    <row r="699" spans="1:11" x14ac:dyDescent="0.25">
      <c r="A699" t="s">
        <v>422</v>
      </c>
      <c r="B699" t="s">
        <v>673</v>
      </c>
      <c r="C699" t="s">
        <v>634</v>
      </c>
      <c r="D699" t="s">
        <v>638</v>
      </c>
      <c r="E699" t="s">
        <v>83</v>
      </c>
      <c r="F699" t="s">
        <v>103</v>
      </c>
      <c r="G699" t="s">
        <v>456</v>
      </c>
      <c r="H699" t="s">
        <v>636</v>
      </c>
      <c r="I699" t="s">
        <v>133</v>
      </c>
      <c r="J699" t="s">
        <v>312</v>
      </c>
      <c r="K699" t="s">
        <v>14</v>
      </c>
    </row>
    <row r="700" spans="1:11" x14ac:dyDescent="0.25">
      <c r="A700" t="s">
        <v>422</v>
      </c>
      <c r="B700" t="s">
        <v>673</v>
      </c>
      <c r="C700" t="s">
        <v>634</v>
      </c>
      <c r="D700" t="s">
        <v>641</v>
      </c>
      <c r="E700" t="s">
        <v>43</v>
      </c>
      <c r="F700" t="s">
        <v>57</v>
      </c>
      <c r="G700" t="s">
        <v>456</v>
      </c>
      <c r="H700" t="s">
        <v>636</v>
      </c>
      <c r="I700" t="s">
        <v>133</v>
      </c>
      <c r="J700" t="s">
        <v>312</v>
      </c>
      <c r="K700" t="s">
        <v>14</v>
      </c>
    </row>
    <row r="701" spans="1:11" x14ac:dyDescent="0.25">
      <c r="A701" t="s">
        <v>422</v>
      </c>
      <c r="B701" t="s">
        <v>673</v>
      </c>
      <c r="C701" t="s">
        <v>637</v>
      </c>
      <c r="D701" t="s">
        <v>638</v>
      </c>
      <c r="E701" t="s">
        <v>83</v>
      </c>
      <c r="F701" t="s">
        <v>103</v>
      </c>
      <c r="G701" t="s">
        <v>456</v>
      </c>
      <c r="H701" t="s">
        <v>636</v>
      </c>
      <c r="I701" t="s">
        <v>133</v>
      </c>
      <c r="J701" t="s">
        <v>312</v>
      </c>
      <c r="K701" t="s">
        <v>14</v>
      </c>
    </row>
    <row r="702" spans="1:11" x14ac:dyDescent="0.25">
      <c r="A702" t="s">
        <v>422</v>
      </c>
      <c r="B702" t="s">
        <v>673</v>
      </c>
      <c r="C702" t="s">
        <v>637</v>
      </c>
      <c r="D702" t="s">
        <v>640</v>
      </c>
      <c r="E702" t="s">
        <v>43</v>
      </c>
      <c r="F702" t="s">
        <v>61</v>
      </c>
      <c r="G702" t="s">
        <v>456</v>
      </c>
      <c r="H702" t="s">
        <v>636</v>
      </c>
      <c r="I702" t="s">
        <v>133</v>
      </c>
      <c r="J702" t="s">
        <v>312</v>
      </c>
      <c r="K702" t="s">
        <v>14</v>
      </c>
    </row>
    <row r="703" spans="1:11" x14ac:dyDescent="0.25">
      <c r="A703" t="s">
        <v>422</v>
      </c>
      <c r="B703" t="s">
        <v>673</v>
      </c>
      <c r="C703" t="s">
        <v>637</v>
      </c>
      <c r="G703" t="s">
        <v>456</v>
      </c>
      <c r="H703" t="s">
        <v>636</v>
      </c>
      <c r="I703" t="s">
        <v>133</v>
      </c>
      <c r="J703" t="s">
        <v>312</v>
      </c>
      <c r="K703" t="s">
        <v>14</v>
      </c>
    </row>
    <row r="704" spans="1:11" x14ac:dyDescent="0.25">
      <c r="A704" t="s">
        <v>422</v>
      </c>
      <c r="B704" t="s">
        <v>673</v>
      </c>
      <c r="C704" t="s">
        <v>644</v>
      </c>
      <c r="G704" t="s">
        <v>456</v>
      </c>
      <c r="H704" t="s">
        <v>636</v>
      </c>
      <c r="I704" t="s">
        <v>133</v>
      </c>
      <c r="J704" t="s">
        <v>312</v>
      </c>
      <c r="K704" t="s">
        <v>14</v>
      </c>
    </row>
    <row r="705" spans="1:11" x14ac:dyDescent="0.25">
      <c r="A705" t="s">
        <v>422</v>
      </c>
      <c r="B705" t="s">
        <v>673</v>
      </c>
      <c r="C705" t="s">
        <v>644</v>
      </c>
      <c r="G705" t="s">
        <v>456</v>
      </c>
      <c r="H705" t="s">
        <v>636</v>
      </c>
      <c r="I705" t="s">
        <v>133</v>
      </c>
      <c r="J705" t="s">
        <v>312</v>
      </c>
      <c r="K705" t="s">
        <v>14</v>
      </c>
    </row>
    <row r="706" spans="1:11" x14ac:dyDescent="0.25">
      <c r="A706" t="s">
        <v>422</v>
      </c>
      <c r="B706" t="s">
        <v>673</v>
      </c>
      <c r="C706" t="s">
        <v>644</v>
      </c>
      <c r="G706" t="s">
        <v>456</v>
      </c>
      <c r="H706" t="s">
        <v>636</v>
      </c>
      <c r="I706" t="s">
        <v>133</v>
      </c>
      <c r="J706" t="s">
        <v>312</v>
      </c>
      <c r="K706" t="s">
        <v>14</v>
      </c>
    </row>
    <row r="707" spans="1:11" x14ac:dyDescent="0.25">
      <c r="A707" t="s">
        <v>422</v>
      </c>
      <c r="B707" t="s">
        <v>673</v>
      </c>
      <c r="C707" t="s">
        <v>645</v>
      </c>
      <c r="G707" t="s">
        <v>456</v>
      </c>
      <c r="H707" t="s">
        <v>636</v>
      </c>
      <c r="I707" t="s">
        <v>133</v>
      </c>
      <c r="J707" t="s">
        <v>312</v>
      </c>
      <c r="K707" t="s">
        <v>14</v>
      </c>
    </row>
    <row r="708" spans="1:11" x14ac:dyDescent="0.25">
      <c r="A708" t="s">
        <v>422</v>
      </c>
      <c r="B708" t="s">
        <v>673</v>
      </c>
      <c r="C708" t="s">
        <v>645</v>
      </c>
      <c r="G708" t="s">
        <v>456</v>
      </c>
      <c r="H708" t="s">
        <v>636</v>
      </c>
      <c r="I708" t="s">
        <v>133</v>
      </c>
      <c r="J708" t="s">
        <v>312</v>
      </c>
      <c r="K708" t="s">
        <v>14</v>
      </c>
    </row>
    <row r="709" spans="1:11" x14ac:dyDescent="0.25">
      <c r="A709" t="s">
        <v>422</v>
      </c>
      <c r="B709" t="s">
        <v>674</v>
      </c>
      <c r="C709" t="s">
        <v>634</v>
      </c>
      <c r="D709" t="s">
        <v>635</v>
      </c>
      <c r="E709" t="s">
        <v>69</v>
      </c>
      <c r="F709" t="s">
        <v>70</v>
      </c>
      <c r="G709" t="s">
        <v>458</v>
      </c>
      <c r="H709" t="s">
        <v>636</v>
      </c>
      <c r="I709" t="s">
        <v>133</v>
      </c>
      <c r="J709" t="s">
        <v>312</v>
      </c>
      <c r="K709" t="s">
        <v>11</v>
      </c>
    </row>
    <row r="710" spans="1:11" x14ac:dyDescent="0.25">
      <c r="A710" t="s">
        <v>422</v>
      </c>
      <c r="B710" t="s">
        <v>674</v>
      </c>
      <c r="C710" t="s">
        <v>634</v>
      </c>
      <c r="D710" t="s">
        <v>635</v>
      </c>
      <c r="E710" t="s">
        <v>46</v>
      </c>
      <c r="F710" t="s">
        <v>47</v>
      </c>
      <c r="G710" t="s">
        <v>458</v>
      </c>
      <c r="H710" t="s">
        <v>636</v>
      </c>
      <c r="I710" t="s">
        <v>133</v>
      </c>
      <c r="J710" t="s">
        <v>312</v>
      </c>
      <c r="K710" t="s">
        <v>11</v>
      </c>
    </row>
    <row r="711" spans="1:11" x14ac:dyDescent="0.25">
      <c r="A711" t="s">
        <v>422</v>
      </c>
      <c r="B711" t="s">
        <v>674</v>
      </c>
      <c r="C711" t="s">
        <v>634</v>
      </c>
      <c r="D711" t="s">
        <v>638</v>
      </c>
      <c r="E711" t="s">
        <v>43</v>
      </c>
      <c r="F711" t="s">
        <v>675</v>
      </c>
      <c r="G711" t="s">
        <v>458</v>
      </c>
      <c r="H711" t="s">
        <v>636</v>
      </c>
      <c r="I711" t="s">
        <v>133</v>
      </c>
      <c r="J711" t="s">
        <v>312</v>
      </c>
      <c r="K711" t="s">
        <v>11</v>
      </c>
    </row>
    <row r="712" spans="1:11" x14ac:dyDescent="0.25">
      <c r="A712" t="s">
        <v>422</v>
      </c>
      <c r="B712" t="s">
        <v>674</v>
      </c>
      <c r="C712" t="s">
        <v>634</v>
      </c>
      <c r="D712" t="s">
        <v>638</v>
      </c>
      <c r="E712" t="s">
        <v>43</v>
      </c>
      <c r="F712" t="s">
        <v>44</v>
      </c>
      <c r="G712" t="s">
        <v>458</v>
      </c>
      <c r="H712" t="s">
        <v>636</v>
      </c>
      <c r="I712" t="s">
        <v>133</v>
      </c>
      <c r="J712" t="s">
        <v>312</v>
      </c>
      <c r="K712" t="s">
        <v>11</v>
      </c>
    </row>
    <row r="713" spans="1:11" x14ac:dyDescent="0.25">
      <c r="A713" t="s">
        <v>422</v>
      </c>
      <c r="B713" t="s">
        <v>674</v>
      </c>
      <c r="C713" t="s">
        <v>634</v>
      </c>
      <c r="D713" t="s">
        <v>640</v>
      </c>
      <c r="E713" t="s">
        <v>43</v>
      </c>
      <c r="F713" t="s">
        <v>57</v>
      </c>
      <c r="G713" t="s">
        <v>458</v>
      </c>
      <c r="H713" t="s">
        <v>636</v>
      </c>
      <c r="I713" t="s">
        <v>133</v>
      </c>
      <c r="J713" t="s">
        <v>312</v>
      </c>
      <c r="K713" t="s">
        <v>11</v>
      </c>
    </row>
    <row r="714" spans="1:11" x14ac:dyDescent="0.25">
      <c r="A714" t="s">
        <v>422</v>
      </c>
      <c r="B714" t="s">
        <v>674</v>
      </c>
      <c r="C714" t="s">
        <v>634</v>
      </c>
      <c r="D714" t="s">
        <v>640</v>
      </c>
      <c r="E714" t="s">
        <v>71</v>
      </c>
      <c r="F714" t="s">
        <v>675</v>
      </c>
      <c r="G714" t="s">
        <v>458</v>
      </c>
      <c r="H714" t="s">
        <v>636</v>
      </c>
      <c r="I714" t="s">
        <v>133</v>
      </c>
      <c r="J714" t="s">
        <v>312</v>
      </c>
      <c r="K714" t="s">
        <v>11</v>
      </c>
    </row>
    <row r="715" spans="1:11" x14ac:dyDescent="0.25">
      <c r="A715" t="s">
        <v>422</v>
      </c>
      <c r="B715" t="s">
        <v>674</v>
      </c>
      <c r="C715" t="s">
        <v>637</v>
      </c>
      <c r="D715" t="s">
        <v>635</v>
      </c>
      <c r="E715" t="s">
        <v>43</v>
      </c>
      <c r="F715" t="s">
        <v>66</v>
      </c>
      <c r="G715" t="s">
        <v>458</v>
      </c>
      <c r="H715" t="s">
        <v>636</v>
      </c>
      <c r="I715" t="s">
        <v>133</v>
      </c>
      <c r="J715" t="s">
        <v>312</v>
      </c>
      <c r="K715" t="s">
        <v>11</v>
      </c>
    </row>
    <row r="716" spans="1:11" x14ac:dyDescent="0.25">
      <c r="A716" t="s">
        <v>422</v>
      </c>
      <c r="B716" t="s">
        <v>674</v>
      </c>
      <c r="C716" t="s">
        <v>637</v>
      </c>
      <c r="D716" t="s">
        <v>635</v>
      </c>
      <c r="E716" t="s">
        <v>43</v>
      </c>
      <c r="F716" t="s">
        <v>49</v>
      </c>
      <c r="G716" t="s">
        <v>458</v>
      </c>
      <c r="H716" t="s">
        <v>636</v>
      </c>
      <c r="I716" t="s">
        <v>133</v>
      </c>
      <c r="J716" t="s">
        <v>312</v>
      </c>
      <c r="K716" t="s">
        <v>11</v>
      </c>
    </row>
    <row r="717" spans="1:11" x14ac:dyDescent="0.25">
      <c r="A717" t="s">
        <v>422</v>
      </c>
      <c r="B717" t="s">
        <v>674</v>
      </c>
      <c r="C717" t="s">
        <v>637</v>
      </c>
      <c r="D717" t="s">
        <v>638</v>
      </c>
      <c r="E717" t="s">
        <v>43</v>
      </c>
      <c r="F717" t="s">
        <v>44</v>
      </c>
      <c r="G717" t="s">
        <v>458</v>
      </c>
      <c r="H717" t="s">
        <v>636</v>
      </c>
      <c r="I717" t="s">
        <v>133</v>
      </c>
      <c r="J717" t="s">
        <v>312</v>
      </c>
      <c r="K717" t="s">
        <v>11</v>
      </c>
    </row>
    <row r="718" spans="1:11" x14ac:dyDescent="0.25">
      <c r="A718" t="s">
        <v>422</v>
      </c>
      <c r="B718" t="s">
        <v>674</v>
      </c>
      <c r="C718" t="s">
        <v>637</v>
      </c>
      <c r="D718" t="s">
        <v>640</v>
      </c>
      <c r="E718" t="s">
        <v>43</v>
      </c>
      <c r="F718" t="s">
        <v>57</v>
      </c>
      <c r="G718" t="s">
        <v>458</v>
      </c>
      <c r="H718" t="s">
        <v>636</v>
      </c>
      <c r="I718" t="s">
        <v>133</v>
      </c>
      <c r="J718" t="s">
        <v>312</v>
      </c>
      <c r="K718" t="s">
        <v>11</v>
      </c>
    </row>
    <row r="719" spans="1:11" x14ac:dyDescent="0.25">
      <c r="A719" t="s">
        <v>422</v>
      </c>
      <c r="B719" t="s">
        <v>674</v>
      </c>
      <c r="C719" t="s">
        <v>637</v>
      </c>
      <c r="D719" t="s">
        <v>640</v>
      </c>
      <c r="E719" t="s">
        <v>71</v>
      </c>
      <c r="F719" t="s">
        <v>675</v>
      </c>
      <c r="G719" t="s">
        <v>458</v>
      </c>
      <c r="H719" t="s">
        <v>636</v>
      </c>
      <c r="I719" t="s">
        <v>133</v>
      </c>
      <c r="J719" t="s">
        <v>312</v>
      </c>
      <c r="K719" t="s">
        <v>11</v>
      </c>
    </row>
    <row r="720" spans="1:11" x14ac:dyDescent="0.25">
      <c r="A720" t="s">
        <v>422</v>
      </c>
      <c r="B720" t="s">
        <v>676</v>
      </c>
      <c r="C720" t="s">
        <v>634</v>
      </c>
      <c r="D720" t="s">
        <v>635</v>
      </c>
      <c r="E720" t="s">
        <v>43</v>
      </c>
      <c r="F720" t="s">
        <v>44</v>
      </c>
      <c r="G720" t="s">
        <v>460</v>
      </c>
      <c r="H720" t="s">
        <v>636</v>
      </c>
      <c r="I720" t="s">
        <v>133</v>
      </c>
      <c r="J720" t="s">
        <v>312</v>
      </c>
      <c r="K720" t="s">
        <v>12</v>
      </c>
    </row>
    <row r="721" spans="1:11" x14ac:dyDescent="0.25">
      <c r="A721" t="s">
        <v>422</v>
      </c>
      <c r="B721" t="s">
        <v>676</v>
      </c>
      <c r="C721" t="s">
        <v>634</v>
      </c>
      <c r="D721" t="s">
        <v>635</v>
      </c>
      <c r="E721" t="s">
        <v>43</v>
      </c>
      <c r="F721" t="s">
        <v>49</v>
      </c>
      <c r="G721" t="s">
        <v>460</v>
      </c>
      <c r="H721" t="s">
        <v>636</v>
      </c>
      <c r="I721" t="s">
        <v>133</v>
      </c>
      <c r="J721" t="s">
        <v>312</v>
      </c>
      <c r="K721" t="s">
        <v>12</v>
      </c>
    </row>
    <row r="722" spans="1:11" x14ac:dyDescent="0.25">
      <c r="A722" t="s">
        <v>422</v>
      </c>
      <c r="B722" t="s">
        <v>676</v>
      </c>
      <c r="C722" t="s">
        <v>634</v>
      </c>
      <c r="D722" t="s">
        <v>635</v>
      </c>
      <c r="E722" t="s">
        <v>43</v>
      </c>
      <c r="F722" t="s">
        <v>53</v>
      </c>
      <c r="G722" t="s">
        <v>460</v>
      </c>
      <c r="H722" t="s">
        <v>636</v>
      </c>
      <c r="I722" t="s">
        <v>133</v>
      </c>
      <c r="J722" t="s">
        <v>312</v>
      </c>
      <c r="K722" t="s">
        <v>12</v>
      </c>
    </row>
    <row r="723" spans="1:11" x14ac:dyDescent="0.25">
      <c r="A723" t="s">
        <v>422</v>
      </c>
      <c r="B723" t="s">
        <v>676</v>
      </c>
      <c r="C723" t="s">
        <v>634</v>
      </c>
      <c r="D723" t="s">
        <v>635</v>
      </c>
      <c r="E723" t="s">
        <v>43</v>
      </c>
      <c r="F723" t="s">
        <v>57</v>
      </c>
      <c r="G723" t="s">
        <v>460</v>
      </c>
      <c r="H723" t="s">
        <v>636</v>
      </c>
      <c r="I723" t="s">
        <v>133</v>
      </c>
      <c r="J723" t="s">
        <v>312</v>
      </c>
      <c r="K723" t="s">
        <v>12</v>
      </c>
    </row>
    <row r="724" spans="1:11" x14ac:dyDescent="0.25">
      <c r="A724" t="s">
        <v>422</v>
      </c>
      <c r="B724" t="s">
        <v>676</v>
      </c>
      <c r="C724" t="s">
        <v>634</v>
      </c>
      <c r="D724" t="s">
        <v>635</v>
      </c>
      <c r="E724" t="s">
        <v>69</v>
      </c>
      <c r="F724" t="s">
        <v>70</v>
      </c>
      <c r="G724" t="s">
        <v>460</v>
      </c>
      <c r="H724" t="s">
        <v>636</v>
      </c>
      <c r="I724" t="s">
        <v>133</v>
      </c>
      <c r="J724" t="s">
        <v>312</v>
      </c>
      <c r="K724" t="s">
        <v>12</v>
      </c>
    </row>
    <row r="725" spans="1:11" x14ac:dyDescent="0.25">
      <c r="A725" t="s">
        <v>422</v>
      </c>
      <c r="B725" t="s">
        <v>676</v>
      </c>
      <c r="C725" t="s">
        <v>634</v>
      </c>
      <c r="D725" t="s">
        <v>635</v>
      </c>
      <c r="E725" t="s">
        <v>69</v>
      </c>
      <c r="F725" t="s">
        <v>74</v>
      </c>
      <c r="G725" t="s">
        <v>460</v>
      </c>
      <c r="H725" t="s">
        <v>636</v>
      </c>
      <c r="I725" t="s">
        <v>133</v>
      </c>
      <c r="J725" t="s">
        <v>312</v>
      </c>
      <c r="K725" t="s">
        <v>12</v>
      </c>
    </row>
    <row r="726" spans="1:11" x14ac:dyDescent="0.25">
      <c r="A726" t="s">
        <v>422</v>
      </c>
      <c r="B726" t="s">
        <v>676</v>
      </c>
      <c r="C726" t="s">
        <v>634</v>
      </c>
      <c r="D726" t="s">
        <v>635</v>
      </c>
      <c r="E726" t="s">
        <v>69</v>
      </c>
      <c r="F726" t="s">
        <v>77</v>
      </c>
      <c r="G726" t="s">
        <v>460</v>
      </c>
      <c r="H726" t="s">
        <v>636</v>
      </c>
      <c r="I726" t="s">
        <v>133</v>
      </c>
      <c r="J726" t="s">
        <v>312</v>
      </c>
      <c r="K726" t="s">
        <v>12</v>
      </c>
    </row>
    <row r="727" spans="1:11" x14ac:dyDescent="0.25">
      <c r="A727" t="s">
        <v>422</v>
      </c>
      <c r="B727" t="s">
        <v>676</v>
      </c>
      <c r="C727" t="s">
        <v>634</v>
      </c>
      <c r="D727" t="s">
        <v>635</v>
      </c>
      <c r="E727" t="s">
        <v>69</v>
      </c>
      <c r="F727" t="s">
        <v>79</v>
      </c>
      <c r="G727" t="s">
        <v>460</v>
      </c>
      <c r="H727" t="s">
        <v>636</v>
      </c>
      <c r="I727" t="s">
        <v>133</v>
      </c>
      <c r="J727" t="s">
        <v>312</v>
      </c>
      <c r="K727" t="s">
        <v>12</v>
      </c>
    </row>
    <row r="728" spans="1:11" x14ac:dyDescent="0.25">
      <c r="A728" t="s">
        <v>422</v>
      </c>
      <c r="B728" t="s">
        <v>676</v>
      </c>
      <c r="C728" t="s">
        <v>634</v>
      </c>
      <c r="D728" t="s">
        <v>635</v>
      </c>
      <c r="E728" t="s">
        <v>69</v>
      </c>
      <c r="F728" t="s">
        <v>80</v>
      </c>
      <c r="G728" t="s">
        <v>460</v>
      </c>
      <c r="H728" t="s">
        <v>636</v>
      </c>
      <c r="I728" t="s">
        <v>133</v>
      </c>
      <c r="J728" t="s">
        <v>312</v>
      </c>
      <c r="K728" t="s">
        <v>12</v>
      </c>
    </row>
    <row r="729" spans="1:11" x14ac:dyDescent="0.25">
      <c r="A729" t="s">
        <v>422</v>
      </c>
      <c r="B729" t="s">
        <v>676</v>
      </c>
      <c r="C729" t="s">
        <v>634</v>
      </c>
      <c r="D729" t="s">
        <v>635</v>
      </c>
      <c r="E729" t="s">
        <v>69</v>
      </c>
      <c r="F729" t="s">
        <v>82</v>
      </c>
      <c r="G729" t="s">
        <v>460</v>
      </c>
      <c r="H729" t="s">
        <v>636</v>
      </c>
      <c r="I729" t="s">
        <v>133</v>
      </c>
      <c r="J729" t="s">
        <v>312</v>
      </c>
      <c r="K729" t="s">
        <v>12</v>
      </c>
    </row>
    <row r="730" spans="1:11" x14ac:dyDescent="0.25">
      <c r="A730" t="s">
        <v>422</v>
      </c>
      <c r="B730" t="s">
        <v>676</v>
      </c>
      <c r="C730" t="s">
        <v>677</v>
      </c>
      <c r="E730" t="s">
        <v>71</v>
      </c>
      <c r="F730" t="s">
        <v>86</v>
      </c>
      <c r="G730" t="s">
        <v>460</v>
      </c>
      <c r="H730" t="s">
        <v>636</v>
      </c>
      <c r="I730" t="s">
        <v>133</v>
      </c>
      <c r="J730" t="s">
        <v>312</v>
      </c>
      <c r="K730" t="s">
        <v>12</v>
      </c>
    </row>
    <row r="731" spans="1:11" x14ac:dyDescent="0.25">
      <c r="A731" t="s">
        <v>422</v>
      </c>
      <c r="B731" t="s">
        <v>678</v>
      </c>
      <c r="C731" t="s">
        <v>634</v>
      </c>
      <c r="D731" t="s">
        <v>635</v>
      </c>
      <c r="E731" t="s">
        <v>43</v>
      </c>
      <c r="F731" t="s">
        <v>57</v>
      </c>
      <c r="G731" t="s">
        <v>462</v>
      </c>
      <c r="H731" t="s">
        <v>636</v>
      </c>
      <c r="I731" t="s">
        <v>133</v>
      </c>
      <c r="J731" t="s">
        <v>312</v>
      </c>
      <c r="K731" t="s">
        <v>20</v>
      </c>
    </row>
    <row r="732" spans="1:11" x14ac:dyDescent="0.25">
      <c r="A732" t="s">
        <v>422</v>
      </c>
      <c r="B732" t="s">
        <v>678</v>
      </c>
      <c r="C732" t="s">
        <v>634</v>
      </c>
      <c r="D732" t="s">
        <v>638</v>
      </c>
      <c r="E732" t="s">
        <v>83</v>
      </c>
      <c r="F732" t="s">
        <v>103</v>
      </c>
      <c r="G732" t="s">
        <v>462</v>
      </c>
      <c r="H732" t="s">
        <v>636</v>
      </c>
      <c r="I732" t="s">
        <v>133</v>
      </c>
      <c r="J732" t="s">
        <v>312</v>
      </c>
      <c r="K732" t="s">
        <v>20</v>
      </c>
    </row>
    <row r="733" spans="1:11" x14ac:dyDescent="0.25">
      <c r="A733" t="s">
        <v>422</v>
      </c>
      <c r="B733" t="s">
        <v>678</v>
      </c>
      <c r="C733" t="s">
        <v>634</v>
      </c>
      <c r="D733" t="s">
        <v>640</v>
      </c>
      <c r="E733" t="s">
        <v>71</v>
      </c>
      <c r="F733" t="s">
        <v>72</v>
      </c>
      <c r="G733" t="s">
        <v>462</v>
      </c>
      <c r="H733" t="s">
        <v>636</v>
      </c>
      <c r="I733" t="s">
        <v>133</v>
      </c>
      <c r="J733" t="s">
        <v>312</v>
      </c>
      <c r="K733" t="s">
        <v>20</v>
      </c>
    </row>
    <row r="734" spans="1:11" x14ac:dyDescent="0.25">
      <c r="A734" t="s">
        <v>422</v>
      </c>
      <c r="B734" t="s">
        <v>678</v>
      </c>
      <c r="C734" t="s">
        <v>634</v>
      </c>
      <c r="D734" t="s">
        <v>641</v>
      </c>
      <c r="E734" t="s">
        <v>59</v>
      </c>
      <c r="F734" t="s">
        <v>158</v>
      </c>
      <c r="G734" t="s">
        <v>462</v>
      </c>
      <c r="H734" t="s">
        <v>636</v>
      </c>
      <c r="I734" t="s">
        <v>133</v>
      </c>
      <c r="J734" t="s">
        <v>312</v>
      </c>
      <c r="K734" t="s">
        <v>20</v>
      </c>
    </row>
    <row r="735" spans="1:11" x14ac:dyDescent="0.25">
      <c r="A735" t="s">
        <v>422</v>
      </c>
      <c r="B735" t="s">
        <v>678</v>
      </c>
      <c r="C735" t="s">
        <v>634</v>
      </c>
      <c r="D735" t="s">
        <v>679</v>
      </c>
      <c r="E735" t="s">
        <v>46</v>
      </c>
      <c r="F735" t="s">
        <v>106</v>
      </c>
      <c r="G735" t="s">
        <v>462</v>
      </c>
      <c r="H735" t="s">
        <v>636</v>
      </c>
      <c r="I735" t="s">
        <v>133</v>
      </c>
      <c r="J735" t="s">
        <v>312</v>
      </c>
      <c r="K735" t="s">
        <v>20</v>
      </c>
    </row>
    <row r="736" spans="1:11" x14ac:dyDescent="0.25">
      <c r="A736" t="s">
        <v>422</v>
      </c>
      <c r="B736" t="s">
        <v>678</v>
      </c>
      <c r="C736" t="s">
        <v>637</v>
      </c>
      <c r="D736" t="s">
        <v>635</v>
      </c>
      <c r="E736" t="s">
        <v>93</v>
      </c>
      <c r="F736" t="s">
        <v>94</v>
      </c>
      <c r="G736" t="s">
        <v>462</v>
      </c>
      <c r="H736" t="s">
        <v>636</v>
      </c>
      <c r="I736" t="s">
        <v>133</v>
      </c>
      <c r="J736" t="s">
        <v>312</v>
      </c>
      <c r="K736" t="s">
        <v>20</v>
      </c>
    </row>
    <row r="737" spans="1:11" x14ac:dyDescent="0.25">
      <c r="A737" t="s">
        <v>422</v>
      </c>
      <c r="B737" t="s">
        <v>678</v>
      </c>
      <c r="C737" t="s">
        <v>637</v>
      </c>
      <c r="D737" t="s">
        <v>638</v>
      </c>
      <c r="E737" t="s">
        <v>83</v>
      </c>
      <c r="F737" t="s">
        <v>101</v>
      </c>
      <c r="G737" t="s">
        <v>462</v>
      </c>
      <c r="H737" t="s">
        <v>636</v>
      </c>
      <c r="I737" t="s">
        <v>133</v>
      </c>
      <c r="J737" t="s">
        <v>312</v>
      </c>
      <c r="K737" t="s">
        <v>20</v>
      </c>
    </row>
    <row r="738" spans="1:11" x14ac:dyDescent="0.25">
      <c r="A738" t="s">
        <v>422</v>
      </c>
      <c r="B738" t="s">
        <v>678</v>
      </c>
      <c r="C738" t="s">
        <v>637</v>
      </c>
      <c r="D738" t="s">
        <v>640</v>
      </c>
      <c r="E738" t="s">
        <v>43</v>
      </c>
      <c r="F738" t="s">
        <v>44</v>
      </c>
      <c r="G738" t="s">
        <v>462</v>
      </c>
      <c r="H738" t="s">
        <v>636</v>
      </c>
      <c r="I738" t="s">
        <v>133</v>
      </c>
      <c r="J738" t="s">
        <v>312</v>
      </c>
      <c r="K738" t="s">
        <v>20</v>
      </c>
    </row>
    <row r="739" spans="1:11" x14ac:dyDescent="0.25">
      <c r="A739" t="s">
        <v>422</v>
      </c>
      <c r="B739" t="s">
        <v>678</v>
      </c>
      <c r="C739" t="s">
        <v>637</v>
      </c>
      <c r="D739" t="s">
        <v>641</v>
      </c>
      <c r="E739" t="s">
        <v>93</v>
      </c>
      <c r="F739" t="s">
        <v>94</v>
      </c>
      <c r="G739" t="s">
        <v>462</v>
      </c>
      <c r="H739" t="s">
        <v>636</v>
      </c>
      <c r="I739" t="s">
        <v>133</v>
      </c>
      <c r="J739" t="s">
        <v>312</v>
      </c>
      <c r="K739" t="s">
        <v>20</v>
      </c>
    </row>
    <row r="740" spans="1:11" x14ac:dyDescent="0.25">
      <c r="A740" t="s">
        <v>422</v>
      </c>
      <c r="B740" t="s">
        <v>678</v>
      </c>
      <c r="C740" t="s">
        <v>637</v>
      </c>
      <c r="D740" t="s">
        <v>679</v>
      </c>
      <c r="E740" t="s">
        <v>46</v>
      </c>
      <c r="F740" t="s">
        <v>47</v>
      </c>
      <c r="G740" t="s">
        <v>462</v>
      </c>
      <c r="H740" t="s">
        <v>636</v>
      </c>
      <c r="I740" t="s">
        <v>133</v>
      </c>
      <c r="J740" t="s">
        <v>312</v>
      </c>
      <c r="K740" t="s">
        <v>20</v>
      </c>
    </row>
    <row r="741" spans="1:11" x14ac:dyDescent="0.25">
      <c r="A741" t="s">
        <v>422</v>
      </c>
      <c r="B741" t="s">
        <v>678</v>
      </c>
      <c r="C741" t="s">
        <v>680</v>
      </c>
      <c r="G741" t="s">
        <v>462</v>
      </c>
      <c r="H741" t="s">
        <v>636</v>
      </c>
      <c r="I741" t="s">
        <v>133</v>
      </c>
      <c r="J741" t="s">
        <v>312</v>
      </c>
      <c r="K741" t="s">
        <v>20</v>
      </c>
    </row>
    <row r="742" spans="1:11" x14ac:dyDescent="0.25">
      <c r="A742" t="s">
        <v>422</v>
      </c>
      <c r="B742" t="s">
        <v>681</v>
      </c>
      <c r="C742" t="s">
        <v>634</v>
      </c>
      <c r="G742" t="s">
        <v>464</v>
      </c>
      <c r="H742" t="s">
        <v>636</v>
      </c>
      <c r="I742" t="s">
        <v>133</v>
      </c>
      <c r="J742" t="s">
        <v>312</v>
      </c>
      <c r="K742" t="s">
        <v>13</v>
      </c>
    </row>
    <row r="743" spans="1:11" x14ac:dyDescent="0.25">
      <c r="A743" t="s">
        <v>422</v>
      </c>
      <c r="B743" t="s">
        <v>681</v>
      </c>
      <c r="C743" t="s">
        <v>634</v>
      </c>
      <c r="G743" t="s">
        <v>464</v>
      </c>
      <c r="H743" t="s">
        <v>636</v>
      </c>
      <c r="I743" t="s">
        <v>133</v>
      </c>
      <c r="J743" t="s">
        <v>312</v>
      </c>
      <c r="K743" t="s">
        <v>13</v>
      </c>
    </row>
    <row r="744" spans="1:11" x14ac:dyDescent="0.25">
      <c r="A744" t="s">
        <v>422</v>
      </c>
      <c r="B744" t="s">
        <v>681</v>
      </c>
      <c r="C744" t="s">
        <v>634</v>
      </c>
      <c r="G744" t="s">
        <v>464</v>
      </c>
      <c r="H744" t="s">
        <v>636</v>
      </c>
      <c r="I744" t="s">
        <v>133</v>
      </c>
      <c r="J744" t="s">
        <v>312</v>
      </c>
      <c r="K744" t="s">
        <v>13</v>
      </c>
    </row>
    <row r="745" spans="1:11" x14ac:dyDescent="0.25">
      <c r="A745" t="s">
        <v>422</v>
      </c>
      <c r="B745" t="s">
        <v>681</v>
      </c>
      <c r="C745" t="s">
        <v>634</v>
      </c>
      <c r="G745" t="s">
        <v>464</v>
      </c>
      <c r="H745" t="s">
        <v>636</v>
      </c>
      <c r="I745" t="s">
        <v>133</v>
      </c>
      <c r="J745" t="s">
        <v>312</v>
      </c>
      <c r="K745" t="s">
        <v>13</v>
      </c>
    </row>
    <row r="746" spans="1:11" x14ac:dyDescent="0.25">
      <c r="A746" t="s">
        <v>422</v>
      </c>
      <c r="B746" t="s">
        <v>681</v>
      </c>
      <c r="C746" t="s">
        <v>634</v>
      </c>
      <c r="G746" t="s">
        <v>464</v>
      </c>
      <c r="H746" t="s">
        <v>636</v>
      </c>
      <c r="I746" t="s">
        <v>133</v>
      </c>
      <c r="J746" t="s">
        <v>312</v>
      </c>
      <c r="K746" t="s">
        <v>13</v>
      </c>
    </row>
    <row r="747" spans="1:11" x14ac:dyDescent="0.25">
      <c r="A747" t="s">
        <v>422</v>
      </c>
      <c r="B747" t="s">
        <v>681</v>
      </c>
      <c r="C747" t="s">
        <v>637</v>
      </c>
      <c r="G747" t="s">
        <v>464</v>
      </c>
      <c r="H747" t="s">
        <v>636</v>
      </c>
      <c r="I747" t="s">
        <v>133</v>
      </c>
      <c r="J747" t="s">
        <v>312</v>
      </c>
      <c r="K747" t="s">
        <v>13</v>
      </c>
    </row>
    <row r="748" spans="1:11" x14ac:dyDescent="0.25">
      <c r="A748" t="s">
        <v>422</v>
      </c>
      <c r="B748" t="s">
        <v>681</v>
      </c>
      <c r="C748" t="s">
        <v>637</v>
      </c>
      <c r="G748" t="s">
        <v>464</v>
      </c>
      <c r="H748" t="s">
        <v>636</v>
      </c>
      <c r="I748" t="s">
        <v>133</v>
      </c>
      <c r="J748" t="s">
        <v>312</v>
      </c>
      <c r="K748" t="s">
        <v>13</v>
      </c>
    </row>
    <row r="749" spans="1:11" x14ac:dyDescent="0.25">
      <c r="A749" t="s">
        <v>422</v>
      </c>
      <c r="B749" t="s">
        <v>681</v>
      </c>
      <c r="C749" t="s">
        <v>637</v>
      </c>
      <c r="G749" t="s">
        <v>464</v>
      </c>
      <c r="H749" t="s">
        <v>636</v>
      </c>
      <c r="I749" t="s">
        <v>133</v>
      </c>
      <c r="J749" t="s">
        <v>312</v>
      </c>
      <c r="K749" t="s">
        <v>13</v>
      </c>
    </row>
    <row r="750" spans="1:11" x14ac:dyDescent="0.25">
      <c r="A750" t="s">
        <v>422</v>
      </c>
      <c r="B750" t="s">
        <v>681</v>
      </c>
      <c r="C750" t="s">
        <v>637</v>
      </c>
      <c r="G750" t="s">
        <v>464</v>
      </c>
      <c r="H750" t="s">
        <v>636</v>
      </c>
      <c r="I750" t="s">
        <v>133</v>
      </c>
      <c r="J750" t="s">
        <v>312</v>
      </c>
      <c r="K750" t="s">
        <v>13</v>
      </c>
    </row>
    <row r="751" spans="1:11" x14ac:dyDescent="0.25">
      <c r="A751" t="s">
        <v>422</v>
      </c>
      <c r="B751" t="s">
        <v>681</v>
      </c>
      <c r="C751" t="s">
        <v>637</v>
      </c>
      <c r="G751" t="s">
        <v>464</v>
      </c>
      <c r="H751" t="s">
        <v>636</v>
      </c>
      <c r="I751" t="s">
        <v>133</v>
      </c>
      <c r="J751" t="s">
        <v>312</v>
      </c>
      <c r="K751" t="s">
        <v>13</v>
      </c>
    </row>
    <row r="752" spans="1:11" x14ac:dyDescent="0.25">
      <c r="A752" t="s">
        <v>422</v>
      </c>
      <c r="B752" t="s">
        <v>681</v>
      </c>
      <c r="C752" t="s">
        <v>637</v>
      </c>
      <c r="G752" t="s">
        <v>464</v>
      </c>
      <c r="H752" t="s">
        <v>636</v>
      </c>
      <c r="I752" t="s">
        <v>133</v>
      </c>
      <c r="J752" t="s">
        <v>312</v>
      </c>
      <c r="K752" t="s">
        <v>13</v>
      </c>
    </row>
    <row r="753" spans="1:11" x14ac:dyDescent="0.25">
      <c r="A753" t="s">
        <v>422</v>
      </c>
      <c r="B753" t="s">
        <v>682</v>
      </c>
      <c r="C753" t="s">
        <v>634</v>
      </c>
      <c r="D753" t="s">
        <v>635</v>
      </c>
      <c r="E753" t="s">
        <v>69</v>
      </c>
      <c r="F753" t="s">
        <v>70</v>
      </c>
      <c r="G753" t="s">
        <v>466</v>
      </c>
      <c r="H753" t="s">
        <v>636</v>
      </c>
      <c r="I753" t="s">
        <v>133</v>
      </c>
      <c r="J753" t="s">
        <v>312</v>
      </c>
      <c r="K753" t="s">
        <v>16</v>
      </c>
    </row>
    <row r="754" spans="1:11" x14ac:dyDescent="0.25">
      <c r="A754" t="s">
        <v>422</v>
      </c>
      <c r="B754" t="s">
        <v>682</v>
      </c>
      <c r="C754" t="s">
        <v>634</v>
      </c>
      <c r="D754" t="s">
        <v>635</v>
      </c>
      <c r="E754" t="s">
        <v>46</v>
      </c>
      <c r="F754" t="s">
        <v>47</v>
      </c>
      <c r="G754" t="s">
        <v>466</v>
      </c>
      <c r="H754" t="s">
        <v>636</v>
      </c>
      <c r="I754" t="s">
        <v>133</v>
      </c>
      <c r="J754" t="s">
        <v>312</v>
      </c>
      <c r="K754" t="s">
        <v>16</v>
      </c>
    </row>
    <row r="755" spans="1:11" x14ac:dyDescent="0.25">
      <c r="A755" t="s">
        <v>422</v>
      </c>
      <c r="B755" t="s">
        <v>682</v>
      </c>
      <c r="C755" t="s">
        <v>634</v>
      </c>
      <c r="D755" t="s">
        <v>638</v>
      </c>
      <c r="E755" t="s">
        <v>43</v>
      </c>
      <c r="F755" t="s">
        <v>675</v>
      </c>
      <c r="G755" t="s">
        <v>466</v>
      </c>
      <c r="H755" t="s">
        <v>636</v>
      </c>
      <c r="I755" t="s">
        <v>133</v>
      </c>
      <c r="J755" t="s">
        <v>312</v>
      </c>
      <c r="K755" t="s">
        <v>16</v>
      </c>
    </row>
    <row r="756" spans="1:11" x14ac:dyDescent="0.25">
      <c r="A756" t="s">
        <v>422</v>
      </c>
      <c r="B756" t="s">
        <v>682</v>
      </c>
      <c r="C756" t="s">
        <v>634</v>
      </c>
      <c r="D756" t="s">
        <v>638</v>
      </c>
      <c r="E756" t="s">
        <v>43</v>
      </c>
      <c r="F756" t="s">
        <v>44</v>
      </c>
      <c r="G756" t="s">
        <v>466</v>
      </c>
      <c r="H756" t="s">
        <v>636</v>
      </c>
      <c r="I756" t="s">
        <v>133</v>
      </c>
      <c r="J756" t="s">
        <v>312</v>
      </c>
      <c r="K756" t="s">
        <v>16</v>
      </c>
    </row>
    <row r="757" spans="1:11" x14ac:dyDescent="0.25">
      <c r="A757" t="s">
        <v>422</v>
      </c>
      <c r="B757" t="s">
        <v>682</v>
      </c>
      <c r="C757" t="s">
        <v>634</v>
      </c>
      <c r="D757" t="s">
        <v>640</v>
      </c>
      <c r="E757" t="s">
        <v>43</v>
      </c>
      <c r="F757" t="s">
        <v>57</v>
      </c>
      <c r="G757" t="s">
        <v>466</v>
      </c>
      <c r="H757" t="s">
        <v>636</v>
      </c>
      <c r="I757" t="s">
        <v>133</v>
      </c>
      <c r="J757" t="s">
        <v>312</v>
      </c>
      <c r="K757" t="s">
        <v>16</v>
      </c>
    </row>
    <row r="758" spans="1:11" x14ac:dyDescent="0.25">
      <c r="A758" t="s">
        <v>422</v>
      </c>
      <c r="B758" t="s">
        <v>682</v>
      </c>
      <c r="C758" t="s">
        <v>637</v>
      </c>
      <c r="D758" t="s">
        <v>640</v>
      </c>
      <c r="E758" t="s">
        <v>71</v>
      </c>
      <c r="F758" t="s">
        <v>675</v>
      </c>
      <c r="G758" t="s">
        <v>466</v>
      </c>
      <c r="H758" t="s">
        <v>636</v>
      </c>
      <c r="I758" t="s">
        <v>133</v>
      </c>
      <c r="J758" t="s">
        <v>312</v>
      </c>
      <c r="K758" t="s">
        <v>16</v>
      </c>
    </row>
    <row r="759" spans="1:11" x14ac:dyDescent="0.25">
      <c r="A759" t="s">
        <v>422</v>
      </c>
      <c r="B759" t="s">
        <v>682</v>
      </c>
      <c r="C759" t="s">
        <v>637</v>
      </c>
      <c r="D759" t="s">
        <v>635</v>
      </c>
      <c r="E759" t="s">
        <v>43</v>
      </c>
      <c r="F759" t="s">
        <v>66</v>
      </c>
      <c r="G759" t="s">
        <v>466</v>
      </c>
      <c r="H759" t="s">
        <v>636</v>
      </c>
      <c r="I759" t="s">
        <v>133</v>
      </c>
      <c r="J759" t="s">
        <v>312</v>
      </c>
      <c r="K759" t="s">
        <v>16</v>
      </c>
    </row>
    <row r="760" spans="1:11" x14ac:dyDescent="0.25">
      <c r="A760" t="s">
        <v>422</v>
      </c>
      <c r="B760" t="s">
        <v>682</v>
      </c>
      <c r="C760" t="s">
        <v>637</v>
      </c>
      <c r="D760" t="s">
        <v>635</v>
      </c>
      <c r="E760" t="s">
        <v>43</v>
      </c>
      <c r="F760" t="s">
        <v>49</v>
      </c>
      <c r="G760" t="s">
        <v>466</v>
      </c>
      <c r="H760" t="s">
        <v>636</v>
      </c>
      <c r="I760" t="s">
        <v>133</v>
      </c>
      <c r="J760" t="s">
        <v>312</v>
      </c>
      <c r="K760" t="s">
        <v>16</v>
      </c>
    </row>
    <row r="761" spans="1:11" x14ac:dyDescent="0.25">
      <c r="A761" t="s">
        <v>422</v>
      </c>
      <c r="B761" t="s">
        <v>682</v>
      </c>
      <c r="C761" t="s">
        <v>637</v>
      </c>
      <c r="D761" t="s">
        <v>638</v>
      </c>
      <c r="E761" t="s">
        <v>43</v>
      </c>
      <c r="F761" t="s">
        <v>44</v>
      </c>
      <c r="G761" t="s">
        <v>466</v>
      </c>
      <c r="H761" t="s">
        <v>636</v>
      </c>
      <c r="I761" t="s">
        <v>133</v>
      </c>
      <c r="J761" t="s">
        <v>312</v>
      </c>
      <c r="K761" t="s">
        <v>16</v>
      </c>
    </row>
    <row r="762" spans="1:11" x14ac:dyDescent="0.25">
      <c r="A762" t="s">
        <v>422</v>
      </c>
      <c r="B762" t="s">
        <v>682</v>
      </c>
      <c r="C762" t="s">
        <v>637</v>
      </c>
      <c r="D762" t="s">
        <v>640</v>
      </c>
      <c r="E762" t="s">
        <v>43</v>
      </c>
      <c r="F762" t="s">
        <v>57</v>
      </c>
      <c r="G762" t="s">
        <v>466</v>
      </c>
      <c r="H762" t="s">
        <v>636</v>
      </c>
      <c r="I762" t="s">
        <v>133</v>
      </c>
      <c r="J762" t="s">
        <v>312</v>
      </c>
      <c r="K762" t="s">
        <v>16</v>
      </c>
    </row>
    <row r="763" spans="1:11" x14ac:dyDescent="0.25">
      <c r="A763" t="s">
        <v>422</v>
      </c>
      <c r="B763" t="s">
        <v>682</v>
      </c>
      <c r="C763" t="s">
        <v>637</v>
      </c>
      <c r="D763" t="s">
        <v>640</v>
      </c>
      <c r="E763" t="s">
        <v>71</v>
      </c>
      <c r="F763" t="s">
        <v>675</v>
      </c>
      <c r="G763" t="s">
        <v>466</v>
      </c>
      <c r="H763" t="s">
        <v>636</v>
      </c>
      <c r="I763" t="s">
        <v>133</v>
      </c>
      <c r="J763" t="s">
        <v>312</v>
      </c>
      <c r="K763" t="s">
        <v>16</v>
      </c>
    </row>
    <row r="764" spans="1:11" x14ac:dyDescent="0.25">
      <c r="A764" t="s">
        <v>422</v>
      </c>
      <c r="B764" t="s">
        <v>683</v>
      </c>
      <c r="C764" t="s">
        <v>634</v>
      </c>
      <c r="D764" t="s">
        <v>635</v>
      </c>
      <c r="E764" t="s">
        <v>43</v>
      </c>
      <c r="F764" t="s">
        <v>44</v>
      </c>
      <c r="G764" t="s">
        <v>468</v>
      </c>
      <c r="H764" t="s">
        <v>636</v>
      </c>
      <c r="I764" t="s">
        <v>133</v>
      </c>
      <c r="J764" t="s">
        <v>312</v>
      </c>
      <c r="K764" t="s">
        <v>8</v>
      </c>
    </row>
    <row r="765" spans="1:11" x14ac:dyDescent="0.25">
      <c r="A765" t="s">
        <v>422</v>
      </c>
      <c r="B765" t="s">
        <v>683</v>
      </c>
      <c r="C765" t="s">
        <v>637</v>
      </c>
      <c r="D765" t="s">
        <v>635</v>
      </c>
      <c r="E765" t="s">
        <v>43</v>
      </c>
      <c r="F765" t="s">
        <v>61</v>
      </c>
      <c r="G765" t="s">
        <v>468</v>
      </c>
      <c r="H765" t="s">
        <v>636</v>
      </c>
      <c r="I765" t="s">
        <v>133</v>
      </c>
      <c r="J765" t="s">
        <v>312</v>
      </c>
      <c r="K765" t="s">
        <v>8</v>
      </c>
    </row>
    <row r="766" spans="1:11" x14ac:dyDescent="0.25">
      <c r="A766" t="s">
        <v>422</v>
      </c>
      <c r="B766" t="s">
        <v>683</v>
      </c>
      <c r="C766" t="s">
        <v>634</v>
      </c>
      <c r="D766" t="s">
        <v>640</v>
      </c>
      <c r="E766" t="s">
        <v>69</v>
      </c>
      <c r="F766" t="s">
        <v>77</v>
      </c>
      <c r="G766" t="s">
        <v>468</v>
      </c>
      <c r="H766" t="s">
        <v>636</v>
      </c>
      <c r="I766" t="s">
        <v>133</v>
      </c>
      <c r="J766" t="s">
        <v>312</v>
      </c>
      <c r="K766" t="s">
        <v>8</v>
      </c>
    </row>
    <row r="767" spans="1:11" x14ac:dyDescent="0.25">
      <c r="A767" t="s">
        <v>422</v>
      </c>
      <c r="B767" t="s">
        <v>683</v>
      </c>
      <c r="C767" t="s">
        <v>634</v>
      </c>
      <c r="D767" t="s">
        <v>640</v>
      </c>
      <c r="E767" t="s">
        <v>71</v>
      </c>
      <c r="F767" t="s">
        <v>88</v>
      </c>
      <c r="G767" t="s">
        <v>468</v>
      </c>
      <c r="H767" t="s">
        <v>636</v>
      </c>
      <c r="I767" t="s">
        <v>133</v>
      </c>
      <c r="J767" t="s">
        <v>312</v>
      </c>
      <c r="K767" t="s">
        <v>8</v>
      </c>
    </row>
    <row r="768" spans="1:11" x14ac:dyDescent="0.25">
      <c r="A768" t="s">
        <v>422</v>
      </c>
      <c r="B768" t="s">
        <v>683</v>
      </c>
      <c r="C768" t="s">
        <v>634</v>
      </c>
      <c r="D768" t="s">
        <v>640</v>
      </c>
      <c r="E768" t="s">
        <v>83</v>
      </c>
      <c r="F768" t="s">
        <v>104</v>
      </c>
      <c r="G768" t="s">
        <v>468</v>
      </c>
      <c r="H768" t="s">
        <v>636</v>
      </c>
      <c r="I768" t="s">
        <v>133</v>
      </c>
      <c r="J768" t="s">
        <v>312</v>
      </c>
      <c r="K768" t="s">
        <v>8</v>
      </c>
    </row>
    <row r="769" spans="1:11" x14ac:dyDescent="0.25">
      <c r="A769" t="s">
        <v>422</v>
      </c>
      <c r="B769" t="s">
        <v>683</v>
      </c>
      <c r="C769" t="s">
        <v>637</v>
      </c>
      <c r="D769" t="s">
        <v>640</v>
      </c>
      <c r="E769" t="s">
        <v>63</v>
      </c>
      <c r="F769" t="s">
        <v>67</v>
      </c>
      <c r="G769" t="s">
        <v>468</v>
      </c>
      <c r="H769" t="s">
        <v>636</v>
      </c>
      <c r="I769" t="s">
        <v>133</v>
      </c>
      <c r="J769" t="s">
        <v>312</v>
      </c>
      <c r="K769" t="s">
        <v>8</v>
      </c>
    </row>
    <row r="770" spans="1:11" x14ac:dyDescent="0.25">
      <c r="A770" t="s">
        <v>422</v>
      </c>
      <c r="B770" t="s">
        <v>683</v>
      </c>
      <c r="C770" t="s">
        <v>637</v>
      </c>
      <c r="D770" t="s">
        <v>638</v>
      </c>
      <c r="E770" t="s">
        <v>46</v>
      </c>
      <c r="F770" t="s">
        <v>47</v>
      </c>
      <c r="G770" t="s">
        <v>468</v>
      </c>
      <c r="H770" t="s">
        <v>636</v>
      </c>
      <c r="I770" t="s">
        <v>133</v>
      </c>
      <c r="J770" t="s">
        <v>312</v>
      </c>
      <c r="K770" t="s">
        <v>8</v>
      </c>
    </row>
    <row r="771" spans="1:11" x14ac:dyDescent="0.25">
      <c r="A771" t="s">
        <v>422</v>
      </c>
      <c r="B771" t="s">
        <v>683</v>
      </c>
      <c r="C771" t="s">
        <v>637</v>
      </c>
      <c r="D771" t="s">
        <v>638</v>
      </c>
      <c r="E771" t="s">
        <v>93</v>
      </c>
      <c r="F771" t="s">
        <v>94</v>
      </c>
      <c r="G771" t="s">
        <v>468</v>
      </c>
      <c r="H771" t="s">
        <v>636</v>
      </c>
      <c r="I771" t="s">
        <v>133</v>
      </c>
      <c r="J771" t="s">
        <v>312</v>
      </c>
      <c r="K771" t="s">
        <v>8</v>
      </c>
    </row>
    <row r="772" spans="1:11" x14ac:dyDescent="0.25">
      <c r="A772" t="s">
        <v>422</v>
      </c>
      <c r="B772" t="s">
        <v>683</v>
      </c>
      <c r="C772" t="s">
        <v>637</v>
      </c>
      <c r="D772" t="s">
        <v>640</v>
      </c>
      <c r="E772" t="s">
        <v>110</v>
      </c>
      <c r="F772" t="s">
        <v>140</v>
      </c>
      <c r="G772" t="s">
        <v>468</v>
      </c>
      <c r="H772" t="s">
        <v>636</v>
      </c>
      <c r="I772" t="s">
        <v>133</v>
      </c>
      <c r="J772" t="s">
        <v>312</v>
      </c>
      <c r="K772" t="s">
        <v>8</v>
      </c>
    </row>
    <row r="773" spans="1:11" x14ac:dyDescent="0.25">
      <c r="A773" t="s">
        <v>422</v>
      </c>
      <c r="B773" t="s">
        <v>683</v>
      </c>
      <c r="C773" t="s">
        <v>637</v>
      </c>
      <c r="D773" t="s">
        <v>640</v>
      </c>
      <c r="E773" t="s">
        <v>110</v>
      </c>
      <c r="F773" t="s">
        <v>142</v>
      </c>
      <c r="G773" t="s">
        <v>468</v>
      </c>
      <c r="H773" t="s">
        <v>636</v>
      </c>
      <c r="I773" t="s">
        <v>133</v>
      </c>
      <c r="J773" t="s">
        <v>312</v>
      </c>
      <c r="K773" t="s">
        <v>8</v>
      </c>
    </row>
    <row r="774" spans="1:11" x14ac:dyDescent="0.25">
      <c r="A774" t="s">
        <v>422</v>
      </c>
      <c r="B774" t="s">
        <v>683</v>
      </c>
      <c r="C774" t="s">
        <v>637</v>
      </c>
      <c r="D774" t="s">
        <v>640</v>
      </c>
      <c r="E774" t="s">
        <v>59</v>
      </c>
      <c r="F774" t="s">
        <v>96</v>
      </c>
      <c r="G774" t="s">
        <v>468</v>
      </c>
      <c r="H774" t="s">
        <v>636</v>
      </c>
      <c r="I774" t="s">
        <v>133</v>
      </c>
      <c r="J774" t="s">
        <v>312</v>
      </c>
      <c r="K774" t="s">
        <v>8</v>
      </c>
    </row>
    <row r="775" spans="1:11" x14ac:dyDescent="0.25">
      <c r="A775" t="s">
        <v>422</v>
      </c>
      <c r="B775" t="s">
        <v>683</v>
      </c>
      <c r="C775" t="s">
        <v>637</v>
      </c>
      <c r="D775" t="s">
        <v>635</v>
      </c>
      <c r="E775" t="s">
        <v>59</v>
      </c>
      <c r="F775" t="s">
        <v>60</v>
      </c>
      <c r="G775" t="s">
        <v>468</v>
      </c>
      <c r="H775" t="s">
        <v>636</v>
      </c>
      <c r="I775" t="s">
        <v>133</v>
      </c>
      <c r="J775" t="s">
        <v>312</v>
      </c>
      <c r="K775" t="s">
        <v>8</v>
      </c>
    </row>
    <row r="776" spans="1:11" x14ac:dyDescent="0.25">
      <c r="A776" t="s">
        <v>422</v>
      </c>
      <c r="B776" t="s">
        <v>683</v>
      </c>
      <c r="C776" t="s">
        <v>637</v>
      </c>
      <c r="D776" t="s">
        <v>638</v>
      </c>
      <c r="E776" t="s">
        <v>160</v>
      </c>
      <c r="F776" t="s">
        <v>163</v>
      </c>
      <c r="G776" t="s">
        <v>468</v>
      </c>
      <c r="H776" t="s">
        <v>636</v>
      </c>
      <c r="I776" t="s">
        <v>133</v>
      </c>
      <c r="J776" t="s">
        <v>312</v>
      </c>
      <c r="K776" t="s">
        <v>8</v>
      </c>
    </row>
    <row r="777" spans="1:11" x14ac:dyDescent="0.25">
      <c r="A777" t="s">
        <v>422</v>
      </c>
      <c r="B777" t="s">
        <v>683</v>
      </c>
      <c r="C777" t="s">
        <v>637</v>
      </c>
      <c r="D777" t="s">
        <v>638</v>
      </c>
      <c r="E777" t="s">
        <v>160</v>
      </c>
      <c r="F777" t="s">
        <v>165</v>
      </c>
      <c r="G777" t="s">
        <v>468</v>
      </c>
      <c r="H777" t="s">
        <v>636</v>
      </c>
      <c r="I777" t="s">
        <v>133</v>
      </c>
      <c r="J777" t="s">
        <v>312</v>
      </c>
      <c r="K777" t="s">
        <v>8</v>
      </c>
    </row>
    <row r="778" spans="1:11" x14ac:dyDescent="0.25">
      <c r="A778" t="s">
        <v>422</v>
      </c>
      <c r="B778" t="s">
        <v>683</v>
      </c>
      <c r="C778" t="s">
        <v>637</v>
      </c>
      <c r="D778" t="s">
        <v>638</v>
      </c>
      <c r="E778" t="s">
        <v>160</v>
      </c>
      <c r="F778" t="s">
        <v>166</v>
      </c>
      <c r="G778" t="s">
        <v>468</v>
      </c>
      <c r="H778" t="s">
        <v>636</v>
      </c>
      <c r="I778" t="s">
        <v>133</v>
      </c>
      <c r="J778" t="s">
        <v>312</v>
      </c>
      <c r="K778" t="s">
        <v>8</v>
      </c>
    </row>
    <row r="779" spans="1:11" x14ac:dyDescent="0.25">
      <c r="A779" t="s">
        <v>422</v>
      </c>
      <c r="B779" t="s">
        <v>683</v>
      </c>
      <c r="C779" t="s">
        <v>637</v>
      </c>
      <c r="D779" t="s">
        <v>638</v>
      </c>
      <c r="E779" t="s">
        <v>160</v>
      </c>
      <c r="F779" t="s">
        <v>168</v>
      </c>
      <c r="G779" t="s">
        <v>468</v>
      </c>
      <c r="H779" t="s">
        <v>636</v>
      </c>
      <c r="I779" t="s">
        <v>133</v>
      </c>
      <c r="J779" t="s">
        <v>312</v>
      </c>
      <c r="K779" t="s">
        <v>8</v>
      </c>
    </row>
    <row r="780" spans="1:11" x14ac:dyDescent="0.25">
      <c r="A780" t="s">
        <v>422</v>
      </c>
      <c r="B780" t="s">
        <v>684</v>
      </c>
      <c r="C780" t="s">
        <v>634</v>
      </c>
      <c r="D780" t="s">
        <v>635</v>
      </c>
      <c r="E780" t="s">
        <v>43</v>
      </c>
      <c r="F780" t="s">
        <v>53</v>
      </c>
      <c r="G780" t="s">
        <v>446</v>
      </c>
      <c r="H780" t="s">
        <v>636</v>
      </c>
      <c r="I780" t="s">
        <v>133</v>
      </c>
      <c r="J780" t="s">
        <v>312</v>
      </c>
      <c r="K780" t="s">
        <v>32</v>
      </c>
    </row>
    <row r="781" spans="1:11" x14ac:dyDescent="0.25">
      <c r="A781" t="s">
        <v>422</v>
      </c>
      <c r="B781" t="s">
        <v>684</v>
      </c>
      <c r="C781" t="s">
        <v>634</v>
      </c>
      <c r="D781" t="s">
        <v>635</v>
      </c>
      <c r="E781" t="s">
        <v>43</v>
      </c>
      <c r="F781" t="s">
        <v>49</v>
      </c>
      <c r="G781" t="s">
        <v>446</v>
      </c>
      <c r="H781" t="s">
        <v>636</v>
      </c>
      <c r="I781" t="s">
        <v>133</v>
      </c>
      <c r="J781" t="s">
        <v>312</v>
      </c>
      <c r="K781" t="s">
        <v>32</v>
      </c>
    </row>
    <row r="782" spans="1:11" x14ac:dyDescent="0.25">
      <c r="A782" t="s">
        <v>422</v>
      </c>
      <c r="B782" t="s">
        <v>684</v>
      </c>
      <c r="C782" t="s">
        <v>634</v>
      </c>
      <c r="D782" t="s">
        <v>635</v>
      </c>
      <c r="E782" t="s">
        <v>83</v>
      </c>
      <c r="F782" t="s">
        <v>104</v>
      </c>
      <c r="G782" t="s">
        <v>446</v>
      </c>
      <c r="H782" t="s">
        <v>636</v>
      </c>
      <c r="I782" t="s">
        <v>133</v>
      </c>
      <c r="J782" t="s">
        <v>312</v>
      </c>
      <c r="K782" t="s">
        <v>32</v>
      </c>
    </row>
    <row r="783" spans="1:11" x14ac:dyDescent="0.25">
      <c r="A783" t="s">
        <v>422</v>
      </c>
      <c r="B783" t="s">
        <v>684</v>
      </c>
      <c r="C783" t="s">
        <v>634</v>
      </c>
      <c r="D783" t="s">
        <v>635</v>
      </c>
      <c r="E783" t="s">
        <v>46</v>
      </c>
      <c r="F783" t="s">
        <v>47</v>
      </c>
      <c r="G783" t="s">
        <v>446</v>
      </c>
      <c r="H783" t="s">
        <v>636</v>
      </c>
      <c r="I783" t="s">
        <v>133</v>
      </c>
      <c r="J783" t="s">
        <v>312</v>
      </c>
      <c r="K783" t="s">
        <v>32</v>
      </c>
    </row>
    <row r="784" spans="1:11" x14ac:dyDescent="0.25">
      <c r="A784" t="s">
        <v>422</v>
      </c>
      <c r="B784" t="s">
        <v>684</v>
      </c>
      <c r="C784" t="s">
        <v>637</v>
      </c>
      <c r="D784" t="s">
        <v>638</v>
      </c>
      <c r="E784" t="s">
        <v>43</v>
      </c>
      <c r="F784" t="s">
        <v>61</v>
      </c>
      <c r="G784" t="s">
        <v>446</v>
      </c>
      <c r="H784" t="s">
        <v>636</v>
      </c>
      <c r="I784" t="s">
        <v>133</v>
      </c>
      <c r="J784" t="s">
        <v>312</v>
      </c>
      <c r="K784" t="s">
        <v>32</v>
      </c>
    </row>
    <row r="785" spans="1:11" x14ac:dyDescent="0.25">
      <c r="A785" t="s">
        <v>422</v>
      </c>
      <c r="B785" t="s">
        <v>684</v>
      </c>
      <c r="C785" t="s">
        <v>637</v>
      </c>
      <c r="D785" t="s">
        <v>638</v>
      </c>
      <c r="E785" t="s">
        <v>71</v>
      </c>
      <c r="F785" t="s">
        <v>86</v>
      </c>
      <c r="G785" t="s">
        <v>446</v>
      </c>
      <c r="H785" t="s">
        <v>636</v>
      </c>
      <c r="I785" t="s">
        <v>133</v>
      </c>
      <c r="J785" t="s">
        <v>312</v>
      </c>
      <c r="K785" t="s">
        <v>32</v>
      </c>
    </row>
    <row r="786" spans="1:11" x14ac:dyDescent="0.25">
      <c r="A786" t="s">
        <v>422</v>
      </c>
      <c r="B786" t="s">
        <v>684</v>
      </c>
      <c r="C786" t="s">
        <v>637</v>
      </c>
      <c r="D786" t="s">
        <v>638</v>
      </c>
      <c r="E786" t="s">
        <v>43</v>
      </c>
      <c r="F786" t="s">
        <v>44</v>
      </c>
      <c r="G786" t="s">
        <v>446</v>
      </c>
      <c r="H786" t="s">
        <v>636</v>
      </c>
      <c r="I786" t="s">
        <v>133</v>
      </c>
      <c r="J786" t="s">
        <v>312</v>
      </c>
      <c r="K786" t="s">
        <v>32</v>
      </c>
    </row>
    <row r="787" spans="1:11" x14ac:dyDescent="0.25">
      <c r="A787" t="s">
        <v>422</v>
      </c>
      <c r="B787" t="s">
        <v>684</v>
      </c>
      <c r="C787" t="s">
        <v>637</v>
      </c>
      <c r="D787" t="s">
        <v>640</v>
      </c>
      <c r="E787" t="s">
        <v>43</v>
      </c>
      <c r="F787" t="s">
        <v>61</v>
      </c>
      <c r="G787" t="s">
        <v>446</v>
      </c>
      <c r="H787" t="s">
        <v>636</v>
      </c>
      <c r="I787" t="s">
        <v>133</v>
      </c>
      <c r="J787" t="s">
        <v>312</v>
      </c>
      <c r="K787" t="s">
        <v>32</v>
      </c>
    </row>
    <row r="788" spans="1:11" x14ac:dyDescent="0.25">
      <c r="A788" t="s">
        <v>422</v>
      </c>
      <c r="B788" t="s">
        <v>684</v>
      </c>
      <c r="C788" t="s">
        <v>637</v>
      </c>
      <c r="D788" t="s">
        <v>640</v>
      </c>
      <c r="E788" t="s">
        <v>71</v>
      </c>
      <c r="F788" t="s">
        <v>72</v>
      </c>
      <c r="G788" t="s">
        <v>446</v>
      </c>
      <c r="H788" t="s">
        <v>636</v>
      </c>
      <c r="I788" t="s">
        <v>133</v>
      </c>
      <c r="J788" t="s">
        <v>312</v>
      </c>
      <c r="K788" t="s">
        <v>32</v>
      </c>
    </row>
    <row r="789" spans="1:11" x14ac:dyDescent="0.25">
      <c r="A789" t="s">
        <v>422</v>
      </c>
      <c r="B789" t="s">
        <v>684</v>
      </c>
      <c r="C789" t="s">
        <v>645</v>
      </c>
      <c r="D789" t="s">
        <v>640</v>
      </c>
      <c r="E789" t="s">
        <v>71</v>
      </c>
      <c r="F789" t="s">
        <v>98</v>
      </c>
      <c r="G789" t="s">
        <v>446</v>
      </c>
      <c r="H789" t="s">
        <v>636</v>
      </c>
      <c r="I789" t="s">
        <v>133</v>
      </c>
      <c r="J789" t="s">
        <v>312</v>
      </c>
      <c r="K789" t="s">
        <v>32</v>
      </c>
    </row>
    <row r="790" spans="1:11" x14ac:dyDescent="0.25">
      <c r="A790" t="s">
        <v>422</v>
      </c>
      <c r="B790" t="s">
        <v>684</v>
      </c>
      <c r="C790" t="s">
        <v>645</v>
      </c>
      <c r="G790" t="s">
        <v>446</v>
      </c>
      <c r="H790" t="s">
        <v>636</v>
      </c>
      <c r="I790" t="s">
        <v>133</v>
      </c>
      <c r="J790" t="s">
        <v>312</v>
      </c>
      <c r="K790" t="s">
        <v>32</v>
      </c>
    </row>
    <row r="791" spans="1:11" x14ac:dyDescent="0.25">
      <c r="A791" t="s">
        <v>422</v>
      </c>
      <c r="B791" t="s">
        <v>684</v>
      </c>
      <c r="C791" t="s">
        <v>634</v>
      </c>
      <c r="D791" t="s">
        <v>635</v>
      </c>
      <c r="E791" t="s">
        <v>43</v>
      </c>
      <c r="F791" t="s">
        <v>53</v>
      </c>
      <c r="G791" t="s">
        <v>446</v>
      </c>
      <c r="H791" t="s">
        <v>636</v>
      </c>
      <c r="I791" t="s">
        <v>152</v>
      </c>
      <c r="J791" t="s">
        <v>320</v>
      </c>
      <c r="K791" t="s">
        <v>32</v>
      </c>
    </row>
    <row r="792" spans="1:11" x14ac:dyDescent="0.25">
      <c r="A792" t="s">
        <v>422</v>
      </c>
      <c r="B792" t="s">
        <v>684</v>
      </c>
      <c r="C792" t="s">
        <v>634</v>
      </c>
      <c r="D792" t="s">
        <v>635</v>
      </c>
      <c r="E792" t="s">
        <v>43</v>
      </c>
      <c r="F792" t="s">
        <v>49</v>
      </c>
      <c r="G792" t="s">
        <v>446</v>
      </c>
      <c r="H792" t="s">
        <v>636</v>
      </c>
      <c r="I792" t="s">
        <v>152</v>
      </c>
      <c r="J792" t="s">
        <v>320</v>
      </c>
      <c r="K792" t="s">
        <v>32</v>
      </c>
    </row>
    <row r="793" spans="1:11" x14ac:dyDescent="0.25">
      <c r="A793" t="s">
        <v>422</v>
      </c>
      <c r="B793" t="s">
        <v>684</v>
      </c>
      <c r="C793" t="s">
        <v>634</v>
      </c>
      <c r="D793" t="s">
        <v>635</v>
      </c>
      <c r="E793" t="s">
        <v>83</v>
      </c>
      <c r="F793" t="s">
        <v>104</v>
      </c>
      <c r="G793" t="s">
        <v>446</v>
      </c>
      <c r="H793" t="s">
        <v>636</v>
      </c>
      <c r="I793" t="s">
        <v>152</v>
      </c>
      <c r="J793" t="s">
        <v>320</v>
      </c>
      <c r="K793" t="s">
        <v>32</v>
      </c>
    </row>
    <row r="794" spans="1:11" x14ac:dyDescent="0.25">
      <c r="A794" t="s">
        <v>422</v>
      </c>
      <c r="B794" t="s">
        <v>684</v>
      </c>
      <c r="C794" t="s">
        <v>634</v>
      </c>
      <c r="D794" t="s">
        <v>635</v>
      </c>
      <c r="E794" t="s">
        <v>46</v>
      </c>
      <c r="F794" t="s">
        <v>47</v>
      </c>
      <c r="G794" t="s">
        <v>446</v>
      </c>
      <c r="H794" t="s">
        <v>636</v>
      </c>
      <c r="I794" t="s">
        <v>152</v>
      </c>
      <c r="J794" t="s">
        <v>320</v>
      </c>
      <c r="K794" t="s">
        <v>32</v>
      </c>
    </row>
    <row r="795" spans="1:11" x14ac:dyDescent="0.25">
      <c r="A795" t="s">
        <v>422</v>
      </c>
      <c r="B795" t="s">
        <v>684</v>
      </c>
      <c r="C795" t="s">
        <v>637</v>
      </c>
      <c r="D795" t="s">
        <v>638</v>
      </c>
      <c r="E795" t="s">
        <v>43</v>
      </c>
      <c r="F795" t="s">
        <v>61</v>
      </c>
      <c r="G795" t="s">
        <v>446</v>
      </c>
      <c r="H795" t="s">
        <v>636</v>
      </c>
      <c r="I795" t="s">
        <v>152</v>
      </c>
      <c r="J795" t="s">
        <v>320</v>
      </c>
      <c r="K795" t="s">
        <v>32</v>
      </c>
    </row>
    <row r="796" spans="1:11" x14ac:dyDescent="0.25">
      <c r="A796" t="s">
        <v>422</v>
      </c>
      <c r="B796" t="s">
        <v>684</v>
      </c>
      <c r="C796" t="s">
        <v>637</v>
      </c>
      <c r="D796" t="s">
        <v>638</v>
      </c>
      <c r="E796" t="s">
        <v>71</v>
      </c>
      <c r="F796" t="s">
        <v>86</v>
      </c>
      <c r="G796" t="s">
        <v>446</v>
      </c>
      <c r="H796" t="s">
        <v>636</v>
      </c>
      <c r="I796" t="s">
        <v>152</v>
      </c>
      <c r="J796" t="s">
        <v>320</v>
      </c>
      <c r="K796" t="s">
        <v>32</v>
      </c>
    </row>
    <row r="797" spans="1:11" x14ac:dyDescent="0.25">
      <c r="A797" t="s">
        <v>422</v>
      </c>
      <c r="B797" t="s">
        <v>684</v>
      </c>
      <c r="C797" t="s">
        <v>637</v>
      </c>
      <c r="D797" t="s">
        <v>638</v>
      </c>
      <c r="E797" t="s">
        <v>43</v>
      </c>
      <c r="F797" t="s">
        <v>44</v>
      </c>
      <c r="G797" t="s">
        <v>446</v>
      </c>
      <c r="H797" t="s">
        <v>636</v>
      </c>
      <c r="I797" t="s">
        <v>152</v>
      </c>
      <c r="J797" t="s">
        <v>320</v>
      </c>
      <c r="K797" t="s">
        <v>32</v>
      </c>
    </row>
    <row r="798" spans="1:11" x14ac:dyDescent="0.25">
      <c r="A798" t="s">
        <v>422</v>
      </c>
      <c r="B798" t="s">
        <v>684</v>
      </c>
      <c r="C798" t="s">
        <v>637</v>
      </c>
      <c r="D798" t="s">
        <v>640</v>
      </c>
      <c r="E798" t="s">
        <v>43</v>
      </c>
      <c r="F798" t="s">
        <v>61</v>
      </c>
      <c r="G798" t="s">
        <v>446</v>
      </c>
      <c r="H798" t="s">
        <v>636</v>
      </c>
      <c r="I798" t="s">
        <v>152</v>
      </c>
      <c r="J798" t="s">
        <v>320</v>
      </c>
      <c r="K798" t="s">
        <v>32</v>
      </c>
    </row>
    <row r="799" spans="1:11" x14ac:dyDescent="0.25">
      <c r="A799" t="s">
        <v>422</v>
      </c>
      <c r="B799" t="s">
        <v>684</v>
      </c>
      <c r="C799" t="s">
        <v>637</v>
      </c>
      <c r="D799" t="s">
        <v>640</v>
      </c>
      <c r="E799" t="s">
        <v>71</v>
      </c>
      <c r="F799" t="s">
        <v>72</v>
      </c>
      <c r="G799" t="s">
        <v>446</v>
      </c>
      <c r="H799" t="s">
        <v>636</v>
      </c>
      <c r="I799" t="s">
        <v>152</v>
      </c>
      <c r="J799" t="s">
        <v>320</v>
      </c>
      <c r="K799" t="s">
        <v>32</v>
      </c>
    </row>
    <row r="800" spans="1:11" x14ac:dyDescent="0.25">
      <c r="A800" t="s">
        <v>422</v>
      </c>
      <c r="B800" t="s">
        <v>684</v>
      </c>
      <c r="C800" t="s">
        <v>645</v>
      </c>
      <c r="D800" t="s">
        <v>640</v>
      </c>
      <c r="E800" t="s">
        <v>71</v>
      </c>
      <c r="F800" t="s">
        <v>98</v>
      </c>
      <c r="G800" t="s">
        <v>446</v>
      </c>
      <c r="H800" t="s">
        <v>636</v>
      </c>
      <c r="I800" t="s">
        <v>152</v>
      </c>
      <c r="J800" t="s">
        <v>320</v>
      </c>
      <c r="K800" t="s">
        <v>32</v>
      </c>
    </row>
    <row r="801" spans="1:11" x14ac:dyDescent="0.25">
      <c r="A801" t="s">
        <v>422</v>
      </c>
      <c r="B801" t="s">
        <v>684</v>
      </c>
      <c r="C801" t="s">
        <v>645</v>
      </c>
      <c r="G801" t="s">
        <v>446</v>
      </c>
      <c r="H801" t="s">
        <v>636</v>
      </c>
      <c r="I801" t="s">
        <v>152</v>
      </c>
      <c r="J801" t="s">
        <v>320</v>
      </c>
      <c r="K801" t="s">
        <v>32</v>
      </c>
    </row>
    <row r="802" spans="1:11" x14ac:dyDescent="0.25">
      <c r="A802" t="s">
        <v>422</v>
      </c>
      <c r="B802" t="s">
        <v>685</v>
      </c>
      <c r="C802" t="s">
        <v>634</v>
      </c>
      <c r="D802" t="s">
        <v>635</v>
      </c>
      <c r="E802" t="s">
        <v>43</v>
      </c>
      <c r="F802" t="s">
        <v>44</v>
      </c>
      <c r="G802" t="s">
        <v>448</v>
      </c>
      <c r="H802" t="s">
        <v>636</v>
      </c>
      <c r="I802" t="s">
        <v>133</v>
      </c>
      <c r="J802" t="s">
        <v>312</v>
      </c>
      <c r="K802" t="s">
        <v>9</v>
      </c>
    </row>
    <row r="803" spans="1:11" x14ac:dyDescent="0.25">
      <c r="A803" t="s">
        <v>422</v>
      </c>
      <c r="B803" t="s">
        <v>685</v>
      </c>
      <c r="C803" t="s">
        <v>634</v>
      </c>
      <c r="D803" t="s">
        <v>635</v>
      </c>
      <c r="E803" t="s">
        <v>43</v>
      </c>
      <c r="F803" t="s">
        <v>61</v>
      </c>
      <c r="G803" t="s">
        <v>448</v>
      </c>
      <c r="H803" t="s">
        <v>636</v>
      </c>
      <c r="I803" t="s">
        <v>133</v>
      </c>
      <c r="J803" t="s">
        <v>312</v>
      </c>
      <c r="K803" t="s">
        <v>9</v>
      </c>
    </row>
    <row r="804" spans="1:11" x14ac:dyDescent="0.25">
      <c r="A804" t="s">
        <v>422</v>
      </c>
      <c r="B804" t="s">
        <v>685</v>
      </c>
      <c r="C804" t="s">
        <v>634</v>
      </c>
      <c r="D804" t="s">
        <v>635</v>
      </c>
      <c r="E804" t="s">
        <v>71</v>
      </c>
      <c r="F804" t="s">
        <v>72</v>
      </c>
      <c r="G804" t="s">
        <v>448</v>
      </c>
      <c r="H804" t="s">
        <v>636</v>
      </c>
      <c r="I804" t="s">
        <v>133</v>
      </c>
      <c r="J804" t="s">
        <v>312</v>
      </c>
      <c r="K804" t="s">
        <v>9</v>
      </c>
    </row>
    <row r="805" spans="1:11" x14ac:dyDescent="0.25">
      <c r="A805" t="s">
        <v>422</v>
      </c>
      <c r="B805" t="s">
        <v>685</v>
      </c>
      <c r="C805" t="s">
        <v>637</v>
      </c>
      <c r="D805" t="s">
        <v>635</v>
      </c>
      <c r="E805" t="s">
        <v>46</v>
      </c>
      <c r="F805" t="s">
        <v>47</v>
      </c>
      <c r="G805" t="s">
        <v>448</v>
      </c>
      <c r="H805" t="s">
        <v>636</v>
      </c>
      <c r="I805" t="s">
        <v>133</v>
      </c>
      <c r="J805" t="s">
        <v>312</v>
      </c>
      <c r="K805" t="s">
        <v>9</v>
      </c>
    </row>
    <row r="806" spans="1:11" x14ac:dyDescent="0.25">
      <c r="A806" t="s">
        <v>422</v>
      </c>
      <c r="B806" t="s">
        <v>685</v>
      </c>
      <c r="C806" t="s">
        <v>637</v>
      </c>
      <c r="D806" t="s">
        <v>638</v>
      </c>
      <c r="E806" t="s">
        <v>69</v>
      </c>
      <c r="F806" t="s">
        <v>82</v>
      </c>
      <c r="G806" t="s">
        <v>448</v>
      </c>
      <c r="H806" t="s">
        <v>636</v>
      </c>
      <c r="I806" t="s">
        <v>133</v>
      </c>
      <c r="J806" t="s">
        <v>312</v>
      </c>
      <c r="K806" t="s">
        <v>9</v>
      </c>
    </row>
    <row r="807" spans="1:11" x14ac:dyDescent="0.25">
      <c r="A807" t="s">
        <v>422</v>
      </c>
      <c r="B807" t="s">
        <v>685</v>
      </c>
      <c r="C807" t="s">
        <v>637</v>
      </c>
      <c r="D807" t="s">
        <v>638</v>
      </c>
      <c r="E807" t="s">
        <v>160</v>
      </c>
      <c r="F807" t="s">
        <v>166</v>
      </c>
      <c r="G807" t="s">
        <v>448</v>
      </c>
      <c r="H807" t="s">
        <v>636</v>
      </c>
      <c r="I807" t="s">
        <v>133</v>
      </c>
      <c r="J807" t="s">
        <v>312</v>
      </c>
      <c r="K807" t="s">
        <v>9</v>
      </c>
    </row>
    <row r="808" spans="1:11" x14ac:dyDescent="0.25">
      <c r="A808" t="s">
        <v>422</v>
      </c>
      <c r="B808" t="s">
        <v>685</v>
      </c>
      <c r="C808" t="s">
        <v>637</v>
      </c>
      <c r="D808" t="s">
        <v>638</v>
      </c>
      <c r="E808" t="s">
        <v>71</v>
      </c>
      <c r="F808" t="s">
        <v>72</v>
      </c>
      <c r="G808" t="s">
        <v>448</v>
      </c>
      <c r="H808" t="s">
        <v>636</v>
      </c>
      <c r="I808" t="s">
        <v>133</v>
      </c>
      <c r="J808" t="s">
        <v>312</v>
      </c>
      <c r="K808" t="s">
        <v>9</v>
      </c>
    </row>
    <row r="809" spans="1:11" x14ac:dyDescent="0.25">
      <c r="A809" t="s">
        <v>422</v>
      </c>
      <c r="B809" t="s">
        <v>685</v>
      </c>
      <c r="C809" t="s">
        <v>637</v>
      </c>
      <c r="D809" t="s">
        <v>638</v>
      </c>
      <c r="E809" t="s">
        <v>110</v>
      </c>
      <c r="F809" t="s">
        <v>138</v>
      </c>
      <c r="G809" t="s">
        <v>448</v>
      </c>
      <c r="H809" t="s">
        <v>636</v>
      </c>
      <c r="I809" t="s">
        <v>133</v>
      </c>
      <c r="J809" t="s">
        <v>312</v>
      </c>
      <c r="K809" t="s">
        <v>9</v>
      </c>
    </row>
    <row r="810" spans="1:11" x14ac:dyDescent="0.25">
      <c r="A810" t="s">
        <v>422</v>
      </c>
      <c r="B810" t="s">
        <v>685</v>
      </c>
      <c r="C810" t="s">
        <v>637</v>
      </c>
      <c r="D810" t="s">
        <v>638</v>
      </c>
      <c r="E810" t="s">
        <v>46</v>
      </c>
      <c r="F810" t="s">
        <v>55</v>
      </c>
      <c r="G810" t="s">
        <v>448</v>
      </c>
      <c r="H810" t="s">
        <v>636</v>
      </c>
      <c r="I810" t="s">
        <v>133</v>
      </c>
      <c r="J810" t="s">
        <v>312</v>
      </c>
      <c r="K810" t="s">
        <v>9</v>
      </c>
    </row>
    <row r="811" spans="1:11" x14ac:dyDescent="0.25">
      <c r="A811" t="s">
        <v>422</v>
      </c>
      <c r="B811" t="s">
        <v>685</v>
      </c>
      <c r="C811" t="s">
        <v>637</v>
      </c>
      <c r="D811" t="s">
        <v>640</v>
      </c>
      <c r="E811" t="s">
        <v>63</v>
      </c>
      <c r="F811" t="s">
        <v>67</v>
      </c>
      <c r="G811" t="s">
        <v>448</v>
      </c>
      <c r="H811" t="s">
        <v>636</v>
      </c>
      <c r="I811" t="s">
        <v>133</v>
      </c>
      <c r="J811" t="s">
        <v>312</v>
      </c>
      <c r="K811" t="s">
        <v>9</v>
      </c>
    </row>
    <row r="812" spans="1:11" x14ac:dyDescent="0.25">
      <c r="A812" t="s">
        <v>422</v>
      </c>
      <c r="B812" t="s">
        <v>685</v>
      </c>
      <c r="C812" t="s">
        <v>637</v>
      </c>
      <c r="D812" t="s">
        <v>640</v>
      </c>
      <c r="E812" t="s">
        <v>63</v>
      </c>
      <c r="F812" t="s">
        <v>113</v>
      </c>
      <c r="G812" t="s">
        <v>448</v>
      </c>
      <c r="H812" t="s">
        <v>636</v>
      </c>
      <c r="I812" t="s">
        <v>133</v>
      </c>
      <c r="J812" t="s">
        <v>312</v>
      </c>
      <c r="K812" t="s">
        <v>9</v>
      </c>
    </row>
    <row r="813" spans="1:11" x14ac:dyDescent="0.25">
      <c r="A813" t="s">
        <v>422</v>
      </c>
      <c r="B813" t="s">
        <v>686</v>
      </c>
      <c r="C813" t="s">
        <v>634</v>
      </c>
      <c r="D813" t="s">
        <v>635</v>
      </c>
      <c r="E813" t="s">
        <v>43</v>
      </c>
      <c r="F813" t="s">
        <v>61</v>
      </c>
      <c r="G813" t="s">
        <v>450</v>
      </c>
      <c r="H813" t="s">
        <v>636</v>
      </c>
      <c r="I813" t="s">
        <v>133</v>
      </c>
      <c r="J813" t="s">
        <v>312</v>
      </c>
      <c r="K813" t="s">
        <v>21</v>
      </c>
    </row>
    <row r="814" spans="1:11" x14ac:dyDescent="0.25">
      <c r="A814" t="s">
        <v>422</v>
      </c>
      <c r="B814" t="s">
        <v>686</v>
      </c>
      <c r="C814" t="s">
        <v>634</v>
      </c>
      <c r="D814" t="s">
        <v>635</v>
      </c>
      <c r="E814" t="s">
        <v>69</v>
      </c>
      <c r="F814" t="s">
        <v>77</v>
      </c>
      <c r="G814" t="s">
        <v>450</v>
      </c>
      <c r="H814" t="s">
        <v>636</v>
      </c>
      <c r="I814" t="s">
        <v>133</v>
      </c>
      <c r="J814" t="s">
        <v>312</v>
      </c>
      <c r="K814" t="s">
        <v>21</v>
      </c>
    </row>
    <row r="815" spans="1:11" x14ac:dyDescent="0.25">
      <c r="A815" t="s">
        <v>422</v>
      </c>
      <c r="B815" t="s">
        <v>686</v>
      </c>
      <c r="C815" t="s">
        <v>634</v>
      </c>
      <c r="D815" t="s">
        <v>635</v>
      </c>
      <c r="E815" t="s">
        <v>83</v>
      </c>
      <c r="F815" t="s">
        <v>104</v>
      </c>
      <c r="G815" t="s">
        <v>450</v>
      </c>
      <c r="H815" t="s">
        <v>636</v>
      </c>
      <c r="I815" t="s">
        <v>133</v>
      </c>
      <c r="J815" t="s">
        <v>312</v>
      </c>
      <c r="K815" t="s">
        <v>21</v>
      </c>
    </row>
    <row r="816" spans="1:11" x14ac:dyDescent="0.25">
      <c r="A816" t="s">
        <v>422</v>
      </c>
      <c r="B816" t="s">
        <v>686</v>
      </c>
      <c r="C816" t="s">
        <v>634</v>
      </c>
      <c r="D816" t="s">
        <v>635</v>
      </c>
      <c r="E816" t="s">
        <v>93</v>
      </c>
      <c r="F816" t="s">
        <v>135</v>
      </c>
      <c r="G816" t="s">
        <v>450</v>
      </c>
      <c r="H816" t="s">
        <v>636</v>
      </c>
      <c r="I816" t="s">
        <v>133</v>
      </c>
      <c r="J816" t="s">
        <v>312</v>
      </c>
      <c r="K816" t="s">
        <v>21</v>
      </c>
    </row>
    <row r="817" spans="1:11" x14ac:dyDescent="0.25">
      <c r="A817" t="s">
        <v>422</v>
      </c>
      <c r="B817" t="s">
        <v>686</v>
      </c>
      <c r="C817" t="s">
        <v>634</v>
      </c>
      <c r="D817" t="s">
        <v>638</v>
      </c>
      <c r="E817" t="s">
        <v>71</v>
      </c>
      <c r="F817" t="s">
        <v>80</v>
      </c>
      <c r="G817" t="s">
        <v>450</v>
      </c>
      <c r="H817" t="s">
        <v>636</v>
      </c>
      <c r="I817" t="s">
        <v>133</v>
      </c>
      <c r="J817" t="s">
        <v>312</v>
      </c>
      <c r="K817" t="s">
        <v>21</v>
      </c>
    </row>
    <row r="818" spans="1:11" x14ac:dyDescent="0.25">
      <c r="A818" t="s">
        <v>422</v>
      </c>
      <c r="B818" t="s">
        <v>686</v>
      </c>
      <c r="C818" t="s">
        <v>637</v>
      </c>
      <c r="D818" t="s">
        <v>635</v>
      </c>
      <c r="E818" t="s">
        <v>71</v>
      </c>
      <c r="F818" t="s">
        <v>86</v>
      </c>
      <c r="G818" t="s">
        <v>450</v>
      </c>
      <c r="H818" t="s">
        <v>636</v>
      </c>
      <c r="I818" t="s">
        <v>133</v>
      </c>
      <c r="J818" t="s">
        <v>312</v>
      </c>
      <c r="K818" t="s">
        <v>21</v>
      </c>
    </row>
    <row r="819" spans="1:11" x14ac:dyDescent="0.25">
      <c r="A819" t="s">
        <v>422</v>
      </c>
      <c r="B819" t="s">
        <v>686</v>
      </c>
      <c r="C819" t="s">
        <v>637</v>
      </c>
      <c r="D819" t="s">
        <v>638</v>
      </c>
      <c r="E819" t="s">
        <v>46</v>
      </c>
      <c r="F819" t="s">
        <v>47</v>
      </c>
      <c r="G819" t="s">
        <v>450</v>
      </c>
      <c r="H819" t="s">
        <v>636</v>
      </c>
      <c r="I819" t="s">
        <v>133</v>
      </c>
      <c r="J819" t="s">
        <v>312</v>
      </c>
      <c r="K819" t="s">
        <v>21</v>
      </c>
    </row>
    <row r="820" spans="1:11" x14ac:dyDescent="0.25">
      <c r="A820" t="s">
        <v>422</v>
      </c>
      <c r="B820" t="s">
        <v>686</v>
      </c>
      <c r="C820" t="s">
        <v>637</v>
      </c>
      <c r="D820" t="s">
        <v>638</v>
      </c>
      <c r="E820" t="s">
        <v>110</v>
      </c>
      <c r="F820" t="s">
        <v>142</v>
      </c>
      <c r="G820" t="s">
        <v>450</v>
      </c>
      <c r="H820" t="s">
        <v>636</v>
      </c>
      <c r="I820" t="s">
        <v>133</v>
      </c>
      <c r="J820" t="s">
        <v>312</v>
      </c>
      <c r="K820" t="s">
        <v>21</v>
      </c>
    </row>
    <row r="821" spans="1:11" x14ac:dyDescent="0.25">
      <c r="A821" t="s">
        <v>319</v>
      </c>
      <c r="B821" t="s">
        <v>687</v>
      </c>
      <c r="C821" t="s">
        <v>634</v>
      </c>
      <c r="D821" t="s">
        <v>635</v>
      </c>
      <c r="E821" t="s">
        <v>43</v>
      </c>
      <c r="F821" t="s">
        <v>53</v>
      </c>
      <c r="G821" t="s">
        <v>323</v>
      </c>
      <c r="H821" t="s">
        <v>636</v>
      </c>
      <c r="I821" t="s">
        <v>152</v>
      </c>
      <c r="J821" t="s">
        <v>320</v>
      </c>
      <c r="K821" t="s">
        <v>324</v>
      </c>
    </row>
    <row r="822" spans="1:11" x14ac:dyDescent="0.25">
      <c r="A822" t="s">
        <v>319</v>
      </c>
      <c r="B822" t="s">
        <v>687</v>
      </c>
      <c r="C822" t="s">
        <v>634</v>
      </c>
      <c r="D822" t="s">
        <v>635</v>
      </c>
      <c r="E822" t="s">
        <v>43</v>
      </c>
      <c r="F822" t="s">
        <v>49</v>
      </c>
      <c r="G822" t="s">
        <v>323</v>
      </c>
      <c r="H822" t="s">
        <v>636</v>
      </c>
      <c r="I822" t="s">
        <v>152</v>
      </c>
      <c r="J822" t="s">
        <v>320</v>
      </c>
      <c r="K822" t="s">
        <v>324</v>
      </c>
    </row>
    <row r="823" spans="1:11" x14ac:dyDescent="0.25">
      <c r="A823" t="s">
        <v>319</v>
      </c>
      <c r="B823" t="s">
        <v>687</v>
      </c>
      <c r="C823" t="s">
        <v>634</v>
      </c>
      <c r="D823" t="s">
        <v>635</v>
      </c>
      <c r="E823" t="s">
        <v>71</v>
      </c>
      <c r="F823" t="s">
        <v>86</v>
      </c>
      <c r="G823" t="s">
        <v>323</v>
      </c>
      <c r="H823" t="s">
        <v>636</v>
      </c>
      <c r="I823" t="s">
        <v>152</v>
      </c>
      <c r="J823" t="s">
        <v>320</v>
      </c>
      <c r="K823" t="s">
        <v>324</v>
      </c>
    </row>
    <row r="824" spans="1:11" x14ac:dyDescent="0.25">
      <c r="A824" t="s">
        <v>319</v>
      </c>
      <c r="B824" t="s">
        <v>687</v>
      </c>
      <c r="C824" t="s">
        <v>637</v>
      </c>
      <c r="D824" t="s">
        <v>638</v>
      </c>
      <c r="E824" t="s">
        <v>46</v>
      </c>
      <c r="F824" t="s">
        <v>47</v>
      </c>
      <c r="G824" t="s">
        <v>323</v>
      </c>
      <c r="H824" t="s">
        <v>636</v>
      </c>
      <c r="I824" t="s">
        <v>152</v>
      </c>
      <c r="J824" t="s">
        <v>320</v>
      </c>
      <c r="K824" t="s">
        <v>324</v>
      </c>
    </row>
    <row r="825" spans="1:11" x14ac:dyDescent="0.25">
      <c r="A825" t="s">
        <v>319</v>
      </c>
      <c r="B825" t="s">
        <v>687</v>
      </c>
      <c r="C825" t="s">
        <v>637</v>
      </c>
      <c r="D825" t="s">
        <v>638</v>
      </c>
      <c r="E825" t="s">
        <v>69</v>
      </c>
      <c r="F825" t="s">
        <v>80</v>
      </c>
      <c r="G825" t="s">
        <v>323</v>
      </c>
      <c r="H825" t="s">
        <v>636</v>
      </c>
      <c r="I825" t="s">
        <v>152</v>
      </c>
      <c r="J825" t="s">
        <v>320</v>
      </c>
      <c r="K825" t="s">
        <v>324</v>
      </c>
    </row>
    <row r="826" spans="1:11" x14ac:dyDescent="0.25">
      <c r="A826" t="s">
        <v>319</v>
      </c>
      <c r="B826" t="s">
        <v>687</v>
      </c>
      <c r="C826" t="s">
        <v>637</v>
      </c>
      <c r="G826" t="s">
        <v>323</v>
      </c>
      <c r="H826" t="s">
        <v>636</v>
      </c>
      <c r="I826" t="s">
        <v>152</v>
      </c>
      <c r="J826" t="s">
        <v>320</v>
      </c>
      <c r="K826" t="s">
        <v>324</v>
      </c>
    </row>
    <row r="827" spans="1:11" x14ac:dyDescent="0.25">
      <c r="A827" t="s">
        <v>319</v>
      </c>
      <c r="B827" t="s">
        <v>687</v>
      </c>
      <c r="C827" t="s">
        <v>644</v>
      </c>
      <c r="G827" t="s">
        <v>323</v>
      </c>
      <c r="H827" t="s">
        <v>636</v>
      </c>
      <c r="I827" t="s">
        <v>152</v>
      </c>
      <c r="J827" t="s">
        <v>320</v>
      </c>
      <c r="K827" t="s">
        <v>324</v>
      </c>
    </row>
    <row r="828" spans="1:11" x14ac:dyDescent="0.25">
      <c r="A828" t="s">
        <v>319</v>
      </c>
      <c r="B828" t="s">
        <v>687</v>
      </c>
      <c r="C828" t="s">
        <v>644</v>
      </c>
      <c r="G828" t="s">
        <v>323</v>
      </c>
      <c r="H828" t="s">
        <v>636</v>
      </c>
      <c r="I828" t="s">
        <v>152</v>
      </c>
      <c r="J828" t="s">
        <v>320</v>
      </c>
      <c r="K828" t="s">
        <v>324</v>
      </c>
    </row>
    <row r="829" spans="1:11" x14ac:dyDescent="0.25">
      <c r="A829" t="s">
        <v>319</v>
      </c>
      <c r="B829" t="s">
        <v>687</v>
      </c>
      <c r="C829" t="s">
        <v>644</v>
      </c>
      <c r="G829" t="s">
        <v>323</v>
      </c>
      <c r="H829" t="s">
        <v>636</v>
      </c>
      <c r="I829" t="s">
        <v>152</v>
      </c>
      <c r="J829" t="s">
        <v>320</v>
      </c>
      <c r="K829" t="s">
        <v>324</v>
      </c>
    </row>
    <row r="830" spans="1:11" x14ac:dyDescent="0.25">
      <c r="A830" t="s">
        <v>319</v>
      </c>
      <c r="B830" t="s">
        <v>687</v>
      </c>
      <c r="C830" t="s">
        <v>645</v>
      </c>
      <c r="G830" t="s">
        <v>323</v>
      </c>
      <c r="H830" t="s">
        <v>636</v>
      </c>
      <c r="I830" t="s">
        <v>152</v>
      </c>
      <c r="J830" t="s">
        <v>320</v>
      </c>
      <c r="K830" t="s">
        <v>324</v>
      </c>
    </row>
    <row r="831" spans="1:11" x14ac:dyDescent="0.25">
      <c r="A831" t="s">
        <v>319</v>
      </c>
      <c r="B831" t="s">
        <v>687</v>
      </c>
      <c r="C831" t="s">
        <v>645</v>
      </c>
      <c r="G831" t="s">
        <v>323</v>
      </c>
      <c r="H831" t="s">
        <v>636</v>
      </c>
      <c r="I831" t="s">
        <v>152</v>
      </c>
      <c r="J831" t="s">
        <v>320</v>
      </c>
      <c r="K831" t="s">
        <v>324</v>
      </c>
    </row>
    <row r="832" spans="1:11" x14ac:dyDescent="0.25">
      <c r="A832" t="s">
        <v>319</v>
      </c>
      <c r="B832" t="s">
        <v>688</v>
      </c>
      <c r="C832" t="s">
        <v>634</v>
      </c>
      <c r="D832" t="s">
        <v>635</v>
      </c>
      <c r="E832" t="s">
        <v>43</v>
      </c>
      <c r="F832" t="s">
        <v>53</v>
      </c>
      <c r="G832" t="s">
        <v>326</v>
      </c>
      <c r="H832" t="s">
        <v>636</v>
      </c>
      <c r="I832" t="s">
        <v>152</v>
      </c>
      <c r="J832" t="s">
        <v>320</v>
      </c>
      <c r="K832" t="s">
        <v>327</v>
      </c>
    </row>
    <row r="833" spans="1:11" x14ac:dyDescent="0.25">
      <c r="A833" t="s">
        <v>319</v>
      </c>
      <c r="B833" t="s">
        <v>688</v>
      </c>
      <c r="C833" t="s">
        <v>634</v>
      </c>
      <c r="D833" t="s">
        <v>635</v>
      </c>
      <c r="E833" t="s">
        <v>43</v>
      </c>
      <c r="F833" t="s">
        <v>49</v>
      </c>
      <c r="G833" t="s">
        <v>326</v>
      </c>
      <c r="H833" t="s">
        <v>636</v>
      </c>
      <c r="I833" t="s">
        <v>152</v>
      </c>
      <c r="J833" t="s">
        <v>320</v>
      </c>
      <c r="K833" t="s">
        <v>327</v>
      </c>
    </row>
    <row r="834" spans="1:11" x14ac:dyDescent="0.25">
      <c r="A834" t="s">
        <v>319</v>
      </c>
      <c r="B834" t="s">
        <v>688</v>
      </c>
      <c r="C834" t="s">
        <v>634</v>
      </c>
      <c r="D834" t="s">
        <v>635</v>
      </c>
      <c r="E834" t="s">
        <v>71</v>
      </c>
      <c r="F834" t="s">
        <v>86</v>
      </c>
      <c r="G834" t="s">
        <v>326</v>
      </c>
      <c r="H834" t="s">
        <v>636</v>
      </c>
      <c r="I834" t="s">
        <v>152</v>
      </c>
      <c r="J834" t="s">
        <v>320</v>
      </c>
      <c r="K834" t="s">
        <v>327</v>
      </c>
    </row>
    <row r="835" spans="1:11" x14ac:dyDescent="0.25">
      <c r="A835" t="s">
        <v>319</v>
      </c>
      <c r="B835" t="s">
        <v>688</v>
      </c>
      <c r="C835" t="s">
        <v>637</v>
      </c>
      <c r="D835" t="s">
        <v>638</v>
      </c>
      <c r="E835" t="s">
        <v>46</v>
      </c>
      <c r="F835" t="s">
        <v>47</v>
      </c>
      <c r="G835" t="s">
        <v>326</v>
      </c>
      <c r="H835" t="s">
        <v>636</v>
      </c>
      <c r="I835" t="s">
        <v>152</v>
      </c>
      <c r="J835" t="s">
        <v>320</v>
      </c>
      <c r="K835" t="s">
        <v>327</v>
      </c>
    </row>
    <row r="836" spans="1:11" x14ac:dyDescent="0.25">
      <c r="A836" t="s">
        <v>319</v>
      </c>
      <c r="B836" t="s">
        <v>688</v>
      </c>
      <c r="C836" t="s">
        <v>637</v>
      </c>
      <c r="D836" t="s">
        <v>638</v>
      </c>
      <c r="E836" t="s">
        <v>69</v>
      </c>
      <c r="F836" t="s">
        <v>80</v>
      </c>
      <c r="G836" t="s">
        <v>326</v>
      </c>
      <c r="H836" t="s">
        <v>636</v>
      </c>
      <c r="I836" t="s">
        <v>152</v>
      </c>
      <c r="J836" t="s">
        <v>320</v>
      </c>
      <c r="K836" t="s">
        <v>327</v>
      </c>
    </row>
    <row r="837" spans="1:11" x14ac:dyDescent="0.25">
      <c r="A837" t="s">
        <v>319</v>
      </c>
      <c r="B837" t="s">
        <v>688</v>
      </c>
      <c r="C837" t="s">
        <v>637</v>
      </c>
      <c r="G837" t="s">
        <v>326</v>
      </c>
      <c r="H837" t="s">
        <v>636</v>
      </c>
      <c r="I837" t="s">
        <v>152</v>
      </c>
      <c r="J837" t="s">
        <v>320</v>
      </c>
      <c r="K837" t="s">
        <v>327</v>
      </c>
    </row>
    <row r="838" spans="1:11" x14ac:dyDescent="0.25">
      <c r="A838" t="s">
        <v>319</v>
      </c>
      <c r="B838" t="s">
        <v>688</v>
      </c>
      <c r="C838" t="s">
        <v>644</v>
      </c>
      <c r="G838" t="s">
        <v>326</v>
      </c>
      <c r="H838" t="s">
        <v>636</v>
      </c>
      <c r="I838" t="s">
        <v>152</v>
      </c>
      <c r="J838" t="s">
        <v>320</v>
      </c>
      <c r="K838" t="s">
        <v>327</v>
      </c>
    </row>
    <row r="839" spans="1:11" x14ac:dyDescent="0.25">
      <c r="A839" t="s">
        <v>319</v>
      </c>
      <c r="B839" t="s">
        <v>688</v>
      </c>
      <c r="C839" t="s">
        <v>644</v>
      </c>
      <c r="G839" t="s">
        <v>326</v>
      </c>
      <c r="H839" t="s">
        <v>636</v>
      </c>
      <c r="I839" t="s">
        <v>152</v>
      </c>
      <c r="J839" t="s">
        <v>320</v>
      </c>
      <c r="K839" t="s">
        <v>327</v>
      </c>
    </row>
    <row r="840" spans="1:11" x14ac:dyDescent="0.25">
      <c r="A840" t="s">
        <v>319</v>
      </c>
      <c r="B840" t="s">
        <v>688</v>
      </c>
      <c r="C840" t="s">
        <v>644</v>
      </c>
      <c r="G840" t="s">
        <v>326</v>
      </c>
      <c r="H840" t="s">
        <v>636</v>
      </c>
      <c r="I840" t="s">
        <v>152</v>
      </c>
      <c r="J840" t="s">
        <v>320</v>
      </c>
      <c r="K840" t="s">
        <v>327</v>
      </c>
    </row>
    <row r="841" spans="1:11" x14ac:dyDescent="0.25">
      <c r="A841" t="s">
        <v>319</v>
      </c>
      <c r="B841" t="s">
        <v>688</v>
      </c>
      <c r="C841" t="s">
        <v>645</v>
      </c>
      <c r="G841" t="s">
        <v>326</v>
      </c>
      <c r="H841" t="s">
        <v>636</v>
      </c>
      <c r="I841" t="s">
        <v>152</v>
      </c>
      <c r="J841" t="s">
        <v>320</v>
      </c>
      <c r="K841" t="s">
        <v>327</v>
      </c>
    </row>
    <row r="842" spans="1:11" x14ac:dyDescent="0.25">
      <c r="A842" t="s">
        <v>319</v>
      </c>
      <c r="B842" t="s">
        <v>688</v>
      </c>
      <c r="C842" t="s">
        <v>645</v>
      </c>
      <c r="G842" t="s">
        <v>326</v>
      </c>
      <c r="H842" t="s">
        <v>636</v>
      </c>
      <c r="I842" t="s">
        <v>152</v>
      </c>
      <c r="J842" t="s">
        <v>320</v>
      </c>
      <c r="K842" t="s">
        <v>327</v>
      </c>
    </row>
    <row r="843" spans="1:11" x14ac:dyDescent="0.25">
      <c r="A843" t="s">
        <v>319</v>
      </c>
      <c r="B843" t="s">
        <v>689</v>
      </c>
      <c r="C843" t="s">
        <v>634</v>
      </c>
      <c r="D843" t="s">
        <v>635</v>
      </c>
      <c r="E843" t="s">
        <v>43</v>
      </c>
      <c r="F843" t="s">
        <v>53</v>
      </c>
      <c r="G843" t="s">
        <v>329</v>
      </c>
      <c r="H843" t="s">
        <v>636</v>
      </c>
      <c r="I843" t="s">
        <v>152</v>
      </c>
      <c r="J843" t="s">
        <v>320</v>
      </c>
      <c r="K843" t="s">
        <v>330</v>
      </c>
    </row>
    <row r="844" spans="1:11" x14ac:dyDescent="0.25">
      <c r="A844" t="s">
        <v>319</v>
      </c>
      <c r="B844" t="s">
        <v>689</v>
      </c>
      <c r="C844" t="s">
        <v>634</v>
      </c>
      <c r="D844" t="s">
        <v>635</v>
      </c>
      <c r="E844" t="s">
        <v>43</v>
      </c>
      <c r="F844" t="s">
        <v>49</v>
      </c>
      <c r="G844" t="s">
        <v>329</v>
      </c>
      <c r="H844" t="s">
        <v>636</v>
      </c>
      <c r="I844" t="s">
        <v>152</v>
      </c>
      <c r="J844" t="s">
        <v>320</v>
      </c>
      <c r="K844" t="s">
        <v>330</v>
      </c>
    </row>
    <row r="845" spans="1:11" x14ac:dyDescent="0.25">
      <c r="A845" t="s">
        <v>319</v>
      </c>
      <c r="B845" t="s">
        <v>689</v>
      </c>
      <c r="C845" t="s">
        <v>634</v>
      </c>
      <c r="D845" t="s">
        <v>635</v>
      </c>
      <c r="E845" t="s">
        <v>71</v>
      </c>
      <c r="F845" t="s">
        <v>86</v>
      </c>
      <c r="G845" t="s">
        <v>329</v>
      </c>
      <c r="H845" t="s">
        <v>636</v>
      </c>
      <c r="I845" t="s">
        <v>152</v>
      </c>
      <c r="J845" t="s">
        <v>320</v>
      </c>
      <c r="K845" t="s">
        <v>330</v>
      </c>
    </row>
    <row r="846" spans="1:11" x14ac:dyDescent="0.25">
      <c r="A846" t="s">
        <v>319</v>
      </c>
      <c r="B846" t="s">
        <v>689</v>
      </c>
      <c r="C846" t="s">
        <v>637</v>
      </c>
      <c r="D846" t="s">
        <v>638</v>
      </c>
      <c r="E846" t="s">
        <v>46</v>
      </c>
      <c r="F846" t="s">
        <v>47</v>
      </c>
      <c r="G846" t="s">
        <v>329</v>
      </c>
      <c r="H846" t="s">
        <v>636</v>
      </c>
      <c r="I846" t="s">
        <v>152</v>
      </c>
      <c r="J846" t="s">
        <v>320</v>
      </c>
      <c r="K846" t="s">
        <v>330</v>
      </c>
    </row>
    <row r="847" spans="1:11" x14ac:dyDescent="0.25">
      <c r="A847" t="s">
        <v>319</v>
      </c>
      <c r="B847" t="s">
        <v>689</v>
      </c>
      <c r="C847" t="s">
        <v>637</v>
      </c>
      <c r="D847" t="s">
        <v>638</v>
      </c>
      <c r="E847" t="s">
        <v>69</v>
      </c>
      <c r="F847" t="s">
        <v>80</v>
      </c>
      <c r="G847" t="s">
        <v>329</v>
      </c>
      <c r="H847" t="s">
        <v>636</v>
      </c>
      <c r="I847" t="s">
        <v>152</v>
      </c>
      <c r="J847" t="s">
        <v>320</v>
      </c>
      <c r="K847" t="s">
        <v>330</v>
      </c>
    </row>
    <row r="848" spans="1:11" x14ac:dyDescent="0.25">
      <c r="A848" t="s">
        <v>319</v>
      </c>
      <c r="B848" t="s">
        <v>689</v>
      </c>
      <c r="C848" t="s">
        <v>637</v>
      </c>
      <c r="G848" t="s">
        <v>329</v>
      </c>
      <c r="H848" t="s">
        <v>636</v>
      </c>
      <c r="I848" t="s">
        <v>152</v>
      </c>
      <c r="J848" t="s">
        <v>320</v>
      </c>
      <c r="K848" t="s">
        <v>330</v>
      </c>
    </row>
    <row r="849" spans="1:11" x14ac:dyDescent="0.25">
      <c r="A849" t="s">
        <v>319</v>
      </c>
      <c r="B849" t="s">
        <v>689</v>
      </c>
      <c r="C849" t="s">
        <v>644</v>
      </c>
      <c r="G849" t="s">
        <v>329</v>
      </c>
      <c r="H849" t="s">
        <v>636</v>
      </c>
      <c r="I849" t="s">
        <v>152</v>
      </c>
      <c r="J849" t="s">
        <v>320</v>
      </c>
      <c r="K849" t="s">
        <v>330</v>
      </c>
    </row>
    <row r="850" spans="1:11" x14ac:dyDescent="0.25">
      <c r="A850" t="s">
        <v>319</v>
      </c>
      <c r="B850" t="s">
        <v>689</v>
      </c>
      <c r="C850" t="s">
        <v>644</v>
      </c>
      <c r="G850" t="s">
        <v>329</v>
      </c>
      <c r="H850" t="s">
        <v>636</v>
      </c>
      <c r="I850" t="s">
        <v>152</v>
      </c>
      <c r="J850" t="s">
        <v>320</v>
      </c>
      <c r="K850" t="s">
        <v>330</v>
      </c>
    </row>
    <row r="851" spans="1:11" x14ac:dyDescent="0.25">
      <c r="A851" t="s">
        <v>319</v>
      </c>
      <c r="B851" t="s">
        <v>689</v>
      </c>
      <c r="C851" t="s">
        <v>644</v>
      </c>
      <c r="G851" t="s">
        <v>329</v>
      </c>
      <c r="H851" t="s">
        <v>636</v>
      </c>
      <c r="I851" t="s">
        <v>152</v>
      </c>
      <c r="J851" t="s">
        <v>320</v>
      </c>
      <c r="K851" t="s">
        <v>330</v>
      </c>
    </row>
    <row r="852" spans="1:11" x14ac:dyDescent="0.25">
      <c r="A852" t="s">
        <v>319</v>
      </c>
      <c r="B852" t="s">
        <v>689</v>
      </c>
      <c r="C852" t="s">
        <v>645</v>
      </c>
      <c r="G852" t="s">
        <v>329</v>
      </c>
      <c r="H852" t="s">
        <v>636</v>
      </c>
      <c r="I852" t="s">
        <v>152</v>
      </c>
      <c r="J852" t="s">
        <v>320</v>
      </c>
      <c r="K852" t="s">
        <v>330</v>
      </c>
    </row>
    <row r="853" spans="1:11" x14ac:dyDescent="0.25">
      <c r="A853" t="s">
        <v>319</v>
      </c>
      <c r="B853" t="s">
        <v>689</v>
      </c>
      <c r="C853" t="s">
        <v>645</v>
      </c>
      <c r="G853" t="s">
        <v>329</v>
      </c>
      <c r="H853" t="s">
        <v>636</v>
      </c>
      <c r="I853" t="s">
        <v>152</v>
      </c>
      <c r="J853" t="s">
        <v>320</v>
      </c>
      <c r="K853" t="s">
        <v>330</v>
      </c>
    </row>
    <row r="854" spans="1:11" x14ac:dyDescent="0.25">
      <c r="A854" t="s">
        <v>319</v>
      </c>
      <c r="B854" t="s">
        <v>690</v>
      </c>
      <c r="C854" t="s">
        <v>634</v>
      </c>
      <c r="D854" t="s">
        <v>635</v>
      </c>
      <c r="E854" t="s">
        <v>43</v>
      </c>
      <c r="F854" t="s">
        <v>53</v>
      </c>
      <c r="G854" t="s">
        <v>332</v>
      </c>
      <c r="H854" t="s">
        <v>636</v>
      </c>
      <c r="I854" t="s">
        <v>152</v>
      </c>
      <c r="J854" t="s">
        <v>320</v>
      </c>
      <c r="K854" t="s">
        <v>333</v>
      </c>
    </row>
    <row r="855" spans="1:11" x14ac:dyDescent="0.25">
      <c r="A855" t="s">
        <v>319</v>
      </c>
      <c r="B855" t="s">
        <v>690</v>
      </c>
      <c r="C855" t="s">
        <v>634</v>
      </c>
      <c r="D855" t="s">
        <v>635</v>
      </c>
      <c r="E855" t="s">
        <v>43</v>
      </c>
      <c r="F855" t="s">
        <v>49</v>
      </c>
      <c r="G855" t="s">
        <v>332</v>
      </c>
      <c r="H855" t="s">
        <v>636</v>
      </c>
      <c r="I855" t="s">
        <v>152</v>
      </c>
      <c r="J855" t="s">
        <v>320</v>
      </c>
      <c r="K855" t="s">
        <v>333</v>
      </c>
    </row>
    <row r="856" spans="1:11" x14ac:dyDescent="0.25">
      <c r="A856" t="s">
        <v>319</v>
      </c>
      <c r="B856" t="s">
        <v>690</v>
      </c>
      <c r="C856" t="s">
        <v>634</v>
      </c>
      <c r="D856" t="s">
        <v>635</v>
      </c>
      <c r="E856" t="s">
        <v>71</v>
      </c>
      <c r="F856" t="s">
        <v>86</v>
      </c>
      <c r="G856" t="s">
        <v>332</v>
      </c>
      <c r="H856" t="s">
        <v>636</v>
      </c>
      <c r="I856" t="s">
        <v>152</v>
      </c>
      <c r="J856" t="s">
        <v>320</v>
      </c>
      <c r="K856" t="s">
        <v>333</v>
      </c>
    </row>
    <row r="857" spans="1:11" x14ac:dyDescent="0.25">
      <c r="A857" t="s">
        <v>319</v>
      </c>
      <c r="B857" t="s">
        <v>690</v>
      </c>
      <c r="C857" t="s">
        <v>637</v>
      </c>
      <c r="D857" t="s">
        <v>638</v>
      </c>
      <c r="E857" t="s">
        <v>46</v>
      </c>
      <c r="F857" t="s">
        <v>47</v>
      </c>
      <c r="G857" t="s">
        <v>332</v>
      </c>
      <c r="H857" t="s">
        <v>636</v>
      </c>
      <c r="I857" t="s">
        <v>152</v>
      </c>
      <c r="J857" t="s">
        <v>320</v>
      </c>
      <c r="K857" t="s">
        <v>333</v>
      </c>
    </row>
    <row r="858" spans="1:11" x14ac:dyDescent="0.25">
      <c r="A858" t="s">
        <v>319</v>
      </c>
      <c r="B858" t="s">
        <v>690</v>
      </c>
      <c r="C858" t="s">
        <v>637</v>
      </c>
      <c r="D858" t="s">
        <v>638</v>
      </c>
      <c r="E858" t="s">
        <v>69</v>
      </c>
      <c r="F858" t="s">
        <v>80</v>
      </c>
      <c r="G858" t="s">
        <v>332</v>
      </c>
      <c r="H858" t="s">
        <v>636</v>
      </c>
      <c r="I858" t="s">
        <v>152</v>
      </c>
      <c r="J858" t="s">
        <v>320</v>
      </c>
      <c r="K858" t="s">
        <v>333</v>
      </c>
    </row>
    <row r="859" spans="1:11" x14ac:dyDescent="0.25">
      <c r="A859" t="s">
        <v>319</v>
      </c>
      <c r="B859" t="s">
        <v>690</v>
      </c>
      <c r="C859" t="s">
        <v>637</v>
      </c>
      <c r="G859" t="s">
        <v>332</v>
      </c>
      <c r="H859" t="s">
        <v>636</v>
      </c>
      <c r="I859" t="s">
        <v>152</v>
      </c>
      <c r="J859" t="s">
        <v>320</v>
      </c>
      <c r="K859" t="s">
        <v>333</v>
      </c>
    </row>
    <row r="860" spans="1:11" x14ac:dyDescent="0.25">
      <c r="A860" t="s">
        <v>319</v>
      </c>
      <c r="B860" t="s">
        <v>690</v>
      </c>
      <c r="C860" t="s">
        <v>644</v>
      </c>
      <c r="G860" t="s">
        <v>332</v>
      </c>
      <c r="H860" t="s">
        <v>636</v>
      </c>
      <c r="I860" t="s">
        <v>152</v>
      </c>
      <c r="J860" t="s">
        <v>320</v>
      </c>
      <c r="K860" t="s">
        <v>333</v>
      </c>
    </row>
    <row r="861" spans="1:11" x14ac:dyDescent="0.25">
      <c r="A861" t="s">
        <v>319</v>
      </c>
      <c r="B861" t="s">
        <v>690</v>
      </c>
      <c r="C861" t="s">
        <v>644</v>
      </c>
      <c r="G861" t="s">
        <v>332</v>
      </c>
      <c r="H861" t="s">
        <v>636</v>
      </c>
      <c r="I861" t="s">
        <v>152</v>
      </c>
      <c r="J861" t="s">
        <v>320</v>
      </c>
      <c r="K861" t="s">
        <v>333</v>
      </c>
    </row>
    <row r="862" spans="1:11" x14ac:dyDescent="0.25">
      <c r="A862" t="s">
        <v>319</v>
      </c>
      <c r="B862" t="s">
        <v>690</v>
      </c>
      <c r="C862" t="s">
        <v>644</v>
      </c>
      <c r="G862" t="s">
        <v>332</v>
      </c>
      <c r="H862" t="s">
        <v>636</v>
      </c>
      <c r="I862" t="s">
        <v>152</v>
      </c>
      <c r="J862" t="s">
        <v>320</v>
      </c>
      <c r="K862" t="s">
        <v>333</v>
      </c>
    </row>
    <row r="863" spans="1:11" x14ac:dyDescent="0.25">
      <c r="A863" t="s">
        <v>319</v>
      </c>
      <c r="B863" t="s">
        <v>690</v>
      </c>
      <c r="C863" t="s">
        <v>645</v>
      </c>
      <c r="G863" t="s">
        <v>332</v>
      </c>
      <c r="H863" t="s">
        <v>636</v>
      </c>
      <c r="I863" t="s">
        <v>152</v>
      </c>
      <c r="J863" t="s">
        <v>320</v>
      </c>
      <c r="K863" t="s">
        <v>333</v>
      </c>
    </row>
    <row r="864" spans="1:11" x14ac:dyDescent="0.25">
      <c r="A864" t="s">
        <v>319</v>
      </c>
      <c r="B864" t="s">
        <v>690</v>
      </c>
      <c r="C864" t="s">
        <v>645</v>
      </c>
      <c r="G864" t="s">
        <v>332</v>
      </c>
      <c r="H864" t="s">
        <v>636</v>
      </c>
      <c r="I864" t="s">
        <v>152</v>
      </c>
      <c r="J864" t="s">
        <v>320</v>
      </c>
      <c r="K864" t="s">
        <v>333</v>
      </c>
    </row>
    <row r="865" spans="1:11" x14ac:dyDescent="0.25">
      <c r="A865" t="s">
        <v>319</v>
      </c>
      <c r="B865" t="s">
        <v>691</v>
      </c>
      <c r="C865" t="s">
        <v>634</v>
      </c>
      <c r="D865" t="s">
        <v>635</v>
      </c>
      <c r="E865" t="s">
        <v>43</v>
      </c>
      <c r="F865" t="s">
        <v>53</v>
      </c>
      <c r="G865" t="s">
        <v>335</v>
      </c>
      <c r="H865" t="s">
        <v>636</v>
      </c>
      <c r="I865" t="s">
        <v>152</v>
      </c>
      <c r="J865" t="s">
        <v>320</v>
      </c>
      <c r="K865" t="s">
        <v>336</v>
      </c>
    </row>
    <row r="866" spans="1:11" x14ac:dyDescent="0.25">
      <c r="A866" t="s">
        <v>319</v>
      </c>
      <c r="B866" t="s">
        <v>691</v>
      </c>
      <c r="C866" t="s">
        <v>634</v>
      </c>
      <c r="D866" t="s">
        <v>635</v>
      </c>
      <c r="E866" t="s">
        <v>43</v>
      </c>
      <c r="F866" t="s">
        <v>49</v>
      </c>
      <c r="G866" t="s">
        <v>335</v>
      </c>
      <c r="H866" t="s">
        <v>636</v>
      </c>
      <c r="I866" t="s">
        <v>152</v>
      </c>
      <c r="J866" t="s">
        <v>320</v>
      </c>
      <c r="K866" t="s">
        <v>336</v>
      </c>
    </row>
    <row r="867" spans="1:11" x14ac:dyDescent="0.25">
      <c r="A867" t="s">
        <v>319</v>
      </c>
      <c r="B867" t="s">
        <v>691</v>
      </c>
      <c r="C867" t="s">
        <v>634</v>
      </c>
      <c r="D867" t="s">
        <v>635</v>
      </c>
      <c r="E867" t="s">
        <v>71</v>
      </c>
      <c r="F867" t="s">
        <v>86</v>
      </c>
      <c r="G867" t="s">
        <v>335</v>
      </c>
      <c r="H867" t="s">
        <v>636</v>
      </c>
      <c r="I867" t="s">
        <v>152</v>
      </c>
      <c r="J867" t="s">
        <v>320</v>
      </c>
      <c r="K867" t="s">
        <v>336</v>
      </c>
    </row>
    <row r="868" spans="1:11" x14ac:dyDescent="0.25">
      <c r="A868" t="s">
        <v>319</v>
      </c>
      <c r="B868" t="s">
        <v>691</v>
      </c>
      <c r="C868" t="s">
        <v>637</v>
      </c>
      <c r="D868" t="s">
        <v>638</v>
      </c>
      <c r="E868" t="s">
        <v>46</v>
      </c>
      <c r="F868" t="s">
        <v>47</v>
      </c>
      <c r="G868" t="s">
        <v>335</v>
      </c>
      <c r="H868" t="s">
        <v>636</v>
      </c>
      <c r="I868" t="s">
        <v>152</v>
      </c>
      <c r="J868" t="s">
        <v>320</v>
      </c>
      <c r="K868" t="s">
        <v>336</v>
      </c>
    </row>
    <row r="869" spans="1:11" x14ac:dyDescent="0.25">
      <c r="A869" t="s">
        <v>319</v>
      </c>
      <c r="B869" t="s">
        <v>691</v>
      </c>
      <c r="C869" t="s">
        <v>637</v>
      </c>
      <c r="D869" t="s">
        <v>638</v>
      </c>
      <c r="E869" t="s">
        <v>69</v>
      </c>
      <c r="F869" t="s">
        <v>80</v>
      </c>
      <c r="G869" t="s">
        <v>335</v>
      </c>
      <c r="H869" t="s">
        <v>636</v>
      </c>
      <c r="I869" t="s">
        <v>152</v>
      </c>
      <c r="J869" t="s">
        <v>320</v>
      </c>
      <c r="K869" t="s">
        <v>336</v>
      </c>
    </row>
    <row r="870" spans="1:11" x14ac:dyDescent="0.25">
      <c r="A870" t="s">
        <v>319</v>
      </c>
      <c r="B870" t="s">
        <v>691</v>
      </c>
      <c r="C870" t="s">
        <v>637</v>
      </c>
      <c r="G870" t="s">
        <v>335</v>
      </c>
      <c r="H870" t="s">
        <v>636</v>
      </c>
      <c r="I870" t="s">
        <v>152</v>
      </c>
      <c r="J870" t="s">
        <v>320</v>
      </c>
      <c r="K870" t="s">
        <v>336</v>
      </c>
    </row>
    <row r="871" spans="1:11" x14ac:dyDescent="0.25">
      <c r="A871" t="s">
        <v>319</v>
      </c>
      <c r="B871" t="s">
        <v>691</v>
      </c>
      <c r="C871" t="s">
        <v>644</v>
      </c>
      <c r="G871" t="s">
        <v>335</v>
      </c>
      <c r="H871" t="s">
        <v>636</v>
      </c>
      <c r="I871" t="s">
        <v>152</v>
      </c>
      <c r="J871" t="s">
        <v>320</v>
      </c>
      <c r="K871" t="s">
        <v>336</v>
      </c>
    </row>
    <row r="872" spans="1:11" x14ac:dyDescent="0.25">
      <c r="A872" t="s">
        <v>319</v>
      </c>
      <c r="B872" t="s">
        <v>691</v>
      </c>
      <c r="C872" t="s">
        <v>644</v>
      </c>
      <c r="G872" t="s">
        <v>335</v>
      </c>
      <c r="H872" t="s">
        <v>636</v>
      </c>
      <c r="I872" t="s">
        <v>152</v>
      </c>
      <c r="J872" t="s">
        <v>320</v>
      </c>
      <c r="K872" t="s">
        <v>336</v>
      </c>
    </row>
    <row r="873" spans="1:11" x14ac:dyDescent="0.25">
      <c r="A873" t="s">
        <v>319</v>
      </c>
      <c r="B873" t="s">
        <v>691</v>
      </c>
      <c r="C873" t="s">
        <v>644</v>
      </c>
      <c r="G873" t="s">
        <v>335</v>
      </c>
      <c r="H873" t="s">
        <v>636</v>
      </c>
      <c r="I873" t="s">
        <v>152</v>
      </c>
      <c r="J873" t="s">
        <v>320</v>
      </c>
      <c r="K873" t="s">
        <v>336</v>
      </c>
    </row>
    <row r="874" spans="1:11" x14ac:dyDescent="0.25">
      <c r="A874" t="s">
        <v>319</v>
      </c>
      <c r="B874" t="s">
        <v>691</v>
      </c>
      <c r="C874" t="s">
        <v>645</v>
      </c>
      <c r="G874" t="s">
        <v>335</v>
      </c>
      <c r="H874" t="s">
        <v>636</v>
      </c>
      <c r="I874" t="s">
        <v>152</v>
      </c>
      <c r="J874" t="s">
        <v>320</v>
      </c>
      <c r="K874" t="s">
        <v>336</v>
      </c>
    </row>
    <row r="875" spans="1:11" x14ac:dyDescent="0.25">
      <c r="A875" t="s">
        <v>319</v>
      </c>
      <c r="B875" t="s">
        <v>691</v>
      </c>
      <c r="C875" t="s">
        <v>645</v>
      </c>
      <c r="G875" t="s">
        <v>335</v>
      </c>
      <c r="H875" t="s">
        <v>636</v>
      </c>
      <c r="I875" t="s">
        <v>152</v>
      </c>
      <c r="J875" t="s">
        <v>320</v>
      </c>
      <c r="K875" t="s">
        <v>336</v>
      </c>
    </row>
    <row r="876" spans="1:11" x14ac:dyDescent="0.25">
      <c r="A876" t="s">
        <v>319</v>
      </c>
      <c r="B876" t="s">
        <v>692</v>
      </c>
      <c r="C876" t="s">
        <v>634</v>
      </c>
      <c r="D876" t="s">
        <v>635</v>
      </c>
      <c r="E876" t="s">
        <v>43</v>
      </c>
      <c r="F876" t="s">
        <v>53</v>
      </c>
      <c r="G876" t="s">
        <v>338</v>
      </c>
      <c r="H876" t="s">
        <v>636</v>
      </c>
      <c r="I876" t="s">
        <v>152</v>
      </c>
      <c r="J876" t="s">
        <v>320</v>
      </c>
      <c r="K876" t="s">
        <v>339</v>
      </c>
    </row>
    <row r="877" spans="1:11" x14ac:dyDescent="0.25">
      <c r="A877" t="s">
        <v>319</v>
      </c>
      <c r="B877" t="s">
        <v>692</v>
      </c>
      <c r="C877" t="s">
        <v>634</v>
      </c>
      <c r="D877" t="s">
        <v>635</v>
      </c>
      <c r="E877" t="s">
        <v>43</v>
      </c>
      <c r="F877" t="s">
        <v>49</v>
      </c>
      <c r="G877" t="s">
        <v>338</v>
      </c>
      <c r="H877" t="s">
        <v>636</v>
      </c>
      <c r="I877" t="s">
        <v>152</v>
      </c>
      <c r="J877" t="s">
        <v>320</v>
      </c>
      <c r="K877" t="s">
        <v>339</v>
      </c>
    </row>
    <row r="878" spans="1:11" x14ac:dyDescent="0.25">
      <c r="A878" t="s">
        <v>319</v>
      </c>
      <c r="B878" t="s">
        <v>692</v>
      </c>
      <c r="C878" t="s">
        <v>634</v>
      </c>
      <c r="D878" t="s">
        <v>635</v>
      </c>
      <c r="E878" t="s">
        <v>71</v>
      </c>
      <c r="F878" t="s">
        <v>86</v>
      </c>
      <c r="G878" t="s">
        <v>338</v>
      </c>
      <c r="H878" t="s">
        <v>636</v>
      </c>
      <c r="I878" t="s">
        <v>152</v>
      </c>
      <c r="J878" t="s">
        <v>320</v>
      </c>
      <c r="K878" t="s">
        <v>339</v>
      </c>
    </row>
    <row r="879" spans="1:11" x14ac:dyDescent="0.25">
      <c r="A879" t="s">
        <v>319</v>
      </c>
      <c r="B879" t="s">
        <v>692</v>
      </c>
      <c r="C879" t="s">
        <v>637</v>
      </c>
      <c r="D879" t="s">
        <v>638</v>
      </c>
      <c r="E879" t="s">
        <v>46</v>
      </c>
      <c r="F879" t="s">
        <v>47</v>
      </c>
      <c r="G879" t="s">
        <v>338</v>
      </c>
      <c r="H879" t="s">
        <v>636</v>
      </c>
      <c r="I879" t="s">
        <v>152</v>
      </c>
      <c r="J879" t="s">
        <v>320</v>
      </c>
      <c r="K879" t="s">
        <v>339</v>
      </c>
    </row>
    <row r="880" spans="1:11" x14ac:dyDescent="0.25">
      <c r="A880" t="s">
        <v>319</v>
      </c>
      <c r="B880" t="s">
        <v>692</v>
      </c>
      <c r="C880" t="s">
        <v>637</v>
      </c>
      <c r="D880" t="s">
        <v>638</v>
      </c>
      <c r="E880" t="s">
        <v>69</v>
      </c>
      <c r="F880" t="s">
        <v>80</v>
      </c>
      <c r="G880" t="s">
        <v>338</v>
      </c>
      <c r="H880" t="s">
        <v>636</v>
      </c>
      <c r="I880" t="s">
        <v>152</v>
      </c>
      <c r="J880" t="s">
        <v>320</v>
      </c>
      <c r="K880" t="s">
        <v>339</v>
      </c>
    </row>
    <row r="881" spans="1:11" x14ac:dyDescent="0.25">
      <c r="A881" t="s">
        <v>319</v>
      </c>
      <c r="B881" t="s">
        <v>692</v>
      </c>
      <c r="C881" t="s">
        <v>637</v>
      </c>
      <c r="G881" t="s">
        <v>338</v>
      </c>
      <c r="H881" t="s">
        <v>636</v>
      </c>
      <c r="I881" t="s">
        <v>152</v>
      </c>
      <c r="J881" t="s">
        <v>320</v>
      </c>
      <c r="K881" t="s">
        <v>339</v>
      </c>
    </row>
    <row r="882" spans="1:11" x14ac:dyDescent="0.25">
      <c r="A882" t="s">
        <v>319</v>
      </c>
      <c r="B882" t="s">
        <v>692</v>
      </c>
      <c r="C882" t="s">
        <v>644</v>
      </c>
      <c r="G882" t="s">
        <v>338</v>
      </c>
      <c r="H882" t="s">
        <v>636</v>
      </c>
      <c r="I882" t="s">
        <v>152</v>
      </c>
      <c r="J882" t="s">
        <v>320</v>
      </c>
      <c r="K882" t="s">
        <v>339</v>
      </c>
    </row>
    <row r="883" spans="1:11" x14ac:dyDescent="0.25">
      <c r="A883" t="s">
        <v>319</v>
      </c>
      <c r="B883" t="s">
        <v>692</v>
      </c>
      <c r="C883" t="s">
        <v>644</v>
      </c>
      <c r="G883" t="s">
        <v>338</v>
      </c>
      <c r="H883" t="s">
        <v>636</v>
      </c>
      <c r="I883" t="s">
        <v>152</v>
      </c>
      <c r="J883" t="s">
        <v>320</v>
      </c>
      <c r="K883" t="s">
        <v>339</v>
      </c>
    </row>
    <row r="884" spans="1:11" x14ac:dyDescent="0.25">
      <c r="A884" t="s">
        <v>319</v>
      </c>
      <c r="B884" t="s">
        <v>692</v>
      </c>
      <c r="C884" t="s">
        <v>644</v>
      </c>
      <c r="G884" t="s">
        <v>338</v>
      </c>
      <c r="H884" t="s">
        <v>636</v>
      </c>
      <c r="I884" t="s">
        <v>152</v>
      </c>
      <c r="J884" t="s">
        <v>320</v>
      </c>
      <c r="K884" t="s">
        <v>339</v>
      </c>
    </row>
    <row r="885" spans="1:11" x14ac:dyDescent="0.25">
      <c r="A885" t="s">
        <v>319</v>
      </c>
      <c r="B885" t="s">
        <v>692</v>
      </c>
      <c r="C885" t="s">
        <v>645</v>
      </c>
      <c r="G885" t="s">
        <v>338</v>
      </c>
      <c r="H885" t="s">
        <v>636</v>
      </c>
      <c r="I885" t="s">
        <v>152</v>
      </c>
      <c r="J885" t="s">
        <v>320</v>
      </c>
      <c r="K885" t="s">
        <v>339</v>
      </c>
    </row>
    <row r="886" spans="1:11" x14ac:dyDescent="0.25">
      <c r="A886" t="s">
        <v>319</v>
      </c>
      <c r="B886" t="s">
        <v>692</v>
      </c>
      <c r="C886" t="s">
        <v>645</v>
      </c>
      <c r="G886" t="s">
        <v>338</v>
      </c>
      <c r="H886" t="s">
        <v>636</v>
      </c>
      <c r="I886" t="s">
        <v>152</v>
      </c>
      <c r="J886" t="s">
        <v>320</v>
      </c>
      <c r="K886" t="s">
        <v>339</v>
      </c>
    </row>
    <row r="887" spans="1:11" x14ac:dyDescent="0.25">
      <c r="A887" t="s">
        <v>319</v>
      </c>
      <c r="B887" t="s">
        <v>693</v>
      </c>
      <c r="C887" t="s">
        <v>634</v>
      </c>
      <c r="D887" t="s">
        <v>635</v>
      </c>
      <c r="E887" t="s">
        <v>43</v>
      </c>
      <c r="F887" t="s">
        <v>53</v>
      </c>
      <c r="G887" t="s">
        <v>346</v>
      </c>
      <c r="H887" t="s">
        <v>636</v>
      </c>
      <c r="I887" t="s">
        <v>152</v>
      </c>
      <c r="J887" t="s">
        <v>320</v>
      </c>
      <c r="K887" t="s">
        <v>347</v>
      </c>
    </row>
    <row r="888" spans="1:11" x14ac:dyDescent="0.25">
      <c r="A888" t="s">
        <v>319</v>
      </c>
      <c r="B888" t="s">
        <v>693</v>
      </c>
      <c r="C888" t="s">
        <v>634</v>
      </c>
      <c r="D888" t="s">
        <v>635</v>
      </c>
      <c r="E888" t="s">
        <v>43</v>
      </c>
      <c r="F888" t="s">
        <v>49</v>
      </c>
      <c r="G888" t="s">
        <v>346</v>
      </c>
      <c r="H888" t="s">
        <v>636</v>
      </c>
      <c r="I888" t="s">
        <v>152</v>
      </c>
      <c r="J888" t="s">
        <v>320</v>
      </c>
      <c r="K888" t="s">
        <v>347</v>
      </c>
    </row>
    <row r="889" spans="1:11" x14ac:dyDescent="0.25">
      <c r="A889" t="s">
        <v>319</v>
      </c>
      <c r="B889" t="s">
        <v>693</v>
      </c>
      <c r="C889" t="s">
        <v>634</v>
      </c>
      <c r="D889" t="s">
        <v>635</v>
      </c>
      <c r="E889" t="s">
        <v>71</v>
      </c>
      <c r="F889" t="s">
        <v>86</v>
      </c>
      <c r="G889" t="s">
        <v>346</v>
      </c>
      <c r="H889" t="s">
        <v>636</v>
      </c>
      <c r="I889" t="s">
        <v>152</v>
      </c>
      <c r="J889" t="s">
        <v>320</v>
      </c>
      <c r="K889" t="s">
        <v>347</v>
      </c>
    </row>
    <row r="890" spans="1:11" x14ac:dyDescent="0.25">
      <c r="A890" t="s">
        <v>319</v>
      </c>
      <c r="B890" t="s">
        <v>693</v>
      </c>
      <c r="C890" t="s">
        <v>637</v>
      </c>
      <c r="D890" t="s">
        <v>638</v>
      </c>
      <c r="E890" t="s">
        <v>46</v>
      </c>
      <c r="F890" t="s">
        <v>47</v>
      </c>
      <c r="G890" t="s">
        <v>346</v>
      </c>
      <c r="H890" t="s">
        <v>636</v>
      </c>
      <c r="I890" t="s">
        <v>152</v>
      </c>
      <c r="J890" t="s">
        <v>320</v>
      </c>
      <c r="K890" t="s">
        <v>347</v>
      </c>
    </row>
    <row r="891" spans="1:11" x14ac:dyDescent="0.25">
      <c r="A891" t="s">
        <v>319</v>
      </c>
      <c r="B891" t="s">
        <v>693</v>
      </c>
      <c r="C891" t="s">
        <v>637</v>
      </c>
      <c r="D891" t="s">
        <v>638</v>
      </c>
      <c r="E891" t="s">
        <v>69</v>
      </c>
      <c r="F891" t="s">
        <v>80</v>
      </c>
      <c r="G891" t="s">
        <v>346</v>
      </c>
      <c r="H891" t="s">
        <v>636</v>
      </c>
      <c r="I891" t="s">
        <v>152</v>
      </c>
      <c r="J891" t="s">
        <v>320</v>
      </c>
      <c r="K891" t="s">
        <v>347</v>
      </c>
    </row>
    <row r="892" spans="1:11" x14ac:dyDescent="0.25">
      <c r="A892" t="s">
        <v>319</v>
      </c>
      <c r="B892" t="s">
        <v>693</v>
      </c>
      <c r="C892" t="s">
        <v>637</v>
      </c>
      <c r="G892" t="s">
        <v>346</v>
      </c>
      <c r="H892" t="s">
        <v>636</v>
      </c>
      <c r="I892" t="s">
        <v>152</v>
      </c>
      <c r="J892" t="s">
        <v>320</v>
      </c>
      <c r="K892" t="s">
        <v>347</v>
      </c>
    </row>
    <row r="893" spans="1:11" x14ac:dyDescent="0.25">
      <c r="A893" t="s">
        <v>319</v>
      </c>
      <c r="B893" t="s">
        <v>693</v>
      </c>
      <c r="C893" t="s">
        <v>644</v>
      </c>
      <c r="G893" t="s">
        <v>346</v>
      </c>
      <c r="H893" t="s">
        <v>636</v>
      </c>
      <c r="I893" t="s">
        <v>152</v>
      </c>
      <c r="J893" t="s">
        <v>320</v>
      </c>
      <c r="K893" t="s">
        <v>347</v>
      </c>
    </row>
    <row r="894" spans="1:11" x14ac:dyDescent="0.25">
      <c r="A894" t="s">
        <v>319</v>
      </c>
      <c r="B894" t="s">
        <v>693</v>
      </c>
      <c r="C894" t="s">
        <v>644</v>
      </c>
      <c r="G894" t="s">
        <v>346</v>
      </c>
      <c r="H894" t="s">
        <v>636</v>
      </c>
      <c r="I894" t="s">
        <v>152</v>
      </c>
      <c r="J894" t="s">
        <v>320</v>
      </c>
      <c r="K894" t="s">
        <v>347</v>
      </c>
    </row>
    <row r="895" spans="1:11" x14ac:dyDescent="0.25">
      <c r="A895" t="s">
        <v>319</v>
      </c>
      <c r="B895" t="s">
        <v>693</v>
      </c>
      <c r="C895" t="s">
        <v>644</v>
      </c>
      <c r="G895" t="s">
        <v>346</v>
      </c>
      <c r="H895" t="s">
        <v>636</v>
      </c>
      <c r="I895" t="s">
        <v>152</v>
      </c>
      <c r="J895" t="s">
        <v>320</v>
      </c>
      <c r="K895" t="s">
        <v>347</v>
      </c>
    </row>
    <row r="896" spans="1:11" x14ac:dyDescent="0.25">
      <c r="A896" t="s">
        <v>319</v>
      </c>
      <c r="B896" t="s">
        <v>693</v>
      </c>
      <c r="C896" t="s">
        <v>645</v>
      </c>
      <c r="G896" t="s">
        <v>346</v>
      </c>
      <c r="H896" t="s">
        <v>636</v>
      </c>
      <c r="I896" t="s">
        <v>152</v>
      </c>
      <c r="J896" t="s">
        <v>320</v>
      </c>
      <c r="K896" t="s">
        <v>347</v>
      </c>
    </row>
    <row r="897" spans="1:11" x14ac:dyDescent="0.25">
      <c r="A897" t="s">
        <v>319</v>
      </c>
      <c r="B897" t="s">
        <v>693</v>
      </c>
      <c r="C897" t="s">
        <v>645</v>
      </c>
      <c r="G897" t="s">
        <v>346</v>
      </c>
      <c r="H897" t="s">
        <v>636</v>
      </c>
      <c r="I897" t="s">
        <v>152</v>
      </c>
      <c r="J897" t="s">
        <v>320</v>
      </c>
      <c r="K897" t="s">
        <v>347</v>
      </c>
    </row>
    <row r="898" spans="1:11" x14ac:dyDescent="0.25">
      <c r="A898" t="s">
        <v>319</v>
      </c>
      <c r="B898" t="s">
        <v>694</v>
      </c>
      <c r="C898" t="s">
        <v>634</v>
      </c>
      <c r="D898" t="s">
        <v>635</v>
      </c>
      <c r="E898" t="s">
        <v>43</v>
      </c>
      <c r="F898" t="s">
        <v>53</v>
      </c>
      <c r="G898" t="s">
        <v>349</v>
      </c>
      <c r="H898" t="s">
        <v>636</v>
      </c>
      <c r="I898" t="s">
        <v>152</v>
      </c>
      <c r="J898" t="s">
        <v>320</v>
      </c>
      <c r="K898" t="s">
        <v>350</v>
      </c>
    </row>
    <row r="899" spans="1:11" x14ac:dyDescent="0.25">
      <c r="A899" t="s">
        <v>319</v>
      </c>
      <c r="B899" t="s">
        <v>694</v>
      </c>
      <c r="C899" t="s">
        <v>634</v>
      </c>
      <c r="D899" t="s">
        <v>635</v>
      </c>
      <c r="E899" t="s">
        <v>43</v>
      </c>
      <c r="F899" t="s">
        <v>49</v>
      </c>
      <c r="G899" t="s">
        <v>349</v>
      </c>
      <c r="H899" t="s">
        <v>636</v>
      </c>
      <c r="I899" t="s">
        <v>152</v>
      </c>
      <c r="J899" t="s">
        <v>320</v>
      </c>
      <c r="K899" t="s">
        <v>350</v>
      </c>
    </row>
    <row r="900" spans="1:11" x14ac:dyDescent="0.25">
      <c r="A900" t="s">
        <v>319</v>
      </c>
      <c r="B900" t="s">
        <v>694</v>
      </c>
      <c r="C900" t="s">
        <v>634</v>
      </c>
      <c r="D900" t="s">
        <v>635</v>
      </c>
      <c r="E900" t="s">
        <v>71</v>
      </c>
      <c r="F900" t="s">
        <v>86</v>
      </c>
      <c r="G900" t="s">
        <v>349</v>
      </c>
      <c r="H900" t="s">
        <v>636</v>
      </c>
      <c r="I900" t="s">
        <v>152</v>
      </c>
      <c r="J900" t="s">
        <v>320</v>
      </c>
      <c r="K900" t="s">
        <v>350</v>
      </c>
    </row>
    <row r="901" spans="1:11" x14ac:dyDescent="0.25">
      <c r="A901" t="s">
        <v>319</v>
      </c>
      <c r="B901" t="s">
        <v>694</v>
      </c>
      <c r="C901" t="s">
        <v>637</v>
      </c>
      <c r="D901" t="s">
        <v>638</v>
      </c>
      <c r="E901" t="s">
        <v>46</v>
      </c>
      <c r="F901" t="s">
        <v>47</v>
      </c>
      <c r="G901" t="s">
        <v>349</v>
      </c>
      <c r="H901" t="s">
        <v>636</v>
      </c>
      <c r="I901" t="s">
        <v>152</v>
      </c>
      <c r="J901" t="s">
        <v>320</v>
      </c>
      <c r="K901" t="s">
        <v>350</v>
      </c>
    </row>
    <row r="902" spans="1:11" x14ac:dyDescent="0.25">
      <c r="A902" t="s">
        <v>319</v>
      </c>
      <c r="B902" t="s">
        <v>694</v>
      </c>
      <c r="C902" t="s">
        <v>637</v>
      </c>
      <c r="D902" t="s">
        <v>638</v>
      </c>
      <c r="E902" t="s">
        <v>69</v>
      </c>
      <c r="F902" t="s">
        <v>80</v>
      </c>
      <c r="G902" t="s">
        <v>349</v>
      </c>
      <c r="H902" t="s">
        <v>636</v>
      </c>
      <c r="I902" t="s">
        <v>152</v>
      </c>
      <c r="J902" t="s">
        <v>320</v>
      </c>
      <c r="K902" t="s">
        <v>350</v>
      </c>
    </row>
    <row r="903" spans="1:11" x14ac:dyDescent="0.25">
      <c r="A903" t="s">
        <v>319</v>
      </c>
      <c r="B903" t="s">
        <v>694</v>
      </c>
      <c r="C903" t="s">
        <v>637</v>
      </c>
      <c r="G903" t="s">
        <v>349</v>
      </c>
      <c r="H903" t="s">
        <v>636</v>
      </c>
      <c r="I903" t="s">
        <v>152</v>
      </c>
      <c r="J903" t="s">
        <v>320</v>
      </c>
      <c r="K903" t="s">
        <v>350</v>
      </c>
    </row>
    <row r="904" spans="1:11" x14ac:dyDescent="0.25">
      <c r="A904" t="s">
        <v>319</v>
      </c>
      <c r="B904" t="s">
        <v>694</v>
      </c>
      <c r="C904" t="s">
        <v>644</v>
      </c>
      <c r="G904" t="s">
        <v>349</v>
      </c>
      <c r="H904" t="s">
        <v>636</v>
      </c>
      <c r="I904" t="s">
        <v>152</v>
      </c>
      <c r="J904" t="s">
        <v>320</v>
      </c>
      <c r="K904" t="s">
        <v>350</v>
      </c>
    </row>
    <row r="905" spans="1:11" x14ac:dyDescent="0.25">
      <c r="A905" t="s">
        <v>319</v>
      </c>
      <c r="B905" t="s">
        <v>694</v>
      </c>
      <c r="C905" t="s">
        <v>644</v>
      </c>
      <c r="G905" t="s">
        <v>349</v>
      </c>
      <c r="H905" t="s">
        <v>636</v>
      </c>
      <c r="I905" t="s">
        <v>152</v>
      </c>
      <c r="J905" t="s">
        <v>320</v>
      </c>
      <c r="K905" t="s">
        <v>350</v>
      </c>
    </row>
    <row r="906" spans="1:11" x14ac:dyDescent="0.25">
      <c r="A906" t="s">
        <v>319</v>
      </c>
      <c r="B906" t="s">
        <v>694</v>
      </c>
      <c r="C906" t="s">
        <v>644</v>
      </c>
      <c r="G906" t="s">
        <v>349</v>
      </c>
      <c r="H906" t="s">
        <v>636</v>
      </c>
      <c r="I906" t="s">
        <v>152</v>
      </c>
      <c r="J906" t="s">
        <v>320</v>
      </c>
      <c r="K906" t="s">
        <v>350</v>
      </c>
    </row>
    <row r="907" spans="1:11" x14ac:dyDescent="0.25">
      <c r="A907" t="s">
        <v>319</v>
      </c>
      <c r="B907" t="s">
        <v>694</v>
      </c>
      <c r="C907" t="s">
        <v>645</v>
      </c>
      <c r="G907" t="s">
        <v>349</v>
      </c>
      <c r="H907" t="s">
        <v>636</v>
      </c>
      <c r="I907" t="s">
        <v>152</v>
      </c>
      <c r="J907" t="s">
        <v>320</v>
      </c>
      <c r="K907" t="s">
        <v>350</v>
      </c>
    </row>
    <row r="908" spans="1:11" x14ac:dyDescent="0.25">
      <c r="A908" t="s">
        <v>319</v>
      </c>
      <c r="B908" t="s">
        <v>694</v>
      </c>
      <c r="C908" t="s">
        <v>645</v>
      </c>
      <c r="G908" t="s">
        <v>349</v>
      </c>
      <c r="H908" t="s">
        <v>636</v>
      </c>
      <c r="I908" t="s">
        <v>152</v>
      </c>
      <c r="J908" t="s">
        <v>320</v>
      </c>
      <c r="K908" t="s">
        <v>350</v>
      </c>
    </row>
    <row r="909" spans="1:11" x14ac:dyDescent="0.25">
      <c r="A909" t="s">
        <v>319</v>
      </c>
      <c r="B909" t="s">
        <v>695</v>
      </c>
      <c r="C909" t="s">
        <v>634</v>
      </c>
      <c r="D909" t="s">
        <v>635</v>
      </c>
      <c r="E909" t="s">
        <v>43</v>
      </c>
      <c r="F909" t="s">
        <v>53</v>
      </c>
      <c r="G909" t="s">
        <v>343</v>
      </c>
      <c r="H909" t="s">
        <v>636</v>
      </c>
      <c r="I909" t="s">
        <v>152</v>
      </c>
      <c r="J909" t="s">
        <v>320</v>
      </c>
      <c r="K909" t="s">
        <v>344</v>
      </c>
    </row>
    <row r="910" spans="1:11" x14ac:dyDescent="0.25">
      <c r="A910" t="s">
        <v>319</v>
      </c>
      <c r="B910" t="s">
        <v>695</v>
      </c>
      <c r="C910" t="s">
        <v>634</v>
      </c>
      <c r="D910" t="s">
        <v>635</v>
      </c>
      <c r="E910" t="s">
        <v>43</v>
      </c>
      <c r="F910" t="s">
        <v>49</v>
      </c>
      <c r="G910" t="s">
        <v>343</v>
      </c>
      <c r="H910" t="s">
        <v>636</v>
      </c>
      <c r="I910" t="s">
        <v>152</v>
      </c>
      <c r="J910" t="s">
        <v>320</v>
      </c>
      <c r="K910" t="s">
        <v>344</v>
      </c>
    </row>
    <row r="911" spans="1:11" x14ac:dyDescent="0.25">
      <c r="A911" t="s">
        <v>319</v>
      </c>
      <c r="B911" t="s">
        <v>695</v>
      </c>
      <c r="C911" t="s">
        <v>634</v>
      </c>
      <c r="D911" t="s">
        <v>635</v>
      </c>
      <c r="E911" t="s">
        <v>71</v>
      </c>
      <c r="F911" t="s">
        <v>86</v>
      </c>
      <c r="G911" t="s">
        <v>343</v>
      </c>
      <c r="H911" t="s">
        <v>636</v>
      </c>
      <c r="I911" t="s">
        <v>152</v>
      </c>
      <c r="J911" t="s">
        <v>320</v>
      </c>
      <c r="K911" t="s">
        <v>344</v>
      </c>
    </row>
    <row r="912" spans="1:11" x14ac:dyDescent="0.25">
      <c r="A912" t="s">
        <v>319</v>
      </c>
      <c r="B912" t="s">
        <v>695</v>
      </c>
      <c r="C912" t="s">
        <v>637</v>
      </c>
      <c r="D912" t="s">
        <v>638</v>
      </c>
      <c r="E912" t="s">
        <v>46</v>
      </c>
      <c r="F912" t="s">
        <v>47</v>
      </c>
      <c r="G912" t="s">
        <v>343</v>
      </c>
      <c r="H912" t="s">
        <v>636</v>
      </c>
      <c r="I912" t="s">
        <v>152</v>
      </c>
      <c r="J912" t="s">
        <v>320</v>
      </c>
      <c r="K912" t="s">
        <v>344</v>
      </c>
    </row>
    <row r="913" spans="1:11" x14ac:dyDescent="0.25">
      <c r="A913" t="s">
        <v>319</v>
      </c>
      <c r="B913" t="s">
        <v>695</v>
      </c>
      <c r="C913" t="s">
        <v>637</v>
      </c>
      <c r="D913" t="s">
        <v>638</v>
      </c>
      <c r="E913" t="s">
        <v>69</v>
      </c>
      <c r="F913" t="s">
        <v>80</v>
      </c>
      <c r="G913" t="s">
        <v>343</v>
      </c>
      <c r="H913" t="s">
        <v>636</v>
      </c>
      <c r="I913" t="s">
        <v>152</v>
      </c>
      <c r="J913" t="s">
        <v>320</v>
      </c>
      <c r="K913" t="s">
        <v>344</v>
      </c>
    </row>
    <row r="914" spans="1:11" x14ac:dyDescent="0.25">
      <c r="A914" t="s">
        <v>319</v>
      </c>
      <c r="B914" t="s">
        <v>695</v>
      </c>
      <c r="C914" t="s">
        <v>637</v>
      </c>
      <c r="G914" t="s">
        <v>343</v>
      </c>
      <c r="H914" t="s">
        <v>636</v>
      </c>
      <c r="I914" t="s">
        <v>152</v>
      </c>
      <c r="J914" t="s">
        <v>320</v>
      </c>
      <c r="K914" t="s">
        <v>344</v>
      </c>
    </row>
    <row r="915" spans="1:11" x14ac:dyDescent="0.25">
      <c r="A915" t="s">
        <v>319</v>
      </c>
      <c r="B915" t="s">
        <v>695</v>
      </c>
      <c r="C915" t="s">
        <v>644</v>
      </c>
      <c r="G915" t="s">
        <v>343</v>
      </c>
      <c r="H915" t="s">
        <v>636</v>
      </c>
      <c r="I915" t="s">
        <v>152</v>
      </c>
      <c r="J915" t="s">
        <v>320</v>
      </c>
      <c r="K915" t="s">
        <v>344</v>
      </c>
    </row>
    <row r="916" spans="1:11" x14ac:dyDescent="0.25">
      <c r="A916" t="s">
        <v>319</v>
      </c>
      <c r="B916" t="s">
        <v>695</v>
      </c>
      <c r="C916" t="s">
        <v>644</v>
      </c>
      <c r="G916" t="s">
        <v>343</v>
      </c>
      <c r="H916" t="s">
        <v>636</v>
      </c>
      <c r="I916" t="s">
        <v>152</v>
      </c>
      <c r="J916" t="s">
        <v>320</v>
      </c>
      <c r="K916" t="s">
        <v>344</v>
      </c>
    </row>
    <row r="917" spans="1:11" x14ac:dyDescent="0.25">
      <c r="A917" t="s">
        <v>319</v>
      </c>
      <c r="B917" t="s">
        <v>695</v>
      </c>
      <c r="C917" t="s">
        <v>644</v>
      </c>
      <c r="G917" t="s">
        <v>343</v>
      </c>
      <c r="H917" t="s">
        <v>636</v>
      </c>
      <c r="I917" t="s">
        <v>152</v>
      </c>
      <c r="J917" t="s">
        <v>320</v>
      </c>
      <c r="K917" t="s">
        <v>344</v>
      </c>
    </row>
    <row r="918" spans="1:11" x14ac:dyDescent="0.25">
      <c r="A918" t="s">
        <v>319</v>
      </c>
      <c r="B918" t="s">
        <v>695</v>
      </c>
      <c r="C918" t="s">
        <v>645</v>
      </c>
      <c r="G918" t="s">
        <v>343</v>
      </c>
      <c r="H918" t="s">
        <v>636</v>
      </c>
      <c r="I918" t="s">
        <v>152</v>
      </c>
      <c r="J918" t="s">
        <v>320</v>
      </c>
      <c r="K918" t="s">
        <v>344</v>
      </c>
    </row>
    <row r="919" spans="1:11" x14ac:dyDescent="0.25">
      <c r="A919" t="s">
        <v>319</v>
      </c>
      <c r="B919" t="s">
        <v>695</v>
      </c>
      <c r="C919" t="s">
        <v>645</v>
      </c>
      <c r="G919" t="s">
        <v>343</v>
      </c>
      <c r="H919" t="s">
        <v>636</v>
      </c>
      <c r="I919" t="s">
        <v>152</v>
      </c>
      <c r="J919" t="s">
        <v>320</v>
      </c>
      <c r="K919" t="s">
        <v>344</v>
      </c>
    </row>
    <row r="920" spans="1:11" x14ac:dyDescent="0.25">
      <c r="A920" t="s">
        <v>319</v>
      </c>
      <c r="B920" t="s">
        <v>696</v>
      </c>
      <c r="C920" t="s">
        <v>634</v>
      </c>
      <c r="D920" t="s">
        <v>635</v>
      </c>
      <c r="E920" t="s">
        <v>43</v>
      </c>
      <c r="F920" t="s">
        <v>53</v>
      </c>
      <c r="G920" t="s">
        <v>341</v>
      </c>
      <c r="H920" t="s">
        <v>636</v>
      </c>
      <c r="I920" t="s">
        <v>133</v>
      </c>
      <c r="J920" t="s">
        <v>312</v>
      </c>
      <c r="K920" t="s">
        <v>34</v>
      </c>
    </row>
    <row r="921" spans="1:11" x14ac:dyDescent="0.25">
      <c r="A921" t="s">
        <v>319</v>
      </c>
      <c r="B921" t="s">
        <v>696</v>
      </c>
      <c r="C921" t="s">
        <v>634</v>
      </c>
      <c r="D921" t="s">
        <v>635</v>
      </c>
      <c r="E921" t="s">
        <v>43</v>
      </c>
      <c r="F921" t="s">
        <v>49</v>
      </c>
      <c r="G921" t="s">
        <v>341</v>
      </c>
      <c r="H921" t="s">
        <v>636</v>
      </c>
      <c r="I921" t="s">
        <v>133</v>
      </c>
      <c r="J921" t="s">
        <v>312</v>
      </c>
      <c r="K921" t="s">
        <v>34</v>
      </c>
    </row>
    <row r="922" spans="1:11" x14ac:dyDescent="0.25">
      <c r="A922" t="s">
        <v>319</v>
      </c>
      <c r="B922" t="s">
        <v>696</v>
      </c>
      <c r="C922" t="s">
        <v>634</v>
      </c>
      <c r="D922" t="s">
        <v>635</v>
      </c>
      <c r="E922" t="s">
        <v>71</v>
      </c>
      <c r="F922" t="s">
        <v>86</v>
      </c>
      <c r="G922" t="s">
        <v>341</v>
      </c>
      <c r="H922" t="s">
        <v>636</v>
      </c>
      <c r="I922" t="s">
        <v>133</v>
      </c>
      <c r="J922" t="s">
        <v>312</v>
      </c>
      <c r="K922" t="s">
        <v>34</v>
      </c>
    </row>
    <row r="923" spans="1:11" x14ac:dyDescent="0.25">
      <c r="A923" t="s">
        <v>319</v>
      </c>
      <c r="B923" t="s">
        <v>696</v>
      </c>
      <c r="C923" t="s">
        <v>637</v>
      </c>
      <c r="D923" t="s">
        <v>638</v>
      </c>
      <c r="E923" t="s">
        <v>46</v>
      </c>
      <c r="F923" t="s">
        <v>47</v>
      </c>
      <c r="G923" t="s">
        <v>341</v>
      </c>
      <c r="H923" t="s">
        <v>636</v>
      </c>
      <c r="I923" t="s">
        <v>133</v>
      </c>
      <c r="J923" t="s">
        <v>312</v>
      </c>
      <c r="K923" t="s">
        <v>34</v>
      </c>
    </row>
    <row r="924" spans="1:11" x14ac:dyDescent="0.25">
      <c r="A924" t="s">
        <v>319</v>
      </c>
      <c r="B924" t="s">
        <v>696</v>
      </c>
      <c r="C924" t="s">
        <v>637</v>
      </c>
      <c r="D924" t="s">
        <v>638</v>
      </c>
      <c r="E924" t="s">
        <v>69</v>
      </c>
      <c r="F924" t="s">
        <v>80</v>
      </c>
      <c r="G924" t="s">
        <v>341</v>
      </c>
      <c r="H924" t="s">
        <v>636</v>
      </c>
      <c r="I924" t="s">
        <v>133</v>
      </c>
      <c r="J924" t="s">
        <v>312</v>
      </c>
      <c r="K924" t="s">
        <v>34</v>
      </c>
    </row>
    <row r="925" spans="1:11" x14ac:dyDescent="0.25">
      <c r="A925" t="s">
        <v>319</v>
      </c>
      <c r="B925" t="s">
        <v>696</v>
      </c>
      <c r="C925" t="s">
        <v>637</v>
      </c>
      <c r="G925" t="s">
        <v>341</v>
      </c>
      <c r="H925" t="s">
        <v>636</v>
      </c>
      <c r="I925" t="s">
        <v>133</v>
      </c>
      <c r="J925" t="s">
        <v>312</v>
      </c>
      <c r="K925" t="s">
        <v>34</v>
      </c>
    </row>
    <row r="926" spans="1:11" x14ac:dyDescent="0.25">
      <c r="A926" t="s">
        <v>319</v>
      </c>
      <c r="B926" t="s">
        <v>696</v>
      </c>
      <c r="C926" t="s">
        <v>644</v>
      </c>
      <c r="G926" t="s">
        <v>341</v>
      </c>
      <c r="H926" t="s">
        <v>636</v>
      </c>
      <c r="I926" t="s">
        <v>133</v>
      </c>
      <c r="J926" t="s">
        <v>312</v>
      </c>
      <c r="K926" t="s">
        <v>34</v>
      </c>
    </row>
    <row r="927" spans="1:11" x14ac:dyDescent="0.25">
      <c r="A927" t="s">
        <v>319</v>
      </c>
      <c r="B927" t="s">
        <v>696</v>
      </c>
      <c r="C927" t="s">
        <v>644</v>
      </c>
      <c r="G927" t="s">
        <v>341</v>
      </c>
      <c r="H927" t="s">
        <v>636</v>
      </c>
      <c r="I927" t="s">
        <v>133</v>
      </c>
      <c r="J927" t="s">
        <v>312</v>
      </c>
      <c r="K927" t="s">
        <v>34</v>
      </c>
    </row>
    <row r="928" spans="1:11" x14ac:dyDescent="0.25">
      <c r="A928" t="s">
        <v>319</v>
      </c>
      <c r="B928" t="s">
        <v>696</v>
      </c>
      <c r="C928" t="s">
        <v>644</v>
      </c>
      <c r="G928" t="s">
        <v>341</v>
      </c>
      <c r="H928" t="s">
        <v>636</v>
      </c>
      <c r="I928" t="s">
        <v>133</v>
      </c>
      <c r="J928" t="s">
        <v>312</v>
      </c>
      <c r="K928" t="s">
        <v>34</v>
      </c>
    </row>
    <row r="929" spans="1:11" x14ac:dyDescent="0.25">
      <c r="A929" t="s">
        <v>319</v>
      </c>
      <c r="B929" t="s">
        <v>696</v>
      </c>
      <c r="C929" t="s">
        <v>645</v>
      </c>
      <c r="G929" t="s">
        <v>341</v>
      </c>
      <c r="H929" t="s">
        <v>636</v>
      </c>
      <c r="I929" t="s">
        <v>133</v>
      </c>
      <c r="J929" t="s">
        <v>312</v>
      </c>
      <c r="K929" t="s">
        <v>34</v>
      </c>
    </row>
    <row r="930" spans="1:11" x14ac:dyDescent="0.25">
      <c r="A930" t="s">
        <v>319</v>
      </c>
      <c r="B930" t="s">
        <v>696</v>
      </c>
      <c r="C930" t="s">
        <v>645</v>
      </c>
      <c r="G930" t="s">
        <v>341</v>
      </c>
      <c r="H930" t="s">
        <v>636</v>
      </c>
      <c r="I930" t="s">
        <v>133</v>
      </c>
      <c r="J930" t="s">
        <v>312</v>
      </c>
      <c r="K930" t="s">
        <v>34</v>
      </c>
    </row>
    <row r="931" spans="1:11" x14ac:dyDescent="0.25">
      <c r="A931" t="s">
        <v>319</v>
      </c>
      <c r="B931" t="s">
        <v>696</v>
      </c>
      <c r="C931" t="s">
        <v>634</v>
      </c>
      <c r="D931" t="s">
        <v>635</v>
      </c>
      <c r="E931" t="s">
        <v>43</v>
      </c>
      <c r="F931" t="s">
        <v>53</v>
      </c>
      <c r="G931" t="s">
        <v>341</v>
      </c>
      <c r="H931" t="s">
        <v>636</v>
      </c>
      <c r="I931" t="s">
        <v>152</v>
      </c>
      <c r="J931" t="s">
        <v>320</v>
      </c>
      <c r="K931" t="s">
        <v>34</v>
      </c>
    </row>
    <row r="932" spans="1:11" x14ac:dyDescent="0.25">
      <c r="A932" t="s">
        <v>319</v>
      </c>
      <c r="B932" t="s">
        <v>696</v>
      </c>
      <c r="C932" t="s">
        <v>634</v>
      </c>
      <c r="D932" t="s">
        <v>635</v>
      </c>
      <c r="E932" t="s">
        <v>43</v>
      </c>
      <c r="F932" t="s">
        <v>49</v>
      </c>
      <c r="G932" t="s">
        <v>341</v>
      </c>
      <c r="H932" t="s">
        <v>636</v>
      </c>
      <c r="I932" t="s">
        <v>152</v>
      </c>
      <c r="J932" t="s">
        <v>320</v>
      </c>
      <c r="K932" t="s">
        <v>34</v>
      </c>
    </row>
    <row r="933" spans="1:11" x14ac:dyDescent="0.25">
      <c r="A933" t="s">
        <v>319</v>
      </c>
      <c r="B933" t="s">
        <v>696</v>
      </c>
      <c r="C933" t="s">
        <v>634</v>
      </c>
      <c r="D933" t="s">
        <v>635</v>
      </c>
      <c r="E933" t="s">
        <v>71</v>
      </c>
      <c r="F933" t="s">
        <v>86</v>
      </c>
      <c r="G933" t="s">
        <v>341</v>
      </c>
      <c r="H933" t="s">
        <v>636</v>
      </c>
      <c r="I933" t="s">
        <v>152</v>
      </c>
      <c r="J933" t="s">
        <v>320</v>
      </c>
      <c r="K933" t="s">
        <v>34</v>
      </c>
    </row>
    <row r="934" spans="1:11" x14ac:dyDescent="0.25">
      <c r="A934" t="s">
        <v>319</v>
      </c>
      <c r="B934" t="s">
        <v>696</v>
      </c>
      <c r="C934" t="s">
        <v>637</v>
      </c>
      <c r="D934" t="s">
        <v>638</v>
      </c>
      <c r="E934" t="s">
        <v>46</v>
      </c>
      <c r="F934" t="s">
        <v>47</v>
      </c>
      <c r="G934" t="s">
        <v>341</v>
      </c>
      <c r="H934" t="s">
        <v>636</v>
      </c>
      <c r="I934" t="s">
        <v>152</v>
      </c>
      <c r="J934" t="s">
        <v>320</v>
      </c>
      <c r="K934" t="s">
        <v>34</v>
      </c>
    </row>
    <row r="935" spans="1:11" x14ac:dyDescent="0.25">
      <c r="A935" t="s">
        <v>319</v>
      </c>
      <c r="B935" t="s">
        <v>696</v>
      </c>
      <c r="C935" t="s">
        <v>637</v>
      </c>
      <c r="D935" t="s">
        <v>638</v>
      </c>
      <c r="E935" t="s">
        <v>69</v>
      </c>
      <c r="F935" t="s">
        <v>80</v>
      </c>
      <c r="G935" t="s">
        <v>341</v>
      </c>
      <c r="H935" t="s">
        <v>636</v>
      </c>
      <c r="I935" t="s">
        <v>152</v>
      </c>
      <c r="J935" t="s">
        <v>320</v>
      </c>
      <c r="K935" t="s">
        <v>34</v>
      </c>
    </row>
    <row r="936" spans="1:11" x14ac:dyDescent="0.25">
      <c r="A936" t="s">
        <v>319</v>
      </c>
      <c r="B936" t="s">
        <v>696</v>
      </c>
      <c r="C936" t="s">
        <v>637</v>
      </c>
      <c r="G936" t="s">
        <v>341</v>
      </c>
      <c r="H936" t="s">
        <v>636</v>
      </c>
      <c r="I936" t="s">
        <v>152</v>
      </c>
      <c r="J936" t="s">
        <v>320</v>
      </c>
      <c r="K936" t="s">
        <v>34</v>
      </c>
    </row>
    <row r="937" spans="1:11" x14ac:dyDescent="0.25">
      <c r="A937" t="s">
        <v>319</v>
      </c>
      <c r="B937" t="s">
        <v>696</v>
      </c>
      <c r="C937" t="s">
        <v>644</v>
      </c>
      <c r="G937" t="s">
        <v>341</v>
      </c>
      <c r="H937" t="s">
        <v>636</v>
      </c>
      <c r="I937" t="s">
        <v>152</v>
      </c>
      <c r="J937" t="s">
        <v>320</v>
      </c>
      <c r="K937" t="s">
        <v>34</v>
      </c>
    </row>
    <row r="938" spans="1:11" x14ac:dyDescent="0.25">
      <c r="A938" t="s">
        <v>319</v>
      </c>
      <c r="B938" t="s">
        <v>696</v>
      </c>
      <c r="C938" t="s">
        <v>644</v>
      </c>
      <c r="G938" t="s">
        <v>341</v>
      </c>
      <c r="H938" t="s">
        <v>636</v>
      </c>
      <c r="I938" t="s">
        <v>152</v>
      </c>
      <c r="J938" t="s">
        <v>320</v>
      </c>
      <c r="K938" t="s">
        <v>34</v>
      </c>
    </row>
    <row r="939" spans="1:11" x14ac:dyDescent="0.25">
      <c r="A939" t="s">
        <v>319</v>
      </c>
      <c r="B939" t="s">
        <v>696</v>
      </c>
      <c r="C939" t="s">
        <v>644</v>
      </c>
      <c r="G939" t="s">
        <v>341</v>
      </c>
      <c r="H939" t="s">
        <v>636</v>
      </c>
      <c r="I939" t="s">
        <v>152</v>
      </c>
      <c r="J939" t="s">
        <v>320</v>
      </c>
      <c r="K939" t="s">
        <v>34</v>
      </c>
    </row>
    <row r="940" spans="1:11" x14ac:dyDescent="0.25">
      <c r="A940" t="s">
        <v>319</v>
      </c>
      <c r="B940" t="s">
        <v>696</v>
      </c>
      <c r="C940" t="s">
        <v>645</v>
      </c>
      <c r="G940" t="s">
        <v>341</v>
      </c>
      <c r="H940" t="s">
        <v>636</v>
      </c>
      <c r="I940" t="s">
        <v>152</v>
      </c>
      <c r="J940" t="s">
        <v>320</v>
      </c>
      <c r="K940" t="s">
        <v>34</v>
      </c>
    </row>
    <row r="941" spans="1:11" x14ac:dyDescent="0.25">
      <c r="A941" t="s">
        <v>319</v>
      </c>
      <c r="B941" t="s">
        <v>696</v>
      </c>
      <c r="C941" t="s">
        <v>645</v>
      </c>
      <c r="G941" t="s">
        <v>341</v>
      </c>
      <c r="H941" t="s">
        <v>636</v>
      </c>
      <c r="I941" t="s">
        <v>152</v>
      </c>
      <c r="J941" t="s">
        <v>320</v>
      </c>
      <c r="K941" t="s">
        <v>34</v>
      </c>
    </row>
    <row r="942" spans="1:11" x14ac:dyDescent="0.25">
      <c r="A942" t="s">
        <v>385</v>
      </c>
      <c r="B942" t="s">
        <v>697</v>
      </c>
      <c r="C942" t="s">
        <v>634</v>
      </c>
      <c r="D942" t="s">
        <v>635</v>
      </c>
      <c r="E942" t="s">
        <v>71</v>
      </c>
      <c r="F942" t="s">
        <v>88</v>
      </c>
      <c r="G942" t="s">
        <v>412</v>
      </c>
      <c r="H942" t="s">
        <v>636</v>
      </c>
      <c r="I942" t="s">
        <v>133</v>
      </c>
      <c r="J942" t="s">
        <v>312</v>
      </c>
      <c r="K942" t="s">
        <v>30</v>
      </c>
    </row>
    <row r="943" spans="1:11" x14ac:dyDescent="0.25">
      <c r="A943" t="s">
        <v>385</v>
      </c>
      <c r="B943" t="s">
        <v>697</v>
      </c>
      <c r="C943" t="s">
        <v>634</v>
      </c>
      <c r="D943" t="s">
        <v>635</v>
      </c>
      <c r="E943" t="s">
        <v>93</v>
      </c>
      <c r="F943" t="s">
        <v>94</v>
      </c>
      <c r="G943" t="s">
        <v>412</v>
      </c>
      <c r="H943" t="s">
        <v>636</v>
      </c>
      <c r="I943" t="s">
        <v>133</v>
      </c>
      <c r="J943" t="s">
        <v>312</v>
      </c>
      <c r="K943" t="s">
        <v>30</v>
      </c>
    </row>
    <row r="944" spans="1:11" x14ac:dyDescent="0.25">
      <c r="A944" t="s">
        <v>385</v>
      </c>
      <c r="B944" t="s">
        <v>697</v>
      </c>
      <c r="C944" t="s">
        <v>634</v>
      </c>
      <c r="D944" t="s">
        <v>635</v>
      </c>
      <c r="E944" t="s">
        <v>93</v>
      </c>
      <c r="F944" t="s">
        <v>128</v>
      </c>
      <c r="G944" t="s">
        <v>412</v>
      </c>
      <c r="H944" t="s">
        <v>636</v>
      </c>
      <c r="I944" t="s">
        <v>133</v>
      </c>
      <c r="J944" t="s">
        <v>312</v>
      </c>
      <c r="K944" t="s">
        <v>30</v>
      </c>
    </row>
    <row r="945" spans="1:11" x14ac:dyDescent="0.25">
      <c r="A945" t="s">
        <v>385</v>
      </c>
      <c r="B945" t="s">
        <v>697</v>
      </c>
      <c r="C945" t="s">
        <v>637</v>
      </c>
      <c r="D945" t="s">
        <v>635</v>
      </c>
      <c r="E945" t="s">
        <v>43</v>
      </c>
      <c r="F945" t="s">
        <v>53</v>
      </c>
      <c r="G945" t="s">
        <v>412</v>
      </c>
      <c r="H945" t="s">
        <v>636</v>
      </c>
      <c r="I945" t="s">
        <v>133</v>
      </c>
      <c r="J945" t="s">
        <v>312</v>
      </c>
      <c r="K945" t="s">
        <v>30</v>
      </c>
    </row>
    <row r="946" spans="1:11" x14ac:dyDescent="0.25">
      <c r="A946" t="s">
        <v>385</v>
      </c>
      <c r="B946" t="s">
        <v>697</v>
      </c>
      <c r="C946" t="s">
        <v>637</v>
      </c>
      <c r="D946" t="s">
        <v>635</v>
      </c>
      <c r="E946" t="s">
        <v>43</v>
      </c>
      <c r="F946" t="s">
        <v>66</v>
      </c>
      <c r="G946" t="s">
        <v>412</v>
      </c>
      <c r="H946" t="s">
        <v>636</v>
      </c>
      <c r="I946" t="s">
        <v>133</v>
      </c>
      <c r="J946" t="s">
        <v>312</v>
      </c>
      <c r="K946" t="s">
        <v>30</v>
      </c>
    </row>
    <row r="947" spans="1:11" x14ac:dyDescent="0.25">
      <c r="A947" t="s">
        <v>385</v>
      </c>
      <c r="B947" t="s">
        <v>697</v>
      </c>
      <c r="C947" t="s">
        <v>637</v>
      </c>
      <c r="D947" t="s">
        <v>638</v>
      </c>
      <c r="E947" t="s">
        <v>71</v>
      </c>
      <c r="F947" t="s">
        <v>88</v>
      </c>
      <c r="G947" t="s">
        <v>412</v>
      </c>
      <c r="H947" t="s">
        <v>636</v>
      </c>
      <c r="I947" t="s">
        <v>133</v>
      </c>
      <c r="J947" t="s">
        <v>312</v>
      </c>
      <c r="K947" t="s">
        <v>30</v>
      </c>
    </row>
    <row r="948" spans="1:11" x14ac:dyDescent="0.25">
      <c r="A948" t="s">
        <v>385</v>
      </c>
      <c r="B948" t="s">
        <v>697</v>
      </c>
      <c r="C948" t="s">
        <v>637</v>
      </c>
      <c r="D948" t="s">
        <v>638</v>
      </c>
      <c r="E948" t="s">
        <v>93</v>
      </c>
      <c r="F948" t="s">
        <v>94</v>
      </c>
      <c r="G948" t="s">
        <v>412</v>
      </c>
      <c r="H948" t="s">
        <v>636</v>
      </c>
      <c r="I948" t="s">
        <v>133</v>
      </c>
      <c r="J948" t="s">
        <v>312</v>
      </c>
      <c r="K948" t="s">
        <v>30</v>
      </c>
    </row>
    <row r="949" spans="1:11" x14ac:dyDescent="0.25">
      <c r="A949" t="s">
        <v>385</v>
      </c>
      <c r="B949" t="s">
        <v>697</v>
      </c>
      <c r="C949" t="s">
        <v>637</v>
      </c>
      <c r="D949" t="s">
        <v>638</v>
      </c>
      <c r="E949" t="s">
        <v>93</v>
      </c>
      <c r="F949" t="s">
        <v>128</v>
      </c>
      <c r="G949" t="s">
        <v>412</v>
      </c>
      <c r="H949" t="s">
        <v>636</v>
      </c>
      <c r="I949" t="s">
        <v>133</v>
      </c>
      <c r="J949" t="s">
        <v>312</v>
      </c>
      <c r="K949" t="s">
        <v>30</v>
      </c>
    </row>
    <row r="950" spans="1:11" x14ac:dyDescent="0.25">
      <c r="A950" t="s">
        <v>385</v>
      </c>
      <c r="B950" t="s">
        <v>697</v>
      </c>
      <c r="C950" t="s">
        <v>637</v>
      </c>
      <c r="D950" t="s">
        <v>638</v>
      </c>
      <c r="E950" t="s">
        <v>43</v>
      </c>
      <c r="F950" t="s">
        <v>53</v>
      </c>
      <c r="G950" t="s">
        <v>412</v>
      </c>
      <c r="H950" t="s">
        <v>636</v>
      </c>
      <c r="I950" t="s">
        <v>133</v>
      </c>
      <c r="J950" t="s">
        <v>312</v>
      </c>
      <c r="K950" t="s">
        <v>30</v>
      </c>
    </row>
    <row r="951" spans="1:11" x14ac:dyDescent="0.25">
      <c r="A951" t="s">
        <v>385</v>
      </c>
      <c r="B951" t="s">
        <v>697</v>
      </c>
      <c r="C951" t="s">
        <v>637</v>
      </c>
      <c r="D951" t="s">
        <v>638</v>
      </c>
      <c r="E951" t="s">
        <v>43</v>
      </c>
      <c r="F951" t="s">
        <v>66</v>
      </c>
      <c r="G951" t="s">
        <v>412</v>
      </c>
      <c r="H951" t="s">
        <v>636</v>
      </c>
      <c r="I951" t="s">
        <v>133</v>
      </c>
      <c r="J951" t="s">
        <v>312</v>
      </c>
      <c r="K951" t="s">
        <v>30</v>
      </c>
    </row>
    <row r="952" spans="1:11" x14ac:dyDescent="0.25">
      <c r="A952" t="s">
        <v>385</v>
      </c>
      <c r="B952" t="s">
        <v>698</v>
      </c>
      <c r="C952" t="s">
        <v>634</v>
      </c>
      <c r="D952" t="s">
        <v>635</v>
      </c>
      <c r="E952" t="s">
        <v>43</v>
      </c>
      <c r="F952" t="s">
        <v>44</v>
      </c>
      <c r="G952" t="s">
        <v>417</v>
      </c>
      <c r="H952" t="s">
        <v>636</v>
      </c>
      <c r="I952" t="s">
        <v>133</v>
      </c>
      <c r="J952" t="s">
        <v>312</v>
      </c>
      <c r="K952" t="s">
        <v>7</v>
      </c>
    </row>
    <row r="953" spans="1:11" x14ac:dyDescent="0.25">
      <c r="A953" t="s">
        <v>385</v>
      </c>
      <c r="B953" t="s">
        <v>698</v>
      </c>
      <c r="C953" t="s">
        <v>634</v>
      </c>
      <c r="D953" t="s">
        <v>635</v>
      </c>
      <c r="E953" t="s">
        <v>43</v>
      </c>
      <c r="F953" t="s">
        <v>49</v>
      </c>
      <c r="G953" t="s">
        <v>417</v>
      </c>
      <c r="H953" t="s">
        <v>636</v>
      </c>
      <c r="I953" t="s">
        <v>133</v>
      </c>
      <c r="J953" t="s">
        <v>312</v>
      </c>
      <c r="K953" t="s">
        <v>7</v>
      </c>
    </row>
    <row r="954" spans="1:11" x14ac:dyDescent="0.25">
      <c r="A954" t="s">
        <v>385</v>
      </c>
      <c r="B954" t="s">
        <v>698</v>
      </c>
      <c r="C954" t="s">
        <v>634</v>
      </c>
      <c r="D954" t="s">
        <v>640</v>
      </c>
      <c r="E954" t="s">
        <v>71</v>
      </c>
      <c r="F954" t="s">
        <v>72</v>
      </c>
      <c r="G954" t="s">
        <v>417</v>
      </c>
      <c r="H954" t="s">
        <v>636</v>
      </c>
      <c r="I954" t="s">
        <v>133</v>
      </c>
      <c r="J954" t="s">
        <v>312</v>
      </c>
      <c r="K954" t="s">
        <v>7</v>
      </c>
    </row>
    <row r="955" spans="1:11" x14ac:dyDescent="0.25">
      <c r="A955" t="s">
        <v>385</v>
      </c>
      <c r="B955" t="s">
        <v>698</v>
      </c>
      <c r="C955" t="s">
        <v>634</v>
      </c>
      <c r="D955" t="s">
        <v>635</v>
      </c>
      <c r="E955" t="s">
        <v>46</v>
      </c>
      <c r="F955" t="s">
        <v>47</v>
      </c>
      <c r="G955" t="s">
        <v>417</v>
      </c>
      <c r="H955" t="s">
        <v>636</v>
      </c>
      <c r="I955" t="s">
        <v>133</v>
      </c>
      <c r="J955" t="s">
        <v>312</v>
      </c>
      <c r="K955" t="s">
        <v>7</v>
      </c>
    </row>
    <row r="956" spans="1:11" x14ac:dyDescent="0.25">
      <c r="A956" t="s">
        <v>385</v>
      </c>
      <c r="B956" t="s">
        <v>698</v>
      </c>
      <c r="C956" t="s">
        <v>634</v>
      </c>
      <c r="D956" t="s">
        <v>635</v>
      </c>
      <c r="E956" t="s">
        <v>110</v>
      </c>
      <c r="F956" t="s">
        <v>142</v>
      </c>
      <c r="G956" t="s">
        <v>417</v>
      </c>
      <c r="H956" t="s">
        <v>636</v>
      </c>
      <c r="I956" t="s">
        <v>133</v>
      </c>
      <c r="J956" t="s">
        <v>312</v>
      </c>
      <c r="K956" t="s">
        <v>7</v>
      </c>
    </row>
    <row r="957" spans="1:11" x14ac:dyDescent="0.25">
      <c r="A957" t="s">
        <v>385</v>
      </c>
      <c r="B957" t="s">
        <v>698</v>
      </c>
      <c r="C957" t="s">
        <v>637</v>
      </c>
      <c r="D957" t="s">
        <v>638</v>
      </c>
      <c r="E957" t="s">
        <v>43</v>
      </c>
      <c r="F957" t="s">
        <v>44</v>
      </c>
      <c r="G957" t="s">
        <v>417</v>
      </c>
      <c r="H957" t="s">
        <v>636</v>
      </c>
      <c r="I957" t="s">
        <v>133</v>
      </c>
      <c r="J957" t="s">
        <v>312</v>
      </c>
      <c r="K957" t="s">
        <v>7</v>
      </c>
    </row>
    <row r="958" spans="1:11" x14ac:dyDescent="0.25">
      <c r="A958" t="s">
        <v>385</v>
      </c>
      <c r="B958" t="s">
        <v>698</v>
      </c>
      <c r="C958" t="s">
        <v>644</v>
      </c>
      <c r="D958" t="s">
        <v>638</v>
      </c>
      <c r="E958" t="s">
        <v>43</v>
      </c>
      <c r="F958" t="s">
        <v>49</v>
      </c>
      <c r="G958" t="s">
        <v>417</v>
      </c>
      <c r="H958" t="s">
        <v>636</v>
      </c>
      <c r="I958" t="s">
        <v>133</v>
      </c>
      <c r="J958" t="s">
        <v>312</v>
      </c>
      <c r="K958" t="s">
        <v>7</v>
      </c>
    </row>
    <row r="959" spans="1:11" x14ac:dyDescent="0.25">
      <c r="A959" t="s">
        <v>385</v>
      </c>
      <c r="B959" t="s">
        <v>698</v>
      </c>
      <c r="C959" t="s">
        <v>644</v>
      </c>
      <c r="D959" t="s">
        <v>638</v>
      </c>
      <c r="E959" t="s">
        <v>83</v>
      </c>
      <c r="F959" t="s">
        <v>103</v>
      </c>
      <c r="G959" t="s">
        <v>417</v>
      </c>
      <c r="H959" t="s">
        <v>636</v>
      </c>
      <c r="I959" t="s">
        <v>133</v>
      </c>
      <c r="J959" t="s">
        <v>312</v>
      </c>
      <c r="K959" t="s">
        <v>7</v>
      </c>
    </row>
    <row r="960" spans="1:11" x14ac:dyDescent="0.25">
      <c r="A960" t="s">
        <v>385</v>
      </c>
      <c r="B960" t="s">
        <v>698</v>
      </c>
      <c r="C960" t="s">
        <v>644</v>
      </c>
      <c r="D960" t="s">
        <v>638</v>
      </c>
      <c r="E960" t="s">
        <v>83</v>
      </c>
      <c r="F960" t="s">
        <v>104</v>
      </c>
      <c r="G960" t="s">
        <v>417</v>
      </c>
      <c r="H960" t="s">
        <v>636</v>
      </c>
      <c r="I960" t="s">
        <v>133</v>
      </c>
      <c r="J960" t="s">
        <v>312</v>
      </c>
      <c r="K960" t="s">
        <v>7</v>
      </c>
    </row>
    <row r="961" spans="1:11" x14ac:dyDescent="0.25">
      <c r="A961" t="s">
        <v>385</v>
      </c>
      <c r="B961" t="s">
        <v>698</v>
      </c>
      <c r="C961" t="s">
        <v>645</v>
      </c>
      <c r="D961" t="s">
        <v>640</v>
      </c>
      <c r="E961" t="s">
        <v>71</v>
      </c>
      <c r="F961" t="s">
        <v>72</v>
      </c>
      <c r="G961" t="s">
        <v>417</v>
      </c>
      <c r="H961" t="s">
        <v>636</v>
      </c>
      <c r="I961" t="s">
        <v>133</v>
      </c>
      <c r="J961" t="s">
        <v>312</v>
      </c>
      <c r="K961" t="s">
        <v>7</v>
      </c>
    </row>
    <row r="962" spans="1:11" x14ac:dyDescent="0.25">
      <c r="A962" t="s">
        <v>385</v>
      </c>
      <c r="B962" t="s">
        <v>698</v>
      </c>
      <c r="C962" t="s">
        <v>645</v>
      </c>
      <c r="G962" t="s">
        <v>417</v>
      </c>
      <c r="H962" t="s">
        <v>636</v>
      </c>
      <c r="I962" t="s">
        <v>133</v>
      </c>
      <c r="J962" t="s">
        <v>312</v>
      </c>
      <c r="K962" t="s">
        <v>7</v>
      </c>
    </row>
    <row r="963" spans="1:11" x14ac:dyDescent="0.25">
      <c r="A963" t="s">
        <v>351</v>
      </c>
      <c r="B963" t="s">
        <v>699</v>
      </c>
      <c r="C963" t="s">
        <v>634</v>
      </c>
      <c r="D963" t="s">
        <v>635</v>
      </c>
      <c r="E963" t="s">
        <v>63</v>
      </c>
      <c r="F963" t="s">
        <v>67</v>
      </c>
      <c r="G963" t="s">
        <v>353</v>
      </c>
      <c r="H963" t="s">
        <v>636</v>
      </c>
      <c r="I963" t="s">
        <v>169</v>
      </c>
      <c r="J963" t="s">
        <v>354</v>
      </c>
      <c r="K963" t="s">
        <v>224</v>
      </c>
    </row>
    <row r="964" spans="1:11" x14ac:dyDescent="0.25">
      <c r="A964" t="s">
        <v>351</v>
      </c>
      <c r="B964" t="s">
        <v>699</v>
      </c>
      <c r="C964" t="s">
        <v>634</v>
      </c>
      <c r="D964" t="s">
        <v>638</v>
      </c>
      <c r="E964" t="s">
        <v>71</v>
      </c>
      <c r="F964" t="s">
        <v>90</v>
      </c>
      <c r="G964" t="s">
        <v>353</v>
      </c>
      <c r="H964" t="s">
        <v>636</v>
      </c>
      <c r="I964" t="s">
        <v>169</v>
      </c>
      <c r="J964" t="s">
        <v>354</v>
      </c>
      <c r="K964" t="s">
        <v>224</v>
      </c>
    </row>
    <row r="965" spans="1:11" x14ac:dyDescent="0.25">
      <c r="A965" t="s">
        <v>351</v>
      </c>
      <c r="B965" t="s">
        <v>699</v>
      </c>
      <c r="C965" t="s">
        <v>634</v>
      </c>
      <c r="D965" t="s">
        <v>638</v>
      </c>
      <c r="E965" t="s">
        <v>46</v>
      </c>
      <c r="F965" t="s">
        <v>55</v>
      </c>
      <c r="G965" t="s">
        <v>353</v>
      </c>
      <c r="H965" t="s">
        <v>636</v>
      </c>
      <c r="I965" t="s">
        <v>169</v>
      </c>
      <c r="J965" t="s">
        <v>354</v>
      </c>
      <c r="K965" t="s">
        <v>224</v>
      </c>
    </row>
    <row r="966" spans="1:11" x14ac:dyDescent="0.25">
      <c r="A966" t="s">
        <v>351</v>
      </c>
      <c r="B966" t="s">
        <v>699</v>
      </c>
      <c r="C966" t="s">
        <v>637</v>
      </c>
      <c r="D966" t="s">
        <v>638</v>
      </c>
      <c r="E966" t="s">
        <v>63</v>
      </c>
      <c r="F966" t="s">
        <v>113</v>
      </c>
      <c r="G966" t="s">
        <v>353</v>
      </c>
      <c r="H966" t="s">
        <v>636</v>
      </c>
      <c r="I966" t="s">
        <v>169</v>
      </c>
      <c r="J966" t="s">
        <v>354</v>
      </c>
      <c r="K966" t="s">
        <v>224</v>
      </c>
    </row>
    <row r="967" spans="1:11" x14ac:dyDescent="0.25">
      <c r="A967" t="s">
        <v>351</v>
      </c>
      <c r="B967" t="s">
        <v>699</v>
      </c>
      <c r="C967" t="s">
        <v>637</v>
      </c>
      <c r="D967" t="s">
        <v>640</v>
      </c>
      <c r="E967" t="s">
        <v>46</v>
      </c>
      <c r="F967" t="s">
        <v>55</v>
      </c>
      <c r="G967" t="s">
        <v>353</v>
      </c>
      <c r="H967" t="s">
        <v>636</v>
      </c>
      <c r="I967" t="s">
        <v>169</v>
      </c>
      <c r="J967" t="s">
        <v>354</v>
      </c>
      <c r="K967" t="s">
        <v>224</v>
      </c>
    </row>
    <row r="968" spans="1:11" x14ac:dyDescent="0.25">
      <c r="A968" t="s">
        <v>351</v>
      </c>
      <c r="B968" t="s">
        <v>699</v>
      </c>
      <c r="C968" t="s">
        <v>637</v>
      </c>
      <c r="G968" t="s">
        <v>353</v>
      </c>
      <c r="H968" t="s">
        <v>636</v>
      </c>
      <c r="I968" t="s">
        <v>169</v>
      </c>
      <c r="J968" t="s">
        <v>354</v>
      </c>
      <c r="K968" t="s">
        <v>224</v>
      </c>
    </row>
    <row r="969" spans="1:11" x14ac:dyDescent="0.25">
      <c r="A969" t="s">
        <v>351</v>
      </c>
      <c r="B969" t="s">
        <v>699</v>
      </c>
      <c r="C969" t="s">
        <v>644</v>
      </c>
      <c r="G969" t="s">
        <v>353</v>
      </c>
      <c r="H969" t="s">
        <v>636</v>
      </c>
      <c r="I969" t="s">
        <v>169</v>
      </c>
      <c r="J969" t="s">
        <v>354</v>
      </c>
      <c r="K969" t="s">
        <v>224</v>
      </c>
    </row>
    <row r="970" spans="1:11" x14ac:dyDescent="0.25">
      <c r="A970" t="s">
        <v>351</v>
      </c>
      <c r="B970" t="s">
        <v>699</v>
      </c>
      <c r="C970" t="s">
        <v>644</v>
      </c>
      <c r="G970" t="s">
        <v>353</v>
      </c>
      <c r="H970" t="s">
        <v>636</v>
      </c>
      <c r="I970" t="s">
        <v>169</v>
      </c>
      <c r="J970" t="s">
        <v>354</v>
      </c>
      <c r="K970" t="s">
        <v>224</v>
      </c>
    </row>
    <row r="971" spans="1:11" x14ac:dyDescent="0.25">
      <c r="A971" t="s">
        <v>351</v>
      </c>
      <c r="B971" t="s">
        <v>699</v>
      </c>
      <c r="C971" t="s">
        <v>644</v>
      </c>
      <c r="G971" t="s">
        <v>353</v>
      </c>
      <c r="H971" t="s">
        <v>636</v>
      </c>
      <c r="I971" t="s">
        <v>169</v>
      </c>
      <c r="J971" t="s">
        <v>354</v>
      </c>
      <c r="K971" t="s">
        <v>224</v>
      </c>
    </row>
    <row r="972" spans="1:11" x14ac:dyDescent="0.25">
      <c r="A972" t="s">
        <v>351</v>
      </c>
      <c r="B972" t="s">
        <v>699</v>
      </c>
      <c r="C972" t="s">
        <v>645</v>
      </c>
      <c r="G972" t="s">
        <v>353</v>
      </c>
      <c r="H972" t="s">
        <v>636</v>
      </c>
      <c r="I972" t="s">
        <v>169</v>
      </c>
      <c r="J972" t="s">
        <v>354</v>
      </c>
      <c r="K972" t="s">
        <v>224</v>
      </c>
    </row>
    <row r="973" spans="1:11" x14ac:dyDescent="0.25">
      <c r="A973" t="s">
        <v>351</v>
      </c>
      <c r="B973" t="s">
        <v>699</v>
      </c>
      <c r="C973" t="s">
        <v>645</v>
      </c>
      <c r="G973" t="s">
        <v>353</v>
      </c>
      <c r="H973" t="s">
        <v>636</v>
      </c>
      <c r="I973" t="s">
        <v>169</v>
      </c>
      <c r="J973" t="s">
        <v>354</v>
      </c>
      <c r="K973" t="s">
        <v>224</v>
      </c>
    </row>
    <row r="974" spans="1:11" x14ac:dyDescent="0.25">
      <c r="A974" t="s">
        <v>351</v>
      </c>
      <c r="B974" t="s">
        <v>700</v>
      </c>
      <c r="C974" t="s">
        <v>634</v>
      </c>
      <c r="D974" t="s">
        <v>635</v>
      </c>
      <c r="E974" t="s">
        <v>43</v>
      </c>
      <c r="F974" t="s">
        <v>53</v>
      </c>
      <c r="G974" t="s">
        <v>356</v>
      </c>
      <c r="H974" t="s">
        <v>636</v>
      </c>
      <c r="I974" t="s">
        <v>169</v>
      </c>
      <c r="J974" t="s">
        <v>354</v>
      </c>
      <c r="K974" t="s">
        <v>357</v>
      </c>
    </row>
    <row r="975" spans="1:11" x14ac:dyDescent="0.25">
      <c r="A975" t="s">
        <v>351</v>
      </c>
      <c r="B975" t="s">
        <v>700</v>
      </c>
      <c r="C975" t="s">
        <v>634</v>
      </c>
      <c r="D975" t="s">
        <v>635</v>
      </c>
      <c r="E975" t="s">
        <v>46</v>
      </c>
      <c r="F975" t="s">
        <v>47</v>
      </c>
      <c r="G975" t="s">
        <v>356</v>
      </c>
      <c r="H975" t="s">
        <v>636</v>
      </c>
      <c r="I975" t="s">
        <v>169</v>
      </c>
      <c r="J975" t="s">
        <v>354</v>
      </c>
      <c r="K975" t="s">
        <v>357</v>
      </c>
    </row>
    <row r="976" spans="1:11" x14ac:dyDescent="0.25">
      <c r="A976" t="s">
        <v>351</v>
      </c>
      <c r="B976" t="s">
        <v>700</v>
      </c>
      <c r="C976" t="s">
        <v>634</v>
      </c>
      <c r="D976" t="s">
        <v>638</v>
      </c>
      <c r="E976" t="s">
        <v>46</v>
      </c>
      <c r="F976" t="s">
        <v>55</v>
      </c>
      <c r="G976" t="s">
        <v>356</v>
      </c>
      <c r="H976" t="s">
        <v>636</v>
      </c>
      <c r="I976" t="s">
        <v>169</v>
      </c>
      <c r="J976" t="s">
        <v>354</v>
      </c>
      <c r="K976" t="s">
        <v>357</v>
      </c>
    </row>
    <row r="977" spans="1:11" x14ac:dyDescent="0.25">
      <c r="A977" t="s">
        <v>351</v>
      </c>
      <c r="B977" t="s">
        <v>700</v>
      </c>
      <c r="C977" t="s">
        <v>637</v>
      </c>
      <c r="D977" t="s">
        <v>638</v>
      </c>
      <c r="E977" t="s">
        <v>43</v>
      </c>
      <c r="F977" t="s">
        <v>53</v>
      </c>
      <c r="G977" t="s">
        <v>356</v>
      </c>
      <c r="H977" t="s">
        <v>636</v>
      </c>
      <c r="I977" t="s">
        <v>169</v>
      </c>
      <c r="J977" t="s">
        <v>354</v>
      </c>
      <c r="K977" t="s">
        <v>357</v>
      </c>
    </row>
    <row r="978" spans="1:11" x14ac:dyDescent="0.25">
      <c r="A978" t="s">
        <v>351</v>
      </c>
      <c r="B978" t="s">
        <v>700</v>
      </c>
      <c r="C978" t="s">
        <v>637</v>
      </c>
      <c r="D978" t="s">
        <v>638</v>
      </c>
      <c r="E978" t="s">
        <v>71</v>
      </c>
      <c r="F978" t="s">
        <v>90</v>
      </c>
      <c r="G978" t="s">
        <v>356</v>
      </c>
      <c r="H978" t="s">
        <v>636</v>
      </c>
      <c r="I978" t="s">
        <v>169</v>
      </c>
      <c r="J978" t="s">
        <v>354</v>
      </c>
      <c r="K978" t="s">
        <v>357</v>
      </c>
    </row>
    <row r="979" spans="1:11" x14ac:dyDescent="0.25">
      <c r="A979" t="s">
        <v>351</v>
      </c>
      <c r="B979" t="s">
        <v>700</v>
      </c>
      <c r="C979" t="s">
        <v>637</v>
      </c>
      <c r="G979" t="s">
        <v>356</v>
      </c>
      <c r="H979" t="s">
        <v>636</v>
      </c>
      <c r="I979" t="s">
        <v>169</v>
      </c>
      <c r="J979" t="s">
        <v>354</v>
      </c>
      <c r="K979" t="s">
        <v>357</v>
      </c>
    </row>
    <row r="980" spans="1:11" x14ac:dyDescent="0.25">
      <c r="A980" t="s">
        <v>351</v>
      </c>
      <c r="B980" t="s">
        <v>700</v>
      </c>
      <c r="C980" t="s">
        <v>644</v>
      </c>
      <c r="G980" t="s">
        <v>356</v>
      </c>
      <c r="H980" t="s">
        <v>636</v>
      </c>
      <c r="I980" t="s">
        <v>169</v>
      </c>
      <c r="J980" t="s">
        <v>354</v>
      </c>
      <c r="K980" t="s">
        <v>357</v>
      </c>
    </row>
    <row r="981" spans="1:11" x14ac:dyDescent="0.25">
      <c r="A981" t="s">
        <v>351</v>
      </c>
      <c r="B981" t="s">
        <v>700</v>
      </c>
      <c r="C981" t="s">
        <v>644</v>
      </c>
      <c r="G981" t="s">
        <v>356</v>
      </c>
      <c r="H981" t="s">
        <v>636</v>
      </c>
      <c r="I981" t="s">
        <v>169</v>
      </c>
      <c r="J981" t="s">
        <v>354</v>
      </c>
      <c r="K981" t="s">
        <v>357</v>
      </c>
    </row>
    <row r="982" spans="1:11" x14ac:dyDescent="0.25">
      <c r="A982" t="s">
        <v>351</v>
      </c>
      <c r="B982" t="s">
        <v>700</v>
      </c>
      <c r="C982" t="s">
        <v>644</v>
      </c>
      <c r="G982" t="s">
        <v>356</v>
      </c>
      <c r="H982" t="s">
        <v>636</v>
      </c>
      <c r="I982" t="s">
        <v>169</v>
      </c>
      <c r="J982" t="s">
        <v>354</v>
      </c>
      <c r="K982" t="s">
        <v>357</v>
      </c>
    </row>
    <row r="983" spans="1:11" x14ac:dyDescent="0.25">
      <c r="A983" t="s">
        <v>351</v>
      </c>
      <c r="B983" t="s">
        <v>700</v>
      </c>
      <c r="C983" t="s">
        <v>645</v>
      </c>
      <c r="G983" t="s">
        <v>356</v>
      </c>
      <c r="H983" t="s">
        <v>636</v>
      </c>
      <c r="I983" t="s">
        <v>169</v>
      </c>
      <c r="J983" t="s">
        <v>354</v>
      </c>
      <c r="K983" t="s">
        <v>357</v>
      </c>
    </row>
    <row r="984" spans="1:11" x14ac:dyDescent="0.25">
      <c r="A984" t="s">
        <v>351</v>
      </c>
      <c r="B984" t="s">
        <v>700</v>
      </c>
      <c r="C984" t="s">
        <v>645</v>
      </c>
      <c r="G984" t="s">
        <v>356</v>
      </c>
      <c r="H984" t="s">
        <v>636</v>
      </c>
      <c r="I984" t="s">
        <v>169</v>
      </c>
      <c r="J984" t="s">
        <v>354</v>
      </c>
      <c r="K984" t="s">
        <v>357</v>
      </c>
    </row>
    <row r="985" spans="1:11" x14ac:dyDescent="0.25">
      <c r="A985" t="s">
        <v>351</v>
      </c>
      <c r="B985" t="s">
        <v>701</v>
      </c>
      <c r="C985" t="s">
        <v>634</v>
      </c>
      <c r="D985" t="s">
        <v>635</v>
      </c>
      <c r="E985" t="s">
        <v>43</v>
      </c>
      <c r="F985" t="s">
        <v>53</v>
      </c>
      <c r="G985" t="s">
        <v>359</v>
      </c>
      <c r="H985" t="s">
        <v>636</v>
      </c>
      <c r="I985" t="s">
        <v>169</v>
      </c>
      <c r="J985" t="s">
        <v>354</v>
      </c>
      <c r="K985" t="s">
        <v>360</v>
      </c>
    </row>
    <row r="986" spans="1:11" x14ac:dyDescent="0.25">
      <c r="A986" t="s">
        <v>351</v>
      </c>
      <c r="B986" t="s">
        <v>701</v>
      </c>
      <c r="C986" t="s">
        <v>634</v>
      </c>
      <c r="D986" t="s">
        <v>635</v>
      </c>
      <c r="E986" t="s">
        <v>43</v>
      </c>
      <c r="F986" t="s">
        <v>49</v>
      </c>
      <c r="G986" t="s">
        <v>359</v>
      </c>
      <c r="H986" t="s">
        <v>636</v>
      </c>
      <c r="I986" t="s">
        <v>169</v>
      </c>
      <c r="J986" t="s">
        <v>354</v>
      </c>
      <c r="K986" t="s">
        <v>360</v>
      </c>
    </row>
    <row r="987" spans="1:11" x14ac:dyDescent="0.25">
      <c r="A987" t="s">
        <v>351</v>
      </c>
      <c r="B987" t="s">
        <v>701</v>
      </c>
      <c r="C987" t="s">
        <v>634</v>
      </c>
      <c r="D987" t="s">
        <v>640</v>
      </c>
      <c r="E987" t="s">
        <v>71</v>
      </c>
      <c r="F987" t="s">
        <v>86</v>
      </c>
      <c r="G987" t="s">
        <v>359</v>
      </c>
      <c r="H987" t="s">
        <v>636</v>
      </c>
      <c r="I987" t="s">
        <v>169</v>
      </c>
      <c r="J987" t="s">
        <v>354</v>
      </c>
      <c r="K987" t="s">
        <v>360</v>
      </c>
    </row>
    <row r="988" spans="1:11" x14ac:dyDescent="0.25">
      <c r="A988" t="s">
        <v>351</v>
      </c>
      <c r="B988" t="s">
        <v>701</v>
      </c>
      <c r="C988" t="s">
        <v>637</v>
      </c>
      <c r="D988" t="s">
        <v>635</v>
      </c>
      <c r="E988" t="s">
        <v>46</v>
      </c>
      <c r="F988" t="s">
        <v>47</v>
      </c>
      <c r="G988" t="s">
        <v>359</v>
      </c>
      <c r="H988" t="s">
        <v>636</v>
      </c>
      <c r="I988" t="s">
        <v>169</v>
      </c>
      <c r="J988" t="s">
        <v>354</v>
      </c>
      <c r="K988" t="s">
        <v>360</v>
      </c>
    </row>
    <row r="989" spans="1:11" x14ac:dyDescent="0.25">
      <c r="A989" t="s">
        <v>351</v>
      </c>
      <c r="B989" t="s">
        <v>701</v>
      </c>
      <c r="C989" t="s">
        <v>637</v>
      </c>
      <c r="D989" t="s">
        <v>638</v>
      </c>
      <c r="E989" t="s">
        <v>43</v>
      </c>
      <c r="F989" t="s">
        <v>57</v>
      </c>
      <c r="G989" t="s">
        <v>359</v>
      </c>
      <c r="H989" t="s">
        <v>636</v>
      </c>
      <c r="I989" t="s">
        <v>169</v>
      </c>
      <c r="J989" t="s">
        <v>354</v>
      </c>
      <c r="K989" t="s">
        <v>360</v>
      </c>
    </row>
    <row r="990" spans="1:11" x14ac:dyDescent="0.25">
      <c r="A990" t="s">
        <v>351</v>
      </c>
      <c r="B990" t="s">
        <v>701</v>
      </c>
      <c r="C990" t="s">
        <v>637</v>
      </c>
      <c r="G990" t="s">
        <v>359</v>
      </c>
      <c r="H990" t="s">
        <v>636</v>
      </c>
      <c r="I990" t="s">
        <v>169</v>
      </c>
      <c r="J990" t="s">
        <v>354</v>
      </c>
      <c r="K990" t="s">
        <v>360</v>
      </c>
    </row>
    <row r="991" spans="1:11" x14ac:dyDescent="0.25">
      <c r="A991" t="s">
        <v>351</v>
      </c>
      <c r="B991" t="s">
        <v>701</v>
      </c>
      <c r="C991" t="s">
        <v>644</v>
      </c>
      <c r="G991" t="s">
        <v>359</v>
      </c>
      <c r="H991" t="s">
        <v>636</v>
      </c>
      <c r="I991" t="s">
        <v>169</v>
      </c>
      <c r="J991" t="s">
        <v>354</v>
      </c>
      <c r="K991" t="s">
        <v>360</v>
      </c>
    </row>
    <row r="992" spans="1:11" x14ac:dyDescent="0.25">
      <c r="A992" t="s">
        <v>351</v>
      </c>
      <c r="B992" t="s">
        <v>701</v>
      </c>
      <c r="C992" t="s">
        <v>644</v>
      </c>
      <c r="G992" t="s">
        <v>359</v>
      </c>
      <c r="H992" t="s">
        <v>636</v>
      </c>
      <c r="I992" t="s">
        <v>169</v>
      </c>
      <c r="J992" t="s">
        <v>354</v>
      </c>
      <c r="K992" t="s">
        <v>360</v>
      </c>
    </row>
    <row r="993" spans="1:11" x14ac:dyDescent="0.25">
      <c r="A993" t="s">
        <v>351</v>
      </c>
      <c r="B993" t="s">
        <v>701</v>
      </c>
      <c r="C993" t="s">
        <v>644</v>
      </c>
      <c r="G993" t="s">
        <v>359</v>
      </c>
      <c r="H993" t="s">
        <v>636</v>
      </c>
      <c r="I993" t="s">
        <v>169</v>
      </c>
      <c r="J993" t="s">
        <v>354</v>
      </c>
      <c r="K993" t="s">
        <v>360</v>
      </c>
    </row>
    <row r="994" spans="1:11" x14ac:dyDescent="0.25">
      <c r="A994" t="s">
        <v>351</v>
      </c>
      <c r="B994" t="s">
        <v>701</v>
      </c>
      <c r="C994" t="s">
        <v>645</v>
      </c>
      <c r="G994" t="s">
        <v>359</v>
      </c>
      <c r="H994" t="s">
        <v>636</v>
      </c>
      <c r="I994" t="s">
        <v>169</v>
      </c>
      <c r="J994" t="s">
        <v>354</v>
      </c>
      <c r="K994" t="s">
        <v>360</v>
      </c>
    </row>
    <row r="995" spans="1:11" x14ac:dyDescent="0.25">
      <c r="A995" t="s">
        <v>351</v>
      </c>
      <c r="B995" t="s">
        <v>701</v>
      </c>
      <c r="C995" t="s">
        <v>645</v>
      </c>
      <c r="G995" t="s">
        <v>359</v>
      </c>
      <c r="H995" t="s">
        <v>636</v>
      </c>
      <c r="I995" t="s">
        <v>169</v>
      </c>
      <c r="J995" t="s">
        <v>354</v>
      </c>
      <c r="K995" t="s">
        <v>360</v>
      </c>
    </row>
    <row r="996" spans="1:11" x14ac:dyDescent="0.25">
      <c r="A996" t="s">
        <v>351</v>
      </c>
      <c r="B996" t="s">
        <v>702</v>
      </c>
      <c r="C996" t="s">
        <v>634</v>
      </c>
      <c r="D996" t="s">
        <v>640</v>
      </c>
      <c r="E996" t="s">
        <v>43</v>
      </c>
      <c r="F996" t="s">
        <v>53</v>
      </c>
      <c r="G996" t="s">
        <v>362</v>
      </c>
      <c r="H996" t="s">
        <v>636</v>
      </c>
      <c r="I996" t="s">
        <v>169</v>
      </c>
      <c r="J996" t="s">
        <v>354</v>
      </c>
      <c r="K996" t="s">
        <v>213</v>
      </c>
    </row>
    <row r="997" spans="1:11" x14ac:dyDescent="0.25">
      <c r="A997" t="s">
        <v>351</v>
      </c>
      <c r="B997" t="s">
        <v>702</v>
      </c>
      <c r="C997" t="s">
        <v>634</v>
      </c>
      <c r="D997" t="s">
        <v>640</v>
      </c>
      <c r="E997" t="s">
        <v>69</v>
      </c>
      <c r="F997" t="s">
        <v>79</v>
      </c>
      <c r="G997" t="s">
        <v>362</v>
      </c>
      <c r="H997" t="s">
        <v>636</v>
      </c>
      <c r="I997" t="s">
        <v>169</v>
      </c>
      <c r="J997" t="s">
        <v>354</v>
      </c>
      <c r="K997" t="s">
        <v>213</v>
      </c>
    </row>
    <row r="998" spans="1:11" x14ac:dyDescent="0.25">
      <c r="A998" t="s">
        <v>351</v>
      </c>
      <c r="B998" t="s">
        <v>702</v>
      </c>
      <c r="C998" t="s">
        <v>634</v>
      </c>
      <c r="D998" t="s">
        <v>638</v>
      </c>
      <c r="E998" t="s">
        <v>93</v>
      </c>
      <c r="F998" t="s">
        <v>94</v>
      </c>
      <c r="G998" t="s">
        <v>362</v>
      </c>
      <c r="H998" t="s">
        <v>636</v>
      </c>
      <c r="I998" t="s">
        <v>169</v>
      </c>
      <c r="J998" t="s">
        <v>354</v>
      </c>
      <c r="K998" t="s">
        <v>213</v>
      </c>
    </row>
    <row r="999" spans="1:11" x14ac:dyDescent="0.25">
      <c r="A999" t="s">
        <v>351</v>
      </c>
      <c r="B999" t="s">
        <v>702</v>
      </c>
      <c r="C999" t="s">
        <v>637</v>
      </c>
      <c r="D999" t="s">
        <v>635</v>
      </c>
      <c r="E999" t="s">
        <v>43</v>
      </c>
      <c r="F999" t="s">
        <v>49</v>
      </c>
      <c r="G999" t="s">
        <v>362</v>
      </c>
      <c r="H999" t="s">
        <v>636</v>
      </c>
      <c r="I999" t="s">
        <v>169</v>
      </c>
      <c r="J999" t="s">
        <v>354</v>
      </c>
      <c r="K999" t="s">
        <v>213</v>
      </c>
    </row>
    <row r="1000" spans="1:11" x14ac:dyDescent="0.25">
      <c r="A1000" t="s">
        <v>351</v>
      </c>
      <c r="B1000" t="s">
        <v>702</v>
      </c>
      <c r="C1000" t="s">
        <v>637</v>
      </c>
      <c r="G1000" t="s">
        <v>362</v>
      </c>
      <c r="H1000" t="s">
        <v>636</v>
      </c>
      <c r="I1000" t="s">
        <v>169</v>
      </c>
      <c r="J1000" t="s">
        <v>354</v>
      </c>
      <c r="K1000" t="s">
        <v>213</v>
      </c>
    </row>
    <row r="1001" spans="1:11" x14ac:dyDescent="0.25">
      <c r="A1001" t="s">
        <v>351</v>
      </c>
      <c r="B1001" t="s">
        <v>702</v>
      </c>
      <c r="C1001" t="s">
        <v>637</v>
      </c>
      <c r="G1001" t="s">
        <v>362</v>
      </c>
      <c r="H1001" t="s">
        <v>636</v>
      </c>
      <c r="I1001" t="s">
        <v>169</v>
      </c>
      <c r="J1001" t="s">
        <v>354</v>
      </c>
      <c r="K1001" t="s">
        <v>213</v>
      </c>
    </row>
    <row r="1002" spans="1:11" x14ac:dyDescent="0.25">
      <c r="A1002" t="s">
        <v>351</v>
      </c>
      <c r="B1002" t="s">
        <v>702</v>
      </c>
      <c r="C1002" t="s">
        <v>644</v>
      </c>
      <c r="G1002" t="s">
        <v>362</v>
      </c>
      <c r="H1002" t="s">
        <v>636</v>
      </c>
      <c r="I1002" t="s">
        <v>169</v>
      </c>
      <c r="J1002" t="s">
        <v>354</v>
      </c>
      <c r="K1002" t="s">
        <v>213</v>
      </c>
    </row>
    <row r="1003" spans="1:11" x14ac:dyDescent="0.25">
      <c r="A1003" t="s">
        <v>351</v>
      </c>
      <c r="B1003" t="s">
        <v>702</v>
      </c>
      <c r="C1003" t="s">
        <v>644</v>
      </c>
      <c r="G1003" t="s">
        <v>362</v>
      </c>
      <c r="H1003" t="s">
        <v>636</v>
      </c>
      <c r="I1003" t="s">
        <v>169</v>
      </c>
      <c r="J1003" t="s">
        <v>354</v>
      </c>
      <c r="K1003" t="s">
        <v>213</v>
      </c>
    </row>
    <row r="1004" spans="1:11" x14ac:dyDescent="0.25">
      <c r="A1004" t="s">
        <v>351</v>
      </c>
      <c r="B1004" t="s">
        <v>702</v>
      </c>
      <c r="C1004" t="s">
        <v>644</v>
      </c>
      <c r="G1004" t="s">
        <v>362</v>
      </c>
      <c r="H1004" t="s">
        <v>636</v>
      </c>
      <c r="I1004" t="s">
        <v>169</v>
      </c>
      <c r="J1004" t="s">
        <v>354</v>
      </c>
      <c r="K1004" t="s">
        <v>213</v>
      </c>
    </row>
    <row r="1005" spans="1:11" x14ac:dyDescent="0.25">
      <c r="A1005" t="s">
        <v>351</v>
      </c>
      <c r="B1005" t="s">
        <v>702</v>
      </c>
      <c r="C1005" t="s">
        <v>645</v>
      </c>
      <c r="G1005" t="s">
        <v>362</v>
      </c>
      <c r="H1005" t="s">
        <v>636</v>
      </c>
      <c r="I1005" t="s">
        <v>169</v>
      </c>
      <c r="J1005" t="s">
        <v>354</v>
      </c>
      <c r="K1005" t="s">
        <v>213</v>
      </c>
    </row>
    <row r="1006" spans="1:11" x14ac:dyDescent="0.25">
      <c r="A1006" t="s">
        <v>351</v>
      </c>
      <c r="B1006" t="s">
        <v>702</v>
      </c>
      <c r="C1006" t="s">
        <v>645</v>
      </c>
      <c r="G1006" t="s">
        <v>362</v>
      </c>
      <c r="H1006" t="s">
        <v>636</v>
      </c>
      <c r="I1006" t="s">
        <v>169</v>
      </c>
      <c r="J1006" t="s">
        <v>354</v>
      </c>
      <c r="K1006" t="s">
        <v>213</v>
      </c>
    </row>
    <row r="1007" spans="1:11" x14ac:dyDescent="0.25">
      <c r="A1007" t="s">
        <v>351</v>
      </c>
      <c r="B1007" t="s">
        <v>703</v>
      </c>
      <c r="C1007" t="s">
        <v>634</v>
      </c>
      <c r="D1007" t="s">
        <v>635</v>
      </c>
      <c r="E1007" t="s">
        <v>71</v>
      </c>
      <c r="F1007" t="s">
        <v>90</v>
      </c>
      <c r="G1007" t="s">
        <v>364</v>
      </c>
      <c r="H1007" t="s">
        <v>636</v>
      </c>
      <c r="I1007" t="s">
        <v>169</v>
      </c>
      <c r="J1007" t="s">
        <v>354</v>
      </c>
      <c r="K1007" t="s">
        <v>365</v>
      </c>
    </row>
    <row r="1008" spans="1:11" x14ac:dyDescent="0.25">
      <c r="A1008" t="s">
        <v>351</v>
      </c>
      <c r="B1008" t="s">
        <v>703</v>
      </c>
      <c r="C1008" t="s">
        <v>634</v>
      </c>
      <c r="D1008" t="s">
        <v>635</v>
      </c>
      <c r="E1008" t="s">
        <v>63</v>
      </c>
      <c r="F1008" t="s">
        <v>120</v>
      </c>
      <c r="G1008" t="s">
        <v>364</v>
      </c>
      <c r="H1008" t="s">
        <v>636</v>
      </c>
      <c r="I1008" t="s">
        <v>169</v>
      </c>
      <c r="J1008" t="s">
        <v>354</v>
      </c>
      <c r="K1008" t="s">
        <v>365</v>
      </c>
    </row>
    <row r="1009" spans="1:11" x14ac:dyDescent="0.25">
      <c r="A1009" t="s">
        <v>351</v>
      </c>
      <c r="B1009" t="s">
        <v>703</v>
      </c>
      <c r="C1009" t="s">
        <v>634</v>
      </c>
      <c r="D1009" t="s">
        <v>638</v>
      </c>
      <c r="E1009" t="s">
        <v>43</v>
      </c>
      <c r="F1009" t="s">
        <v>49</v>
      </c>
      <c r="G1009" t="s">
        <v>364</v>
      </c>
      <c r="H1009" t="s">
        <v>636</v>
      </c>
      <c r="I1009" t="s">
        <v>169</v>
      </c>
      <c r="J1009" t="s">
        <v>354</v>
      </c>
      <c r="K1009" t="s">
        <v>365</v>
      </c>
    </row>
    <row r="1010" spans="1:11" x14ac:dyDescent="0.25">
      <c r="A1010" t="s">
        <v>351</v>
      </c>
      <c r="B1010" t="s">
        <v>703</v>
      </c>
      <c r="C1010" t="s">
        <v>637</v>
      </c>
      <c r="D1010" t="s">
        <v>640</v>
      </c>
      <c r="E1010" t="s">
        <v>46</v>
      </c>
      <c r="F1010" t="s">
        <v>106</v>
      </c>
      <c r="G1010" t="s">
        <v>364</v>
      </c>
      <c r="H1010" t="s">
        <v>636</v>
      </c>
      <c r="I1010" t="s">
        <v>169</v>
      </c>
      <c r="J1010" t="s">
        <v>354</v>
      </c>
      <c r="K1010" t="s">
        <v>365</v>
      </c>
    </row>
    <row r="1011" spans="1:11" x14ac:dyDescent="0.25">
      <c r="A1011" t="s">
        <v>351</v>
      </c>
      <c r="B1011" t="s">
        <v>703</v>
      </c>
      <c r="C1011" t="s">
        <v>637</v>
      </c>
      <c r="D1011" t="s">
        <v>640</v>
      </c>
      <c r="E1011" t="s">
        <v>63</v>
      </c>
      <c r="F1011" t="s">
        <v>67</v>
      </c>
      <c r="G1011" t="s">
        <v>364</v>
      </c>
      <c r="H1011" t="s">
        <v>636</v>
      </c>
      <c r="I1011" t="s">
        <v>169</v>
      </c>
      <c r="J1011" t="s">
        <v>354</v>
      </c>
      <c r="K1011" t="s">
        <v>365</v>
      </c>
    </row>
    <row r="1012" spans="1:11" x14ac:dyDescent="0.25">
      <c r="A1012" t="s">
        <v>351</v>
      </c>
      <c r="B1012" t="s">
        <v>703</v>
      </c>
      <c r="C1012" t="s">
        <v>637</v>
      </c>
      <c r="G1012" t="s">
        <v>364</v>
      </c>
      <c r="H1012" t="s">
        <v>636</v>
      </c>
      <c r="I1012" t="s">
        <v>169</v>
      </c>
      <c r="J1012" t="s">
        <v>354</v>
      </c>
      <c r="K1012" t="s">
        <v>365</v>
      </c>
    </row>
    <row r="1013" spans="1:11" x14ac:dyDescent="0.25">
      <c r="A1013" t="s">
        <v>351</v>
      </c>
      <c r="B1013" t="s">
        <v>703</v>
      </c>
      <c r="C1013" t="s">
        <v>644</v>
      </c>
      <c r="G1013" t="s">
        <v>364</v>
      </c>
      <c r="H1013" t="s">
        <v>636</v>
      </c>
      <c r="I1013" t="s">
        <v>169</v>
      </c>
      <c r="J1013" t="s">
        <v>354</v>
      </c>
      <c r="K1013" t="s">
        <v>365</v>
      </c>
    </row>
    <row r="1014" spans="1:11" x14ac:dyDescent="0.25">
      <c r="A1014" t="s">
        <v>351</v>
      </c>
      <c r="B1014" t="s">
        <v>703</v>
      </c>
      <c r="C1014" t="s">
        <v>644</v>
      </c>
      <c r="G1014" t="s">
        <v>364</v>
      </c>
      <c r="H1014" t="s">
        <v>636</v>
      </c>
      <c r="I1014" t="s">
        <v>169</v>
      </c>
      <c r="J1014" t="s">
        <v>354</v>
      </c>
      <c r="K1014" t="s">
        <v>365</v>
      </c>
    </row>
    <row r="1015" spans="1:11" x14ac:dyDescent="0.25">
      <c r="A1015" t="s">
        <v>351</v>
      </c>
      <c r="B1015" t="s">
        <v>703</v>
      </c>
      <c r="C1015" t="s">
        <v>644</v>
      </c>
      <c r="G1015" t="s">
        <v>364</v>
      </c>
      <c r="H1015" t="s">
        <v>636</v>
      </c>
      <c r="I1015" t="s">
        <v>169</v>
      </c>
      <c r="J1015" t="s">
        <v>354</v>
      </c>
      <c r="K1015" t="s">
        <v>365</v>
      </c>
    </row>
    <row r="1016" spans="1:11" x14ac:dyDescent="0.25">
      <c r="A1016" t="s">
        <v>351</v>
      </c>
      <c r="B1016" t="s">
        <v>703</v>
      </c>
      <c r="C1016" t="s">
        <v>645</v>
      </c>
      <c r="G1016" t="s">
        <v>364</v>
      </c>
      <c r="H1016" t="s">
        <v>636</v>
      </c>
      <c r="I1016" t="s">
        <v>169</v>
      </c>
      <c r="J1016" t="s">
        <v>354</v>
      </c>
      <c r="K1016" t="s">
        <v>365</v>
      </c>
    </row>
    <row r="1017" spans="1:11" x14ac:dyDescent="0.25">
      <c r="A1017" t="s">
        <v>351</v>
      </c>
      <c r="B1017" t="s">
        <v>703</v>
      </c>
      <c r="C1017" t="s">
        <v>645</v>
      </c>
      <c r="G1017" t="s">
        <v>364</v>
      </c>
      <c r="H1017" t="s">
        <v>636</v>
      </c>
      <c r="I1017" t="s">
        <v>169</v>
      </c>
      <c r="J1017" t="s">
        <v>354</v>
      </c>
      <c r="K1017" t="s">
        <v>365</v>
      </c>
    </row>
    <row r="1018" spans="1:11" x14ac:dyDescent="0.25">
      <c r="A1018" t="s">
        <v>351</v>
      </c>
      <c r="B1018" t="s">
        <v>704</v>
      </c>
      <c r="C1018" t="s">
        <v>634</v>
      </c>
      <c r="D1018" t="s">
        <v>635</v>
      </c>
      <c r="E1018" t="s">
        <v>46</v>
      </c>
      <c r="F1018" t="s">
        <v>47</v>
      </c>
      <c r="G1018" t="s">
        <v>367</v>
      </c>
      <c r="H1018" t="s">
        <v>636</v>
      </c>
      <c r="I1018" t="s">
        <v>169</v>
      </c>
      <c r="J1018" t="s">
        <v>354</v>
      </c>
      <c r="K1018" t="s">
        <v>231</v>
      </c>
    </row>
    <row r="1019" spans="1:11" x14ac:dyDescent="0.25">
      <c r="A1019" t="s">
        <v>351</v>
      </c>
      <c r="B1019" t="s">
        <v>704</v>
      </c>
      <c r="C1019" t="s">
        <v>634</v>
      </c>
      <c r="D1019" t="s">
        <v>635</v>
      </c>
      <c r="E1019" t="s">
        <v>43</v>
      </c>
      <c r="F1019" t="s">
        <v>57</v>
      </c>
      <c r="G1019" t="s">
        <v>367</v>
      </c>
      <c r="H1019" t="s">
        <v>636</v>
      </c>
      <c r="I1019" t="s">
        <v>169</v>
      </c>
      <c r="J1019" t="s">
        <v>354</v>
      </c>
      <c r="K1019" t="s">
        <v>231</v>
      </c>
    </row>
    <row r="1020" spans="1:11" x14ac:dyDescent="0.25">
      <c r="A1020" t="s">
        <v>351</v>
      </c>
      <c r="B1020" t="s">
        <v>704</v>
      </c>
      <c r="C1020" t="s">
        <v>634</v>
      </c>
      <c r="D1020" t="s">
        <v>640</v>
      </c>
      <c r="E1020" t="s">
        <v>93</v>
      </c>
      <c r="F1020" t="s">
        <v>108</v>
      </c>
      <c r="G1020" t="s">
        <v>367</v>
      </c>
      <c r="H1020" t="s">
        <v>636</v>
      </c>
      <c r="I1020" t="s">
        <v>169</v>
      </c>
      <c r="J1020" t="s">
        <v>354</v>
      </c>
      <c r="K1020" t="s">
        <v>231</v>
      </c>
    </row>
    <row r="1021" spans="1:11" x14ac:dyDescent="0.25">
      <c r="A1021" t="s">
        <v>351</v>
      </c>
      <c r="B1021" t="s">
        <v>704</v>
      </c>
      <c r="C1021" t="s">
        <v>637</v>
      </c>
      <c r="D1021" t="s">
        <v>635</v>
      </c>
      <c r="E1021" t="s">
        <v>43</v>
      </c>
      <c r="F1021" t="s">
        <v>49</v>
      </c>
      <c r="G1021" t="s">
        <v>367</v>
      </c>
      <c r="H1021" t="s">
        <v>636</v>
      </c>
      <c r="I1021" t="s">
        <v>169</v>
      </c>
      <c r="J1021" t="s">
        <v>354</v>
      </c>
      <c r="K1021" t="s">
        <v>231</v>
      </c>
    </row>
    <row r="1022" spans="1:11" x14ac:dyDescent="0.25">
      <c r="A1022" t="s">
        <v>351</v>
      </c>
      <c r="B1022" t="s">
        <v>704</v>
      </c>
      <c r="C1022" t="s">
        <v>637</v>
      </c>
      <c r="D1022" t="s">
        <v>638</v>
      </c>
      <c r="E1022" t="s">
        <v>71</v>
      </c>
      <c r="F1022" t="s">
        <v>72</v>
      </c>
      <c r="G1022" t="s">
        <v>367</v>
      </c>
      <c r="H1022" t="s">
        <v>636</v>
      </c>
      <c r="I1022" t="s">
        <v>169</v>
      </c>
      <c r="J1022" t="s">
        <v>354</v>
      </c>
      <c r="K1022" t="s">
        <v>231</v>
      </c>
    </row>
    <row r="1023" spans="1:11" x14ac:dyDescent="0.25">
      <c r="A1023" t="s">
        <v>351</v>
      </c>
      <c r="B1023" t="s">
        <v>704</v>
      </c>
      <c r="C1023" t="s">
        <v>637</v>
      </c>
      <c r="G1023" t="s">
        <v>367</v>
      </c>
      <c r="H1023" t="s">
        <v>636</v>
      </c>
      <c r="I1023" t="s">
        <v>169</v>
      </c>
      <c r="J1023" t="s">
        <v>354</v>
      </c>
      <c r="K1023" t="s">
        <v>231</v>
      </c>
    </row>
    <row r="1024" spans="1:11" x14ac:dyDescent="0.25">
      <c r="A1024" t="s">
        <v>351</v>
      </c>
      <c r="B1024" t="s">
        <v>704</v>
      </c>
      <c r="C1024" t="s">
        <v>644</v>
      </c>
      <c r="G1024" t="s">
        <v>367</v>
      </c>
      <c r="H1024" t="s">
        <v>636</v>
      </c>
      <c r="I1024" t="s">
        <v>169</v>
      </c>
      <c r="J1024" t="s">
        <v>354</v>
      </c>
      <c r="K1024" t="s">
        <v>231</v>
      </c>
    </row>
    <row r="1025" spans="1:11" x14ac:dyDescent="0.25">
      <c r="A1025" t="s">
        <v>351</v>
      </c>
      <c r="B1025" t="s">
        <v>704</v>
      </c>
      <c r="C1025" t="s">
        <v>644</v>
      </c>
      <c r="G1025" t="s">
        <v>367</v>
      </c>
      <c r="H1025" t="s">
        <v>636</v>
      </c>
      <c r="I1025" t="s">
        <v>169</v>
      </c>
      <c r="J1025" t="s">
        <v>354</v>
      </c>
      <c r="K1025" t="s">
        <v>231</v>
      </c>
    </row>
    <row r="1026" spans="1:11" x14ac:dyDescent="0.25">
      <c r="A1026" t="s">
        <v>351</v>
      </c>
      <c r="B1026" t="s">
        <v>704</v>
      </c>
      <c r="C1026" t="s">
        <v>644</v>
      </c>
      <c r="G1026" t="s">
        <v>367</v>
      </c>
      <c r="H1026" t="s">
        <v>636</v>
      </c>
      <c r="I1026" t="s">
        <v>169</v>
      </c>
      <c r="J1026" t="s">
        <v>354</v>
      </c>
      <c r="K1026" t="s">
        <v>231</v>
      </c>
    </row>
    <row r="1027" spans="1:11" x14ac:dyDescent="0.25">
      <c r="A1027" t="s">
        <v>351</v>
      </c>
      <c r="B1027" t="s">
        <v>704</v>
      </c>
      <c r="C1027" t="s">
        <v>645</v>
      </c>
      <c r="G1027" t="s">
        <v>367</v>
      </c>
      <c r="H1027" t="s">
        <v>636</v>
      </c>
      <c r="I1027" t="s">
        <v>169</v>
      </c>
      <c r="J1027" t="s">
        <v>354</v>
      </c>
      <c r="K1027" t="s">
        <v>231</v>
      </c>
    </row>
    <row r="1028" spans="1:11" x14ac:dyDescent="0.25">
      <c r="A1028" t="s">
        <v>351</v>
      </c>
      <c r="B1028" t="s">
        <v>704</v>
      </c>
      <c r="C1028" t="s">
        <v>645</v>
      </c>
      <c r="G1028" t="s">
        <v>367</v>
      </c>
      <c r="H1028" t="s">
        <v>636</v>
      </c>
      <c r="I1028" t="s">
        <v>169</v>
      </c>
      <c r="J1028" t="s">
        <v>354</v>
      </c>
      <c r="K1028" t="s">
        <v>231</v>
      </c>
    </row>
    <row r="1029" spans="1:11" x14ac:dyDescent="0.25">
      <c r="A1029" t="s">
        <v>351</v>
      </c>
      <c r="B1029" t="s">
        <v>705</v>
      </c>
      <c r="C1029" t="s">
        <v>634</v>
      </c>
      <c r="D1029" t="s">
        <v>635</v>
      </c>
      <c r="E1029" t="s">
        <v>43</v>
      </c>
      <c r="F1029" t="s">
        <v>49</v>
      </c>
      <c r="G1029" t="s">
        <v>369</v>
      </c>
      <c r="H1029" t="s">
        <v>636</v>
      </c>
      <c r="I1029" t="s">
        <v>169</v>
      </c>
      <c r="J1029" t="s">
        <v>354</v>
      </c>
      <c r="K1029" t="s">
        <v>370</v>
      </c>
    </row>
    <row r="1030" spans="1:11" x14ac:dyDescent="0.25">
      <c r="A1030" t="s">
        <v>351</v>
      </c>
      <c r="B1030" t="s">
        <v>705</v>
      </c>
      <c r="C1030" t="s">
        <v>634</v>
      </c>
      <c r="D1030" t="s">
        <v>638</v>
      </c>
      <c r="E1030" t="s">
        <v>46</v>
      </c>
      <c r="F1030" t="s">
        <v>124</v>
      </c>
      <c r="G1030" t="s">
        <v>369</v>
      </c>
      <c r="H1030" t="s">
        <v>636</v>
      </c>
      <c r="I1030" t="s">
        <v>169</v>
      </c>
      <c r="J1030" t="s">
        <v>354</v>
      </c>
      <c r="K1030" t="s">
        <v>370</v>
      </c>
    </row>
    <row r="1031" spans="1:11" x14ac:dyDescent="0.25">
      <c r="A1031" t="s">
        <v>351</v>
      </c>
      <c r="B1031" t="s">
        <v>705</v>
      </c>
      <c r="C1031" t="s">
        <v>637</v>
      </c>
      <c r="D1031" t="s">
        <v>640</v>
      </c>
      <c r="E1031" t="s">
        <v>43</v>
      </c>
      <c r="F1031" t="s">
        <v>57</v>
      </c>
      <c r="G1031" t="s">
        <v>369</v>
      </c>
      <c r="H1031" t="s">
        <v>636</v>
      </c>
      <c r="I1031" t="s">
        <v>169</v>
      </c>
      <c r="J1031" t="s">
        <v>354</v>
      </c>
      <c r="K1031" t="s">
        <v>370</v>
      </c>
    </row>
    <row r="1032" spans="1:11" x14ac:dyDescent="0.25">
      <c r="A1032" t="s">
        <v>351</v>
      </c>
      <c r="B1032" t="s">
        <v>705</v>
      </c>
      <c r="C1032" t="s">
        <v>637</v>
      </c>
      <c r="D1032" t="s">
        <v>640</v>
      </c>
      <c r="E1032" t="s">
        <v>71</v>
      </c>
      <c r="F1032" t="s">
        <v>88</v>
      </c>
      <c r="G1032" t="s">
        <v>369</v>
      </c>
      <c r="H1032" t="s">
        <v>636</v>
      </c>
      <c r="I1032" t="s">
        <v>169</v>
      </c>
      <c r="J1032" t="s">
        <v>354</v>
      </c>
      <c r="K1032" t="s">
        <v>370</v>
      </c>
    </row>
    <row r="1033" spans="1:11" x14ac:dyDescent="0.25">
      <c r="A1033" t="s">
        <v>351</v>
      </c>
      <c r="B1033" t="s">
        <v>705</v>
      </c>
      <c r="C1033" t="s">
        <v>637</v>
      </c>
      <c r="G1033" t="s">
        <v>369</v>
      </c>
      <c r="H1033" t="s">
        <v>636</v>
      </c>
      <c r="I1033" t="s">
        <v>169</v>
      </c>
      <c r="J1033" t="s">
        <v>354</v>
      </c>
      <c r="K1033" t="s">
        <v>370</v>
      </c>
    </row>
    <row r="1034" spans="1:11" x14ac:dyDescent="0.25">
      <c r="A1034" t="s">
        <v>351</v>
      </c>
      <c r="B1034" t="s">
        <v>705</v>
      </c>
      <c r="C1034" t="s">
        <v>637</v>
      </c>
      <c r="G1034" t="s">
        <v>369</v>
      </c>
      <c r="H1034" t="s">
        <v>636</v>
      </c>
      <c r="I1034" t="s">
        <v>169</v>
      </c>
      <c r="J1034" t="s">
        <v>354</v>
      </c>
      <c r="K1034" t="s">
        <v>370</v>
      </c>
    </row>
    <row r="1035" spans="1:11" x14ac:dyDescent="0.25">
      <c r="A1035" t="s">
        <v>351</v>
      </c>
      <c r="B1035" t="s">
        <v>705</v>
      </c>
      <c r="C1035" t="s">
        <v>644</v>
      </c>
      <c r="G1035" t="s">
        <v>369</v>
      </c>
      <c r="H1035" t="s">
        <v>636</v>
      </c>
      <c r="I1035" t="s">
        <v>169</v>
      </c>
      <c r="J1035" t="s">
        <v>354</v>
      </c>
      <c r="K1035" t="s">
        <v>370</v>
      </c>
    </row>
    <row r="1036" spans="1:11" x14ac:dyDescent="0.25">
      <c r="A1036" t="s">
        <v>351</v>
      </c>
      <c r="B1036" t="s">
        <v>705</v>
      </c>
      <c r="C1036" t="s">
        <v>644</v>
      </c>
      <c r="G1036" t="s">
        <v>369</v>
      </c>
      <c r="H1036" t="s">
        <v>636</v>
      </c>
      <c r="I1036" t="s">
        <v>169</v>
      </c>
      <c r="J1036" t="s">
        <v>354</v>
      </c>
      <c r="K1036" t="s">
        <v>370</v>
      </c>
    </row>
    <row r="1037" spans="1:11" x14ac:dyDescent="0.25">
      <c r="A1037" t="s">
        <v>351</v>
      </c>
      <c r="B1037" t="s">
        <v>705</v>
      </c>
      <c r="C1037" t="s">
        <v>644</v>
      </c>
      <c r="G1037" t="s">
        <v>369</v>
      </c>
      <c r="H1037" t="s">
        <v>636</v>
      </c>
      <c r="I1037" t="s">
        <v>169</v>
      </c>
      <c r="J1037" t="s">
        <v>354</v>
      </c>
      <c r="K1037" t="s">
        <v>370</v>
      </c>
    </row>
    <row r="1038" spans="1:11" x14ac:dyDescent="0.25">
      <c r="A1038" t="s">
        <v>351</v>
      </c>
      <c r="B1038" t="s">
        <v>705</v>
      </c>
      <c r="C1038" t="s">
        <v>645</v>
      </c>
      <c r="G1038" t="s">
        <v>369</v>
      </c>
      <c r="H1038" t="s">
        <v>636</v>
      </c>
      <c r="I1038" t="s">
        <v>169</v>
      </c>
      <c r="J1038" t="s">
        <v>354</v>
      </c>
      <c r="K1038" t="s">
        <v>370</v>
      </c>
    </row>
    <row r="1039" spans="1:11" x14ac:dyDescent="0.25">
      <c r="A1039" t="s">
        <v>351</v>
      </c>
      <c r="B1039" t="s">
        <v>705</v>
      </c>
      <c r="C1039" t="s">
        <v>645</v>
      </c>
      <c r="G1039" t="s">
        <v>369</v>
      </c>
      <c r="H1039" t="s">
        <v>636</v>
      </c>
      <c r="I1039" t="s">
        <v>169</v>
      </c>
      <c r="J1039" t="s">
        <v>354</v>
      </c>
      <c r="K1039" t="s">
        <v>370</v>
      </c>
    </row>
    <row r="1040" spans="1:11" x14ac:dyDescent="0.25">
      <c r="A1040" t="s">
        <v>351</v>
      </c>
      <c r="B1040" t="s">
        <v>706</v>
      </c>
      <c r="C1040" t="s">
        <v>634</v>
      </c>
      <c r="D1040" t="s">
        <v>640</v>
      </c>
      <c r="E1040" t="s">
        <v>71</v>
      </c>
      <c r="F1040" t="s">
        <v>90</v>
      </c>
      <c r="G1040" t="s">
        <v>372</v>
      </c>
      <c r="H1040" t="s">
        <v>636</v>
      </c>
      <c r="I1040" t="s">
        <v>169</v>
      </c>
      <c r="J1040" t="s">
        <v>354</v>
      </c>
      <c r="K1040" t="s">
        <v>221</v>
      </c>
    </row>
    <row r="1041" spans="1:11" x14ac:dyDescent="0.25">
      <c r="A1041" t="s">
        <v>351</v>
      </c>
      <c r="B1041" t="s">
        <v>706</v>
      </c>
      <c r="C1041" t="s">
        <v>634</v>
      </c>
      <c r="D1041" t="s">
        <v>640</v>
      </c>
      <c r="E1041" t="s">
        <v>83</v>
      </c>
      <c r="F1041" t="s">
        <v>91</v>
      </c>
      <c r="G1041" t="s">
        <v>372</v>
      </c>
      <c r="H1041" t="s">
        <v>636</v>
      </c>
      <c r="I1041" t="s">
        <v>169</v>
      </c>
      <c r="J1041" t="s">
        <v>354</v>
      </c>
      <c r="K1041" t="s">
        <v>221</v>
      </c>
    </row>
    <row r="1042" spans="1:11" x14ac:dyDescent="0.25">
      <c r="A1042" t="s">
        <v>351</v>
      </c>
      <c r="B1042" t="s">
        <v>706</v>
      </c>
      <c r="C1042" t="s">
        <v>634</v>
      </c>
      <c r="D1042" t="s">
        <v>640</v>
      </c>
      <c r="E1042" t="s">
        <v>46</v>
      </c>
      <c r="F1042" t="s">
        <v>123</v>
      </c>
      <c r="G1042" t="s">
        <v>372</v>
      </c>
      <c r="H1042" t="s">
        <v>636</v>
      </c>
      <c r="I1042" t="s">
        <v>169</v>
      </c>
      <c r="J1042" t="s">
        <v>354</v>
      </c>
      <c r="K1042" t="s">
        <v>221</v>
      </c>
    </row>
    <row r="1043" spans="1:11" x14ac:dyDescent="0.25">
      <c r="A1043" t="s">
        <v>351</v>
      </c>
      <c r="B1043" t="s">
        <v>706</v>
      </c>
      <c r="C1043" t="s">
        <v>637</v>
      </c>
      <c r="D1043" t="s">
        <v>635</v>
      </c>
      <c r="E1043" t="s">
        <v>93</v>
      </c>
      <c r="F1043" t="s">
        <v>128</v>
      </c>
      <c r="G1043" t="s">
        <v>372</v>
      </c>
      <c r="H1043" t="s">
        <v>636</v>
      </c>
      <c r="I1043" t="s">
        <v>169</v>
      </c>
      <c r="J1043" t="s">
        <v>354</v>
      </c>
      <c r="K1043" t="s">
        <v>221</v>
      </c>
    </row>
    <row r="1044" spans="1:11" x14ac:dyDescent="0.25">
      <c r="A1044" t="s">
        <v>351</v>
      </c>
      <c r="B1044" t="s">
        <v>706</v>
      </c>
      <c r="C1044" t="s">
        <v>637</v>
      </c>
      <c r="D1044" t="s">
        <v>635</v>
      </c>
      <c r="E1044" t="s">
        <v>63</v>
      </c>
      <c r="F1044" t="s">
        <v>120</v>
      </c>
      <c r="G1044" t="s">
        <v>372</v>
      </c>
      <c r="H1044" t="s">
        <v>636</v>
      </c>
      <c r="I1044" t="s">
        <v>169</v>
      </c>
      <c r="J1044" t="s">
        <v>354</v>
      </c>
      <c r="K1044" t="s">
        <v>221</v>
      </c>
    </row>
    <row r="1045" spans="1:11" x14ac:dyDescent="0.25">
      <c r="A1045" t="s">
        <v>351</v>
      </c>
      <c r="B1045" t="s">
        <v>706</v>
      </c>
      <c r="C1045" t="s">
        <v>637</v>
      </c>
      <c r="D1045" t="s">
        <v>638</v>
      </c>
      <c r="E1045" t="s">
        <v>43</v>
      </c>
      <c r="F1045" t="s">
        <v>49</v>
      </c>
      <c r="G1045" t="s">
        <v>372</v>
      </c>
      <c r="H1045" t="s">
        <v>636</v>
      </c>
      <c r="I1045" t="s">
        <v>169</v>
      </c>
      <c r="J1045" t="s">
        <v>354</v>
      </c>
      <c r="K1045" t="s">
        <v>221</v>
      </c>
    </row>
    <row r="1046" spans="1:11" x14ac:dyDescent="0.25">
      <c r="A1046" t="s">
        <v>351</v>
      </c>
      <c r="B1046" t="s">
        <v>706</v>
      </c>
      <c r="C1046" t="s">
        <v>644</v>
      </c>
      <c r="G1046" t="s">
        <v>372</v>
      </c>
      <c r="H1046" t="s">
        <v>636</v>
      </c>
      <c r="I1046" t="s">
        <v>169</v>
      </c>
      <c r="J1046" t="s">
        <v>354</v>
      </c>
      <c r="K1046" t="s">
        <v>221</v>
      </c>
    </row>
    <row r="1047" spans="1:11" x14ac:dyDescent="0.25">
      <c r="A1047" t="s">
        <v>351</v>
      </c>
      <c r="B1047" t="s">
        <v>706</v>
      </c>
      <c r="C1047" t="s">
        <v>644</v>
      </c>
      <c r="G1047" t="s">
        <v>372</v>
      </c>
      <c r="H1047" t="s">
        <v>636</v>
      </c>
      <c r="I1047" t="s">
        <v>169</v>
      </c>
      <c r="J1047" t="s">
        <v>354</v>
      </c>
      <c r="K1047" t="s">
        <v>221</v>
      </c>
    </row>
    <row r="1048" spans="1:11" x14ac:dyDescent="0.25">
      <c r="A1048" t="s">
        <v>351</v>
      </c>
      <c r="B1048" t="s">
        <v>706</v>
      </c>
      <c r="C1048" t="s">
        <v>644</v>
      </c>
      <c r="G1048" t="s">
        <v>372</v>
      </c>
      <c r="H1048" t="s">
        <v>636</v>
      </c>
      <c r="I1048" t="s">
        <v>169</v>
      </c>
      <c r="J1048" t="s">
        <v>354</v>
      </c>
      <c r="K1048" t="s">
        <v>221</v>
      </c>
    </row>
    <row r="1049" spans="1:11" x14ac:dyDescent="0.25">
      <c r="A1049" t="s">
        <v>351</v>
      </c>
      <c r="B1049" t="s">
        <v>706</v>
      </c>
      <c r="C1049" t="s">
        <v>645</v>
      </c>
      <c r="G1049" t="s">
        <v>372</v>
      </c>
      <c r="H1049" t="s">
        <v>636</v>
      </c>
      <c r="I1049" t="s">
        <v>169</v>
      </c>
      <c r="J1049" t="s">
        <v>354</v>
      </c>
      <c r="K1049" t="s">
        <v>221</v>
      </c>
    </row>
    <row r="1050" spans="1:11" x14ac:dyDescent="0.25">
      <c r="A1050" t="s">
        <v>351</v>
      </c>
      <c r="B1050" t="s">
        <v>706</v>
      </c>
      <c r="C1050" t="s">
        <v>645</v>
      </c>
      <c r="G1050" t="s">
        <v>372</v>
      </c>
      <c r="H1050" t="s">
        <v>636</v>
      </c>
      <c r="I1050" t="s">
        <v>169</v>
      </c>
      <c r="J1050" t="s">
        <v>354</v>
      </c>
      <c r="K1050" t="s">
        <v>221</v>
      </c>
    </row>
    <row r="1051" spans="1:11" x14ac:dyDescent="0.25">
      <c r="A1051" t="s">
        <v>351</v>
      </c>
      <c r="B1051" t="s">
        <v>707</v>
      </c>
      <c r="C1051" t="s">
        <v>634</v>
      </c>
      <c r="D1051" t="s">
        <v>635</v>
      </c>
      <c r="E1051" t="s">
        <v>43</v>
      </c>
      <c r="F1051" t="s">
        <v>49</v>
      </c>
      <c r="G1051" t="s">
        <v>374</v>
      </c>
      <c r="H1051" t="s">
        <v>636</v>
      </c>
      <c r="I1051" t="s">
        <v>169</v>
      </c>
      <c r="J1051" t="s">
        <v>354</v>
      </c>
      <c r="K1051" t="s">
        <v>219</v>
      </c>
    </row>
    <row r="1052" spans="1:11" x14ac:dyDescent="0.25">
      <c r="A1052" t="s">
        <v>351</v>
      </c>
      <c r="B1052" t="s">
        <v>707</v>
      </c>
      <c r="C1052" t="s">
        <v>634</v>
      </c>
      <c r="D1052" t="s">
        <v>635</v>
      </c>
      <c r="E1052" t="s">
        <v>83</v>
      </c>
      <c r="F1052" t="s">
        <v>100</v>
      </c>
      <c r="G1052" t="s">
        <v>374</v>
      </c>
      <c r="H1052" t="s">
        <v>636</v>
      </c>
      <c r="I1052" t="s">
        <v>169</v>
      </c>
      <c r="J1052" t="s">
        <v>354</v>
      </c>
      <c r="K1052" t="s">
        <v>219</v>
      </c>
    </row>
    <row r="1053" spans="1:11" x14ac:dyDescent="0.25">
      <c r="A1053" t="s">
        <v>351</v>
      </c>
      <c r="B1053" t="s">
        <v>707</v>
      </c>
      <c r="C1053" t="s">
        <v>634</v>
      </c>
      <c r="D1053" t="s">
        <v>638</v>
      </c>
      <c r="E1053" t="s">
        <v>43</v>
      </c>
      <c r="F1053" t="s">
        <v>57</v>
      </c>
      <c r="G1053" t="s">
        <v>374</v>
      </c>
      <c r="H1053" t="s">
        <v>636</v>
      </c>
      <c r="I1053" t="s">
        <v>169</v>
      </c>
      <c r="J1053" t="s">
        <v>354</v>
      </c>
      <c r="K1053" t="s">
        <v>219</v>
      </c>
    </row>
    <row r="1054" spans="1:11" x14ac:dyDescent="0.25">
      <c r="A1054" t="s">
        <v>351</v>
      </c>
      <c r="B1054" t="s">
        <v>707</v>
      </c>
      <c r="C1054" t="s">
        <v>637</v>
      </c>
      <c r="D1054" t="s">
        <v>635</v>
      </c>
      <c r="E1054" t="s">
        <v>46</v>
      </c>
      <c r="F1054" t="s">
        <v>124</v>
      </c>
      <c r="G1054" t="s">
        <v>374</v>
      </c>
      <c r="H1054" t="s">
        <v>636</v>
      </c>
      <c r="I1054" t="s">
        <v>169</v>
      </c>
      <c r="J1054" t="s">
        <v>354</v>
      </c>
      <c r="K1054" t="s">
        <v>219</v>
      </c>
    </row>
    <row r="1055" spans="1:11" x14ac:dyDescent="0.25">
      <c r="A1055" t="s">
        <v>351</v>
      </c>
      <c r="B1055" t="s">
        <v>707</v>
      </c>
      <c r="C1055" t="s">
        <v>637</v>
      </c>
      <c r="D1055" t="s">
        <v>638</v>
      </c>
      <c r="E1055" t="s">
        <v>83</v>
      </c>
      <c r="F1055" t="s">
        <v>103</v>
      </c>
      <c r="G1055" t="s">
        <v>374</v>
      </c>
      <c r="H1055" t="s">
        <v>636</v>
      </c>
      <c r="I1055" t="s">
        <v>169</v>
      </c>
      <c r="J1055" t="s">
        <v>354</v>
      </c>
      <c r="K1055" t="s">
        <v>219</v>
      </c>
    </row>
    <row r="1056" spans="1:11" x14ac:dyDescent="0.25">
      <c r="A1056" t="s">
        <v>351</v>
      </c>
      <c r="B1056" t="s">
        <v>707</v>
      </c>
      <c r="C1056" t="s">
        <v>637</v>
      </c>
      <c r="D1056" t="s">
        <v>640</v>
      </c>
      <c r="E1056" t="s">
        <v>43</v>
      </c>
      <c r="F1056" t="s">
        <v>44</v>
      </c>
      <c r="G1056" t="s">
        <v>374</v>
      </c>
      <c r="H1056" t="s">
        <v>636</v>
      </c>
      <c r="I1056" t="s">
        <v>169</v>
      </c>
      <c r="J1056" t="s">
        <v>354</v>
      </c>
      <c r="K1056" t="s">
        <v>219</v>
      </c>
    </row>
    <row r="1057" spans="1:11" x14ac:dyDescent="0.25">
      <c r="A1057" t="s">
        <v>351</v>
      </c>
      <c r="B1057" t="s">
        <v>707</v>
      </c>
      <c r="C1057" t="s">
        <v>644</v>
      </c>
      <c r="G1057" t="s">
        <v>374</v>
      </c>
      <c r="H1057" t="s">
        <v>636</v>
      </c>
      <c r="I1057" t="s">
        <v>169</v>
      </c>
      <c r="J1057" t="s">
        <v>354</v>
      </c>
      <c r="K1057" t="s">
        <v>219</v>
      </c>
    </row>
    <row r="1058" spans="1:11" x14ac:dyDescent="0.25">
      <c r="A1058" t="s">
        <v>351</v>
      </c>
      <c r="B1058" t="s">
        <v>707</v>
      </c>
      <c r="C1058" t="s">
        <v>644</v>
      </c>
      <c r="G1058" t="s">
        <v>374</v>
      </c>
      <c r="H1058" t="s">
        <v>636</v>
      </c>
      <c r="I1058" t="s">
        <v>169</v>
      </c>
      <c r="J1058" t="s">
        <v>354</v>
      </c>
      <c r="K1058" t="s">
        <v>219</v>
      </c>
    </row>
    <row r="1059" spans="1:11" x14ac:dyDescent="0.25">
      <c r="A1059" t="s">
        <v>351</v>
      </c>
      <c r="B1059" t="s">
        <v>707</v>
      </c>
      <c r="C1059" t="s">
        <v>644</v>
      </c>
      <c r="G1059" t="s">
        <v>374</v>
      </c>
      <c r="H1059" t="s">
        <v>636</v>
      </c>
      <c r="I1059" t="s">
        <v>169</v>
      </c>
      <c r="J1059" t="s">
        <v>354</v>
      </c>
      <c r="K1059" t="s">
        <v>219</v>
      </c>
    </row>
    <row r="1060" spans="1:11" x14ac:dyDescent="0.25">
      <c r="A1060" t="s">
        <v>351</v>
      </c>
      <c r="B1060" t="s">
        <v>707</v>
      </c>
      <c r="C1060" t="s">
        <v>645</v>
      </c>
      <c r="G1060" t="s">
        <v>374</v>
      </c>
      <c r="H1060" t="s">
        <v>636</v>
      </c>
      <c r="I1060" t="s">
        <v>169</v>
      </c>
      <c r="J1060" t="s">
        <v>354</v>
      </c>
      <c r="K1060" t="s">
        <v>219</v>
      </c>
    </row>
    <row r="1061" spans="1:11" x14ac:dyDescent="0.25">
      <c r="A1061" t="s">
        <v>351</v>
      </c>
      <c r="B1061" t="s">
        <v>707</v>
      </c>
      <c r="C1061" t="s">
        <v>645</v>
      </c>
      <c r="G1061" t="s">
        <v>374</v>
      </c>
      <c r="H1061" t="s">
        <v>636</v>
      </c>
      <c r="I1061" t="s">
        <v>169</v>
      </c>
      <c r="J1061" t="s">
        <v>354</v>
      </c>
      <c r="K1061" t="s">
        <v>219</v>
      </c>
    </row>
    <row r="1062" spans="1:11" x14ac:dyDescent="0.25">
      <c r="A1062" t="s">
        <v>351</v>
      </c>
      <c r="B1062" t="s">
        <v>708</v>
      </c>
      <c r="C1062" t="s">
        <v>634</v>
      </c>
      <c r="D1062" t="s">
        <v>635</v>
      </c>
      <c r="E1062" t="s">
        <v>43</v>
      </c>
      <c r="F1062" t="s">
        <v>49</v>
      </c>
      <c r="G1062" t="s">
        <v>376</v>
      </c>
      <c r="H1062" t="s">
        <v>636</v>
      </c>
      <c r="I1062" t="s">
        <v>169</v>
      </c>
      <c r="J1062" t="s">
        <v>354</v>
      </c>
      <c r="K1062" t="s">
        <v>222</v>
      </c>
    </row>
    <row r="1063" spans="1:11" x14ac:dyDescent="0.25">
      <c r="A1063" t="s">
        <v>351</v>
      </c>
      <c r="B1063" t="s">
        <v>708</v>
      </c>
      <c r="C1063" t="s">
        <v>634</v>
      </c>
      <c r="D1063" t="s">
        <v>638</v>
      </c>
      <c r="E1063" t="s">
        <v>43</v>
      </c>
      <c r="F1063" t="s">
        <v>57</v>
      </c>
      <c r="G1063" t="s">
        <v>376</v>
      </c>
      <c r="H1063" t="s">
        <v>636</v>
      </c>
      <c r="I1063" t="s">
        <v>169</v>
      </c>
      <c r="J1063" t="s">
        <v>354</v>
      </c>
      <c r="K1063" t="s">
        <v>222</v>
      </c>
    </row>
    <row r="1064" spans="1:11" x14ac:dyDescent="0.25">
      <c r="A1064" t="s">
        <v>351</v>
      </c>
      <c r="B1064" t="s">
        <v>708</v>
      </c>
      <c r="C1064" t="s">
        <v>634</v>
      </c>
      <c r="D1064" t="s">
        <v>638</v>
      </c>
      <c r="E1064" t="s">
        <v>83</v>
      </c>
      <c r="F1064" t="s">
        <v>84</v>
      </c>
      <c r="G1064" t="s">
        <v>376</v>
      </c>
      <c r="H1064" t="s">
        <v>636</v>
      </c>
      <c r="I1064" t="s">
        <v>169</v>
      </c>
      <c r="J1064" t="s">
        <v>354</v>
      </c>
      <c r="K1064" t="s">
        <v>222</v>
      </c>
    </row>
    <row r="1065" spans="1:11" x14ac:dyDescent="0.25">
      <c r="A1065" t="s">
        <v>351</v>
      </c>
      <c r="B1065" t="s">
        <v>708</v>
      </c>
      <c r="C1065" t="s">
        <v>637</v>
      </c>
      <c r="D1065" t="s">
        <v>635</v>
      </c>
      <c r="E1065" t="s">
        <v>71</v>
      </c>
      <c r="F1065" t="s">
        <v>72</v>
      </c>
      <c r="G1065" t="s">
        <v>376</v>
      </c>
      <c r="H1065" t="s">
        <v>636</v>
      </c>
      <c r="I1065" t="s">
        <v>169</v>
      </c>
      <c r="J1065" t="s">
        <v>354</v>
      </c>
      <c r="K1065" t="s">
        <v>222</v>
      </c>
    </row>
    <row r="1066" spans="1:11" x14ac:dyDescent="0.25">
      <c r="A1066" t="s">
        <v>351</v>
      </c>
      <c r="B1066" t="s">
        <v>708</v>
      </c>
      <c r="C1066" t="s">
        <v>637</v>
      </c>
      <c r="D1066" t="s">
        <v>640</v>
      </c>
      <c r="E1066" t="s">
        <v>46</v>
      </c>
      <c r="F1066" t="s">
        <v>47</v>
      </c>
      <c r="G1066" t="s">
        <v>376</v>
      </c>
      <c r="H1066" t="s">
        <v>636</v>
      </c>
      <c r="I1066" t="s">
        <v>169</v>
      </c>
      <c r="J1066" t="s">
        <v>354</v>
      </c>
      <c r="K1066" t="s">
        <v>222</v>
      </c>
    </row>
    <row r="1067" spans="1:11" x14ac:dyDescent="0.25">
      <c r="A1067" t="s">
        <v>351</v>
      </c>
      <c r="B1067" t="s">
        <v>708</v>
      </c>
      <c r="C1067" t="s">
        <v>637</v>
      </c>
      <c r="D1067" t="s">
        <v>640</v>
      </c>
      <c r="E1067" t="s">
        <v>83</v>
      </c>
      <c r="F1067" t="s">
        <v>84</v>
      </c>
      <c r="G1067" t="s">
        <v>376</v>
      </c>
      <c r="H1067" t="s">
        <v>636</v>
      </c>
      <c r="I1067" t="s">
        <v>169</v>
      </c>
      <c r="J1067" t="s">
        <v>354</v>
      </c>
      <c r="K1067" t="s">
        <v>222</v>
      </c>
    </row>
    <row r="1068" spans="1:11" x14ac:dyDescent="0.25">
      <c r="A1068" t="s">
        <v>351</v>
      </c>
      <c r="B1068" t="s">
        <v>708</v>
      </c>
      <c r="C1068" t="s">
        <v>644</v>
      </c>
      <c r="G1068" t="s">
        <v>376</v>
      </c>
      <c r="H1068" t="s">
        <v>636</v>
      </c>
      <c r="I1068" t="s">
        <v>169</v>
      </c>
      <c r="J1068" t="s">
        <v>354</v>
      </c>
      <c r="K1068" t="s">
        <v>222</v>
      </c>
    </row>
    <row r="1069" spans="1:11" x14ac:dyDescent="0.25">
      <c r="A1069" t="s">
        <v>351</v>
      </c>
      <c r="B1069" t="s">
        <v>708</v>
      </c>
      <c r="C1069" t="s">
        <v>644</v>
      </c>
      <c r="G1069" t="s">
        <v>376</v>
      </c>
      <c r="H1069" t="s">
        <v>636</v>
      </c>
      <c r="I1069" t="s">
        <v>169</v>
      </c>
      <c r="J1069" t="s">
        <v>354</v>
      </c>
      <c r="K1069" t="s">
        <v>222</v>
      </c>
    </row>
    <row r="1070" spans="1:11" x14ac:dyDescent="0.25">
      <c r="A1070" t="s">
        <v>351</v>
      </c>
      <c r="B1070" t="s">
        <v>708</v>
      </c>
      <c r="C1070" t="s">
        <v>644</v>
      </c>
      <c r="G1070" t="s">
        <v>376</v>
      </c>
      <c r="H1070" t="s">
        <v>636</v>
      </c>
      <c r="I1070" t="s">
        <v>169</v>
      </c>
      <c r="J1070" t="s">
        <v>354</v>
      </c>
      <c r="K1070" t="s">
        <v>222</v>
      </c>
    </row>
    <row r="1071" spans="1:11" x14ac:dyDescent="0.25">
      <c r="A1071" t="s">
        <v>351</v>
      </c>
      <c r="B1071" t="s">
        <v>708</v>
      </c>
      <c r="C1071" t="s">
        <v>645</v>
      </c>
      <c r="G1071" t="s">
        <v>376</v>
      </c>
      <c r="H1071" t="s">
        <v>636</v>
      </c>
      <c r="I1071" t="s">
        <v>169</v>
      </c>
      <c r="J1071" t="s">
        <v>354</v>
      </c>
      <c r="K1071" t="s">
        <v>222</v>
      </c>
    </row>
    <row r="1072" spans="1:11" x14ac:dyDescent="0.25">
      <c r="A1072" t="s">
        <v>351</v>
      </c>
      <c r="B1072" t="s">
        <v>708</v>
      </c>
      <c r="C1072" t="s">
        <v>645</v>
      </c>
      <c r="G1072" t="s">
        <v>376</v>
      </c>
      <c r="H1072" t="s">
        <v>636</v>
      </c>
      <c r="I1072" t="s">
        <v>169</v>
      </c>
      <c r="J1072" t="s">
        <v>354</v>
      </c>
      <c r="K1072" t="s">
        <v>222</v>
      </c>
    </row>
    <row r="1073" spans="1:11" x14ac:dyDescent="0.25">
      <c r="A1073" t="s">
        <v>351</v>
      </c>
      <c r="B1073" t="s">
        <v>709</v>
      </c>
      <c r="C1073" t="s">
        <v>634</v>
      </c>
      <c r="D1073" t="s">
        <v>635</v>
      </c>
      <c r="E1073" t="s">
        <v>43</v>
      </c>
      <c r="F1073" t="s">
        <v>49</v>
      </c>
      <c r="G1073" t="s">
        <v>378</v>
      </c>
      <c r="H1073" t="s">
        <v>636</v>
      </c>
      <c r="I1073" t="s">
        <v>169</v>
      </c>
      <c r="J1073" t="s">
        <v>354</v>
      </c>
      <c r="K1073" t="s">
        <v>230</v>
      </c>
    </row>
    <row r="1074" spans="1:11" x14ac:dyDescent="0.25">
      <c r="A1074" t="s">
        <v>351</v>
      </c>
      <c r="B1074" t="s">
        <v>709</v>
      </c>
      <c r="C1074" t="s">
        <v>634</v>
      </c>
      <c r="D1074" t="s">
        <v>640</v>
      </c>
      <c r="E1074" t="s">
        <v>71</v>
      </c>
      <c r="F1074" t="s">
        <v>90</v>
      </c>
      <c r="G1074" t="s">
        <v>378</v>
      </c>
      <c r="H1074" t="s">
        <v>636</v>
      </c>
      <c r="I1074" t="s">
        <v>169</v>
      </c>
      <c r="J1074" t="s">
        <v>354</v>
      </c>
      <c r="K1074" t="s">
        <v>230</v>
      </c>
    </row>
    <row r="1075" spans="1:11" x14ac:dyDescent="0.25">
      <c r="A1075" t="s">
        <v>351</v>
      </c>
      <c r="B1075" t="s">
        <v>709</v>
      </c>
      <c r="C1075" t="s">
        <v>634</v>
      </c>
      <c r="D1075" t="s">
        <v>640</v>
      </c>
      <c r="E1075" t="s">
        <v>46</v>
      </c>
      <c r="F1075" t="s">
        <v>51</v>
      </c>
      <c r="G1075" t="s">
        <v>378</v>
      </c>
      <c r="H1075" t="s">
        <v>636</v>
      </c>
      <c r="I1075" t="s">
        <v>169</v>
      </c>
      <c r="J1075" t="s">
        <v>354</v>
      </c>
      <c r="K1075" t="s">
        <v>230</v>
      </c>
    </row>
    <row r="1076" spans="1:11" x14ac:dyDescent="0.25">
      <c r="A1076" t="s">
        <v>351</v>
      </c>
      <c r="B1076" t="s">
        <v>709</v>
      </c>
      <c r="C1076" t="s">
        <v>637</v>
      </c>
      <c r="D1076" t="s">
        <v>638</v>
      </c>
      <c r="E1076" t="s">
        <v>63</v>
      </c>
      <c r="F1076" t="s">
        <v>67</v>
      </c>
      <c r="G1076" t="s">
        <v>378</v>
      </c>
      <c r="H1076" t="s">
        <v>636</v>
      </c>
      <c r="I1076" t="s">
        <v>169</v>
      </c>
      <c r="J1076" t="s">
        <v>354</v>
      </c>
      <c r="K1076" t="s">
        <v>230</v>
      </c>
    </row>
    <row r="1077" spans="1:11" x14ac:dyDescent="0.25">
      <c r="A1077" t="s">
        <v>351</v>
      </c>
      <c r="B1077" t="s">
        <v>709</v>
      </c>
      <c r="C1077" t="s">
        <v>637</v>
      </c>
      <c r="D1077" t="s">
        <v>638</v>
      </c>
      <c r="E1077" t="s">
        <v>93</v>
      </c>
      <c r="F1077" t="s">
        <v>128</v>
      </c>
      <c r="G1077" t="s">
        <v>378</v>
      </c>
      <c r="H1077" t="s">
        <v>636</v>
      </c>
      <c r="I1077" t="s">
        <v>169</v>
      </c>
      <c r="J1077" t="s">
        <v>354</v>
      </c>
      <c r="K1077" t="s">
        <v>230</v>
      </c>
    </row>
    <row r="1078" spans="1:11" x14ac:dyDescent="0.25">
      <c r="A1078" t="s">
        <v>351</v>
      </c>
      <c r="B1078" t="s">
        <v>709</v>
      </c>
      <c r="C1078" t="s">
        <v>637</v>
      </c>
      <c r="G1078" t="s">
        <v>378</v>
      </c>
      <c r="H1078" t="s">
        <v>636</v>
      </c>
      <c r="I1078" t="s">
        <v>169</v>
      </c>
      <c r="J1078" t="s">
        <v>354</v>
      </c>
      <c r="K1078" t="s">
        <v>230</v>
      </c>
    </row>
    <row r="1079" spans="1:11" x14ac:dyDescent="0.25">
      <c r="A1079" t="s">
        <v>351</v>
      </c>
      <c r="B1079" t="s">
        <v>709</v>
      </c>
      <c r="C1079" t="s">
        <v>644</v>
      </c>
      <c r="G1079" t="s">
        <v>378</v>
      </c>
      <c r="H1079" t="s">
        <v>636</v>
      </c>
      <c r="I1079" t="s">
        <v>169</v>
      </c>
      <c r="J1079" t="s">
        <v>354</v>
      </c>
      <c r="K1079" t="s">
        <v>230</v>
      </c>
    </row>
    <row r="1080" spans="1:11" x14ac:dyDescent="0.25">
      <c r="A1080" t="s">
        <v>351</v>
      </c>
      <c r="B1080" t="s">
        <v>709</v>
      </c>
      <c r="C1080" t="s">
        <v>644</v>
      </c>
      <c r="G1080" t="s">
        <v>378</v>
      </c>
      <c r="H1080" t="s">
        <v>636</v>
      </c>
      <c r="I1080" t="s">
        <v>169</v>
      </c>
      <c r="J1080" t="s">
        <v>354</v>
      </c>
      <c r="K1080" t="s">
        <v>230</v>
      </c>
    </row>
    <row r="1081" spans="1:11" x14ac:dyDescent="0.25">
      <c r="A1081" t="s">
        <v>351</v>
      </c>
      <c r="B1081" t="s">
        <v>709</v>
      </c>
      <c r="C1081" t="s">
        <v>644</v>
      </c>
      <c r="G1081" t="s">
        <v>378</v>
      </c>
      <c r="H1081" t="s">
        <v>636</v>
      </c>
      <c r="I1081" t="s">
        <v>169</v>
      </c>
      <c r="J1081" t="s">
        <v>354</v>
      </c>
      <c r="K1081" t="s">
        <v>230</v>
      </c>
    </row>
    <row r="1082" spans="1:11" x14ac:dyDescent="0.25">
      <c r="A1082" t="s">
        <v>351</v>
      </c>
      <c r="B1082" t="s">
        <v>709</v>
      </c>
      <c r="C1082" t="s">
        <v>645</v>
      </c>
      <c r="G1082" t="s">
        <v>378</v>
      </c>
      <c r="H1082" t="s">
        <v>636</v>
      </c>
      <c r="I1082" t="s">
        <v>169</v>
      </c>
      <c r="J1082" t="s">
        <v>354</v>
      </c>
      <c r="K1082" t="s">
        <v>230</v>
      </c>
    </row>
    <row r="1083" spans="1:11" x14ac:dyDescent="0.25">
      <c r="A1083" t="s">
        <v>351</v>
      </c>
      <c r="B1083" t="s">
        <v>709</v>
      </c>
      <c r="C1083" t="s">
        <v>645</v>
      </c>
      <c r="G1083" t="s">
        <v>378</v>
      </c>
      <c r="H1083" t="s">
        <v>636</v>
      </c>
      <c r="I1083" t="s">
        <v>169</v>
      </c>
      <c r="J1083" t="s">
        <v>354</v>
      </c>
      <c r="K1083" t="s">
        <v>230</v>
      </c>
    </row>
    <row r="1084" spans="1:11" x14ac:dyDescent="0.25">
      <c r="A1084" t="s">
        <v>351</v>
      </c>
      <c r="B1084" t="s">
        <v>710</v>
      </c>
      <c r="C1084" t="s">
        <v>634</v>
      </c>
      <c r="D1084" t="s">
        <v>635</v>
      </c>
      <c r="E1084" t="s">
        <v>43</v>
      </c>
      <c r="F1084" t="s">
        <v>53</v>
      </c>
      <c r="G1084" t="s">
        <v>380</v>
      </c>
      <c r="H1084" t="s">
        <v>636</v>
      </c>
      <c r="I1084" t="s">
        <v>169</v>
      </c>
      <c r="J1084" t="s">
        <v>354</v>
      </c>
      <c r="K1084" t="s">
        <v>381</v>
      </c>
    </row>
    <row r="1085" spans="1:11" x14ac:dyDescent="0.25">
      <c r="A1085" t="s">
        <v>351</v>
      </c>
      <c r="B1085" t="s">
        <v>710</v>
      </c>
      <c r="C1085" t="s">
        <v>634</v>
      </c>
      <c r="D1085" t="s">
        <v>635</v>
      </c>
      <c r="E1085" t="s">
        <v>43</v>
      </c>
      <c r="F1085" t="s">
        <v>49</v>
      </c>
      <c r="G1085" t="s">
        <v>380</v>
      </c>
      <c r="H1085" t="s">
        <v>636</v>
      </c>
      <c r="I1085" t="s">
        <v>169</v>
      </c>
      <c r="J1085" t="s">
        <v>354</v>
      </c>
      <c r="K1085" t="s">
        <v>381</v>
      </c>
    </row>
    <row r="1086" spans="1:11" x14ac:dyDescent="0.25">
      <c r="A1086" t="s">
        <v>351</v>
      </c>
      <c r="B1086" t="s">
        <v>710</v>
      </c>
      <c r="C1086" t="s">
        <v>634</v>
      </c>
      <c r="D1086" t="s">
        <v>635</v>
      </c>
      <c r="E1086" t="s">
        <v>71</v>
      </c>
      <c r="F1086" t="s">
        <v>86</v>
      </c>
      <c r="G1086" t="s">
        <v>380</v>
      </c>
      <c r="H1086" t="s">
        <v>636</v>
      </c>
      <c r="I1086" t="s">
        <v>169</v>
      </c>
      <c r="J1086" t="s">
        <v>354</v>
      </c>
      <c r="K1086" t="s">
        <v>381</v>
      </c>
    </row>
    <row r="1087" spans="1:11" x14ac:dyDescent="0.25">
      <c r="A1087" t="s">
        <v>351</v>
      </c>
      <c r="B1087" t="s">
        <v>710</v>
      </c>
      <c r="C1087" t="s">
        <v>637</v>
      </c>
      <c r="D1087" t="s">
        <v>638</v>
      </c>
      <c r="E1087" t="s">
        <v>46</v>
      </c>
      <c r="F1087" t="s">
        <v>47</v>
      </c>
      <c r="G1087" t="s">
        <v>380</v>
      </c>
      <c r="H1087" t="s">
        <v>636</v>
      </c>
      <c r="I1087" t="s">
        <v>169</v>
      </c>
      <c r="J1087" t="s">
        <v>354</v>
      </c>
      <c r="K1087" t="s">
        <v>381</v>
      </c>
    </row>
    <row r="1088" spans="1:11" x14ac:dyDescent="0.25">
      <c r="A1088" t="s">
        <v>351</v>
      </c>
      <c r="B1088" t="s">
        <v>710</v>
      </c>
      <c r="C1088" t="s">
        <v>637</v>
      </c>
      <c r="D1088" t="s">
        <v>638</v>
      </c>
      <c r="E1088" t="s">
        <v>69</v>
      </c>
      <c r="F1088" t="s">
        <v>80</v>
      </c>
      <c r="G1088" t="s">
        <v>380</v>
      </c>
      <c r="H1088" t="s">
        <v>636</v>
      </c>
      <c r="I1088" t="s">
        <v>169</v>
      </c>
      <c r="J1088" t="s">
        <v>354</v>
      </c>
      <c r="K1088" t="s">
        <v>381</v>
      </c>
    </row>
    <row r="1089" spans="1:11" x14ac:dyDescent="0.25">
      <c r="A1089" t="s">
        <v>351</v>
      </c>
      <c r="B1089" t="s">
        <v>710</v>
      </c>
      <c r="C1089" t="s">
        <v>637</v>
      </c>
      <c r="G1089" t="s">
        <v>380</v>
      </c>
      <c r="H1089" t="s">
        <v>636</v>
      </c>
      <c r="I1089" t="s">
        <v>169</v>
      </c>
      <c r="J1089" t="s">
        <v>354</v>
      </c>
      <c r="K1089" t="s">
        <v>381</v>
      </c>
    </row>
    <row r="1090" spans="1:11" x14ac:dyDescent="0.25">
      <c r="A1090" t="s">
        <v>351</v>
      </c>
      <c r="B1090" t="s">
        <v>710</v>
      </c>
      <c r="C1090" t="s">
        <v>644</v>
      </c>
      <c r="G1090" t="s">
        <v>380</v>
      </c>
      <c r="H1090" t="s">
        <v>636</v>
      </c>
      <c r="I1090" t="s">
        <v>169</v>
      </c>
      <c r="J1090" t="s">
        <v>354</v>
      </c>
      <c r="K1090" t="s">
        <v>381</v>
      </c>
    </row>
    <row r="1091" spans="1:11" x14ac:dyDescent="0.25">
      <c r="A1091" t="s">
        <v>351</v>
      </c>
      <c r="B1091" t="s">
        <v>710</v>
      </c>
      <c r="C1091" t="s">
        <v>644</v>
      </c>
      <c r="G1091" t="s">
        <v>380</v>
      </c>
      <c r="H1091" t="s">
        <v>636</v>
      </c>
      <c r="I1091" t="s">
        <v>169</v>
      </c>
      <c r="J1091" t="s">
        <v>354</v>
      </c>
      <c r="K1091" t="s">
        <v>381</v>
      </c>
    </row>
    <row r="1092" spans="1:11" x14ac:dyDescent="0.25">
      <c r="A1092" t="s">
        <v>351</v>
      </c>
      <c r="B1092" t="s">
        <v>710</v>
      </c>
      <c r="C1092" t="s">
        <v>644</v>
      </c>
      <c r="G1092" t="s">
        <v>380</v>
      </c>
      <c r="H1092" t="s">
        <v>636</v>
      </c>
      <c r="I1092" t="s">
        <v>169</v>
      </c>
      <c r="J1092" t="s">
        <v>354</v>
      </c>
      <c r="K1092" t="s">
        <v>381</v>
      </c>
    </row>
    <row r="1093" spans="1:11" x14ac:dyDescent="0.25">
      <c r="A1093" t="s">
        <v>351</v>
      </c>
      <c r="B1093" t="s">
        <v>710</v>
      </c>
      <c r="C1093" t="s">
        <v>645</v>
      </c>
      <c r="G1093" t="s">
        <v>380</v>
      </c>
      <c r="H1093" t="s">
        <v>636</v>
      </c>
      <c r="I1093" t="s">
        <v>169</v>
      </c>
      <c r="J1093" t="s">
        <v>354</v>
      </c>
      <c r="K1093" t="s">
        <v>381</v>
      </c>
    </row>
    <row r="1094" spans="1:11" x14ac:dyDescent="0.25">
      <c r="A1094" t="s">
        <v>351</v>
      </c>
      <c r="B1094" t="s">
        <v>710</v>
      </c>
      <c r="C1094" t="s">
        <v>645</v>
      </c>
      <c r="G1094" t="s">
        <v>380</v>
      </c>
      <c r="H1094" t="s">
        <v>636</v>
      </c>
      <c r="I1094" t="s">
        <v>169</v>
      </c>
      <c r="J1094" t="s">
        <v>354</v>
      </c>
      <c r="K1094" t="s">
        <v>381</v>
      </c>
    </row>
    <row r="1095" spans="1:11" x14ac:dyDescent="0.25">
      <c r="A1095" t="s">
        <v>351</v>
      </c>
      <c r="B1095" t="s">
        <v>711</v>
      </c>
      <c r="C1095" t="s">
        <v>634</v>
      </c>
      <c r="D1095" t="s">
        <v>635</v>
      </c>
      <c r="E1095" t="s">
        <v>43</v>
      </c>
      <c r="F1095" t="s">
        <v>53</v>
      </c>
      <c r="G1095" t="s">
        <v>383</v>
      </c>
      <c r="H1095" t="s">
        <v>636</v>
      </c>
      <c r="I1095" t="s">
        <v>169</v>
      </c>
      <c r="J1095" t="s">
        <v>354</v>
      </c>
      <c r="K1095" t="s">
        <v>384</v>
      </c>
    </row>
    <row r="1096" spans="1:11" x14ac:dyDescent="0.25">
      <c r="A1096" t="s">
        <v>351</v>
      </c>
      <c r="B1096" t="s">
        <v>711</v>
      </c>
      <c r="C1096" t="s">
        <v>634</v>
      </c>
      <c r="D1096" t="s">
        <v>635</v>
      </c>
      <c r="E1096" t="s">
        <v>43</v>
      </c>
      <c r="F1096" t="s">
        <v>49</v>
      </c>
      <c r="G1096" t="s">
        <v>383</v>
      </c>
      <c r="H1096" t="s">
        <v>636</v>
      </c>
      <c r="I1096" t="s">
        <v>169</v>
      </c>
      <c r="J1096" t="s">
        <v>354</v>
      </c>
      <c r="K1096" t="s">
        <v>384</v>
      </c>
    </row>
    <row r="1097" spans="1:11" x14ac:dyDescent="0.25">
      <c r="A1097" t="s">
        <v>351</v>
      </c>
      <c r="B1097" t="s">
        <v>711</v>
      </c>
      <c r="C1097" t="s">
        <v>634</v>
      </c>
      <c r="D1097" t="s">
        <v>635</v>
      </c>
      <c r="E1097" t="s">
        <v>71</v>
      </c>
      <c r="F1097" t="s">
        <v>86</v>
      </c>
      <c r="G1097" t="s">
        <v>383</v>
      </c>
      <c r="H1097" t="s">
        <v>636</v>
      </c>
      <c r="I1097" t="s">
        <v>169</v>
      </c>
      <c r="J1097" t="s">
        <v>354</v>
      </c>
      <c r="K1097" t="s">
        <v>384</v>
      </c>
    </row>
    <row r="1098" spans="1:11" x14ac:dyDescent="0.25">
      <c r="A1098" t="s">
        <v>351</v>
      </c>
      <c r="B1098" t="s">
        <v>711</v>
      </c>
      <c r="C1098" t="s">
        <v>637</v>
      </c>
      <c r="D1098" t="s">
        <v>638</v>
      </c>
      <c r="E1098" t="s">
        <v>46</v>
      </c>
      <c r="F1098" t="s">
        <v>47</v>
      </c>
      <c r="G1098" t="s">
        <v>383</v>
      </c>
      <c r="H1098" t="s">
        <v>636</v>
      </c>
      <c r="I1098" t="s">
        <v>169</v>
      </c>
      <c r="J1098" t="s">
        <v>354</v>
      </c>
      <c r="K1098" t="s">
        <v>384</v>
      </c>
    </row>
    <row r="1099" spans="1:11" x14ac:dyDescent="0.25">
      <c r="A1099" t="s">
        <v>351</v>
      </c>
      <c r="B1099" t="s">
        <v>711</v>
      </c>
      <c r="C1099" t="s">
        <v>637</v>
      </c>
      <c r="D1099" t="s">
        <v>638</v>
      </c>
      <c r="E1099" t="s">
        <v>69</v>
      </c>
      <c r="F1099" t="s">
        <v>80</v>
      </c>
      <c r="G1099" t="s">
        <v>383</v>
      </c>
      <c r="H1099" t="s">
        <v>636</v>
      </c>
      <c r="I1099" t="s">
        <v>169</v>
      </c>
      <c r="J1099" t="s">
        <v>354</v>
      </c>
      <c r="K1099" t="s">
        <v>384</v>
      </c>
    </row>
    <row r="1100" spans="1:11" x14ac:dyDescent="0.25">
      <c r="A1100" t="s">
        <v>351</v>
      </c>
      <c r="B1100" t="s">
        <v>711</v>
      </c>
      <c r="C1100" t="s">
        <v>637</v>
      </c>
      <c r="G1100" t="s">
        <v>383</v>
      </c>
      <c r="H1100" t="s">
        <v>636</v>
      </c>
      <c r="I1100" t="s">
        <v>169</v>
      </c>
      <c r="J1100" t="s">
        <v>354</v>
      </c>
      <c r="K1100" t="s">
        <v>384</v>
      </c>
    </row>
    <row r="1101" spans="1:11" x14ac:dyDescent="0.25">
      <c r="A1101" t="s">
        <v>351</v>
      </c>
      <c r="B1101" t="s">
        <v>711</v>
      </c>
      <c r="C1101" t="s">
        <v>644</v>
      </c>
      <c r="G1101" t="s">
        <v>383</v>
      </c>
      <c r="H1101" t="s">
        <v>636</v>
      </c>
      <c r="I1101" t="s">
        <v>169</v>
      </c>
      <c r="J1101" t="s">
        <v>354</v>
      </c>
      <c r="K1101" t="s">
        <v>384</v>
      </c>
    </row>
    <row r="1102" spans="1:11" x14ac:dyDescent="0.25">
      <c r="A1102" t="s">
        <v>351</v>
      </c>
      <c r="B1102" t="s">
        <v>711</v>
      </c>
      <c r="C1102" t="s">
        <v>644</v>
      </c>
      <c r="G1102" t="s">
        <v>383</v>
      </c>
      <c r="H1102" t="s">
        <v>636</v>
      </c>
      <c r="I1102" t="s">
        <v>169</v>
      </c>
      <c r="J1102" t="s">
        <v>354</v>
      </c>
      <c r="K1102" t="s">
        <v>384</v>
      </c>
    </row>
    <row r="1103" spans="1:11" x14ac:dyDescent="0.25">
      <c r="A1103" t="s">
        <v>351</v>
      </c>
      <c r="B1103" t="s">
        <v>711</v>
      </c>
      <c r="C1103" t="s">
        <v>644</v>
      </c>
      <c r="G1103" t="s">
        <v>383</v>
      </c>
      <c r="H1103" t="s">
        <v>636</v>
      </c>
      <c r="I1103" t="s">
        <v>169</v>
      </c>
      <c r="J1103" t="s">
        <v>354</v>
      </c>
      <c r="K1103" t="s">
        <v>384</v>
      </c>
    </row>
    <row r="1104" spans="1:11" x14ac:dyDescent="0.25">
      <c r="A1104" t="s">
        <v>351</v>
      </c>
      <c r="B1104" t="s">
        <v>711</v>
      </c>
      <c r="C1104" t="s">
        <v>645</v>
      </c>
      <c r="G1104" t="s">
        <v>383</v>
      </c>
      <c r="H1104" t="s">
        <v>636</v>
      </c>
      <c r="I1104" t="s">
        <v>169</v>
      </c>
      <c r="J1104" t="s">
        <v>354</v>
      </c>
      <c r="K1104" t="s">
        <v>384</v>
      </c>
    </row>
    <row r="1105" spans="1:11" x14ac:dyDescent="0.25">
      <c r="A1105" t="s">
        <v>351</v>
      </c>
      <c r="B1105" t="s">
        <v>711</v>
      </c>
      <c r="C1105" t="s">
        <v>645</v>
      </c>
      <c r="G1105" t="s">
        <v>383</v>
      </c>
      <c r="H1105" t="s">
        <v>636</v>
      </c>
      <c r="I1105" t="s">
        <v>169</v>
      </c>
      <c r="J1105" t="s">
        <v>354</v>
      </c>
      <c r="K1105" t="s">
        <v>384</v>
      </c>
    </row>
    <row r="1106" spans="1:11" x14ac:dyDescent="0.25">
      <c r="A1106" t="s">
        <v>422</v>
      </c>
      <c r="B1106" t="s">
        <v>651</v>
      </c>
      <c r="C1106" t="s">
        <v>634</v>
      </c>
      <c r="D1106" t="s">
        <v>635</v>
      </c>
      <c r="E1106" t="s">
        <v>43</v>
      </c>
      <c r="F1106" t="s">
        <v>53</v>
      </c>
      <c r="G1106" t="s">
        <v>424</v>
      </c>
      <c r="H1106" t="s">
        <v>636</v>
      </c>
      <c r="I1106" t="s">
        <v>169</v>
      </c>
      <c r="J1106" t="s">
        <v>354</v>
      </c>
      <c r="K1106" t="s">
        <v>27</v>
      </c>
    </row>
    <row r="1107" spans="1:11" x14ac:dyDescent="0.25">
      <c r="A1107" t="s">
        <v>422</v>
      </c>
      <c r="B1107" t="s">
        <v>651</v>
      </c>
      <c r="C1107" t="s">
        <v>634</v>
      </c>
      <c r="D1107" t="s">
        <v>635</v>
      </c>
      <c r="E1107" t="s">
        <v>43</v>
      </c>
      <c r="F1107" t="s">
        <v>49</v>
      </c>
      <c r="G1107" t="s">
        <v>424</v>
      </c>
      <c r="H1107" t="s">
        <v>636</v>
      </c>
      <c r="I1107" t="s">
        <v>169</v>
      </c>
      <c r="J1107" t="s">
        <v>354</v>
      </c>
      <c r="K1107" t="s">
        <v>27</v>
      </c>
    </row>
    <row r="1108" spans="1:11" x14ac:dyDescent="0.25">
      <c r="A1108" t="s">
        <v>422</v>
      </c>
      <c r="B1108" t="s">
        <v>651</v>
      </c>
      <c r="C1108" t="s">
        <v>634</v>
      </c>
      <c r="D1108" t="s">
        <v>638</v>
      </c>
      <c r="E1108" t="s">
        <v>43</v>
      </c>
      <c r="F1108" t="s">
        <v>53</v>
      </c>
      <c r="G1108" t="s">
        <v>424</v>
      </c>
      <c r="H1108" t="s">
        <v>636</v>
      </c>
      <c r="I1108" t="s">
        <v>169</v>
      </c>
      <c r="J1108" t="s">
        <v>354</v>
      </c>
      <c r="K1108" t="s">
        <v>27</v>
      </c>
    </row>
    <row r="1109" spans="1:11" x14ac:dyDescent="0.25">
      <c r="A1109" t="s">
        <v>422</v>
      </c>
      <c r="B1109" t="s">
        <v>651</v>
      </c>
      <c r="C1109" t="s">
        <v>637</v>
      </c>
      <c r="D1109" t="s">
        <v>638</v>
      </c>
      <c r="E1109" t="s">
        <v>69</v>
      </c>
      <c r="F1109" t="s">
        <v>47</v>
      </c>
      <c r="G1109" t="s">
        <v>424</v>
      </c>
      <c r="H1109" t="s">
        <v>636</v>
      </c>
      <c r="I1109" t="s">
        <v>169</v>
      </c>
      <c r="J1109" t="s">
        <v>354</v>
      </c>
      <c r="K1109" t="s">
        <v>27</v>
      </c>
    </row>
    <row r="1110" spans="1:11" x14ac:dyDescent="0.25">
      <c r="A1110" t="s">
        <v>422</v>
      </c>
      <c r="B1110" t="s">
        <v>651</v>
      </c>
      <c r="C1110" t="s">
        <v>637</v>
      </c>
      <c r="D1110" t="s">
        <v>638</v>
      </c>
      <c r="E1110" t="s">
        <v>69</v>
      </c>
      <c r="F1110" t="s">
        <v>80</v>
      </c>
      <c r="G1110" t="s">
        <v>424</v>
      </c>
      <c r="H1110" t="s">
        <v>636</v>
      </c>
      <c r="I1110" t="s">
        <v>169</v>
      </c>
      <c r="J1110" t="s">
        <v>354</v>
      </c>
      <c r="K1110" t="s">
        <v>27</v>
      </c>
    </row>
    <row r="1111" spans="1:11" x14ac:dyDescent="0.25">
      <c r="A1111" t="s">
        <v>422</v>
      </c>
      <c r="B1111" t="s">
        <v>651</v>
      </c>
      <c r="C1111" t="s">
        <v>637</v>
      </c>
      <c r="D1111" t="s">
        <v>638</v>
      </c>
      <c r="E1111" t="s">
        <v>71</v>
      </c>
      <c r="F1111" t="s">
        <v>72</v>
      </c>
      <c r="G1111" t="s">
        <v>424</v>
      </c>
      <c r="H1111" t="s">
        <v>636</v>
      </c>
      <c r="I1111" t="s">
        <v>169</v>
      </c>
      <c r="J1111" t="s">
        <v>354</v>
      </c>
      <c r="K1111" t="s">
        <v>27</v>
      </c>
    </row>
    <row r="1112" spans="1:11" x14ac:dyDescent="0.25">
      <c r="A1112" t="s">
        <v>422</v>
      </c>
      <c r="B1112" t="s">
        <v>651</v>
      </c>
      <c r="C1112" t="s">
        <v>644</v>
      </c>
      <c r="D1112" t="s">
        <v>638</v>
      </c>
      <c r="E1112" t="s">
        <v>83</v>
      </c>
      <c r="F1112" t="s">
        <v>101</v>
      </c>
      <c r="G1112" t="s">
        <v>424</v>
      </c>
      <c r="H1112" t="s">
        <v>636</v>
      </c>
      <c r="I1112" t="s">
        <v>169</v>
      </c>
      <c r="J1112" t="s">
        <v>354</v>
      </c>
      <c r="K1112" t="s">
        <v>27</v>
      </c>
    </row>
    <row r="1113" spans="1:11" x14ac:dyDescent="0.25">
      <c r="A1113" t="s">
        <v>422</v>
      </c>
      <c r="B1113" t="s">
        <v>651</v>
      </c>
      <c r="C1113" t="s">
        <v>644</v>
      </c>
      <c r="D1113" t="s">
        <v>638</v>
      </c>
      <c r="E1113" t="s">
        <v>83</v>
      </c>
      <c r="F1113" t="s">
        <v>104</v>
      </c>
      <c r="G1113" t="s">
        <v>424</v>
      </c>
      <c r="H1113" t="s">
        <v>636</v>
      </c>
      <c r="I1113" t="s">
        <v>169</v>
      </c>
      <c r="J1113" t="s">
        <v>354</v>
      </c>
      <c r="K1113" t="s">
        <v>27</v>
      </c>
    </row>
    <row r="1114" spans="1:11" x14ac:dyDescent="0.25">
      <c r="A1114" t="s">
        <v>422</v>
      </c>
      <c r="B1114" t="s">
        <v>651</v>
      </c>
      <c r="C1114" t="s">
        <v>644</v>
      </c>
      <c r="D1114" t="s">
        <v>638</v>
      </c>
      <c r="E1114" t="s">
        <v>46</v>
      </c>
      <c r="F1114" t="s">
        <v>47</v>
      </c>
      <c r="G1114" t="s">
        <v>424</v>
      </c>
      <c r="H1114" t="s">
        <v>636</v>
      </c>
      <c r="I1114" t="s">
        <v>169</v>
      </c>
      <c r="J1114" t="s">
        <v>354</v>
      </c>
      <c r="K1114" t="s">
        <v>27</v>
      </c>
    </row>
    <row r="1115" spans="1:11" x14ac:dyDescent="0.25">
      <c r="A1115" t="s">
        <v>422</v>
      </c>
      <c r="B1115" t="s">
        <v>651</v>
      </c>
      <c r="C1115" t="s">
        <v>645</v>
      </c>
      <c r="D1115" t="s">
        <v>638</v>
      </c>
      <c r="E1115" t="s">
        <v>110</v>
      </c>
      <c r="G1115" t="s">
        <v>424</v>
      </c>
      <c r="H1115" t="s">
        <v>636</v>
      </c>
      <c r="I1115" t="s">
        <v>169</v>
      </c>
      <c r="J1115" t="s">
        <v>354</v>
      </c>
      <c r="K1115" t="s">
        <v>27</v>
      </c>
    </row>
    <row r="1116" spans="1:11" x14ac:dyDescent="0.25">
      <c r="A1116" t="s">
        <v>422</v>
      </c>
      <c r="B1116" t="s">
        <v>651</v>
      </c>
      <c r="C1116" t="s">
        <v>645</v>
      </c>
      <c r="D1116" t="s">
        <v>638</v>
      </c>
      <c r="E1116" t="s">
        <v>63</v>
      </c>
      <c r="F1116" t="s">
        <v>67</v>
      </c>
      <c r="G1116" t="s">
        <v>424</v>
      </c>
      <c r="H1116" t="s">
        <v>636</v>
      </c>
      <c r="I1116" t="s">
        <v>169</v>
      </c>
      <c r="J1116" t="s">
        <v>354</v>
      </c>
      <c r="K1116" t="s">
        <v>27</v>
      </c>
    </row>
    <row r="1117" spans="1:11" x14ac:dyDescent="0.25">
      <c r="A1117" t="s">
        <v>422</v>
      </c>
      <c r="B1117" t="s">
        <v>653</v>
      </c>
      <c r="C1117" t="s">
        <v>634</v>
      </c>
      <c r="D1117" t="s">
        <v>635</v>
      </c>
      <c r="E1117" t="s">
        <v>43</v>
      </c>
      <c r="F1117" t="s">
        <v>49</v>
      </c>
      <c r="G1117" t="s">
        <v>426</v>
      </c>
      <c r="H1117" t="s">
        <v>636</v>
      </c>
      <c r="I1117" t="s">
        <v>169</v>
      </c>
      <c r="J1117" t="s">
        <v>354</v>
      </c>
      <c r="K1117" t="s">
        <v>15</v>
      </c>
    </row>
    <row r="1118" spans="1:11" x14ac:dyDescent="0.25">
      <c r="A1118" t="s">
        <v>422</v>
      </c>
      <c r="B1118" t="s">
        <v>653</v>
      </c>
      <c r="C1118" t="s">
        <v>634</v>
      </c>
      <c r="D1118" t="s">
        <v>635</v>
      </c>
      <c r="E1118" t="s">
        <v>43</v>
      </c>
      <c r="F1118" t="s">
        <v>44</v>
      </c>
      <c r="G1118" t="s">
        <v>426</v>
      </c>
      <c r="H1118" t="s">
        <v>636</v>
      </c>
      <c r="I1118" t="s">
        <v>169</v>
      </c>
      <c r="J1118" t="s">
        <v>354</v>
      </c>
      <c r="K1118" t="s">
        <v>15</v>
      </c>
    </row>
    <row r="1119" spans="1:11" x14ac:dyDescent="0.25">
      <c r="A1119" t="s">
        <v>422</v>
      </c>
      <c r="B1119" t="s">
        <v>653</v>
      </c>
      <c r="C1119" t="s">
        <v>634</v>
      </c>
      <c r="D1119" t="s">
        <v>638</v>
      </c>
      <c r="E1119" t="s">
        <v>69</v>
      </c>
      <c r="F1119" t="s">
        <v>74</v>
      </c>
      <c r="G1119" t="s">
        <v>426</v>
      </c>
      <c r="H1119" t="s">
        <v>636</v>
      </c>
      <c r="I1119" t="s">
        <v>169</v>
      </c>
      <c r="J1119" t="s">
        <v>354</v>
      </c>
      <c r="K1119" t="s">
        <v>15</v>
      </c>
    </row>
    <row r="1120" spans="1:11" x14ac:dyDescent="0.25">
      <c r="A1120" t="s">
        <v>422</v>
      </c>
      <c r="B1120" t="s">
        <v>653</v>
      </c>
      <c r="C1120" t="s">
        <v>634</v>
      </c>
      <c r="D1120" t="s">
        <v>638</v>
      </c>
      <c r="E1120" t="s">
        <v>83</v>
      </c>
      <c r="F1120" t="s">
        <v>104</v>
      </c>
      <c r="G1120" t="s">
        <v>426</v>
      </c>
      <c r="H1120" t="s">
        <v>636</v>
      </c>
      <c r="I1120" t="s">
        <v>169</v>
      </c>
      <c r="J1120" t="s">
        <v>354</v>
      </c>
      <c r="K1120" t="s">
        <v>15</v>
      </c>
    </row>
    <row r="1121" spans="1:11" x14ac:dyDescent="0.25">
      <c r="A1121" t="s">
        <v>422</v>
      </c>
      <c r="B1121" t="s">
        <v>653</v>
      </c>
      <c r="C1121" t="s">
        <v>634</v>
      </c>
      <c r="D1121" t="s">
        <v>638</v>
      </c>
      <c r="E1121" t="s">
        <v>46</v>
      </c>
      <c r="F1121" t="s">
        <v>106</v>
      </c>
      <c r="G1121" t="s">
        <v>426</v>
      </c>
      <c r="H1121" t="s">
        <v>636</v>
      </c>
      <c r="I1121" t="s">
        <v>169</v>
      </c>
      <c r="J1121" t="s">
        <v>354</v>
      </c>
      <c r="K1121" t="s">
        <v>15</v>
      </c>
    </row>
    <row r="1122" spans="1:11" x14ac:dyDescent="0.25">
      <c r="A1122" t="s">
        <v>422</v>
      </c>
      <c r="B1122" t="s">
        <v>653</v>
      </c>
      <c r="C1122" t="s">
        <v>634</v>
      </c>
      <c r="D1122" t="s">
        <v>640</v>
      </c>
      <c r="E1122" t="s">
        <v>63</v>
      </c>
      <c r="F1122" t="s">
        <v>67</v>
      </c>
      <c r="G1122" t="s">
        <v>426</v>
      </c>
      <c r="H1122" t="s">
        <v>636</v>
      </c>
      <c r="I1122" t="s">
        <v>169</v>
      </c>
      <c r="J1122" t="s">
        <v>354</v>
      </c>
      <c r="K1122" t="s">
        <v>15</v>
      </c>
    </row>
    <row r="1123" spans="1:11" x14ac:dyDescent="0.25">
      <c r="A1123" t="s">
        <v>422</v>
      </c>
      <c r="B1123" t="s">
        <v>653</v>
      </c>
      <c r="C1123" t="s">
        <v>637</v>
      </c>
      <c r="D1123" t="s">
        <v>635</v>
      </c>
      <c r="E1123" t="s">
        <v>43</v>
      </c>
      <c r="F1123" t="s">
        <v>49</v>
      </c>
      <c r="G1123" t="s">
        <v>426</v>
      </c>
      <c r="H1123" t="s">
        <v>636</v>
      </c>
      <c r="I1123" t="s">
        <v>169</v>
      </c>
      <c r="J1123" t="s">
        <v>354</v>
      </c>
      <c r="K1123" t="s">
        <v>15</v>
      </c>
    </row>
    <row r="1124" spans="1:11" x14ac:dyDescent="0.25">
      <c r="A1124" t="s">
        <v>422</v>
      </c>
      <c r="B1124" t="s">
        <v>653</v>
      </c>
      <c r="C1124" t="s">
        <v>637</v>
      </c>
      <c r="D1124" t="s">
        <v>638</v>
      </c>
      <c r="E1124" t="s">
        <v>43</v>
      </c>
      <c r="F1124" t="s">
        <v>49</v>
      </c>
      <c r="G1124" t="s">
        <v>426</v>
      </c>
      <c r="H1124" t="s">
        <v>636</v>
      </c>
      <c r="I1124" t="s">
        <v>169</v>
      </c>
      <c r="J1124" t="s">
        <v>354</v>
      </c>
      <c r="K1124" t="s">
        <v>15</v>
      </c>
    </row>
    <row r="1125" spans="1:11" x14ac:dyDescent="0.25">
      <c r="A1125" t="s">
        <v>422</v>
      </c>
      <c r="B1125" t="s">
        <v>653</v>
      </c>
      <c r="C1125" t="s">
        <v>637</v>
      </c>
      <c r="D1125" t="s">
        <v>638</v>
      </c>
      <c r="E1125" t="s">
        <v>43</v>
      </c>
      <c r="F1125" t="s">
        <v>44</v>
      </c>
      <c r="G1125" t="s">
        <v>426</v>
      </c>
      <c r="H1125" t="s">
        <v>636</v>
      </c>
      <c r="I1125" t="s">
        <v>169</v>
      </c>
      <c r="J1125" t="s">
        <v>354</v>
      </c>
      <c r="K1125" t="s">
        <v>15</v>
      </c>
    </row>
    <row r="1126" spans="1:11" x14ac:dyDescent="0.25">
      <c r="A1126" t="s">
        <v>422</v>
      </c>
      <c r="B1126" t="s">
        <v>653</v>
      </c>
      <c r="C1126" t="s">
        <v>637</v>
      </c>
      <c r="D1126" t="s">
        <v>640</v>
      </c>
      <c r="E1126" t="s">
        <v>71</v>
      </c>
      <c r="F1126" t="s">
        <v>88</v>
      </c>
      <c r="G1126" t="s">
        <v>426</v>
      </c>
      <c r="H1126" t="s">
        <v>636</v>
      </c>
      <c r="I1126" t="s">
        <v>169</v>
      </c>
      <c r="J1126" t="s">
        <v>354</v>
      </c>
      <c r="K1126" t="s">
        <v>15</v>
      </c>
    </row>
    <row r="1127" spans="1:11" x14ac:dyDescent="0.25">
      <c r="A1127" t="s">
        <v>422</v>
      </c>
      <c r="B1127" t="s">
        <v>665</v>
      </c>
      <c r="C1127" t="s">
        <v>634</v>
      </c>
      <c r="D1127" t="s">
        <v>635</v>
      </c>
      <c r="E1127" t="s">
        <v>69</v>
      </c>
      <c r="F1127" t="s">
        <v>74</v>
      </c>
      <c r="G1127" t="s">
        <v>444</v>
      </c>
      <c r="H1127" t="s">
        <v>636</v>
      </c>
      <c r="I1127" t="s">
        <v>169</v>
      </c>
      <c r="J1127" t="s">
        <v>354</v>
      </c>
      <c r="K1127" t="s">
        <v>19</v>
      </c>
    </row>
    <row r="1128" spans="1:11" x14ac:dyDescent="0.25">
      <c r="A1128" t="s">
        <v>422</v>
      </c>
      <c r="B1128" t="s">
        <v>665</v>
      </c>
      <c r="C1128" t="s">
        <v>634</v>
      </c>
      <c r="D1128" t="s">
        <v>635</v>
      </c>
      <c r="E1128" t="s">
        <v>69</v>
      </c>
      <c r="F1128" t="s">
        <v>82</v>
      </c>
      <c r="G1128" t="s">
        <v>444</v>
      </c>
      <c r="H1128" t="s">
        <v>636</v>
      </c>
      <c r="I1128" t="s">
        <v>169</v>
      </c>
      <c r="J1128" t="s">
        <v>354</v>
      </c>
      <c r="K1128" t="s">
        <v>19</v>
      </c>
    </row>
    <row r="1129" spans="1:11" x14ac:dyDescent="0.25">
      <c r="A1129" t="s">
        <v>422</v>
      </c>
      <c r="B1129" t="s">
        <v>665</v>
      </c>
      <c r="C1129" t="s">
        <v>634</v>
      </c>
      <c r="D1129" t="s">
        <v>635</v>
      </c>
      <c r="E1129" t="s">
        <v>71</v>
      </c>
      <c r="F1129" t="s">
        <v>99</v>
      </c>
      <c r="G1129" t="s">
        <v>444</v>
      </c>
      <c r="H1129" t="s">
        <v>636</v>
      </c>
      <c r="I1129" t="s">
        <v>169</v>
      </c>
      <c r="J1129" t="s">
        <v>354</v>
      </c>
      <c r="K1129" t="s">
        <v>19</v>
      </c>
    </row>
    <row r="1130" spans="1:11" x14ac:dyDescent="0.25">
      <c r="A1130" t="s">
        <v>422</v>
      </c>
      <c r="B1130" t="s">
        <v>665</v>
      </c>
      <c r="C1130" t="s">
        <v>637</v>
      </c>
      <c r="D1130" t="s">
        <v>635</v>
      </c>
      <c r="E1130" t="s">
        <v>71</v>
      </c>
      <c r="F1130" t="s">
        <v>88</v>
      </c>
      <c r="G1130" t="s">
        <v>444</v>
      </c>
      <c r="H1130" t="s">
        <v>636</v>
      </c>
      <c r="I1130" t="s">
        <v>169</v>
      </c>
      <c r="J1130" t="s">
        <v>354</v>
      </c>
      <c r="K1130" t="s">
        <v>19</v>
      </c>
    </row>
    <row r="1131" spans="1:11" x14ac:dyDescent="0.25">
      <c r="A1131" t="s">
        <v>422</v>
      </c>
      <c r="B1131" t="s">
        <v>665</v>
      </c>
      <c r="C1131" t="s">
        <v>637</v>
      </c>
      <c r="D1131" t="s">
        <v>638</v>
      </c>
      <c r="E1131" t="s">
        <v>43</v>
      </c>
      <c r="F1131" t="s">
        <v>49</v>
      </c>
      <c r="G1131" t="s">
        <v>444</v>
      </c>
      <c r="H1131" t="s">
        <v>636</v>
      </c>
      <c r="I1131" t="s">
        <v>169</v>
      </c>
      <c r="J1131" t="s">
        <v>354</v>
      </c>
      <c r="K1131" t="s">
        <v>19</v>
      </c>
    </row>
    <row r="1132" spans="1:11" x14ac:dyDescent="0.25">
      <c r="A1132" t="s">
        <v>422</v>
      </c>
      <c r="B1132" t="s">
        <v>665</v>
      </c>
      <c r="C1132" t="s">
        <v>637</v>
      </c>
      <c r="D1132" t="s">
        <v>638</v>
      </c>
      <c r="E1132" t="s">
        <v>43</v>
      </c>
      <c r="F1132" t="s">
        <v>44</v>
      </c>
      <c r="G1132" t="s">
        <v>444</v>
      </c>
      <c r="H1132" t="s">
        <v>636</v>
      </c>
      <c r="I1132" t="s">
        <v>169</v>
      </c>
      <c r="J1132" t="s">
        <v>354</v>
      </c>
      <c r="K1132" t="s">
        <v>19</v>
      </c>
    </row>
    <row r="1133" spans="1:11" x14ac:dyDescent="0.25">
      <c r="A1133" t="s">
        <v>422</v>
      </c>
      <c r="B1133" t="s">
        <v>665</v>
      </c>
      <c r="C1133" t="s">
        <v>644</v>
      </c>
      <c r="D1133" t="s">
        <v>638</v>
      </c>
      <c r="E1133" t="s">
        <v>43</v>
      </c>
      <c r="F1133" t="s">
        <v>57</v>
      </c>
      <c r="G1133" t="s">
        <v>444</v>
      </c>
      <c r="H1133" t="s">
        <v>636</v>
      </c>
      <c r="I1133" t="s">
        <v>169</v>
      </c>
      <c r="J1133" t="s">
        <v>354</v>
      </c>
      <c r="K1133" t="s">
        <v>19</v>
      </c>
    </row>
    <row r="1134" spans="1:11" x14ac:dyDescent="0.25">
      <c r="A1134" t="s">
        <v>422</v>
      </c>
      <c r="B1134" t="s">
        <v>665</v>
      </c>
      <c r="C1134" t="s">
        <v>644</v>
      </c>
      <c r="D1134" t="s">
        <v>638</v>
      </c>
      <c r="E1134" t="s">
        <v>46</v>
      </c>
      <c r="F1134" t="s">
        <v>124</v>
      </c>
      <c r="G1134" t="s">
        <v>444</v>
      </c>
      <c r="H1134" t="s">
        <v>636</v>
      </c>
      <c r="I1134" t="s">
        <v>169</v>
      </c>
      <c r="J1134" t="s">
        <v>354</v>
      </c>
      <c r="K1134" t="s">
        <v>19</v>
      </c>
    </row>
    <row r="1135" spans="1:11" x14ac:dyDescent="0.25">
      <c r="A1135" t="s">
        <v>422</v>
      </c>
      <c r="B1135" t="s">
        <v>665</v>
      </c>
      <c r="C1135" t="s">
        <v>644</v>
      </c>
      <c r="D1135" t="s">
        <v>640</v>
      </c>
      <c r="E1135" t="s">
        <v>83</v>
      </c>
      <c r="F1135" t="s">
        <v>104</v>
      </c>
      <c r="G1135" t="s">
        <v>444</v>
      </c>
      <c r="H1135" t="s">
        <v>636</v>
      </c>
      <c r="I1135" t="s">
        <v>169</v>
      </c>
      <c r="J1135" t="s">
        <v>354</v>
      </c>
      <c r="K1135" t="s">
        <v>19</v>
      </c>
    </row>
    <row r="1136" spans="1:11" x14ac:dyDescent="0.25">
      <c r="A1136" t="s">
        <v>422</v>
      </c>
      <c r="B1136" t="s">
        <v>665</v>
      </c>
      <c r="C1136" t="s">
        <v>645</v>
      </c>
      <c r="D1136" t="s">
        <v>640</v>
      </c>
      <c r="E1136" t="s">
        <v>46</v>
      </c>
      <c r="F1136" t="s">
        <v>47</v>
      </c>
      <c r="G1136" t="s">
        <v>444</v>
      </c>
      <c r="H1136" t="s">
        <v>636</v>
      </c>
      <c r="I1136" t="s">
        <v>169</v>
      </c>
      <c r="J1136" t="s">
        <v>354</v>
      </c>
      <c r="K1136" t="s">
        <v>19</v>
      </c>
    </row>
    <row r="1137" spans="1:11" x14ac:dyDescent="0.25">
      <c r="A1137" t="s">
        <v>422</v>
      </c>
      <c r="B1137" t="s">
        <v>665</v>
      </c>
      <c r="C1137" t="s">
        <v>645</v>
      </c>
      <c r="D1137" t="s">
        <v>640</v>
      </c>
      <c r="E1137" t="s">
        <v>110</v>
      </c>
      <c r="F1137" t="s">
        <v>142</v>
      </c>
      <c r="G1137" t="s">
        <v>444</v>
      </c>
      <c r="H1137" t="s">
        <v>636</v>
      </c>
      <c r="I1137" t="s">
        <v>169</v>
      </c>
      <c r="J1137" t="s">
        <v>354</v>
      </c>
      <c r="K1137" t="s">
        <v>19</v>
      </c>
    </row>
    <row r="1138" spans="1:11" x14ac:dyDescent="0.25">
      <c r="A1138" t="s">
        <v>385</v>
      </c>
      <c r="B1138" t="s">
        <v>712</v>
      </c>
      <c r="C1138" t="s">
        <v>634</v>
      </c>
      <c r="D1138" t="s">
        <v>635</v>
      </c>
      <c r="E1138" t="s">
        <v>43</v>
      </c>
      <c r="F1138" t="s">
        <v>44</v>
      </c>
      <c r="G1138" t="s">
        <v>387</v>
      </c>
      <c r="H1138" t="s">
        <v>636</v>
      </c>
      <c r="I1138" t="s">
        <v>233</v>
      </c>
      <c r="J1138" t="s">
        <v>388</v>
      </c>
      <c r="K1138" t="s">
        <v>241</v>
      </c>
    </row>
    <row r="1139" spans="1:11" x14ac:dyDescent="0.25">
      <c r="A1139" t="s">
        <v>385</v>
      </c>
      <c r="B1139" t="s">
        <v>712</v>
      </c>
      <c r="C1139" t="s">
        <v>634</v>
      </c>
      <c r="D1139" t="s">
        <v>635</v>
      </c>
      <c r="E1139" t="s">
        <v>83</v>
      </c>
      <c r="F1139" t="s">
        <v>103</v>
      </c>
      <c r="G1139" t="s">
        <v>387</v>
      </c>
      <c r="H1139" t="s">
        <v>636</v>
      </c>
      <c r="I1139" t="s">
        <v>233</v>
      </c>
      <c r="J1139" t="s">
        <v>388</v>
      </c>
      <c r="K1139" t="s">
        <v>241</v>
      </c>
    </row>
    <row r="1140" spans="1:11" x14ac:dyDescent="0.25">
      <c r="A1140" t="s">
        <v>385</v>
      </c>
      <c r="B1140" t="s">
        <v>712</v>
      </c>
      <c r="C1140" t="s">
        <v>634</v>
      </c>
      <c r="D1140" t="s">
        <v>641</v>
      </c>
      <c r="E1140" t="s">
        <v>46</v>
      </c>
      <c r="F1140" t="s">
        <v>47</v>
      </c>
      <c r="G1140" t="s">
        <v>387</v>
      </c>
      <c r="H1140" t="s">
        <v>636</v>
      </c>
      <c r="I1140" t="s">
        <v>233</v>
      </c>
      <c r="J1140" t="s">
        <v>388</v>
      </c>
      <c r="K1140" t="s">
        <v>241</v>
      </c>
    </row>
    <row r="1141" spans="1:11" x14ac:dyDescent="0.25">
      <c r="A1141" t="s">
        <v>385</v>
      </c>
      <c r="B1141" t="s">
        <v>712</v>
      </c>
      <c r="C1141" t="s">
        <v>634</v>
      </c>
      <c r="D1141" t="s">
        <v>641</v>
      </c>
      <c r="E1141" t="s">
        <v>69</v>
      </c>
      <c r="F1141" t="s">
        <v>79</v>
      </c>
      <c r="G1141" t="s">
        <v>387</v>
      </c>
      <c r="H1141" t="s">
        <v>636</v>
      </c>
      <c r="I1141" t="s">
        <v>233</v>
      </c>
      <c r="J1141" t="s">
        <v>388</v>
      </c>
      <c r="K1141" t="s">
        <v>241</v>
      </c>
    </row>
    <row r="1142" spans="1:11" x14ac:dyDescent="0.25">
      <c r="A1142" t="s">
        <v>385</v>
      </c>
      <c r="B1142" t="s">
        <v>712</v>
      </c>
      <c r="C1142" t="s">
        <v>637</v>
      </c>
      <c r="D1142" t="s">
        <v>638</v>
      </c>
      <c r="E1142" t="s">
        <v>59</v>
      </c>
      <c r="F1142" t="s">
        <v>60</v>
      </c>
      <c r="G1142" t="s">
        <v>387</v>
      </c>
      <c r="H1142" t="s">
        <v>636</v>
      </c>
      <c r="I1142" t="s">
        <v>233</v>
      </c>
      <c r="J1142" t="s">
        <v>388</v>
      </c>
      <c r="K1142" t="s">
        <v>241</v>
      </c>
    </row>
    <row r="1143" spans="1:11" x14ac:dyDescent="0.25">
      <c r="A1143" t="s">
        <v>385</v>
      </c>
      <c r="B1143" t="s">
        <v>712</v>
      </c>
      <c r="C1143" t="s">
        <v>637</v>
      </c>
      <c r="D1143" t="s">
        <v>640</v>
      </c>
      <c r="E1143" t="s">
        <v>71</v>
      </c>
      <c r="F1143" t="s">
        <v>88</v>
      </c>
      <c r="G1143" t="s">
        <v>387</v>
      </c>
      <c r="H1143" t="s">
        <v>636</v>
      </c>
      <c r="I1143" t="s">
        <v>233</v>
      </c>
      <c r="J1143" t="s">
        <v>388</v>
      </c>
      <c r="K1143" t="s">
        <v>241</v>
      </c>
    </row>
    <row r="1144" spans="1:11" x14ac:dyDescent="0.25">
      <c r="A1144" t="s">
        <v>385</v>
      </c>
      <c r="B1144" t="s">
        <v>712</v>
      </c>
      <c r="C1144" t="s">
        <v>637</v>
      </c>
      <c r="D1144" t="s">
        <v>640</v>
      </c>
      <c r="E1144" t="s">
        <v>160</v>
      </c>
      <c r="F1144" t="s">
        <v>165</v>
      </c>
      <c r="G1144" t="s">
        <v>387</v>
      </c>
      <c r="H1144" t="s">
        <v>636</v>
      </c>
      <c r="I1144" t="s">
        <v>233</v>
      </c>
      <c r="J1144" t="s">
        <v>388</v>
      </c>
      <c r="K1144" t="s">
        <v>241</v>
      </c>
    </row>
    <row r="1145" spans="1:11" x14ac:dyDescent="0.25">
      <c r="A1145" t="s">
        <v>385</v>
      </c>
      <c r="B1145" t="s">
        <v>712</v>
      </c>
      <c r="C1145" t="s">
        <v>637</v>
      </c>
      <c r="D1145" t="s">
        <v>640</v>
      </c>
      <c r="E1145" t="s">
        <v>93</v>
      </c>
      <c r="F1145" t="s">
        <v>94</v>
      </c>
      <c r="G1145" t="s">
        <v>387</v>
      </c>
      <c r="H1145" t="s">
        <v>636</v>
      </c>
      <c r="I1145" t="s">
        <v>233</v>
      </c>
      <c r="J1145" t="s">
        <v>388</v>
      </c>
      <c r="K1145" t="s">
        <v>241</v>
      </c>
    </row>
    <row r="1146" spans="1:11" x14ac:dyDescent="0.25">
      <c r="A1146" t="s">
        <v>385</v>
      </c>
      <c r="B1146" t="s">
        <v>712</v>
      </c>
      <c r="C1146" t="s">
        <v>637</v>
      </c>
      <c r="D1146" t="s">
        <v>679</v>
      </c>
      <c r="E1146" t="s">
        <v>63</v>
      </c>
      <c r="F1146" t="s">
        <v>67</v>
      </c>
      <c r="G1146" t="s">
        <v>387</v>
      </c>
      <c r="H1146" t="s">
        <v>636</v>
      </c>
      <c r="I1146" t="s">
        <v>233</v>
      </c>
      <c r="J1146" t="s">
        <v>388</v>
      </c>
      <c r="K1146" t="s">
        <v>241</v>
      </c>
    </row>
    <row r="1147" spans="1:11" x14ac:dyDescent="0.25">
      <c r="A1147" t="s">
        <v>385</v>
      </c>
      <c r="B1147" t="s">
        <v>712</v>
      </c>
      <c r="C1147" t="s">
        <v>637</v>
      </c>
      <c r="D1147" t="s">
        <v>679</v>
      </c>
      <c r="E1147" t="s">
        <v>110</v>
      </c>
      <c r="F1147" t="s">
        <v>142</v>
      </c>
      <c r="G1147" t="s">
        <v>387</v>
      </c>
      <c r="H1147" t="s">
        <v>636</v>
      </c>
      <c r="I1147" t="s">
        <v>233</v>
      </c>
      <c r="J1147" t="s">
        <v>388</v>
      </c>
      <c r="K1147" t="s">
        <v>241</v>
      </c>
    </row>
    <row r="1148" spans="1:11" x14ac:dyDescent="0.25">
      <c r="A1148" t="s">
        <v>385</v>
      </c>
      <c r="B1148" t="s">
        <v>713</v>
      </c>
      <c r="C1148" t="s">
        <v>634</v>
      </c>
      <c r="D1148" t="s">
        <v>635</v>
      </c>
      <c r="E1148" t="s">
        <v>43</v>
      </c>
      <c r="F1148" t="s">
        <v>53</v>
      </c>
      <c r="G1148" t="s">
        <v>390</v>
      </c>
      <c r="H1148" t="s">
        <v>636</v>
      </c>
      <c r="I1148" t="s">
        <v>233</v>
      </c>
      <c r="J1148" t="s">
        <v>388</v>
      </c>
      <c r="K1148" t="s">
        <v>391</v>
      </c>
    </row>
    <row r="1149" spans="1:11" x14ac:dyDescent="0.25">
      <c r="A1149" t="s">
        <v>385</v>
      </c>
      <c r="B1149" t="s">
        <v>713</v>
      </c>
      <c r="C1149" t="s">
        <v>634</v>
      </c>
      <c r="D1149" t="s">
        <v>635</v>
      </c>
      <c r="E1149" t="s">
        <v>43</v>
      </c>
      <c r="F1149" t="s">
        <v>57</v>
      </c>
      <c r="G1149" t="s">
        <v>390</v>
      </c>
      <c r="H1149" t="s">
        <v>636</v>
      </c>
      <c r="I1149" t="s">
        <v>233</v>
      </c>
      <c r="J1149" t="s">
        <v>388</v>
      </c>
      <c r="K1149" t="s">
        <v>391</v>
      </c>
    </row>
    <row r="1150" spans="1:11" x14ac:dyDescent="0.25">
      <c r="A1150" t="s">
        <v>385</v>
      </c>
      <c r="B1150" t="s">
        <v>713</v>
      </c>
      <c r="C1150" t="s">
        <v>634</v>
      </c>
      <c r="D1150" t="s">
        <v>638</v>
      </c>
      <c r="E1150" t="s">
        <v>46</v>
      </c>
      <c r="F1150" t="s">
        <v>47</v>
      </c>
      <c r="G1150" t="s">
        <v>390</v>
      </c>
      <c r="H1150" t="s">
        <v>636</v>
      </c>
      <c r="I1150" t="s">
        <v>233</v>
      </c>
      <c r="J1150" t="s">
        <v>388</v>
      </c>
      <c r="K1150" t="s">
        <v>391</v>
      </c>
    </row>
    <row r="1151" spans="1:11" x14ac:dyDescent="0.25">
      <c r="A1151" t="s">
        <v>385</v>
      </c>
      <c r="B1151" t="s">
        <v>713</v>
      </c>
      <c r="C1151" t="s">
        <v>637</v>
      </c>
      <c r="D1151" t="s">
        <v>638</v>
      </c>
      <c r="E1151" t="s">
        <v>43</v>
      </c>
      <c r="F1151" t="s">
        <v>44</v>
      </c>
      <c r="G1151" t="s">
        <v>390</v>
      </c>
      <c r="H1151" t="s">
        <v>636</v>
      </c>
      <c r="I1151" t="s">
        <v>233</v>
      </c>
      <c r="J1151" t="s">
        <v>388</v>
      </c>
      <c r="K1151" t="s">
        <v>391</v>
      </c>
    </row>
    <row r="1152" spans="1:11" x14ac:dyDescent="0.25">
      <c r="A1152" t="s">
        <v>385</v>
      </c>
      <c r="B1152" t="s">
        <v>713</v>
      </c>
      <c r="C1152" t="s">
        <v>637</v>
      </c>
      <c r="D1152" t="s">
        <v>640</v>
      </c>
      <c r="E1152" t="s">
        <v>46</v>
      </c>
      <c r="F1152" t="s">
        <v>47</v>
      </c>
      <c r="G1152" t="s">
        <v>390</v>
      </c>
      <c r="H1152" t="s">
        <v>636</v>
      </c>
      <c r="I1152" t="s">
        <v>233</v>
      </c>
      <c r="J1152" t="s">
        <v>388</v>
      </c>
      <c r="K1152" t="s">
        <v>391</v>
      </c>
    </row>
    <row r="1153" spans="1:11" x14ac:dyDescent="0.25">
      <c r="A1153" t="s">
        <v>385</v>
      </c>
      <c r="B1153" t="s">
        <v>713</v>
      </c>
      <c r="C1153" t="s">
        <v>637</v>
      </c>
      <c r="D1153" t="s">
        <v>640</v>
      </c>
      <c r="E1153" t="s">
        <v>83</v>
      </c>
      <c r="F1153" t="s">
        <v>84</v>
      </c>
      <c r="G1153" t="s">
        <v>390</v>
      </c>
      <c r="H1153" t="s">
        <v>636</v>
      </c>
      <c r="I1153" t="s">
        <v>233</v>
      </c>
      <c r="J1153" t="s">
        <v>388</v>
      </c>
      <c r="K1153" t="s">
        <v>391</v>
      </c>
    </row>
    <row r="1154" spans="1:11" x14ac:dyDescent="0.25">
      <c r="A1154" t="s">
        <v>385</v>
      </c>
      <c r="B1154" t="s">
        <v>713</v>
      </c>
      <c r="C1154" t="s">
        <v>637</v>
      </c>
      <c r="G1154" t="s">
        <v>390</v>
      </c>
      <c r="H1154" t="s">
        <v>636</v>
      </c>
      <c r="I1154" t="s">
        <v>233</v>
      </c>
      <c r="J1154" t="s">
        <v>388</v>
      </c>
      <c r="K1154" t="s">
        <v>391</v>
      </c>
    </row>
    <row r="1155" spans="1:11" x14ac:dyDescent="0.25">
      <c r="A1155" t="s">
        <v>385</v>
      </c>
      <c r="B1155" t="s">
        <v>713</v>
      </c>
      <c r="C1155" t="s">
        <v>644</v>
      </c>
      <c r="G1155" t="s">
        <v>390</v>
      </c>
      <c r="H1155" t="s">
        <v>636</v>
      </c>
      <c r="I1155" t="s">
        <v>233</v>
      </c>
      <c r="J1155" t="s">
        <v>388</v>
      </c>
      <c r="K1155" t="s">
        <v>391</v>
      </c>
    </row>
    <row r="1156" spans="1:11" x14ac:dyDescent="0.25">
      <c r="A1156" t="s">
        <v>385</v>
      </c>
      <c r="B1156" t="s">
        <v>713</v>
      </c>
      <c r="C1156" t="s">
        <v>645</v>
      </c>
      <c r="G1156" t="s">
        <v>390</v>
      </c>
      <c r="H1156" t="s">
        <v>636</v>
      </c>
      <c r="I1156" t="s">
        <v>233</v>
      </c>
      <c r="J1156" t="s">
        <v>388</v>
      </c>
      <c r="K1156" t="s">
        <v>391</v>
      </c>
    </row>
    <row r="1157" spans="1:11" x14ac:dyDescent="0.25">
      <c r="A1157" t="s">
        <v>385</v>
      </c>
      <c r="B1157" t="s">
        <v>713</v>
      </c>
      <c r="C1157" t="s">
        <v>645</v>
      </c>
      <c r="G1157" t="s">
        <v>390</v>
      </c>
      <c r="H1157" t="s">
        <v>636</v>
      </c>
      <c r="I1157" t="s">
        <v>233</v>
      </c>
      <c r="J1157" t="s">
        <v>388</v>
      </c>
      <c r="K1157" t="s">
        <v>391</v>
      </c>
    </row>
    <row r="1158" spans="1:11" x14ac:dyDescent="0.25">
      <c r="A1158" t="s">
        <v>385</v>
      </c>
      <c r="B1158" t="s">
        <v>714</v>
      </c>
      <c r="C1158" t="s">
        <v>634</v>
      </c>
      <c r="D1158" t="s">
        <v>635</v>
      </c>
      <c r="E1158" t="s">
        <v>43</v>
      </c>
      <c r="F1158" t="s">
        <v>53</v>
      </c>
      <c r="G1158" t="s">
        <v>393</v>
      </c>
      <c r="H1158" t="s">
        <v>636</v>
      </c>
      <c r="I1158" t="s">
        <v>233</v>
      </c>
      <c r="J1158" t="s">
        <v>388</v>
      </c>
      <c r="K1158" t="s">
        <v>394</v>
      </c>
    </row>
    <row r="1159" spans="1:11" x14ac:dyDescent="0.25">
      <c r="A1159" t="s">
        <v>385</v>
      </c>
      <c r="B1159" t="s">
        <v>714</v>
      </c>
      <c r="C1159" t="s">
        <v>634</v>
      </c>
      <c r="D1159" t="s">
        <v>635</v>
      </c>
      <c r="E1159" t="s">
        <v>43</v>
      </c>
      <c r="F1159" t="s">
        <v>49</v>
      </c>
      <c r="G1159" t="s">
        <v>393</v>
      </c>
      <c r="H1159" t="s">
        <v>636</v>
      </c>
      <c r="I1159" t="s">
        <v>233</v>
      </c>
      <c r="J1159" t="s">
        <v>388</v>
      </c>
      <c r="K1159" t="s">
        <v>394</v>
      </c>
    </row>
    <row r="1160" spans="1:11" x14ac:dyDescent="0.25">
      <c r="A1160" t="s">
        <v>385</v>
      </c>
      <c r="B1160" t="s">
        <v>714</v>
      </c>
      <c r="C1160" t="s">
        <v>634</v>
      </c>
      <c r="D1160" t="s">
        <v>635</v>
      </c>
      <c r="E1160" t="s">
        <v>46</v>
      </c>
      <c r="F1160" t="s">
        <v>47</v>
      </c>
      <c r="G1160" t="s">
        <v>393</v>
      </c>
      <c r="H1160" t="s">
        <v>636</v>
      </c>
      <c r="I1160" t="s">
        <v>233</v>
      </c>
      <c r="J1160" t="s">
        <v>388</v>
      </c>
      <c r="K1160" t="s">
        <v>394</v>
      </c>
    </row>
    <row r="1161" spans="1:11" x14ac:dyDescent="0.25">
      <c r="A1161" t="s">
        <v>385</v>
      </c>
      <c r="B1161" t="s">
        <v>714</v>
      </c>
      <c r="C1161" t="s">
        <v>637</v>
      </c>
      <c r="D1161" t="s">
        <v>638</v>
      </c>
      <c r="E1161" t="s">
        <v>43</v>
      </c>
      <c r="F1161" t="s">
        <v>49</v>
      </c>
      <c r="G1161" t="s">
        <v>393</v>
      </c>
      <c r="H1161" t="s">
        <v>636</v>
      </c>
      <c r="I1161" t="s">
        <v>233</v>
      </c>
      <c r="J1161" t="s">
        <v>388</v>
      </c>
      <c r="K1161" t="s">
        <v>394</v>
      </c>
    </row>
    <row r="1162" spans="1:11" x14ac:dyDescent="0.25">
      <c r="A1162" t="s">
        <v>385</v>
      </c>
      <c r="B1162" t="s">
        <v>714</v>
      </c>
      <c r="C1162" t="s">
        <v>637</v>
      </c>
      <c r="D1162" t="s">
        <v>638</v>
      </c>
      <c r="E1162" t="s">
        <v>43</v>
      </c>
      <c r="F1162" t="s">
        <v>66</v>
      </c>
      <c r="G1162" t="s">
        <v>393</v>
      </c>
      <c r="H1162" t="s">
        <v>636</v>
      </c>
      <c r="I1162" t="s">
        <v>233</v>
      </c>
      <c r="J1162" t="s">
        <v>388</v>
      </c>
      <c r="K1162" t="s">
        <v>394</v>
      </c>
    </row>
    <row r="1163" spans="1:11" x14ac:dyDescent="0.25">
      <c r="A1163" t="s">
        <v>385</v>
      </c>
      <c r="B1163" t="s">
        <v>714</v>
      </c>
      <c r="C1163" t="s">
        <v>637</v>
      </c>
      <c r="G1163" t="s">
        <v>393</v>
      </c>
      <c r="H1163" t="s">
        <v>636</v>
      </c>
      <c r="I1163" t="s">
        <v>233</v>
      </c>
      <c r="J1163" t="s">
        <v>388</v>
      </c>
      <c r="K1163" t="s">
        <v>394</v>
      </c>
    </row>
    <row r="1164" spans="1:11" x14ac:dyDescent="0.25">
      <c r="A1164" t="s">
        <v>385</v>
      </c>
      <c r="B1164" t="s">
        <v>714</v>
      </c>
      <c r="C1164" t="s">
        <v>644</v>
      </c>
      <c r="G1164" t="s">
        <v>393</v>
      </c>
      <c r="H1164" t="s">
        <v>636</v>
      </c>
      <c r="I1164" t="s">
        <v>233</v>
      </c>
      <c r="J1164" t="s">
        <v>388</v>
      </c>
      <c r="K1164" t="s">
        <v>394</v>
      </c>
    </row>
    <row r="1165" spans="1:11" x14ac:dyDescent="0.25">
      <c r="A1165" t="s">
        <v>385</v>
      </c>
      <c r="B1165" t="s">
        <v>714</v>
      </c>
      <c r="C1165" t="s">
        <v>644</v>
      </c>
      <c r="G1165" t="s">
        <v>393</v>
      </c>
      <c r="H1165" t="s">
        <v>636</v>
      </c>
      <c r="I1165" t="s">
        <v>233</v>
      </c>
      <c r="J1165" t="s">
        <v>388</v>
      </c>
      <c r="K1165" t="s">
        <v>394</v>
      </c>
    </row>
    <row r="1166" spans="1:11" x14ac:dyDescent="0.25">
      <c r="A1166" t="s">
        <v>385</v>
      </c>
      <c r="B1166" t="s">
        <v>714</v>
      </c>
      <c r="C1166" t="s">
        <v>644</v>
      </c>
      <c r="G1166" t="s">
        <v>393</v>
      </c>
      <c r="H1166" t="s">
        <v>636</v>
      </c>
      <c r="I1166" t="s">
        <v>233</v>
      </c>
      <c r="J1166" t="s">
        <v>388</v>
      </c>
      <c r="K1166" t="s">
        <v>394</v>
      </c>
    </row>
    <row r="1167" spans="1:11" x14ac:dyDescent="0.25">
      <c r="A1167" t="s">
        <v>385</v>
      </c>
      <c r="B1167" t="s">
        <v>714</v>
      </c>
      <c r="C1167" t="s">
        <v>645</v>
      </c>
      <c r="G1167" t="s">
        <v>393</v>
      </c>
      <c r="H1167" t="s">
        <v>636</v>
      </c>
      <c r="I1167" t="s">
        <v>233</v>
      </c>
      <c r="J1167" t="s">
        <v>388</v>
      </c>
      <c r="K1167" t="s">
        <v>394</v>
      </c>
    </row>
    <row r="1168" spans="1:11" x14ac:dyDescent="0.25">
      <c r="A1168" t="s">
        <v>385</v>
      </c>
      <c r="B1168" t="s">
        <v>714</v>
      </c>
      <c r="C1168" t="s">
        <v>645</v>
      </c>
      <c r="G1168" t="s">
        <v>393</v>
      </c>
      <c r="H1168" t="s">
        <v>636</v>
      </c>
      <c r="I1168" t="s">
        <v>233</v>
      </c>
      <c r="J1168" t="s">
        <v>388</v>
      </c>
      <c r="K1168" t="s">
        <v>394</v>
      </c>
    </row>
    <row r="1169" spans="1:11" x14ac:dyDescent="0.25">
      <c r="A1169" t="s">
        <v>385</v>
      </c>
      <c r="B1169" t="s">
        <v>715</v>
      </c>
      <c r="C1169" t="s">
        <v>634</v>
      </c>
      <c r="D1169" t="s">
        <v>635</v>
      </c>
      <c r="E1169" t="s">
        <v>716</v>
      </c>
      <c r="F1169" t="s">
        <v>101</v>
      </c>
      <c r="G1169" t="s">
        <v>396</v>
      </c>
      <c r="H1169" t="s">
        <v>636</v>
      </c>
      <c r="I1169" t="s">
        <v>233</v>
      </c>
      <c r="J1169" t="s">
        <v>388</v>
      </c>
      <c r="K1169" t="s">
        <v>397</v>
      </c>
    </row>
    <row r="1170" spans="1:11" x14ac:dyDescent="0.25">
      <c r="A1170" t="s">
        <v>385</v>
      </c>
      <c r="B1170" t="s">
        <v>715</v>
      </c>
      <c r="C1170" t="s">
        <v>634</v>
      </c>
      <c r="D1170" t="s">
        <v>635</v>
      </c>
      <c r="E1170" t="s">
        <v>717</v>
      </c>
      <c r="F1170" t="s">
        <v>66</v>
      </c>
      <c r="G1170" t="s">
        <v>396</v>
      </c>
      <c r="H1170" t="s">
        <v>636</v>
      </c>
      <c r="I1170" t="s">
        <v>233</v>
      </c>
      <c r="J1170" t="s">
        <v>388</v>
      </c>
      <c r="K1170" t="s">
        <v>397</v>
      </c>
    </row>
    <row r="1171" spans="1:11" x14ac:dyDescent="0.25">
      <c r="A1171" t="s">
        <v>385</v>
      </c>
      <c r="B1171" t="s">
        <v>715</v>
      </c>
      <c r="C1171" t="s">
        <v>634</v>
      </c>
      <c r="D1171" t="s">
        <v>638</v>
      </c>
      <c r="E1171" t="s">
        <v>46</v>
      </c>
      <c r="F1171" t="s">
        <v>718</v>
      </c>
      <c r="G1171" t="s">
        <v>396</v>
      </c>
      <c r="H1171" t="s">
        <v>636</v>
      </c>
      <c r="I1171" t="s">
        <v>233</v>
      </c>
      <c r="J1171" t="s">
        <v>388</v>
      </c>
      <c r="K1171" t="s">
        <v>397</v>
      </c>
    </row>
    <row r="1172" spans="1:11" x14ac:dyDescent="0.25">
      <c r="A1172" t="s">
        <v>385</v>
      </c>
      <c r="B1172" t="s">
        <v>715</v>
      </c>
      <c r="C1172" t="s">
        <v>634</v>
      </c>
      <c r="D1172" t="s">
        <v>638</v>
      </c>
      <c r="E1172" t="s">
        <v>69</v>
      </c>
      <c r="F1172" t="s">
        <v>77</v>
      </c>
      <c r="G1172" t="s">
        <v>396</v>
      </c>
      <c r="H1172" t="s">
        <v>636</v>
      </c>
      <c r="I1172" t="s">
        <v>233</v>
      </c>
      <c r="J1172" t="s">
        <v>388</v>
      </c>
      <c r="K1172" t="s">
        <v>397</v>
      </c>
    </row>
    <row r="1173" spans="1:11" x14ac:dyDescent="0.25">
      <c r="A1173" t="s">
        <v>385</v>
      </c>
      <c r="B1173" t="s">
        <v>715</v>
      </c>
      <c r="C1173" t="s">
        <v>634</v>
      </c>
      <c r="D1173" t="s">
        <v>638</v>
      </c>
      <c r="E1173" t="s">
        <v>719</v>
      </c>
      <c r="F1173" t="s">
        <v>720</v>
      </c>
      <c r="G1173" t="s">
        <v>396</v>
      </c>
      <c r="H1173" t="s">
        <v>636</v>
      </c>
      <c r="I1173" t="s">
        <v>233</v>
      </c>
      <c r="J1173" t="s">
        <v>388</v>
      </c>
      <c r="K1173" t="s">
        <v>397</v>
      </c>
    </row>
    <row r="1174" spans="1:11" x14ac:dyDescent="0.25">
      <c r="A1174" t="s">
        <v>385</v>
      </c>
      <c r="B1174" t="s">
        <v>715</v>
      </c>
      <c r="C1174" t="s">
        <v>637</v>
      </c>
      <c r="D1174" t="s">
        <v>640</v>
      </c>
      <c r="E1174" t="s">
        <v>719</v>
      </c>
      <c r="F1174" t="s">
        <v>721</v>
      </c>
      <c r="G1174" t="s">
        <v>396</v>
      </c>
      <c r="H1174" t="s">
        <v>636</v>
      </c>
      <c r="I1174" t="s">
        <v>233</v>
      </c>
      <c r="J1174" t="s">
        <v>388</v>
      </c>
      <c r="K1174" t="s">
        <v>397</v>
      </c>
    </row>
    <row r="1175" spans="1:11" x14ac:dyDescent="0.25">
      <c r="A1175" t="s">
        <v>385</v>
      </c>
      <c r="B1175" t="s">
        <v>715</v>
      </c>
      <c r="C1175" t="s">
        <v>637</v>
      </c>
      <c r="D1175" t="s">
        <v>640</v>
      </c>
      <c r="E1175" t="s">
        <v>46</v>
      </c>
      <c r="F1175" t="s">
        <v>51</v>
      </c>
      <c r="G1175" t="s">
        <v>396</v>
      </c>
      <c r="H1175" t="s">
        <v>636</v>
      </c>
      <c r="I1175" t="s">
        <v>233</v>
      </c>
      <c r="J1175" t="s">
        <v>388</v>
      </c>
      <c r="K1175" t="s">
        <v>397</v>
      </c>
    </row>
    <row r="1176" spans="1:11" x14ac:dyDescent="0.25">
      <c r="A1176" t="s">
        <v>385</v>
      </c>
      <c r="B1176" t="s">
        <v>715</v>
      </c>
      <c r="C1176" t="s">
        <v>637</v>
      </c>
      <c r="D1176" t="s">
        <v>640</v>
      </c>
      <c r="E1176" t="s">
        <v>43</v>
      </c>
      <c r="F1176" t="s">
        <v>722</v>
      </c>
      <c r="G1176" t="s">
        <v>396</v>
      </c>
      <c r="H1176" t="s">
        <v>636</v>
      </c>
      <c r="I1176" t="s">
        <v>233</v>
      </c>
      <c r="J1176" t="s">
        <v>388</v>
      </c>
      <c r="K1176" t="s">
        <v>397</v>
      </c>
    </row>
    <row r="1177" spans="1:11" x14ac:dyDescent="0.25">
      <c r="A1177" t="s">
        <v>385</v>
      </c>
      <c r="B1177" t="s">
        <v>715</v>
      </c>
      <c r="C1177" t="s">
        <v>637</v>
      </c>
      <c r="D1177" t="s">
        <v>640</v>
      </c>
      <c r="E1177" t="s">
        <v>723</v>
      </c>
      <c r="F1177" t="s">
        <v>724</v>
      </c>
      <c r="G1177" t="s">
        <v>396</v>
      </c>
      <c r="H1177" t="s">
        <v>636</v>
      </c>
      <c r="I1177" t="s">
        <v>233</v>
      </c>
      <c r="J1177" t="s">
        <v>388</v>
      </c>
      <c r="K1177" t="s">
        <v>397</v>
      </c>
    </row>
    <row r="1178" spans="1:11" x14ac:dyDescent="0.25">
      <c r="A1178" t="s">
        <v>385</v>
      </c>
      <c r="B1178" t="s">
        <v>715</v>
      </c>
      <c r="C1178" t="s">
        <v>637</v>
      </c>
      <c r="D1178" t="s">
        <v>640</v>
      </c>
      <c r="E1178" t="s">
        <v>725</v>
      </c>
      <c r="F1178" t="s">
        <v>67</v>
      </c>
      <c r="G1178" t="s">
        <v>396</v>
      </c>
      <c r="H1178" t="s">
        <v>636</v>
      </c>
      <c r="I1178" t="s">
        <v>233</v>
      </c>
      <c r="J1178" t="s">
        <v>388</v>
      </c>
      <c r="K1178" t="s">
        <v>397</v>
      </c>
    </row>
    <row r="1179" spans="1:11" x14ac:dyDescent="0.25">
      <c r="A1179" t="s">
        <v>385</v>
      </c>
      <c r="B1179" t="s">
        <v>657</v>
      </c>
      <c r="C1179" t="s">
        <v>634</v>
      </c>
      <c r="D1179" t="s">
        <v>635</v>
      </c>
      <c r="E1179" t="s">
        <v>43</v>
      </c>
      <c r="F1179" t="s">
        <v>53</v>
      </c>
      <c r="G1179" t="s">
        <v>399</v>
      </c>
      <c r="H1179" t="s">
        <v>636</v>
      </c>
      <c r="I1179" t="s">
        <v>233</v>
      </c>
      <c r="J1179" t="s">
        <v>388</v>
      </c>
      <c r="K1179" t="s">
        <v>26</v>
      </c>
    </row>
    <row r="1180" spans="1:11" x14ac:dyDescent="0.25">
      <c r="A1180" t="s">
        <v>385</v>
      </c>
      <c r="B1180" t="s">
        <v>657</v>
      </c>
      <c r="C1180" t="s">
        <v>634</v>
      </c>
      <c r="D1180" t="s">
        <v>635</v>
      </c>
      <c r="E1180" t="s">
        <v>83</v>
      </c>
      <c r="F1180" t="s">
        <v>104</v>
      </c>
      <c r="G1180" t="s">
        <v>399</v>
      </c>
      <c r="H1180" t="s">
        <v>636</v>
      </c>
      <c r="I1180" t="s">
        <v>233</v>
      </c>
      <c r="J1180" t="s">
        <v>388</v>
      </c>
      <c r="K1180" t="s">
        <v>26</v>
      </c>
    </row>
    <row r="1181" spans="1:11" x14ac:dyDescent="0.25">
      <c r="A1181" t="s">
        <v>385</v>
      </c>
      <c r="B1181" t="s">
        <v>657</v>
      </c>
      <c r="C1181" t="s">
        <v>637</v>
      </c>
      <c r="D1181" t="s">
        <v>638</v>
      </c>
      <c r="E1181" t="s">
        <v>43</v>
      </c>
      <c r="F1181" t="s">
        <v>53</v>
      </c>
      <c r="G1181" t="s">
        <v>399</v>
      </c>
      <c r="H1181" t="s">
        <v>636</v>
      </c>
      <c r="I1181" t="s">
        <v>233</v>
      </c>
      <c r="J1181" t="s">
        <v>388</v>
      </c>
      <c r="K1181" t="s">
        <v>26</v>
      </c>
    </row>
    <row r="1182" spans="1:11" x14ac:dyDescent="0.25">
      <c r="A1182" t="s">
        <v>385</v>
      </c>
      <c r="B1182" t="s">
        <v>657</v>
      </c>
      <c r="C1182" t="s">
        <v>637</v>
      </c>
      <c r="D1182" t="s">
        <v>638</v>
      </c>
      <c r="E1182" t="s">
        <v>83</v>
      </c>
      <c r="F1182" t="s">
        <v>104</v>
      </c>
      <c r="G1182" t="s">
        <v>399</v>
      </c>
      <c r="H1182" t="s">
        <v>636</v>
      </c>
      <c r="I1182" t="s">
        <v>233</v>
      </c>
      <c r="J1182" t="s">
        <v>388</v>
      </c>
      <c r="K1182" t="s">
        <v>26</v>
      </c>
    </row>
    <row r="1183" spans="1:11" x14ac:dyDescent="0.25">
      <c r="A1183" t="s">
        <v>385</v>
      </c>
      <c r="B1183" t="s">
        <v>726</v>
      </c>
      <c r="C1183" t="s">
        <v>727</v>
      </c>
      <c r="D1183" t="s">
        <v>638</v>
      </c>
      <c r="E1183" t="s">
        <v>46</v>
      </c>
      <c r="F1183" t="s">
        <v>728</v>
      </c>
      <c r="G1183" t="s">
        <v>401</v>
      </c>
      <c r="H1183" t="s">
        <v>636</v>
      </c>
      <c r="I1183" t="s">
        <v>233</v>
      </c>
      <c r="J1183" t="s">
        <v>388</v>
      </c>
      <c r="K1183" t="s">
        <v>402</v>
      </c>
    </row>
    <row r="1184" spans="1:11" x14ac:dyDescent="0.25">
      <c r="A1184" t="s">
        <v>385</v>
      </c>
      <c r="B1184" t="s">
        <v>726</v>
      </c>
      <c r="C1184" t="s">
        <v>727</v>
      </c>
      <c r="D1184" t="s">
        <v>638</v>
      </c>
      <c r="E1184" t="s">
        <v>719</v>
      </c>
      <c r="F1184" t="s">
        <v>79</v>
      </c>
      <c r="G1184" t="s">
        <v>401</v>
      </c>
      <c r="H1184" t="s">
        <v>636</v>
      </c>
      <c r="I1184" t="s">
        <v>233</v>
      </c>
      <c r="J1184" t="s">
        <v>388</v>
      </c>
      <c r="K1184" t="s">
        <v>402</v>
      </c>
    </row>
    <row r="1185" spans="1:11" x14ac:dyDescent="0.25">
      <c r="A1185" t="s">
        <v>385</v>
      </c>
      <c r="B1185" t="s">
        <v>726</v>
      </c>
      <c r="C1185" t="s">
        <v>727</v>
      </c>
      <c r="D1185" t="s">
        <v>638</v>
      </c>
      <c r="E1185" t="s">
        <v>729</v>
      </c>
      <c r="F1185" t="s">
        <v>730</v>
      </c>
      <c r="G1185" t="s">
        <v>401</v>
      </c>
      <c r="H1185" t="s">
        <v>636</v>
      </c>
      <c r="I1185" t="s">
        <v>233</v>
      </c>
      <c r="J1185" t="s">
        <v>388</v>
      </c>
      <c r="K1185" t="s">
        <v>402</v>
      </c>
    </row>
    <row r="1186" spans="1:11" x14ac:dyDescent="0.25">
      <c r="A1186" t="s">
        <v>385</v>
      </c>
      <c r="B1186" t="s">
        <v>726</v>
      </c>
      <c r="C1186" t="s">
        <v>727</v>
      </c>
      <c r="D1186" t="s">
        <v>638</v>
      </c>
      <c r="E1186" t="s">
        <v>723</v>
      </c>
      <c r="F1186" t="s">
        <v>72</v>
      </c>
      <c r="G1186" t="s">
        <v>401</v>
      </c>
      <c r="H1186" t="s">
        <v>636</v>
      </c>
      <c r="I1186" t="s">
        <v>233</v>
      </c>
      <c r="J1186" t="s">
        <v>388</v>
      </c>
      <c r="K1186" t="s">
        <v>402</v>
      </c>
    </row>
    <row r="1187" spans="1:11" x14ac:dyDescent="0.25">
      <c r="A1187" t="s">
        <v>385</v>
      </c>
      <c r="B1187" t="s">
        <v>726</v>
      </c>
      <c r="C1187" t="s">
        <v>731</v>
      </c>
      <c r="D1187" t="s">
        <v>635</v>
      </c>
      <c r="E1187" t="s">
        <v>716</v>
      </c>
      <c r="F1187" t="s">
        <v>103</v>
      </c>
      <c r="G1187" t="s">
        <v>401</v>
      </c>
      <c r="H1187" t="s">
        <v>636</v>
      </c>
      <c r="I1187" t="s">
        <v>233</v>
      </c>
      <c r="J1187" t="s">
        <v>388</v>
      </c>
      <c r="K1187" t="s">
        <v>402</v>
      </c>
    </row>
    <row r="1188" spans="1:11" x14ac:dyDescent="0.25">
      <c r="A1188" t="s">
        <v>385</v>
      </c>
      <c r="B1188" t="s">
        <v>726</v>
      </c>
      <c r="C1188" t="s">
        <v>731</v>
      </c>
      <c r="D1188" t="s">
        <v>635</v>
      </c>
      <c r="E1188" t="s">
        <v>717</v>
      </c>
      <c r="F1188" t="s">
        <v>66</v>
      </c>
      <c r="G1188" t="s">
        <v>401</v>
      </c>
      <c r="H1188" t="s">
        <v>636</v>
      </c>
      <c r="I1188" t="s">
        <v>233</v>
      </c>
      <c r="J1188" t="s">
        <v>388</v>
      </c>
      <c r="K1188" t="s">
        <v>402</v>
      </c>
    </row>
    <row r="1189" spans="1:11" x14ac:dyDescent="0.25">
      <c r="A1189" t="s">
        <v>385</v>
      </c>
      <c r="B1189" t="s">
        <v>726</v>
      </c>
      <c r="C1189" t="s">
        <v>731</v>
      </c>
      <c r="D1189" t="s">
        <v>638</v>
      </c>
      <c r="E1189" t="s">
        <v>732</v>
      </c>
      <c r="F1189" t="s">
        <v>733</v>
      </c>
      <c r="G1189" t="s">
        <v>401</v>
      </c>
      <c r="H1189" t="s">
        <v>636</v>
      </c>
      <c r="I1189" t="s">
        <v>233</v>
      </c>
      <c r="J1189" t="s">
        <v>388</v>
      </c>
      <c r="K1189" t="s">
        <v>402</v>
      </c>
    </row>
    <row r="1190" spans="1:11" x14ac:dyDescent="0.25">
      <c r="A1190" t="s">
        <v>385</v>
      </c>
      <c r="B1190" t="s">
        <v>726</v>
      </c>
      <c r="C1190" t="s">
        <v>731</v>
      </c>
      <c r="D1190" t="s">
        <v>638</v>
      </c>
      <c r="E1190" t="s">
        <v>723</v>
      </c>
      <c r="F1190" t="s">
        <v>88</v>
      </c>
      <c r="G1190" t="s">
        <v>401</v>
      </c>
      <c r="H1190" t="s">
        <v>636</v>
      </c>
      <c r="I1190" t="s">
        <v>233</v>
      </c>
      <c r="J1190" t="s">
        <v>388</v>
      </c>
      <c r="K1190" t="s">
        <v>402</v>
      </c>
    </row>
    <row r="1191" spans="1:11" x14ac:dyDescent="0.25">
      <c r="A1191" t="s">
        <v>385</v>
      </c>
      <c r="B1191" t="s">
        <v>726</v>
      </c>
      <c r="C1191" t="s">
        <v>731</v>
      </c>
      <c r="D1191" t="s">
        <v>640</v>
      </c>
      <c r="E1191" t="s">
        <v>725</v>
      </c>
      <c r="F1191" t="s">
        <v>67</v>
      </c>
      <c r="G1191" t="s">
        <v>401</v>
      </c>
      <c r="H1191" t="s">
        <v>636</v>
      </c>
      <c r="I1191" t="s">
        <v>233</v>
      </c>
      <c r="J1191" t="s">
        <v>388</v>
      </c>
      <c r="K1191" t="s">
        <v>402</v>
      </c>
    </row>
    <row r="1192" spans="1:11" x14ac:dyDescent="0.25">
      <c r="A1192" t="s">
        <v>385</v>
      </c>
      <c r="B1192" t="s">
        <v>726</v>
      </c>
      <c r="C1192" t="s">
        <v>731</v>
      </c>
      <c r="D1192" t="s">
        <v>640</v>
      </c>
      <c r="E1192" t="s">
        <v>110</v>
      </c>
      <c r="F1192" t="s">
        <v>142</v>
      </c>
      <c r="G1192" t="s">
        <v>401</v>
      </c>
      <c r="H1192" t="s">
        <v>636</v>
      </c>
      <c r="I1192" t="s">
        <v>233</v>
      </c>
      <c r="J1192" t="s">
        <v>388</v>
      </c>
      <c r="K1192" t="s">
        <v>402</v>
      </c>
    </row>
    <row r="1193" spans="1:11" x14ac:dyDescent="0.25">
      <c r="A1193" t="s">
        <v>385</v>
      </c>
      <c r="B1193" t="s">
        <v>734</v>
      </c>
      <c r="C1193" t="s">
        <v>634</v>
      </c>
      <c r="D1193" t="s">
        <v>635</v>
      </c>
      <c r="E1193" t="s">
        <v>43</v>
      </c>
      <c r="F1193" t="s">
        <v>53</v>
      </c>
      <c r="G1193" t="s">
        <v>404</v>
      </c>
      <c r="H1193" t="s">
        <v>636</v>
      </c>
      <c r="I1193" t="s">
        <v>233</v>
      </c>
      <c r="J1193" t="s">
        <v>388</v>
      </c>
      <c r="K1193" t="s">
        <v>238</v>
      </c>
    </row>
    <row r="1194" spans="1:11" x14ac:dyDescent="0.25">
      <c r="A1194" t="s">
        <v>385</v>
      </c>
      <c r="B1194" t="s">
        <v>734</v>
      </c>
      <c r="C1194" t="s">
        <v>634</v>
      </c>
      <c r="D1194" t="s">
        <v>635</v>
      </c>
      <c r="E1194" t="s">
        <v>43</v>
      </c>
      <c r="F1194" t="s">
        <v>49</v>
      </c>
      <c r="G1194" t="s">
        <v>404</v>
      </c>
      <c r="H1194" t="s">
        <v>636</v>
      </c>
      <c r="I1194" t="s">
        <v>233</v>
      </c>
      <c r="J1194" t="s">
        <v>388</v>
      </c>
      <c r="K1194" t="s">
        <v>238</v>
      </c>
    </row>
    <row r="1195" spans="1:11" x14ac:dyDescent="0.25">
      <c r="A1195" t="s">
        <v>385</v>
      </c>
      <c r="B1195" t="s">
        <v>734</v>
      </c>
      <c r="C1195" t="s">
        <v>634</v>
      </c>
      <c r="D1195" t="s">
        <v>635</v>
      </c>
      <c r="E1195" t="s">
        <v>46</v>
      </c>
      <c r="F1195" t="s">
        <v>47</v>
      </c>
      <c r="G1195" t="s">
        <v>404</v>
      </c>
      <c r="H1195" t="s">
        <v>636</v>
      </c>
      <c r="I1195" t="s">
        <v>233</v>
      </c>
      <c r="J1195" t="s">
        <v>388</v>
      </c>
      <c r="K1195" t="s">
        <v>238</v>
      </c>
    </row>
    <row r="1196" spans="1:11" x14ac:dyDescent="0.25">
      <c r="A1196" t="s">
        <v>385</v>
      </c>
      <c r="B1196" t="s">
        <v>734</v>
      </c>
      <c r="C1196" t="s">
        <v>637</v>
      </c>
      <c r="D1196" t="s">
        <v>638</v>
      </c>
      <c r="E1196" t="s">
        <v>69</v>
      </c>
      <c r="F1196" t="s">
        <v>80</v>
      </c>
      <c r="G1196" t="s">
        <v>404</v>
      </c>
      <c r="H1196" t="s">
        <v>636</v>
      </c>
      <c r="I1196" t="s">
        <v>233</v>
      </c>
      <c r="J1196" t="s">
        <v>388</v>
      </c>
      <c r="K1196" t="s">
        <v>238</v>
      </c>
    </row>
    <row r="1197" spans="1:11" x14ac:dyDescent="0.25">
      <c r="A1197" t="s">
        <v>385</v>
      </c>
      <c r="B1197" t="s">
        <v>734</v>
      </c>
      <c r="C1197" t="s">
        <v>637</v>
      </c>
      <c r="D1197" t="s">
        <v>638</v>
      </c>
      <c r="E1197" t="s">
        <v>83</v>
      </c>
      <c r="F1197" t="s">
        <v>103</v>
      </c>
      <c r="G1197" t="s">
        <v>404</v>
      </c>
      <c r="H1197" t="s">
        <v>636</v>
      </c>
      <c r="I1197" t="s">
        <v>233</v>
      </c>
      <c r="J1197" t="s">
        <v>388</v>
      </c>
      <c r="K1197" t="s">
        <v>238</v>
      </c>
    </row>
    <row r="1198" spans="1:11" x14ac:dyDescent="0.25">
      <c r="A1198" t="s">
        <v>385</v>
      </c>
      <c r="B1198" t="s">
        <v>734</v>
      </c>
      <c r="C1198" t="s">
        <v>637</v>
      </c>
      <c r="D1198" t="s">
        <v>638</v>
      </c>
      <c r="E1198" t="s">
        <v>83</v>
      </c>
      <c r="F1198" t="s">
        <v>104</v>
      </c>
      <c r="G1198" t="s">
        <v>404</v>
      </c>
      <c r="H1198" t="s">
        <v>636</v>
      </c>
      <c r="I1198" t="s">
        <v>233</v>
      </c>
      <c r="J1198" t="s">
        <v>388</v>
      </c>
      <c r="K1198" t="s">
        <v>238</v>
      </c>
    </row>
    <row r="1199" spans="1:11" x14ac:dyDescent="0.25">
      <c r="A1199" t="s">
        <v>385</v>
      </c>
      <c r="B1199" t="s">
        <v>734</v>
      </c>
      <c r="C1199" t="s">
        <v>637</v>
      </c>
      <c r="D1199" t="s">
        <v>638</v>
      </c>
      <c r="E1199" t="s">
        <v>46</v>
      </c>
      <c r="F1199" t="s">
        <v>47</v>
      </c>
      <c r="G1199" t="s">
        <v>404</v>
      </c>
      <c r="H1199" t="s">
        <v>636</v>
      </c>
      <c r="I1199" t="s">
        <v>233</v>
      </c>
      <c r="J1199" t="s">
        <v>388</v>
      </c>
      <c r="K1199" t="s">
        <v>238</v>
      </c>
    </row>
    <row r="1200" spans="1:11" x14ac:dyDescent="0.25">
      <c r="A1200" t="s">
        <v>385</v>
      </c>
      <c r="B1200" t="s">
        <v>734</v>
      </c>
      <c r="C1200" t="s">
        <v>637</v>
      </c>
      <c r="D1200" t="s">
        <v>638</v>
      </c>
      <c r="E1200" t="s">
        <v>43</v>
      </c>
      <c r="F1200" t="s">
        <v>66</v>
      </c>
      <c r="G1200" t="s">
        <v>404</v>
      </c>
      <c r="H1200" t="s">
        <v>636</v>
      </c>
      <c r="I1200" t="s">
        <v>233</v>
      </c>
      <c r="J1200" t="s">
        <v>388</v>
      </c>
      <c r="K1200" t="s">
        <v>238</v>
      </c>
    </row>
    <row r="1201" spans="1:11" x14ac:dyDescent="0.25">
      <c r="A1201" t="s">
        <v>385</v>
      </c>
      <c r="B1201" t="s">
        <v>734</v>
      </c>
      <c r="C1201" t="s">
        <v>637</v>
      </c>
      <c r="D1201" t="s">
        <v>638</v>
      </c>
      <c r="E1201" t="s">
        <v>43</v>
      </c>
      <c r="F1201" t="s">
        <v>61</v>
      </c>
      <c r="G1201" t="s">
        <v>404</v>
      </c>
      <c r="H1201" t="s">
        <v>636</v>
      </c>
      <c r="I1201" t="s">
        <v>233</v>
      </c>
      <c r="J1201" t="s">
        <v>388</v>
      </c>
      <c r="K1201" t="s">
        <v>238</v>
      </c>
    </row>
    <row r="1202" spans="1:11" x14ac:dyDescent="0.25">
      <c r="A1202" t="s">
        <v>385</v>
      </c>
      <c r="B1202" t="s">
        <v>735</v>
      </c>
      <c r="C1202" t="s">
        <v>634</v>
      </c>
      <c r="D1202" t="s">
        <v>635</v>
      </c>
      <c r="E1202" t="s">
        <v>43</v>
      </c>
      <c r="F1202" t="s">
        <v>53</v>
      </c>
      <c r="G1202" t="s">
        <v>406</v>
      </c>
      <c r="H1202" t="s">
        <v>636</v>
      </c>
      <c r="I1202" t="s">
        <v>233</v>
      </c>
      <c r="J1202" t="s">
        <v>388</v>
      </c>
      <c r="K1202" t="s">
        <v>407</v>
      </c>
    </row>
    <row r="1203" spans="1:11" x14ac:dyDescent="0.25">
      <c r="A1203" t="s">
        <v>385</v>
      </c>
      <c r="B1203" t="s">
        <v>735</v>
      </c>
      <c r="C1203" t="s">
        <v>634</v>
      </c>
      <c r="D1203" t="s">
        <v>635</v>
      </c>
      <c r="E1203" t="s">
        <v>43</v>
      </c>
      <c r="F1203" t="s">
        <v>66</v>
      </c>
      <c r="G1203" t="s">
        <v>406</v>
      </c>
      <c r="H1203" t="s">
        <v>636</v>
      </c>
      <c r="I1203" t="s">
        <v>233</v>
      </c>
      <c r="J1203" t="s">
        <v>388</v>
      </c>
      <c r="K1203" t="s">
        <v>407</v>
      </c>
    </row>
    <row r="1204" spans="1:11" x14ac:dyDescent="0.25">
      <c r="A1204" t="s">
        <v>385</v>
      </c>
      <c r="B1204" t="s">
        <v>735</v>
      </c>
      <c r="C1204" t="s">
        <v>634</v>
      </c>
      <c r="D1204" t="s">
        <v>640</v>
      </c>
      <c r="E1204" t="s">
        <v>69</v>
      </c>
      <c r="F1204" t="s">
        <v>77</v>
      </c>
      <c r="G1204" t="s">
        <v>406</v>
      </c>
      <c r="H1204" t="s">
        <v>636</v>
      </c>
      <c r="I1204" t="s">
        <v>233</v>
      </c>
      <c r="J1204" t="s">
        <v>388</v>
      </c>
      <c r="K1204" t="s">
        <v>407</v>
      </c>
    </row>
    <row r="1205" spans="1:11" x14ac:dyDescent="0.25">
      <c r="A1205" t="s">
        <v>385</v>
      </c>
      <c r="B1205" t="s">
        <v>735</v>
      </c>
      <c r="C1205" t="s">
        <v>637</v>
      </c>
      <c r="D1205" t="s">
        <v>635</v>
      </c>
      <c r="E1205" t="s">
        <v>43</v>
      </c>
      <c r="F1205" t="s">
        <v>49</v>
      </c>
      <c r="G1205" t="s">
        <v>406</v>
      </c>
      <c r="H1205" t="s">
        <v>636</v>
      </c>
      <c r="I1205" t="s">
        <v>233</v>
      </c>
      <c r="J1205" t="s">
        <v>388</v>
      </c>
      <c r="K1205" t="s">
        <v>407</v>
      </c>
    </row>
    <row r="1206" spans="1:11" x14ac:dyDescent="0.25">
      <c r="A1206" t="s">
        <v>385</v>
      </c>
      <c r="B1206" t="s">
        <v>735</v>
      </c>
      <c r="C1206" t="s">
        <v>637</v>
      </c>
      <c r="D1206" t="s">
        <v>635</v>
      </c>
      <c r="E1206" t="s">
        <v>43</v>
      </c>
      <c r="F1206" t="s">
        <v>57</v>
      </c>
      <c r="G1206" t="s">
        <v>406</v>
      </c>
      <c r="H1206" t="s">
        <v>636</v>
      </c>
      <c r="I1206" t="s">
        <v>233</v>
      </c>
      <c r="J1206" t="s">
        <v>388</v>
      </c>
      <c r="K1206" t="s">
        <v>407</v>
      </c>
    </row>
    <row r="1207" spans="1:11" x14ac:dyDescent="0.25">
      <c r="A1207" t="s">
        <v>385</v>
      </c>
      <c r="B1207" t="s">
        <v>735</v>
      </c>
      <c r="C1207" t="s">
        <v>637</v>
      </c>
      <c r="D1207" t="s">
        <v>638</v>
      </c>
      <c r="E1207" t="s">
        <v>83</v>
      </c>
      <c r="F1207" t="s">
        <v>104</v>
      </c>
      <c r="G1207" t="s">
        <v>406</v>
      </c>
      <c r="H1207" t="s">
        <v>636</v>
      </c>
      <c r="I1207" t="s">
        <v>233</v>
      </c>
      <c r="J1207" t="s">
        <v>388</v>
      </c>
      <c r="K1207" t="s">
        <v>407</v>
      </c>
    </row>
    <row r="1208" spans="1:11" x14ac:dyDescent="0.25">
      <c r="A1208" t="s">
        <v>385</v>
      </c>
      <c r="B1208" t="s">
        <v>735</v>
      </c>
      <c r="C1208" t="s">
        <v>637</v>
      </c>
      <c r="D1208" t="s">
        <v>638</v>
      </c>
      <c r="E1208" t="s">
        <v>46</v>
      </c>
      <c r="F1208" t="s">
        <v>47</v>
      </c>
      <c r="G1208" t="s">
        <v>406</v>
      </c>
      <c r="H1208" t="s">
        <v>636</v>
      </c>
      <c r="I1208" t="s">
        <v>233</v>
      </c>
      <c r="J1208" t="s">
        <v>388</v>
      </c>
      <c r="K1208" t="s">
        <v>407</v>
      </c>
    </row>
    <row r="1209" spans="1:11" x14ac:dyDescent="0.25">
      <c r="A1209" t="s">
        <v>385</v>
      </c>
      <c r="B1209" t="s">
        <v>735</v>
      </c>
      <c r="C1209" t="s">
        <v>644</v>
      </c>
      <c r="G1209" t="s">
        <v>406</v>
      </c>
      <c r="H1209" t="s">
        <v>636</v>
      </c>
      <c r="I1209" t="s">
        <v>233</v>
      </c>
      <c r="J1209" t="s">
        <v>388</v>
      </c>
      <c r="K1209" t="s">
        <v>407</v>
      </c>
    </row>
    <row r="1210" spans="1:11" x14ac:dyDescent="0.25">
      <c r="A1210" t="s">
        <v>385</v>
      </c>
      <c r="B1210" t="s">
        <v>735</v>
      </c>
      <c r="C1210" t="s">
        <v>644</v>
      </c>
      <c r="G1210" t="s">
        <v>406</v>
      </c>
      <c r="H1210" t="s">
        <v>636</v>
      </c>
      <c r="I1210" t="s">
        <v>233</v>
      </c>
      <c r="J1210" t="s">
        <v>388</v>
      </c>
      <c r="K1210" t="s">
        <v>407</v>
      </c>
    </row>
    <row r="1211" spans="1:11" x14ac:dyDescent="0.25">
      <c r="A1211" t="s">
        <v>385</v>
      </c>
      <c r="B1211" t="s">
        <v>735</v>
      </c>
      <c r="C1211" t="s">
        <v>645</v>
      </c>
      <c r="G1211" t="s">
        <v>406</v>
      </c>
      <c r="H1211" t="s">
        <v>636</v>
      </c>
      <c r="I1211" t="s">
        <v>233</v>
      </c>
      <c r="J1211" t="s">
        <v>388</v>
      </c>
      <c r="K1211" t="s">
        <v>407</v>
      </c>
    </row>
    <row r="1212" spans="1:11" x14ac:dyDescent="0.25">
      <c r="A1212" t="s">
        <v>385</v>
      </c>
      <c r="B1212" t="s">
        <v>735</v>
      </c>
      <c r="C1212" t="s">
        <v>645</v>
      </c>
      <c r="G1212" t="s">
        <v>406</v>
      </c>
      <c r="H1212" t="s">
        <v>636</v>
      </c>
      <c r="I1212" t="s">
        <v>233</v>
      </c>
      <c r="J1212" t="s">
        <v>388</v>
      </c>
      <c r="K1212" t="s">
        <v>407</v>
      </c>
    </row>
    <row r="1213" spans="1:11" x14ac:dyDescent="0.25">
      <c r="A1213" t="s">
        <v>385</v>
      </c>
      <c r="B1213" t="s">
        <v>736</v>
      </c>
      <c r="C1213" t="s">
        <v>634</v>
      </c>
      <c r="D1213" t="s">
        <v>640</v>
      </c>
      <c r="E1213" t="s">
        <v>43</v>
      </c>
      <c r="F1213" t="s">
        <v>53</v>
      </c>
      <c r="G1213" t="s">
        <v>409</v>
      </c>
      <c r="H1213" t="s">
        <v>636</v>
      </c>
      <c r="I1213" t="s">
        <v>233</v>
      </c>
      <c r="J1213" t="s">
        <v>388</v>
      </c>
      <c r="K1213" t="s">
        <v>410</v>
      </c>
    </row>
    <row r="1214" spans="1:11" x14ac:dyDescent="0.25">
      <c r="A1214" t="s">
        <v>385</v>
      </c>
      <c r="B1214" t="s">
        <v>736</v>
      </c>
      <c r="C1214" t="s">
        <v>634</v>
      </c>
      <c r="D1214" t="s">
        <v>635</v>
      </c>
      <c r="E1214" t="s">
        <v>43</v>
      </c>
      <c r="F1214" t="s">
        <v>49</v>
      </c>
      <c r="G1214" t="s">
        <v>409</v>
      </c>
      <c r="H1214" t="s">
        <v>636</v>
      </c>
      <c r="I1214" t="s">
        <v>233</v>
      </c>
      <c r="J1214" t="s">
        <v>388</v>
      </c>
      <c r="K1214" t="s">
        <v>410</v>
      </c>
    </row>
    <row r="1215" spans="1:11" x14ac:dyDescent="0.25">
      <c r="A1215" t="s">
        <v>385</v>
      </c>
      <c r="B1215" t="s">
        <v>736</v>
      </c>
      <c r="C1215" t="s">
        <v>634</v>
      </c>
      <c r="D1215" t="s">
        <v>635</v>
      </c>
      <c r="E1215" t="s">
        <v>46</v>
      </c>
      <c r="F1215" t="s">
        <v>51</v>
      </c>
      <c r="G1215" t="s">
        <v>409</v>
      </c>
      <c r="H1215" t="s">
        <v>636</v>
      </c>
      <c r="I1215" t="s">
        <v>233</v>
      </c>
      <c r="J1215" t="s">
        <v>388</v>
      </c>
      <c r="K1215" t="s">
        <v>410</v>
      </c>
    </row>
    <row r="1216" spans="1:11" x14ac:dyDescent="0.25">
      <c r="A1216" t="s">
        <v>385</v>
      </c>
      <c r="B1216" t="s">
        <v>736</v>
      </c>
      <c r="C1216" t="s">
        <v>637</v>
      </c>
      <c r="D1216" t="s">
        <v>640</v>
      </c>
      <c r="E1216" t="s">
        <v>43</v>
      </c>
      <c r="F1216" t="s">
        <v>57</v>
      </c>
      <c r="G1216" t="s">
        <v>409</v>
      </c>
      <c r="H1216" t="s">
        <v>636</v>
      </c>
      <c r="I1216" t="s">
        <v>233</v>
      </c>
      <c r="J1216" t="s">
        <v>388</v>
      </c>
      <c r="K1216" t="s">
        <v>410</v>
      </c>
    </row>
    <row r="1217" spans="1:11" x14ac:dyDescent="0.25">
      <c r="A1217" t="s">
        <v>385</v>
      </c>
      <c r="B1217" t="s">
        <v>736</v>
      </c>
      <c r="C1217" t="s">
        <v>637</v>
      </c>
      <c r="D1217" t="s">
        <v>638</v>
      </c>
      <c r="E1217" t="s">
        <v>83</v>
      </c>
      <c r="F1217" t="s">
        <v>84</v>
      </c>
      <c r="G1217" t="s">
        <v>409</v>
      </c>
      <c r="H1217" t="s">
        <v>636</v>
      </c>
      <c r="I1217" t="s">
        <v>233</v>
      </c>
      <c r="J1217" t="s">
        <v>388</v>
      </c>
      <c r="K1217" t="s">
        <v>410</v>
      </c>
    </row>
    <row r="1218" spans="1:11" x14ac:dyDescent="0.25">
      <c r="A1218" t="s">
        <v>385</v>
      </c>
      <c r="B1218" t="s">
        <v>736</v>
      </c>
      <c r="C1218" t="s">
        <v>637</v>
      </c>
      <c r="D1218" t="s">
        <v>638</v>
      </c>
      <c r="E1218" t="s">
        <v>83</v>
      </c>
      <c r="F1218" t="s">
        <v>103</v>
      </c>
      <c r="G1218" t="s">
        <v>409</v>
      </c>
      <c r="H1218" t="s">
        <v>636</v>
      </c>
      <c r="I1218" t="s">
        <v>233</v>
      </c>
      <c r="J1218" t="s">
        <v>388</v>
      </c>
      <c r="K1218" t="s">
        <v>410</v>
      </c>
    </row>
    <row r="1219" spans="1:11" x14ac:dyDescent="0.25">
      <c r="A1219" t="s">
        <v>385</v>
      </c>
      <c r="B1219" t="s">
        <v>697</v>
      </c>
      <c r="C1219" t="s">
        <v>634</v>
      </c>
      <c r="D1219" t="s">
        <v>635</v>
      </c>
      <c r="E1219" t="s">
        <v>71</v>
      </c>
      <c r="F1219" t="s">
        <v>88</v>
      </c>
      <c r="G1219" t="s">
        <v>412</v>
      </c>
      <c r="H1219" t="s">
        <v>636</v>
      </c>
      <c r="I1219" t="s">
        <v>233</v>
      </c>
      <c r="J1219" t="s">
        <v>388</v>
      </c>
      <c r="K1219" t="s">
        <v>30</v>
      </c>
    </row>
    <row r="1220" spans="1:11" x14ac:dyDescent="0.25">
      <c r="A1220" t="s">
        <v>385</v>
      </c>
      <c r="B1220" t="s">
        <v>697</v>
      </c>
      <c r="C1220" t="s">
        <v>634</v>
      </c>
      <c r="D1220" t="s">
        <v>635</v>
      </c>
      <c r="E1220" t="s">
        <v>93</v>
      </c>
      <c r="F1220" t="s">
        <v>94</v>
      </c>
      <c r="G1220" t="s">
        <v>412</v>
      </c>
      <c r="H1220" t="s">
        <v>636</v>
      </c>
      <c r="I1220" t="s">
        <v>233</v>
      </c>
      <c r="J1220" t="s">
        <v>388</v>
      </c>
      <c r="K1220" t="s">
        <v>30</v>
      </c>
    </row>
    <row r="1221" spans="1:11" x14ac:dyDescent="0.25">
      <c r="A1221" t="s">
        <v>385</v>
      </c>
      <c r="B1221" t="s">
        <v>697</v>
      </c>
      <c r="C1221" t="s">
        <v>634</v>
      </c>
      <c r="D1221" t="s">
        <v>635</v>
      </c>
      <c r="E1221" t="s">
        <v>93</v>
      </c>
      <c r="F1221" t="s">
        <v>128</v>
      </c>
      <c r="G1221" t="s">
        <v>412</v>
      </c>
      <c r="H1221" t="s">
        <v>636</v>
      </c>
      <c r="I1221" t="s">
        <v>233</v>
      </c>
      <c r="J1221" t="s">
        <v>388</v>
      </c>
      <c r="K1221" t="s">
        <v>30</v>
      </c>
    </row>
    <row r="1222" spans="1:11" x14ac:dyDescent="0.25">
      <c r="A1222" t="s">
        <v>385</v>
      </c>
      <c r="B1222" t="s">
        <v>697</v>
      </c>
      <c r="C1222" t="s">
        <v>637</v>
      </c>
      <c r="D1222" t="s">
        <v>635</v>
      </c>
      <c r="E1222" t="s">
        <v>43</v>
      </c>
      <c r="F1222" t="s">
        <v>53</v>
      </c>
      <c r="G1222" t="s">
        <v>412</v>
      </c>
      <c r="H1222" t="s">
        <v>636</v>
      </c>
      <c r="I1222" t="s">
        <v>233</v>
      </c>
      <c r="J1222" t="s">
        <v>388</v>
      </c>
      <c r="K1222" t="s">
        <v>30</v>
      </c>
    </row>
    <row r="1223" spans="1:11" x14ac:dyDescent="0.25">
      <c r="A1223" t="s">
        <v>385</v>
      </c>
      <c r="B1223" t="s">
        <v>697</v>
      </c>
      <c r="C1223" t="s">
        <v>637</v>
      </c>
      <c r="D1223" t="s">
        <v>635</v>
      </c>
      <c r="E1223" t="s">
        <v>43</v>
      </c>
      <c r="F1223" t="s">
        <v>66</v>
      </c>
      <c r="G1223" t="s">
        <v>412</v>
      </c>
      <c r="H1223" t="s">
        <v>636</v>
      </c>
      <c r="I1223" t="s">
        <v>233</v>
      </c>
      <c r="J1223" t="s">
        <v>388</v>
      </c>
      <c r="K1223" t="s">
        <v>30</v>
      </c>
    </row>
    <row r="1224" spans="1:11" x14ac:dyDescent="0.25">
      <c r="A1224" t="s">
        <v>385</v>
      </c>
      <c r="B1224" t="s">
        <v>697</v>
      </c>
      <c r="C1224" t="s">
        <v>637</v>
      </c>
      <c r="D1224" t="s">
        <v>638</v>
      </c>
      <c r="E1224" t="s">
        <v>71</v>
      </c>
      <c r="F1224" t="s">
        <v>88</v>
      </c>
      <c r="G1224" t="s">
        <v>412</v>
      </c>
      <c r="H1224" t="s">
        <v>636</v>
      </c>
      <c r="I1224" t="s">
        <v>233</v>
      </c>
      <c r="J1224" t="s">
        <v>388</v>
      </c>
      <c r="K1224" t="s">
        <v>30</v>
      </c>
    </row>
    <row r="1225" spans="1:11" x14ac:dyDescent="0.25">
      <c r="A1225" t="s">
        <v>385</v>
      </c>
      <c r="B1225" t="s">
        <v>697</v>
      </c>
      <c r="C1225" t="s">
        <v>637</v>
      </c>
      <c r="D1225" t="s">
        <v>638</v>
      </c>
      <c r="E1225" t="s">
        <v>93</v>
      </c>
      <c r="F1225" t="s">
        <v>94</v>
      </c>
      <c r="G1225" t="s">
        <v>412</v>
      </c>
      <c r="H1225" t="s">
        <v>636</v>
      </c>
      <c r="I1225" t="s">
        <v>233</v>
      </c>
      <c r="J1225" t="s">
        <v>388</v>
      </c>
      <c r="K1225" t="s">
        <v>30</v>
      </c>
    </row>
    <row r="1226" spans="1:11" x14ac:dyDescent="0.25">
      <c r="A1226" t="s">
        <v>385</v>
      </c>
      <c r="B1226" t="s">
        <v>697</v>
      </c>
      <c r="C1226" t="s">
        <v>637</v>
      </c>
      <c r="D1226" t="s">
        <v>638</v>
      </c>
      <c r="E1226" t="s">
        <v>93</v>
      </c>
      <c r="F1226" t="s">
        <v>128</v>
      </c>
      <c r="G1226" t="s">
        <v>412</v>
      </c>
      <c r="H1226" t="s">
        <v>636</v>
      </c>
      <c r="I1226" t="s">
        <v>233</v>
      </c>
      <c r="J1226" t="s">
        <v>388</v>
      </c>
      <c r="K1226" t="s">
        <v>30</v>
      </c>
    </row>
    <row r="1227" spans="1:11" x14ac:dyDescent="0.25">
      <c r="A1227" t="s">
        <v>385</v>
      </c>
      <c r="B1227" t="s">
        <v>697</v>
      </c>
      <c r="C1227" t="s">
        <v>637</v>
      </c>
      <c r="D1227" t="s">
        <v>638</v>
      </c>
      <c r="E1227" t="s">
        <v>43</v>
      </c>
      <c r="F1227" t="s">
        <v>53</v>
      </c>
      <c r="G1227" t="s">
        <v>412</v>
      </c>
      <c r="H1227" t="s">
        <v>636</v>
      </c>
      <c r="I1227" t="s">
        <v>233</v>
      </c>
      <c r="J1227" t="s">
        <v>388</v>
      </c>
      <c r="K1227" t="s">
        <v>30</v>
      </c>
    </row>
    <row r="1228" spans="1:11" x14ac:dyDescent="0.25">
      <c r="A1228" t="s">
        <v>385</v>
      </c>
      <c r="B1228" t="s">
        <v>697</v>
      </c>
      <c r="C1228" t="s">
        <v>637</v>
      </c>
      <c r="D1228" t="s">
        <v>638</v>
      </c>
      <c r="E1228" t="s">
        <v>43</v>
      </c>
      <c r="F1228" t="s">
        <v>66</v>
      </c>
      <c r="G1228" t="s">
        <v>412</v>
      </c>
      <c r="H1228" t="s">
        <v>636</v>
      </c>
      <c r="I1228" t="s">
        <v>233</v>
      </c>
      <c r="J1228" t="s">
        <v>388</v>
      </c>
      <c r="K1228" t="s">
        <v>30</v>
      </c>
    </row>
    <row r="1229" spans="1:11" x14ac:dyDescent="0.25">
      <c r="A1229" t="s">
        <v>385</v>
      </c>
      <c r="B1229" t="s">
        <v>737</v>
      </c>
      <c r="C1229" t="s">
        <v>634</v>
      </c>
      <c r="D1229" t="s">
        <v>635</v>
      </c>
      <c r="E1229" t="s">
        <v>71</v>
      </c>
      <c r="F1229" t="s">
        <v>72</v>
      </c>
      <c r="G1229" t="s">
        <v>414</v>
      </c>
      <c r="H1229" t="s">
        <v>636</v>
      </c>
      <c r="I1229" t="s">
        <v>233</v>
      </c>
      <c r="J1229" t="s">
        <v>388</v>
      </c>
      <c r="K1229" t="s">
        <v>415</v>
      </c>
    </row>
    <row r="1230" spans="1:11" x14ac:dyDescent="0.25">
      <c r="A1230" t="s">
        <v>385</v>
      </c>
      <c r="B1230" t="s">
        <v>737</v>
      </c>
      <c r="C1230" t="s">
        <v>634</v>
      </c>
      <c r="D1230" t="s">
        <v>635</v>
      </c>
      <c r="E1230" t="s">
        <v>46</v>
      </c>
      <c r="F1230" t="s">
        <v>47</v>
      </c>
      <c r="G1230" t="s">
        <v>414</v>
      </c>
      <c r="H1230" t="s">
        <v>636</v>
      </c>
      <c r="I1230" t="s">
        <v>233</v>
      </c>
      <c r="J1230" t="s">
        <v>388</v>
      </c>
      <c r="K1230" t="s">
        <v>415</v>
      </c>
    </row>
    <row r="1231" spans="1:11" x14ac:dyDescent="0.25">
      <c r="A1231" t="s">
        <v>385</v>
      </c>
      <c r="B1231" t="s">
        <v>737</v>
      </c>
      <c r="C1231" t="s">
        <v>634</v>
      </c>
      <c r="D1231" t="s">
        <v>635</v>
      </c>
      <c r="E1231" t="s">
        <v>110</v>
      </c>
      <c r="F1231" t="s">
        <v>142</v>
      </c>
      <c r="G1231" t="s">
        <v>414</v>
      </c>
      <c r="H1231" t="s">
        <v>636</v>
      </c>
      <c r="I1231" t="s">
        <v>233</v>
      </c>
      <c r="J1231" t="s">
        <v>388</v>
      </c>
      <c r="K1231" t="s">
        <v>415</v>
      </c>
    </row>
    <row r="1232" spans="1:11" x14ac:dyDescent="0.25">
      <c r="A1232" t="s">
        <v>385</v>
      </c>
      <c r="B1232" t="s">
        <v>737</v>
      </c>
      <c r="C1232" t="s">
        <v>637</v>
      </c>
      <c r="D1232" t="s">
        <v>638</v>
      </c>
      <c r="E1232" t="s">
        <v>93</v>
      </c>
      <c r="F1232" t="s">
        <v>94</v>
      </c>
      <c r="G1232" t="s">
        <v>414</v>
      </c>
      <c r="H1232" t="s">
        <v>636</v>
      </c>
      <c r="I1232" t="s">
        <v>233</v>
      </c>
      <c r="J1232" t="s">
        <v>388</v>
      </c>
      <c r="K1232" t="s">
        <v>415</v>
      </c>
    </row>
    <row r="1233" spans="1:11" x14ac:dyDescent="0.25">
      <c r="A1233" t="s">
        <v>385</v>
      </c>
      <c r="B1233" t="s">
        <v>737</v>
      </c>
      <c r="C1233" t="s">
        <v>637</v>
      </c>
      <c r="D1233" t="s">
        <v>638</v>
      </c>
      <c r="E1233" t="s">
        <v>71</v>
      </c>
      <c r="F1233" t="s">
        <v>72</v>
      </c>
      <c r="G1233" t="s">
        <v>414</v>
      </c>
      <c r="H1233" t="s">
        <v>636</v>
      </c>
      <c r="I1233" t="s">
        <v>233</v>
      </c>
      <c r="J1233" t="s">
        <v>388</v>
      </c>
      <c r="K1233" t="s">
        <v>415</v>
      </c>
    </row>
    <row r="1234" spans="1:11" x14ac:dyDescent="0.25">
      <c r="A1234" t="s">
        <v>385</v>
      </c>
      <c r="B1234" t="s">
        <v>737</v>
      </c>
      <c r="C1234" t="s">
        <v>637</v>
      </c>
      <c r="D1234" t="s">
        <v>640</v>
      </c>
      <c r="E1234" t="s">
        <v>63</v>
      </c>
      <c r="F1234" t="s">
        <v>67</v>
      </c>
      <c r="G1234" t="s">
        <v>414</v>
      </c>
      <c r="H1234" t="s">
        <v>636</v>
      </c>
      <c r="I1234" t="s">
        <v>233</v>
      </c>
      <c r="J1234" t="s">
        <v>388</v>
      </c>
      <c r="K1234" t="s">
        <v>415</v>
      </c>
    </row>
    <row r="1235" spans="1:11" x14ac:dyDescent="0.25">
      <c r="A1235" t="s">
        <v>385</v>
      </c>
      <c r="B1235" t="s">
        <v>737</v>
      </c>
      <c r="C1235" t="s">
        <v>644</v>
      </c>
      <c r="G1235" t="s">
        <v>414</v>
      </c>
      <c r="H1235" t="s">
        <v>636</v>
      </c>
      <c r="I1235" t="s">
        <v>233</v>
      </c>
      <c r="J1235" t="s">
        <v>388</v>
      </c>
      <c r="K1235" t="s">
        <v>415</v>
      </c>
    </row>
    <row r="1236" spans="1:11" x14ac:dyDescent="0.25">
      <c r="A1236" t="s">
        <v>385</v>
      </c>
      <c r="B1236" t="s">
        <v>737</v>
      </c>
      <c r="C1236" t="s">
        <v>644</v>
      </c>
      <c r="G1236" t="s">
        <v>414</v>
      </c>
      <c r="H1236" t="s">
        <v>636</v>
      </c>
      <c r="I1236" t="s">
        <v>233</v>
      </c>
      <c r="J1236" t="s">
        <v>388</v>
      </c>
      <c r="K1236" t="s">
        <v>415</v>
      </c>
    </row>
    <row r="1237" spans="1:11" x14ac:dyDescent="0.25">
      <c r="A1237" t="s">
        <v>385</v>
      </c>
      <c r="B1237" t="s">
        <v>737</v>
      </c>
      <c r="C1237" t="s">
        <v>644</v>
      </c>
      <c r="G1237" t="s">
        <v>414</v>
      </c>
      <c r="H1237" t="s">
        <v>636</v>
      </c>
      <c r="I1237" t="s">
        <v>233</v>
      </c>
      <c r="J1237" t="s">
        <v>388</v>
      </c>
      <c r="K1237" t="s">
        <v>415</v>
      </c>
    </row>
    <row r="1238" spans="1:11" x14ac:dyDescent="0.25">
      <c r="A1238" t="s">
        <v>385</v>
      </c>
      <c r="B1238" t="s">
        <v>737</v>
      </c>
      <c r="C1238" t="s">
        <v>645</v>
      </c>
      <c r="G1238" t="s">
        <v>414</v>
      </c>
      <c r="H1238" t="s">
        <v>636</v>
      </c>
      <c r="I1238" t="s">
        <v>233</v>
      </c>
      <c r="J1238" t="s">
        <v>388</v>
      </c>
      <c r="K1238" t="s">
        <v>415</v>
      </c>
    </row>
    <row r="1239" spans="1:11" x14ac:dyDescent="0.25">
      <c r="A1239" t="s">
        <v>385</v>
      </c>
      <c r="B1239" t="s">
        <v>737</v>
      </c>
      <c r="C1239" t="s">
        <v>645</v>
      </c>
      <c r="G1239" t="s">
        <v>414</v>
      </c>
      <c r="H1239" t="s">
        <v>636</v>
      </c>
      <c r="I1239" t="s">
        <v>233</v>
      </c>
      <c r="J1239" t="s">
        <v>388</v>
      </c>
      <c r="K1239" t="s">
        <v>415</v>
      </c>
    </row>
    <row r="1240" spans="1:11" x14ac:dyDescent="0.25">
      <c r="A1240" t="s">
        <v>385</v>
      </c>
      <c r="B1240" t="s">
        <v>698</v>
      </c>
      <c r="C1240" t="s">
        <v>634</v>
      </c>
      <c r="D1240" t="s">
        <v>635</v>
      </c>
      <c r="E1240" t="s">
        <v>43</v>
      </c>
      <c r="F1240" t="s">
        <v>44</v>
      </c>
      <c r="G1240" t="s">
        <v>417</v>
      </c>
      <c r="H1240" t="s">
        <v>636</v>
      </c>
      <c r="I1240" t="s">
        <v>233</v>
      </c>
      <c r="J1240" t="s">
        <v>388</v>
      </c>
      <c r="K1240" t="s">
        <v>7</v>
      </c>
    </row>
    <row r="1241" spans="1:11" x14ac:dyDescent="0.25">
      <c r="A1241" t="s">
        <v>385</v>
      </c>
      <c r="B1241" t="s">
        <v>698</v>
      </c>
      <c r="C1241" t="s">
        <v>634</v>
      </c>
      <c r="D1241" t="s">
        <v>635</v>
      </c>
      <c r="E1241" t="s">
        <v>43</v>
      </c>
      <c r="F1241" t="s">
        <v>49</v>
      </c>
      <c r="G1241" t="s">
        <v>417</v>
      </c>
      <c r="H1241" t="s">
        <v>636</v>
      </c>
      <c r="I1241" t="s">
        <v>233</v>
      </c>
      <c r="J1241" t="s">
        <v>388</v>
      </c>
      <c r="K1241" t="s">
        <v>7</v>
      </c>
    </row>
    <row r="1242" spans="1:11" x14ac:dyDescent="0.25">
      <c r="A1242" t="s">
        <v>385</v>
      </c>
      <c r="B1242" t="s">
        <v>698</v>
      </c>
      <c r="C1242" t="s">
        <v>634</v>
      </c>
      <c r="D1242" t="s">
        <v>640</v>
      </c>
      <c r="E1242" t="s">
        <v>71</v>
      </c>
      <c r="F1242" t="s">
        <v>72</v>
      </c>
      <c r="G1242" t="s">
        <v>417</v>
      </c>
      <c r="H1242" t="s">
        <v>636</v>
      </c>
      <c r="I1242" t="s">
        <v>233</v>
      </c>
      <c r="J1242" t="s">
        <v>388</v>
      </c>
      <c r="K1242" t="s">
        <v>7</v>
      </c>
    </row>
    <row r="1243" spans="1:11" x14ac:dyDescent="0.25">
      <c r="A1243" t="s">
        <v>385</v>
      </c>
      <c r="B1243" t="s">
        <v>698</v>
      </c>
      <c r="C1243" t="s">
        <v>634</v>
      </c>
      <c r="D1243" t="s">
        <v>635</v>
      </c>
      <c r="E1243" t="s">
        <v>46</v>
      </c>
      <c r="F1243" t="s">
        <v>47</v>
      </c>
      <c r="G1243" t="s">
        <v>417</v>
      </c>
      <c r="H1243" t="s">
        <v>636</v>
      </c>
      <c r="I1243" t="s">
        <v>233</v>
      </c>
      <c r="J1243" t="s">
        <v>388</v>
      </c>
      <c r="K1243" t="s">
        <v>7</v>
      </c>
    </row>
    <row r="1244" spans="1:11" x14ac:dyDescent="0.25">
      <c r="A1244" t="s">
        <v>385</v>
      </c>
      <c r="B1244" t="s">
        <v>698</v>
      </c>
      <c r="C1244" t="s">
        <v>634</v>
      </c>
      <c r="D1244" t="s">
        <v>635</v>
      </c>
      <c r="E1244" t="s">
        <v>110</v>
      </c>
      <c r="F1244" t="s">
        <v>142</v>
      </c>
      <c r="G1244" t="s">
        <v>417</v>
      </c>
      <c r="H1244" t="s">
        <v>636</v>
      </c>
      <c r="I1244" t="s">
        <v>233</v>
      </c>
      <c r="J1244" t="s">
        <v>388</v>
      </c>
      <c r="K1244" t="s">
        <v>7</v>
      </c>
    </row>
    <row r="1245" spans="1:11" x14ac:dyDescent="0.25">
      <c r="A1245" t="s">
        <v>385</v>
      </c>
      <c r="B1245" t="s">
        <v>698</v>
      </c>
      <c r="C1245" t="s">
        <v>637</v>
      </c>
      <c r="D1245" t="s">
        <v>638</v>
      </c>
      <c r="E1245" t="s">
        <v>43</v>
      </c>
      <c r="F1245" t="s">
        <v>44</v>
      </c>
      <c r="G1245" t="s">
        <v>417</v>
      </c>
      <c r="H1245" t="s">
        <v>636</v>
      </c>
      <c r="I1245" t="s">
        <v>233</v>
      </c>
      <c r="J1245" t="s">
        <v>388</v>
      </c>
      <c r="K1245" t="s">
        <v>7</v>
      </c>
    </row>
    <row r="1246" spans="1:11" x14ac:dyDescent="0.25">
      <c r="A1246" t="s">
        <v>385</v>
      </c>
      <c r="B1246" t="s">
        <v>698</v>
      </c>
      <c r="C1246" t="s">
        <v>644</v>
      </c>
      <c r="D1246" t="s">
        <v>638</v>
      </c>
      <c r="E1246" t="s">
        <v>43</v>
      </c>
      <c r="F1246" t="s">
        <v>49</v>
      </c>
      <c r="G1246" t="s">
        <v>417</v>
      </c>
      <c r="H1246" t="s">
        <v>636</v>
      </c>
      <c r="I1246" t="s">
        <v>233</v>
      </c>
      <c r="J1246" t="s">
        <v>388</v>
      </c>
      <c r="K1246" t="s">
        <v>7</v>
      </c>
    </row>
    <row r="1247" spans="1:11" x14ac:dyDescent="0.25">
      <c r="A1247" t="s">
        <v>385</v>
      </c>
      <c r="B1247" t="s">
        <v>698</v>
      </c>
      <c r="C1247" t="s">
        <v>644</v>
      </c>
      <c r="D1247" t="s">
        <v>638</v>
      </c>
      <c r="E1247" t="s">
        <v>83</v>
      </c>
      <c r="F1247" t="s">
        <v>103</v>
      </c>
      <c r="G1247" t="s">
        <v>417</v>
      </c>
      <c r="H1247" t="s">
        <v>636</v>
      </c>
      <c r="I1247" t="s">
        <v>233</v>
      </c>
      <c r="J1247" t="s">
        <v>388</v>
      </c>
      <c r="K1247" t="s">
        <v>7</v>
      </c>
    </row>
    <row r="1248" spans="1:11" x14ac:dyDescent="0.25">
      <c r="A1248" t="s">
        <v>385</v>
      </c>
      <c r="B1248" t="s">
        <v>698</v>
      </c>
      <c r="C1248" t="s">
        <v>644</v>
      </c>
      <c r="D1248" t="s">
        <v>638</v>
      </c>
      <c r="E1248" t="s">
        <v>83</v>
      </c>
      <c r="F1248" t="s">
        <v>104</v>
      </c>
      <c r="G1248" t="s">
        <v>417</v>
      </c>
      <c r="H1248" t="s">
        <v>636</v>
      </c>
      <c r="I1248" t="s">
        <v>233</v>
      </c>
      <c r="J1248" t="s">
        <v>388</v>
      </c>
      <c r="K1248" t="s">
        <v>7</v>
      </c>
    </row>
    <row r="1249" spans="1:11" x14ac:dyDescent="0.25">
      <c r="A1249" t="s">
        <v>385</v>
      </c>
      <c r="B1249" t="s">
        <v>698</v>
      </c>
      <c r="C1249" t="s">
        <v>645</v>
      </c>
      <c r="D1249" t="s">
        <v>640</v>
      </c>
      <c r="E1249" t="s">
        <v>71</v>
      </c>
      <c r="F1249" t="s">
        <v>72</v>
      </c>
      <c r="G1249" t="s">
        <v>417</v>
      </c>
      <c r="H1249" t="s">
        <v>636</v>
      </c>
      <c r="I1249" t="s">
        <v>233</v>
      </c>
      <c r="J1249" t="s">
        <v>388</v>
      </c>
      <c r="K1249" t="s">
        <v>7</v>
      </c>
    </row>
    <row r="1250" spans="1:11" x14ac:dyDescent="0.25">
      <c r="A1250" t="s">
        <v>385</v>
      </c>
      <c r="B1250" t="s">
        <v>698</v>
      </c>
      <c r="C1250" t="s">
        <v>645</v>
      </c>
      <c r="G1250" t="s">
        <v>417</v>
      </c>
      <c r="H1250" t="s">
        <v>636</v>
      </c>
      <c r="I1250" t="s">
        <v>233</v>
      </c>
      <c r="J1250" t="s">
        <v>388</v>
      </c>
      <c r="K1250" t="s">
        <v>7</v>
      </c>
    </row>
    <row r="1251" spans="1:11" x14ac:dyDescent="0.25">
      <c r="A1251" t="s">
        <v>385</v>
      </c>
      <c r="B1251" t="s">
        <v>738</v>
      </c>
      <c r="C1251" t="s">
        <v>634</v>
      </c>
      <c r="D1251" t="s">
        <v>635</v>
      </c>
      <c r="E1251" t="s">
        <v>43</v>
      </c>
      <c r="F1251" t="s">
        <v>44</v>
      </c>
      <c r="G1251" t="s">
        <v>419</v>
      </c>
      <c r="H1251" t="s">
        <v>636</v>
      </c>
      <c r="I1251" t="s">
        <v>233</v>
      </c>
      <c r="J1251" t="s">
        <v>388</v>
      </c>
      <c r="K1251" t="s">
        <v>245</v>
      </c>
    </row>
    <row r="1252" spans="1:11" x14ac:dyDescent="0.25">
      <c r="A1252" t="s">
        <v>385</v>
      </c>
      <c r="B1252" t="s">
        <v>738</v>
      </c>
      <c r="C1252" t="s">
        <v>634</v>
      </c>
      <c r="D1252" t="s">
        <v>635</v>
      </c>
      <c r="E1252" t="s">
        <v>83</v>
      </c>
      <c r="F1252" t="s">
        <v>100</v>
      </c>
      <c r="G1252" t="s">
        <v>419</v>
      </c>
      <c r="H1252" t="s">
        <v>636</v>
      </c>
      <c r="I1252" t="s">
        <v>233</v>
      </c>
      <c r="J1252" t="s">
        <v>388</v>
      </c>
      <c r="K1252" t="s">
        <v>245</v>
      </c>
    </row>
    <row r="1253" spans="1:11" x14ac:dyDescent="0.25">
      <c r="A1253" t="s">
        <v>385</v>
      </c>
      <c r="B1253" t="s">
        <v>738</v>
      </c>
      <c r="C1253" t="s">
        <v>634</v>
      </c>
      <c r="D1253" t="s">
        <v>635</v>
      </c>
      <c r="E1253" t="s">
        <v>46</v>
      </c>
      <c r="F1253" t="s">
        <v>106</v>
      </c>
      <c r="G1253" t="s">
        <v>419</v>
      </c>
      <c r="H1253" t="s">
        <v>636</v>
      </c>
      <c r="I1253" t="s">
        <v>233</v>
      </c>
      <c r="J1253" t="s">
        <v>388</v>
      </c>
      <c r="K1253" t="s">
        <v>245</v>
      </c>
    </row>
    <row r="1254" spans="1:11" x14ac:dyDescent="0.25">
      <c r="A1254" t="s">
        <v>385</v>
      </c>
      <c r="B1254" t="s">
        <v>738</v>
      </c>
      <c r="C1254" t="s">
        <v>634</v>
      </c>
      <c r="D1254" t="s">
        <v>635</v>
      </c>
      <c r="E1254" t="s">
        <v>43</v>
      </c>
      <c r="F1254" t="s">
        <v>66</v>
      </c>
      <c r="G1254" t="s">
        <v>419</v>
      </c>
      <c r="H1254" t="s">
        <v>636</v>
      </c>
      <c r="I1254" t="s">
        <v>233</v>
      </c>
      <c r="J1254" t="s">
        <v>388</v>
      </c>
      <c r="K1254" t="s">
        <v>245</v>
      </c>
    </row>
    <row r="1255" spans="1:11" x14ac:dyDescent="0.25">
      <c r="A1255" t="s">
        <v>385</v>
      </c>
      <c r="B1255" t="s">
        <v>738</v>
      </c>
      <c r="C1255" t="s">
        <v>634</v>
      </c>
      <c r="D1255" t="s">
        <v>635</v>
      </c>
      <c r="E1255" t="s">
        <v>83</v>
      </c>
      <c r="F1255" t="s">
        <v>91</v>
      </c>
      <c r="G1255" t="s">
        <v>419</v>
      </c>
      <c r="H1255" t="s">
        <v>636</v>
      </c>
      <c r="I1255" t="s">
        <v>233</v>
      </c>
      <c r="J1255" t="s">
        <v>388</v>
      </c>
      <c r="K1255" t="s">
        <v>245</v>
      </c>
    </row>
    <row r="1256" spans="1:11" x14ac:dyDescent="0.25">
      <c r="A1256" t="s">
        <v>385</v>
      </c>
      <c r="B1256" t="s">
        <v>738</v>
      </c>
      <c r="C1256" t="s">
        <v>637</v>
      </c>
      <c r="D1256" t="s">
        <v>638</v>
      </c>
      <c r="E1256" t="s">
        <v>46</v>
      </c>
      <c r="F1256" t="s">
        <v>106</v>
      </c>
      <c r="G1256" t="s">
        <v>419</v>
      </c>
      <c r="H1256" t="s">
        <v>636</v>
      </c>
      <c r="I1256" t="s">
        <v>233</v>
      </c>
      <c r="J1256" t="s">
        <v>388</v>
      </c>
      <c r="K1256" t="s">
        <v>245</v>
      </c>
    </row>
    <row r="1257" spans="1:11" x14ac:dyDescent="0.25">
      <c r="A1257" t="s">
        <v>385</v>
      </c>
      <c r="B1257" t="s">
        <v>738</v>
      </c>
      <c r="C1257" t="s">
        <v>637</v>
      </c>
      <c r="D1257" t="s">
        <v>638</v>
      </c>
      <c r="E1257" t="s">
        <v>43</v>
      </c>
      <c r="F1257" t="s">
        <v>53</v>
      </c>
      <c r="G1257" t="s">
        <v>419</v>
      </c>
      <c r="H1257" t="s">
        <v>636</v>
      </c>
      <c r="I1257" t="s">
        <v>233</v>
      </c>
      <c r="J1257" t="s">
        <v>388</v>
      </c>
      <c r="K1257" t="s">
        <v>245</v>
      </c>
    </row>
    <row r="1258" spans="1:11" x14ac:dyDescent="0.25">
      <c r="A1258" t="s">
        <v>385</v>
      </c>
      <c r="B1258" t="s">
        <v>738</v>
      </c>
      <c r="C1258" t="s">
        <v>637</v>
      </c>
      <c r="D1258" t="s">
        <v>638</v>
      </c>
      <c r="E1258" t="s">
        <v>83</v>
      </c>
      <c r="F1258" t="s">
        <v>100</v>
      </c>
      <c r="G1258" t="s">
        <v>419</v>
      </c>
      <c r="H1258" t="s">
        <v>636</v>
      </c>
      <c r="I1258" t="s">
        <v>233</v>
      </c>
      <c r="J1258" t="s">
        <v>388</v>
      </c>
      <c r="K1258" t="s">
        <v>245</v>
      </c>
    </row>
    <row r="1259" spans="1:11" x14ac:dyDescent="0.25">
      <c r="A1259" t="s">
        <v>385</v>
      </c>
      <c r="B1259" t="s">
        <v>738</v>
      </c>
      <c r="C1259" t="s">
        <v>644</v>
      </c>
      <c r="G1259" t="s">
        <v>419</v>
      </c>
      <c r="H1259" t="s">
        <v>636</v>
      </c>
      <c r="I1259" t="s">
        <v>233</v>
      </c>
      <c r="J1259" t="s">
        <v>388</v>
      </c>
      <c r="K1259" t="s">
        <v>245</v>
      </c>
    </row>
    <row r="1260" spans="1:11" x14ac:dyDescent="0.25">
      <c r="A1260" t="s">
        <v>385</v>
      </c>
      <c r="B1260" t="s">
        <v>738</v>
      </c>
      <c r="C1260" t="s">
        <v>644</v>
      </c>
      <c r="G1260" t="s">
        <v>419</v>
      </c>
      <c r="H1260" t="s">
        <v>636</v>
      </c>
      <c r="I1260" t="s">
        <v>233</v>
      </c>
      <c r="J1260" t="s">
        <v>388</v>
      </c>
      <c r="K1260" t="s">
        <v>245</v>
      </c>
    </row>
    <row r="1261" spans="1:11" x14ac:dyDescent="0.25">
      <c r="A1261" t="s">
        <v>385</v>
      </c>
      <c r="B1261" t="s">
        <v>738</v>
      </c>
      <c r="C1261" t="s">
        <v>644</v>
      </c>
      <c r="G1261" t="s">
        <v>419</v>
      </c>
      <c r="H1261" t="s">
        <v>636</v>
      </c>
      <c r="I1261" t="s">
        <v>233</v>
      </c>
      <c r="J1261" t="s">
        <v>388</v>
      </c>
      <c r="K1261" t="s">
        <v>245</v>
      </c>
    </row>
    <row r="1262" spans="1:11" x14ac:dyDescent="0.25">
      <c r="A1262" t="s">
        <v>385</v>
      </c>
      <c r="B1262" t="s">
        <v>738</v>
      </c>
      <c r="C1262" t="s">
        <v>645</v>
      </c>
      <c r="G1262" t="s">
        <v>419</v>
      </c>
      <c r="H1262" t="s">
        <v>636</v>
      </c>
      <c r="I1262" t="s">
        <v>233</v>
      </c>
      <c r="J1262" t="s">
        <v>388</v>
      </c>
      <c r="K1262" t="s">
        <v>245</v>
      </c>
    </row>
    <row r="1263" spans="1:11" x14ac:dyDescent="0.25">
      <c r="A1263" t="s">
        <v>385</v>
      </c>
      <c r="B1263" t="s">
        <v>738</v>
      </c>
      <c r="C1263" t="s">
        <v>645</v>
      </c>
      <c r="G1263" t="s">
        <v>419</v>
      </c>
      <c r="H1263" t="s">
        <v>636</v>
      </c>
      <c r="I1263" t="s">
        <v>233</v>
      </c>
      <c r="J1263" t="s">
        <v>388</v>
      </c>
      <c r="K1263" t="s">
        <v>245</v>
      </c>
    </row>
    <row r="1264" spans="1:11" x14ac:dyDescent="0.25">
      <c r="A1264" t="s">
        <v>385</v>
      </c>
      <c r="B1264" t="s">
        <v>739</v>
      </c>
      <c r="C1264" t="s">
        <v>634</v>
      </c>
      <c r="D1264" t="s">
        <v>635</v>
      </c>
      <c r="E1264" t="s">
        <v>110</v>
      </c>
      <c r="F1264" t="s">
        <v>137</v>
      </c>
      <c r="G1264" t="s">
        <v>421</v>
      </c>
      <c r="H1264" t="s">
        <v>636</v>
      </c>
      <c r="I1264" t="s">
        <v>233</v>
      </c>
      <c r="J1264" t="s">
        <v>388</v>
      </c>
      <c r="K1264" t="s">
        <v>253</v>
      </c>
    </row>
    <row r="1265" spans="1:11" x14ac:dyDescent="0.25">
      <c r="A1265" t="s">
        <v>385</v>
      </c>
      <c r="B1265" t="s">
        <v>739</v>
      </c>
      <c r="C1265" t="s">
        <v>634</v>
      </c>
      <c r="D1265" t="s">
        <v>635</v>
      </c>
      <c r="E1265" t="s">
        <v>71</v>
      </c>
      <c r="F1265" t="s">
        <v>72</v>
      </c>
      <c r="G1265" t="s">
        <v>421</v>
      </c>
      <c r="H1265" t="s">
        <v>636</v>
      </c>
      <c r="I1265" t="s">
        <v>233</v>
      </c>
      <c r="J1265" t="s">
        <v>388</v>
      </c>
      <c r="K1265" t="s">
        <v>253</v>
      </c>
    </row>
    <row r="1266" spans="1:11" x14ac:dyDescent="0.25">
      <c r="A1266" t="s">
        <v>385</v>
      </c>
      <c r="B1266" t="s">
        <v>739</v>
      </c>
      <c r="C1266" t="s">
        <v>634</v>
      </c>
      <c r="D1266" t="s">
        <v>635</v>
      </c>
      <c r="E1266" t="s">
        <v>59</v>
      </c>
      <c r="F1266" t="s">
        <v>158</v>
      </c>
      <c r="G1266" t="s">
        <v>421</v>
      </c>
      <c r="H1266" t="s">
        <v>636</v>
      </c>
      <c r="I1266" t="s">
        <v>233</v>
      </c>
      <c r="J1266" t="s">
        <v>388</v>
      </c>
      <c r="K1266" t="s">
        <v>253</v>
      </c>
    </row>
    <row r="1267" spans="1:11" x14ac:dyDescent="0.25">
      <c r="A1267" t="s">
        <v>385</v>
      </c>
      <c r="B1267" t="s">
        <v>739</v>
      </c>
      <c r="C1267" t="s">
        <v>637</v>
      </c>
      <c r="D1267" t="s">
        <v>638</v>
      </c>
      <c r="E1267" t="s">
        <v>83</v>
      </c>
      <c r="F1267" t="s">
        <v>103</v>
      </c>
      <c r="G1267" t="s">
        <v>421</v>
      </c>
      <c r="H1267" t="s">
        <v>636</v>
      </c>
      <c r="I1267" t="s">
        <v>233</v>
      </c>
      <c r="J1267" t="s">
        <v>388</v>
      </c>
      <c r="K1267" t="s">
        <v>253</v>
      </c>
    </row>
    <row r="1268" spans="1:11" x14ac:dyDescent="0.25">
      <c r="A1268" t="s">
        <v>385</v>
      </c>
      <c r="B1268" t="s">
        <v>739</v>
      </c>
      <c r="C1268" t="s">
        <v>637</v>
      </c>
      <c r="D1268" t="s">
        <v>638</v>
      </c>
      <c r="E1268" t="s">
        <v>93</v>
      </c>
      <c r="F1268" t="s">
        <v>135</v>
      </c>
      <c r="G1268" t="s">
        <v>421</v>
      </c>
      <c r="H1268" t="s">
        <v>636</v>
      </c>
      <c r="I1268" t="s">
        <v>233</v>
      </c>
      <c r="J1268" t="s">
        <v>388</v>
      </c>
      <c r="K1268" t="s">
        <v>253</v>
      </c>
    </row>
    <row r="1269" spans="1:11" x14ac:dyDescent="0.25">
      <c r="A1269" t="s">
        <v>385</v>
      </c>
      <c r="B1269" t="s">
        <v>739</v>
      </c>
      <c r="C1269" t="s">
        <v>637</v>
      </c>
      <c r="D1269" t="s">
        <v>640</v>
      </c>
      <c r="E1269" t="s">
        <v>63</v>
      </c>
      <c r="F1269" t="s">
        <v>67</v>
      </c>
      <c r="G1269" t="s">
        <v>421</v>
      </c>
      <c r="H1269" t="s">
        <v>636</v>
      </c>
      <c r="I1269" t="s">
        <v>233</v>
      </c>
      <c r="J1269" t="s">
        <v>388</v>
      </c>
      <c r="K1269" t="s">
        <v>253</v>
      </c>
    </row>
    <row r="1270" spans="1:11" x14ac:dyDescent="0.25">
      <c r="A1270" t="s">
        <v>385</v>
      </c>
      <c r="B1270" t="s">
        <v>739</v>
      </c>
      <c r="C1270" t="s">
        <v>644</v>
      </c>
      <c r="G1270" t="s">
        <v>421</v>
      </c>
      <c r="H1270" t="s">
        <v>636</v>
      </c>
      <c r="I1270" t="s">
        <v>233</v>
      </c>
      <c r="J1270" t="s">
        <v>388</v>
      </c>
      <c r="K1270" t="s">
        <v>253</v>
      </c>
    </row>
    <row r="1271" spans="1:11" x14ac:dyDescent="0.25">
      <c r="A1271" t="s">
        <v>385</v>
      </c>
      <c r="B1271" t="s">
        <v>739</v>
      </c>
      <c r="C1271" t="s">
        <v>644</v>
      </c>
      <c r="G1271" t="s">
        <v>421</v>
      </c>
      <c r="H1271" t="s">
        <v>636</v>
      </c>
      <c r="I1271" t="s">
        <v>233</v>
      </c>
      <c r="J1271" t="s">
        <v>388</v>
      </c>
      <c r="K1271" t="s">
        <v>253</v>
      </c>
    </row>
    <row r="1272" spans="1:11" x14ac:dyDescent="0.25">
      <c r="A1272" t="s">
        <v>385</v>
      </c>
      <c r="B1272" t="s">
        <v>739</v>
      </c>
      <c r="C1272" t="s">
        <v>644</v>
      </c>
      <c r="G1272" t="s">
        <v>421</v>
      </c>
      <c r="H1272" t="s">
        <v>636</v>
      </c>
      <c r="I1272" t="s">
        <v>233</v>
      </c>
      <c r="J1272" t="s">
        <v>388</v>
      </c>
      <c r="K1272" t="s">
        <v>253</v>
      </c>
    </row>
    <row r="1273" spans="1:11" x14ac:dyDescent="0.25">
      <c r="A1273" t="s">
        <v>385</v>
      </c>
      <c r="B1273" t="s">
        <v>739</v>
      </c>
      <c r="C1273" t="s">
        <v>645</v>
      </c>
      <c r="G1273" t="s">
        <v>421</v>
      </c>
      <c r="H1273" t="s">
        <v>636</v>
      </c>
      <c r="I1273" t="s">
        <v>233</v>
      </c>
      <c r="J1273" t="s">
        <v>388</v>
      </c>
      <c r="K1273" t="s">
        <v>253</v>
      </c>
    </row>
    <row r="1274" spans="1:11" x14ac:dyDescent="0.25">
      <c r="A1274" t="s">
        <v>385</v>
      </c>
      <c r="B1274" t="s">
        <v>739</v>
      </c>
      <c r="C1274" t="s">
        <v>645</v>
      </c>
      <c r="G1274" t="s">
        <v>421</v>
      </c>
      <c r="H1274" t="s">
        <v>636</v>
      </c>
      <c r="I1274" t="s">
        <v>233</v>
      </c>
      <c r="J1274" t="s">
        <v>388</v>
      </c>
      <c r="K1274" t="s">
        <v>253</v>
      </c>
    </row>
    <row r="1275" spans="1:11" x14ac:dyDescent="0.25">
      <c r="A1275" t="s">
        <v>422</v>
      </c>
      <c r="B1275" t="s">
        <v>651</v>
      </c>
      <c r="C1275" t="s">
        <v>634</v>
      </c>
      <c r="D1275" t="s">
        <v>635</v>
      </c>
      <c r="E1275" t="s">
        <v>43</v>
      </c>
      <c r="F1275" t="s">
        <v>53</v>
      </c>
      <c r="G1275" t="s">
        <v>424</v>
      </c>
      <c r="H1275" t="s">
        <v>636</v>
      </c>
      <c r="I1275" t="s">
        <v>233</v>
      </c>
      <c r="J1275" t="s">
        <v>388</v>
      </c>
      <c r="K1275" t="s">
        <v>27</v>
      </c>
    </row>
    <row r="1276" spans="1:11" x14ac:dyDescent="0.25">
      <c r="A1276" t="s">
        <v>422</v>
      </c>
      <c r="B1276" t="s">
        <v>651</v>
      </c>
      <c r="C1276" t="s">
        <v>634</v>
      </c>
      <c r="D1276" t="s">
        <v>635</v>
      </c>
      <c r="E1276" t="s">
        <v>43</v>
      </c>
      <c r="F1276" t="s">
        <v>49</v>
      </c>
      <c r="G1276" t="s">
        <v>424</v>
      </c>
      <c r="H1276" t="s">
        <v>636</v>
      </c>
      <c r="I1276" t="s">
        <v>233</v>
      </c>
      <c r="J1276" t="s">
        <v>388</v>
      </c>
      <c r="K1276" t="s">
        <v>27</v>
      </c>
    </row>
    <row r="1277" spans="1:11" x14ac:dyDescent="0.25">
      <c r="A1277" t="s">
        <v>422</v>
      </c>
      <c r="B1277" t="s">
        <v>651</v>
      </c>
      <c r="C1277" t="s">
        <v>634</v>
      </c>
      <c r="D1277" t="s">
        <v>638</v>
      </c>
      <c r="E1277" t="s">
        <v>43</v>
      </c>
      <c r="F1277" t="s">
        <v>53</v>
      </c>
      <c r="G1277" t="s">
        <v>424</v>
      </c>
      <c r="H1277" t="s">
        <v>636</v>
      </c>
      <c r="I1277" t="s">
        <v>233</v>
      </c>
      <c r="J1277" t="s">
        <v>388</v>
      </c>
      <c r="K1277" t="s">
        <v>27</v>
      </c>
    </row>
    <row r="1278" spans="1:11" x14ac:dyDescent="0.25">
      <c r="A1278" t="s">
        <v>422</v>
      </c>
      <c r="B1278" t="s">
        <v>651</v>
      </c>
      <c r="C1278" t="s">
        <v>637</v>
      </c>
      <c r="D1278" t="s">
        <v>638</v>
      </c>
      <c r="E1278" t="s">
        <v>69</v>
      </c>
      <c r="F1278" t="s">
        <v>47</v>
      </c>
      <c r="G1278" t="s">
        <v>424</v>
      </c>
      <c r="H1278" t="s">
        <v>636</v>
      </c>
      <c r="I1278" t="s">
        <v>233</v>
      </c>
      <c r="J1278" t="s">
        <v>388</v>
      </c>
      <c r="K1278" t="s">
        <v>27</v>
      </c>
    </row>
    <row r="1279" spans="1:11" x14ac:dyDescent="0.25">
      <c r="A1279" t="s">
        <v>422</v>
      </c>
      <c r="B1279" t="s">
        <v>651</v>
      </c>
      <c r="C1279" t="s">
        <v>637</v>
      </c>
      <c r="D1279" t="s">
        <v>638</v>
      </c>
      <c r="E1279" t="s">
        <v>69</v>
      </c>
      <c r="F1279" t="s">
        <v>80</v>
      </c>
      <c r="G1279" t="s">
        <v>424</v>
      </c>
      <c r="H1279" t="s">
        <v>636</v>
      </c>
      <c r="I1279" t="s">
        <v>233</v>
      </c>
      <c r="J1279" t="s">
        <v>388</v>
      </c>
      <c r="K1279" t="s">
        <v>27</v>
      </c>
    </row>
    <row r="1280" spans="1:11" x14ac:dyDescent="0.25">
      <c r="A1280" t="s">
        <v>422</v>
      </c>
      <c r="B1280" t="s">
        <v>651</v>
      </c>
      <c r="C1280" t="s">
        <v>637</v>
      </c>
      <c r="D1280" t="s">
        <v>638</v>
      </c>
      <c r="E1280" t="s">
        <v>71</v>
      </c>
      <c r="F1280" t="s">
        <v>72</v>
      </c>
      <c r="G1280" t="s">
        <v>424</v>
      </c>
      <c r="H1280" t="s">
        <v>636</v>
      </c>
      <c r="I1280" t="s">
        <v>233</v>
      </c>
      <c r="J1280" t="s">
        <v>388</v>
      </c>
      <c r="K1280" t="s">
        <v>27</v>
      </c>
    </row>
    <row r="1281" spans="1:11" x14ac:dyDescent="0.25">
      <c r="A1281" t="s">
        <v>422</v>
      </c>
      <c r="B1281" t="s">
        <v>651</v>
      </c>
      <c r="C1281" t="s">
        <v>644</v>
      </c>
      <c r="D1281" t="s">
        <v>638</v>
      </c>
      <c r="E1281" t="s">
        <v>83</v>
      </c>
      <c r="F1281" t="s">
        <v>101</v>
      </c>
      <c r="G1281" t="s">
        <v>424</v>
      </c>
      <c r="H1281" t="s">
        <v>636</v>
      </c>
      <c r="I1281" t="s">
        <v>233</v>
      </c>
      <c r="J1281" t="s">
        <v>388</v>
      </c>
      <c r="K1281" t="s">
        <v>27</v>
      </c>
    </row>
    <row r="1282" spans="1:11" x14ac:dyDescent="0.25">
      <c r="A1282" t="s">
        <v>422</v>
      </c>
      <c r="B1282" t="s">
        <v>651</v>
      </c>
      <c r="C1282" t="s">
        <v>644</v>
      </c>
      <c r="D1282" t="s">
        <v>638</v>
      </c>
      <c r="E1282" t="s">
        <v>83</v>
      </c>
      <c r="F1282" t="s">
        <v>104</v>
      </c>
      <c r="G1282" t="s">
        <v>424</v>
      </c>
      <c r="H1282" t="s">
        <v>636</v>
      </c>
      <c r="I1282" t="s">
        <v>233</v>
      </c>
      <c r="J1282" t="s">
        <v>388</v>
      </c>
      <c r="K1282" t="s">
        <v>27</v>
      </c>
    </row>
    <row r="1283" spans="1:11" x14ac:dyDescent="0.25">
      <c r="A1283" t="s">
        <v>422</v>
      </c>
      <c r="B1283" t="s">
        <v>651</v>
      </c>
      <c r="C1283" t="s">
        <v>644</v>
      </c>
      <c r="D1283" t="s">
        <v>638</v>
      </c>
      <c r="E1283" t="s">
        <v>46</v>
      </c>
      <c r="F1283" t="s">
        <v>47</v>
      </c>
      <c r="G1283" t="s">
        <v>424</v>
      </c>
      <c r="H1283" t="s">
        <v>636</v>
      </c>
      <c r="I1283" t="s">
        <v>233</v>
      </c>
      <c r="J1283" t="s">
        <v>388</v>
      </c>
      <c r="K1283" t="s">
        <v>27</v>
      </c>
    </row>
    <row r="1284" spans="1:11" x14ac:dyDescent="0.25">
      <c r="A1284" t="s">
        <v>422</v>
      </c>
      <c r="B1284" t="s">
        <v>651</v>
      </c>
      <c r="C1284" t="s">
        <v>645</v>
      </c>
      <c r="D1284" t="s">
        <v>638</v>
      </c>
      <c r="E1284" t="s">
        <v>110</v>
      </c>
      <c r="G1284" t="s">
        <v>424</v>
      </c>
      <c r="H1284" t="s">
        <v>636</v>
      </c>
      <c r="I1284" t="s">
        <v>233</v>
      </c>
      <c r="J1284" t="s">
        <v>388</v>
      </c>
      <c r="K1284" t="s">
        <v>27</v>
      </c>
    </row>
    <row r="1285" spans="1:11" x14ac:dyDescent="0.25">
      <c r="A1285" t="s">
        <v>422</v>
      </c>
      <c r="B1285" t="s">
        <v>651</v>
      </c>
      <c r="C1285" t="s">
        <v>645</v>
      </c>
      <c r="D1285" t="s">
        <v>638</v>
      </c>
      <c r="E1285" t="s">
        <v>63</v>
      </c>
      <c r="F1285" t="s">
        <v>67</v>
      </c>
      <c r="G1285" t="s">
        <v>424</v>
      </c>
      <c r="H1285" t="s">
        <v>636</v>
      </c>
      <c r="I1285" t="s">
        <v>233</v>
      </c>
      <c r="J1285" t="s">
        <v>388</v>
      </c>
      <c r="K1285" t="s">
        <v>27</v>
      </c>
    </row>
    <row r="1286" spans="1:11" x14ac:dyDescent="0.25">
      <c r="A1286" t="s">
        <v>422</v>
      </c>
      <c r="B1286" t="s">
        <v>665</v>
      </c>
      <c r="C1286" t="s">
        <v>634</v>
      </c>
      <c r="D1286" t="s">
        <v>635</v>
      </c>
      <c r="E1286" t="s">
        <v>69</v>
      </c>
      <c r="F1286" t="s">
        <v>74</v>
      </c>
      <c r="G1286" t="s">
        <v>444</v>
      </c>
      <c r="H1286" t="s">
        <v>636</v>
      </c>
      <c r="I1286" t="s">
        <v>233</v>
      </c>
      <c r="J1286" t="s">
        <v>388</v>
      </c>
      <c r="K1286" t="s">
        <v>19</v>
      </c>
    </row>
    <row r="1287" spans="1:11" x14ac:dyDescent="0.25">
      <c r="A1287" t="s">
        <v>422</v>
      </c>
      <c r="B1287" t="s">
        <v>665</v>
      </c>
      <c r="C1287" t="s">
        <v>634</v>
      </c>
      <c r="D1287" t="s">
        <v>635</v>
      </c>
      <c r="E1287" t="s">
        <v>69</v>
      </c>
      <c r="F1287" t="s">
        <v>82</v>
      </c>
      <c r="G1287" t="s">
        <v>444</v>
      </c>
      <c r="H1287" t="s">
        <v>636</v>
      </c>
      <c r="I1287" t="s">
        <v>233</v>
      </c>
      <c r="J1287" t="s">
        <v>388</v>
      </c>
      <c r="K1287" t="s">
        <v>19</v>
      </c>
    </row>
    <row r="1288" spans="1:11" x14ac:dyDescent="0.25">
      <c r="A1288" t="s">
        <v>422</v>
      </c>
      <c r="B1288" t="s">
        <v>665</v>
      </c>
      <c r="C1288" t="s">
        <v>634</v>
      </c>
      <c r="D1288" t="s">
        <v>635</v>
      </c>
      <c r="E1288" t="s">
        <v>71</v>
      </c>
      <c r="F1288" t="s">
        <v>99</v>
      </c>
      <c r="G1288" t="s">
        <v>444</v>
      </c>
      <c r="H1288" t="s">
        <v>636</v>
      </c>
      <c r="I1288" t="s">
        <v>233</v>
      </c>
      <c r="J1288" t="s">
        <v>388</v>
      </c>
      <c r="K1288" t="s">
        <v>19</v>
      </c>
    </row>
    <row r="1289" spans="1:11" x14ac:dyDescent="0.25">
      <c r="A1289" t="s">
        <v>422</v>
      </c>
      <c r="B1289" t="s">
        <v>665</v>
      </c>
      <c r="C1289" t="s">
        <v>637</v>
      </c>
      <c r="D1289" t="s">
        <v>635</v>
      </c>
      <c r="E1289" t="s">
        <v>71</v>
      </c>
      <c r="F1289" t="s">
        <v>88</v>
      </c>
      <c r="G1289" t="s">
        <v>444</v>
      </c>
      <c r="H1289" t="s">
        <v>636</v>
      </c>
      <c r="I1289" t="s">
        <v>233</v>
      </c>
      <c r="J1289" t="s">
        <v>388</v>
      </c>
      <c r="K1289" t="s">
        <v>19</v>
      </c>
    </row>
    <row r="1290" spans="1:11" x14ac:dyDescent="0.25">
      <c r="A1290" t="s">
        <v>422</v>
      </c>
      <c r="B1290" t="s">
        <v>665</v>
      </c>
      <c r="C1290" t="s">
        <v>637</v>
      </c>
      <c r="D1290" t="s">
        <v>638</v>
      </c>
      <c r="E1290" t="s">
        <v>43</v>
      </c>
      <c r="F1290" t="s">
        <v>49</v>
      </c>
      <c r="G1290" t="s">
        <v>444</v>
      </c>
      <c r="H1290" t="s">
        <v>636</v>
      </c>
      <c r="I1290" t="s">
        <v>233</v>
      </c>
      <c r="J1290" t="s">
        <v>388</v>
      </c>
      <c r="K1290" t="s">
        <v>19</v>
      </c>
    </row>
    <row r="1291" spans="1:11" x14ac:dyDescent="0.25">
      <c r="A1291" t="s">
        <v>422</v>
      </c>
      <c r="B1291" t="s">
        <v>665</v>
      </c>
      <c r="C1291" t="s">
        <v>637</v>
      </c>
      <c r="D1291" t="s">
        <v>638</v>
      </c>
      <c r="E1291" t="s">
        <v>43</v>
      </c>
      <c r="F1291" t="s">
        <v>44</v>
      </c>
      <c r="G1291" t="s">
        <v>444</v>
      </c>
      <c r="H1291" t="s">
        <v>636</v>
      </c>
      <c r="I1291" t="s">
        <v>233</v>
      </c>
      <c r="J1291" t="s">
        <v>388</v>
      </c>
      <c r="K1291" t="s">
        <v>19</v>
      </c>
    </row>
    <row r="1292" spans="1:11" x14ac:dyDescent="0.25">
      <c r="A1292" t="s">
        <v>422</v>
      </c>
      <c r="B1292" t="s">
        <v>665</v>
      </c>
      <c r="C1292" t="s">
        <v>644</v>
      </c>
      <c r="D1292" t="s">
        <v>638</v>
      </c>
      <c r="E1292" t="s">
        <v>43</v>
      </c>
      <c r="F1292" t="s">
        <v>57</v>
      </c>
      <c r="G1292" t="s">
        <v>444</v>
      </c>
      <c r="H1292" t="s">
        <v>636</v>
      </c>
      <c r="I1292" t="s">
        <v>233</v>
      </c>
      <c r="J1292" t="s">
        <v>388</v>
      </c>
      <c r="K1292" t="s">
        <v>19</v>
      </c>
    </row>
    <row r="1293" spans="1:11" x14ac:dyDescent="0.25">
      <c r="A1293" t="s">
        <v>422</v>
      </c>
      <c r="B1293" t="s">
        <v>665</v>
      </c>
      <c r="C1293" t="s">
        <v>644</v>
      </c>
      <c r="D1293" t="s">
        <v>638</v>
      </c>
      <c r="E1293" t="s">
        <v>46</v>
      </c>
      <c r="F1293" t="s">
        <v>124</v>
      </c>
      <c r="G1293" t="s">
        <v>444</v>
      </c>
      <c r="H1293" t="s">
        <v>636</v>
      </c>
      <c r="I1293" t="s">
        <v>233</v>
      </c>
      <c r="J1293" t="s">
        <v>388</v>
      </c>
      <c r="K1293" t="s">
        <v>19</v>
      </c>
    </row>
    <row r="1294" spans="1:11" x14ac:dyDescent="0.25">
      <c r="A1294" t="s">
        <v>422</v>
      </c>
      <c r="B1294" t="s">
        <v>665</v>
      </c>
      <c r="C1294" t="s">
        <v>644</v>
      </c>
      <c r="D1294" t="s">
        <v>640</v>
      </c>
      <c r="E1294" t="s">
        <v>83</v>
      </c>
      <c r="F1294" t="s">
        <v>104</v>
      </c>
      <c r="G1294" t="s">
        <v>444</v>
      </c>
      <c r="H1294" t="s">
        <v>636</v>
      </c>
      <c r="I1294" t="s">
        <v>233</v>
      </c>
      <c r="J1294" t="s">
        <v>388</v>
      </c>
      <c r="K1294" t="s">
        <v>19</v>
      </c>
    </row>
    <row r="1295" spans="1:11" x14ac:dyDescent="0.25">
      <c r="A1295" t="s">
        <v>422</v>
      </c>
      <c r="B1295" t="s">
        <v>665</v>
      </c>
      <c r="C1295" t="s">
        <v>645</v>
      </c>
      <c r="D1295" t="s">
        <v>640</v>
      </c>
      <c r="E1295" t="s">
        <v>46</v>
      </c>
      <c r="F1295" t="s">
        <v>47</v>
      </c>
      <c r="G1295" t="s">
        <v>444</v>
      </c>
      <c r="H1295" t="s">
        <v>636</v>
      </c>
      <c r="I1295" t="s">
        <v>233</v>
      </c>
      <c r="J1295" t="s">
        <v>388</v>
      </c>
      <c r="K1295" t="s">
        <v>19</v>
      </c>
    </row>
    <row r="1296" spans="1:11" x14ac:dyDescent="0.25">
      <c r="A1296" t="s">
        <v>422</v>
      </c>
      <c r="B1296" t="s">
        <v>665</v>
      </c>
      <c r="C1296" t="s">
        <v>645</v>
      </c>
      <c r="D1296" t="s">
        <v>640</v>
      </c>
      <c r="E1296" t="s">
        <v>110</v>
      </c>
      <c r="F1296" t="s">
        <v>142</v>
      </c>
      <c r="G1296" t="s">
        <v>444</v>
      </c>
      <c r="H1296" t="s">
        <v>636</v>
      </c>
      <c r="I1296" t="s">
        <v>233</v>
      </c>
      <c r="J1296" t="s">
        <v>388</v>
      </c>
      <c r="K1296" t="s">
        <v>19</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934D-3D95-403F-A8E4-DF26A5EDA21F}">
  <dimension ref="A1:I232"/>
  <sheetViews>
    <sheetView workbookViewId="0">
      <selection activeCell="D35" sqref="D35"/>
    </sheetView>
  </sheetViews>
  <sheetFormatPr defaultColWidth="8.85546875" defaultRowHeight="15" x14ac:dyDescent="0.25"/>
  <cols>
    <col min="1" max="1" width="49" bestFit="1" customWidth="1"/>
    <col min="2" max="3" width="13.42578125" bestFit="1" customWidth="1"/>
    <col min="4" max="4" width="81.140625" bestFit="1" customWidth="1"/>
    <col min="5" max="5" width="14.85546875" bestFit="1" customWidth="1"/>
    <col min="6" max="6" width="12.7109375" bestFit="1" customWidth="1"/>
    <col min="7" max="7" width="24.5703125" bestFit="1" customWidth="1"/>
    <col min="8" max="8" width="12.140625" bestFit="1" customWidth="1"/>
    <col min="9" max="9" width="65.5703125" bestFit="1" customWidth="1"/>
  </cols>
  <sheetData>
    <row r="1" spans="1:9" x14ac:dyDescent="0.25">
      <c r="A1" t="s">
        <v>255</v>
      </c>
      <c r="B1" t="s">
        <v>256</v>
      </c>
      <c r="C1" t="s">
        <v>630</v>
      </c>
      <c r="D1" t="s">
        <v>740</v>
      </c>
      <c r="E1" t="s">
        <v>257</v>
      </c>
      <c r="F1" t="s">
        <v>258</v>
      </c>
      <c r="G1" t="s">
        <v>36</v>
      </c>
      <c r="H1" t="s">
        <v>259</v>
      </c>
      <c r="I1" t="s">
        <v>260</v>
      </c>
    </row>
    <row r="2" spans="1:9" x14ac:dyDescent="0.25">
      <c r="A2" t="s">
        <v>267</v>
      </c>
      <c r="B2" t="s">
        <v>741</v>
      </c>
      <c r="C2" t="s">
        <v>635</v>
      </c>
      <c r="D2" t="s">
        <v>742</v>
      </c>
      <c r="E2" t="s">
        <v>269</v>
      </c>
      <c r="F2" t="s">
        <v>743</v>
      </c>
      <c r="G2" t="s">
        <v>42</v>
      </c>
      <c r="H2" t="s">
        <v>271</v>
      </c>
      <c r="I2" t="s">
        <v>65</v>
      </c>
    </row>
    <row r="3" spans="1:9" x14ac:dyDescent="0.25">
      <c r="A3" t="s">
        <v>267</v>
      </c>
      <c r="B3" t="s">
        <v>741</v>
      </c>
      <c r="C3" t="s">
        <v>638</v>
      </c>
      <c r="D3" t="s">
        <v>744</v>
      </c>
      <c r="E3" t="s">
        <v>269</v>
      </c>
      <c r="F3" t="s">
        <v>743</v>
      </c>
      <c r="G3" t="s">
        <v>42</v>
      </c>
      <c r="H3" t="s">
        <v>271</v>
      </c>
      <c r="I3" t="s">
        <v>65</v>
      </c>
    </row>
    <row r="4" spans="1:9" x14ac:dyDescent="0.25">
      <c r="A4" t="s">
        <v>267</v>
      </c>
      <c r="B4" t="s">
        <v>745</v>
      </c>
      <c r="C4" t="s">
        <v>635</v>
      </c>
      <c r="D4" t="s">
        <v>746</v>
      </c>
      <c r="E4" t="s">
        <v>273</v>
      </c>
      <c r="F4" t="s">
        <v>743</v>
      </c>
      <c r="G4" t="s">
        <v>42</v>
      </c>
      <c r="H4" t="s">
        <v>271</v>
      </c>
      <c r="I4" t="s">
        <v>85</v>
      </c>
    </row>
    <row r="5" spans="1:9" x14ac:dyDescent="0.25">
      <c r="A5" t="s">
        <v>267</v>
      </c>
      <c r="B5" t="s">
        <v>745</v>
      </c>
      <c r="C5" t="s">
        <v>638</v>
      </c>
      <c r="D5" t="s">
        <v>747</v>
      </c>
      <c r="E5" t="s">
        <v>273</v>
      </c>
      <c r="F5" t="s">
        <v>743</v>
      </c>
      <c r="G5" t="s">
        <v>42</v>
      </c>
      <c r="H5" t="s">
        <v>271</v>
      </c>
      <c r="I5" t="s">
        <v>85</v>
      </c>
    </row>
    <row r="6" spans="1:9" x14ac:dyDescent="0.25">
      <c r="A6" t="s">
        <v>267</v>
      </c>
      <c r="B6" t="s">
        <v>745</v>
      </c>
      <c r="C6" t="s">
        <v>640</v>
      </c>
      <c r="D6" t="s">
        <v>748</v>
      </c>
      <c r="E6" t="s">
        <v>273</v>
      </c>
      <c r="F6" t="s">
        <v>743</v>
      </c>
      <c r="G6" t="s">
        <v>42</v>
      </c>
      <c r="H6" t="s">
        <v>271</v>
      </c>
      <c r="I6" t="s">
        <v>85</v>
      </c>
    </row>
    <row r="7" spans="1:9" x14ac:dyDescent="0.25">
      <c r="A7" t="s">
        <v>267</v>
      </c>
      <c r="B7" t="s">
        <v>745</v>
      </c>
      <c r="C7" t="s">
        <v>641</v>
      </c>
      <c r="D7" t="s">
        <v>749</v>
      </c>
      <c r="E7" t="s">
        <v>273</v>
      </c>
      <c r="F7" t="s">
        <v>743</v>
      </c>
      <c r="G7" t="s">
        <v>42</v>
      </c>
      <c r="H7" t="s">
        <v>271</v>
      </c>
      <c r="I7" t="s">
        <v>85</v>
      </c>
    </row>
    <row r="8" spans="1:9" x14ac:dyDescent="0.25">
      <c r="A8" t="s">
        <v>267</v>
      </c>
      <c r="B8" t="s">
        <v>750</v>
      </c>
      <c r="C8" t="s">
        <v>635</v>
      </c>
      <c r="D8" t="s">
        <v>751</v>
      </c>
      <c r="E8" t="s">
        <v>275</v>
      </c>
      <c r="F8" t="s">
        <v>743</v>
      </c>
      <c r="G8" t="s">
        <v>42</v>
      </c>
      <c r="H8" t="s">
        <v>271</v>
      </c>
      <c r="I8" t="s">
        <v>97</v>
      </c>
    </row>
    <row r="9" spans="1:9" x14ac:dyDescent="0.25">
      <c r="A9" t="s">
        <v>267</v>
      </c>
      <c r="B9" t="s">
        <v>750</v>
      </c>
      <c r="C9" t="s">
        <v>638</v>
      </c>
      <c r="D9" t="s">
        <v>752</v>
      </c>
      <c r="E9" t="s">
        <v>275</v>
      </c>
      <c r="F9" t="s">
        <v>743</v>
      </c>
      <c r="G9" t="s">
        <v>42</v>
      </c>
      <c r="H9" t="s">
        <v>271</v>
      </c>
      <c r="I9" t="s">
        <v>97</v>
      </c>
    </row>
    <row r="10" spans="1:9" x14ac:dyDescent="0.25">
      <c r="A10" t="s">
        <v>267</v>
      </c>
      <c r="B10" t="s">
        <v>750</v>
      </c>
      <c r="C10" t="s">
        <v>640</v>
      </c>
      <c r="D10" t="s">
        <v>753</v>
      </c>
      <c r="E10" t="s">
        <v>275</v>
      </c>
      <c r="F10" t="s">
        <v>743</v>
      </c>
      <c r="G10" t="s">
        <v>42</v>
      </c>
      <c r="H10" t="s">
        <v>271</v>
      </c>
      <c r="I10" t="s">
        <v>97</v>
      </c>
    </row>
    <row r="11" spans="1:9" x14ac:dyDescent="0.25">
      <c r="A11" t="s">
        <v>267</v>
      </c>
      <c r="B11" t="s">
        <v>754</v>
      </c>
      <c r="C11" t="s">
        <v>635</v>
      </c>
      <c r="D11" t="s">
        <v>755</v>
      </c>
      <c r="E11" t="s">
        <v>280</v>
      </c>
      <c r="F11" t="s">
        <v>743</v>
      </c>
      <c r="G11" t="s">
        <v>42</v>
      </c>
      <c r="H11" t="s">
        <v>271</v>
      </c>
      <c r="I11" t="s">
        <v>281</v>
      </c>
    </row>
    <row r="12" spans="1:9" x14ac:dyDescent="0.25">
      <c r="A12" t="s">
        <v>267</v>
      </c>
      <c r="B12" t="s">
        <v>754</v>
      </c>
      <c r="C12" t="s">
        <v>638</v>
      </c>
      <c r="D12" t="s">
        <v>756</v>
      </c>
      <c r="E12" t="s">
        <v>280</v>
      </c>
      <c r="F12" t="s">
        <v>743</v>
      </c>
      <c r="G12" t="s">
        <v>42</v>
      </c>
      <c r="H12" t="s">
        <v>271</v>
      </c>
      <c r="I12" t="s">
        <v>281</v>
      </c>
    </row>
    <row r="13" spans="1:9" x14ac:dyDescent="0.25">
      <c r="A13" t="s">
        <v>267</v>
      </c>
      <c r="B13" t="s">
        <v>754</v>
      </c>
      <c r="C13" t="s">
        <v>640</v>
      </c>
      <c r="D13" t="s">
        <v>757</v>
      </c>
      <c r="E13" t="s">
        <v>280</v>
      </c>
      <c r="F13" t="s">
        <v>743</v>
      </c>
      <c r="G13" t="s">
        <v>42</v>
      </c>
      <c r="H13" t="s">
        <v>271</v>
      </c>
      <c r="I13" t="s">
        <v>281</v>
      </c>
    </row>
    <row r="14" spans="1:9" x14ac:dyDescent="0.25">
      <c r="A14" t="s">
        <v>267</v>
      </c>
      <c r="B14" t="s">
        <v>758</v>
      </c>
      <c r="C14" t="s">
        <v>635</v>
      </c>
      <c r="D14" t="s">
        <v>759</v>
      </c>
      <c r="E14" t="s">
        <v>283</v>
      </c>
      <c r="F14" t="s">
        <v>743</v>
      </c>
      <c r="G14" t="s">
        <v>42</v>
      </c>
      <c r="H14" t="s">
        <v>271</v>
      </c>
      <c r="I14" t="s">
        <v>109</v>
      </c>
    </row>
    <row r="15" spans="1:9" x14ac:dyDescent="0.25">
      <c r="A15" t="s">
        <v>267</v>
      </c>
      <c r="B15" t="s">
        <v>758</v>
      </c>
      <c r="C15" t="s">
        <v>638</v>
      </c>
      <c r="D15" t="s">
        <v>760</v>
      </c>
      <c r="E15" t="s">
        <v>283</v>
      </c>
      <c r="F15" t="s">
        <v>743</v>
      </c>
      <c r="G15" t="s">
        <v>42</v>
      </c>
      <c r="H15" t="s">
        <v>271</v>
      </c>
      <c r="I15" t="s">
        <v>109</v>
      </c>
    </row>
    <row r="16" spans="1:9" x14ac:dyDescent="0.25">
      <c r="A16" t="s">
        <v>267</v>
      </c>
      <c r="B16" t="s">
        <v>761</v>
      </c>
      <c r="C16" t="s">
        <v>635</v>
      </c>
      <c r="D16" t="s">
        <v>762</v>
      </c>
      <c r="E16" t="s">
        <v>285</v>
      </c>
      <c r="F16" t="s">
        <v>743</v>
      </c>
      <c r="G16" t="s">
        <v>42</v>
      </c>
      <c r="H16" t="s">
        <v>271</v>
      </c>
      <c r="I16" t="s">
        <v>286</v>
      </c>
    </row>
    <row r="17" spans="1:9" x14ac:dyDescent="0.25">
      <c r="A17" t="s">
        <v>267</v>
      </c>
      <c r="B17" t="s">
        <v>761</v>
      </c>
      <c r="C17" t="s">
        <v>638</v>
      </c>
      <c r="D17" t="s">
        <v>763</v>
      </c>
      <c r="E17" t="s">
        <v>285</v>
      </c>
      <c r="F17" t="s">
        <v>743</v>
      </c>
      <c r="G17" t="s">
        <v>42</v>
      </c>
      <c r="H17" t="s">
        <v>271</v>
      </c>
      <c r="I17" t="s">
        <v>286</v>
      </c>
    </row>
    <row r="18" spans="1:9" x14ac:dyDescent="0.25">
      <c r="A18" t="s">
        <v>267</v>
      </c>
      <c r="B18" t="s">
        <v>761</v>
      </c>
      <c r="C18" t="s">
        <v>640</v>
      </c>
      <c r="D18" t="s">
        <v>764</v>
      </c>
      <c r="E18" t="s">
        <v>285</v>
      </c>
      <c r="F18" t="s">
        <v>743</v>
      </c>
      <c r="G18" t="s">
        <v>42</v>
      </c>
      <c r="H18" t="s">
        <v>271</v>
      </c>
      <c r="I18" t="s">
        <v>286</v>
      </c>
    </row>
    <row r="19" spans="1:9" x14ac:dyDescent="0.25">
      <c r="A19" t="s">
        <v>267</v>
      </c>
      <c r="B19" t="s">
        <v>765</v>
      </c>
      <c r="C19" t="s">
        <v>635</v>
      </c>
      <c r="D19" t="s">
        <v>766</v>
      </c>
      <c r="E19" t="s">
        <v>288</v>
      </c>
      <c r="F19" t="s">
        <v>743</v>
      </c>
      <c r="G19" t="s">
        <v>42</v>
      </c>
      <c r="H19" t="s">
        <v>271</v>
      </c>
      <c r="I19" t="s">
        <v>289</v>
      </c>
    </row>
    <row r="20" spans="1:9" x14ac:dyDescent="0.25">
      <c r="A20" t="s">
        <v>267</v>
      </c>
      <c r="B20" t="s">
        <v>765</v>
      </c>
      <c r="C20" t="s">
        <v>638</v>
      </c>
      <c r="D20" t="s">
        <v>767</v>
      </c>
      <c r="E20" t="s">
        <v>288</v>
      </c>
      <c r="F20" t="s">
        <v>743</v>
      </c>
      <c r="G20" t="s">
        <v>42</v>
      </c>
      <c r="H20" t="s">
        <v>271</v>
      </c>
      <c r="I20" t="s">
        <v>289</v>
      </c>
    </row>
    <row r="21" spans="1:9" x14ac:dyDescent="0.25">
      <c r="A21" t="s">
        <v>267</v>
      </c>
      <c r="B21" t="s">
        <v>765</v>
      </c>
      <c r="C21" t="s">
        <v>640</v>
      </c>
      <c r="D21" t="s">
        <v>768</v>
      </c>
      <c r="E21" t="s">
        <v>288</v>
      </c>
      <c r="F21" t="s">
        <v>743</v>
      </c>
      <c r="G21" t="s">
        <v>42</v>
      </c>
      <c r="H21" t="s">
        <v>271</v>
      </c>
      <c r="I21" t="s">
        <v>289</v>
      </c>
    </row>
    <row r="22" spans="1:9" x14ac:dyDescent="0.25">
      <c r="A22" t="s">
        <v>267</v>
      </c>
      <c r="B22" t="s">
        <v>765</v>
      </c>
      <c r="C22" t="s">
        <v>641</v>
      </c>
      <c r="D22" t="s">
        <v>769</v>
      </c>
      <c r="E22" t="s">
        <v>288</v>
      </c>
      <c r="F22" t="s">
        <v>743</v>
      </c>
      <c r="G22" t="s">
        <v>42</v>
      </c>
      <c r="H22" t="s">
        <v>271</v>
      </c>
      <c r="I22" t="s">
        <v>289</v>
      </c>
    </row>
    <row r="23" spans="1:9" x14ac:dyDescent="0.25">
      <c r="A23" t="s">
        <v>290</v>
      </c>
      <c r="B23" t="s">
        <v>770</v>
      </c>
      <c r="C23" t="s">
        <v>635</v>
      </c>
      <c r="D23" t="s">
        <v>771</v>
      </c>
      <c r="E23" t="s">
        <v>292</v>
      </c>
      <c r="F23" t="s">
        <v>743</v>
      </c>
      <c r="G23" t="s">
        <v>114</v>
      </c>
      <c r="H23" t="s">
        <v>293</v>
      </c>
      <c r="I23" t="s">
        <v>294</v>
      </c>
    </row>
    <row r="24" spans="1:9" x14ac:dyDescent="0.25">
      <c r="A24" t="s">
        <v>290</v>
      </c>
      <c r="B24" t="s">
        <v>770</v>
      </c>
      <c r="C24" t="s">
        <v>638</v>
      </c>
      <c r="D24" t="s">
        <v>772</v>
      </c>
      <c r="E24" t="s">
        <v>292</v>
      </c>
      <c r="F24" t="s">
        <v>743</v>
      </c>
      <c r="G24" t="s">
        <v>114</v>
      </c>
      <c r="H24" t="s">
        <v>293</v>
      </c>
      <c r="I24" t="s">
        <v>294</v>
      </c>
    </row>
    <row r="25" spans="1:9" x14ac:dyDescent="0.25">
      <c r="A25" t="s">
        <v>290</v>
      </c>
      <c r="B25" t="s">
        <v>770</v>
      </c>
      <c r="C25" t="s">
        <v>640</v>
      </c>
      <c r="D25" t="s">
        <v>773</v>
      </c>
      <c r="E25" t="s">
        <v>292</v>
      </c>
      <c r="F25" t="s">
        <v>743</v>
      </c>
      <c r="G25" t="s">
        <v>114</v>
      </c>
      <c r="H25" t="s">
        <v>293</v>
      </c>
      <c r="I25" t="s">
        <v>294</v>
      </c>
    </row>
    <row r="26" spans="1:9" x14ac:dyDescent="0.25">
      <c r="A26" t="s">
        <v>422</v>
      </c>
      <c r="B26" t="s">
        <v>774</v>
      </c>
      <c r="C26" t="s">
        <v>635</v>
      </c>
      <c r="D26" t="s">
        <v>775</v>
      </c>
      <c r="E26" t="s">
        <v>426</v>
      </c>
      <c r="F26" t="s">
        <v>743</v>
      </c>
      <c r="G26" t="s">
        <v>42</v>
      </c>
      <c r="H26" t="s">
        <v>271</v>
      </c>
      <c r="I26" t="s">
        <v>15</v>
      </c>
    </row>
    <row r="27" spans="1:9" x14ac:dyDescent="0.25">
      <c r="A27" t="s">
        <v>422</v>
      </c>
      <c r="B27" t="s">
        <v>774</v>
      </c>
      <c r="C27" t="s">
        <v>638</v>
      </c>
      <c r="D27" t="s">
        <v>776</v>
      </c>
      <c r="E27" t="s">
        <v>426</v>
      </c>
      <c r="F27" t="s">
        <v>743</v>
      </c>
      <c r="G27" t="s">
        <v>42</v>
      </c>
      <c r="H27" t="s">
        <v>271</v>
      </c>
      <c r="I27" t="s">
        <v>15</v>
      </c>
    </row>
    <row r="28" spans="1:9" x14ac:dyDescent="0.25">
      <c r="A28" t="s">
        <v>422</v>
      </c>
      <c r="B28" t="s">
        <v>774</v>
      </c>
      <c r="C28" t="s">
        <v>640</v>
      </c>
      <c r="D28" t="s">
        <v>777</v>
      </c>
      <c r="E28" t="s">
        <v>426</v>
      </c>
      <c r="F28" t="s">
        <v>743</v>
      </c>
      <c r="G28" t="s">
        <v>42</v>
      </c>
      <c r="H28" t="s">
        <v>271</v>
      </c>
      <c r="I28" t="s">
        <v>15</v>
      </c>
    </row>
    <row r="29" spans="1:9" x14ac:dyDescent="0.25">
      <c r="A29" t="s">
        <v>422</v>
      </c>
      <c r="B29" t="s">
        <v>774</v>
      </c>
      <c r="C29" t="s">
        <v>635</v>
      </c>
      <c r="D29" t="s">
        <v>775</v>
      </c>
      <c r="E29" t="s">
        <v>426</v>
      </c>
      <c r="F29" t="s">
        <v>743</v>
      </c>
      <c r="G29" t="s">
        <v>114</v>
      </c>
      <c r="H29" t="s">
        <v>293</v>
      </c>
      <c r="I29" t="s">
        <v>15</v>
      </c>
    </row>
    <row r="30" spans="1:9" x14ac:dyDescent="0.25">
      <c r="A30" t="s">
        <v>422</v>
      </c>
      <c r="B30" t="s">
        <v>774</v>
      </c>
      <c r="C30" t="s">
        <v>638</v>
      </c>
      <c r="D30" t="s">
        <v>776</v>
      </c>
      <c r="E30" t="s">
        <v>426</v>
      </c>
      <c r="F30" t="s">
        <v>743</v>
      </c>
      <c r="G30" t="s">
        <v>114</v>
      </c>
      <c r="H30" t="s">
        <v>293</v>
      </c>
      <c r="I30" t="s">
        <v>15</v>
      </c>
    </row>
    <row r="31" spans="1:9" x14ac:dyDescent="0.25">
      <c r="A31" t="s">
        <v>422</v>
      </c>
      <c r="B31" t="s">
        <v>774</v>
      </c>
      <c r="C31" t="s">
        <v>640</v>
      </c>
      <c r="D31" t="s">
        <v>777</v>
      </c>
      <c r="E31" t="s">
        <v>426</v>
      </c>
      <c r="F31" t="s">
        <v>743</v>
      </c>
      <c r="G31" t="s">
        <v>114</v>
      </c>
      <c r="H31" t="s">
        <v>293</v>
      </c>
      <c r="I31" t="s">
        <v>15</v>
      </c>
    </row>
    <row r="32" spans="1:9" x14ac:dyDescent="0.25">
      <c r="A32" t="s">
        <v>422</v>
      </c>
      <c r="B32" t="s">
        <v>774</v>
      </c>
      <c r="C32" t="s">
        <v>635</v>
      </c>
      <c r="D32" t="s">
        <v>775</v>
      </c>
      <c r="E32" t="s">
        <v>426</v>
      </c>
      <c r="F32" t="s">
        <v>743</v>
      </c>
      <c r="G32" t="s">
        <v>133</v>
      </c>
      <c r="H32" t="s">
        <v>312</v>
      </c>
      <c r="I32" t="s">
        <v>15</v>
      </c>
    </row>
    <row r="33" spans="1:9" x14ac:dyDescent="0.25">
      <c r="A33" t="s">
        <v>422</v>
      </c>
      <c r="B33" t="s">
        <v>774</v>
      </c>
      <c r="C33" t="s">
        <v>638</v>
      </c>
      <c r="D33" t="s">
        <v>776</v>
      </c>
      <c r="E33" t="s">
        <v>426</v>
      </c>
      <c r="F33" t="s">
        <v>743</v>
      </c>
      <c r="G33" t="s">
        <v>133</v>
      </c>
      <c r="H33" t="s">
        <v>312</v>
      </c>
      <c r="I33" t="s">
        <v>15</v>
      </c>
    </row>
    <row r="34" spans="1:9" x14ac:dyDescent="0.25">
      <c r="A34" t="s">
        <v>422</v>
      </c>
      <c r="B34" t="s">
        <v>774</v>
      </c>
      <c r="C34" t="s">
        <v>640</v>
      </c>
      <c r="D34" t="s">
        <v>777</v>
      </c>
      <c r="E34" t="s">
        <v>426</v>
      </c>
      <c r="F34" t="s">
        <v>743</v>
      </c>
      <c r="G34" t="s">
        <v>133</v>
      </c>
      <c r="H34" t="s">
        <v>312</v>
      </c>
      <c r="I34" t="s">
        <v>15</v>
      </c>
    </row>
    <row r="35" spans="1:9" x14ac:dyDescent="0.25">
      <c r="A35" t="s">
        <v>422</v>
      </c>
      <c r="B35" t="s">
        <v>774</v>
      </c>
      <c r="C35" t="s">
        <v>635</v>
      </c>
      <c r="D35" t="s">
        <v>775</v>
      </c>
      <c r="E35" t="s">
        <v>426</v>
      </c>
      <c r="F35" t="s">
        <v>743</v>
      </c>
      <c r="G35" t="s">
        <v>152</v>
      </c>
      <c r="H35" t="s">
        <v>320</v>
      </c>
      <c r="I35" t="s">
        <v>15</v>
      </c>
    </row>
    <row r="36" spans="1:9" x14ac:dyDescent="0.25">
      <c r="A36" t="s">
        <v>422</v>
      </c>
      <c r="B36" t="s">
        <v>774</v>
      </c>
      <c r="C36" t="s">
        <v>638</v>
      </c>
      <c r="D36" t="s">
        <v>776</v>
      </c>
      <c r="E36" t="s">
        <v>426</v>
      </c>
      <c r="F36" t="s">
        <v>743</v>
      </c>
      <c r="G36" t="s">
        <v>152</v>
      </c>
      <c r="H36" t="s">
        <v>320</v>
      </c>
      <c r="I36" t="s">
        <v>15</v>
      </c>
    </row>
    <row r="37" spans="1:9" x14ac:dyDescent="0.25">
      <c r="A37" t="s">
        <v>422</v>
      </c>
      <c r="B37" t="s">
        <v>774</v>
      </c>
      <c r="C37" t="s">
        <v>640</v>
      </c>
      <c r="D37" t="s">
        <v>777</v>
      </c>
      <c r="E37" t="s">
        <v>426</v>
      </c>
      <c r="F37" t="s">
        <v>743</v>
      </c>
      <c r="G37" t="s">
        <v>152</v>
      </c>
      <c r="H37" t="s">
        <v>320</v>
      </c>
      <c r="I37" t="s">
        <v>15</v>
      </c>
    </row>
    <row r="38" spans="1:9" x14ac:dyDescent="0.25">
      <c r="A38" t="s">
        <v>290</v>
      </c>
      <c r="B38" t="s">
        <v>778</v>
      </c>
      <c r="C38" t="s">
        <v>635</v>
      </c>
      <c r="D38" t="s">
        <v>779</v>
      </c>
      <c r="E38" t="s">
        <v>299</v>
      </c>
      <c r="F38" t="s">
        <v>743</v>
      </c>
      <c r="G38" t="s">
        <v>114</v>
      </c>
      <c r="H38" t="s">
        <v>293</v>
      </c>
      <c r="I38" t="s">
        <v>300</v>
      </c>
    </row>
    <row r="39" spans="1:9" x14ac:dyDescent="0.25">
      <c r="A39" t="s">
        <v>290</v>
      </c>
      <c r="B39" t="s">
        <v>778</v>
      </c>
      <c r="C39" t="s">
        <v>638</v>
      </c>
      <c r="D39" t="s">
        <v>780</v>
      </c>
      <c r="E39" t="s">
        <v>299</v>
      </c>
      <c r="F39" t="s">
        <v>743</v>
      </c>
      <c r="G39" t="s">
        <v>114</v>
      </c>
      <c r="H39" t="s">
        <v>293</v>
      </c>
      <c r="I39" t="s">
        <v>300</v>
      </c>
    </row>
    <row r="40" spans="1:9" x14ac:dyDescent="0.25">
      <c r="A40" t="s">
        <v>290</v>
      </c>
      <c r="B40" t="s">
        <v>778</v>
      </c>
      <c r="C40" t="s">
        <v>640</v>
      </c>
      <c r="D40" t="s">
        <v>781</v>
      </c>
      <c r="E40" t="s">
        <v>299</v>
      </c>
      <c r="F40" t="s">
        <v>743</v>
      </c>
      <c r="G40" t="s">
        <v>114</v>
      </c>
      <c r="H40" t="s">
        <v>293</v>
      </c>
      <c r="I40" t="s">
        <v>300</v>
      </c>
    </row>
    <row r="41" spans="1:9" x14ac:dyDescent="0.25">
      <c r="A41" t="s">
        <v>422</v>
      </c>
      <c r="B41" t="s">
        <v>782</v>
      </c>
      <c r="C41" t="s">
        <v>635</v>
      </c>
      <c r="D41" t="s">
        <v>783</v>
      </c>
      <c r="E41" t="s">
        <v>428</v>
      </c>
      <c r="F41" t="s">
        <v>743</v>
      </c>
      <c r="G41" t="s">
        <v>42</v>
      </c>
      <c r="H41" t="s">
        <v>271</v>
      </c>
      <c r="I41" t="s">
        <v>17</v>
      </c>
    </row>
    <row r="42" spans="1:9" x14ac:dyDescent="0.25">
      <c r="A42" t="s">
        <v>422</v>
      </c>
      <c r="B42" t="s">
        <v>782</v>
      </c>
      <c r="C42" t="s">
        <v>638</v>
      </c>
      <c r="D42" t="s">
        <v>784</v>
      </c>
      <c r="E42" t="s">
        <v>428</v>
      </c>
      <c r="F42" t="s">
        <v>743</v>
      </c>
      <c r="G42" t="s">
        <v>42</v>
      </c>
      <c r="H42" t="s">
        <v>271</v>
      </c>
      <c r="I42" t="s">
        <v>17</v>
      </c>
    </row>
    <row r="43" spans="1:9" x14ac:dyDescent="0.25">
      <c r="A43" t="s">
        <v>422</v>
      </c>
      <c r="B43" t="s">
        <v>782</v>
      </c>
      <c r="C43" t="s">
        <v>640</v>
      </c>
      <c r="D43" t="s">
        <v>785</v>
      </c>
      <c r="E43" t="s">
        <v>428</v>
      </c>
      <c r="F43" t="s">
        <v>743</v>
      </c>
      <c r="G43" t="s">
        <v>42</v>
      </c>
      <c r="H43" t="s">
        <v>271</v>
      </c>
      <c r="I43" t="s">
        <v>17</v>
      </c>
    </row>
    <row r="44" spans="1:9" x14ac:dyDescent="0.25">
      <c r="A44" t="s">
        <v>422</v>
      </c>
      <c r="B44" t="s">
        <v>782</v>
      </c>
      <c r="C44" t="s">
        <v>635</v>
      </c>
      <c r="D44" t="s">
        <v>783</v>
      </c>
      <c r="E44" t="s">
        <v>428</v>
      </c>
      <c r="F44" t="s">
        <v>743</v>
      </c>
      <c r="G44" t="s">
        <v>114</v>
      </c>
      <c r="H44" t="s">
        <v>293</v>
      </c>
      <c r="I44" t="s">
        <v>17</v>
      </c>
    </row>
    <row r="45" spans="1:9" x14ac:dyDescent="0.25">
      <c r="A45" t="s">
        <v>422</v>
      </c>
      <c r="B45" t="s">
        <v>782</v>
      </c>
      <c r="C45" t="s">
        <v>638</v>
      </c>
      <c r="D45" t="s">
        <v>784</v>
      </c>
      <c r="E45" t="s">
        <v>428</v>
      </c>
      <c r="F45" t="s">
        <v>743</v>
      </c>
      <c r="G45" t="s">
        <v>114</v>
      </c>
      <c r="H45" t="s">
        <v>293</v>
      </c>
      <c r="I45" t="s">
        <v>17</v>
      </c>
    </row>
    <row r="46" spans="1:9" x14ac:dyDescent="0.25">
      <c r="A46" t="s">
        <v>422</v>
      </c>
      <c r="B46" t="s">
        <v>782</v>
      </c>
      <c r="C46" t="s">
        <v>640</v>
      </c>
      <c r="D46" t="s">
        <v>785</v>
      </c>
      <c r="E46" t="s">
        <v>428</v>
      </c>
      <c r="F46" t="s">
        <v>743</v>
      </c>
      <c r="G46" t="s">
        <v>114</v>
      </c>
      <c r="H46" t="s">
        <v>293</v>
      </c>
      <c r="I46" t="s">
        <v>17</v>
      </c>
    </row>
    <row r="47" spans="1:9" x14ac:dyDescent="0.25">
      <c r="A47" t="s">
        <v>422</v>
      </c>
      <c r="B47" t="s">
        <v>782</v>
      </c>
      <c r="C47" t="s">
        <v>635</v>
      </c>
      <c r="D47" t="s">
        <v>783</v>
      </c>
      <c r="E47" t="s">
        <v>428</v>
      </c>
      <c r="F47" t="s">
        <v>743</v>
      </c>
      <c r="G47" t="s">
        <v>133</v>
      </c>
      <c r="H47" t="s">
        <v>312</v>
      </c>
      <c r="I47" t="s">
        <v>17</v>
      </c>
    </row>
    <row r="48" spans="1:9" x14ac:dyDescent="0.25">
      <c r="A48" t="s">
        <v>422</v>
      </c>
      <c r="B48" t="s">
        <v>782</v>
      </c>
      <c r="C48" t="s">
        <v>638</v>
      </c>
      <c r="D48" t="s">
        <v>784</v>
      </c>
      <c r="E48" t="s">
        <v>428</v>
      </c>
      <c r="F48" t="s">
        <v>743</v>
      </c>
      <c r="G48" t="s">
        <v>133</v>
      </c>
      <c r="H48" t="s">
        <v>312</v>
      </c>
      <c r="I48" t="s">
        <v>17</v>
      </c>
    </row>
    <row r="49" spans="1:9" x14ac:dyDescent="0.25">
      <c r="A49" t="s">
        <v>422</v>
      </c>
      <c r="B49" t="s">
        <v>782</v>
      </c>
      <c r="C49" t="s">
        <v>640</v>
      </c>
      <c r="D49" t="s">
        <v>785</v>
      </c>
      <c r="E49" t="s">
        <v>428</v>
      </c>
      <c r="F49" t="s">
        <v>743</v>
      </c>
      <c r="G49" t="s">
        <v>133</v>
      </c>
      <c r="H49" t="s">
        <v>312</v>
      </c>
      <c r="I49" t="s">
        <v>17</v>
      </c>
    </row>
    <row r="50" spans="1:9" x14ac:dyDescent="0.25">
      <c r="A50" t="s">
        <v>422</v>
      </c>
      <c r="B50" t="s">
        <v>782</v>
      </c>
      <c r="C50" t="s">
        <v>635</v>
      </c>
      <c r="D50" t="s">
        <v>783</v>
      </c>
      <c r="E50" t="s">
        <v>428</v>
      </c>
      <c r="F50" t="s">
        <v>743</v>
      </c>
      <c r="G50" t="s">
        <v>152</v>
      </c>
      <c r="H50" t="s">
        <v>320</v>
      </c>
      <c r="I50" t="s">
        <v>17</v>
      </c>
    </row>
    <row r="51" spans="1:9" x14ac:dyDescent="0.25">
      <c r="A51" t="s">
        <v>422</v>
      </c>
      <c r="B51" t="s">
        <v>782</v>
      </c>
      <c r="C51" t="s">
        <v>638</v>
      </c>
      <c r="D51" t="s">
        <v>784</v>
      </c>
      <c r="E51" t="s">
        <v>428</v>
      </c>
      <c r="F51" t="s">
        <v>743</v>
      </c>
      <c r="G51" t="s">
        <v>152</v>
      </c>
      <c r="H51" t="s">
        <v>320</v>
      </c>
      <c r="I51" t="s">
        <v>17</v>
      </c>
    </row>
    <row r="52" spans="1:9" x14ac:dyDescent="0.25">
      <c r="A52" t="s">
        <v>422</v>
      </c>
      <c r="B52" t="s">
        <v>782</v>
      </c>
      <c r="C52" t="s">
        <v>640</v>
      </c>
      <c r="D52" t="s">
        <v>785</v>
      </c>
      <c r="E52" t="s">
        <v>428</v>
      </c>
      <c r="F52" t="s">
        <v>743</v>
      </c>
      <c r="G52" t="s">
        <v>152</v>
      </c>
      <c r="H52" t="s">
        <v>320</v>
      </c>
      <c r="I52" t="s">
        <v>17</v>
      </c>
    </row>
    <row r="53" spans="1:9" x14ac:dyDescent="0.25">
      <c r="A53" t="s">
        <v>385</v>
      </c>
      <c r="B53" t="s">
        <v>786</v>
      </c>
      <c r="C53" t="s">
        <v>635</v>
      </c>
      <c r="D53" t="s">
        <v>787</v>
      </c>
      <c r="E53" t="s">
        <v>399</v>
      </c>
      <c r="F53" t="s">
        <v>743</v>
      </c>
      <c r="G53" t="s">
        <v>42</v>
      </c>
      <c r="H53" t="s">
        <v>271</v>
      </c>
      <c r="I53" t="s">
        <v>26</v>
      </c>
    </row>
    <row r="54" spans="1:9" x14ac:dyDescent="0.25">
      <c r="A54" t="s">
        <v>385</v>
      </c>
      <c r="B54" t="s">
        <v>786</v>
      </c>
      <c r="C54" t="s">
        <v>638</v>
      </c>
      <c r="D54" t="s">
        <v>788</v>
      </c>
      <c r="E54" t="s">
        <v>399</v>
      </c>
      <c r="F54" t="s">
        <v>743</v>
      </c>
      <c r="G54" t="s">
        <v>42</v>
      </c>
      <c r="H54" t="s">
        <v>271</v>
      </c>
      <c r="I54" t="s">
        <v>26</v>
      </c>
    </row>
    <row r="55" spans="1:9" x14ac:dyDescent="0.25">
      <c r="A55" t="s">
        <v>385</v>
      </c>
      <c r="B55" t="s">
        <v>786</v>
      </c>
      <c r="C55" t="s">
        <v>640</v>
      </c>
      <c r="D55" t="s">
        <v>789</v>
      </c>
      <c r="E55" t="s">
        <v>399</v>
      </c>
      <c r="F55" t="s">
        <v>743</v>
      </c>
      <c r="G55" t="s">
        <v>42</v>
      </c>
      <c r="H55" t="s">
        <v>271</v>
      </c>
      <c r="I55" t="s">
        <v>26</v>
      </c>
    </row>
    <row r="56" spans="1:9" x14ac:dyDescent="0.25">
      <c r="A56" t="s">
        <v>385</v>
      </c>
      <c r="B56" t="s">
        <v>786</v>
      </c>
      <c r="C56" t="s">
        <v>635</v>
      </c>
      <c r="D56" t="s">
        <v>787</v>
      </c>
      <c r="E56" t="s">
        <v>399</v>
      </c>
      <c r="F56" t="s">
        <v>743</v>
      </c>
      <c r="G56" t="s">
        <v>114</v>
      </c>
      <c r="H56" t="s">
        <v>293</v>
      </c>
      <c r="I56" t="s">
        <v>26</v>
      </c>
    </row>
    <row r="57" spans="1:9" x14ac:dyDescent="0.25">
      <c r="A57" t="s">
        <v>385</v>
      </c>
      <c r="B57" t="s">
        <v>786</v>
      </c>
      <c r="C57" t="s">
        <v>638</v>
      </c>
      <c r="D57" t="s">
        <v>788</v>
      </c>
      <c r="E57" t="s">
        <v>399</v>
      </c>
      <c r="F57" t="s">
        <v>743</v>
      </c>
      <c r="G57" t="s">
        <v>114</v>
      </c>
      <c r="H57" t="s">
        <v>293</v>
      </c>
      <c r="I57" t="s">
        <v>26</v>
      </c>
    </row>
    <row r="58" spans="1:9" x14ac:dyDescent="0.25">
      <c r="A58" t="s">
        <v>385</v>
      </c>
      <c r="B58" t="s">
        <v>786</v>
      </c>
      <c r="C58" t="s">
        <v>640</v>
      </c>
      <c r="D58" t="s">
        <v>789</v>
      </c>
      <c r="E58" t="s">
        <v>399</v>
      </c>
      <c r="F58" t="s">
        <v>743</v>
      </c>
      <c r="G58" t="s">
        <v>114</v>
      </c>
      <c r="H58" t="s">
        <v>293</v>
      </c>
      <c r="I58" t="s">
        <v>26</v>
      </c>
    </row>
    <row r="59" spans="1:9" x14ac:dyDescent="0.25">
      <c r="A59" t="s">
        <v>385</v>
      </c>
      <c r="B59" t="s">
        <v>786</v>
      </c>
      <c r="C59" t="s">
        <v>635</v>
      </c>
      <c r="D59" t="s">
        <v>787</v>
      </c>
      <c r="E59" t="s">
        <v>399</v>
      </c>
      <c r="F59" t="s">
        <v>743</v>
      </c>
      <c r="G59" t="s">
        <v>133</v>
      </c>
      <c r="H59" t="s">
        <v>312</v>
      </c>
      <c r="I59" t="s">
        <v>26</v>
      </c>
    </row>
    <row r="60" spans="1:9" x14ac:dyDescent="0.25">
      <c r="A60" t="s">
        <v>385</v>
      </c>
      <c r="B60" t="s">
        <v>786</v>
      </c>
      <c r="C60" t="s">
        <v>638</v>
      </c>
      <c r="D60" t="s">
        <v>788</v>
      </c>
      <c r="E60" t="s">
        <v>399</v>
      </c>
      <c r="F60" t="s">
        <v>743</v>
      </c>
      <c r="G60" t="s">
        <v>133</v>
      </c>
      <c r="H60" t="s">
        <v>312</v>
      </c>
      <c r="I60" t="s">
        <v>26</v>
      </c>
    </row>
    <row r="61" spans="1:9" x14ac:dyDescent="0.25">
      <c r="A61" t="s">
        <v>385</v>
      </c>
      <c r="B61" t="s">
        <v>786</v>
      </c>
      <c r="C61" t="s">
        <v>640</v>
      </c>
      <c r="D61" t="s">
        <v>789</v>
      </c>
      <c r="E61" t="s">
        <v>399</v>
      </c>
      <c r="F61" t="s">
        <v>743</v>
      </c>
      <c r="G61" t="s">
        <v>133</v>
      </c>
      <c r="H61" t="s">
        <v>312</v>
      </c>
      <c r="I61" t="s">
        <v>26</v>
      </c>
    </row>
    <row r="62" spans="1:9" x14ac:dyDescent="0.25">
      <c r="A62" t="s">
        <v>385</v>
      </c>
      <c r="B62" t="s">
        <v>786</v>
      </c>
      <c r="C62" t="s">
        <v>635</v>
      </c>
      <c r="D62" t="s">
        <v>787</v>
      </c>
      <c r="E62" t="s">
        <v>399</v>
      </c>
      <c r="F62" t="s">
        <v>743</v>
      </c>
      <c r="G62" t="s">
        <v>152</v>
      </c>
      <c r="H62" t="s">
        <v>320</v>
      </c>
      <c r="I62" t="s">
        <v>26</v>
      </c>
    </row>
    <row r="63" spans="1:9" x14ac:dyDescent="0.25">
      <c r="A63" t="s">
        <v>385</v>
      </c>
      <c r="B63" t="s">
        <v>786</v>
      </c>
      <c r="C63" t="s">
        <v>638</v>
      </c>
      <c r="D63" t="s">
        <v>788</v>
      </c>
      <c r="E63" t="s">
        <v>399</v>
      </c>
      <c r="F63" t="s">
        <v>743</v>
      </c>
      <c r="G63" t="s">
        <v>152</v>
      </c>
      <c r="H63" t="s">
        <v>320</v>
      </c>
      <c r="I63" t="s">
        <v>26</v>
      </c>
    </row>
    <row r="64" spans="1:9" x14ac:dyDescent="0.25">
      <c r="A64" t="s">
        <v>385</v>
      </c>
      <c r="B64" t="s">
        <v>786</v>
      </c>
      <c r="C64" t="s">
        <v>640</v>
      </c>
      <c r="D64" t="s">
        <v>789</v>
      </c>
      <c r="E64" t="s">
        <v>399</v>
      </c>
      <c r="F64" t="s">
        <v>743</v>
      </c>
      <c r="G64" t="s">
        <v>152</v>
      </c>
      <c r="H64" t="s">
        <v>320</v>
      </c>
      <c r="I64" t="s">
        <v>26</v>
      </c>
    </row>
    <row r="65" spans="1:9" x14ac:dyDescent="0.25">
      <c r="A65" t="s">
        <v>290</v>
      </c>
      <c r="B65" t="s">
        <v>790</v>
      </c>
      <c r="C65" t="s">
        <v>635</v>
      </c>
      <c r="D65" t="s">
        <v>791</v>
      </c>
      <c r="E65" t="s">
        <v>305</v>
      </c>
      <c r="F65" t="s">
        <v>743</v>
      </c>
      <c r="G65" t="s">
        <v>114</v>
      </c>
      <c r="H65" t="s">
        <v>293</v>
      </c>
      <c r="I65" t="s">
        <v>306</v>
      </c>
    </row>
    <row r="66" spans="1:9" x14ac:dyDescent="0.25">
      <c r="A66" t="s">
        <v>290</v>
      </c>
      <c r="B66" t="s">
        <v>790</v>
      </c>
      <c r="C66" t="s">
        <v>638</v>
      </c>
      <c r="D66" t="s">
        <v>792</v>
      </c>
      <c r="E66" t="s">
        <v>305</v>
      </c>
      <c r="F66" t="s">
        <v>743</v>
      </c>
      <c r="G66" t="s">
        <v>114</v>
      </c>
      <c r="H66" t="s">
        <v>293</v>
      </c>
      <c r="I66" t="s">
        <v>306</v>
      </c>
    </row>
    <row r="67" spans="1:9" x14ac:dyDescent="0.25">
      <c r="A67" t="s">
        <v>290</v>
      </c>
      <c r="B67" t="s">
        <v>790</v>
      </c>
      <c r="C67" t="s">
        <v>640</v>
      </c>
      <c r="D67" t="s">
        <v>793</v>
      </c>
      <c r="E67" t="s">
        <v>305</v>
      </c>
      <c r="F67" t="s">
        <v>743</v>
      </c>
      <c r="G67" t="s">
        <v>114</v>
      </c>
      <c r="H67" t="s">
        <v>293</v>
      </c>
      <c r="I67" t="s">
        <v>306</v>
      </c>
    </row>
    <row r="68" spans="1:9" x14ac:dyDescent="0.25">
      <c r="A68" t="s">
        <v>422</v>
      </c>
      <c r="B68" t="s">
        <v>794</v>
      </c>
      <c r="C68" t="s">
        <v>635</v>
      </c>
      <c r="D68" t="s">
        <v>795</v>
      </c>
      <c r="E68" t="s">
        <v>434</v>
      </c>
      <c r="F68" t="s">
        <v>743</v>
      </c>
      <c r="G68" t="s">
        <v>42</v>
      </c>
      <c r="H68" t="s">
        <v>271</v>
      </c>
      <c r="I68" t="s">
        <v>28</v>
      </c>
    </row>
    <row r="69" spans="1:9" x14ac:dyDescent="0.25">
      <c r="A69" t="s">
        <v>422</v>
      </c>
      <c r="B69" t="s">
        <v>794</v>
      </c>
      <c r="C69" t="s">
        <v>638</v>
      </c>
      <c r="D69" t="s">
        <v>796</v>
      </c>
      <c r="E69" t="s">
        <v>434</v>
      </c>
      <c r="F69" t="s">
        <v>743</v>
      </c>
      <c r="G69" t="s">
        <v>42</v>
      </c>
      <c r="H69" t="s">
        <v>271</v>
      </c>
      <c r="I69" t="s">
        <v>28</v>
      </c>
    </row>
    <row r="70" spans="1:9" x14ac:dyDescent="0.25">
      <c r="A70" t="s">
        <v>422</v>
      </c>
      <c r="B70" t="s">
        <v>794</v>
      </c>
      <c r="C70" t="s">
        <v>640</v>
      </c>
      <c r="D70" t="s">
        <v>797</v>
      </c>
      <c r="E70" t="s">
        <v>434</v>
      </c>
      <c r="F70" t="s">
        <v>743</v>
      </c>
      <c r="G70" t="s">
        <v>42</v>
      </c>
      <c r="H70" t="s">
        <v>271</v>
      </c>
      <c r="I70" t="s">
        <v>28</v>
      </c>
    </row>
    <row r="71" spans="1:9" x14ac:dyDescent="0.25">
      <c r="A71" t="s">
        <v>422</v>
      </c>
      <c r="B71" t="s">
        <v>794</v>
      </c>
      <c r="C71" t="s">
        <v>635</v>
      </c>
      <c r="D71" t="s">
        <v>795</v>
      </c>
      <c r="E71" t="s">
        <v>434</v>
      </c>
      <c r="F71" t="s">
        <v>743</v>
      </c>
      <c r="G71" t="s">
        <v>133</v>
      </c>
      <c r="H71" t="s">
        <v>312</v>
      </c>
      <c r="I71" t="s">
        <v>28</v>
      </c>
    </row>
    <row r="72" spans="1:9" x14ac:dyDescent="0.25">
      <c r="A72" t="s">
        <v>422</v>
      </c>
      <c r="B72" t="s">
        <v>794</v>
      </c>
      <c r="C72" t="s">
        <v>638</v>
      </c>
      <c r="D72" t="s">
        <v>796</v>
      </c>
      <c r="E72" t="s">
        <v>434</v>
      </c>
      <c r="F72" t="s">
        <v>743</v>
      </c>
      <c r="G72" t="s">
        <v>133</v>
      </c>
      <c r="H72" t="s">
        <v>312</v>
      </c>
      <c r="I72" t="s">
        <v>28</v>
      </c>
    </row>
    <row r="73" spans="1:9" x14ac:dyDescent="0.25">
      <c r="A73" t="s">
        <v>422</v>
      </c>
      <c r="B73" t="s">
        <v>794</v>
      </c>
      <c r="C73" t="s">
        <v>640</v>
      </c>
      <c r="D73" t="s">
        <v>797</v>
      </c>
      <c r="E73" t="s">
        <v>434</v>
      </c>
      <c r="F73" t="s">
        <v>743</v>
      </c>
      <c r="G73" t="s">
        <v>133</v>
      </c>
      <c r="H73" t="s">
        <v>312</v>
      </c>
      <c r="I73" t="s">
        <v>28</v>
      </c>
    </row>
    <row r="74" spans="1:9" x14ac:dyDescent="0.25">
      <c r="A74" t="s">
        <v>422</v>
      </c>
      <c r="B74" t="s">
        <v>798</v>
      </c>
      <c r="C74" t="s">
        <v>635</v>
      </c>
      <c r="D74" t="s">
        <v>799</v>
      </c>
      <c r="E74" t="s">
        <v>436</v>
      </c>
      <c r="F74" t="s">
        <v>743</v>
      </c>
      <c r="G74" t="s">
        <v>42</v>
      </c>
      <c r="H74" t="s">
        <v>271</v>
      </c>
      <c r="I74" t="s">
        <v>23</v>
      </c>
    </row>
    <row r="75" spans="1:9" x14ac:dyDescent="0.25">
      <c r="A75" t="s">
        <v>422</v>
      </c>
      <c r="B75" t="s">
        <v>798</v>
      </c>
      <c r="C75" t="s">
        <v>638</v>
      </c>
      <c r="D75" t="s">
        <v>800</v>
      </c>
      <c r="E75" t="s">
        <v>436</v>
      </c>
      <c r="F75" t="s">
        <v>743</v>
      </c>
      <c r="G75" t="s">
        <v>42</v>
      </c>
      <c r="H75" t="s">
        <v>271</v>
      </c>
      <c r="I75" t="s">
        <v>23</v>
      </c>
    </row>
    <row r="76" spans="1:9" x14ac:dyDescent="0.25">
      <c r="A76" t="s">
        <v>422</v>
      </c>
      <c r="B76" t="s">
        <v>798</v>
      </c>
      <c r="C76" t="s">
        <v>635</v>
      </c>
      <c r="D76" t="s">
        <v>799</v>
      </c>
      <c r="E76" t="s">
        <v>436</v>
      </c>
      <c r="F76" t="s">
        <v>743</v>
      </c>
      <c r="G76" t="s">
        <v>133</v>
      </c>
      <c r="H76" t="s">
        <v>312</v>
      </c>
      <c r="I76" t="s">
        <v>23</v>
      </c>
    </row>
    <row r="77" spans="1:9" x14ac:dyDescent="0.25">
      <c r="A77" t="s">
        <v>422</v>
      </c>
      <c r="B77" t="s">
        <v>798</v>
      </c>
      <c r="C77" t="s">
        <v>638</v>
      </c>
      <c r="D77" t="s">
        <v>800</v>
      </c>
      <c r="E77" t="s">
        <v>436</v>
      </c>
      <c r="F77" t="s">
        <v>743</v>
      </c>
      <c r="G77" t="s">
        <v>133</v>
      </c>
      <c r="H77" t="s">
        <v>312</v>
      </c>
      <c r="I77" t="s">
        <v>23</v>
      </c>
    </row>
    <row r="78" spans="1:9" x14ac:dyDescent="0.25">
      <c r="A78" t="s">
        <v>422</v>
      </c>
      <c r="B78" t="s">
        <v>801</v>
      </c>
      <c r="C78" t="s">
        <v>635</v>
      </c>
      <c r="D78" t="s">
        <v>802</v>
      </c>
      <c r="E78" t="s">
        <v>442</v>
      </c>
      <c r="F78" t="s">
        <v>743</v>
      </c>
      <c r="G78" t="s">
        <v>42</v>
      </c>
      <c r="H78" t="s">
        <v>271</v>
      </c>
      <c r="I78" t="s">
        <v>10</v>
      </c>
    </row>
    <row r="79" spans="1:9" x14ac:dyDescent="0.25">
      <c r="A79" t="s">
        <v>422</v>
      </c>
      <c r="B79" t="s">
        <v>801</v>
      </c>
      <c r="C79" t="s">
        <v>638</v>
      </c>
      <c r="D79" t="s">
        <v>803</v>
      </c>
      <c r="E79" t="s">
        <v>442</v>
      </c>
      <c r="F79" t="s">
        <v>743</v>
      </c>
      <c r="G79" t="s">
        <v>42</v>
      </c>
      <c r="H79" t="s">
        <v>271</v>
      </c>
      <c r="I79" t="s">
        <v>10</v>
      </c>
    </row>
    <row r="80" spans="1:9" x14ac:dyDescent="0.25">
      <c r="A80" t="s">
        <v>422</v>
      </c>
      <c r="B80" t="s">
        <v>801</v>
      </c>
      <c r="C80" t="s">
        <v>635</v>
      </c>
      <c r="D80" t="s">
        <v>802</v>
      </c>
      <c r="E80" t="s">
        <v>442</v>
      </c>
      <c r="F80" t="s">
        <v>743</v>
      </c>
      <c r="G80" t="s">
        <v>133</v>
      </c>
      <c r="H80" t="s">
        <v>312</v>
      </c>
      <c r="I80" t="s">
        <v>10</v>
      </c>
    </row>
    <row r="81" spans="1:9" x14ac:dyDescent="0.25">
      <c r="A81" t="s">
        <v>422</v>
      </c>
      <c r="B81" t="s">
        <v>801</v>
      </c>
      <c r="C81" t="s">
        <v>638</v>
      </c>
      <c r="D81" t="s">
        <v>803</v>
      </c>
      <c r="E81" t="s">
        <v>442</v>
      </c>
      <c r="F81" t="s">
        <v>743</v>
      </c>
      <c r="G81" t="s">
        <v>133</v>
      </c>
      <c r="H81" t="s">
        <v>312</v>
      </c>
      <c r="I81" t="s">
        <v>10</v>
      </c>
    </row>
    <row r="82" spans="1:9" x14ac:dyDescent="0.25">
      <c r="A82" t="s">
        <v>290</v>
      </c>
      <c r="B82" t="s">
        <v>804</v>
      </c>
      <c r="C82" t="s">
        <v>635</v>
      </c>
      <c r="D82" t="s">
        <v>805</v>
      </c>
      <c r="E82" t="s">
        <v>317</v>
      </c>
      <c r="F82" t="s">
        <v>743</v>
      </c>
      <c r="G82" t="s">
        <v>114</v>
      </c>
      <c r="H82" t="s">
        <v>293</v>
      </c>
      <c r="I82" t="s">
        <v>318</v>
      </c>
    </row>
    <row r="83" spans="1:9" x14ac:dyDescent="0.25">
      <c r="A83" t="s">
        <v>290</v>
      </c>
      <c r="B83" t="s">
        <v>804</v>
      </c>
      <c r="C83" t="s">
        <v>638</v>
      </c>
      <c r="D83" t="s">
        <v>806</v>
      </c>
      <c r="E83" t="s">
        <v>317</v>
      </c>
      <c r="F83" t="s">
        <v>743</v>
      </c>
      <c r="G83" t="s">
        <v>114</v>
      </c>
      <c r="H83" t="s">
        <v>293</v>
      </c>
      <c r="I83" t="s">
        <v>318</v>
      </c>
    </row>
    <row r="84" spans="1:9" x14ac:dyDescent="0.25">
      <c r="A84" t="s">
        <v>290</v>
      </c>
      <c r="B84" t="s">
        <v>804</v>
      </c>
      <c r="C84" t="s">
        <v>640</v>
      </c>
      <c r="D84" t="s">
        <v>807</v>
      </c>
      <c r="E84" t="s">
        <v>317</v>
      </c>
      <c r="F84" t="s">
        <v>743</v>
      </c>
      <c r="G84" t="s">
        <v>114</v>
      </c>
      <c r="H84" t="s">
        <v>293</v>
      </c>
      <c r="I84" t="s">
        <v>318</v>
      </c>
    </row>
    <row r="85" spans="1:9" x14ac:dyDescent="0.25">
      <c r="A85" t="s">
        <v>422</v>
      </c>
      <c r="B85" t="s">
        <v>808</v>
      </c>
      <c r="C85" t="s">
        <v>635</v>
      </c>
      <c r="D85" t="s">
        <v>809</v>
      </c>
      <c r="E85" t="s">
        <v>444</v>
      </c>
      <c r="F85" t="s">
        <v>743</v>
      </c>
      <c r="G85" t="s">
        <v>42</v>
      </c>
      <c r="H85" t="s">
        <v>271</v>
      </c>
      <c r="I85" t="s">
        <v>19</v>
      </c>
    </row>
    <row r="86" spans="1:9" x14ac:dyDescent="0.25">
      <c r="A86" t="s">
        <v>422</v>
      </c>
      <c r="B86" t="s">
        <v>808</v>
      </c>
      <c r="C86" t="s">
        <v>638</v>
      </c>
      <c r="D86" t="s">
        <v>810</v>
      </c>
      <c r="E86" t="s">
        <v>444</v>
      </c>
      <c r="F86" t="s">
        <v>743</v>
      </c>
      <c r="G86" t="s">
        <v>42</v>
      </c>
      <c r="H86" t="s">
        <v>271</v>
      </c>
      <c r="I86" t="s">
        <v>19</v>
      </c>
    </row>
    <row r="87" spans="1:9" x14ac:dyDescent="0.25">
      <c r="A87" t="s">
        <v>422</v>
      </c>
      <c r="B87" t="s">
        <v>808</v>
      </c>
      <c r="C87" t="s">
        <v>640</v>
      </c>
      <c r="D87" t="s">
        <v>811</v>
      </c>
      <c r="E87" t="s">
        <v>444</v>
      </c>
      <c r="F87" t="s">
        <v>743</v>
      </c>
      <c r="G87" t="s">
        <v>42</v>
      </c>
      <c r="H87" t="s">
        <v>271</v>
      </c>
      <c r="I87" t="s">
        <v>19</v>
      </c>
    </row>
    <row r="88" spans="1:9" x14ac:dyDescent="0.25">
      <c r="A88" t="s">
        <v>422</v>
      </c>
      <c r="B88" t="s">
        <v>808</v>
      </c>
      <c r="C88" t="s">
        <v>635</v>
      </c>
      <c r="D88" t="s">
        <v>809</v>
      </c>
      <c r="E88" t="s">
        <v>444</v>
      </c>
      <c r="F88" t="s">
        <v>743</v>
      </c>
      <c r="G88" t="s">
        <v>114</v>
      </c>
      <c r="H88" t="s">
        <v>293</v>
      </c>
      <c r="I88" t="s">
        <v>19</v>
      </c>
    </row>
    <row r="89" spans="1:9" x14ac:dyDescent="0.25">
      <c r="A89" t="s">
        <v>422</v>
      </c>
      <c r="B89" t="s">
        <v>808</v>
      </c>
      <c r="C89" t="s">
        <v>638</v>
      </c>
      <c r="D89" t="s">
        <v>810</v>
      </c>
      <c r="E89" t="s">
        <v>444</v>
      </c>
      <c r="F89" t="s">
        <v>743</v>
      </c>
      <c r="G89" t="s">
        <v>114</v>
      </c>
      <c r="H89" t="s">
        <v>293</v>
      </c>
      <c r="I89" t="s">
        <v>19</v>
      </c>
    </row>
    <row r="90" spans="1:9" x14ac:dyDescent="0.25">
      <c r="A90" t="s">
        <v>422</v>
      </c>
      <c r="B90" t="s">
        <v>808</v>
      </c>
      <c r="C90" t="s">
        <v>640</v>
      </c>
      <c r="D90" t="s">
        <v>811</v>
      </c>
      <c r="E90" t="s">
        <v>444</v>
      </c>
      <c r="F90" t="s">
        <v>743</v>
      </c>
      <c r="G90" t="s">
        <v>114</v>
      </c>
      <c r="H90" t="s">
        <v>293</v>
      </c>
      <c r="I90" t="s">
        <v>19</v>
      </c>
    </row>
    <row r="91" spans="1:9" x14ac:dyDescent="0.25">
      <c r="A91" t="s">
        <v>422</v>
      </c>
      <c r="B91" t="s">
        <v>808</v>
      </c>
      <c r="C91" t="s">
        <v>635</v>
      </c>
      <c r="D91" t="s">
        <v>809</v>
      </c>
      <c r="E91" t="s">
        <v>444</v>
      </c>
      <c r="F91" t="s">
        <v>743</v>
      </c>
      <c r="G91" t="s">
        <v>133</v>
      </c>
      <c r="H91" t="s">
        <v>312</v>
      </c>
      <c r="I91" t="s">
        <v>19</v>
      </c>
    </row>
    <row r="92" spans="1:9" x14ac:dyDescent="0.25">
      <c r="A92" t="s">
        <v>422</v>
      </c>
      <c r="B92" t="s">
        <v>808</v>
      </c>
      <c r="C92" t="s">
        <v>638</v>
      </c>
      <c r="D92" t="s">
        <v>810</v>
      </c>
      <c r="E92" t="s">
        <v>444</v>
      </c>
      <c r="F92" t="s">
        <v>743</v>
      </c>
      <c r="G92" t="s">
        <v>133</v>
      </c>
      <c r="H92" t="s">
        <v>312</v>
      </c>
      <c r="I92" t="s">
        <v>19</v>
      </c>
    </row>
    <row r="93" spans="1:9" x14ac:dyDescent="0.25">
      <c r="A93" t="s">
        <v>422</v>
      </c>
      <c r="B93" t="s">
        <v>808</v>
      </c>
      <c r="C93" t="s">
        <v>640</v>
      </c>
      <c r="D93" t="s">
        <v>811</v>
      </c>
      <c r="E93" t="s">
        <v>444</v>
      </c>
      <c r="F93" t="s">
        <v>743</v>
      </c>
      <c r="G93" t="s">
        <v>133</v>
      </c>
      <c r="H93" t="s">
        <v>312</v>
      </c>
      <c r="I93" t="s">
        <v>19</v>
      </c>
    </row>
    <row r="94" spans="1:9" x14ac:dyDescent="0.25">
      <c r="A94" t="s">
        <v>422</v>
      </c>
      <c r="B94" t="s">
        <v>808</v>
      </c>
      <c r="C94" t="s">
        <v>635</v>
      </c>
      <c r="D94" t="s">
        <v>809</v>
      </c>
      <c r="E94" t="s">
        <v>444</v>
      </c>
      <c r="F94" t="s">
        <v>743</v>
      </c>
      <c r="G94" t="s">
        <v>152</v>
      </c>
      <c r="H94" t="s">
        <v>320</v>
      </c>
      <c r="I94" t="s">
        <v>19</v>
      </c>
    </row>
    <row r="95" spans="1:9" x14ac:dyDescent="0.25">
      <c r="A95" t="s">
        <v>422</v>
      </c>
      <c r="B95" t="s">
        <v>808</v>
      </c>
      <c r="C95" t="s">
        <v>638</v>
      </c>
      <c r="D95" t="s">
        <v>810</v>
      </c>
      <c r="E95" t="s">
        <v>444</v>
      </c>
      <c r="F95" t="s">
        <v>743</v>
      </c>
      <c r="G95" t="s">
        <v>152</v>
      </c>
      <c r="H95" t="s">
        <v>320</v>
      </c>
      <c r="I95" t="s">
        <v>19</v>
      </c>
    </row>
    <row r="96" spans="1:9" x14ac:dyDescent="0.25">
      <c r="A96" t="s">
        <v>422</v>
      </c>
      <c r="B96" t="s">
        <v>808</v>
      </c>
      <c r="C96" t="s">
        <v>640</v>
      </c>
      <c r="D96" t="s">
        <v>811</v>
      </c>
      <c r="E96" t="s">
        <v>444</v>
      </c>
      <c r="F96" t="s">
        <v>743</v>
      </c>
      <c r="G96" t="s">
        <v>152</v>
      </c>
      <c r="H96" t="s">
        <v>320</v>
      </c>
      <c r="I96" t="s">
        <v>19</v>
      </c>
    </row>
    <row r="97" spans="1:9" x14ac:dyDescent="0.25">
      <c r="A97" t="s">
        <v>290</v>
      </c>
      <c r="B97" t="s">
        <v>812</v>
      </c>
      <c r="C97" t="s">
        <v>635</v>
      </c>
      <c r="D97" t="s">
        <v>813</v>
      </c>
      <c r="E97" t="s">
        <v>311</v>
      </c>
      <c r="F97" t="s">
        <v>743</v>
      </c>
      <c r="G97" t="s">
        <v>114</v>
      </c>
      <c r="H97" t="s">
        <v>293</v>
      </c>
      <c r="I97" t="s">
        <v>29</v>
      </c>
    </row>
    <row r="98" spans="1:9" x14ac:dyDescent="0.25">
      <c r="A98" t="s">
        <v>290</v>
      </c>
      <c r="B98" t="s">
        <v>812</v>
      </c>
      <c r="C98" t="s">
        <v>638</v>
      </c>
      <c r="D98" t="s">
        <v>814</v>
      </c>
      <c r="E98" t="s">
        <v>311</v>
      </c>
      <c r="F98" t="s">
        <v>743</v>
      </c>
      <c r="G98" t="s">
        <v>114</v>
      </c>
      <c r="H98" t="s">
        <v>293</v>
      </c>
      <c r="I98" t="s">
        <v>29</v>
      </c>
    </row>
    <row r="99" spans="1:9" x14ac:dyDescent="0.25">
      <c r="A99" t="s">
        <v>290</v>
      </c>
      <c r="B99" t="s">
        <v>812</v>
      </c>
      <c r="C99" t="s">
        <v>640</v>
      </c>
      <c r="D99" t="s">
        <v>815</v>
      </c>
      <c r="E99" t="s">
        <v>311</v>
      </c>
      <c r="F99" t="s">
        <v>743</v>
      </c>
      <c r="G99" t="s">
        <v>114</v>
      </c>
      <c r="H99" t="s">
        <v>293</v>
      </c>
      <c r="I99" t="s">
        <v>29</v>
      </c>
    </row>
    <row r="100" spans="1:9" x14ac:dyDescent="0.25">
      <c r="A100" t="s">
        <v>290</v>
      </c>
      <c r="B100" t="s">
        <v>812</v>
      </c>
      <c r="C100" t="s">
        <v>635</v>
      </c>
      <c r="D100" t="s">
        <v>813</v>
      </c>
      <c r="E100" t="s">
        <v>311</v>
      </c>
      <c r="F100" t="s">
        <v>743</v>
      </c>
      <c r="G100" t="s">
        <v>133</v>
      </c>
      <c r="H100" t="s">
        <v>312</v>
      </c>
      <c r="I100" t="s">
        <v>29</v>
      </c>
    </row>
    <row r="101" spans="1:9" x14ac:dyDescent="0.25">
      <c r="A101" t="s">
        <v>290</v>
      </c>
      <c r="B101" t="s">
        <v>812</v>
      </c>
      <c r="C101" t="s">
        <v>638</v>
      </c>
      <c r="D101" t="s">
        <v>814</v>
      </c>
      <c r="E101" t="s">
        <v>311</v>
      </c>
      <c r="F101" t="s">
        <v>743</v>
      </c>
      <c r="G101" t="s">
        <v>133</v>
      </c>
      <c r="H101" t="s">
        <v>312</v>
      </c>
      <c r="I101" t="s">
        <v>29</v>
      </c>
    </row>
    <row r="102" spans="1:9" x14ac:dyDescent="0.25">
      <c r="A102" t="s">
        <v>290</v>
      </c>
      <c r="B102" t="s">
        <v>812</v>
      </c>
      <c r="C102" t="s">
        <v>640</v>
      </c>
      <c r="D102" t="s">
        <v>815</v>
      </c>
      <c r="E102" t="s">
        <v>311</v>
      </c>
      <c r="F102" t="s">
        <v>743</v>
      </c>
      <c r="G102" t="s">
        <v>133</v>
      </c>
      <c r="H102" t="s">
        <v>312</v>
      </c>
      <c r="I102" t="s">
        <v>29</v>
      </c>
    </row>
    <row r="103" spans="1:9" x14ac:dyDescent="0.25">
      <c r="A103" t="s">
        <v>422</v>
      </c>
      <c r="B103" t="s">
        <v>816</v>
      </c>
      <c r="C103" t="s">
        <v>635</v>
      </c>
      <c r="D103" t="s">
        <v>817</v>
      </c>
      <c r="E103" t="s">
        <v>430</v>
      </c>
      <c r="F103" t="s">
        <v>743</v>
      </c>
      <c r="G103" t="s">
        <v>133</v>
      </c>
      <c r="H103" t="s">
        <v>312</v>
      </c>
      <c r="I103" t="s">
        <v>24</v>
      </c>
    </row>
    <row r="104" spans="1:9" x14ac:dyDescent="0.25">
      <c r="A104" t="s">
        <v>422</v>
      </c>
      <c r="B104" t="s">
        <v>816</v>
      </c>
      <c r="C104" t="s">
        <v>638</v>
      </c>
      <c r="D104" t="s">
        <v>818</v>
      </c>
      <c r="E104" t="s">
        <v>430</v>
      </c>
      <c r="F104" t="s">
        <v>743</v>
      </c>
      <c r="G104" t="s">
        <v>133</v>
      </c>
      <c r="H104" t="s">
        <v>312</v>
      </c>
      <c r="I104" t="s">
        <v>24</v>
      </c>
    </row>
    <row r="105" spans="1:9" x14ac:dyDescent="0.25">
      <c r="A105" t="s">
        <v>422</v>
      </c>
      <c r="B105" t="s">
        <v>816</v>
      </c>
      <c r="C105" t="s">
        <v>640</v>
      </c>
      <c r="D105" t="s">
        <v>819</v>
      </c>
      <c r="E105" t="s">
        <v>430</v>
      </c>
      <c r="F105" t="s">
        <v>743</v>
      </c>
      <c r="G105" t="s">
        <v>133</v>
      </c>
      <c r="H105" t="s">
        <v>312</v>
      </c>
      <c r="I105" t="s">
        <v>24</v>
      </c>
    </row>
    <row r="106" spans="1:9" x14ac:dyDescent="0.25">
      <c r="A106" t="s">
        <v>422</v>
      </c>
      <c r="B106" t="s">
        <v>820</v>
      </c>
      <c r="C106" t="s">
        <v>635</v>
      </c>
      <c r="D106" t="s">
        <v>821</v>
      </c>
      <c r="E106" t="s">
        <v>432</v>
      </c>
      <c r="F106" t="s">
        <v>743</v>
      </c>
      <c r="G106" t="s">
        <v>133</v>
      </c>
      <c r="H106" t="s">
        <v>312</v>
      </c>
      <c r="I106" t="s">
        <v>33</v>
      </c>
    </row>
    <row r="107" spans="1:9" x14ac:dyDescent="0.25">
      <c r="A107" t="s">
        <v>422</v>
      </c>
      <c r="B107" t="s">
        <v>820</v>
      </c>
      <c r="C107" t="s">
        <v>638</v>
      </c>
      <c r="D107" t="s">
        <v>822</v>
      </c>
      <c r="E107" t="s">
        <v>432</v>
      </c>
      <c r="F107" t="s">
        <v>743</v>
      </c>
      <c r="G107" t="s">
        <v>133</v>
      </c>
      <c r="H107" t="s">
        <v>312</v>
      </c>
      <c r="I107" t="s">
        <v>33</v>
      </c>
    </row>
    <row r="108" spans="1:9" x14ac:dyDescent="0.25">
      <c r="A108" t="s">
        <v>422</v>
      </c>
      <c r="B108" t="s">
        <v>823</v>
      </c>
      <c r="C108" t="s">
        <v>635</v>
      </c>
      <c r="D108" t="s">
        <v>824</v>
      </c>
      <c r="E108" t="s">
        <v>440</v>
      </c>
      <c r="F108" t="s">
        <v>743</v>
      </c>
      <c r="G108" t="s">
        <v>133</v>
      </c>
      <c r="H108" t="s">
        <v>312</v>
      </c>
      <c r="I108" t="s">
        <v>18</v>
      </c>
    </row>
    <row r="109" spans="1:9" x14ac:dyDescent="0.25">
      <c r="A109" t="s">
        <v>422</v>
      </c>
      <c r="B109" t="s">
        <v>823</v>
      </c>
      <c r="C109" t="s">
        <v>638</v>
      </c>
      <c r="D109" t="s">
        <v>825</v>
      </c>
      <c r="E109" t="s">
        <v>440</v>
      </c>
      <c r="F109" t="s">
        <v>743</v>
      </c>
      <c r="G109" t="s">
        <v>133</v>
      </c>
      <c r="H109" t="s">
        <v>312</v>
      </c>
      <c r="I109" t="s">
        <v>18</v>
      </c>
    </row>
    <row r="110" spans="1:9" x14ac:dyDescent="0.25">
      <c r="A110" t="s">
        <v>422</v>
      </c>
      <c r="B110" t="s">
        <v>823</v>
      </c>
      <c r="C110" t="s">
        <v>640</v>
      </c>
      <c r="D110" t="s">
        <v>826</v>
      </c>
      <c r="E110" t="s">
        <v>440</v>
      </c>
      <c r="F110" t="s">
        <v>743</v>
      </c>
      <c r="G110" t="s">
        <v>133</v>
      </c>
      <c r="H110" t="s">
        <v>312</v>
      </c>
      <c r="I110" t="s">
        <v>18</v>
      </c>
    </row>
    <row r="111" spans="1:9" x14ac:dyDescent="0.25">
      <c r="A111" t="s">
        <v>422</v>
      </c>
      <c r="B111" t="s">
        <v>827</v>
      </c>
      <c r="C111" t="s">
        <v>635</v>
      </c>
      <c r="D111" t="s">
        <v>828</v>
      </c>
      <c r="E111" t="s">
        <v>452</v>
      </c>
      <c r="F111" t="s">
        <v>743</v>
      </c>
      <c r="G111" t="s">
        <v>133</v>
      </c>
      <c r="H111" t="s">
        <v>312</v>
      </c>
      <c r="I111" t="s">
        <v>31</v>
      </c>
    </row>
    <row r="112" spans="1:9" x14ac:dyDescent="0.25">
      <c r="A112" t="s">
        <v>422</v>
      </c>
      <c r="B112" t="s">
        <v>827</v>
      </c>
      <c r="C112" t="s">
        <v>638</v>
      </c>
      <c r="D112" t="s">
        <v>829</v>
      </c>
      <c r="E112" t="s">
        <v>452</v>
      </c>
      <c r="F112" t="s">
        <v>743</v>
      </c>
      <c r="G112" t="s">
        <v>133</v>
      </c>
      <c r="H112" t="s">
        <v>312</v>
      </c>
      <c r="I112" t="s">
        <v>31</v>
      </c>
    </row>
    <row r="113" spans="1:9" x14ac:dyDescent="0.25">
      <c r="A113" t="s">
        <v>422</v>
      </c>
      <c r="B113" t="s">
        <v>827</v>
      </c>
      <c r="C113" t="s">
        <v>640</v>
      </c>
      <c r="D113" t="s">
        <v>830</v>
      </c>
      <c r="E113" t="s">
        <v>452</v>
      </c>
      <c r="F113" t="s">
        <v>743</v>
      </c>
      <c r="G113" t="s">
        <v>133</v>
      </c>
      <c r="H113" t="s">
        <v>312</v>
      </c>
      <c r="I113" t="s">
        <v>31</v>
      </c>
    </row>
    <row r="114" spans="1:9" x14ac:dyDescent="0.25">
      <c r="A114" t="s">
        <v>422</v>
      </c>
      <c r="B114" t="s">
        <v>831</v>
      </c>
      <c r="C114" t="s">
        <v>635</v>
      </c>
      <c r="D114" t="s">
        <v>832</v>
      </c>
      <c r="E114" t="s">
        <v>454</v>
      </c>
      <c r="F114" t="s">
        <v>743</v>
      </c>
      <c r="G114" t="s">
        <v>133</v>
      </c>
      <c r="H114" t="s">
        <v>312</v>
      </c>
      <c r="I114" t="s">
        <v>22</v>
      </c>
    </row>
    <row r="115" spans="1:9" x14ac:dyDescent="0.25">
      <c r="A115" t="s">
        <v>422</v>
      </c>
      <c r="B115" t="s">
        <v>831</v>
      </c>
      <c r="C115" t="s">
        <v>638</v>
      </c>
      <c r="D115" t="s">
        <v>832</v>
      </c>
      <c r="E115" t="s">
        <v>454</v>
      </c>
      <c r="F115" t="s">
        <v>743</v>
      </c>
      <c r="G115" t="s">
        <v>133</v>
      </c>
      <c r="H115" t="s">
        <v>312</v>
      </c>
      <c r="I115" t="s">
        <v>22</v>
      </c>
    </row>
    <row r="116" spans="1:9" x14ac:dyDescent="0.25">
      <c r="A116" t="s">
        <v>422</v>
      </c>
      <c r="B116" t="s">
        <v>831</v>
      </c>
      <c r="C116" t="s">
        <v>640</v>
      </c>
      <c r="D116" t="s">
        <v>833</v>
      </c>
      <c r="E116" t="s">
        <v>454</v>
      </c>
      <c r="F116" t="s">
        <v>743</v>
      </c>
      <c r="G116" t="s">
        <v>133</v>
      </c>
      <c r="H116" t="s">
        <v>312</v>
      </c>
      <c r="I116" t="s">
        <v>22</v>
      </c>
    </row>
    <row r="117" spans="1:9" x14ac:dyDescent="0.25">
      <c r="A117" t="s">
        <v>422</v>
      </c>
      <c r="B117" t="s">
        <v>831</v>
      </c>
      <c r="C117" t="s">
        <v>641</v>
      </c>
      <c r="D117" t="s">
        <v>834</v>
      </c>
      <c r="E117" t="s">
        <v>454</v>
      </c>
      <c r="F117" t="s">
        <v>743</v>
      </c>
      <c r="G117" t="s">
        <v>133</v>
      </c>
      <c r="H117" t="s">
        <v>312</v>
      </c>
      <c r="I117" t="s">
        <v>22</v>
      </c>
    </row>
    <row r="118" spans="1:9" x14ac:dyDescent="0.25">
      <c r="A118" t="s">
        <v>422</v>
      </c>
      <c r="B118" t="s">
        <v>835</v>
      </c>
      <c r="C118" t="s">
        <v>635</v>
      </c>
      <c r="D118" t="s">
        <v>836</v>
      </c>
      <c r="E118" t="s">
        <v>458</v>
      </c>
      <c r="F118" t="s">
        <v>743</v>
      </c>
      <c r="G118" t="s">
        <v>133</v>
      </c>
      <c r="H118" t="s">
        <v>312</v>
      </c>
      <c r="I118" t="s">
        <v>11</v>
      </c>
    </row>
    <row r="119" spans="1:9" x14ac:dyDescent="0.25">
      <c r="A119" t="s">
        <v>422</v>
      </c>
      <c r="B119" t="s">
        <v>835</v>
      </c>
      <c r="C119" t="s">
        <v>638</v>
      </c>
      <c r="D119" t="s">
        <v>837</v>
      </c>
      <c r="E119" t="s">
        <v>458</v>
      </c>
      <c r="F119" t="s">
        <v>743</v>
      </c>
      <c r="G119" t="s">
        <v>133</v>
      </c>
      <c r="H119" t="s">
        <v>312</v>
      </c>
      <c r="I119" t="s">
        <v>11</v>
      </c>
    </row>
    <row r="120" spans="1:9" x14ac:dyDescent="0.25">
      <c r="A120" t="s">
        <v>422</v>
      </c>
      <c r="B120" t="s">
        <v>835</v>
      </c>
      <c r="C120" t="s">
        <v>640</v>
      </c>
      <c r="D120" t="s">
        <v>838</v>
      </c>
      <c r="E120" t="s">
        <v>458</v>
      </c>
      <c r="F120" t="s">
        <v>743</v>
      </c>
      <c r="G120" t="s">
        <v>133</v>
      </c>
      <c r="H120" t="s">
        <v>312</v>
      </c>
      <c r="I120" t="s">
        <v>11</v>
      </c>
    </row>
    <row r="121" spans="1:9" x14ac:dyDescent="0.25">
      <c r="A121" t="s">
        <v>422</v>
      </c>
      <c r="B121" t="s">
        <v>839</v>
      </c>
      <c r="C121" t="s">
        <v>635</v>
      </c>
      <c r="D121" t="s">
        <v>840</v>
      </c>
      <c r="E121" t="s">
        <v>460</v>
      </c>
      <c r="F121" t="s">
        <v>743</v>
      </c>
      <c r="G121" t="s">
        <v>133</v>
      </c>
      <c r="H121" t="s">
        <v>312</v>
      </c>
      <c r="I121" t="s">
        <v>12</v>
      </c>
    </row>
    <row r="122" spans="1:9" x14ac:dyDescent="0.25">
      <c r="A122" t="s">
        <v>422</v>
      </c>
      <c r="B122" t="s">
        <v>839</v>
      </c>
      <c r="C122" t="s">
        <v>638</v>
      </c>
      <c r="D122" t="s">
        <v>841</v>
      </c>
      <c r="E122" t="s">
        <v>460</v>
      </c>
      <c r="F122" t="s">
        <v>743</v>
      </c>
      <c r="G122" t="s">
        <v>133</v>
      </c>
      <c r="H122" t="s">
        <v>312</v>
      </c>
      <c r="I122" t="s">
        <v>12</v>
      </c>
    </row>
    <row r="123" spans="1:9" x14ac:dyDescent="0.25">
      <c r="A123" t="s">
        <v>422</v>
      </c>
      <c r="B123" t="s">
        <v>842</v>
      </c>
      <c r="C123" t="s">
        <v>635</v>
      </c>
      <c r="D123" t="s">
        <v>843</v>
      </c>
      <c r="E123" t="s">
        <v>462</v>
      </c>
      <c r="F123" t="s">
        <v>743</v>
      </c>
      <c r="G123" t="s">
        <v>133</v>
      </c>
      <c r="H123" t="s">
        <v>312</v>
      </c>
      <c r="I123" t="s">
        <v>20</v>
      </c>
    </row>
    <row r="124" spans="1:9" x14ac:dyDescent="0.25">
      <c r="A124" t="s">
        <v>422</v>
      </c>
      <c r="B124" t="s">
        <v>842</v>
      </c>
      <c r="C124" t="s">
        <v>638</v>
      </c>
      <c r="D124" t="s">
        <v>844</v>
      </c>
      <c r="E124" t="s">
        <v>462</v>
      </c>
      <c r="F124" t="s">
        <v>743</v>
      </c>
      <c r="G124" t="s">
        <v>133</v>
      </c>
      <c r="H124" t="s">
        <v>312</v>
      </c>
      <c r="I124" t="s">
        <v>20</v>
      </c>
    </row>
    <row r="125" spans="1:9" x14ac:dyDescent="0.25">
      <c r="A125" t="s">
        <v>422</v>
      </c>
      <c r="B125" t="s">
        <v>842</v>
      </c>
      <c r="C125" t="s">
        <v>640</v>
      </c>
      <c r="D125" t="s">
        <v>845</v>
      </c>
      <c r="E125" t="s">
        <v>462</v>
      </c>
      <c r="F125" t="s">
        <v>743</v>
      </c>
      <c r="G125" t="s">
        <v>133</v>
      </c>
      <c r="H125" t="s">
        <v>312</v>
      </c>
      <c r="I125" t="s">
        <v>20</v>
      </c>
    </row>
    <row r="126" spans="1:9" x14ac:dyDescent="0.25">
      <c r="A126" t="s">
        <v>422</v>
      </c>
      <c r="B126" t="s">
        <v>842</v>
      </c>
      <c r="C126" t="s">
        <v>641</v>
      </c>
      <c r="D126" t="s">
        <v>846</v>
      </c>
      <c r="E126" t="s">
        <v>462</v>
      </c>
      <c r="F126" t="s">
        <v>743</v>
      </c>
      <c r="G126" t="s">
        <v>133</v>
      </c>
      <c r="H126" t="s">
        <v>312</v>
      </c>
      <c r="I126" t="s">
        <v>20</v>
      </c>
    </row>
    <row r="127" spans="1:9" x14ac:dyDescent="0.25">
      <c r="A127" t="s">
        <v>422</v>
      </c>
      <c r="B127" t="s">
        <v>842</v>
      </c>
      <c r="C127" t="s">
        <v>679</v>
      </c>
      <c r="D127" t="s">
        <v>847</v>
      </c>
      <c r="E127" t="s">
        <v>462</v>
      </c>
      <c r="F127" t="s">
        <v>743</v>
      </c>
      <c r="G127" t="s">
        <v>133</v>
      </c>
      <c r="H127" t="s">
        <v>312</v>
      </c>
      <c r="I127" t="s">
        <v>20</v>
      </c>
    </row>
    <row r="128" spans="1:9" x14ac:dyDescent="0.25">
      <c r="A128" t="s">
        <v>422</v>
      </c>
      <c r="B128" t="s">
        <v>848</v>
      </c>
      <c r="C128" t="s">
        <v>635</v>
      </c>
      <c r="D128" t="s">
        <v>849</v>
      </c>
      <c r="E128" t="s">
        <v>466</v>
      </c>
      <c r="F128" t="s">
        <v>743</v>
      </c>
      <c r="G128" t="s">
        <v>133</v>
      </c>
      <c r="H128" t="s">
        <v>312</v>
      </c>
      <c r="I128" t="s">
        <v>16</v>
      </c>
    </row>
    <row r="129" spans="1:9" x14ac:dyDescent="0.25">
      <c r="A129" t="s">
        <v>422</v>
      </c>
      <c r="B129" t="s">
        <v>848</v>
      </c>
      <c r="C129" t="s">
        <v>638</v>
      </c>
      <c r="D129" t="s">
        <v>850</v>
      </c>
      <c r="E129" t="s">
        <v>466</v>
      </c>
      <c r="F129" t="s">
        <v>743</v>
      </c>
      <c r="G129" t="s">
        <v>133</v>
      </c>
      <c r="H129" t="s">
        <v>312</v>
      </c>
      <c r="I129" t="s">
        <v>16</v>
      </c>
    </row>
    <row r="130" spans="1:9" x14ac:dyDescent="0.25">
      <c r="A130" t="s">
        <v>422</v>
      </c>
      <c r="B130" t="s">
        <v>848</v>
      </c>
      <c r="C130" t="s">
        <v>640</v>
      </c>
      <c r="D130" t="s">
        <v>851</v>
      </c>
      <c r="E130" t="s">
        <v>466</v>
      </c>
      <c r="F130" t="s">
        <v>743</v>
      </c>
      <c r="G130" t="s">
        <v>133</v>
      </c>
      <c r="H130" t="s">
        <v>312</v>
      </c>
      <c r="I130" t="s">
        <v>16</v>
      </c>
    </row>
    <row r="131" spans="1:9" x14ac:dyDescent="0.25">
      <c r="A131" t="s">
        <v>422</v>
      </c>
      <c r="B131" t="s">
        <v>852</v>
      </c>
      <c r="C131" t="s">
        <v>635</v>
      </c>
      <c r="D131" t="s">
        <v>853</v>
      </c>
      <c r="E131" t="s">
        <v>468</v>
      </c>
      <c r="F131" t="s">
        <v>743</v>
      </c>
      <c r="G131" t="s">
        <v>133</v>
      </c>
      <c r="H131" t="s">
        <v>312</v>
      </c>
      <c r="I131" t="s">
        <v>8</v>
      </c>
    </row>
    <row r="132" spans="1:9" x14ac:dyDescent="0.25">
      <c r="A132" t="s">
        <v>422</v>
      </c>
      <c r="B132" t="s">
        <v>852</v>
      </c>
      <c r="C132" t="s">
        <v>638</v>
      </c>
      <c r="D132" t="s">
        <v>854</v>
      </c>
      <c r="E132" t="s">
        <v>468</v>
      </c>
      <c r="F132" t="s">
        <v>743</v>
      </c>
      <c r="G132" t="s">
        <v>133</v>
      </c>
      <c r="H132" t="s">
        <v>312</v>
      </c>
      <c r="I132" t="s">
        <v>8</v>
      </c>
    </row>
    <row r="133" spans="1:9" x14ac:dyDescent="0.25">
      <c r="A133" t="s">
        <v>422</v>
      </c>
      <c r="B133" t="s">
        <v>852</v>
      </c>
      <c r="C133" t="s">
        <v>640</v>
      </c>
      <c r="D133" t="s">
        <v>855</v>
      </c>
      <c r="E133" t="s">
        <v>468</v>
      </c>
      <c r="F133" t="s">
        <v>743</v>
      </c>
      <c r="G133" t="s">
        <v>133</v>
      </c>
      <c r="H133" t="s">
        <v>312</v>
      </c>
      <c r="I133" t="s">
        <v>8</v>
      </c>
    </row>
    <row r="134" spans="1:9" x14ac:dyDescent="0.25">
      <c r="A134" t="s">
        <v>422</v>
      </c>
      <c r="B134" t="s">
        <v>856</v>
      </c>
      <c r="C134" t="s">
        <v>635</v>
      </c>
      <c r="D134" t="s">
        <v>857</v>
      </c>
      <c r="E134" t="s">
        <v>446</v>
      </c>
      <c r="F134" t="s">
        <v>743</v>
      </c>
      <c r="G134" t="s">
        <v>133</v>
      </c>
      <c r="H134" t="s">
        <v>312</v>
      </c>
      <c r="I134" t="s">
        <v>32</v>
      </c>
    </row>
    <row r="135" spans="1:9" x14ac:dyDescent="0.25">
      <c r="A135" t="s">
        <v>422</v>
      </c>
      <c r="B135" t="s">
        <v>856</v>
      </c>
      <c r="C135" t="s">
        <v>638</v>
      </c>
      <c r="D135" t="s">
        <v>858</v>
      </c>
      <c r="E135" t="s">
        <v>446</v>
      </c>
      <c r="F135" t="s">
        <v>743</v>
      </c>
      <c r="G135" t="s">
        <v>133</v>
      </c>
      <c r="H135" t="s">
        <v>312</v>
      </c>
      <c r="I135" t="s">
        <v>32</v>
      </c>
    </row>
    <row r="136" spans="1:9" x14ac:dyDescent="0.25">
      <c r="A136" t="s">
        <v>422</v>
      </c>
      <c r="B136" t="s">
        <v>856</v>
      </c>
      <c r="C136" t="s">
        <v>640</v>
      </c>
      <c r="D136" t="s">
        <v>859</v>
      </c>
      <c r="E136" t="s">
        <v>446</v>
      </c>
      <c r="F136" t="s">
        <v>743</v>
      </c>
      <c r="G136" t="s">
        <v>133</v>
      </c>
      <c r="H136" t="s">
        <v>312</v>
      </c>
      <c r="I136" t="s">
        <v>32</v>
      </c>
    </row>
    <row r="137" spans="1:9" x14ac:dyDescent="0.25">
      <c r="A137" t="s">
        <v>422</v>
      </c>
      <c r="B137" t="s">
        <v>856</v>
      </c>
      <c r="C137" t="s">
        <v>635</v>
      </c>
      <c r="D137" t="s">
        <v>857</v>
      </c>
      <c r="E137" t="s">
        <v>446</v>
      </c>
      <c r="F137" t="s">
        <v>743</v>
      </c>
      <c r="G137" t="s">
        <v>152</v>
      </c>
      <c r="H137" t="s">
        <v>320</v>
      </c>
      <c r="I137" t="s">
        <v>32</v>
      </c>
    </row>
    <row r="138" spans="1:9" x14ac:dyDescent="0.25">
      <c r="A138" t="s">
        <v>422</v>
      </c>
      <c r="B138" t="s">
        <v>856</v>
      </c>
      <c r="C138" t="s">
        <v>638</v>
      </c>
      <c r="D138" t="s">
        <v>858</v>
      </c>
      <c r="E138" t="s">
        <v>446</v>
      </c>
      <c r="F138" t="s">
        <v>743</v>
      </c>
      <c r="G138" t="s">
        <v>152</v>
      </c>
      <c r="H138" t="s">
        <v>320</v>
      </c>
      <c r="I138" t="s">
        <v>32</v>
      </c>
    </row>
    <row r="139" spans="1:9" x14ac:dyDescent="0.25">
      <c r="A139" t="s">
        <v>422</v>
      </c>
      <c r="B139" t="s">
        <v>856</v>
      </c>
      <c r="C139" t="s">
        <v>640</v>
      </c>
      <c r="D139" t="s">
        <v>859</v>
      </c>
      <c r="E139" t="s">
        <v>446</v>
      </c>
      <c r="F139" t="s">
        <v>743</v>
      </c>
      <c r="G139" t="s">
        <v>152</v>
      </c>
      <c r="H139" t="s">
        <v>320</v>
      </c>
      <c r="I139" t="s">
        <v>32</v>
      </c>
    </row>
    <row r="140" spans="1:9" x14ac:dyDescent="0.25">
      <c r="A140" t="s">
        <v>422</v>
      </c>
      <c r="B140" t="s">
        <v>860</v>
      </c>
      <c r="C140" t="s">
        <v>635</v>
      </c>
      <c r="D140" t="s">
        <v>861</v>
      </c>
      <c r="E140" t="s">
        <v>448</v>
      </c>
      <c r="F140" t="s">
        <v>743</v>
      </c>
      <c r="G140" t="s">
        <v>133</v>
      </c>
      <c r="H140" t="s">
        <v>312</v>
      </c>
      <c r="I140" t="s">
        <v>9</v>
      </c>
    </row>
    <row r="141" spans="1:9" x14ac:dyDescent="0.25">
      <c r="A141" t="s">
        <v>422</v>
      </c>
      <c r="B141" t="s">
        <v>860</v>
      </c>
      <c r="C141" t="s">
        <v>638</v>
      </c>
      <c r="D141" t="s">
        <v>862</v>
      </c>
      <c r="E141" t="s">
        <v>448</v>
      </c>
      <c r="F141" t="s">
        <v>743</v>
      </c>
      <c r="G141" t="s">
        <v>133</v>
      </c>
      <c r="H141" t="s">
        <v>312</v>
      </c>
      <c r="I141" t="s">
        <v>9</v>
      </c>
    </row>
    <row r="142" spans="1:9" x14ac:dyDescent="0.25">
      <c r="A142" t="s">
        <v>422</v>
      </c>
      <c r="B142" t="s">
        <v>860</v>
      </c>
      <c r="C142" t="s">
        <v>640</v>
      </c>
      <c r="D142" t="s">
        <v>863</v>
      </c>
      <c r="E142" t="s">
        <v>448</v>
      </c>
      <c r="F142" t="s">
        <v>743</v>
      </c>
      <c r="G142" t="s">
        <v>133</v>
      </c>
      <c r="H142" t="s">
        <v>312</v>
      </c>
      <c r="I142" t="s">
        <v>9</v>
      </c>
    </row>
    <row r="143" spans="1:9" x14ac:dyDescent="0.25">
      <c r="A143" t="s">
        <v>422</v>
      </c>
      <c r="B143" t="s">
        <v>864</v>
      </c>
      <c r="C143" t="s">
        <v>635</v>
      </c>
      <c r="D143" t="s">
        <v>865</v>
      </c>
      <c r="E143" t="s">
        <v>450</v>
      </c>
      <c r="F143" t="s">
        <v>743</v>
      </c>
      <c r="G143" t="s">
        <v>133</v>
      </c>
      <c r="H143" t="s">
        <v>312</v>
      </c>
      <c r="I143" t="s">
        <v>21</v>
      </c>
    </row>
    <row r="144" spans="1:9" x14ac:dyDescent="0.25">
      <c r="A144" t="s">
        <v>422</v>
      </c>
      <c r="B144" t="s">
        <v>864</v>
      </c>
      <c r="C144" t="s">
        <v>638</v>
      </c>
      <c r="D144" t="s">
        <v>866</v>
      </c>
      <c r="E144" t="s">
        <v>450</v>
      </c>
      <c r="F144" t="s">
        <v>743</v>
      </c>
      <c r="G144" t="s">
        <v>133</v>
      </c>
      <c r="H144" t="s">
        <v>312</v>
      </c>
      <c r="I144" t="s">
        <v>21</v>
      </c>
    </row>
    <row r="145" spans="1:9" x14ac:dyDescent="0.25">
      <c r="A145" t="s">
        <v>385</v>
      </c>
      <c r="B145" t="s">
        <v>867</v>
      </c>
      <c r="C145" t="s">
        <v>635</v>
      </c>
      <c r="D145" t="s">
        <v>868</v>
      </c>
      <c r="E145" t="s">
        <v>412</v>
      </c>
      <c r="F145" t="s">
        <v>743</v>
      </c>
      <c r="G145" t="s">
        <v>133</v>
      </c>
      <c r="H145" t="s">
        <v>312</v>
      </c>
      <c r="I145" t="s">
        <v>30</v>
      </c>
    </row>
    <row r="146" spans="1:9" x14ac:dyDescent="0.25">
      <c r="A146" t="s">
        <v>385</v>
      </c>
      <c r="B146" t="s">
        <v>867</v>
      </c>
      <c r="C146" t="s">
        <v>638</v>
      </c>
      <c r="D146" t="s">
        <v>869</v>
      </c>
      <c r="E146" t="s">
        <v>412</v>
      </c>
      <c r="F146" t="s">
        <v>743</v>
      </c>
      <c r="G146" t="s">
        <v>133</v>
      </c>
      <c r="H146" t="s">
        <v>312</v>
      </c>
      <c r="I146" t="s">
        <v>30</v>
      </c>
    </row>
    <row r="147" spans="1:9" x14ac:dyDescent="0.25">
      <c r="A147" t="s">
        <v>385</v>
      </c>
      <c r="B147" t="s">
        <v>870</v>
      </c>
      <c r="C147" t="s">
        <v>635</v>
      </c>
      <c r="D147" t="s">
        <v>871</v>
      </c>
      <c r="E147" t="s">
        <v>417</v>
      </c>
      <c r="F147" t="s">
        <v>743</v>
      </c>
      <c r="G147" t="s">
        <v>133</v>
      </c>
      <c r="H147" t="s">
        <v>312</v>
      </c>
      <c r="I147" t="s">
        <v>7</v>
      </c>
    </row>
    <row r="148" spans="1:9" x14ac:dyDescent="0.25">
      <c r="A148" t="s">
        <v>385</v>
      </c>
      <c r="B148" t="s">
        <v>870</v>
      </c>
      <c r="C148" t="s">
        <v>638</v>
      </c>
      <c r="D148" t="s">
        <v>872</v>
      </c>
      <c r="E148" t="s">
        <v>417</v>
      </c>
      <c r="F148" t="s">
        <v>743</v>
      </c>
      <c r="G148" t="s">
        <v>133</v>
      </c>
      <c r="H148" t="s">
        <v>312</v>
      </c>
      <c r="I148" t="s">
        <v>7</v>
      </c>
    </row>
    <row r="149" spans="1:9" x14ac:dyDescent="0.25">
      <c r="A149" t="s">
        <v>385</v>
      </c>
      <c r="B149" t="s">
        <v>870</v>
      </c>
      <c r="C149" t="s">
        <v>640</v>
      </c>
      <c r="D149" t="s">
        <v>873</v>
      </c>
      <c r="E149" t="s">
        <v>417</v>
      </c>
      <c r="F149" t="s">
        <v>743</v>
      </c>
      <c r="G149" t="s">
        <v>133</v>
      </c>
      <c r="H149" t="s">
        <v>312</v>
      </c>
      <c r="I149" t="s">
        <v>7</v>
      </c>
    </row>
    <row r="150" spans="1:9" x14ac:dyDescent="0.25">
      <c r="A150" t="s">
        <v>351</v>
      </c>
      <c r="B150" t="s">
        <v>874</v>
      </c>
      <c r="C150" t="s">
        <v>635</v>
      </c>
      <c r="D150" t="s">
        <v>875</v>
      </c>
      <c r="E150" t="s">
        <v>353</v>
      </c>
      <c r="F150" t="s">
        <v>743</v>
      </c>
      <c r="G150" t="s">
        <v>169</v>
      </c>
      <c r="H150" t="s">
        <v>354</v>
      </c>
      <c r="I150" t="s">
        <v>224</v>
      </c>
    </row>
    <row r="151" spans="1:9" x14ac:dyDescent="0.25">
      <c r="A151" t="s">
        <v>351</v>
      </c>
      <c r="B151" t="s">
        <v>874</v>
      </c>
      <c r="C151" t="s">
        <v>638</v>
      </c>
      <c r="D151" t="s">
        <v>876</v>
      </c>
      <c r="E151" t="s">
        <v>353</v>
      </c>
      <c r="F151" t="s">
        <v>743</v>
      </c>
      <c r="G151" t="s">
        <v>169</v>
      </c>
      <c r="H151" t="s">
        <v>354</v>
      </c>
      <c r="I151" t="s">
        <v>224</v>
      </c>
    </row>
    <row r="152" spans="1:9" x14ac:dyDescent="0.25">
      <c r="A152" t="s">
        <v>351</v>
      </c>
      <c r="B152" t="s">
        <v>874</v>
      </c>
      <c r="C152" t="s">
        <v>640</v>
      </c>
      <c r="D152" t="s">
        <v>877</v>
      </c>
      <c r="E152" t="s">
        <v>353</v>
      </c>
      <c r="F152" t="s">
        <v>743</v>
      </c>
      <c r="G152" t="s">
        <v>169</v>
      </c>
      <c r="H152" t="s">
        <v>354</v>
      </c>
      <c r="I152" t="s">
        <v>224</v>
      </c>
    </row>
    <row r="153" spans="1:9" x14ac:dyDescent="0.25">
      <c r="A153" t="s">
        <v>351</v>
      </c>
      <c r="B153" t="s">
        <v>878</v>
      </c>
      <c r="C153" t="s">
        <v>635</v>
      </c>
      <c r="D153" t="s">
        <v>879</v>
      </c>
      <c r="E153" t="s">
        <v>356</v>
      </c>
      <c r="F153" t="s">
        <v>743</v>
      </c>
      <c r="G153" t="s">
        <v>169</v>
      </c>
      <c r="H153" t="s">
        <v>354</v>
      </c>
      <c r="I153" t="s">
        <v>357</v>
      </c>
    </row>
    <row r="154" spans="1:9" x14ac:dyDescent="0.25">
      <c r="A154" t="s">
        <v>351</v>
      </c>
      <c r="B154" t="s">
        <v>878</v>
      </c>
      <c r="C154" t="s">
        <v>638</v>
      </c>
      <c r="D154" t="s">
        <v>880</v>
      </c>
      <c r="E154" t="s">
        <v>356</v>
      </c>
      <c r="F154" t="s">
        <v>743</v>
      </c>
      <c r="G154" t="s">
        <v>169</v>
      </c>
      <c r="H154" t="s">
        <v>354</v>
      </c>
      <c r="I154" t="s">
        <v>357</v>
      </c>
    </row>
    <row r="155" spans="1:9" x14ac:dyDescent="0.25">
      <c r="A155" t="s">
        <v>351</v>
      </c>
      <c r="B155" t="s">
        <v>878</v>
      </c>
      <c r="C155" t="s">
        <v>640</v>
      </c>
      <c r="D155" t="s">
        <v>881</v>
      </c>
      <c r="E155" t="s">
        <v>356</v>
      </c>
      <c r="F155" t="s">
        <v>743</v>
      </c>
      <c r="G155" t="s">
        <v>169</v>
      </c>
      <c r="H155" t="s">
        <v>354</v>
      </c>
      <c r="I155" t="s">
        <v>357</v>
      </c>
    </row>
    <row r="156" spans="1:9" x14ac:dyDescent="0.25">
      <c r="A156" t="s">
        <v>351</v>
      </c>
      <c r="B156" t="s">
        <v>882</v>
      </c>
      <c r="C156" t="s">
        <v>635</v>
      </c>
      <c r="D156" t="s">
        <v>883</v>
      </c>
      <c r="E156" t="s">
        <v>359</v>
      </c>
      <c r="F156" t="s">
        <v>743</v>
      </c>
      <c r="G156" t="s">
        <v>169</v>
      </c>
      <c r="H156" t="s">
        <v>354</v>
      </c>
      <c r="I156" t="s">
        <v>360</v>
      </c>
    </row>
    <row r="157" spans="1:9" x14ac:dyDescent="0.25">
      <c r="A157" t="s">
        <v>351</v>
      </c>
      <c r="B157" t="s">
        <v>882</v>
      </c>
      <c r="C157" t="s">
        <v>638</v>
      </c>
      <c r="D157" t="s">
        <v>884</v>
      </c>
      <c r="E157" t="s">
        <v>359</v>
      </c>
      <c r="F157" t="s">
        <v>743</v>
      </c>
      <c r="G157" t="s">
        <v>169</v>
      </c>
      <c r="H157" t="s">
        <v>354</v>
      </c>
      <c r="I157" t="s">
        <v>360</v>
      </c>
    </row>
    <row r="158" spans="1:9" x14ac:dyDescent="0.25">
      <c r="A158" t="s">
        <v>351</v>
      </c>
      <c r="B158" t="s">
        <v>882</v>
      </c>
      <c r="C158" t="s">
        <v>640</v>
      </c>
      <c r="D158" t="s">
        <v>885</v>
      </c>
      <c r="E158" t="s">
        <v>359</v>
      </c>
      <c r="F158" t="s">
        <v>743</v>
      </c>
      <c r="G158" t="s">
        <v>169</v>
      </c>
      <c r="H158" t="s">
        <v>354</v>
      </c>
      <c r="I158" t="s">
        <v>360</v>
      </c>
    </row>
    <row r="159" spans="1:9" x14ac:dyDescent="0.25">
      <c r="A159" t="s">
        <v>351</v>
      </c>
      <c r="B159" t="s">
        <v>886</v>
      </c>
      <c r="C159" t="s">
        <v>635</v>
      </c>
      <c r="D159" t="s">
        <v>887</v>
      </c>
      <c r="E159" t="s">
        <v>362</v>
      </c>
      <c r="F159" t="s">
        <v>743</v>
      </c>
      <c r="G159" t="s">
        <v>169</v>
      </c>
      <c r="H159" t="s">
        <v>354</v>
      </c>
      <c r="I159" t="s">
        <v>213</v>
      </c>
    </row>
    <row r="160" spans="1:9" x14ac:dyDescent="0.25">
      <c r="A160" t="s">
        <v>351</v>
      </c>
      <c r="B160" t="s">
        <v>886</v>
      </c>
      <c r="C160" t="s">
        <v>638</v>
      </c>
      <c r="D160" t="s">
        <v>888</v>
      </c>
      <c r="E160" t="s">
        <v>362</v>
      </c>
      <c r="F160" t="s">
        <v>743</v>
      </c>
      <c r="G160" t="s">
        <v>169</v>
      </c>
      <c r="H160" t="s">
        <v>354</v>
      </c>
      <c r="I160" t="s">
        <v>213</v>
      </c>
    </row>
    <row r="161" spans="1:9" x14ac:dyDescent="0.25">
      <c r="A161" t="s">
        <v>351</v>
      </c>
      <c r="B161" t="s">
        <v>886</v>
      </c>
      <c r="C161" t="s">
        <v>640</v>
      </c>
      <c r="D161" t="s">
        <v>889</v>
      </c>
      <c r="E161" t="s">
        <v>362</v>
      </c>
      <c r="F161" t="s">
        <v>743</v>
      </c>
      <c r="G161" t="s">
        <v>169</v>
      </c>
      <c r="H161" t="s">
        <v>354</v>
      </c>
      <c r="I161" t="s">
        <v>213</v>
      </c>
    </row>
    <row r="162" spans="1:9" x14ac:dyDescent="0.25">
      <c r="A162" t="s">
        <v>351</v>
      </c>
      <c r="B162" t="s">
        <v>890</v>
      </c>
      <c r="C162" t="s">
        <v>635</v>
      </c>
      <c r="D162" t="s">
        <v>891</v>
      </c>
      <c r="E162" t="s">
        <v>364</v>
      </c>
      <c r="F162" t="s">
        <v>743</v>
      </c>
      <c r="G162" t="s">
        <v>169</v>
      </c>
      <c r="H162" t="s">
        <v>354</v>
      </c>
      <c r="I162" t="s">
        <v>365</v>
      </c>
    </row>
    <row r="163" spans="1:9" x14ac:dyDescent="0.25">
      <c r="A163" t="s">
        <v>351</v>
      </c>
      <c r="B163" t="s">
        <v>890</v>
      </c>
      <c r="C163" t="s">
        <v>638</v>
      </c>
      <c r="D163" t="s">
        <v>892</v>
      </c>
      <c r="E163" t="s">
        <v>364</v>
      </c>
      <c r="F163" t="s">
        <v>743</v>
      </c>
      <c r="G163" t="s">
        <v>169</v>
      </c>
      <c r="H163" t="s">
        <v>354</v>
      </c>
      <c r="I163" t="s">
        <v>365</v>
      </c>
    </row>
    <row r="164" spans="1:9" x14ac:dyDescent="0.25">
      <c r="A164" t="s">
        <v>351</v>
      </c>
      <c r="B164" t="s">
        <v>890</v>
      </c>
      <c r="C164" t="s">
        <v>640</v>
      </c>
      <c r="D164" t="s">
        <v>893</v>
      </c>
      <c r="E164" t="s">
        <v>364</v>
      </c>
      <c r="F164" t="s">
        <v>743</v>
      </c>
      <c r="G164" t="s">
        <v>169</v>
      </c>
      <c r="H164" t="s">
        <v>354</v>
      </c>
      <c r="I164" t="s">
        <v>365</v>
      </c>
    </row>
    <row r="165" spans="1:9" x14ac:dyDescent="0.25">
      <c r="A165" t="s">
        <v>351</v>
      </c>
      <c r="B165" t="s">
        <v>894</v>
      </c>
      <c r="C165" t="s">
        <v>635</v>
      </c>
      <c r="D165" t="s">
        <v>895</v>
      </c>
      <c r="E165" t="s">
        <v>367</v>
      </c>
      <c r="F165" t="s">
        <v>743</v>
      </c>
      <c r="G165" t="s">
        <v>169</v>
      </c>
      <c r="H165" t="s">
        <v>354</v>
      </c>
      <c r="I165" t="s">
        <v>231</v>
      </c>
    </row>
    <row r="166" spans="1:9" x14ac:dyDescent="0.25">
      <c r="A166" t="s">
        <v>351</v>
      </c>
      <c r="B166" t="s">
        <v>894</v>
      </c>
      <c r="C166" t="s">
        <v>638</v>
      </c>
      <c r="D166" t="s">
        <v>896</v>
      </c>
      <c r="E166" t="s">
        <v>367</v>
      </c>
      <c r="F166" t="s">
        <v>743</v>
      </c>
      <c r="G166" t="s">
        <v>169</v>
      </c>
      <c r="H166" t="s">
        <v>354</v>
      </c>
      <c r="I166" t="s">
        <v>231</v>
      </c>
    </row>
    <row r="167" spans="1:9" x14ac:dyDescent="0.25">
      <c r="A167" t="s">
        <v>351</v>
      </c>
      <c r="B167" t="s">
        <v>894</v>
      </c>
      <c r="C167" t="s">
        <v>640</v>
      </c>
      <c r="D167" t="s">
        <v>897</v>
      </c>
      <c r="E167" t="s">
        <v>367</v>
      </c>
      <c r="F167" t="s">
        <v>743</v>
      </c>
      <c r="G167" t="s">
        <v>169</v>
      </c>
      <c r="H167" t="s">
        <v>354</v>
      </c>
      <c r="I167" t="s">
        <v>231</v>
      </c>
    </row>
    <row r="168" spans="1:9" x14ac:dyDescent="0.25">
      <c r="A168" t="s">
        <v>351</v>
      </c>
      <c r="B168" t="s">
        <v>898</v>
      </c>
      <c r="C168" t="s">
        <v>635</v>
      </c>
      <c r="D168" t="s">
        <v>899</v>
      </c>
      <c r="E168" t="s">
        <v>369</v>
      </c>
      <c r="F168" t="s">
        <v>743</v>
      </c>
      <c r="G168" t="s">
        <v>169</v>
      </c>
      <c r="H168" t="s">
        <v>354</v>
      </c>
      <c r="I168" t="s">
        <v>370</v>
      </c>
    </row>
    <row r="169" spans="1:9" x14ac:dyDescent="0.25">
      <c r="A169" t="s">
        <v>351</v>
      </c>
      <c r="B169" t="s">
        <v>898</v>
      </c>
      <c r="C169" t="s">
        <v>638</v>
      </c>
      <c r="D169" t="s">
        <v>900</v>
      </c>
      <c r="E169" t="s">
        <v>369</v>
      </c>
      <c r="F169" t="s">
        <v>743</v>
      </c>
      <c r="G169" t="s">
        <v>169</v>
      </c>
      <c r="H169" t="s">
        <v>354</v>
      </c>
      <c r="I169" t="s">
        <v>370</v>
      </c>
    </row>
    <row r="170" spans="1:9" x14ac:dyDescent="0.25">
      <c r="A170" t="s">
        <v>351</v>
      </c>
      <c r="B170" t="s">
        <v>898</v>
      </c>
      <c r="C170" t="s">
        <v>640</v>
      </c>
      <c r="D170" t="s">
        <v>901</v>
      </c>
      <c r="E170" t="s">
        <v>369</v>
      </c>
      <c r="F170" t="s">
        <v>743</v>
      </c>
      <c r="G170" t="s">
        <v>169</v>
      </c>
      <c r="H170" t="s">
        <v>354</v>
      </c>
      <c r="I170" t="s">
        <v>370</v>
      </c>
    </row>
    <row r="171" spans="1:9" x14ac:dyDescent="0.25">
      <c r="A171" t="s">
        <v>351</v>
      </c>
      <c r="B171" t="s">
        <v>902</v>
      </c>
      <c r="C171" t="s">
        <v>635</v>
      </c>
      <c r="D171" t="s">
        <v>903</v>
      </c>
      <c r="E171" t="s">
        <v>372</v>
      </c>
      <c r="F171" t="s">
        <v>743</v>
      </c>
      <c r="G171" t="s">
        <v>169</v>
      </c>
      <c r="H171" t="s">
        <v>354</v>
      </c>
      <c r="I171" t="s">
        <v>221</v>
      </c>
    </row>
    <row r="172" spans="1:9" x14ac:dyDescent="0.25">
      <c r="A172" t="s">
        <v>351</v>
      </c>
      <c r="B172" t="s">
        <v>902</v>
      </c>
      <c r="C172" t="s">
        <v>638</v>
      </c>
      <c r="D172" t="s">
        <v>904</v>
      </c>
      <c r="E172" t="s">
        <v>372</v>
      </c>
      <c r="F172" t="s">
        <v>743</v>
      </c>
      <c r="G172" t="s">
        <v>169</v>
      </c>
      <c r="H172" t="s">
        <v>354</v>
      </c>
      <c r="I172" t="s">
        <v>221</v>
      </c>
    </row>
    <row r="173" spans="1:9" x14ac:dyDescent="0.25">
      <c r="A173" t="s">
        <v>351</v>
      </c>
      <c r="B173" t="s">
        <v>902</v>
      </c>
      <c r="C173" t="s">
        <v>640</v>
      </c>
      <c r="D173" t="s">
        <v>905</v>
      </c>
      <c r="E173" t="s">
        <v>372</v>
      </c>
      <c r="F173" t="s">
        <v>743</v>
      </c>
      <c r="G173" t="s">
        <v>169</v>
      </c>
      <c r="H173" t="s">
        <v>354</v>
      </c>
      <c r="I173" t="s">
        <v>221</v>
      </c>
    </row>
    <row r="174" spans="1:9" x14ac:dyDescent="0.25">
      <c r="A174" t="s">
        <v>351</v>
      </c>
      <c r="B174" t="s">
        <v>906</v>
      </c>
      <c r="C174" t="s">
        <v>635</v>
      </c>
      <c r="D174" t="s">
        <v>907</v>
      </c>
      <c r="E174" t="s">
        <v>374</v>
      </c>
      <c r="F174" t="s">
        <v>743</v>
      </c>
      <c r="G174" t="s">
        <v>169</v>
      </c>
      <c r="H174" t="s">
        <v>354</v>
      </c>
      <c r="I174" t="s">
        <v>219</v>
      </c>
    </row>
    <row r="175" spans="1:9" x14ac:dyDescent="0.25">
      <c r="A175" t="s">
        <v>351</v>
      </c>
      <c r="B175" t="s">
        <v>906</v>
      </c>
      <c r="C175" t="s">
        <v>638</v>
      </c>
      <c r="D175" t="s">
        <v>908</v>
      </c>
      <c r="E175" t="s">
        <v>374</v>
      </c>
      <c r="F175" t="s">
        <v>743</v>
      </c>
      <c r="G175" t="s">
        <v>169</v>
      </c>
      <c r="H175" t="s">
        <v>354</v>
      </c>
      <c r="I175" t="s">
        <v>219</v>
      </c>
    </row>
    <row r="176" spans="1:9" x14ac:dyDescent="0.25">
      <c r="A176" t="s">
        <v>351</v>
      </c>
      <c r="B176" t="s">
        <v>906</v>
      </c>
      <c r="C176" t="s">
        <v>640</v>
      </c>
      <c r="D176" t="s">
        <v>909</v>
      </c>
      <c r="E176" t="s">
        <v>374</v>
      </c>
      <c r="F176" t="s">
        <v>743</v>
      </c>
      <c r="G176" t="s">
        <v>169</v>
      </c>
      <c r="H176" t="s">
        <v>354</v>
      </c>
      <c r="I176" t="s">
        <v>219</v>
      </c>
    </row>
    <row r="177" spans="1:9" x14ac:dyDescent="0.25">
      <c r="A177" t="s">
        <v>351</v>
      </c>
      <c r="B177" t="s">
        <v>910</v>
      </c>
      <c r="C177" t="s">
        <v>635</v>
      </c>
      <c r="D177" t="s">
        <v>911</v>
      </c>
      <c r="E177" t="s">
        <v>376</v>
      </c>
      <c r="F177" t="s">
        <v>743</v>
      </c>
      <c r="G177" t="s">
        <v>169</v>
      </c>
      <c r="H177" t="s">
        <v>354</v>
      </c>
      <c r="I177" t="s">
        <v>222</v>
      </c>
    </row>
    <row r="178" spans="1:9" x14ac:dyDescent="0.25">
      <c r="A178" t="s">
        <v>351</v>
      </c>
      <c r="B178" t="s">
        <v>910</v>
      </c>
      <c r="C178" t="s">
        <v>638</v>
      </c>
      <c r="D178" t="s">
        <v>912</v>
      </c>
      <c r="E178" t="s">
        <v>376</v>
      </c>
      <c r="F178" t="s">
        <v>743</v>
      </c>
      <c r="G178" t="s">
        <v>169</v>
      </c>
      <c r="H178" t="s">
        <v>354</v>
      </c>
      <c r="I178" t="s">
        <v>222</v>
      </c>
    </row>
    <row r="179" spans="1:9" x14ac:dyDescent="0.25">
      <c r="A179" t="s">
        <v>351</v>
      </c>
      <c r="B179" t="s">
        <v>910</v>
      </c>
      <c r="C179" t="s">
        <v>640</v>
      </c>
      <c r="D179" t="s">
        <v>913</v>
      </c>
      <c r="E179" t="s">
        <v>376</v>
      </c>
      <c r="F179" t="s">
        <v>743</v>
      </c>
      <c r="G179" t="s">
        <v>169</v>
      </c>
      <c r="H179" t="s">
        <v>354</v>
      </c>
      <c r="I179" t="s">
        <v>222</v>
      </c>
    </row>
    <row r="180" spans="1:9" x14ac:dyDescent="0.25">
      <c r="A180" t="s">
        <v>351</v>
      </c>
      <c r="B180" t="s">
        <v>914</v>
      </c>
      <c r="C180" t="s">
        <v>635</v>
      </c>
      <c r="D180" t="s">
        <v>915</v>
      </c>
      <c r="E180" t="s">
        <v>378</v>
      </c>
      <c r="F180" t="s">
        <v>743</v>
      </c>
      <c r="G180" t="s">
        <v>169</v>
      </c>
      <c r="H180" t="s">
        <v>354</v>
      </c>
      <c r="I180" t="s">
        <v>230</v>
      </c>
    </row>
    <row r="181" spans="1:9" x14ac:dyDescent="0.25">
      <c r="A181" t="s">
        <v>351</v>
      </c>
      <c r="B181" t="s">
        <v>914</v>
      </c>
      <c r="C181" t="s">
        <v>638</v>
      </c>
      <c r="D181" t="s">
        <v>916</v>
      </c>
      <c r="E181" t="s">
        <v>378</v>
      </c>
      <c r="F181" t="s">
        <v>743</v>
      </c>
      <c r="G181" t="s">
        <v>169</v>
      </c>
      <c r="H181" t="s">
        <v>354</v>
      </c>
      <c r="I181" t="s">
        <v>230</v>
      </c>
    </row>
    <row r="182" spans="1:9" x14ac:dyDescent="0.25">
      <c r="A182" t="s">
        <v>351</v>
      </c>
      <c r="B182" t="s">
        <v>914</v>
      </c>
      <c r="C182" t="s">
        <v>640</v>
      </c>
      <c r="D182" t="s">
        <v>917</v>
      </c>
      <c r="E182" t="s">
        <v>378</v>
      </c>
      <c r="F182" t="s">
        <v>743</v>
      </c>
      <c r="G182" t="s">
        <v>169</v>
      </c>
      <c r="H182" t="s">
        <v>354</v>
      </c>
      <c r="I182" t="s">
        <v>230</v>
      </c>
    </row>
    <row r="183" spans="1:9" x14ac:dyDescent="0.25">
      <c r="A183" t="s">
        <v>422</v>
      </c>
      <c r="B183" t="s">
        <v>774</v>
      </c>
      <c r="C183" t="s">
        <v>635</v>
      </c>
      <c r="D183" t="s">
        <v>775</v>
      </c>
      <c r="E183" t="s">
        <v>426</v>
      </c>
      <c r="F183" t="s">
        <v>743</v>
      </c>
      <c r="G183" t="s">
        <v>169</v>
      </c>
      <c r="H183" t="s">
        <v>354</v>
      </c>
      <c r="I183" t="s">
        <v>15</v>
      </c>
    </row>
    <row r="184" spans="1:9" x14ac:dyDescent="0.25">
      <c r="A184" t="s">
        <v>422</v>
      </c>
      <c r="B184" t="s">
        <v>774</v>
      </c>
      <c r="C184" t="s">
        <v>638</v>
      </c>
      <c r="D184" t="s">
        <v>776</v>
      </c>
      <c r="E184" t="s">
        <v>426</v>
      </c>
      <c r="F184" t="s">
        <v>743</v>
      </c>
      <c r="G184" t="s">
        <v>169</v>
      </c>
      <c r="H184" t="s">
        <v>354</v>
      </c>
      <c r="I184" t="s">
        <v>15</v>
      </c>
    </row>
    <row r="185" spans="1:9" x14ac:dyDescent="0.25">
      <c r="A185" t="s">
        <v>422</v>
      </c>
      <c r="B185" t="s">
        <v>774</v>
      </c>
      <c r="C185" t="s">
        <v>640</v>
      </c>
      <c r="D185" t="s">
        <v>777</v>
      </c>
      <c r="E185" t="s">
        <v>426</v>
      </c>
      <c r="F185" t="s">
        <v>743</v>
      </c>
      <c r="G185" t="s">
        <v>169</v>
      </c>
      <c r="H185" t="s">
        <v>354</v>
      </c>
      <c r="I185" t="s">
        <v>15</v>
      </c>
    </row>
    <row r="186" spans="1:9" x14ac:dyDescent="0.25">
      <c r="A186" t="s">
        <v>422</v>
      </c>
      <c r="B186" t="s">
        <v>808</v>
      </c>
      <c r="C186" t="s">
        <v>635</v>
      </c>
      <c r="D186" t="s">
        <v>809</v>
      </c>
      <c r="E186" t="s">
        <v>444</v>
      </c>
      <c r="F186" t="s">
        <v>743</v>
      </c>
      <c r="G186" t="s">
        <v>169</v>
      </c>
      <c r="H186" t="s">
        <v>354</v>
      </c>
      <c r="I186" t="s">
        <v>19</v>
      </c>
    </row>
    <row r="187" spans="1:9" x14ac:dyDescent="0.25">
      <c r="A187" t="s">
        <v>422</v>
      </c>
      <c r="B187" t="s">
        <v>808</v>
      </c>
      <c r="C187" t="s">
        <v>638</v>
      </c>
      <c r="D187" t="s">
        <v>810</v>
      </c>
      <c r="E187" t="s">
        <v>444</v>
      </c>
      <c r="F187" t="s">
        <v>743</v>
      </c>
      <c r="G187" t="s">
        <v>169</v>
      </c>
      <c r="H187" t="s">
        <v>354</v>
      </c>
      <c r="I187" t="s">
        <v>19</v>
      </c>
    </row>
    <row r="188" spans="1:9" x14ac:dyDescent="0.25">
      <c r="A188" t="s">
        <v>422</v>
      </c>
      <c r="B188" t="s">
        <v>808</v>
      </c>
      <c r="C188" t="s">
        <v>640</v>
      </c>
      <c r="D188" t="s">
        <v>811</v>
      </c>
      <c r="E188" t="s">
        <v>444</v>
      </c>
      <c r="F188" t="s">
        <v>743</v>
      </c>
      <c r="G188" t="s">
        <v>169</v>
      </c>
      <c r="H188" t="s">
        <v>354</v>
      </c>
      <c r="I188" t="s">
        <v>19</v>
      </c>
    </row>
    <row r="189" spans="1:9" x14ac:dyDescent="0.25">
      <c r="A189" t="s">
        <v>385</v>
      </c>
      <c r="B189" t="s">
        <v>918</v>
      </c>
      <c r="C189" t="s">
        <v>635</v>
      </c>
      <c r="D189" t="s">
        <v>919</v>
      </c>
      <c r="E189" t="s">
        <v>387</v>
      </c>
      <c r="F189" t="s">
        <v>743</v>
      </c>
      <c r="G189" t="s">
        <v>233</v>
      </c>
      <c r="H189" t="s">
        <v>388</v>
      </c>
      <c r="I189" t="s">
        <v>241</v>
      </c>
    </row>
    <row r="190" spans="1:9" x14ac:dyDescent="0.25">
      <c r="A190" t="s">
        <v>385</v>
      </c>
      <c r="B190" t="s">
        <v>918</v>
      </c>
      <c r="C190" t="s">
        <v>638</v>
      </c>
      <c r="D190" t="s">
        <v>920</v>
      </c>
      <c r="E190" t="s">
        <v>387</v>
      </c>
      <c r="F190" t="s">
        <v>743</v>
      </c>
      <c r="G190" t="s">
        <v>233</v>
      </c>
      <c r="H190" t="s">
        <v>388</v>
      </c>
      <c r="I190" t="s">
        <v>241</v>
      </c>
    </row>
    <row r="191" spans="1:9" x14ac:dyDescent="0.25">
      <c r="A191" t="s">
        <v>385</v>
      </c>
      <c r="B191" t="s">
        <v>918</v>
      </c>
      <c r="C191" t="s">
        <v>640</v>
      </c>
      <c r="D191" t="s">
        <v>921</v>
      </c>
      <c r="E191" t="s">
        <v>387</v>
      </c>
      <c r="F191" t="s">
        <v>743</v>
      </c>
      <c r="G191" t="s">
        <v>233</v>
      </c>
      <c r="H191" t="s">
        <v>388</v>
      </c>
      <c r="I191" t="s">
        <v>241</v>
      </c>
    </row>
    <row r="192" spans="1:9" x14ac:dyDescent="0.25">
      <c r="A192" t="s">
        <v>385</v>
      </c>
      <c r="B192" t="s">
        <v>918</v>
      </c>
      <c r="C192" t="s">
        <v>641</v>
      </c>
      <c r="D192" t="s">
        <v>922</v>
      </c>
      <c r="E192" t="s">
        <v>387</v>
      </c>
      <c r="F192" t="s">
        <v>743</v>
      </c>
      <c r="G192" t="s">
        <v>233</v>
      </c>
      <c r="H192" t="s">
        <v>388</v>
      </c>
      <c r="I192" t="s">
        <v>241</v>
      </c>
    </row>
    <row r="193" spans="1:9" x14ac:dyDescent="0.25">
      <c r="A193" t="s">
        <v>385</v>
      </c>
      <c r="B193" t="s">
        <v>918</v>
      </c>
      <c r="C193" t="s">
        <v>679</v>
      </c>
      <c r="D193" t="s">
        <v>923</v>
      </c>
      <c r="E193" t="s">
        <v>387</v>
      </c>
      <c r="F193" t="s">
        <v>743</v>
      </c>
      <c r="G193" t="s">
        <v>233</v>
      </c>
      <c r="H193" t="s">
        <v>388</v>
      </c>
      <c r="I193" t="s">
        <v>241</v>
      </c>
    </row>
    <row r="194" spans="1:9" x14ac:dyDescent="0.25">
      <c r="A194" t="s">
        <v>385</v>
      </c>
      <c r="B194" t="s">
        <v>924</v>
      </c>
      <c r="C194" t="s">
        <v>635</v>
      </c>
      <c r="D194" t="s">
        <v>925</v>
      </c>
      <c r="E194" t="s">
        <v>390</v>
      </c>
      <c r="F194" t="s">
        <v>743</v>
      </c>
      <c r="G194" t="s">
        <v>233</v>
      </c>
      <c r="H194" t="s">
        <v>388</v>
      </c>
      <c r="I194" t="s">
        <v>391</v>
      </c>
    </row>
    <row r="195" spans="1:9" x14ac:dyDescent="0.25">
      <c r="A195" t="s">
        <v>385</v>
      </c>
      <c r="B195" t="s">
        <v>924</v>
      </c>
      <c r="C195" t="s">
        <v>638</v>
      </c>
      <c r="D195" t="s">
        <v>926</v>
      </c>
      <c r="E195" t="s">
        <v>390</v>
      </c>
      <c r="F195" t="s">
        <v>743</v>
      </c>
      <c r="G195" t="s">
        <v>233</v>
      </c>
      <c r="H195" t="s">
        <v>388</v>
      </c>
      <c r="I195" t="s">
        <v>391</v>
      </c>
    </row>
    <row r="196" spans="1:9" x14ac:dyDescent="0.25">
      <c r="A196" t="s">
        <v>385</v>
      </c>
      <c r="B196" t="s">
        <v>924</v>
      </c>
      <c r="C196" t="s">
        <v>640</v>
      </c>
      <c r="D196" t="s">
        <v>927</v>
      </c>
      <c r="E196" t="s">
        <v>390</v>
      </c>
      <c r="F196" t="s">
        <v>743</v>
      </c>
      <c r="G196" t="s">
        <v>233</v>
      </c>
      <c r="H196" t="s">
        <v>388</v>
      </c>
      <c r="I196" t="s">
        <v>391</v>
      </c>
    </row>
    <row r="197" spans="1:9" x14ac:dyDescent="0.25">
      <c r="A197" t="s">
        <v>385</v>
      </c>
      <c r="B197" t="s">
        <v>928</v>
      </c>
      <c r="C197" t="s">
        <v>635</v>
      </c>
      <c r="D197" t="s">
        <v>929</v>
      </c>
      <c r="E197" t="s">
        <v>393</v>
      </c>
      <c r="F197" t="s">
        <v>743</v>
      </c>
      <c r="G197" t="s">
        <v>233</v>
      </c>
      <c r="H197" t="s">
        <v>388</v>
      </c>
      <c r="I197" t="s">
        <v>394</v>
      </c>
    </row>
    <row r="198" spans="1:9" x14ac:dyDescent="0.25">
      <c r="A198" t="s">
        <v>385</v>
      </c>
      <c r="B198" t="s">
        <v>928</v>
      </c>
      <c r="C198" t="s">
        <v>638</v>
      </c>
      <c r="D198" t="s">
        <v>930</v>
      </c>
      <c r="E198" t="s">
        <v>393</v>
      </c>
      <c r="F198" t="s">
        <v>743</v>
      </c>
      <c r="G198" t="s">
        <v>233</v>
      </c>
      <c r="H198" t="s">
        <v>388</v>
      </c>
      <c r="I198" t="s">
        <v>394</v>
      </c>
    </row>
    <row r="199" spans="1:9" x14ac:dyDescent="0.25">
      <c r="A199" t="s">
        <v>385</v>
      </c>
      <c r="B199" t="s">
        <v>928</v>
      </c>
      <c r="C199" t="s">
        <v>640</v>
      </c>
      <c r="D199" t="s">
        <v>931</v>
      </c>
      <c r="E199" t="s">
        <v>393</v>
      </c>
      <c r="F199" t="s">
        <v>743</v>
      </c>
      <c r="G199" t="s">
        <v>233</v>
      </c>
      <c r="H199" t="s">
        <v>388</v>
      </c>
      <c r="I199" t="s">
        <v>394</v>
      </c>
    </row>
    <row r="200" spans="1:9" x14ac:dyDescent="0.25">
      <c r="A200" t="s">
        <v>385</v>
      </c>
      <c r="B200" t="s">
        <v>932</v>
      </c>
      <c r="C200" t="s">
        <v>635</v>
      </c>
      <c r="D200" t="s">
        <v>933</v>
      </c>
      <c r="E200" t="s">
        <v>396</v>
      </c>
      <c r="F200" t="s">
        <v>743</v>
      </c>
      <c r="G200" t="s">
        <v>233</v>
      </c>
      <c r="H200" t="s">
        <v>388</v>
      </c>
      <c r="I200" t="s">
        <v>397</v>
      </c>
    </row>
    <row r="201" spans="1:9" x14ac:dyDescent="0.25">
      <c r="A201" t="s">
        <v>385</v>
      </c>
      <c r="B201" t="s">
        <v>932</v>
      </c>
      <c r="C201" t="s">
        <v>638</v>
      </c>
      <c r="D201" t="s">
        <v>934</v>
      </c>
      <c r="E201" t="s">
        <v>396</v>
      </c>
      <c r="F201" t="s">
        <v>743</v>
      </c>
      <c r="G201" t="s">
        <v>233</v>
      </c>
      <c r="H201" t="s">
        <v>388</v>
      </c>
      <c r="I201" t="s">
        <v>397</v>
      </c>
    </row>
    <row r="202" spans="1:9" x14ac:dyDescent="0.25">
      <c r="A202" t="s">
        <v>385</v>
      </c>
      <c r="B202" t="s">
        <v>932</v>
      </c>
      <c r="C202" t="s">
        <v>640</v>
      </c>
      <c r="D202" t="s">
        <v>935</v>
      </c>
      <c r="E202" t="s">
        <v>396</v>
      </c>
      <c r="F202" t="s">
        <v>743</v>
      </c>
      <c r="G202" t="s">
        <v>233</v>
      </c>
      <c r="H202" t="s">
        <v>388</v>
      </c>
      <c r="I202" t="s">
        <v>397</v>
      </c>
    </row>
    <row r="203" spans="1:9" x14ac:dyDescent="0.25">
      <c r="A203" t="s">
        <v>385</v>
      </c>
      <c r="B203" t="s">
        <v>786</v>
      </c>
      <c r="C203" t="s">
        <v>635</v>
      </c>
      <c r="D203" t="s">
        <v>787</v>
      </c>
      <c r="E203" t="s">
        <v>399</v>
      </c>
      <c r="F203" t="s">
        <v>743</v>
      </c>
      <c r="G203" t="s">
        <v>233</v>
      </c>
      <c r="H203" t="s">
        <v>388</v>
      </c>
      <c r="I203" t="s">
        <v>26</v>
      </c>
    </row>
    <row r="204" spans="1:9" x14ac:dyDescent="0.25">
      <c r="A204" t="s">
        <v>385</v>
      </c>
      <c r="B204" t="s">
        <v>786</v>
      </c>
      <c r="C204" t="s">
        <v>638</v>
      </c>
      <c r="D204" t="s">
        <v>788</v>
      </c>
      <c r="E204" t="s">
        <v>399</v>
      </c>
      <c r="F204" t="s">
        <v>743</v>
      </c>
      <c r="G204" t="s">
        <v>233</v>
      </c>
      <c r="H204" t="s">
        <v>388</v>
      </c>
      <c r="I204" t="s">
        <v>26</v>
      </c>
    </row>
    <row r="205" spans="1:9" x14ac:dyDescent="0.25">
      <c r="A205" t="s">
        <v>385</v>
      </c>
      <c r="B205" t="s">
        <v>786</v>
      </c>
      <c r="C205" t="s">
        <v>640</v>
      </c>
      <c r="D205" t="s">
        <v>789</v>
      </c>
      <c r="E205" t="s">
        <v>399</v>
      </c>
      <c r="F205" t="s">
        <v>743</v>
      </c>
      <c r="G205" t="s">
        <v>233</v>
      </c>
      <c r="H205" t="s">
        <v>388</v>
      </c>
      <c r="I205" t="s">
        <v>26</v>
      </c>
    </row>
    <row r="206" spans="1:9" x14ac:dyDescent="0.25">
      <c r="A206" t="s">
        <v>385</v>
      </c>
      <c r="B206" t="s">
        <v>936</v>
      </c>
      <c r="C206" t="s">
        <v>635</v>
      </c>
      <c r="D206" t="s">
        <v>937</v>
      </c>
      <c r="E206" t="s">
        <v>401</v>
      </c>
      <c r="F206" t="s">
        <v>743</v>
      </c>
      <c r="G206" t="s">
        <v>233</v>
      </c>
      <c r="H206" t="s">
        <v>388</v>
      </c>
      <c r="I206" t="s">
        <v>402</v>
      </c>
    </row>
    <row r="207" spans="1:9" x14ac:dyDescent="0.25">
      <c r="A207" t="s">
        <v>385</v>
      </c>
      <c r="B207" t="s">
        <v>936</v>
      </c>
      <c r="C207" t="s">
        <v>638</v>
      </c>
      <c r="D207" t="s">
        <v>938</v>
      </c>
      <c r="E207" t="s">
        <v>401</v>
      </c>
      <c r="F207" t="s">
        <v>743</v>
      </c>
      <c r="G207" t="s">
        <v>233</v>
      </c>
      <c r="H207" t="s">
        <v>388</v>
      </c>
      <c r="I207" t="s">
        <v>402</v>
      </c>
    </row>
    <row r="208" spans="1:9" x14ac:dyDescent="0.25">
      <c r="A208" t="s">
        <v>385</v>
      </c>
      <c r="B208" t="s">
        <v>936</v>
      </c>
      <c r="C208" t="s">
        <v>640</v>
      </c>
      <c r="D208" t="s">
        <v>939</v>
      </c>
      <c r="E208" t="s">
        <v>401</v>
      </c>
      <c r="F208" t="s">
        <v>743</v>
      </c>
      <c r="G208" t="s">
        <v>233</v>
      </c>
      <c r="H208" t="s">
        <v>388</v>
      </c>
      <c r="I208" t="s">
        <v>402</v>
      </c>
    </row>
    <row r="209" spans="1:9" x14ac:dyDescent="0.25">
      <c r="A209" t="s">
        <v>385</v>
      </c>
      <c r="B209" t="s">
        <v>940</v>
      </c>
      <c r="C209" t="s">
        <v>635</v>
      </c>
      <c r="D209" t="s">
        <v>941</v>
      </c>
      <c r="E209" t="s">
        <v>404</v>
      </c>
      <c r="F209" t="s">
        <v>743</v>
      </c>
      <c r="G209" t="s">
        <v>233</v>
      </c>
      <c r="H209" t="s">
        <v>388</v>
      </c>
      <c r="I209" t="s">
        <v>238</v>
      </c>
    </row>
    <row r="210" spans="1:9" x14ac:dyDescent="0.25">
      <c r="A210" t="s">
        <v>385</v>
      </c>
      <c r="B210" t="s">
        <v>940</v>
      </c>
      <c r="C210" t="s">
        <v>638</v>
      </c>
      <c r="D210" t="s">
        <v>942</v>
      </c>
      <c r="E210" t="s">
        <v>404</v>
      </c>
      <c r="F210" t="s">
        <v>743</v>
      </c>
      <c r="G210" t="s">
        <v>233</v>
      </c>
      <c r="H210" t="s">
        <v>388</v>
      </c>
      <c r="I210" t="s">
        <v>238</v>
      </c>
    </row>
    <row r="211" spans="1:9" x14ac:dyDescent="0.25">
      <c r="A211" t="s">
        <v>385</v>
      </c>
      <c r="B211" t="s">
        <v>943</v>
      </c>
      <c r="C211" t="s">
        <v>635</v>
      </c>
      <c r="D211" t="s">
        <v>944</v>
      </c>
      <c r="E211" t="s">
        <v>406</v>
      </c>
      <c r="F211" t="s">
        <v>743</v>
      </c>
      <c r="G211" t="s">
        <v>233</v>
      </c>
      <c r="H211" t="s">
        <v>388</v>
      </c>
      <c r="I211" t="s">
        <v>407</v>
      </c>
    </row>
    <row r="212" spans="1:9" x14ac:dyDescent="0.25">
      <c r="A212" t="s">
        <v>385</v>
      </c>
      <c r="B212" t="s">
        <v>943</v>
      </c>
      <c r="C212" t="s">
        <v>638</v>
      </c>
      <c r="D212" t="s">
        <v>945</v>
      </c>
      <c r="E212" t="s">
        <v>406</v>
      </c>
      <c r="F212" t="s">
        <v>743</v>
      </c>
      <c r="G212" t="s">
        <v>233</v>
      </c>
      <c r="H212" t="s">
        <v>388</v>
      </c>
      <c r="I212" t="s">
        <v>407</v>
      </c>
    </row>
    <row r="213" spans="1:9" x14ac:dyDescent="0.25">
      <c r="A213" t="s">
        <v>385</v>
      </c>
      <c r="B213" t="s">
        <v>943</v>
      </c>
      <c r="C213" t="s">
        <v>640</v>
      </c>
      <c r="D213" t="s">
        <v>946</v>
      </c>
      <c r="E213" t="s">
        <v>406</v>
      </c>
      <c r="F213" t="s">
        <v>743</v>
      </c>
      <c r="G213" t="s">
        <v>233</v>
      </c>
      <c r="H213" t="s">
        <v>388</v>
      </c>
      <c r="I213" t="s">
        <v>407</v>
      </c>
    </row>
    <row r="214" spans="1:9" x14ac:dyDescent="0.25">
      <c r="A214" t="s">
        <v>385</v>
      </c>
      <c r="B214" t="s">
        <v>947</v>
      </c>
      <c r="C214" t="s">
        <v>635</v>
      </c>
      <c r="D214" t="s">
        <v>948</v>
      </c>
      <c r="E214" t="s">
        <v>409</v>
      </c>
      <c r="F214" t="s">
        <v>743</v>
      </c>
      <c r="G214" t="s">
        <v>233</v>
      </c>
      <c r="H214" t="s">
        <v>388</v>
      </c>
      <c r="I214" t="s">
        <v>410</v>
      </c>
    </row>
    <row r="215" spans="1:9" x14ac:dyDescent="0.25">
      <c r="A215" t="s">
        <v>385</v>
      </c>
      <c r="B215" t="s">
        <v>947</v>
      </c>
      <c r="C215" t="s">
        <v>638</v>
      </c>
      <c r="D215" t="s">
        <v>949</v>
      </c>
      <c r="E215" t="s">
        <v>409</v>
      </c>
      <c r="F215" t="s">
        <v>743</v>
      </c>
      <c r="G215" t="s">
        <v>233</v>
      </c>
      <c r="H215" t="s">
        <v>388</v>
      </c>
      <c r="I215" t="s">
        <v>410</v>
      </c>
    </row>
    <row r="216" spans="1:9" x14ac:dyDescent="0.25">
      <c r="A216" t="s">
        <v>385</v>
      </c>
      <c r="B216" t="s">
        <v>947</v>
      </c>
      <c r="C216" t="s">
        <v>640</v>
      </c>
      <c r="D216" t="s">
        <v>950</v>
      </c>
      <c r="E216" t="s">
        <v>409</v>
      </c>
      <c r="F216" t="s">
        <v>743</v>
      </c>
      <c r="G216" t="s">
        <v>233</v>
      </c>
      <c r="H216" t="s">
        <v>388</v>
      </c>
      <c r="I216" t="s">
        <v>410</v>
      </c>
    </row>
    <row r="217" spans="1:9" x14ac:dyDescent="0.25">
      <c r="A217" t="s">
        <v>385</v>
      </c>
      <c r="B217" t="s">
        <v>867</v>
      </c>
      <c r="C217" t="s">
        <v>635</v>
      </c>
      <c r="D217" t="s">
        <v>868</v>
      </c>
      <c r="E217" t="s">
        <v>412</v>
      </c>
      <c r="F217" t="s">
        <v>743</v>
      </c>
      <c r="G217" t="s">
        <v>233</v>
      </c>
      <c r="H217" t="s">
        <v>388</v>
      </c>
      <c r="I217" t="s">
        <v>30</v>
      </c>
    </row>
    <row r="218" spans="1:9" x14ac:dyDescent="0.25">
      <c r="A218" t="s">
        <v>385</v>
      </c>
      <c r="B218" t="s">
        <v>867</v>
      </c>
      <c r="C218" t="s">
        <v>638</v>
      </c>
      <c r="D218" t="s">
        <v>869</v>
      </c>
      <c r="E218" t="s">
        <v>412</v>
      </c>
      <c r="F218" t="s">
        <v>743</v>
      </c>
      <c r="G218" t="s">
        <v>233</v>
      </c>
      <c r="H218" t="s">
        <v>388</v>
      </c>
      <c r="I218" t="s">
        <v>30</v>
      </c>
    </row>
    <row r="219" spans="1:9" x14ac:dyDescent="0.25">
      <c r="A219" t="s">
        <v>385</v>
      </c>
      <c r="B219" t="s">
        <v>951</v>
      </c>
      <c r="C219" t="s">
        <v>635</v>
      </c>
      <c r="D219" t="s">
        <v>952</v>
      </c>
      <c r="E219" t="s">
        <v>414</v>
      </c>
      <c r="F219" t="s">
        <v>743</v>
      </c>
      <c r="G219" t="s">
        <v>233</v>
      </c>
      <c r="H219" t="s">
        <v>388</v>
      </c>
      <c r="I219" t="s">
        <v>415</v>
      </c>
    </row>
    <row r="220" spans="1:9" x14ac:dyDescent="0.25">
      <c r="A220" t="s">
        <v>385</v>
      </c>
      <c r="B220" t="s">
        <v>951</v>
      </c>
      <c r="C220" t="s">
        <v>638</v>
      </c>
      <c r="D220" t="s">
        <v>953</v>
      </c>
      <c r="E220" t="s">
        <v>414</v>
      </c>
      <c r="F220" t="s">
        <v>743</v>
      </c>
      <c r="G220" t="s">
        <v>233</v>
      </c>
      <c r="H220" t="s">
        <v>388</v>
      </c>
      <c r="I220" t="s">
        <v>415</v>
      </c>
    </row>
    <row r="221" spans="1:9" x14ac:dyDescent="0.25">
      <c r="A221" t="s">
        <v>385</v>
      </c>
      <c r="B221" t="s">
        <v>951</v>
      </c>
      <c r="C221" t="s">
        <v>640</v>
      </c>
      <c r="D221" t="s">
        <v>954</v>
      </c>
      <c r="E221" t="s">
        <v>414</v>
      </c>
      <c r="F221" t="s">
        <v>743</v>
      </c>
      <c r="G221" t="s">
        <v>233</v>
      </c>
      <c r="H221" t="s">
        <v>388</v>
      </c>
      <c r="I221" t="s">
        <v>415</v>
      </c>
    </row>
    <row r="222" spans="1:9" x14ac:dyDescent="0.25">
      <c r="A222" t="s">
        <v>385</v>
      </c>
      <c r="B222" t="s">
        <v>870</v>
      </c>
      <c r="C222" t="s">
        <v>635</v>
      </c>
      <c r="D222" t="s">
        <v>871</v>
      </c>
      <c r="E222" t="s">
        <v>417</v>
      </c>
      <c r="F222" t="s">
        <v>743</v>
      </c>
      <c r="G222" t="s">
        <v>233</v>
      </c>
      <c r="H222" t="s">
        <v>388</v>
      </c>
      <c r="I222" t="s">
        <v>7</v>
      </c>
    </row>
    <row r="223" spans="1:9" x14ac:dyDescent="0.25">
      <c r="A223" t="s">
        <v>385</v>
      </c>
      <c r="B223" t="s">
        <v>870</v>
      </c>
      <c r="C223" t="s">
        <v>638</v>
      </c>
      <c r="D223" t="s">
        <v>872</v>
      </c>
      <c r="E223" t="s">
        <v>417</v>
      </c>
      <c r="F223" t="s">
        <v>743</v>
      </c>
      <c r="G223" t="s">
        <v>233</v>
      </c>
      <c r="H223" t="s">
        <v>388</v>
      </c>
      <c r="I223" t="s">
        <v>7</v>
      </c>
    </row>
    <row r="224" spans="1:9" x14ac:dyDescent="0.25">
      <c r="A224" t="s">
        <v>385</v>
      </c>
      <c r="B224" t="s">
        <v>870</v>
      </c>
      <c r="C224" t="s">
        <v>640</v>
      </c>
      <c r="D224" t="s">
        <v>873</v>
      </c>
      <c r="E224" t="s">
        <v>417</v>
      </c>
      <c r="F224" t="s">
        <v>743</v>
      </c>
      <c r="G224" t="s">
        <v>233</v>
      </c>
      <c r="H224" t="s">
        <v>388</v>
      </c>
      <c r="I224" t="s">
        <v>7</v>
      </c>
    </row>
    <row r="225" spans="1:9" x14ac:dyDescent="0.25">
      <c r="A225" t="s">
        <v>385</v>
      </c>
      <c r="B225" t="s">
        <v>955</v>
      </c>
      <c r="C225" t="s">
        <v>635</v>
      </c>
      <c r="D225" t="s">
        <v>956</v>
      </c>
      <c r="E225" t="s">
        <v>419</v>
      </c>
      <c r="F225" t="s">
        <v>743</v>
      </c>
      <c r="G225" t="s">
        <v>233</v>
      </c>
      <c r="H225" t="s">
        <v>388</v>
      </c>
      <c r="I225" t="s">
        <v>245</v>
      </c>
    </row>
    <row r="226" spans="1:9" x14ac:dyDescent="0.25">
      <c r="A226" t="s">
        <v>385</v>
      </c>
      <c r="B226" t="s">
        <v>955</v>
      </c>
      <c r="C226" t="s">
        <v>638</v>
      </c>
      <c r="D226" t="s">
        <v>957</v>
      </c>
      <c r="E226" t="s">
        <v>419</v>
      </c>
      <c r="F226" t="s">
        <v>743</v>
      </c>
      <c r="G226" t="s">
        <v>233</v>
      </c>
      <c r="H226" t="s">
        <v>388</v>
      </c>
      <c r="I226" t="s">
        <v>245</v>
      </c>
    </row>
    <row r="227" spans="1:9" x14ac:dyDescent="0.25">
      <c r="A227" t="s">
        <v>385</v>
      </c>
      <c r="B227" t="s">
        <v>958</v>
      </c>
      <c r="C227" t="s">
        <v>635</v>
      </c>
      <c r="D227" t="s">
        <v>959</v>
      </c>
      <c r="E227" t="s">
        <v>421</v>
      </c>
      <c r="F227" t="s">
        <v>743</v>
      </c>
      <c r="G227" t="s">
        <v>233</v>
      </c>
      <c r="H227" t="s">
        <v>388</v>
      </c>
      <c r="I227" t="s">
        <v>253</v>
      </c>
    </row>
    <row r="228" spans="1:9" x14ac:dyDescent="0.25">
      <c r="A228" t="s">
        <v>385</v>
      </c>
      <c r="B228" t="s">
        <v>958</v>
      </c>
      <c r="C228" t="s">
        <v>638</v>
      </c>
      <c r="D228" t="s">
        <v>960</v>
      </c>
      <c r="E228" t="s">
        <v>421</v>
      </c>
      <c r="F228" t="s">
        <v>743</v>
      </c>
      <c r="G228" t="s">
        <v>233</v>
      </c>
      <c r="H228" t="s">
        <v>388</v>
      </c>
      <c r="I228" t="s">
        <v>253</v>
      </c>
    </row>
    <row r="229" spans="1:9" x14ac:dyDescent="0.25">
      <c r="A229" t="s">
        <v>385</v>
      </c>
      <c r="B229" t="s">
        <v>958</v>
      </c>
      <c r="C229" t="s">
        <v>640</v>
      </c>
      <c r="D229" t="s">
        <v>961</v>
      </c>
      <c r="E229" t="s">
        <v>421</v>
      </c>
      <c r="F229" t="s">
        <v>743</v>
      </c>
      <c r="G229" t="s">
        <v>233</v>
      </c>
      <c r="H229" t="s">
        <v>388</v>
      </c>
      <c r="I229" t="s">
        <v>253</v>
      </c>
    </row>
    <row r="230" spans="1:9" x14ac:dyDescent="0.25">
      <c r="A230" t="s">
        <v>422</v>
      </c>
      <c r="B230" t="s">
        <v>808</v>
      </c>
      <c r="C230" t="s">
        <v>635</v>
      </c>
      <c r="D230" t="s">
        <v>809</v>
      </c>
      <c r="E230" t="s">
        <v>444</v>
      </c>
      <c r="F230" t="s">
        <v>743</v>
      </c>
      <c r="G230" t="s">
        <v>233</v>
      </c>
      <c r="H230" t="s">
        <v>388</v>
      </c>
      <c r="I230" t="s">
        <v>19</v>
      </c>
    </row>
    <row r="231" spans="1:9" x14ac:dyDescent="0.25">
      <c r="A231" t="s">
        <v>422</v>
      </c>
      <c r="B231" t="s">
        <v>808</v>
      </c>
      <c r="C231" t="s">
        <v>638</v>
      </c>
      <c r="D231" t="s">
        <v>810</v>
      </c>
      <c r="E231" t="s">
        <v>444</v>
      </c>
      <c r="F231" t="s">
        <v>743</v>
      </c>
      <c r="G231" t="s">
        <v>233</v>
      </c>
      <c r="H231" t="s">
        <v>388</v>
      </c>
      <c r="I231" t="s">
        <v>19</v>
      </c>
    </row>
    <row r="232" spans="1:9" x14ac:dyDescent="0.25">
      <c r="A232" t="s">
        <v>422</v>
      </c>
      <c r="B232" t="s">
        <v>808</v>
      </c>
      <c r="C232" t="s">
        <v>640</v>
      </c>
      <c r="D232" t="s">
        <v>811</v>
      </c>
      <c r="E232" t="s">
        <v>444</v>
      </c>
      <c r="F232" t="s">
        <v>743</v>
      </c>
      <c r="G232" t="s">
        <v>233</v>
      </c>
      <c r="H232" t="s">
        <v>388</v>
      </c>
      <c r="I232" t="s">
        <v>19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DDE38-0E94-4416-BBA9-DC39AE029033}">
  <dimension ref="A1:M173"/>
  <sheetViews>
    <sheetView workbookViewId="0"/>
  </sheetViews>
  <sheetFormatPr defaultRowHeight="15" x14ac:dyDescent="0.25"/>
  <cols>
    <col min="1" max="1" width="49" bestFit="1" customWidth="1"/>
    <col min="2" max="2" width="15.85546875" bestFit="1" customWidth="1"/>
    <col min="3" max="3" width="17.42578125" bestFit="1" customWidth="1"/>
    <col min="4" max="4" width="19.140625" bestFit="1" customWidth="1"/>
    <col min="5" max="5" width="46.7109375" bestFit="1" customWidth="1"/>
    <col min="6" max="6" width="81.140625" bestFit="1" customWidth="1"/>
    <col min="7" max="7" width="12.42578125" bestFit="1" customWidth="1"/>
    <col min="8" max="8" width="81.140625" bestFit="1" customWidth="1"/>
    <col min="9" max="9" width="14.85546875" bestFit="1" customWidth="1"/>
    <col min="10" max="10" width="12.7109375" bestFit="1" customWidth="1"/>
    <col min="11" max="11" width="24.5703125" bestFit="1" customWidth="1"/>
    <col min="12" max="12" width="12.140625" bestFit="1" customWidth="1"/>
    <col min="13" max="13" width="65.5703125" bestFit="1" customWidth="1"/>
  </cols>
  <sheetData>
    <row r="1" spans="1:13" x14ac:dyDescent="0.25">
      <c r="A1" t="s">
        <v>255</v>
      </c>
      <c r="B1" t="s">
        <v>256</v>
      </c>
      <c r="C1" t="s">
        <v>629</v>
      </c>
      <c r="D1" t="s">
        <v>962</v>
      </c>
      <c r="E1" t="s">
        <v>963</v>
      </c>
      <c r="F1" t="s">
        <v>964</v>
      </c>
      <c r="G1" t="s">
        <v>965</v>
      </c>
      <c r="H1" t="s">
        <v>966</v>
      </c>
      <c r="I1" t="s">
        <v>257</v>
      </c>
      <c r="J1" t="s">
        <v>258</v>
      </c>
      <c r="K1" t="s">
        <v>36</v>
      </c>
      <c r="L1" t="s">
        <v>259</v>
      </c>
      <c r="M1" t="s">
        <v>260</v>
      </c>
    </row>
    <row r="2" spans="1:13" x14ac:dyDescent="0.25">
      <c r="A2" t="s">
        <v>267</v>
      </c>
      <c r="B2" t="s">
        <v>967</v>
      </c>
      <c r="C2" t="s">
        <v>634</v>
      </c>
      <c r="D2" t="s">
        <v>968</v>
      </c>
      <c r="E2" t="s">
        <v>969</v>
      </c>
      <c r="F2" t="s">
        <v>970</v>
      </c>
      <c r="G2">
        <v>0.5</v>
      </c>
      <c r="H2">
        <v>12</v>
      </c>
      <c r="I2" t="s">
        <v>269</v>
      </c>
      <c r="J2" t="s">
        <v>971</v>
      </c>
      <c r="K2" t="s">
        <v>42</v>
      </c>
      <c r="L2" t="s">
        <v>271</v>
      </c>
      <c r="M2" t="s">
        <v>65</v>
      </c>
    </row>
    <row r="3" spans="1:13" x14ac:dyDescent="0.25">
      <c r="A3" t="s">
        <v>267</v>
      </c>
      <c r="B3" t="s">
        <v>967</v>
      </c>
      <c r="C3" t="s">
        <v>637</v>
      </c>
      <c r="D3" t="s">
        <v>972</v>
      </c>
      <c r="E3" t="s">
        <v>973</v>
      </c>
      <c r="F3" t="s">
        <v>974</v>
      </c>
      <c r="G3">
        <v>0.5</v>
      </c>
      <c r="H3" t="s">
        <v>975</v>
      </c>
      <c r="I3" t="s">
        <v>269</v>
      </c>
      <c r="J3" t="s">
        <v>971</v>
      </c>
      <c r="K3" t="s">
        <v>42</v>
      </c>
      <c r="L3" t="s">
        <v>271</v>
      </c>
      <c r="M3" t="s">
        <v>65</v>
      </c>
    </row>
    <row r="4" spans="1:13" x14ac:dyDescent="0.25">
      <c r="A4" t="s">
        <v>267</v>
      </c>
      <c r="B4" t="s">
        <v>976</v>
      </c>
      <c r="C4" t="s">
        <v>634</v>
      </c>
      <c r="D4" t="s">
        <v>968</v>
      </c>
      <c r="E4" t="s">
        <v>977</v>
      </c>
      <c r="F4" t="s">
        <v>978</v>
      </c>
      <c r="G4">
        <v>0.4</v>
      </c>
      <c r="H4">
        <v>7</v>
      </c>
      <c r="I4" t="s">
        <v>273</v>
      </c>
      <c r="J4" t="s">
        <v>971</v>
      </c>
      <c r="K4" t="s">
        <v>42</v>
      </c>
      <c r="L4" t="s">
        <v>271</v>
      </c>
      <c r="M4" t="s">
        <v>85</v>
      </c>
    </row>
    <row r="5" spans="1:13" x14ac:dyDescent="0.25">
      <c r="A5" t="s">
        <v>267</v>
      </c>
      <c r="B5" t="s">
        <v>976</v>
      </c>
      <c r="C5" t="s">
        <v>637</v>
      </c>
      <c r="D5" t="s">
        <v>979</v>
      </c>
      <c r="E5" t="s">
        <v>980</v>
      </c>
      <c r="F5" t="s">
        <v>981</v>
      </c>
      <c r="G5">
        <v>0.6</v>
      </c>
      <c r="H5">
        <v>12</v>
      </c>
      <c r="I5" t="s">
        <v>273</v>
      </c>
      <c r="J5" t="s">
        <v>971</v>
      </c>
      <c r="K5" t="s">
        <v>42</v>
      </c>
      <c r="L5" t="s">
        <v>271</v>
      </c>
      <c r="M5" t="s">
        <v>85</v>
      </c>
    </row>
    <row r="6" spans="1:13" x14ac:dyDescent="0.25">
      <c r="A6" t="s">
        <v>267</v>
      </c>
      <c r="B6" t="s">
        <v>982</v>
      </c>
      <c r="C6" t="s">
        <v>634</v>
      </c>
      <c r="D6" t="s">
        <v>979</v>
      </c>
      <c r="E6" t="s">
        <v>983</v>
      </c>
      <c r="F6" t="s">
        <v>984</v>
      </c>
      <c r="G6">
        <v>0.5</v>
      </c>
      <c r="H6">
        <v>10</v>
      </c>
      <c r="I6" t="s">
        <v>275</v>
      </c>
      <c r="J6" t="s">
        <v>971</v>
      </c>
      <c r="K6" t="s">
        <v>42</v>
      </c>
      <c r="L6" t="s">
        <v>271</v>
      </c>
      <c r="M6" t="s">
        <v>97</v>
      </c>
    </row>
    <row r="7" spans="1:13" x14ac:dyDescent="0.25">
      <c r="A7" t="s">
        <v>267</v>
      </c>
      <c r="B7" t="s">
        <v>982</v>
      </c>
      <c r="C7" t="s">
        <v>637</v>
      </c>
      <c r="D7" t="s">
        <v>968</v>
      </c>
      <c r="E7" t="s">
        <v>985</v>
      </c>
      <c r="F7" t="s">
        <v>986</v>
      </c>
      <c r="G7">
        <v>0.5</v>
      </c>
      <c r="H7" t="s">
        <v>987</v>
      </c>
      <c r="I7" t="s">
        <v>275</v>
      </c>
      <c r="J7" t="s">
        <v>971</v>
      </c>
      <c r="K7" t="s">
        <v>42</v>
      </c>
      <c r="L7" t="s">
        <v>271</v>
      </c>
      <c r="M7" t="s">
        <v>97</v>
      </c>
    </row>
    <row r="8" spans="1:13" x14ac:dyDescent="0.25">
      <c r="A8" t="s">
        <v>267</v>
      </c>
      <c r="B8" t="s">
        <v>988</v>
      </c>
      <c r="C8" t="s">
        <v>634</v>
      </c>
      <c r="D8" t="s">
        <v>968</v>
      </c>
      <c r="E8" t="s">
        <v>977</v>
      </c>
      <c r="F8" t="s">
        <v>989</v>
      </c>
      <c r="G8">
        <v>0.5</v>
      </c>
      <c r="H8">
        <v>6</v>
      </c>
      <c r="I8" t="s">
        <v>277</v>
      </c>
      <c r="J8" t="s">
        <v>971</v>
      </c>
      <c r="K8" t="s">
        <v>42</v>
      </c>
      <c r="L8" t="s">
        <v>271</v>
      </c>
      <c r="M8" t="s">
        <v>278</v>
      </c>
    </row>
    <row r="9" spans="1:13" x14ac:dyDescent="0.25">
      <c r="A9" t="s">
        <v>267</v>
      </c>
      <c r="B9" t="s">
        <v>990</v>
      </c>
      <c r="C9" t="s">
        <v>634</v>
      </c>
      <c r="D9" t="s">
        <v>991</v>
      </c>
      <c r="E9" t="s">
        <v>992</v>
      </c>
      <c r="F9" t="s">
        <v>993</v>
      </c>
      <c r="G9">
        <v>0.5</v>
      </c>
      <c r="H9">
        <v>7</v>
      </c>
      <c r="I9" t="s">
        <v>280</v>
      </c>
      <c r="J9" t="s">
        <v>971</v>
      </c>
      <c r="K9" t="s">
        <v>42</v>
      </c>
      <c r="L9" t="s">
        <v>271</v>
      </c>
      <c r="M9" t="s">
        <v>281</v>
      </c>
    </row>
    <row r="10" spans="1:13" x14ac:dyDescent="0.25">
      <c r="A10" t="s">
        <v>267</v>
      </c>
      <c r="B10" t="s">
        <v>990</v>
      </c>
      <c r="C10" t="s">
        <v>637</v>
      </c>
      <c r="D10" t="s">
        <v>968</v>
      </c>
      <c r="E10" t="s">
        <v>969</v>
      </c>
      <c r="F10" t="s">
        <v>994</v>
      </c>
      <c r="G10">
        <v>0.5</v>
      </c>
      <c r="H10">
        <v>12</v>
      </c>
      <c r="I10" t="s">
        <v>280</v>
      </c>
      <c r="J10" t="s">
        <v>971</v>
      </c>
      <c r="K10" t="s">
        <v>42</v>
      </c>
      <c r="L10" t="s">
        <v>271</v>
      </c>
      <c r="M10" t="s">
        <v>281</v>
      </c>
    </row>
    <row r="11" spans="1:13" x14ac:dyDescent="0.25">
      <c r="A11" t="s">
        <v>267</v>
      </c>
      <c r="B11" t="s">
        <v>995</v>
      </c>
      <c r="C11" t="s">
        <v>634</v>
      </c>
      <c r="D11" t="s">
        <v>972</v>
      </c>
      <c r="E11" t="s">
        <v>977</v>
      </c>
      <c r="F11" t="s">
        <v>996</v>
      </c>
      <c r="G11">
        <v>1</v>
      </c>
      <c r="H11">
        <v>12</v>
      </c>
      <c r="I11" t="s">
        <v>283</v>
      </c>
      <c r="J11" t="s">
        <v>971</v>
      </c>
      <c r="K11" t="s">
        <v>42</v>
      </c>
      <c r="L11" t="s">
        <v>271</v>
      </c>
      <c r="M11" t="s">
        <v>109</v>
      </c>
    </row>
    <row r="12" spans="1:13" x14ac:dyDescent="0.25">
      <c r="A12" t="s">
        <v>267</v>
      </c>
      <c r="B12" t="s">
        <v>997</v>
      </c>
      <c r="C12" t="s">
        <v>634</v>
      </c>
      <c r="D12" t="s">
        <v>968</v>
      </c>
      <c r="E12" t="s">
        <v>969</v>
      </c>
      <c r="F12" t="s">
        <v>998</v>
      </c>
      <c r="G12">
        <v>0.3</v>
      </c>
      <c r="H12">
        <v>6</v>
      </c>
      <c r="I12" t="s">
        <v>285</v>
      </c>
      <c r="J12" t="s">
        <v>971</v>
      </c>
      <c r="K12" t="s">
        <v>42</v>
      </c>
      <c r="L12" t="s">
        <v>271</v>
      </c>
      <c r="M12" t="s">
        <v>286</v>
      </c>
    </row>
    <row r="13" spans="1:13" x14ac:dyDescent="0.25">
      <c r="A13" t="s">
        <v>267</v>
      </c>
      <c r="B13" t="s">
        <v>997</v>
      </c>
      <c r="C13" t="s">
        <v>637</v>
      </c>
      <c r="D13" t="s">
        <v>979</v>
      </c>
      <c r="E13" t="s">
        <v>983</v>
      </c>
      <c r="F13" t="s">
        <v>999</v>
      </c>
      <c r="G13">
        <v>0.7</v>
      </c>
      <c r="H13">
        <v>12</v>
      </c>
      <c r="I13" t="s">
        <v>285</v>
      </c>
      <c r="J13" t="s">
        <v>971</v>
      </c>
      <c r="K13" t="s">
        <v>42</v>
      </c>
      <c r="L13" t="s">
        <v>271</v>
      </c>
      <c r="M13" t="s">
        <v>286</v>
      </c>
    </row>
    <row r="14" spans="1:13" x14ac:dyDescent="0.25">
      <c r="A14" t="s">
        <v>267</v>
      </c>
      <c r="B14" t="s">
        <v>1000</v>
      </c>
      <c r="C14" t="s">
        <v>634</v>
      </c>
      <c r="D14" t="s">
        <v>979</v>
      </c>
      <c r="F14" t="s">
        <v>1001</v>
      </c>
      <c r="G14">
        <v>0.5</v>
      </c>
      <c r="I14" t="s">
        <v>288</v>
      </c>
      <c r="J14" t="s">
        <v>971</v>
      </c>
      <c r="K14" t="s">
        <v>42</v>
      </c>
      <c r="L14" t="s">
        <v>271</v>
      </c>
      <c r="M14" t="s">
        <v>289</v>
      </c>
    </row>
    <row r="15" spans="1:13" x14ac:dyDescent="0.25">
      <c r="A15" t="s">
        <v>267</v>
      </c>
      <c r="B15" t="s">
        <v>1000</v>
      </c>
      <c r="C15" t="s">
        <v>637</v>
      </c>
      <c r="D15" t="s">
        <v>968</v>
      </c>
      <c r="E15" t="s">
        <v>969</v>
      </c>
      <c r="F15" t="s">
        <v>1002</v>
      </c>
      <c r="G15">
        <v>0.5</v>
      </c>
      <c r="I15" t="s">
        <v>288</v>
      </c>
      <c r="J15" t="s">
        <v>971</v>
      </c>
      <c r="K15" t="s">
        <v>42</v>
      </c>
      <c r="L15" t="s">
        <v>271</v>
      </c>
      <c r="M15" t="s">
        <v>289</v>
      </c>
    </row>
    <row r="16" spans="1:13" x14ac:dyDescent="0.25">
      <c r="A16" t="s">
        <v>290</v>
      </c>
      <c r="B16" t="s">
        <v>1003</v>
      </c>
      <c r="C16" t="s">
        <v>634</v>
      </c>
      <c r="D16" t="s">
        <v>979</v>
      </c>
      <c r="E16" t="s">
        <v>985</v>
      </c>
      <c r="F16" t="s">
        <v>1004</v>
      </c>
      <c r="G16">
        <v>1</v>
      </c>
      <c r="H16">
        <v>12</v>
      </c>
      <c r="I16" t="s">
        <v>292</v>
      </c>
      <c r="J16" t="s">
        <v>971</v>
      </c>
      <c r="K16" t="s">
        <v>114</v>
      </c>
      <c r="L16" t="s">
        <v>293</v>
      </c>
      <c r="M16" t="s">
        <v>294</v>
      </c>
    </row>
    <row r="17" spans="1:13" x14ac:dyDescent="0.25">
      <c r="A17" t="s">
        <v>422</v>
      </c>
      <c r="B17" t="s">
        <v>1005</v>
      </c>
      <c r="C17" t="s">
        <v>634</v>
      </c>
      <c r="D17" t="s">
        <v>972</v>
      </c>
      <c r="E17" t="s">
        <v>1006</v>
      </c>
      <c r="F17" t="s">
        <v>1007</v>
      </c>
      <c r="G17">
        <v>0.5</v>
      </c>
      <c r="H17">
        <v>6</v>
      </c>
      <c r="I17" t="s">
        <v>426</v>
      </c>
      <c r="J17" t="s">
        <v>971</v>
      </c>
      <c r="K17" t="s">
        <v>42</v>
      </c>
      <c r="L17" t="s">
        <v>271</v>
      </c>
      <c r="M17" t="s">
        <v>15</v>
      </c>
    </row>
    <row r="18" spans="1:13" x14ac:dyDescent="0.25">
      <c r="A18" t="s">
        <v>422</v>
      </c>
      <c r="B18" t="s">
        <v>1005</v>
      </c>
      <c r="C18" t="s">
        <v>637</v>
      </c>
      <c r="D18" t="s">
        <v>991</v>
      </c>
      <c r="E18" t="s">
        <v>1008</v>
      </c>
      <c r="F18" t="s">
        <v>1009</v>
      </c>
      <c r="G18">
        <v>0.5</v>
      </c>
      <c r="H18">
        <v>12</v>
      </c>
      <c r="I18" t="s">
        <v>426</v>
      </c>
      <c r="J18" t="s">
        <v>971</v>
      </c>
      <c r="K18" t="s">
        <v>42</v>
      </c>
      <c r="L18" t="s">
        <v>271</v>
      </c>
      <c r="M18" t="s">
        <v>15</v>
      </c>
    </row>
    <row r="19" spans="1:13" x14ac:dyDescent="0.25">
      <c r="A19" t="s">
        <v>422</v>
      </c>
      <c r="B19" t="s">
        <v>1005</v>
      </c>
      <c r="C19" t="s">
        <v>634</v>
      </c>
      <c r="D19" t="s">
        <v>972</v>
      </c>
      <c r="E19" t="s">
        <v>1006</v>
      </c>
      <c r="F19" t="s">
        <v>1007</v>
      </c>
      <c r="G19">
        <v>0.5</v>
      </c>
      <c r="H19">
        <v>6</v>
      </c>
      <c r="I19" t="s">
        <v>426</v>
      </c>
      <c r="J19" t="s">
        <v>971</v>
      </c>
      <c r="K19" t="s">
        <v>114</v>
      </c>
      <c r="L19" t="s">
        <v>293</v>
      </c>
      <c r="M19" t="s">
        <v>15</v>
      </c>
    </row>
    <row r="20" spans="1:13" x14ac:dyDescent="0.25">
      <c r="A20" t="s">
        <v>422</v>
      </c>
      <c r="B20" t="s">
        <v>1005</v>
      </c>
      <c r="C20" t="s">
        <v>637</v>
      </c>
      <c r="D20" t="s">
        <v>991</v>
      </c>
      <c r="E20" t="s">
        <v>1008</v>
      </c>
      <c r="F20" t="s">
        <v>1009</v>
      </c>
      <c r="G20">
        <v>0.5</v>
      </c>
      <c r="H20">
        <v>12</v>
      </c>
      <c r="I20" t="s">
        <v>426</v>
      </c>
      <c r="J20" t="s">
        <v>971</v>
      </c>
      <c r="K20" t="s">
        <v>114</v>
      </c>
      <c r="L20" t="s">
        <v>293</v>
      </c>
      <c r="M20" t="s">
        <v>15</v>
      </c>
    </row>
    <row r="21" spans="1:13" x14ac:dyDescent="0.25">
      <c r="A21" t="s">
        <v>422</v>
      </c>
      <c r="B21" t="s">
        <v>1005</v>
      </c>
      <c r="C21" t="s">
        <v>634</v>
      </c>
      <c r="D21" t="s">
        <v>972</v>
      </c>
      <c r="E21" t="s">
        <v>1006</v>
      </c>
      <c r="F21" t="s">
        <v>1007</v>
      </c>
      <c r="G21">
        <v>0.5</v>
      </c>
      <c r="H21">
        <v>6</v>
      </c>
      <c r="I21" t="s">
        <v>426</v>
      </c>
      <c r="J21" t="s">
        <v>971</v>
      </c>
      <c r="K21" t="s">
        <v>133</v>
      </c>
      <c r="L21" t="s">
        <v>312</v>
      </c>
      <c r="M21" t="s">
        <v>15</v>
      </c>
    </row>
    <row r="22" spans="1:13" x14ac:dyDescent="0.25">
      <c r="A22" t="s">
        <v>422</v>
      </c>
      <c r="B22" t="s">
        <v>1005</v>
      </c>
      <c r="C22" t="s">
        <v>637</v>
      </c>
      <c r="D22" t="s">
        <v>991</v>
      </c>
      <c r="E22" t="s">
        <v>1008</v>
      </c>
      <c r="F22" t="s">
        <v>1009</v>
      </c>
      <c r="G22">
        <v>0.5</v>
      </c>
      <c r="H22">
        <v>12</v>
      </c>
      <c r="I22" t="s">
        <v>426</v>
      </c>
      <c r="J22" t="s">
        <v>971</v>
      </c>
      <c r="K22" t="s">
        <v>133</v>
      </c>
      <c r="L22" t="s">
        <v>312</v>
      </c>
      <c r="M22" t="s">
        <v>15</v>
      </c>
    </row>
    <row r="23" spans="1:13" x14ac:dyDescent="0.25">
      <c r="A23" t="s">
        <v>422</v>
      </c>
      <c r="B23" t="s">
        <v>1005</v>
      </c>
      <c r="C23" t="s">
        <v>634</v>
      </c>
      <c r="D23" t="s">
        <v>972</v>
      </c>
      <c r="E23" t="s">
        <v>1006</v>
      </c>
      <c r="F23" t="s">
        <v>1007</v>
      </c>
      <c r="G23">
        <v>0.5</v>
      </c>
      <c r="H23">
        <v>6</v>
      </c>
      <c r="I23" t="s">
        <v>426</v>
      </c>
      <c r="J23" t="s">
        <v>971</v>
      </c>
      <c r="K23" t="s">
        <v>152</v>
      </c>
      <c r="L23" t="s">
        <v>320</v>
      </c>
      <c r="M23" t="s">
        <v>15</v>
      </c>
    </row>
    <row r="24" spans="1:13" x14ac:dyDescent="0.25">
      <c r="A24" t="s">
        <v>422</v>
      </c>
      <c r="B24" t="s">
        <v>1005</v>
      </c>
      <c r="C24" t="s">
        <v>637</v>
      </c>
      <c r="D24" t="s">
        <v>991</v>
      </c>
      <c r="E24" t="s">
        <v>1008</v>
      </c>
      <c r="F24" t="s">
        <v>1009</v>
      </c>
      <c r="G24">
        <v>0.5</v>
      </c>
      <c r="H24">
        <v>12</v>
      </c>
      <c r="I24" t="s">
        <v>426</v>
      </c>
      <c r="J24" t="s">
        <v>971</v>
      </c>
      <c r="K24" t="s">
        <v>152</v>
      </c>
      <c r="L24" t="s">
        <v>320</v>
      </c>
      <c r="M24" t="s">
        <v>15</v>
      </c>
    </row>
    <row r="25" spans="1:13" x14ac:dyDescent="0.25">
      <c r="A25" t="s">
        <v>422</v>
      </c>
      <c r="B25" t="s">
        <v>1005</v>
      </c>
      <c r="C25" t="s">
        <v>634</v>
      </c>
      <c r="D25" t="s">
        <v>972</v>
      </c>
      <c r="E25" t="s">
        <v>1006</v>
      </c>
      <c r="F25" t="s">
        <v>1007</v>
      </c>
      <c r="G25">
        <v>0.5</v>
      </c>
      <c r="H25">
        <v>6</v>
      </c>
      <c r="I25" t="s">
        <v>426</v>
      </c>
      <c r="J25" t="s">
        <v>971</v>
      </c>
      <c r="K25" t="s">
        <v>169</v>
      </c>
      <c r="L25" t="s">
        <v>354</v>
      </c>
      <c r="M25" t="s">
        <v>15</v>
      </c>
    </row>
    <row r="26" spans="1:13" x14ac:dyDescent="0.25">
      <c r="A26" t="s">
        <v>422</v>
      </c>
      <c r="B26" t="s">
        <v>1005</v>
      </c>
      <c r="C26" t="s">
        <v>637</v>
      </c>
      <c r="D26" t="s">
        <v>991</v>
      </c>
      <c r="E26" t="s">
        <v>1008</v>
      </c>
      <c r="F26" t="s">
        <v>1009</v>
      </c>
      <c r="G26">
        <v>0.5</v>
      </c>
      <c r="H26">
        <v>12</v>
      </c>
      <c r="I26" t="s">
        <v>426</v>
      </c>
      <c r="J26" t="s">
        <v>971</v>
      </c>
      <c r="K26" t="s">
        <v>169</v>
      </c>
      <c r="L26" t="s">
        <v>354</v>
      </c>
      <c r="M26" t="s">
        <v>15</v>
      </c>
    </row>
    <row r="27" spans="1:13" x14ac:dyDescent="0.25">
      <c r="A27" t="s">
        <v>290</v>
      </c>
      <c r="B27" t="s">
        <v>1010</v>
      </c>
      <c r="C27" t="s">
        <v>634</v>
      </c>
      <c r="D27" t="s">
        <v>979</v>
      </c>
      <c r="G27">
        <v>1</v>
      </c>
      <c r="H27">
        <v>12</v>
      </c>
      <c r="I27" t="s">
        <v>296</v>
      </c>
      <c r="J27" t="s">
        <v>971</v>
      </c>
      <c r="K27" t="s">
        <v>114</v>
      </c>
      <c r="L27" t="s">
        <v>293</v>
      </c>
      <c r="M27" t="s">
        <v>297</v>
      </c>
    </row>
    <row r="28" spans="1:13" x14ac:dyDescent="0.25">
      <c r="A28" t="s">
        <v>319</v>
      </c>
      <c r="B28" t="s">
        <v>1010</v>
      </c>
      <c r="C28" t="s">
        <v>634</v>
      </c>
      <c r="D28" t="s">
        <v>968</v>
      </c>
      <c r="E28" t="s">
        <v>977</v>
      </c>
      <c r="F28" t="s">
        <v>989</v>
      </c>
      <c r="G28">
        <v>0.5</v>
      </c>
      <c r="H28">
        <v>6</v>
      </c>
      <c r="I28" t="s">
        <v>296</v>
      </c>
      <c r="J28" t="s">
        <v>971</v>
      </c>
      <c r="K28" t="s">
        <v>152</v>
      </c>
      <c r="L28" t="s">
        <v>320</v>
      </c>
      <c r="M28" t="s">
        <v>321</v>
      </c>
    </row>
    <row r="29" spans="1:13" x14ac:dyDescent="0.25">
      <c r="A29" t="s">
        <v>422</v>
      </c>
      <c r="B29" t="s">
        <v>1011</v>
      </c>
      <c r="C29" t="s">
        <v>634</v>
      </c>
      <c r="D29" t="s">
        <v>991</v>
      </c>
      <c r="E29" t="s">
        <v>1012</v>
      </c>
      <c r="F29" t="s">
        <v>1013</v>
      </c>
      <c r="G29">
        <v>0.35</v>
      </c>
      <c r="H29">
        <v>6</v>
      </c>
      <c r="I29" t="s">
        <v>428</v>
      </c>
      <c r="J29" t="s">
        <v>971</v>
      </c>
      <c r="K29" t="s">
        <v>42</v>
      </c>
      <c r="L29" t="s">
        <v>271</v>
      </c>
      <c r="M29" t="s">
        <v>17</v>
      </c>
    </row>
    <row r="30" spans="1:13" x14ac:dyDescent="0.25">
      <c r="A30" t="s">
        <v>422</v>
      </c>
      <c r="B30" t="s">
        <v>1011</v>
      </c>
      <c r="C30" t="s">
        <v>637</v>
      </c>
      <c r="D30" t="s">
        <v>968</v>
      </c>
      <c r="E30" t="s">
        <v>1014</v>
      </c>
      <c r="F30" t="s">
        <v>1015</v>
      </c>
      <c r="G30">
        <v>0.65</v>
      </c>
      <c r="H30">
        <v>13</v>
      </c>
      <c r="I30" t="s">
        <v>428</v>
      </c>
      <c r="J30" t="s">
        <v>971</v>
      </c>
      <c r="K30" t="s">
        <v>42</v>
      </c>
      <c r="L30" t="s">
        <v>271</v>
      </c>
      <c r="M30" t="s">
        <v>17</v>
      </c>
    </row>
    <row r="31" spans="1:13" x14ac:dyDescent="0.25">
      <c r="A31" t="s">
        <v>422</v>
      </c>
      <c r="B31" t="s">
        <v>1011</v>
      </c>
      <c r="C31" t="s">
        <v>634</v>
      </c>
      <c r="D31" t="s">
        <v>991</v>
      </c>
      <c r="E31" t="s">
        <v>1012</v>
      </c>
      <c r="F31" t="s">
        <v>1013</v>
      </c>
      <c r="G31">
        <v>0.35</v>
      </c>
      <c r="H31">
        <v>6</v>
      </c>
      <c r="I31" t="s">
        <v>428</v>
      </c>
      <c r="J31" t="s">
        <v>971</v>
      </c>
      <c r="K31" t="s">
        <v>114</v>
      </c>
      <c r="L31" t="s">
        <v>293</v>
      </c>
      <c r="M31" t="s">
        <v>17</v>
      </c>
    </row>
    <row r="32" spans="1:13" x14ac:dyDescent="0.25">
      <c r="A32" t="s">
        <v>422</v>
      </c>
      <c r="B32" t="s">
        <v>1011</v>
      </c>
      <c r="C32" t="s">
        <v>637</v>
      </c>
      <c r="D32" t="s">
        <v>968</v>
      </c>
      <c r="E32" t="s">
        <v>1014</v>
      </c>
      <c r="F32" t="s">
        <v>1015</v>
      </c>
      <c r="G32">
        <v>0.65</v>
      </c>
      <c r="H32">
        <v>13</v>
      </c>
      <c r="I32" t="s">
        <v>428</v>
      </c>
      <c r="J32" t="s">
        <v>971</v>
      </c>
      <c r="K32" t="s">
        <v>114</v>
      </c>
      <c r="L32" t="s">
        <v>293</v>
      </c>
      <c r="M32" t="s">
        <v>17</v>
      </c>
    </row>
    <row r="33" spans="1:13" x14ac:dyDescent="0.25">
      <c r="A33" t="s">
        <v>422</v>
      </c>
      <c r="B33" t="s">
        <v>1011</v>
      </c>
      <c r="C33" t="s">
        <v>634</v>
      </c>
      <c r="D33" t="s">
        <v>991</v>
      </c>
      <c r="E33" t="s">
        <v>1012</v>
      </c>
      <c r="F33" t="s">
        <v>1013</v>
      </c>
      <c r="G33">
        <v>0.35</v>
      </c>
      <c r="H33">
        <v>6</v>
      </c>
      <c r="I33" t="s">
        <v>428</v>
      </c>
      <c r="J33" t="s">
        <v>971</v>
      </c>
      <c r="K33" t="s">
        <v>133</v>
      </c>
      <c r="L33" t="s">
        <v>312</v>
      </c>
      <c r="M33" t="s">
        <v>17</v>
      </c>
    </row>
    <row r="34" spans="1:13" x14ac:dyDescent="0.25">
      <c r="A34" t="s">
        <v>422</v>
      </c>
      <c r="B34" t="s">
        <v>1011</v>
      </c>
      <c r="C34" t="s">
        <v>637</v>
      </c>
      <c r="D34" t="s">
        <v>968</v>
      </c>
      <c r="E34" t="s">
        <v>1014</v>
      </c>
      <c r="F34" t="s">
        <v>1015</v>
      </c>
      <c r="G34">
        <v>0.65</v>
      </c>
      <c r="H34">
        <v>13</v>
      </c>
      <c r="I34" t="s">
        <v>428</v>
      </c>
      <c r="J34" t="s">
        <v>971</v>
      </c>
      <c r="K34" t="s">
        <v>133</v>
      </c>
      <c r="L34" t="s">
        <v>312</v>
      </c>
      <c r="M34" t="s">
        <v>17</v>
      </c>
    </row>
    <row r="35" spans="1:13" x14ac:dyDescent="0.25">
      <c r="A35" t="s">
        <v>422</v>
      </c>
      <c r="B35" t="s">
        <v>1011</v>
      </c>
      <c r="C35" t="s">
        <v>634</v>
      </c>
      <c r="D35" t="s">
        <v>991</v>
      </c>
      <c r="E35" t="s">
        <v>1012</v>
      </c>
      <c r="F35" t="s">
        <v>1013</v>
      </c>
      <c r="G35">
        <v>0.35</v>
      </c>
      <c r="H35">
        <v>6</v>
      </c>
      <c r="I35" t="s">
        <v>428</v>
      </c>
      <c r="J35" t="s">
        <v>971</v>
      </c>
      <c r="K35" t="s">
        <v>152</v>
      </c>
      <c r="L35" t="s">
        <v>320</v>
      </c>
      <c r="M35" t="s">
        <v>17</v>
      </c>
    </row>
    <row r="36" spans="1:13" x14ac:dyDescent="0.25">
      <c r="A36" t="s">
        <v>422</v>
      </c>
      <c r="B36" t="s">
        <v>1011</v>
      </c>
      <c r="C36" t="s">
        <v>637</v>
      </c>
      <c r="D36" t="s">
        <v>968</v>
      </c>
      <c r="E36" t="s">
        <v>1014</v>
      </c>
      <c r="F36" t="s">
        <v>1015</v>
      </c>
      <c r="G36">
        <v>0.65</v>
      </c>
      <c r="H36">
        <v>13</v>
      </c>
      <c r="I36" t="s">
        <v>428</v>
      </c>
      <c r="J36" t="s">
        <v>971</v>
      </c>
      <c r="K36" t="s">
        <v>152</v>
      </c>
      <c r="L36" t="s">
        <v>320</v>
      </c>
      <c r="M36" t="s">
        <v>17</v>
      </c>
    </row>
    <row r="37" spans="1:13" x14ac:dyDescent="0.25">
      <c r="A37" t="s">
        <v>290</v>
      </c>
      <c r="B37" t="s">
        <v>1016</v>
      </c>
      <c r="C37" t="s">
        <v>634</v>
      </c>
      <c r="D37" t="s">
        <v>968</v>
      </c>
      <c r="E37" t="s">
        <v>969</v>
      </c>
      <c r="F37" t="s">
        <v>1017</v>
      </c>
      <c r="G37">
        <v>1</v>
      </c>
      <c r="H37">
        <v>18</v>
      </c>
      <c r="I37" t="s">
        <v>299</v>
      </c>
      <c r="J37" t="s">
        <v>971</v>
      </c>
      <c r="K37" t="s">
        <v>114</v>
      </c>
      <c r="L37" t="s">
        <v>293</v>
      </c>
      <c r="M37" t="s">
        <v>300</v>
      </c>
    </row>
    <row r="38" spans="1:13" x14ac:dyDescent="0.25">
      <c r="A38" t="s">
        <v>385</v>
      </c>
      <c r="B38" t="s">
        <v>1018</v>
      </c>
      <c r="C38" t="s">
        <v>634</v>
      </c>
      <c r="D38" t="s">
        <v>991</v>
      </c>
      <c r="E38" t="s">
        <v>1008</v>
      </c>
      <c r="F38" t="s">
        <v>1019</v>
      </c>
      <c r="G38">
        <v>0.5</v>
      </c>
      <c r="H38" t="s">
        <v>1020</v>
      </c>
      <c r="I38" t="s">
        <v>399</v>
      </c>
      <c r="J38" t="s">
        <v>971</v>
      </c>
      <c r="K38" t="s">
        <v>42</v>
      </c>
      <c r="L38" t="s">
        <v>271</v>
      </c>
      <c r="M38" t="s">
        <v>26</v>
      </c>
    </row>
    <row r="39" spans="1:13" x14ac:dyDescent="0.25">
      <c r="A39" t="s">
        <v>385</v>
      </c>
      <c r="B39" t="s">
        <v>1018</v>
      </c>
      <c r="C39" t="s">
        <v>637</v>
      </c>
      <c r="D39" t="s">
        <v>991</v>
      </c>
      <c r="E39" t="s">
        <v>1008</v>
      </c>
      <c r="F39" t="s">
        <v>1021</v>
      </c>
      <c r="G39">
        <v>0.5</v>
      </c>
      <c r="H39" t="s">
        <v>1022</v>
      </c>
      <c r="I39" t="s">
        <v>399</v>
      </c>
      <c r="J39" t="s">
        <v>971</v>
      </c>
      <c r="K39" t="s">
        <v>42</v>
      </c>
      <c r="L39" t="s">
        <v>271</v>
      </c>
      <c r="M39" t="s">
        <v>26</v>
      </c>
    </row>
    <row r="40" spans="1:13" x14ac:dyDescent="0.25">
      <c r="A40" t="s">
        <v>385</v>
      </c>
      <c r="B40" t="s">
        <v>1018</v>
      </c>
      <c r="C40" t="s">
        <v>634</v>
      </c>
      <c r="D40" t="s">
        <v>991</v>
      </c>
      <c r="E40" t="s">
        <v>1008</v>
      </c>
      <c r="F40" t="s">
        <v>1019</v>
      </c>
      <c r="G40">
        <v>0.5</v>
      </c>
      <c r="H40" t="s">
        <v>1020</v>
      </c>
      <c r="I40" t="s">
        <v>399</v>
      </c>
      <c r="J40" t="s">
        <v>971</v>
      </c>
      <c r="K40" t="s">
        <v>114</v>
      </c>
      <c r="L40" t="s">
        <v>293</v>
      </c>
      <c r="M40" t="s">
        <v>26</v>
      </c>
    </row>
    <row r="41" spans="1:13" x14ac:dyDescent="0.25">
      <c r="A41" t="s">
        <v>385</v>
      </c>
      <c r="B41" t="s">
        <v>1018</v>
      </c>
      <c r="C41" t="s">
        <v>637</v>
      </c>
      <c r="D41" t="s">
        <v>991</v>
      </c>
      <c r="E41" t="s">
        <v>1008</v>
      </c>
      <c r="F41" t="s">
        <v>1021</v>
      </c>
      <c r="G41">
        <v>0.5</v>
      </c>
      <c r="H41" t="s">
        <v>1022</v>
      </c>
      <c r="I41" t="s">
        <v>399</v>
      </c>
      <c r="J41" t="s">
        <v>971</v>
      </c>
      <c r="K41" t="s">
        <v>114</v>
      </c>
      <c r="L41" t="s">
        <v>293</v>
      </c>
      <c r="M41" t="s">
        <v>26</v>
      </c>
    </row>
    <row r="42" spans="1:13" x14ac:dyDescent="0.25">
      <c r="A42" t="s">
        <v>385</v>
      </c>
      <c r="B42" t="s">
        <v>1018</v>
      </c>
      <c r="C42" t="s">
        <v>634</v>
      </c>
      <c r="D42" t="s">
        <v>991</v>
      </c>
      <c r="E42" t="s">
        <v>1008</v>
      </c>
      <c r="F42" t="s">
        <v>1019</v>
      </c>
      <c r="G42">
        <v>0.5</v>
      </c>
      <c r="H42" t="s">
        <v>1020</v>
      </c>
      <c r="I42" t="s">
        <v>399</v>
      </c>
      <c r="J42" t="s">
        <v>971</v>
      </c>
      <c r="K42" t="s">
        <v>133</v>
      </c>
      <c r="L42" t="s">
        <v>312</v>
      </c>
      <c r="M42" t="s">
        <v>26</v>
      </c>
    </row>
    <row r="43" spans="1:13" x14ac:dyDescent="0.25">
      <c r="A43" t="s">
        <v>385</v>
      </c>
      <c r="B43" t="s">
        <v>1018</v>
      </c>
      <c r="C43" t="s">
        <v>637</v>
      </c>
      <c r="D43" t="s">
        <v>991</v>
      </c>
      <c r="E43" t="s">
        <v>1008</v>
      </c>
      <c r="F43" t="s">
        <v>1021</v>
      </c>
      <c r="G43">
        <v>0.5</v>
      </c>
      <c r="H43" t="s">
        <v>1022</v>
      </c>
      <c r="I43" t="s">
        <v>399</v>
      </c>
      <c r="J43" t="s">
        <v>971</v>
      </c>
      <c r="K43" t="s">
        <v>133</v>
      </c>
      <c r="L43" t="s">
        <v>312</v>
      </c>
      <c r="M43" t="s">
        <v>26</v>
      </c>
    </row>
    <row r="44" spans="1:13" x14ac:dyDescent="0.25">
      <c r="A44" t="s">
        <v>385</v>
      </c>
      <c r="B44" t="s">
        <v>1018</v>
      </c>
      <c r="C44" t="s">
        <v>634</v>
      </c>
      <c r="D44" t="s">
        <v>991</v>
      </c>
      <c r="E44" t="s">
        <v>1008</v>
      </c>
      <c r="F44" t="s">
        <v>1019</v>
      </c>
      <c r="G44">
        <v>0.5</v>
      </c>
      <c r="H44" t="s">
        <v>1020</v>
      </c>
      <c r="I44" t="s">
        <v>399</v>
      </c>
      <c r="J44" t="s">
        <v>971</v>
      </c>
      <c r="K44" t="s">
        <v>152</v>
      </c>
      <c r="L44" t="s">
        <v>320</v>
      </c>
      <c r="M44" t="s">
        <v>26</v>
      </c>
    </row>
    <row r="45" spans="1:13" x14ac:dyDescent="0.25">
      <c r="A45" t="s">
        <v>385</v>
      </c>
      <c r="B45" t="s">
        <v>1018</v>
      </c>
      <c r="C45" t="s">
        <v>637</v>
      </c>
      <c r="D45" t="s">
        <v>991</v>
      </c>
      <c r="E45" t="s">
        <v>1008</v>
      </c>
      <c r="F45" t="s">
        <v>1021</v>
      </c>
      <c r="G45">
        <v>0.5</v>
      </c>
      <c r="H45" t="s">
        <v>1022</v>
      </c>
      <c r="I45" t="s">
        <v>399</v>
      </c>
      <c r="J45" t="s">
        <v>971</v>
      </c>
      <c r="K45" t="s">
        <v>152</v>
      </c>
      <c r="L45" t="s">
        <v>320</v>
      </c>
      <c r="M45" t="s">
        <v>26</v>
      </c>
    </row>
    <row r="46" spans="1:13" x14ac:dyDescent="0.25">
      <c r="A46" t="s">
        <v>290</v>
      </c>
      <c r="B46" t="s">
        <v>1023</v>
      </c>
      <c r="C46" t="s">
        <v>634</v>
      </c>
      <c r="D46" t="s">
        <v>968</v>
      </c>
      <c r="G46">
        <v>1</v>
      </c>
      <c r="H46">
        <v>18</v>
      </c>
      <c r="I46" t="s">
        <v>302</v>
      </c>
      <c r="J46" t="s">
        <v>971</v>
      </c>
      <c r="K46" t="s">
        <v>114</v>
      </c>
      <c r="L46" t="s">
        <v>293</v>
      </c>
      <c r="M46" t="s">
        <v>303</v>
      </c>
    </row>
    <row r="47" spans="1:13" x14ac:dyDescent="0.25">
      <c r="A47" t="s">
        <v>422</v>
      </c>
      <c r="B47" t="s">
        <v>1024</v>
      </c>
      <c r="C47" t="s">
        <v>634</v>
      </c>
      <c r="D47" t="s">
        <v>968</v>
      </c>
      <c r="E47" t="s">
        <v>977</v>
      </c>
      <c r="F47" t="s">
        <v>1025</v>
      </c>
      <c r="G47">
        <v>0.5</v>
      </c>
      <c r="H47">
        <v>6</v>
      </c>
      <c r="I47" t="s">
        <v>434</v>
      </c>
      <c r="J47" t="s">
        <v>971</v>
      </c>
      <c r="K47" t="s">
        <v>42</v>
      </c>
      <c r="L47" t="s">
        <v>271</v>
      </c>
      <c r="M47" t="s">
        <v>28</v>
      </c>
    </row>
    <row r="48" spans="1:13" x14ac:dyDescent="0.25">
      <c r="A48" t="s">
        <v>422</v>
      </c>
      <c r="B48" t="s">
        <v>1024</v>
      </c>
      <c r="C48" t="s">
        <v>637</v>
      </c>
      <c r="D48" t="s">
        <v>979</v>
      </c>
      <c r="E48" t="s">
        <v>980</v>
      </c>
      <c r="F48" t="s">
        <v>1026</v>
      </c>
      <c r="G48">
        <v>0.5</v>
      </c>
      <c r="H48">
        <v>12</v>
      </c>
      <c r="I48" t="s">
        <v>434</v>
      </c>
      <c r="J48" t="s">
        <v>971</v>
      </c>
      <c r="K48" t="s">
        <v>42</v>
      </c>
      <c r="L48" t="s">
        <v>271</v>
      </c>
      <c r="M48" t="s">
        <v>28</v>
      </c>
    </row>
    <row r="49" spans="1:13" x14ac:dyDescent="0.25">
      <c r="A49" t="s">
        <v>422</v>
      </c>
      <c r="B49" t="s">
        <v>1024</v>
      </c>
      <c r="C49" t="s">
        <v>634</v>
      </c>
      <c r="D49" t="s">
        <v>968</v>
      </c>
      <c r="E49" t="s">
        <v>977</v>
      </c>
      <c r="F49" t="s">
        <v>1025</v>
      </c>
      <c r="G49">
        <v>0.5</v>
      </c>
      <c r="H49">
        <v>6</v>
      </c>
      <c r="I49" t="s">
        <v>434</v>
      </c>
      <c r="J49" t="s">
        <v>971</v>
      </c>
      <c r="K49" t="s">
        <v>133</v>
      </c>
      <c r="L49" t="s">
        <v>312</v>
      </c>
      <c r="M49" t="s">
        <v>28</v>
      </c>
    </row>
    <row r="50" spans="1:13" x14ac:dyDescent="0.25">
      <c r="A50" t="s">
        <v>422</v>
      </c>
      <c r="B50" t="s">
        <v>1024</v>
      </c>
      <c r="C50" t="s">
        <v>637</v>
      </c>
      <c r="D50" t="s">
        <v>979</v>
      </c>
      <c r="E50" t="s">
        <v>980</v>
      </c>
      <c r="F50" t="s">
        <v>1026</v>
      </c>
      <c r="G50">
        <v>0.5</v>
      </c>
      <c r="H50">
        <v>12</v>
      </c>
      <c r="I50" t="s">
        <v>434</v>
      </c>
      <c r="J50" t="s">
        <v>971</v>
      </c>
      <c r="K50" t="s">
        <v>133</v>
      </c>
      <c r="L50" t="s">
        <v>312</v>
      </c>
      <c r="M50" t="s">
        <v>28</v>
      </c>
    </row>
    <row r="51" spans="1:13" x14ac:dyDescent="0.25">
      <c r="A51" t="s">
        <v>290</v>
      </c>
      <c r="B51" t="s">
        <v>1027</v>
      </c>
      <c r="C51" t="s">
        <v>634</v>
      </c>
      <c r="D51" t="s">
        <v>972</v>
      </c>
      <c r="F51" t="s">
        <v>1028</v>
      </c>
      <c r="G51">
        <v>0.6</v>
      </c>
      <c r="H51">
        <v>12</v>
      </c>
      <c r="I51" t="s">
        <v>305</v>
      </c>
      <c r="J51" t="s">
        <v>971</v>
      </c>
      <c r="K51" t="s">
        <v>114</v>
      </c>
      <c r="L51" t="s">
        <v>293</v>
      </c>
      <c r="M51" t="s">
        <v>306</v>
      </c>
    </row>
    <row r="52" spans="1:13" x14ac:dyDescent="0.25">
      <c r="A52" t="s">
        <v>290</v>
      </c>
      <c r="B52" t="s">
        <v>1027</v>
      </c>
      <c r="C52" t="s">
        <v>637</v>
      </c>
      <c r="D52" t="s">
        <v>972</v>
      </c>
      <c r="F52" t="s">
        <v>1029</v>
      </c>
      <c r="G52">
        <v>0.4</v>
      </c>
      <c r="H52">
        <v>16</v>
      </c>
      <c r="I52" t="s">
        <v>305</v>
      </c>
      <c r="J52" t="s">
        <v>971</v>
      </c>
      <c r="K52" t="s">
        <v>114</v>
      </c>
      <c r="L52" t="s">
        <v>293</v>
      </c>
      <c r="M52" t="s">
        <v>306</v>
      </c>
    </row>
    <row r="53" spans="1:13" x14ac:dyDescent="0.25">
      <c r="A53" t="s">
        <v>422</v>
      </c>
      <c r="B53" t="s">
        <v>1030</v>
      </c>
      <c r="C53" t="s">
        <v>634</v>
      </c>
      <c r="D53" t="s">
        <v>979</v>
      </c>
      <c r="E53" t="s">
        <v>1006</v>
      </c>
      <c r="F53" t="s">
        <v>1031</v>
      </c>
      <c r="G53">
        <v>0.5</v>
      </c>
      <c r="H53">
        <v>8</v>
      </c>
      <c r="I53" t="s">
        <v>436</v>
      </c>
      <c r="J53" t="s">
        <v>971</v>
      </c>
      <c r="K53" t="s">
        <v>42</v>
      </c>
      <c r="L53" t="s">
        <v>271</v>
      </c>
      <c r="M53" t="s">
        <v>23</v>
      </c>
    </row>
    <row r="54" spans="1:13" x14ac:dyDescent="0.25">
      <c r="A54" t="s">
        <v>422</v>
      </c>
      <c r="B54" t="s">
        <v>1030</v>
      </c>
      <c r="C54" t="s">
        <v>637</v>
      </c>
      <c r="D54" t="s">
        <v>968</v>
      </c>
      <c r="E54" t="s">
        <v>977</v>
      </c>
      <c r="F54" t="s">
        <v>1032</v>
      </c>
      <c r="G54">
        <v>0.5</v>
      </c>
      <c r="H54" t="s">
        <v>1033</v>
      </c>
      <c r="I54" t="s">
        <v>436</v>
      </c>
      <c r="J54" t="s">
        <v>971</v>
      </c>
      <c r="K54" t="s">
        <v>42</v>
      </c>
      <c r="L54" t="s">
        <v>271</v>
      </c>
      <c r="M54" t="s">
        <v>23</v>
      </c>
    </row>
    <row r="55" spans="1:13" x14ac:dyDescent="0.25">
      <c r="A55" t="s">
        <v>422</v>
      </c>
      <c r="B55" t="s">
        <v>1030</v>
      </c>
      <c r="C55" t="s">
        <v>634</v>
      </c>
      <c r="D55" t="s">
        <v>979</v>
      </c>
      <c r="E55" t="s">
        <v>1006</v>
      </c>
      <c r="F55" t="s">
        <v>1031</v>
      </c>
      <c r="G55">
        <v>0.5</v>
      </c>
      <c r="H55">
        <v>8</v>
      </c>
      <c r="I55" t="s">
        <v>436</v>
      </c>
      <c r="J55" t="s">
        <v>971</v>
      </c>
      <c r="K55" t="s">
        <v>133</v>
      </c>
      <c r="L55" t="s">
        <v>312</v>
      </c>
      <c r="M55" t="s">
        <v>23</v>
      </c>
    </row>
    <row r="56" spans="1:13" x14ac:dyDescent="0.25">
      <c r="A56" t="s">
        <v>422</v>
      </c>
      <c r="B56" t="s">
        <v>1030</v>
      </c>
      <c r="C56" t="s">
        <v>637</v>
      </c>
      <c r="D56" t="s">
        <v>968</v>
      </c>
      <c r="E56" t="s">
        <v>977</v>
      </c>
      <c r="F56" t="s">
        <v>1032</v>
      </c>
      <c r="G56">
        <v>0.5</v>
      </c>
      <c r="H56" t="s">
        <v>1033</v>
      </c>
      <c r="I56" t="s">
        <v>436</v>
      </c>
      <c r="J56" t="s">
        <v>971</v>
      </c>
      <c r="K56" t="s">
        <v>133</v>
      </c>
      <c r="L56" t="s">
        <v>312</v>
      </c>
      <c r="M56" t="s">
        <v>23</v>
      </c>
    </row>
    <row r="57" spans="1:13" x14ac:dyDescent="0.25">
      <c r="A57" t="s">
        <v>422</v>
      </c>
      <c r="B57" t="s">
        <v>1034</v>
      </c>
      <c r="C57" t="s">
        <v>634</v>
      </c>
      <c r="D57" t="s">
        <v>972</v>
      </c>
      <c r="E57" t="s">
        <v>1006</v>
      </c>
      <c r="F57" t="s">
        <v>1035</v>
      </c>
      <c r="G57">
        <v>0.5</v>
      </c>
      <c r="H57">
        <v>9</v>
      </c>
      <c r="I57" t="s">
        <v>442</v>
      </c>
      <c r="J57" t="s">
        <v>971</v>
      </c>
      <c r="K57" t="s">
        <v>42</v>
      </c>
      <c r="L57" t="s">
        <v>271</v>
      </c>
      <c r="M57" t="s">
        <v>10</v>
      </c>
    </row>
    <row r="58" spans="1:13" x14ac:dyDescent="0.25">
      <c r="A58" t="s">
        <v>422</v>
      </c>
      <c r="B58" t="s">
        <v>1034</v>
      </c>
      <c r="C58" t="s">
        <v>637</v>
      </c>
      <c r="D58" t="s">
        <v>991</v>
      </c>
      <c r="E58" t="s">
        <v>1008</v>
      </c>
      <c r="F58" t="s">
        <v>1036</v>
      </c>
      <c r="G58">
        <v>0.5</v>
      </c>
      <c r="H58">
        <v>12</v>
      </c>
      <c r="I58" t="s">
        <v>442</v>
      </c>
      <c r="J58" t="s">
        <v>971</v>
      </c>
      <c r="K58" t="s">
        <v>42</v>
      </c>
      <c r="L58" t="s">
        <v>271</v>
      </c>
      <c r="M58" t="s">
        <v>10</v>
      </c>
    </row>
    <row r="59" spans="1:13" x14ac:dyDescent="0.25">
      <c r="A59" t="s">
        <v>422</v>
      </c>
      <c r="B59" t="s">
        <v>1034</v>
      </c>
      <c r="C59" t="s">
        <v>634</v>
      </c>
      <c r="D59" t="s">
        <v>972</v>
      </c>
      <c r="E59" t="s">
        <v>1006</v>
      </c>
      <c r="F59" t="s">
        <v>1035</v>
      </c>
      <c r="G59">
        <v>0.5</v>
      </c>
      <c r="H59">
        <v>9</v>
      </c>
      <c r="I59" t="s">
        <v>442</v>
      </c>
      <c r="J59" t="s">
        <v>971</v>
      </c>
      <c r="K59" t="s">
        <v>133</v>
      </c>
      <c r="L59" t="s">
        <v>312</v>
      </c>
      <c r="M59" t="s">
        <v>10</v>
      </c>
    </row>
    <row r="60" spans="1:13" x14ac:dyDescent="0.25">
      <c r="A60" t="s">
        <v>422</v>
      </c>
      <c r="B60" t="s">
        <v>1034</v>
      </c>
      <c r="C60" t="s">
        <v>637</v>
      </c>
      <c r="D60" t="s">
        <v>991</v>
      </c>
      <c r="E60" t="s">
        <v>1008</v>
      </c>
      <c r="F60" t="s">
        <v>1036</v>
      </c>
      <c r="G60">
        <v>0.5</v>
      </c>
      <c r="H60">
        <v>12</v>
      </c>
      <c r="I60" t="s">
        <v>442</v>
      </c>
      <c r="J60" t="s">
        <v>971</v>
      </c>
      <c r="K60" t="s">
        <v>133</v>
      </c>
      <c r="L60" t="s">
        <v>312</v>
      </c>
      <c r="M60" t="s">
        <v>10</v>
      </c>
    </row>
    <row r="61" spans="1:13" x14ac:dyDescent="0.25">
      <c r="A61" t="s">
        <v>290</v>
      </c>
      <c r="B61" t="s">
        <v>1037</v>
      </c>
      <c r="C61" t="s">
        <v>634</v>
      </c>
      <c r="D61" t="s">
        <v>968</v>
      </c>
      <c r="E61" t="s">
        <v>977</v>
      </c>
      <c r="F61" t="s">
        <v>989</v>
      </c>
      <c r="G61">
        <v>0.5</v>
      </c>
      <c r="H61">
        <v>6</v>
      </c>
      <c r="I61" t="s">
        <v>314</v>
      </c>
      <c r="J61" t="s">
        <v>971</v>
      </c>
      <c r="K61" t="s">
        <v>114</v>
      </c>
      <c r="L61" t="s">
        <v>293</v>
      </c>
      <c r="M61" t="s">
        <v>315</v>
      </c>
    </row>
    <row r="62" spans="1:13" x14ac:dyDescent="0.25">
      <c r="A62" t="s">
        <v>422</v>
      </c>
      <c r="B62" t="s">
        <v>1038</v>
      </c>
      <c r="C62" t="s">
        <v>634</v>
      </c>
      <c r="D62" t="s">
        <v>979</v>
      </c>
      <c r="E62" t="s">
        <v>1039</v>
      </c>
      <c r="F62" t="s">
        <v>1040</v>
      </c>
      <c r="G62">
        <v>0.6</v>
      </c>
      <c r="H62">
        <v>28</v>
      </c>
      <c r="I62" t="s">
        <v>444</v>
      </c>
      <c r="J62" t="s">
        <v>971</v>
      </c>
      <c r="K62" t="s">
        <v>42</v>
      </c>
      <c r="L62" t="s">
        <v>271</v>
      </c>
      <c r="M62" t="s">
        <v>19</v>
      </c>
    </row>
    <row r="63" spans="1:13" x14ac:dyDescent="0.25">
      <c r="A63" t="s">
        <v>422</v>
      </c>
      <c r="B63" t="s">
        <v>1038</v>
      </c>
      <c r="C63" t="s">
        <v>637</v>
      </c>
      <c r="D63" t="s">
        <v>968</v>
      </c>
      <c r="E63" t="s">
        <v>969</v>
      </c>
      <c r="F63" t="s">
        <v>1041</v>
      </c>
      <c r="G63">
        <v>0.4</v>
      </c>
      <c r="H63">
        <v>28</v>
      </c>
      <c r="I63" t="s">
        <v>444</v>
      </c>
      <c r="J63" t="s">
        <v>971</v>
      </c>
      <c r="K63" t="s">
        <v>42</v>
      </c>
      <c r="L63" t="s">
        <v>271</v>
      </c>
      <c r="M63" t="s">
        <v>19</v>
      </c>
    </row>
    <row r="64" spans="1:13" x14ac:dyDescent="0.25">
      <c r="A64" t="s">
        <v>422</v>
      </c>
      <c r="B64" t="s">
        <v>1038</v>
      </c>
      <c r="C64" t="s">
        <v>634</v>
      </c>
      <c r="D64" t="s">
        <v>979</v>
      </c>
      <c r="E64" t="s">
        <v>1039</v>
      </c>
      <c r="F64" t="s">
        <v>1040</v>
      </c>
      <c r="G64">
        <v>0.6</v>
      </c>
      <c r="H64">
        <v>28</v>
      </c>
      <c r="I64" t="s">
        <v>444</v>
      </c>
      <c r="J64" t="s">
        <v>971</v>
      </c>
      <c r="K64" t="s">
        <v>114</v>
      </c>
      <c r="L64" t="s">
        <v>293</v>
      </c>
      <c r="M64" t="s">
        <v>19</v>
      </c>
    </row>
    <row r="65" spans="1:13" x14ac:dyDescent="0.25">
      <c r="A65" t="s">
        <v>422</v>
      </c>
      <c r="B65" t="s">
        <v>1038</v>
      </c>
      <c r="C65" t="s">
        <v>637</v>
      </c>
      <c r="D65" t="s">
        <v>968</v>
      </c>
      <c r="E65" t="s">
        <v>969</v>
      </c>
      <c r="F65" t="s">
        <v>1041</v>
      </c>
      <c r="G65">
        <v>0.4</v>
      </c>
      <c r="H65">
        <v>28</v>
      </c>
      <c r="I65" t="s">
        <v>444</v>
      </c>
      <c r="J65" t="s">
        <v>971</v>
      </c>
      <c r="K65" t="s">
        <v>114</v>
      </c>
      <c r="L65" t="s">
        <v>293</v>
      </c>
      <c r="M65" t="s">
        <v>19</v>
      </c>
    </row>
    <row r="66" spans="1:13" x14ac:dyDescent="0.25">
      <c r="A66" t="s">
        <v>422</v>
      </c>
      <c r="B66" t="s">
        <v>1038</v>
      </c>
      <c r="C66" t="s">
        <v>634</v>
      </c>
      <c r="D66" t="s">
        <v>979</v>
      </c>
      <c r="E66" t="s">
        <v>1039</v>
      </c>
      <c r="F66" t="s">
        <v>1040</v>
      </c>
      <c r="G66">
        <v>0.6</v>
      </c>
      <c r="H66">
        <v>28</v>
      </c>
      <c r="I66" t="s">
        <v>444</v>
      </c>
      <c r="J66" t="s">
        <v>971</v>
      </c>
      <c r="K66" t="s">
        <v>133</v>
      </c>
      <c r="L66" t="s">
        <v>312</v>
      </c>
      <c r="M66" t="s">
        <v>19</v>
      </c>
    </row>
    <row r="67" spans="1:13" x14ac:dyDescent="0.25">
      <c r="A67" t="s">
        <v>422</v>
      </c>
      <c r="B67" t="s">
        <v>1038</v>
      </c>
      <c r="C67" t="s">
        <v>637</v>
      </c>
      <c r="D67" t="s">
        <v>968</v>
      </c>
      <c r="E67" t="s">
        <v>969</v>
      </c>
      <c r="F67" t="s">
        <v>1041</v>
      </c>
      <c r="G67">
        <v>0.4</v>
      </c>
      <c r="H67">
        <v>28</v>
      </c>
      <c r="I67" t="s">
        <v>444</v>
      </c>
      <c r="J67" t="s">
        <v>971</v>
      </c>
      <c r="K67" t="s">
        <v>133</v>
      </c>
      <c r="L67" t="s">
        <v>312</v>
      </c>
      <c r="M67" t="s">
        <v>19</v>
      </c>
    </row>
    <row r="68" spans="1:13" x14ac:dyDescent="0.25">
      <c r="A68" t="s">
        <v>422</v>
      </c>
      <c r="B68" t="s">
        <v>1038</v>
      </c>
      <c r="C68" t="s">
        <v>634</v>
      </c>
      <c r="D68" t="s">
        <v>979</v>
      </c>
      <c r="E68" t="s">
        <v>1039</v>
      </c>
      <c r="F68" t="s">
        <v>1040</v>
      </c>
      <c r="G68">
        <v>0.6</v>
      </c>
      <c r="H68">
        <v>28</v>
      </c>
      <c r="I68" t="s">
        <v>444</v>
      </c>
      <c r="J68" t="s">
        <v>971</v>
      </c>
      <c r="K68" t="s">
        <v>152</v>
      </c>
      <c r="L68" t="s">
        <v>320</v>
      </c>
      <c r="M68" t="s">
        <v>19</v>
      </c>
    </row>
    <row r="69" spans="1:13" x14ac:dyDescent="0.25">
      <c r="A69" t="s">
        <v>422</v>
      </c>
      <c r="B69" t="s">
        <v>1038</v>
      </c>
      <c r="C69" t="s">
        <v>637</v>
      </c>
      <c r="D69" t="s">
        <v>968</v>
      </c>
      <c r="E69" t="s">
        <v>969</v>
      </c>
      <c r="F69" t="s">
        <v>1041</v>
      </c>
      <c r="G69">
        <v>0.4</v>
      </c>
      <c r="H69">
        <v>28</v>
      </c>
      <c r="I69" t="s">
        <v>444</v>
      </c>
      <c r="J69" t="s">
        <v>971</v>
      </c>
      <c r="K69" t="s">
        <v>152</v>
      </c>
      <c r="L69" t="s">
        <v>320</v>
      </c>
      <c r="M69" t="s">
        <v>19</v>
      </c>
    </row>
    <row r="70" spans="1:13" x14ac:dyDescent="0.25">
      <c r="A70" t="s">
        <v>422</v>
      </c>
      <c r="B70" t="s">
        <v>1038</v>
      </c>
      <c r="C70" t="s">
        <v>634</v>
      </c>
      <c r="D70" t="s">
        <v>979</v>
      </c>
      <c r="E70" t="s">
        <v>1039</v>
      </c>
      <c r="F70" t="s">
        <v>1040</v>
      </c>
      <c r="G70">
        <v>0.6</v>
      </c>
      <c r="H70">
        <v>28</v>
      </c>
      <c r="I70" t="s">
        <v>444</v>
      </c>
      <c r="J70" t="s">
        <v>971</v>
      </c>
      <c r="K70" t="s">
        <v>169</v>
      </c>
      <c r="L70" t="s">
        <v>354</v>
      </c>
      <c r="M70" t="s">
        <v>19</v>
      </c>
    </row>
    <row r="71" spans="1:13" x14ac:dyDescent="0.25">
      <c r="A71" t="s">
        <v>422</v>
      </c>
      <c r="B71" t="s">
        <v>1038</v>
      </c>
      <c r="C71" t="s">
        <v>637</v>
      </c>
      <c r="D71" t="s">
        <v>968</v>
      </c>
      <c r="E71" t="s">
        <v>969</v>
      </c>
      <c r="F71" t="s">
        <v>1041</v>
      </c>
      <c r="G71">
        <v>0.4</v>
      </c>
      <c r="H71">
        <v>28</v>
      </c>
      <c r="I71" t="s">
        <v>444</v>
      </c>
      <c r="J71" t="s">
        <v>971</v>
      </c>
      <c r="K71" t="s">
        <v>169</v>
      </c>
      <c r="L71" t="s">
        <v>354</v>
      </c>
      <c r="M71" t="s">
        <v>19</v>
      </c>
    </row>
    <row r="72" spans="1:13" x14ac:dyDescent="0.25">
      <c r="A72" t="s">
        <v>290</v>
      </c>
      <c r="B72" t="s">
        <v>1042</v>
      </c>
      <c r="C72" t="s">
        <v>634</v>
      </c>
      <c r="D72" t="s">
        <v>979</v>
      </c>
      <c r="F72" t="s">
        <v>1043</v>
      </c>
      <c r="G72">
        <v>0.5</v>
      </c>
      <c r="H72">
        <v>12</v>
      </c>
      <c r="I72" t="s">
        <v>317</v>
      </c>
      <c r="J72" t="s">
        <v>971</v>
      </c>
      <c r="K72" t="s">
        <v>114</v>
      </c>
      <c r="L72" t="s">
        <v>293</v>
      </c>
      <c r="M72" t="s">
        <v>318</v>
      </c>
    </row>
    <row r="73" spans="1:13" x14ac:dyDescent="0.25">
      <c r="A73" t="s">
        <v>290</v>
      </c>
      <c r="B73" t="s">
        <v>1042</v>
      </c>
      <c r="C73" t="s">
        <v>637</v>
      </c>
      <c r="D73" t="s">
        <v>968</v>
      </c>
      <c r="F73" t="s">
        <v>1044</v>
      </c>
      <c r="G73">
        <v>0.5</v>
      </c>
      <c r="H73">
        <v>32</v>
      </c>
      <c r="I73" t="s">
        <v>317</v>
      </c>
      <c r="J73" t="s">
        <v>971</v>
      </c>
      <c r="K73" t="s">
        <v>114</v>
      </c>
      <c r="L73" t="s">
        <v>293</v>
      </c>
      <c r="M73" t="s">
        <v>318</v>
      </c>
    </row>
    <row r="74" spans="1:13" x14ac:dyDescent="0.25">
      <c r="A74" t="s">
        <v>290</v>
      </c>
      <c r="B74" t="s">
        <v>1045</v>
      </c>
      <c r="C74" t="s">
        <v>634</v>
      </c>
      <c r="D74" t="s">
        <v>968</v>
      </c>
      <c r="E74" t="s">
        <v>977</v>
      </c>
      <c r="F74" t="s">
        <v>1046</v>
      </c>
      <c r="G74">
        <v>0.5</v>
      </c>
      <c r="H74">
        <v>12</v>
      </c>
      <c r="I74" t="s">
        <v>311</v>
      </c>
      <c r="J74" t="s">
        <v>971</v>
      </c>
      <c r="K74" t="s">
        <v>114</v>
      </c>
      <c r="L74" t="s">
        <v>293</v>
      </c>
      <c r="M74" t="s">
        <v>29</v>
      </c>
    </row>
    <row r="75" spans="1:13" x14ac:dyDescent="0.25">
      <c r="A75" t="s">
        <v>290</v>
      </c>
      <c r="B75" t="s">
        <v>1045</v>
      </c>
      <c r="C75" t="s">
        <v>637</v>
      </c>
      <c r="D75" t="s">
        <v>980</v>
      </c>
      <c r="E75" t="s">
        <v>980</v>
      </c>
      <c r="F75" t="s">
        <v>1047</v>
      </c>
      <c r="G75">
        <v>0.5</v>
      </c>
      <c r="H75">
        <v>16</v>
      </c>
      <c r="I75" t="s">
        <v>311</v>
      </c>
      <c r="J75" t="s">
        <v>971</v>
      </c>
      <c r="K75" t="s">
        <v>114</v>
      </c>
      <c r="L75" t="s">
        <v>293</v>
      </c>
      <c r="M75" t="s">
        <v>29</v>
      </c>
    </row>
    <row r="76" spans="1:13" x14ac:dyDescent="0.25">
      <c r="A76" t="s">
        <v>290</v>
      </c>
      <c r="B76" t="s">
        <v>1045</v>
      </c>
      <c r="C76" t="s">
        <v>634</v>
      </c>
      <c r="D76" t="s">
        <v>968</v>
      </c>
      <c r="E76" t="s">
        <v>977</v>
      </c>
      <c r="F76" t="s">
        <v>1046</v>
      </c>
      <c r="G76">
        <v>0.5</v>
      </c>
      <c r="H76">
        <v>12</v>
      </c>
      <c r="I76" t="s">
        <v>311</v>
      </c>
      <c r="J76" t="s">
        <v>971</v>
      </c>
      <c r="K76" t="s">
        <v>133</v>
      </c>
      <c r="L76" t="s">
        <v>312</v>
      </c>
      <c r="M76" t="s">
        <v>29</v>
      </c>
    </row>
    <row r="77" spans="1:13" x14ac:dyDescent="0.25">
      <c r="A77" t="s">
        <v>290</v>
      </c>
      <c r="B77" t="s">
        <v>1045</v>
      </c>
      <c r="C77" t="s">
        <v>637</v>
      </c>
      <c r="D77" t="s">
        <v>980</v>
      </c>
      <c r="E77" t="s">
        <v>980</v>
      </c>
      <c r="F77" t="s">
        <v>1047</v>
      </c>
      <c r="G77">
        <v>0.5</v>
      </c>
      <c r="H77">
        <v>16</v>
      </c>
      <c r="I77" t="s">
        <v>311</v>
      </c>
      <c r="J77" t="s">
        <v>971</v>
      </c>
      <c r="K77" t="s">
        <v>133</v>
      </c>
      <c r="L77" t="s">
        <v>312</v>
      </c>
      <c r="M77" t="s">
        <v>29</v>
      </c>
    </row>
    <row r="78" spans="1:13" x14ac:dyDescent="0.25">
      <c r="A78" t="s">
        <v>422</v>
      </c>
      <c r="B78" t="s">
        <v>1048</v>
      </c>
      <c r="C78" t="s">
        <v>634</v>
      </c>
      <c r="D78" t="s">
        <v>968</v>
      </c>
      <c r="E78" t="s">
        <v>969</v>
      </c>
      <c r="F78" t="s">
        <v>1049</v>
      </c>
      <c r="G78">
        <v>0.4</v>
      </c>
      <c r="H78">
        <v>8</v>
      </c>
      <c r="I78" t="s">
        <v>430</v>
      </c>
      <c r="J78" t="s">
        <v>971</v>
      </c>
      <c r="K78" t="s">
        <v>133</v>
      </c>
      <c r="L78" t="s">
        <v>312</v>
      </c>
      <c r="M78" t="s">
        <v>24</v>
      </c>
    </row>
    <row r="79" spans="1:13" x14ac:dyDescent="0.25">
      <c r="A79" t="s">
        <v>422</v>
      </c>
      <c r="B79" t="s">
        <v>1048</v>
      </c>
      <c r="C79" t="s">
        <v>637</v>
      </c>
      <c r="D79" t="s">
        <v>972</v>
      </c>
      <c r="E79" t="s">
        <v>985</v>
      </c>
      <c r="F79" t="s">
        <v>1050</v>
      </c>
      <c r="G79">
        <v>0.6</v>
      </c>
      <c r="H79">
        <v>12</v>
      </c>
      <c r="I79" t="s">
        <v>430</v>
      </c>
      <c r="J79" t="s">
        <v>971</v>
      </c>
      <c r="K79" t="s">
        <v>133</v>
      </c>
      <c r="L79" t="s">
        <v>312</v>
      </c>
      <c r="M79" t="s">
        <v>24</v>
      </c>
    </row>
    <row r="80" spans="1:13" x14ac:dyDescent="0.25">
      <c r="A80" t="s">
        <v>422</v>
      </c>
      <c r="B80" t="s">
        <v>1051</v>
      </c>
      <c r="C80" t="s">
        <v>634</v>
      </c>
      <c r="D80" t="s">
        <v>991</v>
      </c>
      <c r="E80" t="s">
        <v>1008</v>
      </c>
      <c r="F80" t="s">
        <v>1052</v>
      </c>
      <c r="G80">
        <v>0.5</v>
      </c>
      <c r="H80">
        <v>6</v>
      </c>
      <c r="I80" t="s">
        <v>432</v>
      </c>
      <c r="J80" t="s">
        <v>971</v>
      </c>
      <c r="K80" t="s">
        <v>133</v>
      </c>
      <c r="L80" t="s">
        <v>312</v>
      </c>
      <c r="M80" t="s">
        <v>33</v>
      </c>
    </row>
    <row r="81" spans="1:13" x14ac:dyDescent="0.25">
      <c r="A81" t="s">
        <v>422</v>
      </c>
      <c r="B81" t="s">
        <v>1051</v>
      </c>
      <c r="C81" t="s">
        <v>637</v>
      </c>
      <c r="D81" t="s">
        <v>968</v>
      </c>
      <c r="E81" t="s">
        <v>977</v>
      </c>
      <c r="F81" t="s">
        <v>1053</v>
      </c>
      <c r="G81">
        <v>0.5</v>
      </c>
      <c r="H81">
        <v>12</v>
      </c>
      <c r="I81" t="s">
        <v>432</v>
      </c>
      <c r="J81" t="s">
        <v>971</v>
      </c>
      <c r="K81" t="s">
        <v>133</v>
      </c>
      <c r="L81" t="s">
        <v>312</v>
      </c>
      <c r="M81" t="s">
        <v>33</v>
      </c>
    </row>
    <row r="82" spans="1:13" x14ac:dyDescent="0.25">
      <c r="A82" t="s">
        <v>422</v>
      </c>
      <c r="B82" t="s">
        <v>1054</v>
      </c>
      <c r="C82" t="s">
        <v>634</v>
      </c>
      <c r="D82" t="s">
        <v>968</v>
      </c>
      <c r="E82" t="s">
        <v>977</v>
      </c>
      <c r="F82" t="s">
        <v>1055</v>
      </c>
      <c r="G82">
        <v>0.5</v>
      </c>
      <c r="H82">
        <v>7</v>
      </c>
      <c r="I82" t="s">
        <v>440</v>
      </c>
      <c r="J82" t="s">
        <v>971</v>
      </c>
      <c r="K82" t="s">
        <v>133</v>
      </c>
      <c r="L82" t="s">
        <v>312</v>
      </c>
      <c r="M82" t="s">
        <v>18</v>
      </c>
    </row>
    <row r="83" spans="1:13" x14ac:dyDescent="0.25">
      <c r="A83" t="s">
        <v>422</v>
      </c>
      <c r="B83" t="s">
        <v>1054</v>
      </c>
      <c r="C83" t="s">
        <v>637</v>
      </c>
      <c r="D83" t="s">
        <v>972</v>
      </c>
      <c r="F83" t="s">
        <v>1056</v>
      </c>
      <c r="G83">
        <v>0.5</v>
      </c>
      <c r="H83" t="s">
        <v>1057</v>
      </c>
      <c r="I83" t="s">
        <v>440</v>
      </c>
      <c r="J83" t="s">
        <v>971</v>
      </c>
      <c r="K83" t="s">
        <v>133</v>
      </c>
      <c r="L83" t="s">
        <v>312</v>
      </c>
      <c r="M83" t="s">
        <v>18</v>
      </c>
    </row>
    <row r="84" spans="1:13" x14ac:dyDescent="0.25">
      <c r="A84" t="s">
        <v>422</v>
      </c>
      <c r="B84" t="s">
        <v>1058</v>
      </c>
      <c r="C84" t="s">
        <v>634</v>
      </c>
      <c r="D84" t="s">
        <v>979</v>
      </c>
      <c r="E84" t="s">
        <v>992</v>
      </c>
      <c r="F84" t="s">
        <v>1059</v>
      </c>
      <c r="G84">
        <v>0.5</v>
      </c>
      <c r="H84">
        <v>6</v>
      </c>
      <c r="I84" t="s">
        <v>452</v>
      </c>
      <c r="J84" t="s">
        <v>971</v>
      </c>
      <c r="K84" t="s">
        <v>133</v>
      </c>
      <c r="L84" t="s">
        <v>312</v>
      </c>
      <c r="M84" t="s">
        <v>31</v>
      </c>
    </row>
    <row r="85" spans="1:13" x14ac:dyDescent="0.25">
      <c r="A85" t="s">
        <v>422</v>
      </c>
      <c r="B85" t="s">
        <v>1058</v>
      </c>
      <c r="C85" t="s">
        <v>637</v>
      </c>
      <c r="D85" t="s">
        <v>979</v>
      </c>
      <c r="E85" t="s">
        <v>983</v>
      </c>
      <c r="F85" t="s">
        <v>1060</v>
      </c>
      <c r="G85">
        <v>0.5</v>
      </c>
      <c r="H85">
        <v>12</v>
      </c>
      <c r="I85" t="s">
        <v>452</v>
      </c>
      <c r="J85" t="s">
        <v>971</v>
      </c>
      <c r="K85" t="s">
        <v>133</v>
      </c>
      <c r="L85" t="s">
        <v>312</v>
      </c>
      <c r="M85" t="s">
        <v>31</v>
      </c>
    </row>
    <row r="86" spans="1:13" x14ac:dyDescent="0.25">
      <c r="A86" t="s">
        <v>422</v>
      </c>
      <c r="B86" t="s">
        <v>1061</v>
      </c>
      <c r="C86" t="s">
        <v>634</v>
      </c>
      <c r="D86" t="s">
        <v>972</v>
      </c>
      <c r="E86" t="s">
        <v>980</v>
      </c>
      <c r="F86" t="s">
        <v>1062</v>
      </c>
      <c r="G86">
        <v>0.5</v>
      </c>
      <c r="H86">
        <v>7</v>
      </c>
      <c r="I86" t="s">
        <v>454</v>
      </c>
      <c r="J86" t="s">
        <v>971</v>
      </c>
      <c r="K86" t="s">
        <v>133</v>
      </c>
      <c r="L86" t="s">
        <v>312</v>
      </c>
      <c r="M86" t="s">
        <v>22</v>
      </c>
    </row>
    <row r="87" spans="1:13" x14ac:dyDescent="0.25">
      <c r="A87" t="s">
        <v>422</v>
      </c>
      <c r="B87" t="s">
        <v>1061</v>
      </c>
      <c r="C87" t="s">
        <v>637</v>
      </c>
      <c r="D87" t="s">
        <v>968</v>
      </c>
      <c r="E87" t="s">
        <v>969</v>
      </c>
      <c r="F87" t="s">
        <v>1063</v>
      </c>
      <c r="G87">
        <v>0.5</v>
      </c>
      <c r="H87">
        <v>12</v>
      </c>
      <c r="I87" t="s">
        <v>454</v>
      </c>
      <c r="J87" t="s">
        <v>971</v>
      </c>
      <c r="K87" t="s">
        <v>133</v>
      </c>
      <c r="L87" t="s">
        <v>312</v>
      </c>
      <c r="M87" t="s">
        <v>22</v>
      </c>
    </row>
    <row r="88" spans="1:13" x14ac:dyDescent="0.25">
      <c r="A88" t="s">
        <v>422</v>
      </c>
      <c r="B88" t="s">
        <v>1064</v>
      </c>
      <c r="C88" t="s">
        <v>634</v>
      </c>
      <c r="D88" t="s">
        <v>968</v>
      </c>
      <c r="E88" t="s">
        <v>969</v>
      </c>
      <c r="F88" t="s">
        <v>1065</v>
      </c>
      <c r="G88">
        <v>0.5</v>
      </c>
      <c r="H88">
        <v>8</v>
      </c>
      <c r="I88" t="s">
        <v>458</v>
      </c>
      <c r="J88" t="s">
        <v>971</v>
      </c>
      <c r="K88" t="s">
        <v>133</v>
      </c>
      <c r="L88" t="s">
        <v>312</v>
      </c>
      <c r="M88" t="s">
        <v>11</v>
      </c>
    </row>
    <row r="89" spans="1:13" x14ac:dyDescent="0.25">
      <c r="A89" t="s">
        <v>422</v>
      </c>
      <c r="B89" t="s">
        <v>1064</v>
      </c>
      <c r="C89" t="s">
        <v>637</v>
      </c>
      <c r="D89" t="s">
        <v>991</v>
      </c>
      <c r="E89" t="s">
        <v>1008</v>
      </c>
      <c r="F89" t="s">
        <v>1066</v>
      </c>
      <c r="G89">
        <v>0.5</v>
      </c>
      <c r="H89">
        <v>18</v>
      </c>
      <c r="I89" t="s">
        <v>458</v>
      </c>
      <c r="J89" t="s">
        <v>971</v>
      </c>
      <c r="K89" t="s">
        <v>133</v>
      </c>
      <c r="L89" t="s">
        <v>312</v>
      </c>
      <c r="M89" t="s">
        <v>11</v>
      </c>
    </row>
    <row r="90" spans="1:13" x14ac:dyDescent="0.25">
      <c r="A90" t="s">
        <v>422</v>
      </c>
      <c r="B90" t="s">
        <v>1067</v>
      </c>
      <c r="C90" t="s">
        <v>634</v>
      </c>
      <c r="D90" t="s">
        <v>979</v>
      </c>
      <c r="E90" t="s">
        <v>992</v>
      </c>
      <c r="F90" t="s">
        <v>1068</v>
      </c>
      <c r="G90">
        <v>0.5</v>
      </c>
      <c r="H90">
        <v>7</v>
      </c>
      <c r="I90" t="s">
        <v>460</v>
      </c>
      <c r="J90" t="s">
        <v>971</v>
      </c>
      <c r="K90" t="s">
        <v>133</v>
      </c>
      <c r="L90" t="s">
        <v>312</v>
      </c>
      <c r="M90" t="s">
        <v>12</v>
      </c>
    </row>
    <row r="91" spans="1:13" x14ac:dyDescent="0.25">
      <c r="A91" t="s">
        <v>422</v>
      </c>
      <c r="B91" t="s">
        <v>1067</v>
      </c>
      <c r="C91" t="s">
        <v>637</v>
      </c>
      <c r="D91" t="s">
        <v>991</v>
      </c>
      <c r="E91" t="s">
        <v>980</v>
      </c>
      <c r="F91" t="s">
        <v>1069</v>
      </c>
      <c r="G91">
        <v>0.5</v>
      </c>
      <c r="H91">
        <v>12</v>
      </c>
      <c r="I91" t="s">
        <v>460</v>
      </c>
      <c r="J91" t="s">
        <v>971</v>
      </c>
      <c r="K91" t="s">
        <v>133</v>
      </c>
      <c r="L91" t="s">
        <v>312</v>
      </c>
      <c r="M91" t="s">
        <v>12</v>
      </c>
    </row>
    <row r="92" spans="1:13" x14ac:dyDescent="0.25">
      <c r="A92" t="s">
        <v>422</v>
      </c>
      <c r="B92" t="s">
        <v>1070</v>
      </c>
      <c r="C92" t="s">
        <v>634</v>
      </c>
      <c r="D92" t="s">
        <v>979</v>
      </c>
      <c r="E92" t="s">
        <v>980</v>
      </c>
      <c r="F92" t="s">
        <v>1071</v>
      </c>
      <c r="G92">
        <v>0.4</v>
      </c>
      <c r="H92">
        <v>24</v>
      </c>
      <c r="I92" t="s">
        <v>462</v>
      </c>
      <c r="J92" t="s">
        <v>971</v>
      </c>
      <c r="K92" t="s">
        <v>133</v>
      </c>
      <c r="L92" t="s">
        <v>312</v>
      </c>
      <c r="M92" t="s">
        <v>20</v>
      </c>
    </row>
    <row r="93" spans="1:13" x14ac:dyDescent="0.25">
      <c r="A93" t="s">
        <v>422</v>
      </c>
      <c r="B93" t="s">
        <v>1070</v>
      </c>
      <c r="C93" t="s">
        <v>637</v>
      </c>
      <c r="D93" t="s">
        <v>968</v>
      </c>
      <c r="E93" t="s">
        <v>969</v>
      </c>
      <c r="F93" t="s">
        <v>1072</v>
      </c>
      <c r="G93">
        <v>0.6</v>
      </c>
      <c r="H93">
        <v>33</v>
      </c>
      <c r="I93" t="s">
        <v>462</v>
      </c>
      <c r="J93" t="s">
        <v>971</v>
      </c>
      <c r="K93" t="s">
        <v>133</v>
      </c>
      <c r="L93" t="s">
        <v>312</v>
      </c>
      <c r="M93" t="s">
        <v>20</v>
      </c>
    </row>
    <row r="94" spans="1:13" x14ac:dyDescent="0.25">
      <c r="A94" t="s">
        <v>422</v>
      </c>
      <c r="B94" t="s">
        <v>1073</v>
      </c>
      <c r="C94" t="s">
        <v>634</v>
      </c>
      <c r="D94" t="s">
        <v>968</v>
      </c>
      <c r="E94" t="s">
        <v>977</v>
      </c>
      <c r="F94" t="s">
        <v>1074</v>
      </c>
      <c r="G94" t="s">
        <v>1075</v>
      </c>
      <c r="H94">
        <v>9</v>
      </c>
      <c r="I94" t="s">
        <v>466</v>
      </c>
      <c r="J94" t="s">
        <v>971</v>
      </c>
      <c r="K94" t="s">
        <v>133</v>
      </c>
      <c r="L94" t="s">
        <v>312</v>
      </c>
      <c r="M94" t="s">
        <v>16</v>
      </c>
    </row>
    <row r="95" spans="1:13" x14ac:dyDescent="0.25">
      <c r="A95" t="s">
        <v>422</v>
      </c>
      <c r="B95" t="s">
        <v>1073</v>
      </c>
      <c r="C95" t="s">
        <v>637</v>
      </c>
      <c r="D95" t="s">
        <v>972</v>
      </c>
      <c r="E95" t="s">
        <v>983</v>
      </c>
      <c r="F95" t="s">
        <v>1076</v>
      </c>
      <c r="G95">
        <v>0.7</v>
      </c>
      <c r="H95">
        <v>12</v>
      </c>
      <c r="I95" t="s">
        <v>466</v>
      </c>
      <c r="J95" t="s">
        <v>971</v>
      </c>
      <c r="K95" t="s">
        <v>133</v>
      </c>
      <c r="L95" t="s">
        <v>312</v>
      </c>
      <c r="M95" t="s">
        <v>16</v>
      </c>
    </row>
    <row r="96" spans="1:13" x14ac:dyDescent="0.25">
      <c r="A96" t="s">
        <v>422</v>
      </c>
      <c r="B96" t="s">
        <v>1077</v>
      </c>
      <c r="C96" t="s">
        <v>634</v>
      </c>
      <c r="D96" t="s">
        <v>972</v>
      </c>
      <c r="E96" t="s">
        <v>983</v>
      </c>
      <c r="F96" t="s">
        <v>1078</v>
      </c>
      <c r="G96">
        <v>0.5</v>
      </c>
      <c r="H96">
        <v>26</v>
      </c>
      <c r="I96" t="s">
        <v>468</v>
      </c>
      <c r="J96" t="s">
        <v>971</v>
      </c>
      <c r="K96" t="s">
        <v>133</v>
      </c>
      <c r="L96" t="s">
        <v>312</v>
      </c>
      <c r="M96" t="s">
        <v>8</v>
      </c>
    </row>
    <row r="97" spans="1:13" x14ac:dyDescent="0.25">
      <c r="A97" t="s">
        <v>422</v>
      </c>
      <c r="B97" t="s">
        <v>1077</v>
      </c>
      <c r="C97" t="s">
        <v>637</v>
      </c>
      <c r="D97" t="s">
        <v>968</v>
      </c>
      <c r="E97" t="s">
        <v>969</v>
      </c>
      <c r="F97" t="s">
        <v>1079</v>
      </c>
      <c r="G97">
        <v>0.5</v>
      </c>
      <c r="H97">
        <v>26</v>
      </c>
      <c r="I97" t="s">
        <v>468</v>
      </c>
      <c r="J97" t="s">
        <v>971</v>
      </c>
      <c r="K97" t="s">
        <v>133</v>
      </c>
      <c r="L97" t="s">
        <v>312</v>
      </c>
      <c r="M97" t="s">
        <v>8</v>
      </c>
    </row>
    <row r="98" spans="1:13" x14ac:dyDescent="0.25">
      <c r="A98" t="s">
        <v>422</v>
      </c>
      <c r="B98" t="s">
        <v>1080</v>
      </c>
      <c r="C98" t="s">
        <v>634</v>
      </c>
      <c r="D98" t="s">
        <v>968</v>
      </c>
      <c r="E98" t="s">
        <v>969</v>
      </c>
      <c r="F98" t="s">
        <v>1081</v>
      </c>
      <c r="G98">
        <v>0.5</v>
      </c>
      <c r="H98">
        <v>6</v>
      </c>
      <c r="I98" t="s">
        <v>446</v>
      </c>
      <c r="J98" t="s">
        <v>971</v>
      </c>
      <c r="K98" t="s">
        <v>133</v>
      </c>
      <c r="L98" t="s">
        <v>312</v>
      </c>
      <c r="M98" t="s">
        <v>32</v>
      </c>
    </row>
    <row r="99" spans="1:13" x14ac:dyDescent="0.25">
      <c r="A99" t="s">
        <v>422</v>
      </c>
      <c r="B99" t="s">
        <v>1080</v>
      </c>
      <c r="C99" t="s">
        <v>637</v>
      </c>
      <c r="D99" t="s">
        <v>972</v>
      </c>
      <c r="E99" t="s">
        <v>973</v>
      </c>
      <c r="F99" t="s">
        <v>1082</v>
      </c>
      <c r="G99">
        <v>0.5</v>
      </c>
      <c r="H99">
        <v>12</v>
      </c>
      <c r="I99" t="s">
        <v>446</v>
      </c>
      <c r="J99" t="s">
        <v>971</v>
      </c>
      <c r="K99" t="s">
        <v>133</v>
      </c>
      <c r="L99" t="s">
        <v>312</v>
      </c>
      <c r="M99" t="s">
        <v>32</v>
      </c>
    </row>
    <row r="100" spans="1:13" x14ac:dyDescent="0.25">
      <c r="A100" t="s">
        <v>422</v>
      </c>
      <c r="B100" t="s">
        <v>1080</v>
      </c>
      <c r="C100" t="s">
        <v>634</v>
      </c>
      <c r="D100" t="s">
        <v>968</v>
      </c>
      <c r="E100" t="s">
        <v>969</v>
      </c>
      <c r="F100" t="s">
        <v>1081</v>
      </c>
      <c r="G100">
        <v>0.5</v>
      </c>
      <c r="H100">
        <v>6</v>
      </c>
      <c r="I100" t="s">
        <v>446</v>
      </c>
      <c r="J100" t="s">
        <v>971</v>
      </c>
      <c r="K100" t="s">
        <v>152</v>
      </c>
      <c r="L100" t="s">
        <v>320</v>
      </c>
      <c r="M100" t="s">
        <v>32</v>
      </c>
    </row>
    <row r="101" spans="1:13" x14ac:dyDescent="0.25">
      <c r="A101" t="s">
        <v>422</v>
      </c>
      <c r="B101" t="s">
        <v>1080</v>
      </c>
      <c r="C101" t="s">
        <v>637</v>
      </c>
      <c r="D101" t="s">
        <v>972</v>
      </c>
      <c r="E101" t="s">
        <v>973</v>
      </c>
      <c r="F101" t="s">
        <v>1082</v>
      </c>
      <c r="G101">
        <v>0.5</v>
      </c>
      <c r="H101">
        <v>12</v>
      </c>
      <c r="I101" t="s">
        <v>446</v>
      </c>
      <c r="J101" t="s">
        <v>971</v>
      </c>
      <c r="K101" t="s">
        <v>152</v>
      </c>
      <c r="L101" t="s">
        <v>320</v>
      </c>
      <c r="M101" t="s">
        <v>32</v>
      </c>
    </row>
    <row r="102" spans="1:13" x14ac:dyDescent="0.25">
      <c r="A102" t="s">
        <v>422</v>
      </c>
      <c r="B102" t="s">
        <v>1083</v>
      </c>
      <c r="C102" t="s">
        <v>634</v>
      </c>
      <c r="D102" t="s">
        <v>968</v>
      </c>
      <c r="E102" t="s">
        <v>969</v>
      </c>
      <c r="F102" t="s">
        <v>1084</v>
      </c>
      <c r="G102">
        <v>0.5</v>
      </c>
      <c r="H102">
        <v>8</v>
      </c>
      <c r="I102" t="s">
        <v>448</v>
      </c>
      <c r="J102" t="s">
        <v>971</v>
      </c>
      <c r="K102" t="s">
        <v>133</v>
      </c>
      <c r="L102" t="s">
        <v>312</v>
      </c>
      <c r="M102" t="s">
        <v>9</v>
      </c>
    </row>
    <row r="103" spans="1:13" x14ac:dyDescent="0.25">
      <c r="A103" t="s">
        <v>422</v>
      </c>
      <c r="B103" t="s">
        <v>1083</v>
      </c>
      <c r="C103" t="s">
        <v>637</v>
      </c>
      <c r="D103" t="s">
        <v>263</v>
      </c>
      <c r="F103" t="s">
        <v>1085</v>
      </c>
      <c r="G103">
        <v>0.5</v>
      </c>
      <c r="H103">
        <v>12</v>
      </c>
      <c r="I103" t="s">
        <v>448</v>
      </c>
      <c r="J103" t="s">
        <v>971</v>
      </c>
      <c r="K103" t="s">
        <v>133</v>
      </c>
      <c r="L103" t="s">
        <v>312</v>
      </c>
      <c r="M103" t="s">
        <v>9</v>
      </c>
    </row>
    <row r="104" spans="1:13" x14ac:dyDescent="0.25">
      <c r="A104" t="s">
        <v>422</v>
      </c>
      <c r="B104" t="s">
        <v>1086</v>
      </c>
      <c r="C104" t="s">
        <v>634</v>
      </c>
      <c r="D104" t="s">
        <v>972</v>
      </c>
      <c r="E104" t="s">
        <v>992</v>
      </c>
      <c r="F104" t="s">
        <v>1087</v>
      </c>
      <c r="G104">
        <v>0.6</v>
      </c>
      <c r="H104">
        <v>12</v>
      </c>
      <c r="I104" t="s">
        <v>450</v>
      </c>
      <c r="J104" t="s">
        <v>971</v>
      </c>
      <c r="K104" t="s">
        <v>133</v>
      </c>
      <c r="L104" t="s">
        <v>312</v>
      </c>
      <c r="M104" t="s">
        <v>21</v>
      </c>
    </row>
    <row r="105" spans="1:13" x14ac:dyDescent="0.25">
      <c r="A105" t="s">
        <v>422</v>
      </c>
      <c r="B105" t="s">
        <v>1086</v>
      </c>
      <c r="C105" t="s">
        <v>637</v>
      </c>
      <c r="D105" t="s">
        <v>968</v>
      </c>
      <c r="E105" t="s">
        <v>977</v>
      </c>
      <c r="F105" t="s">
        <v>1088</v>
      </c>
      <c r="G105">
        <v>0.4</v>
      </c>
      <c r="H105" t="s">
        <v>1089</v>
      </c>
      <c r="I105" t="s">
        <v>450</v>
      </c>
      <c r="J105" t="s">
        <v>971</v>
      </c>
      <c r="K105" t="s">
        <v>133</v>
      </c>
      <c r="L105" t="s">
        <v>312</v>
      </c>
      <c r="M105" t="s">
        <v>21</v>
      </c>
    </row>
    <row r="106" spans="1:13" x14ac:dyDescent="0.25">
      <c r="A106" t="s">
        <v>319</v>
      </c>
      <c r="B106" t="s">
        <v>1090</v>
      </c>
      <c r="C106" t="s">
        <v>634</v>
      </c>
      <c r="D106" t="s">
        <v>968</v>
      </c>
      <c r="E106" t="s">
        <v>977</v>
      </c>
      <c r="F106" t="s">
        <v>989</v>
      </c>
      <c r="G106">
        <v>0.5</v>
      </c>
      <c r="H106">
        <v>6</v>
      </c>
      <c r="I106" t="s">
        <v>323</v>
      </c>
      <c r="J106" t="s">
        <v>971</v>
      </c>
      <c r="K106" t="s">
        <v>152</v>
      </c>
      <c r="L106" t="s">
        <v>320</v>
      </c>
      <c r="M106" t="s">
        <v>324</v>
      </c>
    </row>
    <row r="107" spans="1:13" x14ac:dyDescent="0.25">
      <c r="A107" t="s">
        <v>319</v>
      </c>
      <c r="B107" t="s">
        <v>1091</v>
      </c>
      <c r="C107" t="s">
        <v>634</v>
      </c>
      <c r="D107" t="s">
        <v>968</v>
      </c>
      <c r="E107" t="s">
        <v>977</v>
      </c>
      <c r="F107" t="s">
        <v>989</v>
      </c>
      <c r="G107">
        <v>0.5</v>
      </c>
      <c r="H107">
        <v>6</v>
      </c>
      <c r="I107" t="s">
        <v>326</v>
      </c>
      <c r="J107" t="s">
        <v>971</v>
      </c>
      <c r="K107" t="s">
        <v>152</v>
      </c>
      <c r="L107" t="s">
        <v>320</v>
      </c>
      <c r="M107" t="s">
        <v>327</v>
      </c>
    </row>
    <row r="108" spans="1:13" x14ac:dyDescent="0.25">
      <c r="A108" t="s">
        <v>319</v>
      </c>
      <c r="B108" t="s">
        <v>1092</v>
      </c>
      <c r="C108" t="s">
        <v>634</v>
      </c>
      <c r="D108" t="s">
        <v>968</v>
      </c>
      <c r="E108" t="s">
        <v>977</v>
      </c>
      <c r="F108" t="s">
        <v>989</v>
      </c>
      <c r="G108">
        <v>0.5</v>
      </c>
      <c r="H108">
        <v>6</v>
      </c>
      <c r="I108" t="s">
        <v>329</v>
      </c>
      <c r="J108" t="s">
        <v>971</v>
      </c>
      <c r="K108" t="s">
        <v>152</v>
      </c>
      <c r="L108" t="s">
        <v>320</v>
      </c>
      <c r="M108" t="s">
        <v>330</v>
      </c>
    </row>
    <row r="109" spans="1:13" x14ac:dyDescent="0.25">
      <c r="A109" t="s">
        <v>319</v>
      </c>
      <c r="B109" t="s">
        <v>1093</v>
      </c>
      <c r="C109" t="s">
        <v>634</v>
      </c>
      <c r="D109" t="s">
        <v>968</v>
      </c>
      <c r="E109" t="s">
        <v>977</v>
      </c>
      <c r="F109" t="s">
        <v>989</v>
      </c>
      <c r="G109">
        <v>0.5</v>
      </c>
      <c r="H109">
        <v>6</v>
      </c>
      <c r="I109" t="s">
        <v>332</v>
      </c>
      <c r="J109" t="s">
        <v>971</v>
      </c>
      <c r="K109" t="s">
        <v>152</v>
      </c>
      <c r="L109" t="s">
        <v>320</v>
      </c>
      <c r="M109" t="s">
        <v>333</v>
      </c>
    </row>
    <row r="110" spans="1:13" x14ac:dyDescent="0.25">
      <c r="A110" t="s">
        <v>319</v>
      </c>
      <c r="B110" t="s">
        <v>1094</v>
      </c>
      <c r="C110" t="s">
        <v>634</v>
      </c>
      <c r="D110" t="s">
        <v>968</v>
      </c>
      <c r="E110" t="s">
        <v>977</v>
      </c>
      <c r="F110" t="s">
        <v>989</v>
      </c>
      <c r="G110">
        <v>0.5</v>
      </c>
      <c r="H110">
        <v>6</v>
      </c>
      <c r="I110" t="s">
        <v>335</v>
      </c>
      <c r="J110" t="s">
        <v>971</v>
      </c>
      <c r="K110" t="s">
        <v>152</v>
      </c>
      <c r="L110" t="s">
        <v>320</v>
      </c>
      <c r="M110" t="s">
        <v>336</v>
      </c>
    </row>
    <row r="111" spans="1:13" x14ac:dyDescent="0.25">
      <c r="A111" t="s">
        <v>319</v>
      </c>
      <c r="B111" t="s">
        <v>1095</v>
      </c>
      <c r="C111" t="s">
        <v>634</v>
      </c>
      <c r="D111" t="s">
        <v>968</v>
      </c>
      <c r="E111" t="s">
        <v>977</v>
      </c>
      <c r="F111" t="s">
        <v>989</v>
      </c>
      <c r="G111">
        <v>0.5</v>
      </c>
      <c r="H111">
        <v>6</v>
      </c>
      <c r="I111" t="s">
        <v>338</v>
      </c>
      <c r="J111" t="s">
        <v>971</v>
      </c>
      <c r="K111" t="s">
        <v>152</v>
      </c>
      <c r="L111" t="s">
        <v>320</v>
      </c>
      <c r="M111" t="s">
        <v>339</v>
      </c>
    </row>
    <row r="112" spans="1:13" x14ac:dyDescent="0.25">
      <c r="A112" t="s">
        <v>319</v>
      </c>
      <c r="B112" t="s">
        <v>1096</v>
      </c>
      <c r="C112" t="s">
        <v>634</v>
      </c>
      <c r="D112" t="s">
        <v>968</v>
      </c>
      <c r="E112" t="s">
        <v>977</v>
      </c>
      <c r="F112" t="s">
        <v>989</v>
      </c>
      <c r="G112">
        <v>0.5</v>
      </c>
      <c r="H112">
        <v>6</v>
      </c>
      <c r="I112" t="s">
        <v>346</v>
      </c>
      <c r="J112" t="s">
        <v>971</v>
      </c>
      <c r="K112" t="s">
        <v>152</v>
      </c>
      <c r="L112" t="s">
        <v>320</v>
      </c>
      <c r="M112" t="s">
        <v>347</v>
      </c>
    </row>
    <row r="113" spans="1:13" x14ac:dyDescent="0.25">
      <c r="A113" t="s">
        <v>319</v>
      </c>
      <c r="B113" t="s">
        <v>1097</v>
      </c>
      <c r="C113" t="s">
        <v>634</v>
      </c>
      <c r="D113" t="s">
        <v>968</v>
      </c>
      <c r="E113" t="s">
        <v>977</v>
      </c>
      <c r="F113" t="s">
        <v>989</v>
      </c>
      <c r="G113">
        <v>0.5</v>
      </c>
      <c r="H113">
        <v>6</v>
      </c>
      <c r="I113" t="s">
        <v>349</v>
      </c>
      <c r="J113" t="s">
        <v>971</v>
      </c>
      <c r="K113" t="s">
        <v>152</v>
      </c>
      <c r="L113" t="s">
        <v>320</v>
      </c>
      <c r="M113" t="s">
        <v>350</v>
      </c>
    </row>
    <row r="114" spans="1:13" x14ac:dyDescent="0.25">
      <c r="A114" t="s">
        <v>385</v>
      </c>
      <c r="B114" t="s">
        <v>1098</v>
      </c>
      <c r="C114" t="s">
        <v>634</v>
      </c>
      <c r="D114" t="s">
        <v>991</v>
      </c>
      <c r="E114" t="s">
        <v>1008</v>
      </c>
      <c r="F114" t="s">
        <v>1099</v>
      </c>
      <c r="G114">
        <v>0.5</v>
      </c>
      <c r="H114">
        <v>8</v>
      </c>
      <c r="I114" t="s">
        <v>412</v>
      </c>
      <c r="J114" t="s">
        <v>971</v>
      </c>
      <c r="K114" t="s">
        <v>133</v>
      </c>
      <c r="L114" t="s">
        <v>312</v>
      </c>
      <c r="M114" t="s">
        <v>30</v>
      </c>
    </row>
    <row r="115" spans="1:13" x14ac:dyDescent="0.25">
      <c r="A115" t="s">
        <v>385</v>
      </c>
      <c r="B115" t="s">
        <v>1098</v>
      </c>
      <c r="C115" t="s">
        <v>637</v>
      </c>
      <c r="D115" t="s">
        <v>991</v>
      </c>
      <c r="E115" t="s">
        <v>1008</v>
      </c>
      <c r="F115" t="s">
        <v>1100</v>
      </c>
      <c r="G115">
        <v>0.5</v>
      </c>
      <c r="H115" t="s">
        <v>1101</v>
      </c>
      <c r="I115" t="s">
        <v>412</v>
      </c>
      <c r="J115" t="s">
        <v>971</v>
      </c>
      <c r="K115" t="s">
        <v>133</v>
      </c>
      <c r="L115" t="s">
        <v>312</v>
      </c>
      <c r="M115" t="s">
        <v>30</v>
      </c>
    </row>
    <row r="116" spans="1:13" x14ac:dyDescent="0.25">
      <c r="A116" t="s">
        <v>319</v>
      </c>
      <c r="B116" t="s">
        <v>1102</v>
      </c>
      <c r="C116" t="s">
        <v>634</v>
      </c>
      <c r="D116" t="s">
        <v>968</v>
      </c>
      <c r="E116" t="s">
        <v>977</v>
      </c>
      <c r="F116" t="s">
        <v>989</v>
      </c>
      <c r="G116">
        <v>0.5</v>
      </c>
      <c r="H116">
        <v>6</v>
      </c>
      <c r="I116" t="s">
        <v>343</v>
      </c>
      <c r="J116" t="s">
        <v>971</v>
      </c>
      <c r="K116" t="s">
        <v>152</v>
      </c>
      <c r="L116" t="s">
        <v>320</v>
      </c>
      <c r="M116" t="s">
        <v>344</v>
      </c>
    </row>
    <row r="117" spans="1:13" x14ac:dyDescent="0.25">
      <c r="A117" t="s">
        <v>385</v>
      </c>
      <c r="B117" t="s">
        <v>1103</v>
      </c>
      <c r="C117" t="s">
        <v>634</v>
      </c>
      <c r="D117" t="s">
        <v>968</v>
      </c>
      <c r="E117" t="s">
        <v>977</v>
      </c>
      <c r="F117" t="s">
        <v>1104</v>
      </c>
      <c r="G117">
        <v>0.5</v>
      </c>
      <c r="H117">
        <v>8</v>
      </c>
      <c r="I117" t="s">
        <v>417</v>
      </c>
      <c r="J117" t="s">
        <v>971</v>
      </c>
      <c r="K117" t="s">
        <v>133</v>
      </c>
      <c r="L117" t="s">
        <v>312</v>
      </c>
      <c r="M117" t="s">
        <v>7</v>
      </c>
    </row>
    <row r="118" spans="1:13" x14ac:dyDescent="0.25">
      <c r="A118" t="s">
        <v>385</v>
      </c>
      <c r="B118" t="s">
        <v>1103</v>
      </c>
      <c r="C118" t="s">
        <v>637</v>
      </c>
      <c r="D118" t="s">
        <v>991</v>
      </c>
      <c r="E118" t="s">
        <v>980</v>
      </c>
      <c r="F118" t="s">
        <v>1105</v>
      </c>
      <c r="G118">
        <v>0.5</v>
      </c>
      <c r="H118">
        <v>17</v>
      </c>
      <c r="I118" t="s">
        <v>417</v>
      </c>
      <c r="J118" t="s">
        <v>971</v>
      </c>
      <c r="K118" t="s">
        <v>133</v>
      </c>
      <c r="L118" t="s">
        <v>312</v>
      </c>
      <c r="M118" t="s">
        <v>7</v>
      </c>
    </row>
    <row r="119" spans="1:13" x14ac:dyDescent="0.25">
      <c r="A119" t="s">
        <v>319</v>
      </c>
      <c r="B119" t="s">
        <v>1106</v>
      </c>
      <c r="C119" t="s">
        <v>634</v>
      </c>
      <c r="D119" t="s">
        <v>968</v>
      </c>
      <c r="E119" t="s">
        <v>977</v>
      </c>
      <c r="F119" t="s">
        <v>989</v>
      </c>
      <c r="G119">
        <v>0.5</v>
      </c>
      <c r="H119">
        <v>6</v>
      </c>
      <c r="I119" t="s">
        <v>341</v>
      </c>
      <c r="J119" t="s">
        <v>971</v>
      </c>
      <c r="K119" t="s">
        <v>133</v>
      </c>
      <c r="L119" t="s">
        <v>312</v>
      </c>
      <c r="M119" t="s">
        <v>34</v>
      </c>
    </row>
    <row r="120" spans="1:13" x14ac:dyDescent="0.25">
      <c r="A120" t="s">
        <v>319</v>
      </c>
      <c r="B120" t="s">
        <v>1106</v>
      </c>
      <c r="C120" t="s">
        <v>634</v>
      </c>
      <c r="D120" t="s">
        <v>968</v>
      </c>
      <c r="E120" t="s">
        <v>977</v>
      </c>
      <c r="F120" t="s">
        <v>989</v>
      </c>
      <c r="G120">
        <v>0.5</v>
      </c>
      <c r="H120">
        <v>6</v>
      </c>
      <c r="I120" t="s">
        <v>341</v>
      </c>
      <c r="J120" t="s">
        <v>971</v>
      </c>
      <c r="K120" t="s">
        <v>152</v>
      </c>
      <c r="L120" t="s">
        <v>320</v>
      </c>
      <c r="M120" t="s">
        <v>34</v>
      </c>
    </row>
    <row r="121" spans="1:13" x14ac:dyDescent="0.25">
      <c r="A121" t="s">
        <v>385</v>
      </c>
      <c r="B121" t="s">
        <v>1107</v>
      </c>
      <c r="C121" t="s">
        <v>634</v>
      </c>
      <c r="D121" t="s">
        <v>972</v>
      </c>
      <c r="E121" t="s">
        <v>1014</v>
      </c>
      <c r="F121" t="s">
        <v>1108</v>
      </c>
      <c r="G121">
        <v>0.5</v>
      </c>
      <c r="H121">
        <v>6</v>
      </c>
      <c r="I121" t="s">
        <v>387</v>
      </c>
      <c r="J121" t="s">
        <v>971</v>
      </c>
      <c r="K121" t="s">
        <v>233</v>
      </c>
      <c r="L121" t="s">
        <v>388</v>
      </c>
      <c r="M121" t="s">
        <v>241</v>
      </c>
    </row>
    <row r="122" spans="1:13" x14ac:dyDescent="0.25">
      <c r="A122" t="s">
        <v>385</v>
      </c>
      <c r="B122" t="s">
        <v>1107</v>
      </c>
      <c r="C122" t="s">
        <v>637</v>
      </c>
      <c r="D122" t="s">
        <v>972</v>
      </c>
      <c r="E122" t="s">
        <v>983</v>
      </c>
      <c r="F122" t="s">
        <v>1109</v>
      </c>
      <c r="G122">
        <v>0.5</v>
      </c>
      <c r="H122">
        <v>12</v>
      </c>
      <c r="I122" t="s">
        <v>387</v>
      </c>
      <c r="J122" t="s">
        <v>971</v>
      </c>
      <c r="K122" t="s">
        <v>233</v>
      </c>
      <c r="L122" t="s">
        <v>388</v>
      </c>
      <c r="M122" t="s">
        <v>241</v>
      </c>
    </row>
    <row r="123" spans="1:13" x14ac:dyDescent="0.25">
      <c r="A123" t="s">
        <v>385</v>
      </c>
      <c r="B123" t="s">
        <v>1110</v>
      </c>
      <c r="C123" t="s">
        <v>634</v>
      </c>
      <c r="D123" t="s">
        <v>968</v>
      </c>
      <c r="E123" t="s">
        <v>977</v>
      </c>
      <c r="F123" t="s">
        <v>1111</v>
      </c>
      <c r="G123">
        <v>0.4</v>
      </c>
      <c r="H123">
        <v>8</v>
      </c>
      <c r="I123" t="s">
        <v>390</v>
      </c>
      <c r="J123" t="s">
        <v>971</v>
      </c>
      <c r="K123" t="s">
        <v>233</v>
      </c>
      <c r="L123" t="s">
        <v>388</v>
      </c>
      <c r="M123" t="s">
        <v>391</v>
      </c>
    </row>
    <row r="124" spans="1:13" x14ac:dyDescent="0.25">
      <c r="A124" t="s">
        <v>385</v>
      </c>
      <c r="B124" t="s">
        <v>1110</v>
      </c>
      <c r="C124" t="s">
        <v>637</v>
      </c>
      <c r="D124" t="s">
        <v>968</v>
      </c>
      <c r="E124" t="s">
        <v>969</v>
      </c>
      <c r="F124" t="s">
        <v>1112</v>
      </c>
      <c r="G124">
        <v>0.6</v>
      </c>
      <c r="H124">
        <v>12</v>
      </c>
      <c r="I124" t="s">
        <v>390</v>
      </c>
      <c r="J124" t="s">
        <v>971</v>
      </c>
      <c r="K124" t="s">
        <v>233</v>
      </c>
      <c r="L124" t="s">
        <v>388</v>
      </c>
      <c r="M124" t="s">
        <v>391</v>
      </c>
    </row>
    <row r="125" spans="1:13" x14ac:dyDescent="0.25">
      <c r="A125" t="s">
        <v>351</v>
      </c>
      <c r="B125" t="s">
        <v>1113</v>
      </c>
      <c r="C125" t="s">
        <v>634</v>
      </c>
      <c r="D125" t="s">
        <v>972</v>
      </c>
      <c r="E125" t="s">
        <v>1114</v>
      </c>
      <c r="F125" t="s">
        <v>1115</v>
      </c>
      <c r="G125">
        <v>0.5</v>
      </c>
      <c r="H125">
        <v>12</v>
      </c>
      <c r="I125" t="s">
        <v>353</v>
      </c>
      <c r="J125" t="s">
        <v>971</v>
      </c>
      <c r="K125" t="s">
        <v>169</v>
      </c>
      <c r="L125" t="s">
        <v>354</v>
      </c>
      <c r="M125" t="s">
        <v>224</v>
      </c>
    </row>
    <row r="126" spans="1:13" x14ac:dyDescent="0.25">
      <c r="A126" t="s">
        <v>351</v>
      </c>
      <c r="B126" t="s">
        <v>1113</v>
      </c>
      <c r="C126" t="s">
        <v>637</v>
      </c>
      <c r="D126" t="s">
        <v>968</v>
      </c>
      <c r="E126" t="s">
        <v>1116</v>
      </c>
      <c r="F126" t="s">
        <v>1117</v>
      </c>
      <c r="G126">
        <v>0.5</v>
      </c>
      <c r="H126">
        <v>32</v>
      </c>
      <c r="I126" t="s">
        <v>353</v>
      </c>
      <c r="J126" t="s">
        <v>971</v>
      </c>
      <c r="K126" t="s">
        <v>169</v>
      </c>
      <c r="L126" t="s">
        <v>354</v>
      </c>
      <c r="M126" t="s">
        <v>224</v>
      </c>
    </row>
    <row r="127" spans="1:13" x14ac:dyDescent="0.25">
      <c r="A127" t="s">
        <v>351</v>
      </c>
      <c r="B127" t="s">
        <v>1118</v>
      </c>
      <c r="C127" t="s">
        <v>634</v>
      </c>
      <c r="D127" t="s">
        <v>968</v>
      </c>
      <c r="E127" t="s">
        <v>1119</v>
      </c>
      <c r="F127" t="s">
        <v>1120</v>
      </c>
      <c r="G127">
        <v>0.5</v>
      </c>
      <c r="H127">
        <v>8</v>
      </c>
      <c r="I127" t="s">
        <v>356</v>
      </c>
      <c r="J127" t="s">
        <v>971</v>
      </c>
      <c r="K127" t="s">
        <v>169</v>
      </c>
      <c r="L127" t="s">
        <v>354</v>
      </c>
      <c r="M127" t="s">
        <v>357</v>
      </c>
    </row>
    <row r="128" spans="1:13" x14ac:dyDescent="0.25">
      <c r="A128" t="s">
        <v>351</v>
      </c>
      <c r="B128" t="s">
        <v>1118</v>
      </c>
      <c r="C128" t="s">
        <v>637</v>
      </c>
      <c r="D128" t="s">
        <v>991</v>
      </c>
      <c r="E128" t="s">
        <v>1121</v>
      </c>
      <c r="G128">
        <v>0.5</v>
      </c>
      <c r="H128">
        <v>17</v>
      </c>
      <c r="I128" t="s">
        <v>356</v>
      </c>
      <c r="J128" t="s">
        <v>971</v>
      </c>
      <c r="K128" t="s">
        <v>169</v>
      </c>
      <c r="L128" t="s">
        <v>354</v>
      </c>
      <c r="M128" t="s">
        <v>357</v>
      </c>
    </row>
    <row r="129" spans="1:13" x14ac:dyDescent="0.25">
      <c r="A129" t="s">
        <v>351</v>
      </c>
      <c r="B129" t="s">
        <v>1122</v>
      </c>
      <c r="C129" t="s">
        <v>634</v>
      </c>
      <c r="D129" t="s">
        <v>991</v>
      </c>
      <c r="E129" t="s">
        <v>1123</v>
      </c>
      <c r="F129" t="s">
        <v>1124</v>
      </c>
      <c r="G129">
        <v>0.5</v>
      </c>
      <c r="H129">
        <v>25</v>
      </c>
      <c r="I129" t="s">
        <v>359</v>
      </c>
      <c r="J129" t="s">
        <v>971</v>
      </c>
      <c r="K129" t="s">
        <v>169</v>
      </c>
      <c r="L129" t="s">
        <v>354</v>
      </c>
      <c r="M129" t="s">
        <v>360</v>
      </c>
    </row>
    <row r="130" spans="1:13" x14ac:dyDescent="0.25">
      <c r="A130" t="s">
        <v>351</v>
      </c>
      <c r="B130" t="s">
        <v>1122</v>
      </c>
      <c r="C130" t="s">
        <v>637</v>
      </c>
      <c r="D130" t="s">
        <v>968</v>
      </c>
      <c r="E130" t="s">
        <v>1125</v>
      </c>
      <c r="F130" t="s">
        <v>1126</v>
      </c>
      <c r="G130">
        <v>0.5</v>
      </c>
      <c r="H130">
        <v>32</v>
      </c>
      <c r="I130" t="s">
        <v>359</v>
      </c>
      <c r="J130" t="s">
        <v>971</v>
      </c>
      <c r="K130" t="s">
        <v>169</v>
      </c>
      <c r="L130" t="s">
        <v>354</v>
      </c>
      <c r="M130" t="s">
        <v>360</v>
      </c>
    </row>
    <row r="131" spans="1:13" x14ac:dyDescent="0.25">
      <c r="A131" t="s">
        <v>351</v>
      </c>
      <c r="B131" t="s">
        <v>1127</v>
      </c>
      <c r="C131" t="s">
        <v>634</v>
      </c>
      <c r="D131" t="s">
        <v>979</v>
      </c>
      <c r="E131" t="s">
        <v>983</v>
      </c>
      <c r="F131" t="s">
        <v>1128</v>
      </c>
      <c r="G131">
        <v>0.5</v>
      </c>
      <c r="H131">
        <v>32</v>
      </c>
      <c r="I131" t="s">
        <v>362</v>
      </c>
      <c r="J131" t="s">
        <v>971</v>
      </c>
      <c r="K131" t="s">
        <v>169</v>
      </c>
      <c r="L131" t="s">
        <v>354</v>
      </c>
      <c r="M131" t="s">
        <v>213</v>
      </c>
    </row>
    <row r="132" spans="1:13" x14ac:dyDescent="0.25">
      <c r="A132" t="s">
        <v>351</v>
      </c>
      <c r="B132" t="s">
        <v>1127</v>
      </c>
      <c r="C132" t="s">
        <v>637</v>
      </c>
      <c r="D132" t="s">
        <v>991</v>
      </c>
      <c r="E132" t="s">
        <v>1008</v>
      </c>
      <c r="F132" t="s">
        <v>1129</v>
      </c>
      <c r="G132">
        <v>0.5</v>
      </c>
      <c r="H132">
        <v>33</v>
      </c>
      <c r="I132" t="s">
        <v>362</v>
      </c>
      <c r="J132" t="s">
        <v>971</v>
      </c>
      <c r="K132" t="s">
        <v>169</v>
      </c>
      <c r="L132" t="s">
        <v>354</v>
      </c>
      <c r="M132" t="s">
        <v>213</v>
      </c>
    </row>
    <row r="133" spans="1:13" x14ac:dyDescent="0.25">
      <c r="A133" t="s">
        <v>351</v>
      </c>
      <c r="B133" t="s">
        <v>1130</v>
      </c>
      <c r="C133" t="s">
        <v>634</v>
      </c>
      <c r="D133" t="s">
        <v>968</v>
      </c>
      <c r="E133" t="s">
        <v>969</v>
      </c>
      <c r="F133" t="s">
        <v>1131</v>
      </c>
      <c r="G133">
        <v>0.5</v>
      </c>
      <c r="H133">
        <v>8</v>
      </c>
      <c r="I133" t="s">
        <v>364</v>
      </c>
      <c r="J133" t="s">
        <v>971</v>
      </c>
      <c r="K133" t="s">
        <v>169</v>
      </c>
      <c r="L133" t="s">
        <v>354</v>
      </c>
      <c r="M133" t="s">
        <v>365</v>
      </c>
    </row>
    <row r="134" spans="1:13" x14ac:dyDescent="0.25">
      <c r="A134" t="s">
        <v>351</v>
      </c>
      <c r="B134" t="s">
        <v>1130</v>
      </c>
      <c r="C134" t="s">
        <v>637</v>
      </c>
      <c r="D134" t="s">
        <v>972</v>
      </c>
      <c r="E134" t="s">
        <v>969</v>
      </c>
      <c r="F134" t="s">
        <v>1132</v>
      </c>
      <c r="G134">
        <v>0.5</v>
      </c>
      <c r="H134">
        <v>32</v>
      </c>
      <c r="I134" t="s">
        <v>364</v>
      </c>
      <c r="J134" t="s">
        <v>971</v>
      </c>
      <c r="K134" t="s">
        <v>169</v>
      </c>
      <c r="L134" t="s">
        <v>354</v>
      </c>
      <c r="M134" t="s">
        <v>365</v>
      </c>
    </row>
    <row r="135" spans="1:13" x14ac:dyDescent="0.25">
      <c r="A135" t="s">
        <v>351</v>
      </c>
      <c r="B135" t="s">
        <v>1133</v>
      </c>
      <c r="C135" t="s">
        <v>634</v>
      </c>
      <c r="D135" t="s">
        <v>968</v>
      </c>
      <c r="E135" t="s">
        <v>977</v>
      </c>
      <c r="F135" t="s">
        <v>1134</v>
      </c>
      <c r="G135">
        <v>0.5</v>
      </c>
      <c r="H135">
        <v>8</v>
      </c>
      <c r="I135" t="s">
        <v>367</v>
      </c>
      <c r="J135" t="s">
        <v>971</v>
      </c>
      <c r="K135" t="s">
        <v>169</v>
      </c>
      <c r="L135" t="s">
        <v>354</v>
      </c>
      <c r="M135" t="s">
        <v>231</v>
      </c>
    </row>
    <row r="136" spans="1:13" x14ac:dyDescent="0.25">
      <c r="A136" t="s">
        <v>351</v>
      </c>
      <c r="B136" t="s">
        <v>1133</v>
      </c>
      <c r="C136" t="s">
        <v>637</v>
      </c>
      <c r="D136" t="s">
        <v>979</v>
      </c>
      <c r="E136" t="s">
        <v>1006</v>
      </c>
      <c r="F136" t="s">
        <v>1135</v>
      </c>
      <c r="G136">
        <v>0.5</v>
      </c>
      <c r="H136">
        <v>17</v>
      </c>
      <c r="I136" t="s">
        <v>367</v>
      </c>
      <c r="J136" t="s">
        <v>971</v>
      </c>
      <c r="K136" t="s">
        <v>169</v>
      </c>
      <c r="L136" t="s">
        <v>354</v>
      </c>
      <c r="M136" t="s">
        <v>231</v>
      </c>
    </row>
    <row r="137" spans="1:13" x14ac:dyDescent="0.25">
      <c r="A137" t="s">
        <v>351</v>
      </c>
      <c r="B137" t="s">
        <v>1136</v>
      </c>
      <c r="C137" t="s">
        <v>634</v>
      </c>
      <c r="D137" t="s">
        <v>979</v>
      </c>
      <c r="E137" t="s">
        <v>1006</v>
      </c>
      <c r="F137" t="s">
        <v>1137</v>
      </c>
      <c r="G137">
        <v>0.5</v>
      </c>
      <c r="H137">
        <v>8</v>
      </c>
      <c r="I137" t="s">
        <v>369</v>
      </c>
      <c r="J137" t="s">
        <v>971</v>
      </c>
      <c r="K137" t="s">
        <v>169</v>
      </c>
      <c r="L137" t="s">
        <v>354</v>
      </c>
      <c r="M137" t="s">
        <v>370</v>
      </c>
    </row>
    <row r="138" spans="1:13" x14ac:dyDescent="0.25">
      <c r="A138" t="s">
        <v>351</v>
      </c>
      <c r="B138" t="s">
        <v>1136</v>
      </c>
      <c r="C138" t="s">
        <v>637</v>
      </c>
      <c r="D138" t="s">
        <v>968</v>
      </c>
      <c r="E138" t="s">
        <v>969</v>
      </c>
      <c r="F138" t="s">
        <v>1138</v>
      </c>
      <c r="G138">
        <v>0.5</v>
      </c>
      <c r="H138">
        <v>12</v>
      </c>
      <c r="I138" t="s">
        <v>369</v>
      </c>
      <c r="J138" t="s">
        <v>971</v>
      </c>
      <c r="K138" t="s">
        <v>169</v>
      </c>
      <c r="L138" t="s">
        <v>354</v>
      </c>
      <c r="M138" t="s">
        <v>370</v>
      </c>
    </row>
    <row r="139" spans="1:13" x14ac:dyDescent="0.25">
      <c r="A139" t="s">
        <v>351</v>
      </c>
      <c r="B139" t="s">
        <v>1139</v>
      </c>
      <c r="C139" t="s">
        <v>634</v>
      </c>
      <c r="D139" t="s">
        <v>968</v>
      </c>
      <c r="E139" t="s">
        <v>969</v>
      </c>
      <c r="F139" t="s">
        <v>1140</v>
      </c>
      <c r="G139">
        <v>0.5</v>
      </c>
      <c r="H139">
        <v>25</v>
      </c>
      <c r="I139" t="s">
        <v>372</v>
      </c>
      <c r="J139" t="s">
        <v>971</v>
      </c>
      <c r="K139" t="s">
        <v>169</v>
      </c>
      <c r="L139" t="s">
        <v>354</v>
      </c>
      <c r="M139" t="s">
        <v>221</v>
      </c>
    </row>
    <row r="140" spans="1:13" x14ac:dyDescent="0.25">
      <c r="A140" t="s">
        <v>351</v>
      </c>
      <c r="B140" t="s">
        <v>1139</v>
      </c>
      <c r="C140" t="s">
        <v>637</v>
      </c>
      <c r="D140" t="s">
        <v>979</v>
      </c>
      <c r="E140" t="s">
        <v>983</v>
      </c>
      <c r="F140" t="s">
        <v>1141</v>
      </c>
      <c r="G140">
        <v>0.5</v>
      </c>
      <c r="H140">
        <v>32</v>
      </c>
      <c r="I140" t="s">
        <v>372</v>
      </c>
      <c r="J140" t="s">
        <v>971</v>
      </c>
      <c r="K140" t="s">
        <v>169</v>
      </c>
      <c r="L140" t="s">
        <v>354</v>
      </c>
      <c r="M140" t="s">
        <v>221</v>
      </c>
    </row>
    <row r="141" spans="1:13" x14ac:dyDescent="0.25">
      <c r="A141" t="s">
        <v>351</v>
      </c>
      <c r="B141" t="s">
        <v>1142</v>
      </c>
      <c r="C141" t="s">
        <v>634</v>
      </c>
      <c r="D141" t="s">
        <v>968</v>
      </c>
      <c r="E141" t="s">
        <v>977</v>
      </c>
      <c r="F141" t="s">
        <v>989</v>
      </c>
      <c r="G141">
        <v>0.5</v>
      </c>
      <c r="H141">
        <v>6</v>
      </c>
      <c r="I141" t="s">
        <v>374</v>
      </c>
      <c r="J141" t="s">
        <v>971</v>
      </c>
      <c r="K141" t="s">
        <v>169</v>
      </c>
      <c r="L141" t="s">
        <v>354</v>
      </c>
      <c r="M141" t="s">
        <v>219</v>
      </c>
    </row>
    <row r="142" spans="1:13" x14ac:dyDescent="0.25">
      <c r="A142" t="s">
        <v>351</v>
      </c>
      <c r="B142" t="s">
        <v>1143</v>
      </c>
      <c r="C142" t="s">
        <v>634</v>
      </c>
      <c r="D142" t="s">
        <v>991</v>
      </c>
      <c r="E142" t="s">
        <v>1008</v>
      </c>
      <c r="F142" t="s">
        <v>1144</v>
      </c>
      <c r="G142">
        <v>0.5</v>
      </c>
      <c r="H142">
        <v>17</v>
      </c>
      <c r="I142" t="s">
        <v>376</v>
      </c>
      <c r="J142" t="s">
        <v>971</v>
      </c>
      <c r="K142" t="s">
        <v>169</v>
      </c>
      <c r="L142" t="s">
        <v>354</v>
      </c>
      <c r="M142" t="s">
        <v>222</v>
      </c>
    </row>
    <row r="143" spans="1:13" x14ac:dyDescent="0.25">
      <c r="A143" t="s">
        <v>351</v>
      </c>
      <c r="B143" t="s">
        <v>1143</v>
      </c>
      <c r="C143" t="s">
        <v>637</v>
      </c>
      <c r="D143" t="s">
        <v>968</v>
      </c>
      <c r="E143" t="s">
        <v>969</v>
      </c>
      <c r="F143" t="s">
        <v>1145</v>
      </c>
      <c r="G143">
        <v>0.5</v>
      </c>
      <c r="H143">
        <v>12</v>
      </c>
      <c r="I143" t="s">
        <v>376</v>
      </c>
      <c r="J143" t="s">
        <v>971</v>
      </c>
      <c r="K143" t="s">
        <v>169</v>
      </c>
      <c r="L143" t="s">
        <v>354</v>
      </c>
      <c r="M143" t="s">
        <v>222</v>
      </c>
    </row>
    <row r="144" spans="1:13" x14ac:dyDescent="0.25">
      <c r="A144" t="s">
        <v>351</v>
      </c>
      <c r="B144" t="s">
        <v>1146</v>
      </c>
      <c r="C144" t="s">
        <v>634</v>
      </c>
      <c r="D144" t="s">
        <v>968</v>
      </c>
      <c r="E144" t="s">
        <v>977</v>
      </c>
      <c r="F144" t="s">
        <v>1147</v>
      </c>
      <c r="G144">
        <v>0.5</v>
      </c>
      <c r="H144">
        <v>22</v>
      </c>
      <c r="I144" t="s">
        <v>378</v>
      </c>
      <c r="J144" t="s">
        <v>971</v>
      </c>
      <c r="K144" t="s">
        <v>169</v>
      </c>
      <c r="L144" t="s">
        <v>354</v>
      </c>
      <c r="M144" t="s">
        <v>230</v>
      </c>
    </row>
    <row r="145" spans="1:13" x14ac:dyDescent="0.25">
      <c r="A145" t="s">
        <v>351</v>
      </c>
      <c r="B145" t="s">
        <v>1146</v>
      </c>
      <c r="C145" t="s">
        <v>637</v>
      </c>
      <c r="D145" t="s">
        <v>979</v>
      </c>
      <c r="E145" t="s">
        <v>980</v>
      </c>
      <c r="F145" t="s">
        <v>1148</v>
      </c>
      <c r="G145">
        <v>0.5</v>
      </c>
      <c r="H145">
        <v>32</v>
      </c>
      <c r="I145" t="s">
        <v>378</v>
      </c>
      <c r="J145" t="s">
        <v>971</v>
      </c>
      <c r="K145" t="s">
        <v>169</v>
      </c>
      <c r="L145" t="s">
        <v>354</v>
      </c>
      <c r="M145" t="s">
        <v>230</v>
      </c>
    </row>
    <row r="146" spans="1:13" x14ac:dyDescent="0.25">
      <c r="A146" t="s">
        <v>351</v>
      </c>
      <c r="B146" t="s">
        <v>1149</v>
      </c>
      <c r="C146" t="s">
        <v>634</v>
      </c>
      <c r="D146" t="s">
        <v>968</v>
      </c>
      <c r="E146" t="s">
        <v>977</v>
      </c>
      <c r="F146" t="s">
        <v>989</v>
      </c>
      <c r="G146">
        <v>0.5</v>
      </c>
      <c r="H146">
        <v>6</v>
      </c>
      <c r="I146" t="s">
        <v>380</v>
      </c>
      <c r="J146" t="s">
        <v>971</v>
      </c>
      <c r="K146" t="s">
        <v>169</v>
      </c>
      <c r="L146" t="s">
        <v>354</v>
      </c>
      <c r="M146" t="s">
        <v>381</v>
      </c>
    </row>
    <row r="147" spans="1:13" x14ac:dyDescent="0.25">
      <c r="A147" t="s">
        <v>351</v>
      </c>
      <c r="B147" t="s">
        <v>1150</v>
      </c>
      <c r="C147" t="s">
        <v>634</v>
      </c>
      <c r="D147" t="s">
        <v>968</v>
      </c>
      <c r="E147" t="s">
        <v>977</v>
      </c>
      <c r="F147" t="s">
        <v>989</v>
      </c>
      <c r="G147">
        <v>0.5</v>
      </c>
      <c r="H147">
        <v>6</v>
      </c>
      <c r="I147" t="s">
        <v>383</v>
      </c>
      <c r="J147" t="s">
        <v>971</v>
      </c>
      <c r="K147" t="s">
        <v>169</v>
      </c>
      <c r="L147" t="s">
        <v>354</v>
      </c>
      <c r="M147" t="s">
        <v>384</v>
      </c>
    </row>
    <row r="148" spans="1:13" x14ac:dyDescent="0.25">
      <c r="A148" t="s">
        <v>385</v>
      </c>
      <c r="B148" t="s">
        <v>1151</v>
      </c>
      <c r="C148" t="s">
        <v>634</v>
      </c>
      <c r="D148" t="s">
        <v>968</v>
      </c>
      <c r="E148" t="s">
        <v>977</v>
      </c>
      <c r="F148" t="s">
        <v>1152</v>
      </c>
      <c r="G148">
        <v>0.5</v>
      </c>
      <c r="H148">
        <v>6</v>
      </c>
      <c r="I148" t="s">
        <v>393</v>
      </c>
      <c r="J148" t="s">
        <v>971</v>
      </c>
      <c r="K148" t="s">
        <v>233</v>
      </c>
      <c r="L148" t="s">
        <v>388</v>
      </c>
      <c r="M148" t="s">
        <v>394</v>
      </c>
    </row>
    <row r="149" spans="1:13" x14ac:dyDescent="0.25">
      <c r="A149" t="s">
        <v>385</v>
      </c>
      <c r="B149" t="s">
        <v>1151</v>
      </c>
      <c r="C149" t="s">
        <v>637</v>
      </c>
      <c r="D149" t="s">
        <v>979</v>
      </c>
      <c r="E149" t="s">
        <v>980</v>
      </c>
      <c r="F149" t="s">
        <v>1153</v>
      </c>
      <c r="G149">
        <v>0.5</v>
      </c>
      <c r="H149">
        <v>12</v>
      </c>
      <c r="I149" t="s">
        <v>393</v>
      </c>
      <c r="J149" t="s">
        <v>971</v>
      </c>
      <c r="K149" t="s">
        <v>233</v>
      </c>
      <c r="L149" t="s">
        <v>388</v>
      </c>
      <c r="M149" t="s">
        <v>394</v>
      </c>
    </row>
    <row r="150" spans="1:13" x14ac:dyDescent="0.25">
      <c r="A150" t="s">
        <v>385</v>
      </c>
      <c r="B150" t="s">
        <v>1154</v>
      </c>
      <c r="C150" t="s">
        <v>634</v>
      </c>
      <c r="D150" t="s">
        <v>972</v>
      </c>
      <c r="E150" t="s">
        <v>992</v>
      </c>
      <c r="F150" t="s">
        <v>1155</v>
      </c>
      <c r="G150">
        <v>0.5</v>
      </c>
      <c r="H150">
        <v>6</v>
      </c>
      <c r="I150" t="s">
        <v>396</v>
      </c>
      <c r="J150" t="s">
        <v>971</v>
      </c>
      <c r="K150" t="s">
        <v>233</v>
      </c>
      <c r="L150" t="s">
        <v>388</v>
      </c>
      <c r="M150" t="s">
        <v>397</v>
      </c>
    </row>
    <row r="151" spans="1:13" x14ac:dyDescent="0.25">
      <c r="A151" t="s">
        <v>385</v>
      </c>
      <c r="B151" t="s">
        <v>1154</v>
      </c>
      <c r="C151" t="s">
        <v>637</v>
      </c>
      <c r="D151" t="s">
        <v>979</v>
      </c>
      <c r="E151" t="s">
        <v>1156</v>
      </c>
      <c r="F151" t="s">
        <v>1157</v>
      </c>
      <c r="G151">
        <v>0.5</v>
      </c>
      <c r="H151">
        <v>12</v>
      </c>
      <c r="I151" t="s">
        <v>396</v>
      </c>
      <c r="J151" t="s">
        <v>971</v>
      </c>
      <c r="K151" t="s">
        <v>233</v>
      </c>
      <c r="L151" t="s">
        <v>388</v>
      </c>
      <c r="M151" t="s">
        <v>397</v>
      </c>
    </row>
    <row r="152" spans="1:13" x14ac:dyDescent="0.25">
      <c r="A152" t="s">
        <v>385</v>
      </c>
      <c r="B152" t="s">
        <v>1018</v>
      </c>
      <c r="C152" t="s">
        <v>634</v>
      </c>
      <c r="D152" t="s">
        <v>991</v>
      </c>
      <c r="E152" t="s">
        <v>1008</v>
      </c>
      <c r="F152" t="s">
        <v>1019</v>
      </c>
      <c r="G152">
        <v>0.5</v>
      </c>
      <c r="H152" t="s">
        <v>1020</v>
      </c>
      <c r="I152" t="s">
        <v>399</v>
      </c>
      <c r="J152" t="s">
        <v>971</v>
      </c>
      <c r="K152" t="s">
        <v>233</v>
      </c>
      <c r="L152" t="s">
        <v>388</v>
      </c>
      <c r="M152" t="s">
        <v>26</v>
      </c>
    </row>
    <row r="153" spans="1:13" x14ac:dyDescent="0.25">
      <c r="A153" t="s">
        <v>385</v>
      </c>
      <c r="B153" t="s">
        <v>1018</v>
      </c>
      <c r="C153" t="s">
        <v>637</v>
      </c>
      <c r="D153" t="s">
        <v>991</v>
      </c>
      <c r="E153" t="s">
        <v>1008</v>
      </c>
      <c r="F153" t="s">
        <v>1021</v>
      </c>
      <c r="G153">
        <v>0.5</v>
      </c>
      <c r="H153" t="s">
        <v>1022</v>
      </c>
      <c r="I153" t="s">
        <v>399</v>
      </c>
      <c r="J153" t="s">
        <v>971</v>
      </c>
      <c r="K153" t="s">
        <v>233</v>
      </c>
      <c r="L153" t="s">
        <v>388</v>
      </c>
      <c r="M153" t="s">
        <v>26</v>
      </c>
    </row>
    <row r="154" spans="1:13" x14ac:dyDescent="0.25">
      <c r="A154" t="s">
        <v>385</v>
      </c>
      <c r="B154" t="s">
        <v>1158</v>
      </c>
      <c r="C154" t="s">
        <v>634</v>
      </c>
      <c r="D154" t="s">
        <v>968</v>
      </c>
      <c r="E154" t="s">
        <v>977</v>
      </c>
      <c r="F154" t="s">
        <v>1159</v>
      </c>
      <c r="G154">
        <v>0.4</v>
      </c>
      <c r="H154">
        <v>6</v>
      </c>
      <c r="I154" t="s">
        <v>401</v>
      </c>
      <c r="J154" t="s">
        <v>971</v>
      </c>
      <c r="K154" t="s">
        <v>233</v>
      </c>
      <c r="L154" t="s">
        <v>388</v>
      </c>
      <c r="M154" t="s">
        <v>402</v>
      </c>
    </row>
    <row r="155" spans="1:13" x14ac:dyDescent="0.25">
      <c r="A155" t="s">
        <v>385</v>
      </c>
      <c r="B155" t="s">
        <v>1158</v>
      </c>
      <c r="C155" t="s">
        <v>637</v>
      </c>
      <c r="D155" t="s">
        <v>979</v>
      </c>
      <c r="E155" t="s">
        <v>983</v>
      </c>
      <c r="F155" t="s">
        <v>1160</v>
      </c>
      <c r="G155" t="s">
        <v>1161</v>
      </c>
      <c r="H155">
        <v>12</v>
      </c>
      <c r="I155" t="s">
        <v>401</v>
      </c>
      <c r="J155" t="s">
        <v>971</v>
      </c>
      <c r="K155" t="s">
        <v>233</v>
      </c>
      <c r="L155" t="s">
        <v>388</v>
      </c>
      <c r="M155" t="s">
        <v>402</v>
      </c>
    </row>
    <row r="156" spans="1:13" x14ac:dyDescent="0.25">
      <c r="A156" t="s">
        <v>385</v>
      </c>
      <c r="B156" t="s">
        <v>1162</v>
      </c>
      <c r="C156" t="s">
        <v>634</v>
      </c>
      <c r="D156" t="s">
        <v>968</v>
      </c>
      <c r="E156" t="s">
        <v>977</v>
      </c>
      <c r="F156" t="s">
        <v>1163</v>
      </c>
      <c r="G156">
        <v>0.5</v>
      </c>
      <c r="H156">
        <v>8</v>
      </c>
      <c r="I156" t="s">
        <v>404</v>
      </c>
      <c r="J156" t="s">
        <v>971</v>
      </c>
      <c r="K156" t="s">
        <v>233</v>
      </c>
      <c r="L156" t="s">
        <v>388</v>
      </c>
      <c r="M156" t="s">
        <v>238</v>
      </c>
    </row>
    <row r="157" spans="1:13" x14ac:dyDescent="0.25">
      <c r="A157" t="s">
        <v>385</v>
      </c>
      <c r="B157" t="s">
        <v>1162</v>
      </c>
      <c r="C157" t="s">
        <v>637</v>
      </c>
      <c r="D157" t="s">
        <v>968</v>
      </c>
      <c r="E157" t="s">
        <v>973</v>
      </c>
      <c r="F157" t="s">
        <v>1164</v>
      </c>
      <c r="G157">
        <v>0.5</v>
      </c>
      <c r="H157">
        <v>12</v>
      </c>
      <c r="I157" t="s">
        <v>404</v>
      </c>
      <c r="J157" t="s">
        <v>971</v>
      </c>
      <c r="K157" t="s">
        <v>233</v>
      </c>
      <c r="L157" t="s">
        <v>388</v>
      </c>
      <c r="M157" t="s">
        <v>238</v>
      </c>
    </row>
    <row r="158" spans="1:13" x14ac:dyDescent="0.25">
      <c r="A158" t="s">
        <v>385</v>
      </c>
      <c r="B158" t="s">
        <v>1165</v>
      </c>
      <c r="C158" t="s">
        <v>634</v>
      </c>
      <c r="D158" t="s">
        <v>979</v>
      </c>
      <c r="E158" t="s">
        <v>1006</v>
      </c>
      <c r="F158" t="s">
        <v>1166</v>
      </c>
      <c r="G158">
        <v>0.6</v>
      </c>
      <c r="H158">
        <v>6</v>
      </c>
      <c r="I158" t="s">
        <v>406</v>
      </c>
      <c r="J158" t="s">
        <v>971</v>
      </c>
      <c r="K158" t="s">
        <v>233</v>
      </c>
      <c r="L158" t="s">
        <v>388</v>
      </c>
      <c r="M158" t="s">
        <v>407</v>
      </c>
    </row>
    <row r="159" spans="1:13" x14ac:dyDescent="0.25">
      <c r="A159" t="s">
        <v>385</v>
      </c>
      <c r="B159" t="s">
        <v>1165</v>
      </c>
      <c r="C159" t="s">
        <v>637</v>
      </c>
      <c r="D159" t="s">
        <v>968</v>
      </c>
      <c r="E159" t="s">
        <v>977</v>
      </c>
      <c r="F159" t="s">
        <v>1167</v>
      </c>
      <c r="G159">
        <v>0.4</v>
      </c>
      <c r="H159">
        <v>12</v>
      </c>
      <c r="I159" t="s">
        <v>406</v>
      </c>
      <c r="J159" t="s">
        <v>971</v>
      </c>
      <c r="K159" t="s">
        <v>233</v>
      </c>
      <c r="L159" t="s">
        <v>388</v>
      </c>
      <c r="M159" t="s">
        <v>407</v>
      </c>
    </row>
    <row r="160" spans="1:13" x14ac:dyDescent="0.25">
      <c r="A160" t="s">
        <v>385</v>
      </c>
      <c r="B160" t="s">
        <v>1168</v>
      </c>
      <c r="C160" t="s">
        <v>634</v>
      </c>
      <c r="D160" t="s">
        <v>979</v>
      </c>
      <c r="E160" t="s">
        <v>1156</v>
      </c>
      <c r="F160" t="s">
        <v>1169</v>
      </c>
      <c r="G160">
        <v>0.4</v>
      </c>
      <c r="H160">
        <v>8</v>
      </c>
      <c r="I160" t="s">
        <v>409</v>
      </c>
      <c r="J160" t="s">
        <v>971</v>
      </c>
      <c r="K160" t="s">
        <v>233</v>
      </c>
      <c r="L160" t="s">
        <v>388</v>
      </c>
      <c r="M160" t="s">
        <v>410</v>
      </c>
    </row>
    <row r="161" spans="1:13" x14ac:dyDescent="0.25">
      <c r="A161" t="s">
        <v>385</v>
      </c>
      <c r="B161" t="s">
        <v>1168</v>
      </c>
      <c r="C161" t="s">
        <v>637</v>
      </c>
      <c r="D161" t="s">
        <v>991</v>
      </c>
      <c r="E161" t="s">
        <v>980</v>
      </c>
      <c r="F161" t="s">
        <v>1170</v>
      </c>
      <c r="G161">
        <v>0.6</v>
      </c>
      <c r="H161" t="s">
        <v>1171</v>
      </c>
      <c r="I161" t="s">
        <v>409</v>
      </c>
      <c r="J161" t="s">
        <v>971</v>
      </c>
      <c r="K161" t="s">
        <v>233</v>
      </c>
      <c r="L161" t="s">
        <v>388</v>
      </c>
      <c r="M161" t="s">
        <v>410</v>
      </c>
    </row>
    <row r="162" spans="1:13" x14ac:dyDescent="0.25">
      <c r="A162" t="s">
        <v>385</v>
      </c>
      <c r="B162" t="s">
        <v>1098</v>
      </c>
      <c r="C162" t="s">
        <v>634</v>
      </c>
      <c r="D162" t="s">
        <v>991</v>
      </c>
      <c r="E162" t="s">
        <v>1008</v>
      </c>
      <c r="F162" t="s">
        <v>1099</v>
      </c>
      <c r="G162">
        <v>0.5</v>
      </c>
      <c r="H162">
        <v>8</v>
      </c>
      <c r="I162" t="s">
        <v>412</v>
      </c>
      <c r="J162" t="s">
        <v>971</v>
      </c>
      <c r="K162" t="s">
        <v>233</v>
      </c>
      <c r="L162" t="s">
        <v>388</v>
      </c>
      <c r="M162" t="s">
        <v>30</v>
      </c>
    </row>
    <row r="163" spans="1:13" x14ac:dyDescent="0.25">
      <c r="A163" t="s">
        <v>385</v>
      </c>
      <c r="B163" t="s">
        <v>1098</v>
      </c>
      <c r="C163" t="s">
        <v>637</v>
      </c>
      <c r="D163" t="s">
        <v>991</v>
      </c>
      <c r="E163" t="s">
        <v>1008</v>
      </c>
      <c r="F163" t="s">
        <v>1100</v>
      </c>
      <c r="G163">
        <v>0.5</v>
      </c>
      <c r="H163" t="s">
        <v>1101</v>
      </c>
      <c r="I163" t="s">
        <v>412</v>
      </c>
      <c r="J163" t="s">
        <v>971</v>
      </c>
      <c r="K163" t="s">
        <v>233</v>
      </c>
      <c r="L163" t="s">
        <v>388</v>
      </c>
      <c r="M163" t="s">
        <v>30</v>
      </c>
    </row>
    <row r="164" spans="1:13" x14ac:dyDescent="0.25">
      <c r="A164" t="s">
        <v>385</v>
      </c>
      <c r="B164" t="s">
        <v>1172</v>
      </c>
      <c r="C164" t="s">
        <v>634</v>
      </c>
      <c r="D164" t="s">
        <v>968</v>
      </c>
      <c r="E164" t="s">
        <v>977</v>
      </c>
      <c r="F164" t="s">
        <v>1173</v>
      </c>
      <c r="G164">
        <v>0.4</v>
      </c>
      <c r="H164">
        <v>12</v>
      </c>
      <c r="I164" t="s">
        <v>414</v>
      </c>
      <c r="J164" t="s">
        <v>971</v>
      </c>
      <c r="K164" t="s">
        <v>233</v>
      </c>
      <c r="L164" t="s">
        <v>388</v>
      </c>
      <c r="M164" t="s">
        <v>415</v>
      </c>
    </row>
    <row r="165" spans="1:13" x14ac:dyDescent="0.25">
      <c r="A165" t="s">
        <v>385</v>
      </c>
      <c r="B165" t="s">
        <v>1172</v>
      </c>
      <c r="C165" t="s">
        <v>637</v>
      </c>
      <c r="D165" t="s">
        <v>968</v>
      </c>
      <c r="E165" t="s">
        <v>973</v>
      </c>
      <c r="F165" t="s">
        <v>1174</v>
      </c>
      <c r="G165">
        <v>0.8</v>
      </c>
      <c r="H165">
        <v>12</v>
      </c>
      <c r="I165" t="s">
        <v>414</v>
      </c>
      <c r="J165" t="s">
        <v>971</v>
      </c>
      <c r="K165" t="s">
        <v>233</v>
      </c>
      <c r="L165" t="s">
        <v>388</v>
      </c>
      <c r="M165" t="s">
        <v>415</v>
      </c>
    </row>
    <row r="166" spans="1:13" x14ac:dyDescent="0.25">
      <c r="A166" t="s">
        <v>385</v>
      </c>
      <c r="B166" t="s">
        <v>1103</v>
      </c>
      <c r="C166" t="s">
        <v>634</v>
      </c>
      <c r="D166" t="s">
        <v>968</v>
      </c>
      <c r="E166" t="s">
        <v>977</v>
      </c>
      <c r="F166" t="s">
        <v>1104</v>
      </c>
      <c r="G166">
        <v>0.5</v>
      </c>
      <c r="H166">
        <v>8</v>
      </c>
      <c r="I166" t="s">
        <v>417</v>
      </c>
      <c r="J166" t="s">
        <v>971</v>
      </c>
      <c r="K166" t="s">
        <v>233</v>
      </c>
      <c r="L166" t="s">
        <v>388</v>
      </c>
      <c r="M166" t="s">
        <v>7</v>
      </c>
    </row>
    <row r="167" spans="1:13" x14ac:dyDescent="0.25">
      <c r="A167" t="s">
        <v>385</v>
      </c>
      <c r="B167" t="s">
        <v>1103</v>
      </c>
      <c r="C167" t="s">
        <v>637</v>
      </c>
      <c r="D167" t="s">
        <v>991</v>
      </c>
      <c r="E167" t="s">
        <v>980</v>
      </c>
      <c r="F167" t="s">
        <v>1105</v>
      </c>
      <c r="G167">
        <v>0.5</v>
      </c>
      <c r="H167">
        <v>17</v>
      </c>
      <c r="I167" t="s">
        <v>417</v>
      </c>
      <c r="J167" t="s">
        <v>971</v>
      </c>
      <c r="K167" t="s">
        <v>233</v>
      </c>
      <c r="L167" t="s">
        <v>388</v>
      </c>
      <c r="M167" t="s">
        <v>7</v>
      </c>
    </row>
    <row r="168" spans="1:13" x14ac:dyDescent="0.25">
      <c r="A168" t="s">
        <v>385</v>
      </c>
      <c r="B168" t="s">
        <v>1175</v>
      </c>
      <c r="C168" t="s">
        <v>634</v>
      </c>
      <c r="D168" t="s">
        <v>979</v>
      </c>
      <c r="E168" t="s">
        <v>983</v>
      </c>
      <c r="F168" t="s">
        <v>1176</v>
      </c>
      <c r="G168">
        <v>0.5</v>
      </c>
      <c r="H168">
        <v>6</v>
      </c>
      <c r="I168" t="s">
        <v>419</v>
      </c>
      <c r="J168" t="s">
        <v>971</v>
      </c>
      <c r="K168" t="s">
        <v>233</v>
      </c>
      <c r="L168" t="s">
        <v>388</v>
      </c>
      <c r="M168" t="s">
        <v>245</v>
      </c>
    </row>
    <row r="169" spans="1:13" x14ac:dyDescent="0.25">
      <c r="A169" t="s">
        <v>385</v>
      </c>
      <c r="B169" t="s">
        <v>1175</v>
      </c>
      <c r="C169" t="s">
        <v>637</v>
      </c>
      <c r="D169" t="s">
        <v>991</v>
      </c>
      <c r="E169" t="s">
        <v>1008</v>
      </c>
      <c r="F169" t="s">
        <v>1177</v>
      </c>
      <c r="G169">
        <v>0.5</v>
      </c>
      <c r="H169" t="s">
        <v>1178</v>
      </c>
      <c r="I169" t="s">
        <v>419</v>
      </c>
      <c r="J169" t="s">
        <v>971</v>
      </c>
      <c r="K169" t="s">
        <v>233</v>
      </c>
      <c r="L169" t="s">
        <v>388</v>
      </c>
      <c r="M169" t="s">
        <v>245</v>
      </c>
    </row>
    <row r="170" spans="1:13" x14ac:dyDescent="0.25">
      <c r="A170" t="s">
        <v>385</v>
      </c>
      <c r="B170" t="s">
        <v>1179</v>
      </c>
      <c r="C170" t="s">
        <v>634</v>
      </c>
      <c r="D170" t="s">
        <v>972</v>
      </c>
      <c r="F170" t="s">
        <v>989</v>
      </c>
      <c r="G170">
        <v>0.4</v>
      </c>
      <c r="H170">
        <v>12</v>
      </c>
      <c r="I170" t="s">
        <v>421</v>
      </c>
      <c r="J170" t="s">
        <v>971</v>
      </c>
      <c r="K170" t="s">
        <v>233</v>
      </c>
      <c r="L170" t="s">
        <v>388</v>
      </c>
      <c r="M170" t="s">
        <v>253</v>
      </c>
    </row>
    <row r="171" spans="1:13" x14ac:dyDescent="0.25">
      <c r="A171" t="s">
        <v>385</v>
      </c>
      <c r="B171" t="s">
        <v>1179</v>
      </c>
      <c r="C171" t="s">
        <v>637</v>
      </c>
      <c r="D171" t="s">
        <v>979</v>
      </c>
      <c r="E171" t="s">
        <v>980</v>
      </c>
      <c r="F171" t="s">
        <v>1180</v>
      </c>
      <c r="G171">
        <v>0.6</v>
      </c>
      <c r="H171">
        <v>12</v>
      </c>
      <c r="I171" t="s">
        <v>421</v>
      </c>
      <c r="J171" t="s">
        <v>971</v>
      </c>
      <c r="K171" t="s">
        <v>233</v>
      </c>
      <c r="L171" t="s">
        <v>388</v>
      </c>
      <c r="M171" t="s">
        <v>253</v>
      </c>
    </row>
    <row r="172" spans="1:13" x14ac:dyDescent="0.25">
      <c r="A172" t="s">
        <v>422</v>
      </c>
      <c r="B172" t="s">
        <v>1038</v>
      </c>
      <c r="C172" t="s">
        <v>634</v>
      </c>
      <c r="D172" t="s">
        <v>979</v>
      </c>
      <c r="E172" t="s">
        <v>1039</v>
      </c>
      <c r="F172" t="s">
        <v>1040</v>
      </c>
      <c r="G172">
        <v>0.6</v>
      </c>
      <c r="H172">
        <v>28</v>
      </c>
      <c r="I172" t="s">
        <v>444</v>
      </c>
      <c r="J172" t="s">
        <v>971</v>
      </c>
      <c r="K172" t="s">
        <v>233</v>
      </c>
      <c r="L172" t="s">
        <v>388</v>
      </c>
      <c r="M172" t="s">
        <v>19</v>
      </c>
    </row>
    <row r="173" spans="1:13" x14ac:dyDescent="0.25">
      <c r="A173" t="s">
        <v>422</v>
      </c>
      <c r="B173" t="s">
        <v>1038</v>
      </c>
      <c r="C173" t="s">
        <v>637</v>
      </c>
      <c r="D173" t="s">
        <v>968</v>
      </c>
      <c r="E173" t="s">
        <v>969</v>
      </c>
      <c r="F173" t="s">
        <v>1041</v>
      </c>
      <c r="G173">
        <v>0.4</v>
      </c>
      <c r="H173">
        <v>28</v>
      </c>
      <c r="I173" t="s">
        <v>444</v>
      </c>
      <c r="J173" t="s">
        <v>971</v>
      </c>
      <c r="K173" t="s">
        <v>233</v>
      </c>
      <c r="L173" t="s">
        <v>388</v>
      </c>
      <c r="M173" t="s">
        <v>19</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B0003-E68F-4E76-8679-21E46B6A34F4}">
  <dimension ref="A1:I857"/>
  <sheetViews>
    <sheetView workbookViewId="0">
      <selection activeCell="D35" sqref="D35"/>
    </sheetView>
  </sheetViews>
  <sheetFormatPr defaultColWidth="8.85546875" defaultRowHeight="15" x14ac:dyDescent="0.25"/>
  <cols>
    <col min="1" max="1" width="49" bestFit="1" customWidth="1"/>
    <col min="2" max="2" width="14" bestFit="1" customWidth="1"/>
    <col min="3" max="3" width="14.5703125" bestFit="1" customWidth="1"/>
    <col min="4" max="4" width="65.5703125" bestFit="1" customWidth="1"/>
    <col min="5" max="5" width="14.85546875" bestFit="1" customWidth="1"/>
    <col min="6" max="6" width="12.7109375" bestFit="1" customWidth="1"/>
    <col min="7" max="7" width="24.5703125" bestFit="1" customWidth="1"/>
    <col min="8" max="8" width="12.140625" bestFit="1" customWidth="1"/>
    <col min="9" max="9" width="65.5703125" bestFit="1" customWidth="1"/>
  </cols>
  <sheetData>
    <row r="1" spans="1:9" x14ac:dyDescent="0.25">
      <c r="A1" t="s">
        <v>255</v>
      </c>
      <c r="B1" t="s">
        <v>256</v>
      </c>
      <c r="C1" t="s">
        <v>1181</v>
      </c>
      <c r="D1" t="s">
        <v>1182</v>
      </c>
      <c r="E1" t="s">
        <v>257</v>
      </c>
      <c r="F1" t="s">
        <v>258</v>
      </c>
      <c r="G1" t="s">
        <v>36</v>
      </c>
      <c r="H1" t="s">
        <v>259</v>
      </c>
      <c r="I1" t="s">
        <v>260</v>
      </c>
    </row>
    <row r="2" spans="1:9" x14ac:dyDescent="0.25">
      <c r="A2" t="s">
        <v>267</v>
      </c>
      <c r="B2" t="s">
        <v>476</v>
      </c>
      <c r="C2" t="s">
        <v>469</v>
      </c>
      <c r="D2" t="s">
        <v>269</v>
      </c>
      <c r="E2" t="s">
        <v>269</v>
      </c>
      <c r="F2" t="s">
        <v>477</v>
      </c>
      <c r="G2" t="s">
        <v>42</v>
      </c>
      <c r="H2" t="s">
        <v>271</v>
      </c>
      <c r="I2" t="s">
        <v>65</v>
      </c>
    </row>
    <row r="3" spans="1:9" x14ac:dyDescent="0.25">
      <c r="A3" t="s">
        <v>267</v>
      </c>
      <c r="B3" t="s">
        <v>476</v>
      </c>
      <c r="C3" t="s">
        <v>20</v>
      </c>
      <c r="D3" t="s">
        <v>65</v>
      </c>
      <c r="E3" t="s">
        <v>269</v>
      </c>
      <c r="F3" t="s">
        <v>477</v>
      </c>
      <c r="G3" t="s">
        <v>42</v>
      </c>
      <c r="H3" t="s">
        <v>271</v>
      </c>
      <c r="I3" t="s">
        <v>65</v>
      </c>
    </row>
    <row r="4" spans="1:9" x14ac:dyDescent="0.25">
      <c r="A4" t="s">
        <v>267</v>
      </c>
      <c r="B4" t="s">
        <v>476</v>
      </c>
      <c r="C4" t="s">
        <v>470</v>
      </c>
      <c r="D4">
        <v>20</v>
      </c>
      <c r="E4" t="s">
        <v>269</v>
      </c>
      <c r="F4" t="s">
        <v>477</v>
      </c>
      <c r="G4" t="s">
        <v>42</v>
      </c>
      <c r="H4" t="s">
        <v>271</v>
      </c>
      <c r="I4" t="s">
        <v>65</v>
      </c>
    </row>
    <row r="5" spans="1:9" x14ac:dyDescent="0.25">
      <c r="A5" t="s">
        <v>267</v>
      </c>
      <c r="B5" t="s">
        <v>476</v>
      </c>
      <c r="C5" t="s">
        <v>471</v>
      </c>
      <c r="D5">
        <v>1</v>
      </c>
      <c r="E5" t="s">
        <v>269</v>
      </c>
      <c r="F5" t="s">
        <v>477</v>
      </c>
      <c r="G5" t="s">
        <v>42</v>
      </c>
      <c r="H5" t="s">
        <v>271</v>
      </c>
      <c r="I5" t="s">
        <v>65</v>
      </c>
    </row>
    <row r="6" spans="1:9" x14ac:dyDescent="0.25">
      <c r="A6" t="s">
        <v>267</v>
      </c>
      <c r="B6" t="s">
        <v>476</v>
      </c>
      <c r="C6" t="s">
        <v>472</v>
      </c>
      <c r="D6">
        <v>4</v>
      </c>
      <c r="E6" t="s">
        <v>269</v>
      </c>
      <c r="F6" t="s">
        <v>477</v>
      </c>
      <c r="G6" t="s">
        <v>42</v>
      </c>
      <c r="H6" t="s">
        <v>271</v>
      </c>
      <c r="I6" t="s">
        <v>65</v>
      </c>
    </row>
    <row r="7" spans="1:9" x14ac:dyDescent="0.25">
      <c r="A7" t="s">
        <v>267</v>
      </c>
      <c r="B7" t="s">
        <v>476</v>
      </c>
      <c r="C7" t="s">
        <v>473</v>
      </c>
      <c r="D7" t="s">
        <v>478</v>
      </c>
      <c r="E7" t="s">
        <v>269</v>
      </c>
      <c r="F7" t="s">
        <v>477</v>
      </c>
      <c r="G7" t="s">
        <v>42</v>
      </c>
      <c r="H7" t="s">
        <v>271</v>
      </c>
      <c r="I7" t="s">
        <v>65</v>
      </c>
    </row>
    <row r="8" spans="1:9" x14ac:dyDescent="0.25">
      <c r="A8" t="s">
        <v>267</v>
      </c>
      <c r="B8" t="s">
        <v>476</v>
      </c>
      <c r="C8" t="s">
        <v>474</v>
      </c>
      <c r="D8" t="s">
        <v>479</v>
      </c>
      <c r="E8" t="s">
        <v>269</v>
      </c>
      <c r="F8" t="s">
        <v>477</v>
      </c>
      <c r="G8" t="s">
        <v>42</v>
      </c>
      <c r="H8" t="s">
        <v>271</v>
      </c>
      <c r="I8" t="s">
        <v>65</v>
      </c>
    </row>
    <row r="9" spans="1:9" x14ac:dyDescent="0.25">
      <c r="A9" t="s">
        <v>267</v>
      </c>
      <c r="B9" t="s">
        <v>476</v>
      </c>
      <c r="C9" t="s">
        <v>475</v>
      </c>
      <c r="D9" t="s">
        <v>42</v>
      </c>
      <c r="E9" t="s">
        <v>269</v>
      </c>
      <c r="F9" t="s">
        <v>477</v>
      </c>
      <c r="G9" t="s">
        <v>42</v>
      </c>
      <c r="H9" t="s">
        <v>271</v>
      </c>
      <c r="I9" t="s">
        <v>65</v>
      </c>
    </row>
    <row r="10" spans="1:9" x14ac:dyDescent="0.25">
      <c r="A10" t="s">
        <v>267</v>
      </c>
      <c r="B10" t="s">
        <v>480</v>
      </c>
      <c r="C10" t="s">
        <v>469</v>
      </c>
      <c r="D10" t="s">
        <v>273</v>
      </c>
      <c r="E10" t="s">
        <v>273</v>
      </c>
      <c r="F10" t="s">
        <v>477</v>
      </c>
      <c r="G10" t="s">
        <v>42</v>
      </c>
      <c r="H10" t="s">
        <v>271</v>
      </c>
      <c r="I10" t="s">
        <v>85</v>
      </c>
    </row>
    <row r="11" spans="1:9" x14ac:dyDescent="0.25">
      <c r="A11" t="s">
        <v>267</v>
      </c>
      <c r="B11" t="s">
        <v>480</v>
      </c>
      <c r="C11" t="s">
        <v>20</v>
      </c>
      <c r="D11" t="s">
        <v>85</v>
      </c>
      <c r="E11" t="s">
        <v>273</v>
      </c>
      <c r="F11" t="s">
        <v>477</v>
      </c>
      <c r="G11" t="s">
        <v>42</v>
      </c>
      <c r="H11" t="s">
        <v>271</v>
      </c>
      <c r="I11" t="s">
        <v>85</v>
      </c>
    </row>
    <row r="12" spans="1:9" x14ac:dyDescent="0.25">
      <c r="A12" t="s">
        <v>267</v>
      </c>
      <c r="B12" t="s">
        <v>480</v>
      </c>
      <c r="C12" t="s">
        <v>470</v>
      </c>
      <c r="D12">
        <v>20</v>
      </c>
      <c r="E12" t="s">
        <v>273</v>
      </c>
      <c r="F12" t="s">
        <v>477</v>
      </c>
      <c r="G12" t="s">
        <v>42</v>
      </c>
      <c r="H12" t="s">
        <v>271</v>
      </c>
      <c r="I12" t="s">
        <v>85</v>
      </c>
    </row>
    <row r="13" spans="1:9" x14ac:dyDescent="0.25">
      <c r="A13" t="s">
        <v>267</v>
      </c>
      <c r="B13" t="s">
        <v>480</v>
      </c>
      <c r="C13" t="s">
        <v>471</v>
      </c>
      <c r="D13">
        <v>2</v>
      </c>
      <c r="E13" t="s">
        <v>273</v>
      </c>
      <c r="F13" t="s">
        <v>477</v>
      </c>
      <c r="G13" t="s">
        <v>42</v>
      </c>
      <c r="H13" t="s">
        <v>271</v>
      </c>
      <c r="I13" t="s">
        <v>85</v>
      </c>
    </row>
    <row r="14" spans="1:9" x14ac:dyDescent="0.25">
      <c r="A14" t="s">
        <v>267</v>
      </c>
      <c r="B14" t="s">
        <v>480</v>
      </c>
      <c r="C14" t="s">
        <v>472</v>
      </c>
      <c r="D14">
        <v>4</v>
      </c>
      <c r="E14" t="s">
        <v>273</v>
      </c>
      <c r="F14" t="s">
        <v>477</v>
      </c>
      <c r="G14" t="s">
        <v>42</v>
      </c>
      <c r="H14" t="s">
        <v>271</v>
      </c>
      <c r="I14" t="s">
        <v>85</v>
      </c>
    </row>
    <row r="15" spans="1:9" x14ac:dyDescent="0.25">
      <c r="A15" t="s">
        <v>267</v>
      </c>
      <c r="B15" t="s">
        <v>480</v>
      </c>
      <c r="C15" t="s">
        <v>473</v>
      </c>
      <c r="D15" t="s">
        <v>481</v>
      </c>
      <c r="E15" t="s">
        <v>273</v>
      </c>
      <c r="F15" t="s">
        <v>477</v>
      </c>
      <c r="G15" t="s">
        <v>42</v>
      </c>
      <c r="H15" t="s">
        <v>271</v>
      </c>
      <c r="I15" t="s">
        <v>85</v>
      </c>
    </row>
    <row r="16" spans="1:9" x14ac:dyDescent="0.25">
      <c r="A16" t="s">
        <v>267</v>
      </c>
      <c r="B16" t="s">
        <v>480</v>
      </c>
      <c r="C16" t="s">
        <v>474</v>
      </c>
      <c r="D16" t="s">
        <v>479</v>
      </c>
      <c r="E16" t="s">
        <v>273</v>
      </c>
      <c r="F16" t="s">
        <v>477</v>
      </c>
      <c r="G16" t="s">
        <v>42</v>
      </c>
      <c r="H16" t="s">
        <v>271</v>
      </c>
      <c r="I16" t="s">
        <v>85</v>
      </c>
    </row>
    <row r="17" spans="1:9" x14ac:dyDescent="0.25">
      <c r="A17" t="s">
        <v>267</v>
      </c>
      <c r="B17" t="s">
        <v>480</v>
      </c>
      <c r="C17" t="s">
        <v>475</v>
      </c>
      <c r="D17" t="s">
        <v>42</v>
      </c>
      <c r="E17" t="s">
        <v>273</v>
      </c>
      <c r="F17" t="s">
        <v>477</v>
      </c>
      <c r="G17" t="s">
        <v>42</v>
      </c>
      <c r="H17" t="s">
        <v>271</v>
      </c>
      <c r="I17" t="s">
        <v>85</v>
      </c>
    </row>
    <row r="18" spans="1:9" x14ac:dyDescent="0.25">
      <c r="A18" t="s">
        <v>267</v>
      </c>
      <c r="B18" t="s">
        <v>482</v>
      </c>
      <c r="C18" t="s">
        <v>469</v>
      </c>
      <c r="D18" t="s">
        <v>275</v>
      </c>
      <c r="E18" t="s">
        <v>275</v>
      </c>
      <c r="F18" t="s">
        <v>477</v>
      </c>
      <c r="G18" t="s">
        <v>42</v>
      </c>
      <c r="H18" t="s">
        <v>271</v>
      </c>
      <c r="I18" t="s">
        <v>97</v>
      </c>
    </row>
    <row r="19" spans="1:9" x14ac:dyDescent="0.25">
      <c r="A19" t="s">
        <v>267</v>
      </c>
      <c r="B19" t="s">
        <v>482</v>
      </c>
      <c r="C19" t="s">
        <v>20</v>
      </c>
      <c r="D19" t="s">
        <v>97</v>
      </c>
      <c r="E19" t="s">
        <v>275</v>
      </c>
      <c r="F19" t="s">
        <v>477</v>
      </c>
      <c r="G19" t="s">
        <v>42</v>
      </c>
      <c r="H19" t="s">
        <v>271</v>
      </c>
      <c r="I19" t="s">
        <v>97</v>
      </c>
    </row>
    <row r="20" spans="1:9" x14ac:dyDescent="0.25">
      <c r="A20" t="s">
        <v>267</v>
      </c>
      <c r="B20" t="s">
        <v>482</v>
      </c>
      <c r="C20" t="s">
        <v>470</v>
      </c>
      <c r="D20">
        <v>20</v>
      </c>
      <c r="E20" t="s">
        <v>275</v>
      </c>
      <c r="F20" t="s">
        <v>477</v>
      </c>
      <c r="G20" t="s">
        <v>42</v>
      </c>
      <c r="H20" t="s">
        <v>271</v>
      </c>
      <c r="I20" t="s">
        <v>97</v>
      </c>
    </row>
    <row r="21" spans="1:9" x14ac:dyDescent="0.25">
      <c r="A21" t="s">
        <v>267</v>
      </c>
      <c r="B21" t="s">
        <v>482</v>
      </c>
      <c r="C21" t="s">
        <v>471</v>
      </c>
      <c r="D21">
        <v>1</v>
      </c>
      <c r="E21" t="s">
        <v>275</v>
      </c>
      <c r="F21" t="s">
        <v>477</v>
      </c>
      <c r="G21" t="s">
        <v>42</v>
      </c>
      <c r="H21" t="s">
        <v>271</v>
      </c>
      <c r="I21" t="s">
        <v>97</v>
      </c>
    </row>
    <row r="22" spans="1:9" x14ac:dyDescent="0.25">
      <c r="A22" t="s">
        <v>267</v>
      </c>
      <c r="B22" t="s">
        <v>482</v>
      </c>
      <c r="C22" t="s">
        <v>472</v>
      </c>
      <c r="D22">
        <v>5</v>
      </c>
      <c r="E22" t="s">
        <v>275</v>
      </c>
      <c r="F22" t="s">
        <v>477</v>
      </c>
      <c r="G22" t="s">
        <v>42</v>
      </c>
      <c r="H22" t="s">
        <v>271</v>
      </c>
      <c r="I22" t="s">
        <v>97</v>
      </c>
    </row>
    <row r="23" spans="1:9" x14ac:dyDescent="0.25">
      <c r="A23" t="s">
        <v>267</v>
      </c>
      <c r="B23" t="s">
        <v>482</v>
      </c>
      <c r="C23" t="s">
        <v>473</v>
      </c>
      <c r="D23" t="s">
        <v>483</v>
      </c>
      <c r="E23" t="s">
        <v>275</v>
      </c>
      <c r="F23" t="s">
        <v>477</v>
      </c>
      <c r="G23" t="s">
        <v>42</v>
      </c>
      <c r="H23" t="s">
        <v>271</v>
      </c>
      <c r="I23" t="s">
        <v>97</v>
      </c>
    </row>
    <row r="24" spans="1:9" x14ac:dyDescent="0.25">
      <c r="A24" t="s">
        <v>267</v>
      </c>
      <c r="B24" t="s">
        <v>482</v>
      </c>
      <c r="C24" t="s">
        <v>474</v>
      </c>
      <c r="D24" t="s">
        <v>479</v>
      </c>
      <c r="E24" t="s">
        <v>275</v>
      </c>
      <c r="F24" t="s">
        <v>477</v>
      </c>
      <c r="G24" t="s">
        <v>42</v>
      </c>
      <c r="H24" t="s">
        <v>271</v>
      </c>
      <c r="I24" t="s">
        <v>97</v>
      </c>
    </row>
    <row r="25" spans="1:9" x14ac:dyDescent="0.25">
      <c r="A25" t="s">
        <v>267</v>
      </c>
      <c r="B25" t="s">
        <v>482</v>
      </c>
      <c r="C25" t="s">
        <v>475</v>
      </c>
      <c r="D25" t="s">
        <v>42</v>
      </c>
      <c r="E25" t="s">
        <v>275</v>
      </c>
      <c r="F25" t="s">
        <v>477</v>
      </c>
      <c r="G25" t="s">
        <v>42</v>
      </c>
      <c r="H25" t="s">
        <v>271</v>
      </c>
      <c r="I25" t="s">
        <v>97</v>
      </c>
    </row>
    <row r="26" spans="1:9" x14ac:dyDescent="0.25">
      <c r="A26" t="s">
        <v>267</v>
      </c>
      <c r="B26" t="s">
        <v>484</v>
      </c>
      <c r="C26" t="s">
        <v>469</v>
      </c>
      <c r="D26" t="s">
        <v>277</v>
      </c>
      <c r="E26" t="s">
        <v>277</v>
      </c>
      <c r="F26" t="s">
        <v>477</v>
      </c>
      <c r="G26" t="s">
        <v>42</v>
      </c>
      <c r="H26" t="s">
        <v>271</v>
      </c>
      <c r="I26" t="s">
        <v>278</v>
      </c>
    </row>
    <row r="27" spans="1:9" x14ac:dyDescent="0.25">
      <c r="A27" t="s">
        <v>267</v>
      </c>
      <c r="B27" t="s">
        <v>484</v>
      </c>
      <c r="C27" t="s">
        <v>20</v>
      </c>
      <c r="D27" t="s">
        <v>278</v>
      </c>
      <c r="E27" t="s">
        <v>277</v>
      </c>
      <c r="F27" t="s">
        <v>477</v>
      </c>
      <c r="G27" t="s">
        <v>42</v>
      </c>
      <c r="H27" t="s">
        <v>271</v>
      </c>
      <c r="I27" t="s">
        <v>278</v>
      </c>
    </row>
    <row r="28" spans="1:9" x14ac:dyDescent="0.25">
      <c r="A28" t="s">
        <v>267</v>
      </c>
      <c r="B28" t="s">
        <v>484</v>
      </c>
      <c r="C28" t="s">
        <v>470</v>
      </c>
      <c r="E28" t="s">
        <v>277</v>
      </c>
      <c r="F28" t="s">
        <v>477</v>
      </c>
      <c r="G28" t="s">
        <v>42</v>
      </c>
      <c r="H28" t="s">
        <v>271</v>
      </c>
      <c r="I28" t="s">
        <v>278</v>
      </c>
    </row>
    <row r="29" spans="1:9" x14ac:dyDescent="0.25">
      <c r="A29" t="s">
        <v>267</v>
      </c>
      <c r="B29" t="s">
        <v>484</v>
      </c>
      <c r="C29" t="s">
        <v>471</v>
      </c>
      <c r="E29" t="s">
        <v>277</v>
      </c>
      <c r="F29" t="s">
        <v>477</v>
      </c>
      <c r="G29" t="s">
        <v>42</v>
      </c>
      <c r="H29" t="s">
        <v>271</v>
      </c>
      <c r="I29" t="s">
        <v>278</v>
      </c>
    </row>
    <row r="30" spans="1:9" x14ac:dyDescent="0.25">
      <c r="A30" t="s">
        <v>267</v>
      </c>
      <c r="B30" t="s">
        <v>484</v>
      </c>
      <c r="C30" t="s">
        <v>472</v>
      </c>
      <c r="E30" t="s">
        <v>277</v>
      </c>
      <c r="F30" t="s">
        <v>477</v>
      </c>
      <c r="G30" t="s">
        <v>42</v>
      </c>
      <c r="H30" t="s">
        <v>271</v>
      </c>
      <c r="I30" t="s">
        <v>278</v>
      </c>
    </row>
    <row r="31" spans="1:9" x14ac:dyDescent="0.25">
      <c r="A31" t="s">
        <v>267</v>
      </c>
      <c r="B31" t="s">
        <v>484</v>
      </c>
      <c r="C31" t="s">
        <v>473</v>
      </c>
      <c r="E31" t="s">
        <v>277</v>
      </c>
      <c r="F31" t="s">
        <v>477</v>
      </c>
      <c r="G31" t="s">
        <v>42</v>
      </c>
      <c r="H31" t="s">
        <v>271</v>
      </c>
      <c r="I31" t="s">
        <v>278</v>
      </c>
    </row>
    <row r="32" spans="1:9" x14ac:dyDescent="0.25">
      <c r="A32" t="s">
        <v>267</v>
      </c>
      <c r="B32" t="s">
        <v>484</v>
      </c>
      <c r="C32" t="s">
        <v>474</v>
      </c>
      <c r="E32" t="s">
        <v>277</v>
      </c>
      <c r="F32" t="s">
        <v>477</v>
      </c>
      <c r="G32" t="s">
        <v>42</v>
      </c>
      <c r="H32" t="s">
        <v>271</v>
      </c>
      <c r="I32" t="s">
        <v>278</v>
      </c>
    </row>
    <row r="33" spans="1:9" x14ac:dyDescent="0.25">
      <c r="A33" t="s">
        <v>267</v>
      </c>
      <c r="B33" t="s">
        <v>484</v>
      </c>
      <c r="C33" t="s">
        <v>475</v>
      </c>
      <c r="E33" t="s">
        <v>277</v>
      </c>
      <c r="F33" t="s">
        <v>477</v>
      </c>
      <c r="G33" t="s">
        <v>42</v>
      </c>
      <c r="H33" t="s">
        <v>271</v>
      </c>
      <c r="I33" t="s">
        <v>278</v>
      </c>
    </row>
    <row r="34" spans="1:9" x14ac:dyDescent="0.25">
      <c r="A34" t="s">
        <v>267</v>
      </c>
      <c r="B34" t="s">
        <v>485</v>
      </c>
      <c r="C34" t="s">
        <v>469</v>
      </c>
      <c r="D34" t="s">
        <v>280</v>
      </c>
      <c r="E34" t="s">
        <v>280</v>
      </c>
      <c r="F34" t="s">
        <v>477</v>
      </c>
      <c r="G34" t="s">
        <v>42</v>
      </c>
      <c r="H34" t="s">
        <v>271</v>
      </c>
      <c r="I34" t="s">
        <v>281</v>
      </c>
    </row>
    <row r="35" spans="1:9" x14ac:dyDescent="0.25">
      <c r="A35" t="s">
        <v>267</v>
      </c>
      <c r="B35" t="s">
        <v>485</v>
      </c>
      <c r="C35" t="s">
        <v>20</v>
      </c>
      <c r="D35" t="s">
        <v>281</v>
      </c>
      <c r="E35" t="s">
        <v>280</v>
      </c>
      <c r="F35" t="s">
        <v>477</v>
      </c>
      <c r="G35" t="s">
        <v>42</v>
      </c>
      <c r="H35" t="s">
        <v>271</v>
      </c>
      <c r="I35" t="s">
        <v>281</v>
      </c>
    </row>
    <row r="36" spans="1:9" x14ac:dyDescent="0.25">
      <c r="A36" t="s">
        <v>267</v>
      </c>
      <c r="B36" t="s">
        <v>485</v>
      </c>
      <c r="C36" t="s">
        <v>470</v>
      </c>
      <c r="D36">
        <v>20</v>
      </c>
      <c r="E36" t="s">
        <v>280</v>
      </c>
      <c r="F36" t="s">
        <v>477</v>
      </c>
      <c r="G36" t="s">
        <v>42</v>
      </c>
      <c r="H36" t="s">
        <v>271</v>
      </c>
      <c r="I36" t="s">
        <v>281</v>
      </c>
    </row>
    <row r="37" spans="1:9" x14ac:dyDescent="0.25">
      <c r="A37" t="s">
        <v>267</v>
      </c>
      <c r="B37" t="s">
        <v>485</v>
      </c>
      <c r="C37" t="s">
        <v>471</v>
      </c>
      <c r="D37">
        <v>1</v>
      </c>
      <c r="E37" t="s">
        <v>280</v>
      </c>
      <c r="F37" t="s">
        <v>477</v>
      </c>
      <c r="G37" t="s">
        <v>42</v>
      </c>
      <c r="H37" t="s">
        <v>271</v>
      </c>
      <c r="I37" t="s">
        <v>281</v>
      </c>
    </row>
    <row r="38" spans="1:9" x14ac:dyDescent="0.25">
      <c r="A38" t="s">
        <v>267</v>
      </c>
      <c r="B38" t="s">
        <v>485</v>
      </c>
      <c r="C38" t="s">
        <v>472</v>
      </c>
      <c r="D38">
        <v>6</v>
      </c>
      <c r="E38" t="s">
        <v>280</v>
      </c>
      <c r="F38" t="s">
        <v>477</v>
      </c>
      <c r="G38" t="s">
        <v>42</v>
      </c>
      <c r="H38" t="s">
        <v>271</v>
      </c>
      <c r="I38" t="s">
        <v>281</v>
      </c>
    </row>
    <row r="39" spans="1:9" x14ac:dyDescent="0.25">
      <c r="A39" t="s">
        <v>267</v>
      </c>
      <c r="B39" t="s">
        <v>485</v>
      </c>
      <c r="C39" t="s">
        <v>473</v>
      </c>
      <c r="D39" t="s">
        <v>486</v>
      </c>
      <c r="E39" t="s">
        <v>280</v>
      </c>
      <c r="F39" t="s">
        <v>477</v>
      </c>
      <c r="G39" t="s">
        <v>42</v>
      </c>
      <c r="H39" t="s">
        <v>271</v>
      </c>
      <c r="I39" t="s">
        <v>281</v>
      </c>
    </row>
    <row r="40" spans="1:9" x14ac:dyDescent="0.25">
      <c r="A40" t="s">
        <v>267</v>
      </c>
      <c r="B40" t="s">
        <v>485</v>
      </c>
      <c r="C40" t="s">
        <v>474</v>
      </c>
      <c r="D40" t="s">
        <v>479</v>
      </c>
      <c r="E40" t="s">
        <v>280</v>
      </c>
      <c r="F40" t="s">
        <v>477</v>
      </c>
      <c r="G40" t="s">
        <v>42</v>
      </c>
      <c r="H40" t="s">
        <v>271</v>
      </c>
      <c r="I40" t="s">
        <v>281</v>
      </c>
    </row>
    <row r="41" spans="1:9" x14ac:dyDescent="0.25">
      <c r="A41" t="s">
        <v>267</v>
      </c>
      <c r="B41" t="s">
        <v>485</v>
      </c>
      <c r="C41" t="s">
        <v>475</v>
      </c>
      <c r="D41" t="s">
        <v>42</v>
      </c>
      <c r="E41" t="s">
        <v>280</v>
      </c>
      <c r="F41" t="s">
        <v>477</v>
      </c>
      <c r="G41" t="s">
        <v>42</v>
      </c>
      <c r="H41" t="s">
        <v>271</v>
      </c>
      <c r="I41" t="s">
        <v>281</v>
      </c>
    </row>
    <row r="42" spans="1:9" x14ac:dyDescent="0.25">
      <c r="A42" t="s">
        <v>267</v>
      </c>
      <c r="B42" t="s">
        <v>487</v>
      </c>
      <c r="C42" t="s">
        <v>469</v>
      </c>
      <c r="D42" t="s">
        <v>283</v>
      </c>
      <c r="E42" t="s">
        <v>283</v>
      </c>
      <c r="F42" t="s">
        <v>477</v>
      </c>
      <c r="G42" t="s">
        <v>42</v>
      </c>
      <c r="H42" t="s">
        <v>271</v>
      </c>
      <c r="I42" t="s">
        <v>109</v>
      </c>
    </row>
    <row r="43" spans="1:9" x14ac:dyDescent="0.25">
      <c r="A43" t="s">
        <v>267</v>
      </c>
      <c r="B43" t="s">
        <v>487</v>
      </c>
      <c r="C43" t="s">
        <v>20</v>
      </c>
      <c r="D43" t="s">
        <v>109</v>
      </c>
      <c r="E43" t="s">
        <v>283</v>
      </c>
      <c r="F43" t="s">
        <v>477</v>
      </c>
      <c r="G43" t="s">
        <v>42</v>
      </c>
      <c r="H43" t="s">
        <v>271</v>
      </c>
      <c r="I43" t="s">
        <v>109</v>
      </c>
    </row>
    <row r="44" spans="1:9" x14ac:dyDescent="0.25">
      <c r="A44" t="s">
        <v>267</v>
      </c>
      <c r="B44" t="s">
        <v>487</v>
      </c>
      <c r="C44" t="s">
        <v>470</v>
      </c>
      <c r="D44">
        <v>20</v>
      </c>
      <c r="E44" t="s">
        <v>283</v>
      </c>
      <c r="F44" t="s">
        <v>477</v>
      </c>
      <c r="G44" t="s">
        <v>42</v>
      </c>
      <c r="H44" t="s">
        <v>271</v>
      </c>
      <c r="I44" t="s">
        <v>109</v>
      </c>
    </row>
    <row r="45" spans="1:9" x14ac:dyDescent="0.25">
      <c r="A45" t="s">
        <v>267</v>
      </c>
      <c r="B45" t="s">
        <v>487</v>
      </c>
      <c r="C45" t="s">
        <v>471</v>
      </c>
      <c r="D45">
        <v>2</v>
      </c>
      <c r="E45" t="s">
        <v>283</v>
      </c>
      <c r="F45" t="s">
        <v>477</v>
      </c>
      <c r="G45" t="s">
        <v>42</v>
      </c>
      <c r="H45" t="s">
        <v>271</v>
      </c>
      <c r="I45" t="s">
        <v>109</v>
      </c>
    </row>
    <row r="46" spans="1:9" x14ac:dyDescent="0.25">
      <c r="A46" t="s">
        <v>267</v>
      </c>
      <c r="B46" t="s">
        <v>487</v>
      </c>
      <c r="C46" t="s">
        <v>472</v>
      </c>
      <c r="D46">
        <v>6</v>
      </c>
      <c r="E46" t="s">
        <v>283</v>
      </c>
      <c r="F46" t="s">
        <v>477</v>
      </c>
      <c r="G46" t="s">
        <v>42</v>
      </c>
      <c r="H46" t="s">
        <v>271</v>
      </c>
      <c r="I46" t="s">
        <v>109</v>
      </c>
    </row>
    <row r="47" spans="1:9" x14ac:dyDescent="0.25">
      <c r="A47" t="s">
        <v>267</v>
      </c>
      <c r="B47" t="s">
        <v>487</v>
      </c>
      <c r="C47" t="s">
        <v>473</v>
      </c>
      <c r="D47" t="s">
        <v>488</v>
      </c>
      <c r="E47" t="s">
        <v>283</v>
      </c>
      <c r="F47" t="s">
        <v>477</v>
      </c>
      <c r="G47" t="s">
        <v>42</v>
      </c>
      <c r="H47" t="s">
        <v>271</v>
      </c>
      <c r="I47" t="s">
        <v>109</v>
      </c>
    </row>
    <row r="48" spans="1:9" x14ac:dyDescent="0.25">
      <c r="A48" t="s">
        <v>267</v>
      </c>
      <c r="B48" t="s">
        <v>487</v>
      </c>
      <c r="C48" t="s">
        <v>474</v>
      </c>
      <c r="D48" t="s">
        <v>479</v>
      </c>
      <c r="E48" t="s">
        <v>283</v>
      </c>
      <c r="F48" t="s">
        <v>477</v>
      </c>
      <c r="G48" t="s">
        <v>42</v>
      </c>
      <c r="H48" t="s">
        <v>271</v>
      </c>
      <c r="I48" t="s">
        <v>109</v>
      </c>
    </row>
    <row r="49" spans="1:9" x14ac:dyDescent="0.25">
      <c r="A49" t="s">
        <v>267</v>
      </c>
      <c r="B49" t="s">
        <v>487</v>
      </c>
      <c r="C49" t="s">
        <v>475</v>
      </c>
      <c r="D49" t="s">
        <v>42</v>
      </c>
      <c r="E49" t="s">
        <v>283</v>
      </c>
      <c r="F49" t="s">
        <v>477</v>
      </c>
      <c r="G49" t="s">
        <v>42</v>
      </c>
      <c r="H49" t="s">
        <v>271</v>
      </c>
      <c r="I49" t="s">
        <v>109</v>
      </c>
    </row>
    <row r="50" spans="1:9" x14ac:dyDescent="0.25">
      <c r="A50" t="s">
        <v>267</v>
      </c>
      <c r="B50" t="s">
        <v>489</v>
      </c>
      <c r="C50" t="s">
        <v>469</v>
      </c>
      <c r="D50">
        <v>6303</v>
      </c>
      <c r="E50" t="s">
        <v>285</v>
      </c>
      <c r="F50" t="s">
        <v>477</v>
      </c>
      <c r="G50" t="s">
        <v>42</v>
      </c>
      <c r="H50" t="s">
        <v>271</v>
      </c>
      <c r="I50" t="s">
        <v>286</v>
      </c>
    </row>
    <row r="51" spans="1:9" x14ac:dyDescent="0.25">
      <c r="A51" t="s">
        <v>267</v>
      </c>
      <c r="B51" t="s">
        <v>489</v>
      </c>
      <c r="C51" t="s">
        <v>20</v>
      </c>
      <c r="D51" t="s">
        <v>286</v>
      </c>
      <c r="E51" t="s">
        <v>285</v>
      </c>
      <c r="F51" t="s">
        <v>477</v>
      </c>
      <c r="G51" t="s">
        <v>42</v>
      </c>
      <c r="H51" t="s">
        <v>271</v>
      </c>
      <c r="I51" t="s">
        <v>286</v>
      </c>
    </row>
    <row r="52" spans="1:9" x14ac:dyDescent="0.25">
      <c r="A52" t="s">
        <v>267</v>
      </c>
      <c r="B52" t="s">
        <v>489</v>
      </c>
      <c r="C52" t="s">
        <v>470</v>
      </c>
      <c r="D52">
        <v>20</v>
      </c>
      <c r="E52" t="s">
        <v>285</v>
      </c>
      <c r="F52" t="s">
        <v>477</v>
      </c>
      <c r="G52" t="s">
        <v>42</v>
      </c>
      <c r="H52" t="s">
        <v>271</v>
      </c>
      <c r="I52" t="s">
        <v>286</v>
      </c>
    </row>
    <row r="53" spans="1:9" x14ac:dyDescent="0.25">
      <c r="A53" t="s">
        <v>267</v>
      </c>
      <c r="B53" t="s">
        <v>489</v>
      </c>
      <c r="C53" t="s">
        <v>471</v>
      </c>
      <c r="D53">
        <v>1</v>
      </c>
      <c r="E53" t="s">
        <v>285</v>
      </c>
      <c r="F53" t="s">
        <v>477</v>
      </c>
      <c r="G53" t="s">
        <v>42</v>
      </c>
      <c r="H53" t="s">
        <v>271</v>
      </c>
      <c r="I53" t="s">
        <v>286</v>
      </c>
    </row>
    <row r="54" spans="1:9" x14ac:dyDescent="0.25">
      <c r="A54" t="s">
        <v>267</v>
      </c>
      <c r="B54" t="s">
        <v>489</v>
      </c>
      <c r="C54" t="s">
        <v>472</v>
      </c>
      <c r="D54">
        <v>6</v>
      </c>
      <c r="E54" t="s">
        <v>285</v>
      </c>
      <c r="F54" t="s">
        <v>477</v>
      </c>
      <c r="G54" t="s">
        <v>42</v>
      </c>
      <c r="H54" t="s">
        <v>271</v>
      </c>
      <c r="I54" t="s">
        <v>286</v>
      </c>
    </row>
    <row r="55" spans="1:9" x14ac:dyDescent="0.25">
      <c r="A55" t="s">
        <v>267</v>
      </c>
      <c r="B55" t="s">
        <v>489</v>
      </c>
      <c r="C55" t="s">
        <v>473</v>
      </c>
      <c r="D55" t="s">
        <v>490</v>
      </c>
      <c r="E55" t="s">
        <v>285</v>
      </c>
      <c r="F55" t="s">
        <v>477</v>
      </c>
      <c r="G55" t="s">
        <v>42</v>
      </c>
      <c r="H55" t="s">
        <v>271</v>
      </c>
      <c r="I55" t="s">
        <v>286</v>
      </c>
    </row>
    <row r="56" spans="1:9" x14ac:dyDescent="0.25">
      <c r="A56" t="s">
        <v>267</v>
      </c>
      <c r="B56" t="s">
        <v>489</v>
      </c>
      <c r="C56" t="s">
        <v>474</v>
      </c>
      <c r="D56" t="s">
        <v>479</v>
      </c>
      <c r="E56" t="s">
        <v>285</v>
      </c>
      <c r="F56" t="s">
        <v>477</v>
      </c>
      <c r="G56" t="s">
        <v>42</v>
      </c>
      <c r="H56" t="s">
        <v>271</v>
      </c>
      <c r="I56" t="s">
        <v>286</v>
      </c>
    </row>
    <row r="57" spans="1:9" x14ac:dyDescent="0.25">
      <c r="A57" t="s">
        <v>267</v>
      </c>
      <c r="B57" t="s">
        <v>489</v>
      </c>
      <c r="C57" t="s">
        <v>475</v>
      </c>
      <c r="D57" t="s">
        <v>42</v>
      </c>
      <c r="E57" t="s">
        <v>285</v>
      </c>
      <c r="F57" t="s">
        <v>477</v>
      </c>
      <c r="G57" t="s">
        <v>42</v>
      </c>
      <c r="H57" t="s">
        <v>271</v>
      </c>
      <c r="I57" t="s">
        <v>286</v>
      </c>
    </row>
    <row r="58" spans="1:9" x14ac:dyDescent="0.25">
      <c r="A58" t="s">
        <v>267</v>
      </c>
      <c r="B58" t="s">
        <v>491</v>
      </c>
      <c r="C58" t="s">
        <v>469</v>
      </c>
      <c r="D58" t="s">
        <v>288</v>
      </c>
      <c r="E58" t="s">
        <v>288</v>
      </c>
      <c r="F58" t="s">
        <v>477</v>
      </c>
      <c r="G58" t="s">
        <v>42</v>
      </c>
      <c r="H58" t="s">
        <v>271</v>
      </c>
      <c r="I58" t="s">
        <v>289</v>
      </c>
    </row>
    <row r="59" spans="1:9" x14ac:dyDescent="0.25">
      <c r="A59" t="s">
        <v>267</v>
      </c>
      <c r="B59" t="s">
        <v>491</v>
      </c>
      <c r="C59" t="s">
        <v>20</v>
      </c>
      <c r="D59" t="s">
        <v>289</v>
      </c>
      <c r="E59" t="s">
        <v>288</v>
      </c>
      <c r="F59" t="s">
        <v>477</v>
      </c>
      <c r="G59" t="s">
        <v>42</v>
      </c>
      <c r="H59" t="s">
        <v>271</v>
      </c>
      <c r="I59" t="s">
        <v>289</v>
      </c>
    </row>
    <row r="60" spans="1:9" x14ac:dyDescent="0.25">
      <c r="A60" t="s">
        <v>267</v>
      </c>
      <c r="B60" t="s">
        <v>491</v>
      </c>
      <c r="C60" t="s">
        <v>470</v>
      </c>
      <c r="D60">
        <v>20</v>
      </c>
      <c r="E60" t="s">
        <v>288</v>
      </c>
      <c r="F60" t="s">
        <v>477</v>
      </c>
      <c r="G60" t="s">
        <v>42</v>
      </c>
      <c r="H60" t="s">
        <v>271</v>
      </c>
      <c r="I60" t="s">
        <v>289</v>
      </c>
    </row>
    <row r="61" spans="1:9" x14ac:dyDescent="0.25">
      <c r="A61" t="s">
        <v>267</v>
      </c>
      <c r="B61" t="s">
        <v>491</v>
      </c>
      <c r="C61" t="s">
        <v>471</v>
      </c>
      <c r="D61" t="s">
        <v>492</v>
      </c>
      <c r="E61" t="s">
        <v>288</v>
      </c>
      <c r="F61" t="s">
        <v>477</v>
      </c>
      <c r="G61" t="s">
        <v>42</v>
      </c>
      <c r="H61" t="s">
        <v>271</v>
      </c>
      <c r="I61" t="s">
        <v>289</v>
      </c>
    </row>
    <row r="62" spans="1:9" x14ac:dyDescent="0.25">
      <c r="A62" t="s">
        <v>267</v>
      </c>
      <c r="B62" t="s">
        <v>491</v>
      </c>
      <c r="C62" t="s">
        <v>472</v>
      </c>
      <c r="D62">
        <v>6</v>
      </c>
      <c r="E62" t="s">
        <v>288</v>
      </c>
      <c r="F62" t="s">
        <v>477</v>
      </c>
      <c r="G62" t="s">
        <v>42</v>
      </c>
      <c r="H62" t="s">
        <v>271</v>
      </c>
      <c r="I62" t="s">
        <v>289</v>
      </c>
    </row>
    <row r="63" spans="1:9" x14ac:dyDescent="0.25">
      <c r="A63" t="s">
        <v>267</v>
      </c>
      <c r="B63" t="s">
        <v>491</v>
      </c>
      <c r="C63" t="s">
        <v>473</v>
      </c>
      <c r="D63" t="s">
        <v>493</v>
      </c>
      <c r="E63" t="s">
        <v>288</v>
      </c>
      <c r="F63" t="s">
        <v>477</v>
      </c>
      <c r="G63" t="s">
        <v>42</v>
      </c>
      <c r="H63" t="s">
        <v>271</v>
      </c>
      <c r="I63" t="s">
        <v>289</v>
      </c>
    </row>
    <row r="64" spans="1:9" x14ac:dyDescent="0.25">
      <c r="A64" t="s">
        <v>267</v>
      </c>
      <c r="B64" t="s">
        <v>491</v>
      </c>
      <c r="C64" t="s">
        <v>474</v>
      </c>
      <c r="D64" t="s">
        <v>494</v>
      </c>
      <c r="E64" t="s">
        <v>288</v>
      </c>
      <c r="F64" t="s">
        <v>477</v>
      </c>
      <c r="G64" t="s">
        <v>42</v>
      </c>
      <c r="H64" t="s">
        <v>271</v>
      </c>
      <c r="I64" t="s">
        <v>289</v>
      </c>
    </row>
    <row r="65" spans="1:9" x14ac:dyDescent="0.25">
      <c r="A65" t="s">
        <v>267</v>
      </c>
      <c r="B65" t="s">
        <v>491</v>
      </c>
      <c r="C65" t="s">
        <v>475</v>
      </c>
      <c r="D65" t="s">
        <v>42</v>
      </c>
      <c r="E65" t="s">
        <v>288</v>
      </c>
      <c r="F65" t="s">
        <v>477</v>
      </c>
      <c r="G65" t="s">
        <v>42</v>
      </c>
      <c r="H65" t="s">
        <v>271</v>
      </c>
      <c r="I65" t="s">
        <v>289</v>
      </c>
    </row>
    <row r="66" spans="1:9" x14ac:dyDescent="0.25">
      <c r="A66" t="s">
        <v>290</v>
      </c>
      <c r="B66" t="s">
        <v>495</v>
      </c>
      <c r="C66" t="s">
        <v>469</v>
      </c>
      <c r="D66" t="s">
        <v>292</v>
      </c>
      <c r="E66" t="s">
        <v>292</v>
      </c>
      <c r="F66" t="s">
        <v>477</v>
      </c>
      <c r="G66" t="s">
        <v>114</v>
      </c>
      <c r="H66" t="s">
        <v>293</v>
      </c>
      <c r="I66" t="s">
        <v>294</v>
      </c>
    </row>
    <row r="67" spans="1:9" x14ac:dyDescent="0.25">
      <c r="A67" t="s">
        <v>290</v>
      </c>
      <c r="B67" t="s">
        <v>495</v>
      </c>
      <c r="C67" t="s">
        <v>20</v>
      </c>
      <c r="D67" t="s">
        <v>496</v>
      </c>
      <c r="E67" t="s">
        <v>292</v>
      </c>
      <c r="F67" t="s">
        <v>477</v>
      </c>
      <c r="G67" t="s">
        <v>114</v>
      </c>
      <c r="H67" t="s">
        <v>293</v>
      </c>
      <c r="I67" t="s">
        <v>294</v>
      </c>
    </row>
    <row r="68" spans="1:9" x14ac:dyDescent="0.25">
      <c r="A68" t="s">
        <v>290</v>
      </c>
      <c r="B68" t="s">
        <v>495</v>
      </c>
      <c r="C68" t="s">
        <v>470</v>
      </c>
      <c r="D68">
        <v>20</v>
      </c>
      <c r="E68" t="s">
        <v>292</v>
      </c>
      <c r="F68" t="s">
        <v>477</v>
      </c>
      <c r="G68" t="s">
        <v>114</v>
      </c>
      <c r="H68" t="s">
        <v>293</v>
      </c>
      <c r="I68" t="s">
        <v>294</v>
      </c>
    </row>
    <row r="69" spans="1:9" x14ac:dyDescent="0.25">
      <c r="A69" t="s">
        <v>290</v>
      </c>
      <c r="B69" t="s">
        <v>495</v>
      </c>
      <c r="C69" t="s">
        <v>471</v>
      </c>
      <c r="D69">
        <v>1</v>
      </c>
      <c r="E69" t="s">
        <v>292</v>
      </c>
      <c r="F69" t="s">
        <v>477</v>
      </c>
      <c r="G69" t="s">
        <v>114</v>
      </c>
      <c r="H69" t="s">
        <v>293</v>
      </c>
      <c r="I69" t="s">
        <v>294</v>
      </c>
    </row>
    <row r="70" spans="1:9" x14ac:dyDescent="0.25">
      <c r="A70" t="s">
        <v>290</v>
      </c>
      <c r="B70" t="s">
        <v>495</v>
      </c>
      <c r="C70" t="s">
        <v>472</v>
      </c>
      <c r="D70">
        <v>4</v>
      </c>
      <c r="E70" t="s">
        <v>292</v>
      </c>
      <c r="F70" t="s">
        <v>477</v>
      </c>
      <c r="G70" t="s">
        <v>114</v>
      </c>
      <c r="H70" t="s">
        <v>293</v>
      </c>
      <c r="I70" t="s">
        <v>294</v>
      </c>
    </row>
    <row r="71" spans="1:9" x14ac:dyDescent="0.25">
      <c r="A71" t="s">
        <v>290</v>
      </c>
      <c r="B71" t="s">
        <v>495</v>
      </c>
      <c r="C71" t="s">
        <v>473</v>
      </c>
      <c r="D71" t="s">
        <v>497</v>
      </c>
      <c r="E71" t="s">
        <v>292</v>
      </c>
      <c r="F71" t="s">
        <v>477</v>
      </c>
      <c r="G71" t="s">
        <v>114</v>
      </c>
      <c r="H71" t="s">
        <v>293</v>
      </c>
      <c r="I71" t="s">
        <v>294</v>
      </c>
    </row>
    <row r="72" spans="1:9" x14ac:dyDescent="0.25">
      <c r="A72" t="s">
        <v>290</v>
      </c>
      <c r="B72" t="s">
        <v>495</v>
      </c>
      <c r="C72" t="s">
        <v>474</v>
      </c>
      <c r="D72" t="s">
        <v>494</v>
      </c>
      <c r="E72" t="s">
        <v>292</v>
      </c>
      <c r="F72" t="s">
        <v>477</v>
      </c>
      <c r="G72" t="s">
        <v>114</v>
      </c>
      <c r="H72" t="s">
        <v>293</v>
      </c>
      <c r="I72" t="s">
        <v>294</v>
      </c>
    </row>
    <row r="73" spans="1:9" x14ac:dyDescent="0.25">
      <c r="A73" t="s">
        <v>290</v>
      </c>
      <c r="B73" t="s">
        <v>495</v>
      </c>
      <c r="C73" t="s">
        <v>475</v>
      </c>
      <c r="D73" t="s">
        <v>114</v>
      </c>
      <c r="E73" t="s">
        <v>292</v>
      </c>
      <c r="F73" t="s">
        <v>477</v>
      </c>
      <c r="G73" t="s">
        <v>114</v>
      </c>
      <c r="H73" t="s">
        <v>293</v>
      </c>
      <c r="I73" t="s">
        <v>294</v>
      </c>
    </row>
    <row r="74" spans="1:9" x14ac:dyDescent="0.25">
      <c r="A74" t="s">
        <v>422</v>
      </c>
      <c r="B74" t="s">
        <v>511</v>
      </c>
      <c r="C74" t="s">
        <v>469</v>
      </c>
      <c r="D74" t="s">
        <v>424</v>
      </c>
      <c r="E74" t="s">
        <v>424</v>
      </c>
      <c r="F74" t="s">
        <v>477</v>
      </c>
      <c r="G74" t="s">
        <v>42</v>
      </c>
      <c r="H74" t="s">
        <v>271</v>
      </c>
      <c r="I74" t="s">
        <v>27</v>
      </c>
    </row>
    <row r="75" spans="1:9" x14ac:dyDescent="0.25">
      <c r="A75" t="s">
        <v>422</v>
      </c>
      <c r="B75" t="s">
        <v>511</v>
      </c>
      <c r="C75" t="s">
        <v>20</v>
      </c>
      <c r="D75" t="s">
        <v>27</v>
      </c>
      <c r="E75" t="s">
        <v>424</v>
      </c>
      <c r="F75" t="s">
        <v>477</v>
      </c>
      <c r="G75" t="s">
        <v>42</v>
      </c>
      <c r="H75" t="s">
        <v>271</v>
      </c>
      <c r="I75" t="s">
        <v>27</v>
      </c>
    </row>
    <row r="76" spans="1:9" x14ac:dyDescent="0.25">
      <c r="A76" t="s">
        <v>422</v>
      </c>
      <c r="B76" t="s">
        <v>511</v>
      </c>
      <c r="C76" t="s">
        <v>470</v>
      </c>
      <c r="E76" t="s">
        <v>424</v>
      </c>
      <c r="F76" t="s">
        <v>477</v>
      </c>
      <c r="G76" t="s">
        <v>42</v>
      </c>
      <c r="H76" t="s">
        <v>271</v>
      </c>
      <c r="I76" t="s">
        <v>27</v>
      </c>
    </row>
    <row r="77" spans="1:9" x14ac:dyDescent="0.25">
      <c r="A77" t="s">
        <v>422</v>
      </c>
      <c r="B77" t="s">
        <v>511</v>
      </c>
      <c r="C77" t="s">
        <v>471</v>
      </c>
      <c r="E77" t="s">
        <v>424</v>
      </c>
      <c r="F77" t="s">
        <v>477</v>
      </c>
      <c r="G77" t="s">
        <v>42</v>
      </c>
      <c r="H77" t="s">
        <v>271</v>
      </c>
      <c r="I77" t="s">
        <v>27</v>
      </c>
    </row>
    <row r="78" spans="1:9" x14ac:dyDescent="0.25">
      <c r="A78" t="s">
        <v>422</v>
      </c>
      <c r="B78" t="s">
        <v>511</v>
      </c>
      <c r="C78" t="s">
        <v>472</v>
      </c>
      <c r="E78" t="s">
        <v>424</v>
      </c>
      <c r="F78" t="s">
        <v>477</v>
      </c>
      <c r="G78" t="s">
        <v>42</v>
      </c>
      <c r="H78" t="s">
        <v>271</v>
      </c>
      <c r="I78" t="s">
        <v>27</v>
      </c>
    </row>
    <row r="79" spans="1:9" x14ac:dyDescent="0.25">
      <c r="A79" t="s">
        <v>422</v>
      </c>
      <c r="B79" t="s">
        <v>511</v>
      </c>
      <c r="C79" t="s">
        <v>473</v>
      </c>
      <c r="E79" t="s">
        <v>424</v>
      </c>
      <c r="F79" t="s">
        <v>477</v>
      </c>
      <c r="G79" t="s">
        <v>42</v>
      </c>
      <c r="H79" t="s">
        <v>271</v>
      </c>
      <c r="I79" t="s">
        <v>27</v>
      </c>
    </row>
    <row r="80" spans="1:9" x14ac:dyDescent="0.25">
      <c r="A80" t="s">
        <v>422</v>
      </c>
      <c r="B80" t="s">
        <v>511</v>
      </c>
      <c r="C80" t="s">
        <v>474</v>
      </c>
      <c r="D80" t="s">
        <v>512</v>
      </c>
      <c r="E80" t="s">
        <v>424</v>
      </c>
      <c r="F80" t="s">
        <v>477</v>
      </c>
      <c r="G80" t="s">
        <v>42</v>
      </c>
      <c r="H80" t="s">
        <v>271</v>
      </c>
      <c r="I80" t="s">
        <v>27</v>
      </c>
    </row>
    <row r="81" spans="1:9" x14ac:dyDescent="0.25">
      <c r="A81" t="s">
        <v>422</v>
      </c>
      <c r="B81" t="s">
        <v>511</v>
      </c>
      <c r="C81" t="s">
        <v>475</v>
      </c>
      <c r="E81" t="s">
        <v>424</v>
      </c>
      <c r="F81" t="s">
        <v>477</v>
      </c>
      <c r="G81" t="s">
        <v>42</v>
      </c>
      <c r="H81" t="s">
        <v>271</v>
      </c>
      <c r="I81" t="s">
        <v>27</v>
      </c>
    </row>
    <row r="82" spans="1:9" x14ac:dyDescent="0.25">
      <c r="A82" t="s">
        <v>422</v>
      </c>
      <c r="B82" t="s">
        <v>511</v>
      </c>
      <c r="C82" t="s">
        <v>469</v>
      </c>
      <c r="D82" t="s">
        <v>424</v>
      </c>
      <c r="E82" t="s">
        <v>424</v>
      </c>
      <c r="F82" t="s">
        <v>477</v>
      </c>
      <c r="G82" t="s">
        <v>114</v>
      </c>
      <c r="H82" t="s">
        <v>293</v>
      </c>
      <c r="I82" t="s">
        <v>27</v>
      </c>
    </row>
    <row r="83" spans="1:9" x14ac:dyDescent="0.25">
      <c r="A83" t="s">
        <v>422</v>
      </c>
      <c r="B83" t="s">
        <v>511</v>
      </c>
      <c r="C83" t="s">
        <v>20</v>
      </c>
      <c r="D83" t="s">
        <v>27</v>
      </c>
      <c r="E83" t="s">
        <v>424</v>
      </c>
      <c r="F83" t="s">
        <v>477</v>
      </c>
      <c r="G83" t="s">
        <v>114</v>
      </c>
      <c r="H83" t="s">
        <v>293</v>
      </c>
      <c r="I83" t="s">
        <v>27</v>
      </c>
    </row>
    <row r="84" spans="1:9" x14ac:dyDescent="0.25">
      <c r="A84" t="s">
        <v>422</v>
      </c>
      <c r="B84" t="s">
        <v>511</v>
      </c>
      <c r="C84" t="s">
        <v>470</v>
      </c>
      <c r="E84" t="s">
        <v>424</v>
      </c>
      <c r="F84" t="s">
        <v>477</v>
      </c>
      <c r="G84" t="s">
        <v>114</v>
      </c>
      <c r="H84" t="s">
        <v>293</v>
      </c>
      <c r="I84" t="s">
        <v>27</v>
      </c>
    </row>
    <row r="85" spans="1:9" x14ac:dyDescent="0.25">
      <c r="A85" t="s">
        <v>422</v>
      </c>
      <c r="B85" t="s">
        <v>511</v>
      </c>
      <c r="C85" t="s">
        <v>471</v>
      </c>
      <c r="E85" t="s">
        <v>424</v>
      </c>
      <c r="F85" t="s">
        <v>477</v>
      </c>
      <c r="G85" t="s">
        <v>114</v>
      </c>
      <c r="H85" t="s">
        <v>293</v>
      </c>
      <c r="I85" t="s">
        <v>27</v>
      </c>
    </row>
    <row r="86" spans="1:9" x14ac:dyDescent="0.25">
      <c r="A86" t="s">
        <v>422</v>
      </c>
      <c r="B86" t="s">
        <v>511</v>
      </c>
      <c r="C86" t="s">
        <v>472</v>
      </c>
      <c r="E86" t="s">
        <v>424</v>
      </c>
      <c r="F86" t="s">
        <v>477</v>
      </c>
      <c r="G86" t="s">
        <v>114</v>
      </c>
      <c r="H86" t="s">
        <v>293</v>
      </c>
      <c r="I86" t="s">
        <v>27</v>
      </c>
    </row>
    <row r="87" spans="1:9" x14ac:dyDescent="0.25">
      <c r="A87" t="s">
        <v>422</v>
      </c>
      <c r="B87" t="s">
        <v>511</v>
      </c>
      <c r="C87" t="s">
        <v>473</v>
      </c>
      <c r="E87" t="s">
        <v>424</v>
      </c>
      <c r="F87" t="s">
        <v>477</v>
      </c>
      <c r="G87" t="s">
        <v>114</v>
      </c>
      <c r="H87" t="s">
        <v>293</v>
      </c>
      <c r="I87" t="s">
        <v>27</v>
      </c>
    </row>
    <row r="88" spans="1:9" x14ac:dyDescent="0.25">
      <c r="A88" t="s">
        <v>422</v>
      </c>
      <c r="B88" t="s">
        <v>511</v>
      </c>
      <c r="C88" t="s">
        <v>474</v>
      </c>
      <c r="D88" t="s">
        <v>512</v>
      </c>
      <c r="E88" t="s">
        <v>424</v>
      </c>
      <c r="F88" t="s">
        <v>477</v>
      </c>
      <c r="G88" t="s">
        <v>114</v>
      </c>
      <c r="H88" t="s">
        <v>293</v>
      </c>
      <c r="I88" t="s">
        <v>27</v>
      </c>
    </row>
    <row r="89" spans="1:9" x14ac:dyDescent="0.25">
      <c r="A89" t="s">
        <v>422</v>
      </c>
      <c r="B89" t="s">
        <v>511</v>
      </c>
      <c r="C89" t="s">
        <v>475</v>
      </c>
      <c r="E89" t="s">
        <v>424</v>
      </c>
      <c r="F89" t="s">
        <v>477</v>
      </c>
      <c r="G89" t="s">
        <v>114</v>
      </c>
      <c r="H89" t="s">
        <v>293</v>
      </c>
      <c r="I89" t="s">
        <v>27</v>
      </c>
    </row>
    <row r="90" spans="1:9" x14ac:dyDescent="0.25">
      <c r="A90" t="s">
        <v>422</v>
      </c>
      <c r="B90" t="s">
        <v>511</v>
      </c>
      <c r="C90" t="s">
        <v>469</v>
      </c>
      <c r="D90" t="s">
        <v>424</v>
      </c>
      <c r="E90" t="s">
        <v>424</v>
      </c>
      <c r="F90" t="s">
        <v>477</v>
      </c>
      <c r="G90" t="s">
        <v>133</v>
      </c>
      <c r="H90" t="s">
        <v>312</v>
      </c>
      <c r="I90" t="s">
        <v>27</v>
      </c>
    </row>
    <row r="91" spans="1:9" x14ac:dyDescent="0.25">
      <c r="A91" t="s">
        <v>422</v>
      </c>
      <c r="B91" t="s">
        <v>511</v>
      </c>
      <c r="C91" t="s">
        <v>20</v>
      </c>
      <c r="D91" t="s">
        <v>27</v>
      </c>
      <c r="E91" t="s">
        <v>424</v>
      </c>
      <c r="F91" t="s">
        <v>477</v>
      </c>
      <c r="G91" t="s">
        <v>133</v>
      </c>
      <c r="H91" t="s">
        <v>312</v>
      </c>
      <c r="I91" t="s">
        <v>27</v>
      </c>
    </row>
    <row r="92" spans="1:9" x14ac:dyDescent="0.25">
      <c r="A92" t="s">
        <v>422</v>
      </c>
      <c r="B92" t="s">
        <v>511</v>
      </c>
      <c r="C92" t="s">
        <v>470</v>
      </c>
      <c r="E92" t="s">
        <v>424</v>
      </c>
      <c r="F92" t="s">
        <v>477</v>
      </c>
      <c r="G92" t="s">
        <v>133</v>
      </c>
      <c r="H92" t="s">
        <v>312</v>
      </c>
      <c r="I92" t="s">
        <v>27</v>
      </c>
    </row>
    <row r="93" spans="1:9" x14ac:dyDescent="0.25">
      <c r="A93" t="s">
        <v>422</v>
      </c>
      <c r="B93" t="s">
        <v>511</v>
      </c>
      <c r="C93" t="s">
        <v>471</v>
      </c>
      <c r="E93" t="s">
        <v>424</v>
      </c>
      <c r="F93" t="s">
        <v>477</v>
      </c>
      <c r="G93" t="s">
        <v>133</v>
      </c>
      <c r="H93" t="s">
        <v>312</v>
      </c>
      <c r="I93" t="s">
        <v>27</v>
      </c>
    </row>
    <row r="94" spans="1:9" x14ac:dyDescent="0.25">
      <c r="A94" t="s">
        <v>422</v>
      </c>
      <c r="B94" t="s">
        <v>511</v>
      </c>
      <c r="C94" t="s">
        <v>472</v>
      </c>
      <c r="E94" t="s">
        <v>424</v>
      </c>
      <c r="F94" t="s">
        <v>477</v>
      </c>
      <c r="G94" t="s">
        <v>133</v>
      </c>
      <c r="H94" t="s">
        <v>312</v>
      </c>
      <c r="I94" t="s">
        <v>27</v>
      </c>
    </row>
    <row r="95" spans="1:9" x14ac:dyDescent="0.25">
      <c r="A95" t="s">
        <v>422</v>
      </c>
      <c r="B95" t="s">
        <v>511</v>
      </c>
      <c r="C95" t="s">
        <v>473</v>
      </c>
      <c r="E95" t="s">
        <v>424</v>
      </c>
      <c r="F95" t="s">
        <v>477</v>
      </c>
      <c r="G95" t="s">
        <v>133</v>
      </c>
      <c r="H95" t="s">
        <v>312</v>
      </c>
      <c r="I95" t="s">
        <v>27</v>
      </c>
    </row>
    <row r="96" spans="1:9" x14ac:dyDescent="0.25">
      <c r="A96" t="s">
        <v>422</v>
      </c>
      <c r="B96" t="s">
        <v>511</v>
      </c>
      <c r="C96" t="s">
        <v>474</v>
      </c>
      <c r="D96" t="s">
        <v>512</v>
      </c>
      <c r="E96" t="s">
        <v>424</v>
      </c>
      <c r="F96" t="s">
        <v>477</v>
      </c>
      <c r="G96" t="s">
        <v>133</v>
      </c>
      <c r="H96" t="s">
        <v>312</v>
      </c>
      <c r="I96" t="s">
        <v>27</v>
      </c>
    </row>
    <row r="97" spans="1:9" x14ac:dyDescent="0.25">
      <c r="A97" t="s">
        <v>422</v>
      </c>
      <c r="B97" t="s">
        <v>511</v>
      </c>
      <c r="C97" t="s">
        <v>475</v>
      </c>
      <c r="E97" t="s">
        <v>424</v>
      </c>
      <c r="F97" t="s">
        <v>477</v>
      </c>
      <c r="G97" t="s">
        <v>133</v>
      </c>
      <c r="H97" t="s">
        <v>312</v>
      </c>
      <c r="I97" t="s">
        <v>27</v>
      </c>
    </row>
    <row r="98" spans="1:9" x14ac:dyDescent="0.25">
      <c r="A98" t="s">
        <v>422</v>
      </c>
      <c r="B98" t="s">
        <v>511</v>
      </c>
      <c r="C98" t="s">
        <v>469</v>
      </c>
      <c r="D98" t="s">
        <v>424</v>
      </c>
      <c r="E98" t="s">
        <v>424</v>
      </c>
      <c r="F98" t="s">
        <v>477</v>
      </c>
      <c r="G98" t="s">
        <v>152</v>
      </c>
      <c r="H98" t="s">
        <v>320</v>
      </c>
      <c r="I98" t="s">
        <v>27</v>
      </c>
    </row>
    <row r="99" spans="1:9" x14ac:dyDescent="0.25">
      <c r="A99" t="s">
        <v>422</v>
      </c>
      <c r="B99" t="s">
        <v>511</v>
      </c>
      <c r="C99" t="s">
        <v>20</v>
      </c>
      <c r="D99" t="s">
        <v>27</v>
      </c>
      <c r="E99" t="s">
        <v>424</v>
      </c>
      <c r="F99" t="s">
        <v>477</v>
      </c>
      <c r="G99" t="s">
        <v>152</v>
      </c>
      <c r="H99" t="s">
        <v>320</v>
      </c>
      <c r="I99" t="s">
        <v>27</v>
      </c>
    </row>
    <row r="100" spans="1:9" x14ac:dyDescent="0.25">
      <c r="A100" t="s">
        <v>422</v>
      </c>
      <c r="B100" t="s">
        <v>511</v>
      </c>
      <c r="C100" t="s">
        <v>470</v>
      </c>
      <c r="E100" t="s">
        <v>424</v>
      </c>
      <c r="F100" t="s">
        <v>477</v>
      </c>
      <c r="G100" t="s">
        <v>152</v>
      </c>
      <c r="H100" t="s">
        <v>320</v>
      </c>
      <c r="I100" t="s">
        <v>27</v>
      </c>
    </row>
    <row r="101" spans="1:9" x14ac:dyDescent="0.25">
      <c r="A101" t="s">
        <v>422</v>
      </c>
      <c r="B101" t="s">
        <v>511</v>
      </c>
      <c r="C101" t="s">
        <v>471</v>
      </c>
      <c r="E101" t="s">
        <v>424</v>
      </c>
      <c r="F101" t="s">
        <v>477</v>
      </c>
      <c r="G101" t="s">
        <v>152</v>
      </c>
      <c r="H101" t="s">
        <v>320</v>
      </c>
      <c r="I101" t="s">
        <v>27</v>
      </c>
    </row>
    <row r="102" spans="1:9" x14ac:dyDescent="0.25">
      <c r="A102" t="s">
        <v>422</v>
      </c>
      <c r="B102" t="s">
        <v>511</v>
      </c>
      <c r="C102" t="s">
        <v>472</v>
      </c>
      <c r="E102" t="s">
        <v>424</v>
      </c>
      <c r="F102" t="s">
        <v>477</v>
      </c>
      <c r="G102" t="s">
        <v>152</v>
      </c>
      <c r="H102" t="s">
        <v>320</v>
      </c>
      <c r="I102" t="s">
        <v>27</v>
      </c>
    </row>
    <row r="103" spans="1:9" x14ac:dyDescent="0.25">
      <c r="A103" t="s">
        <v>422</v>
      </c>
      <c r="B103" t="s">
        <v>511</v>
      </c>
      <c r="C103" t="s">
        <v>473</v>
      </c>
      <c r="E103" t="s">
        <v>424</v>
      </c>
      <c r="F103" t="s">
        <v>477</v>
      </c>
      <c r="G103" t="s">
        <v>152</v>
      </c>
      <c r="H103" t="s">
        <v>320</v>
      </c>
      <c r="I103" t="s">
        <v>27</v>
      </c>
    </row>
    <row r="104" spans="1:9" x14ac:dyDescent="0.25">
      <c r="A104" t="s">
        <v>422</v>
      </c>
      <c r="B104" t="s">
        <v>511</v>
      </c>
      <c r="C104" t="s">
        <v>474</v>
      </c>
      <c r="D104" t="s">
        <v>512</v>
      </c>
      <c r="E104" t="s">
        <v>424</v>
      </c>
      <c r="F104" t="s">
        <v>477</v>
      </c>
      <c r="G104" t="s">
        <v>152</v>
      </c>
      <c r="H104" t="s">
        <v>320</v>
      </c>
      <c r="I104" t="s">
        <v>27</v>
      </c>
    </row>
    <row r="105" spans="1:9" x14ac:dyDescent="0.25">
      <c r="A105" t="s">
        <v>422</v>
      </c>
      <c r="B105" t="s">
        <v>511</v>
      </c>
      <c r="C105" t="s">
        <v>475</v>
      </c>
      <c r="E105" t="s">
        <v>424</v>
      </c>
      <c r="F105" t="s">
        <v>477</v>
      </c>
      <c r="G105" t="s">
        <v>152</v>
      </c>
      <c r="H105" t="s">
        <v>320</v>
      </c>
      <c r="I105" t="s">
        <v>27</v>
      </c>
    </row>
    <row r="106" spans="1:9" x14ac:dyDescent="0.25">
      <c r="A106" t="s">
        <v>290</v>
      </c>
      <c r="B106" t="s">
        <v>498</v>
      </c>
      <c r="C106" t="s">
        <v>469</v>
      </c>
      <c r="D106" t="s">
        <v>296</v>
      </c>
      <c r="E106" t="s">
        <v>296</v>
      </c>
      <c r="F106" t="s">
        <v>477</v>
      </c>
      <c r="G106" t="s">
        <v>114</v>
      </c>
      <c r="H106" t="s">
        <v>293</v>
      </c>
      <c r="I106" t="s">
        <v>297</v>
      </c>
    </row>
    <row r="107" spans="1:9" x14ac:dyDescent="0.25">
      <c r="A107" t="s">
        <v>290</v>
      </c>
      <c r="B107" t="s">
        <v>498</v>
      </c>
      <c r="C107" t="s">
        <v>20</v>
      </c>
      <c r="D107" t="s">
        <v>297</v>
      </c>
      <c r="E107" t="s">
        <v>296</v>
      </c>
      <c r="F107" t="s">
        <v>477</v>
      </c>
      <c r="G107" t="s">
        <v>114</v>
      </c>
      <c r="H107" t="s">
        <v>293</v>
      </c>
      <c r="I107" t="s">
        <v>297</v>
      </c>
    </row>
    <row r="108" spans="1:9" x14ac:dyDescent="0.25">
      <c r="A108" t="s">
        <v>290</v>
      </c>
      <c r="B108" t="s">
        <v>498</v>
      </c>
      <c r="C108" t="s">
        <v>470</v>
      </c>
      <c r="E108" t="s">
        <v>296</v>
      </c>
      <c r="F108" t="s">
        <v>477</v>
      </c>
      <c r="G108" t="s">
        <v>114</v>
      </c>
      <c r="H108" t="s">
        <v>293</v>
      </c>
      <c r="I108" t="s">
        <v>297</v>
      </c>
    </row>
    <row r="109" spans="1:9" x14ac:dyDescent="0.25">
      <c r="A109" t="s">
        <v>290</v>
      </c>
      <c r="B109" t="s">
        <v>498</v>
      </c>
      <c r="C109" t="s">
        <v>471</v>
      </c>
      <c r="E109" t="s">
        <v>296</v>
      </c>
      <c r="F109" t="s">
        <v>477</v>
      </c>
      <c r="G109" t="s">
        <v>114</v>
      </c>
      <c r="H109" t="s">
        <v>293</v>
      </c>
      <c r="I109" t="s">
        <v>297</v>
      </c>
    </row>
    <row r="110" spans="1:9" x14ac:dyDescent="0.25">
      <c r="A110" t="s">
        <v>290</v>
      </c>
      <c r="B110" t="s">
        <v>498</v>
      </c>
      <c r="C110" t="s">
        <v>472</v>
      </c>
      <c r="E110" t="s">
        <v>296</v>
      </c>
      <c r="F110" t="s">
        <v>477</v>
      </c>
      <c r="G110" t="s">
        <v>114</v>
      </c>
      <c r="H110" t="s">
        <v>293</v>
      </c>
      <c r="I110" t="s">
        <v>297</v>
      </c>
    </row>
    <row r="111" spans="1:9" x14ac:dyDescent="0.25">
      <c r="A111" t="s">
        <v>290</v>
      </c>
      <c r="B111" t="s">
        <v>498</v>
      </c>
      <c r="C111" t="s">
        <v>473</v>
      </c>
      <c r="E111" t="s">
        <v>296</v>
      </c>
      <c r="F111" t="s">
        <v>477</v>
      </c>
      <c r="G111" t="s">
        <v>114</v>
      </c>
      <c r="H111" t="s">
        <v>293</v>
      </c>
      <c r="I111" t="s">
        <v>297</v>
      </c>
    </row>
    <row r="112" spans="1:9" x14ac:dyDescent="0.25">
      <c r="A112" t="s">
        <v>290</v>
      </c>
      <c r="B112" t="s">
        <v>498</v>
      </c>
      <c r="C112" t="s">
        <v>474</v>
      </c>
      <c r="E112" t="s">
        <v>296</v>
      </c>
      <c r="F112" t="s">
        <v>477</v>
      </c>
      <c r="G112" t="s">
        <v>114</v>
      </c>
      <c r="H112" t="s">
        <v>293</v>
      </c>
      <c r="I112" t="s">
        <v>297</v>
      </c>
    </row>
    <row r="113" spans="1:9" x14ac:dyDescent="0.25">
      <c r="A113" t="s">
        <v>290</v>
      </c>
      <c r="B113" t="s">
        <v>498</v>
      </c>
      <c r="C113" t="s">
        <v>475</v>
      </c>
      <c r="E113" t="s">
        <v>296</v>
      </c>
      <c r="F113" t="s">
        <v>477</v>
      </c>
      <c r="G113" t="s">
        <v>114</v>
      </c>
      <c r="H113" t="s">
        <v>293</v>
      </c>
      <c r="I113" t="s">
        <v>297</v>
      </c>
    </row>
    <row r="114" spans="1:9" x14ac:dyDescent="0.25">
      <c r="A114" t="s">
        <v>319</v>
      </c>
      <c r="B114" t="s">
        <v>498</v>
      </c>
      <c r="C114" t="s">
        <v>469</v>
      </c>
      <c r="D114" t="s">
        <v>296</v>
      </c>
      <c r="E114" t="s">
        <v>296</v>
      </c>
      <c r="F114" t="s">
        <v>477</v>
      </c>
      <c r="G114" t="s">
        <v>152</v>
      </c>
      <c r="H114" t="s">
        <v>320</v>
      </c>
      <c r="I114" t="s">
        <v>321</v>
      </c>
    </row>
    <row r="115" spans="1:9" x14ac:dyDescent="0.25">
      <c r="A115" t="s">
        <v>319</v>
      </c>
      <c r="B115" t="s">
        <v>498</v>
      </c>
      <c r="C115" t="s">
        <v>20</v>
      </c>
      <c r="D115" t="s">
        <v>321</v>
      </c>
      <c r="E115" t="s">
        <v>296</v>
      </c>
      <c r="F115" t="s">
        <v>477</v>
      </c>
      <c r="G115" t="s">
        <v>152</v>
      </c>
      <c r="H115" t="s">
        <v>320</v>
      </c>
      <c r="I115" t="s">
        <v>321</v>
      </c>
    </row>
    <row r="116" spans="1:9" x14ac:dyDescent="0.25">
      <c r="A116" t="s">
        <v>319</v>
      </c>
      <c r="B116" t="s">
        <v>498</v>
      </c>
      <c r="C116" t="s">
        <v>470</v>
      </c>
      <c r="E116" t="s">
        <v>296</v>
      </c>
      <c r="F116" t="s">
        <v>477</v>
      </c>
      <c r="G116" t="s">
        <v>152</v>
      </c>
      <c r="H116" t="s">
        <v>320</v>
      </c>
      <c r="I116" t="s">
        <v>321</v>
      </c>
    </row>
    <row r="117" spans="1:9" x14ac:dyDescent="0.25">
      <c r="A117" t="s">
        <v>319</v>
      </c>
      <c r="B117" t="s">
        <v>498</v>
      </c>
      <c r="C117" t="s">
        <v>471</v>
      </c>
      <c r="E117" t="s">
        <v>296</v>
      </c>
      <c r="F117" t="s">
        <v>477</v>
      </c>
      <c r="G117" t="s">
        <v>152</v>
      </c>
      <c r="H117" t="s">
        <v>320</v>
      </c>
      <c r="I117" t="s">
        <v>321</v>
      </c>
    </row>
    <row r="118" spans="1:9" x14ac:dyDescent="0.25">
      <c r="A118" t="s">
        <v>319</v>
      </c>
      <c r="B118" t="s">
        <v>498</v>
      </c>
      <c r="C118" t="s">
        <v>472</v>
      </c>
      <c r="E118" t="s">
        <v>296</v>
      </c>
      <c r="F118" t="s">
        <v>477</v>
      </c>
      <c r="G118" t="s">
        <v>152</v>
      </c>
      <c r="H118" t="s">
        <v>320</v>
      </c>
      <c r="I118" t="s">
        <v>321</v>
      </c>
    </row>
    <row r="119" spans="1:9" x14ac:dyDescent="0.25">
      <c r="A119" t="s">
        <v>319</v>
      </c>
      <c r="B119" t="s">
        <v>498</v>
      </c>
      <c r="C119" t="s">
        <v>473</v>
      </c>
      <c r="E119" t="s">
        <v>296</v>
      </c>
      <c r="F119" t="s">
        <v>477</v>
      </c>
      <c r="G119" t="s">
        <v>152</v>
      </c>
      <c r="H119" t="s">
        <v>320</v>
      </c>
      <c r="I119" t="s">
        <v>321</v>
      </c>
    </row>
    <row r="120" spans="1:9" x14ac:dyDescent="0.25">
      <c r="A120" t="s">
        <v>319</v>
      </c>
      <c r="B120" t="s">
        <v>498</v>
      </c>
      <c r="C120" t="s">
        <v>474</v>
      </c>
      <c r="E120" t="s">
        <v>296</v>
      </c>
      <c r="F120" t="s">
        <v>477</v>
      </c>
      <c r="G120" t="s">
        <v>152</v>
      </c>
      <c r="H120" t="s">
        <v>320</v>
      </c>
      <c r="I120" t="s">
        <v>321</v>
      </c>
    </row>
    <row r="121" spans="1:9" x14ac:dyDescent="0.25">
      <c r="A121" t="s">
        <v>319</v>
      </c>
      <c r="B121" t="s">
        <v>498</v>
      </c>
      <c r="C121" t="s">
        <v>475</v>
      </c>
      <c r="E121" t="s">
        <v>296</v>
      </c>
      <c r="F121" t="s">
        <v>477</v>
      </c>
      <c r="G121" t="s">
        <v>152</v>
      </c>
      <c r="H121" t="s">
        <v>320</v>
      </c>
      <c r="I121" t="s">
        <v>321</v>
      </c>
    </row>
    <row r="122" spans="1:9" x14ac:dyDescent="0.25">
      <c r="A122" t="s">
        <v>422</v>
      </c>
      <c r="B122" t="s">
        <v>513</v>
      </c>
      <c r="C122" t="s">
        <v>469</v>
      </c>
      <c r="D122" t="s">
        <v>426</v>
      </c>
      <c r="E122" t="s">
        <v>426</v>
      </c>
      <c r="F122" t="s">
        <v>477</v>
      </c>
      <c r="G122" t="s">
        <v>42</v>
      </c>
      <c r="H122" t="s">
        <v>271</v>
      </c>
      <c r="I122" t="s">
        <v>15</v>
      </c>
    </row>
    <row r="123" spans="1:9" x14ac:dyDescent="0.25">
      <c r="A123" t="s">
        <v>422</v>
      </c>
      <c r="B123" t="s">
        <v>513</v>
      </c>
      <c r="C123" t="s">
        <v>20</v>
      </c>
      <c r="D123" t="s">
        <v>514</v>
      </c>
      <c r="E123" t="s">
        <v>426</v>
      </c>
      <c r="F123" t="s">
        <v>477</v>
      </c>
      <c r="G123" t="s">
        <v>42</v>
      </c>
      <c r="H123" t="s">
        <v>271</v>
      </c>
      <c r="I123" t="s">
        <v>15</v>
      </c>
    </row>
    <row r="124" spans="1:9" x14ac:dyDescent="0.25">
      <c r="A124" t="s">
        <v>422</v>
      </c>
      <c r="B124" t="s">
        <v>513</v>
      </c>
      <c r="C124" t="s">
        <v>470</v>
      </c>
      <c r="D124">
        <v>20</v>
      </c>
      <c r="E124" t="s">
        <v>426</v>
      </c>
      <c r="F124" t="s">
        <v>477</v>
      </c>
      <c r="G124" t="s">
        <v>42</v>
      </c>
      <c r="H124" t="s">
        <v>271</v>
      </c>
      <c r="I124" t="s">
        <v>15</v>
      </c>
    </row>
    <row r="125" spans="1:9" x14ac:dyDescent="0.25">
      <c r="A125" t="s">
        <v>422</v>
      </c>
      <c r="B125" t="s">
        <v>513</v>
      </c>
      <c r="C125" t="s">
        <v>471</v>
      </c>
      <c r="D125">
        <v>1</v>
      </c>
      <c r="E125" t="s">
        <v>426</v>
      </c>
      <c r="F125" t="s">
        <v>477</v>
      </c>
      <c r="G125" t="s">
        <v>42</v>
      </c>
      <c r="H125" t="s">
        <v>271</v>
      </c>
      <c r="I125" t="s">
        <v>15</v>
      </c>
    </row>
    <row r="126" spans="1:9" x14ac:dyDescent="0.25">
      <c r="A126" t="s">
        <v>422</v>
      </c>
      <c r="B126" t="s">
        <v>513</v>
      </c>
      <c r="C126" t="s">
        <v>472</v>
      </c>
      <c r="D126">
        <v>4</v>
      </c>
      <c r="E126" t="s">
        <v>426</v>
      </c>
      <c r="F126" t="s">
        <v>477</v>
      </c>
      <c r="G126" t="s">
        <v>42</v>
      </c>
      <c r="H126" t="s">
        <v>271</v>
      </c>
      <c r="I126" t="s">
        <v>15</v>
      </c>
    </row>
    <row r="127" spans="1:9" x14ac:dyDescent="0.25">
      <c r="A127" t="s">
        <v>422</v>
      </c>
      <c r="B127" t="s">
        <v>513</v>
      </c>
      <c r="C127" t="s">
        <v>473</v>
      </c>
      <c r="D127" t="s">
        <v>515</v>
      </c>
      <c r="E127" t="s">
        <v>426</v>
      </c>
      <c r="F127" t="s">
        <v>477</v>
      </c>
      <c r="G127" t="s">
        <v>42</v>
      </c>
      <c r="H127" t="s">
        <v>271</v>
      </c>
      <c r="I127" t="s">
        <v>15</v>
      </c>
    </row>
    <row r="128" spans="1:9" x14ac:dyDescent="0.25">
      <c r="A128" t="s">
        <v>422</v>
      </c>
      <c r="B128" t="s">
        <v>513</v>
      </c>
      <c r="C128" t="s">
        <v>474</v>
      </c>
      <c r="D128" t="s">
        <v>479</v>
      </c>
      <c r="E128" t="s">
        <v>426</v>
      </c>
      <c r="F128" t="s">
        <v>477</v>
      </c>
      <c r="G128" t="s">
        <v>42</v>
      </c>
      <c r="H128" t="s">
        <v>271</v>
      </c>
      <c r="I128" t="s">
        <v>15</v>
      </c>
    </row>
    <row r="129" spans="1:9" x14ac:dyDescent="0.25">
      <c r="A129" t="s">
        <v>422</v>
      </c>
      <c r="B129" t="s">
        <v>513</v>
      </c>
      <c r="C129" t="s">
        <v>475</v>
      </c>
      <c r="D129" t="s">
        <v>516</v>
      </c>
      <c r="E129" t="s">
        <v>426</v>
      </c>
      <c r="F129" t="s">
        <v>477</v>
      </c>
      <c r="G129" t="s">
        <v>42</v>
      </c>
      <c r="H129" t="s">
        <v>271</v>
      </c>
      <c r="I129" t="s">
        <v>15</v>
      </c>
    </row>
    <row r="130" spans="1:9" x14ac:dyDescent="0.25">
      <c r="A130" t="s">
        <v>422</v>
      </c>
      <c r="B130" t="s">
        <v>513</v>
      </c>
      <c r="C130" t="s">
        <v>469</v>
      </c>
      <c r="D130" t="s">
        <v>426</v>
      </c>
      <c r="E130" t="s">
        <v>426</v>
      </c>
      <c r="F130" t="s">
        <v>477</v>
      </c>
      <c r="G130" t="s">
        <v>114</v>
      </c>
      <c r="H130" t="s">
        <v>293</v>
      </c>
      <c r="I130" t="s">
        <v>15</v>
      </c>
    </row>
    <row r="131" spans="1:9" x14ac:dyDescent="0.25">
      <c r="A131" t="s">
        <v>422</v>
      </c>
      <c r="B131" t="s">
        <v>513</v>
      </c>
      <c r="C131" t="s">
        <v>20</v>
      </c>
      <c r="D131" t="s">
        <v>514</v>
      </c>
      <c r="E131" t="s">
        <v>426</v>
      </c>
      <c r="F131" t="s">
        <v>477</v>
      </c>
      <c r="G131" t="s">
        <v>114</v>
      </c>
      <c r="H131" t="s">
        <v>293</v>
      </c>
      <c r="I131" t="s">
        <v>15</v>
      </c>
    </row>
    <row r="132" spans="1:9" x14ac:dyDescent="0.25">
      <c r="A132" t="s">
        <v>422</v>
      </c>
      <c r="B132" t="s">
        <v>513</v>
      </c>
      <c r="C132" t="s">
        <v>470</v>
      </c>
      <c r="D132">
        <v>20</v>
      </c>
      <c r="E132" t="s">
        <v>426</v>
      </c>
      <c r="F132" t="s">
        <v>477</v>
      </c>
      <c r="G132" t="s">
        <v>114</v>
      </c>
      <c r="H132" t="s">
        <v>293</v>
      </c>
      <c r="I132" t="s">
        <v>15</v>
      </c>
    </row>
    <row r="133" spans="1:9" x14ac:dyDescent="0.25">
      <c r="A133" t="s">
        <v>422</v>
      </c>
      <c r="B133" t="s">
        <v>513</v>
      </c>
      <c r="C133" t="s">
        <v>471</v>
      </c>
      <c r="D133">
        <v>1</v>
      </c>
      <c r="E133" t="s">
        <v>426</v>
      </c>
      <c r="F133" t="s">
        <v>477</v>
      </c>
      <c r="G133" t="s">
        <v>114</v>
      </c>
      <c r="H133" t="s">
        <v>293</v>
      </c>
      <c r="I133" t="s">
        <v>15</v>
      </c>
    </row>
    <row r="134" spans="1:9" x14ac:dyDescent="0.25">
      <c r="A134" t="s">
        <v>422</v>
      </c>
      <c r="B134" t="s">
        <v>513</v>
      </c>
      <c r="C134" t="s">
        <v>472</v>
      </c>
      <c r="D134">
        <v>4</v>
      </c>
      <c r="E134" t="s">
        <v>426</v>
      </c>
      <c r="F134" t="s">
        <v>477</v>
      </c>
      <c r="G134" t="s">
        <v>114</v>
      </c>
      <c r="H134" t="s">
        <v>293</v>
      </c>
      <c r="I134" t="s">
        <v>15</v>
      </c>
    </row>
    <row r="135" spans="1:9" x14ac:dyDescent="0.25">
      <c r="A135" t="s">
        <v>422</v>
      </c>
      <c r="B135" t="s">
        <v>513</v>
      </c>
      <c r="C135" t="s">
        <v>473</v>
      </c>
      <c r="D135" t="s">
        <v>515</v>
      </c>
      <c r="E135" t="s">
        <v>426</v>
      </c>
      <c r="F135" t="s">
        <v>477</v>
      </c>
      <c r="G135" t="s">
        <v>114</v>
      </c>
      <c r="H135" t="s">
        <v>293</v>
      </c>
      <c r="I135" t="s">
        <v>15</v>
      </c>
    </row>
    <row r="136" spans="1:9" x14ac:dyDescent="0.25">
      <c r="A136" t="s">
        <v>422</v>
      </c>
      <c r="B136" t="s">
        <v>513</v>
      </c>
      <c r="C136" t="s">
        <v>474</v>
      </c>
      <c r="D136" t="s">
        <v>479</v>
      </c>
      <c r="E136" t="s">
        <v>426</v>
      </c>
      <c r="F136" t="s">
        <v>477</v>
      </c>
      <c r="G136" t="s">
        <v>114</v>
      </c>
      <c r="H136" t="s">
        <v>293</v>
      </c>
      <c r="I136" t="s">
        <v>15</v>
      </c>
    </row>
    <row r="137" spans="1:9" x14ac:dyDescent="0.25">
      <c r="A137" t="s">
        <v>422</v>
      </c>
      <c r="B137" t="s">
        <v>513</v>
      </c>
      <c r="C137" t="s">
        <v>475</v>
      </c>
      <c r="D137" t="s">
        <v>516</v>
      </c>
      <c r="E137" t="s">
        <v>426</v>
      </c>
      <c r="F137" t="s">
        <v>477</v>
      </c>
      <c r="G137" t="s">
        <v>114</v>
      </c>
      <c r="H137" t="s">
        <v>293</v>
      </c>
      <c r="I137" t="s">
        <v>15</v>
      </c>
    </row>
    <row r="138" spans="1:9" x14ac:dyDescent="0.25">
      <c r="A138" t="s">
        <v>422</v>
      </c>
      <c r="B138" t="s">
        <v>513</v>
      </c>
      <c r="C138" t="s">
        <v>469</v>
      </c>
      <c r="D138" t="s">
        <v>426</v>
      </c>
      <c r="E138" t="s">
        <v>426</v>
      </c>
      <c r="F138" t="s">
        <v>477</v>
      </c>
      <c r="G138" t="s">
        <v>133</v>
      </c>
      <c r="H138" t="s">
        <v>312</v>
      </c>
      <c r="I138" t="s">
        <v>15</v>
      </c>
    </row>
    <row r="139" spans="1:9" x14ac:dyDescent="0.25">
      <c r="A139" t="s">
        <v>422</v>
      </c>
      <c r="B139" t="s">
        <v>513</v>
      </c>
      <c r="C139" t="s">
        <v>20</v>
      </c>
      <c r="D139" t="s">
        <v>514</v>
      </c>
      <c r="E139" t="s">
        <v>426</v>
      </c>
      <c r="F139" t="s">
        <v>477</v>
      </c>
      <c r="G139" t="s">
        <v>133</v>
      </c>
      <c r="H139" t="s">
        <v>312</v>
      </c>
      <c r="I139" t="s">
        <v>15</v>
      </c>
    </row>
    <row r="140" spans="1:9" x14ac:dyDescent="0.25">
      <c r="A140" t="s">
        <v>422</v>
      </c>
      <c r="B140" t="s">
        <v>513</v>
      </c>
      <c r="C140" t="s">
        <v>470</v>
      </c>
      <c r="D140">
        <v>20</v>
      </c>
      <c r="E140" t="s">
        <v>426</v>
      </c>
      <c r="F140" t="s">
        <v>477</v>
      </c>
      <c r="G140" t="s">
        <v>133</v>
      </c>
      <c r="H140" t="s">
        <v>312</v>
      </c>
      <c r="I140" t="s">
        <v>15</v>
      </c>
    </row>
    <row r="141" spans="1:9" x14ac:dyDescent="0.25">
      <c r="A141" t="s">
        <v>422</v>
      </c>
      <c r="B141" t="s">
        <v>513</v>
      </c>
      <c r="C141" t="s">
        <v>471</v>
      </c>
      <c r="D141">
        <v>1</v>
      </c>
      <c r="E141" t="s">
        <v>426</v>
      </c>
      <c r="F141" t="s">
        <v>477</v>
      </c>
      <c r="G141" t="s">
        <v>133</v>
      </c>
      <c r="H141" t="s">
        <v>312</v>
      </c>
      <c r="I141" t="s">
        <v>15</v>
      </c>
    </row>
    <row r="142" spans="1:9" x14ac:dyDescent="0.25">
      <c r="A142" t="s">
        <v>422</v>
      </c>
      <c r="B142" t="s">
        <v>513</v>
      </c>
      <c r="C142" t="s">
        <v>472</v>
      </c>
      <c r="D142">
        <v>4</v>
      </c>
      <c r="E142" t="s">
        <v>426</v>
      </c>
      <c r="F142" t="s">
        <v>477</v>
      </c>
      <c r="G142" t="s">
        <v>133</v>
      </c>
      <c r="H142" t="s">
        <v>312</v>
      </c>
      <c r="I142" t="s">
        <v>15</v>
      </c>
    </row>
    <row r="143" spans="1:9" x14ac:dyDescent="0.25">
      <c r="A143" t="s">
        <v>422</v>
      </c>
      <c r="B143" t="s">
        <v>513</v>
      </c>
      <c r="C143" t="s">
        <v>473</v>
      </c>
      <c r="D143" t="s">
        <v>515</v>
      </c>
      <c r="E143" t="s">
        <v>426</v>
      </c>
      <c r="F143" t="s">
        <v>477</v>
      </c>
      <c r="G143" t="s">
        <v>133</v>
      </c>
      <c r="H143" t="s">
        <v>312</v>
      </c>
      <c r="I143" t="s">
        <v>15</v>
      </c>
    </row>
    <row r="144" spans="1:9" x14ac:dyDescent="0.25">
      <c r="A144" t="s">
        <v>422</v>
      </c>
      <c r="B144" t="s">
        <v>513</v>
      </c>
      <c r="C144" t="s">
        <v>474</v>
      </c>
      <c r="D144" t="s">
        <v>479</v>
      </c>
      <c r="E144" t="s">
        <v>426</v>
      </c>
      <c r="F144" t="s">
        <v>477</v>
      </c>
      <c r="G144" t="s">
        <v>133</v>
      </c>
      <c r="H144" t="s">
        <v>312</v>
      </c>
      <c r="I144" t="s">
        <v>15</v>
      </c>
    </row>
    <row r="145" spans="1:9" x14ac:dyDescent="0.25">
      <c r="A145" t="s">
        <v>422</v>
      </c>
      <c r="B145" t="s">
        <v>513</v>
      </c>
      <c r="C145" t="s">
        <v>475</v>
      </c>
      <c r="D145" t="s">
        <v>516</v>
      </c>
      <c r="E145" t="s">
        <v>426</v>
      </c>
      <c r="F145" t="s">
        <v>477</v>
      </c>
      <c r="G145" t="s">
        <v>133</v>
      </c>
      <c r="H145" t="s">
        <v>312</v>
      </c>
      <c r="I145" t="s">
        <v>15</v>
      </c>
    </row>
    <row r="146" spans="1:9" x14ac:dyDescent="0.25">
      <c r="A146" t="s">
        <v>422</v>
      </c>
      <c r="B146" t="s">
        <v>513</v>
      </c>
      <c r="C146" t="s">
        <v>469</v>
      </c>
      <c r="D146" t="s">
        <v>426</v>
      </c>
      <c r="E146" t="s">
        <v>426</v>
      </c>
      <c r="F146" t="s">
        <v>477</v>
      </c>
      <c r="G146" t="s">
        <v>152</v>
      </c>
      <c r="H146" t="s">
        <v>320</v>
      </c>
      <c r="I146" t="s">
        <v>15</v>
      </c>
    </row>
    <row r="147" spans="1:9" x14ac:dyDescent="0.25">
      <c r="A147" t="s">
        <v>422</v>
      </c>
      <c r="B147" t="s">
        <v>513</v>
      </c>
      <c r="C147" t="s">
        <v>20</v>
      </c>
      <c r="D147" t="s">
        <v>514</v>
      </c>
      <c r="E147" t="s">
        <v>426</v>
      </c>
      <c r="F147" t="s">
        <v>477</v>
      </c>
      <c r="G147" t="s">
        <v>152</v>
      </c>
      <c r="H147" t="s">
        <v>320</v>
      </c>
      <c r="I147" t="s">
        <v>15</v>
      </c>
    </row>
    <row r="148" spans="1:9" x14ac:dyDescent="0.25">
      <c r="A148" t="s">
        <v>422</v>
      </c>
      <c r="B148" t="s">
        <v>513</v>
      </c>
      <c r="C148" t="s">
        <v>470</v>
      </c>
      <c r="D148">
        <v>20</v>
      </c>
      <c r="E148" t="s">
        <v>426</v>
      </c>
      <c r="F148" t="s">
        <v>477</v>
      </c>
      <c r="G148" t="s">
        <v>152</v>
      </c>
      <c r="H148" t="s">
        <v>320</v>
      </c>
      <c r="I148" t="s">
        <v>15</v>
      </c>
    </row>
    <row r="149" spans="1:9" x14ac:dyDescent="0.25">
      <c r="A149" t="s">
        <v>422</v>
      </c>
      <c r="B149" t="s">
        <v>513</v>
      </c>
      <c r="C149" t="s">
        <v>471</v>
      </c>
      <c r="D149">
        <v>1</v>
      </c>
      <c r="E149" t="s">
        <v>426</v>
      </c>
      <c r="F149" t="s">
        <v>477</v>
      </c>
      <c r="G149" t="s">
        <v>152</v>
      </c>
      <c r="H149" t="s">
        <v>320</v>
      </c>
      <c r="I149" t="s">
        <v>15</v>
      </c>
    </row>
    <row r="150" spans="1:9" x14ac:dyDescent="0.25">
      <c r="A150" t="s">
        <v>422</v>
      </c>
      <c r="B150" t="s">
        <v>513</v>
      </c>
      <c r="C150" t="s">
        <v>472</v>
      </c>
      <c r="D150">
        <v>4</v>
      </c>
      <c r="E150" t="s">
        <v>426</v>
      </c>
      <c r="F150" t="s">
        <v>477</v>
      </c>
      <c r="G150" t="s">
        <v>152</v>
      </c>
      <c r="H150" t="s">
        <v>320</v>
      </c>
      <c r="I150" t="s">
        <v>15</v>
      </c>
    </row>
    <row r="151" spans="1:9" x14ac:dyDescent="0.25">
      <c r="A151" t="s">
        <v>422</v>
      </c>
      <c r="B151" t="s">
        <v>513</v>
      </c>
      <c r="C151" t="s">
        <v>473</v>
      </c>
      <c r="D151" t="s">
        <v>515</v>
      </c>
      <c r="E151" t="s">
        <v>426</v>
      </c>
      <c r="F151" t="s">
        <v>477</v>
      </c>
      <c r="G151" t="s">
        <v>152</v>
      </c>
      <c r="H151" t="s">
        <v>320</v>
      </c>
      <c r="I151" t="s">
        <v>15</v>
      </c>
    </row>
    <row r="152" spans="1:9" x14ac:dyDescent="0.25">
      <c r="A152" t="s">
        <v>422</v>
      </c>
      <c r="B152" t="s">
        <v>513</v>
      </c>
      <c r="C152" t="s">
        <v>474</v>
      </c>
      <c r="D152" t="s">
        <v>479</v>
      </c>
      <c r="E152" t="s">
        <v>426</v>
      </c>
      <c r="F152" t="s">
        <v>477</v>
      </c>
      <c r="G152" t="s">
        <v>152</v>
      </c>
      <c r="H152" t="s">
        <v>320</v>
      </c>
      <c r="I152" t="s">
        <v>15</v>
      </c>
    </row>
    <row r="153" spans="1:9" x14ac:dyDescent="0.25">
      <c r="A153" t="s">
        <v>422</v>
      </c>
      <c r="B153" t="s">
        <v>513</v>
      </c>
      <c r="C153" t="s">
        <v>475</v>
      </c>
      <c r="D153" t="s">
        <v>516</v>
      </c>
      <c r="E153" t="s">
        <v>426</v>
      </c>
      <c r="F153" t="s">
        <v>477</v>
      </c>
      <c r="G153" t="s">
        <v>152</v>
      </c>
      <c r="H153" t="s">
        <v>320</v>
      </c>
      <c r="I153" t="s">
        <v>15</v>
      </c>
    </row>
    <row r="154" spans="1:9" x14ac:dyDescent="0.25">
      <c r="A154" t="s">
        <v>290</v>
      </c>
      <c r="B154" t="s">
        <v>499</v>
      </c>
      <c r="C154" t="s">
        <v>469</v>
      </c>
      <c r="D154" t="s">
        <v>299</v>
      </c>
      <c r="E154" t="s">
        <v>299</v>
      </c>
      <c r="F154" t="s">
        <v>477</v>
      </c>
      <c r="G154" t="s">
        <v>114</v>
      </c>
      <c r="H154" t="s">
        <v>293</v>
      </c>
      <c r="I154" t="s">
        <v>300</v>
      </c>
    </row>
    <row r="155" spans="1:9" x14ac:dyDescent="0.25">
      <c r="A155" t="s">
        <v>290</v>
      </c>
      <c r="B155" t="s">
        <v>499</v>
      </c>
      <c r="C155" t="s">
        <v>20</v>
      </c>
      <c r="D155" t="s">
        <v>300</v>
      </c>
      <c r="E155" t="s">
        <v>299</v>
      </c>
      <c r="F155" t="s">
        <v>477</v>
      </c>
      <c r="G155" t="s">
        <v>114</v>
      </c>
      <c r="H155" t="s">
        <v>293</v>
      </c>
      <c r="I155" t="s">
        <v>300</v>
      </c>
    </row>
    <row r="156" spans="1:9" x14ac:dyDescent="0.25">
      <c r="A156" t="s">
        <v>290</v>
      </c>
      <c r="B156" t="s">
        <v>499</v>
      </c>
      <c r="C156" t="s">
        <v>470</v>
      </c>
      <c r="D156">
        <v>20</v>
      </c>
      <c r="E156" t="s">
        <v>299</v>
      </c>
      <c r="F156" t="s">
        <v>477</v>
      </c>
      <c r="G156" t="s">
        <v>114</v>
      </c>
      <c r="H156" t="s">
        <v>293</v>
      </c>
      <c r="I156" t="s">
        <v>300</v>
      </c>
    </row>
    <row r="157" spans="1:9" x14ac:dyDescent="0.25">
      <c r="A157" t="s">
        <v>290</v>
      </c>
      <c r="B157" t="s">
        <v>499</v>
      </c>
      <c r="C157" t="s">
        <v>471</v>
      </c>
      <c r="D157">
        <v>2</v>
      </c>
      <c r="E157" t="s">
        <v>299</v>
      </c>
      <c r="F157" t="s">
        <v>477</v>
      </c>
      <c r="G157" t="s">
        <v>114</v>
      </c>
      <c r="H157" t="s">
        <v>293</v>
      </c>
      <c r="I157" t="s">
        <v>300</v>
      </c>
    </row>
    <row r="158" spans="1:9" x14ac:dyDescent="0.25">
      <c r="A158" t="s">
        <v>290</v>
      </c>
      <c r="B158" t="s">
        <v>499</v>
      </c>
      <c r="C158" t="s">
        <v>472</v>
      </c>
      <c r="D158">
        <v>5</v>
      </c>
      <c r="E158" t="s">
        <v>299</v>
      </c>
      <c r="F158" t="s">
        <v>477</v>
      </c>
      <c r="G158" t="s">
        <v>114</v>
      </c>
      <c r="H158" t="s">
        <v>293</v>
      </c>
      <c r="I158" t="s">
        <v>300</v>
      </c>
    </row>
    <row r="159" spans="1:9" x14ac:dyDescent="0.25">
      <c r="A159" t="s">
        <v>290</v>
      </c>
      <c r="B159" t="s">
        <v>499</v>
      </c>
      <c r="C159" t="s">
        <v>473</v>
      </c>
      <c r="D159" t="s">
        <v>497</v>
      </c>
      <c r="E159" t="s">
        <v>299</v>
      </c>
      <c r="F159" t="s">
        <v>477</v>
      </c>
      <c r="G159" t="s">
        <v>114</v>
      </c>
      <c r="H159" t="s">
        <v>293</v>
      </c>
      <c r="I159" t="s">
        <v>300</v>
      </c>
    </row>
    <row r="160" spans="1:9" x14ac:dyDescent="0.25">
      <c r="A160" t="s">
        <v>290</v>
      </c>
      <c r="B160" t="s">
        <v>499</v>
      </c>
      <c r="C160" t="s">
        <v>474</v>
      </c>
      <c r="D160" t="s">
        <v>494</v>
      </c>
      <c r="E160" t="s">
        <v>299</v>
      </c>
      <c r="F160" t="s">
        <v>477</v>
      </c>
      <c r="G160" t="s">
        <v>114</v>
      </c>
      <c r="H160" t="s">
        <v>293</v>
      </c>
      <c r="I160" t="s">
        <v>300</v>
      </c>
    </row>
    <row r="161" spans="1:9" x14ac:dyDescent="0.25">
      <c r="A161" t="s">
        <v>290</v>
      </c>
      <c r="B161" t="s">
        <v>499</v>
      </c>
      <c r="C161" t="s">
        <v>475</v>
      </c>
      <c r="D161" t="s">
        <v>114</v>
      </c>
      <c r="E161" t="s">
        <v>299</v>
      </c>
      <c r="F161" t="s">
        <v>477</v>
      </c>
      <c r="G161" t="s">
        <v>114</v>
      </c>
      <c r="H161" t="s">
        <v>293</v>
      </c>
      <c r="I161" t="s">
        <v>300</v>
      </c>
    </row>
    <row r="162" spans="1:9" x14ac:dyDescent="0.25">
      <c r="A162" t="s">
        <v>422</v>
      </c>
      <c r="B162" t="s">
        <v>517</v>
      </c>
      <c r="C162" t="s">
        <v>469</v>
      </c>
      <c r="D162" t="s">
        <v>428</v>
      </c>
      <c r="E162" t="s">
        <v>428</v>
      </c>
      <c r="F162" t="s">
        <v>477</v>
      </c>
      <c r="G162" t="s">
        <v>42</v>
      </c>
      <c r="H162" t="s">
        <v>271</v>
      </c>
      <c r="I162" t="s">
        <v>17</v>
      </c>
    </row>
    <row r="163" spans="1:9" x14ac:dyDescent="0.25">
      <c r="A163" t="s">
        <v>422</v>
      </c>
      <c r="B163" t="s">
        <v>517</v>
      </c>
      <c r="C163" t="s">
        <v>20</v>
      </c>
      <c r="D163" t="s">
        <v>17</v>
      </c>
      <c r="E163" t="s">
        <v>428</v>
      </c>
      <c r="F163" t="s">
        <v>477</v>
      </c>
      <c r="G163" t="s">
        <v>42</v>
      </c>
      <c r="H163" t="s">
        <v>271</v>
      </c>
      <c r="I163" t="s">
        <v>17</v>
      </c>
    </row>
    <row r="164" spans="1:9" x14ac:dyDescent="0.25">
      <c r="A164" t="s">
        <v>422</v>
      </c>
      <c r="B164" t="s">
        <v>517</v>
      </c>
      <c r="C164" t="s">
        <v>470</v>
      </c>
      <c r="D164">
        <v>20</v>
      </c>
      <c r="E164" t="s">
        <v>428</v>
      </c>
      <c r="F164" t="s">
        <v>477</v>
      </c>
      <c r="G164" t="s">
        <v>42</v>
      </c>
      <c r="H164" t="s">
        <v>271</v>
      </c>
      <c r="I164" t="s">
        <v>17</v>
      </c>
    </row>
    <row r="165" spans="1:9" x14ac:dyDescent="0.25">
      <c r="A165" t="s">
        <v>422</v>
      </c>
      <c r="B165" t="s">
        <v>517</v>
      </c>
      <c r="C165" t="s">
        <v>471</v>
      </c>
      <c r="D165">
        <v>2</v>
      </c>
      <c r="E165" t="s">
        <v>428</v>
      </c>
      <c r="F165" t="s">
        <v>477</v>
      </c>
      <c r="G165" t="s">
        <v>42</v>
      </c>
      <c r="H165" t="s">
        <v>271</v>
      </c>
      <c r="I165" t="s">
        <v>17</v>
      </c>
    </row>
    <row r="166" spans="1:9" x14ac:dyDescent="0.25">
      <c r="A166" t="s">
        <v>422</v>
      </c>
      <c r="B166" t="s">
        <v>517</v>
      </c>
      <c r="C166" t="s">
        <v>472</v>
      </c>
      <c r="D166">
        <v>4</v>
      </c>
      <c r="E166" t="s">
        <v>428</v>
      </c>
      <c r="F166" t="s">
        <v>477</v>
      </c>
      <c r="G166" t="s">
        <v>42</v>
      </c>
      <c r="H166" t="s">
        <v>271</v>
      </c>
      <c r="I166" t="s">
        <v>17</v>
      </c>
    </row>
    <row r="167" spans="1:9" x14ac:dyDescent="0.25">
      <c r="A167" t="s">
        <v>422</v>
      </c>
      <c r="B167" t="s">
        <v>517</v>
      </c>
      <c r="C167" t="s">
        <v>473</v>
      </c>
      <c r="D167" t="s">
        <v>518</v>
      </c>
      <c r="E167" t="s">
        <v>428</v>
      </c>
      <c r="F167" t="s">
        <v>477</v>
      </c>
      <c r="G167" t="s">
        <v>42</v>
      </c>
      <c r="H167" t="s">
        <v>271</v>
      </c>
      <c r="I167" t="s">
        <v>17</v>
      </c>
    </row>
    <row r="168" spans="1:9" x14ac:dyDescent="0.25">
      <c r="A168" t="s">
        <v>422</v>
      </c>
      <c r="B168" t="s">
        <v>517</v>
      </c>
      <c r="C168" t="s">
        <v>474</v>
      </c>
      <c r="D168" t="s">
        <v>479</v>
      </c>
      <c r="E168" t="s">
        <v>428</v>
      </c>
      <c r="F168" t="s">
        <v>477</v>
      </c>
      <c r="G168" t="s">
        <v>42</v>
      </c>
      <c r="H168" t="s">
        <v>271</v>
      </c>
      <c r="I168" t="s">
        <v>17</v>
      </c>
    </row>
    <row r="169" spans="1:9" x14ac:dyDescent="0.25">
      <c r="A169" t="s">
        <v>422</v>
      </c>
      <c r="B169" t="s">
        <v>517</v>
      </c>
      <c r="C169" t="s">
        <v>475</v>
      </c>
      <c r="D169" t="s">
        <v>519</v>
      </c>
      <c r="E169" t="s">
        <v>428</v>
      </c>
      <c r="F169" t="s">
        <v>477</v>
      </c>
      <c r="G169" t="s">
        <v>42</v>
      </c>
      <c r="H169" t="s">
        <v>271</v>
      </c>
      <c r="I169" t="s">
        <v>17</v>
      </c>
    </row>
    <row r="170" spans="1:9" x14ac:dyDescent="0.25">
      <c r="A170" t="s">
        <v>422</v>
      </c>
      <c r="B170" t="s">
        <v>517</v>
      </c>
      <c r="C170" t="s">
        <v>469</v>
      </c>
      <c r="D170" t="s">
        <v>428</v>
      </c>
      <c r="E170" t="s">
        <v>428</v>
      </c>
      <c r="F170" t="s">
        <v>477</v>
      </c>
      <c r="G170" t="s">
        <v>114</v>
      </c>
      <c r="H170" t="s">
        <v>293</v>
      </c>
      <c r="I170" t="s">
        <v>17</v>
      </c>
    </row>
    <row r="171" spans="1:9" x14ac:dyDescent="0.25">
      <c r="A171" t="s">
        <v>422</v>
      </c>
      <c r="B171" t="s">
        <v>517</v>
      </c>
      <c r="C171" t="s">
        <v>20</v>
      </c>
      <c r="D171" t="s">
        <v>17</v>
      </c>
      <c r="E171" t="s">
        <v>428</v>
      </c>
      <c r="F171" t="s">
        <v>477</v>
      </c>
      <c r="G171" t="s">
        <v>114</v>
      </c>
      <c r="H171" t="s">
        <v>293</v>
      </c>
      <c r="I171" t="s">
        <v>17</v>
      </c>
    </row>
    <row r="172" spans="1:9" x14ac:dyDescent="0.25">
      <c r="A172" t="s">
        <v>422</v>
      </c>
      <c r="B172" t="s">
        <v>517</v>
      </c>
      <c r="C172" t="s">
        <v>470</v>
      </c>
      <c r="D172">
        <v>20</v>
      </c>
      <c r="E172" t="s">
        <v>428</v>
      </c>
      <c r="F172" t="s">
        <v>477</v>
      </c>
      <c r="G172" t="s">
        <v>114</v>
      </c>
      <c r="H172" t="s">
        <v>293</v>
      </c>
      <c r="I172" t="s">
        <v>17</v>
      </c>
    </row>
    <row r="173" spans="1:9" x14ac:dyDescent="0.25">
      <c r="A173" t="s">
        <v>422</v>
      </c>
      <c r="B173" t="s">
        <v>517</v>
      </c>
      <c r="C173" t="s">
        <v>471</v>
      </c>
      <c r="D173">
        <v>2</v>
      </c>
      <c r="E173" t="s">
        <v>428</v>
      </c>
      <c r="F173" t="s">
        <v>477</v>
      </c>
      <c r="G173" t="s">
        <v>114</v>
      </c>
      <c r="H173" t="s">
        <v>293</v>
      </c>
      <c r="I173" t="s">
        <v>17</v>
      </c>
    </row>
    <row r="174" spans="1:9" x14ac:dyDescent="0.25">
      <c r="A174" t="s">
        <v>422</v>
      </c>
      <c r="B174" t="s">
        <v>517</v>
      </c>
      <c r="C174" t="s">
        <v>472</v>
      </c>
      <c r="D174">
        <v>4</v>
      </c>
      <c r="E174" t="s">
        <v>428</v>
      </c>
      <c r="F174" t="s">
        <v>477</v>
      </c>
      <c r="G174" t="s">
        <v>114</v>
      </c>
      <c r="H174" t="s">
        <v>293</v>
      </c>
      <c r="I174" t="s">
        <v>17</v>
      </c>
    </row>
    <row r="175" spans="1:9" x14ac:dyDescent="0.25">
      <c r="A175" t="s">
        <v>422</v>
      </c>
      <c r="B175" t="s">
        <v>517</v>
      </c>
      <c r="C175" t="s">
        <v>473</v>
      </c>
      <c r="D175" t="s">
        <v>518</v>
      </c>
      <c r="E175" t="s">
        <v>428</v>
      </c>
      <c r="F175" t="s">
        <v>477</v>
      </c>
      <c r="G175" t="s">
        <v>114</v>
      </c>
      <c r="H175" t="s">
        <v>293</v>
      </c>
      <c r="I175" t="s">
        <v>17</v>
      </c>
    </row>
    <row r="176" spans="1:9" x14ac:dyDescent="0.25">
      <c r="A176" t="s">
        <v>422</v>
      </c>
      <c r="B176" t="s">
        <v>517</v>
      </c>
      <c r="C176" t="s">
        <v>474</v>
      </c>
      <c r="D176" t="s">
        <v>479</v>
      </c>
      <c r="E176" t="s">
        <v>428</v>
      </c>
      <c r="F176" t="s">
        <v>477</v>
      </c>
      <c r="G176" t="s">
        <v>114</v>
      </c>
      <c r="H176" t="s">
        <v>293</v>
      </c>
      <c r="I176" t="s">
        <v>17</v>
      </c>
    </row>
    <row r="177" spans="1:9" x14ac:dyDescent="0.25">
      <c r="A177" t="s">
        <v>422</v>
      </c>
      <c r="B177" t="s">
        <v>517</v>
      </c>
      <c r="C177" t="s">
        <v>475</v>
      </c>
      <c r="D177" t="s">
        <v>519</v>
      </c>
      <c r="E177" t="s">
        <v>428</v>
      </c>
      <c r="F177" t="s">
        <v>477</v>
      </c>
      <c r="G177" t="s">
        <v>114</v>
      </c>
      <c r="H177" t="s">
        <v>293</v>
      </c>
      <c r="I177" t="s">
        <v>17</v>
      </c>
    </row>
    <row r="178" spans="1:9" x14ac:dyDescent="0.25">
      <c r="A178" t="s">
        <v>422</v>
      </c>
      <c r="B178" t="s">
        <v>517</v>
      </c>
      <c r="C178" t="s">
        <v>469</v>
      </c>
      <c r="D178" t="s">
        <v>428</v>
      </c>
      <c r="E178" t="s">
        <v>428</v>
      </c>
      <c r="F178" t="s">
        <v>477</v>
      </c>
      <c r="G178" t="s">
        <v>133</v>
      </c>
      <c r="H178" t="s">
        <v>312</v>
      </c>
      <c r="I178" t="s">
        <v>17</v>
      </c>
    </row>
    <row r="179" spans="1:9" x14ac:dyDescent="0.25">
      <c r="A179" t="s">
        <v>422</v>
      </c>
      <c r="B179" t="s">
        <v>517</v>
      </c>
      <c r="C179" t="s">
        <v>20</v>
      </c>
      <c r="D179" t="s">
        <v>17</v>
      </c>
      <c r="E179" t="s">
        <v>428</v>
      </c>
      <c r="F179" t="s">
        <v>477</v>
      </c>
      <c r="G179" t="s">
        <v>133</v>
      </c>
      <c r="H179" t="s">
        <v>312</v>
      </c>
      <c r="I179" t="s">
        <v>17</v>
      </c>
    </row>
    <row r="180" spans="1:9" x14ac:dyDescent="0.25">
      <c r="A180" t="s">
        <v>422</v>
      </c>
      <c r="B180" t="s">
        <v>517</v>
      </c>
      <c r="C180" t="s">
        <v>470</v>
      </c>
      <c r="D180">
        <v>20</v>
      </c>
      <c r="E180" t="s">
        <v>428</v>
      </c>
      <c r="F180" t="s">
        <v>477</v>
      </c>
      <c r="G180" t="s">
        <v>133</v>
      </c>
      <c r="H180" t="s">
        <v>312</v>
      </c>
      <c r="I180" t="s">
        <v>17</v>
      </c>
    </row>
    <row r="181" spans="1:9" x14ac:dyDescent="0.25">
      <c r="A181" t="s">
        <v>422</v>
      </c>
      <c r="B181" t="s">
        <v>517</v>
      </c>
      <c r="C181" t="s">
        <v>471</v>
      </c>
      <c r="D181">
        <v>2</v>
      </c>
      <c r="E181" t="s">
        <v>428</v>
      </c>
      <c r="F181" t="s">
        <v>477</v>
      </c>
      <c r="G181" t="s">
        <v>133</v>
      </c>
      <c r="H181" t="s">
        <v>312</v>
      </c>
      <c r="I181" t="s">
        <v>17</v>
      </c>
    </row>
    <row r="182" spans="1:9" x14ac:dyDescent="0.25">
      <c r="A182" t="s">
        <v>422</v>
      </c>
      <c r="B182" t="s">
        <v>517</v>
      </c>
      <c r="C182" t="s">
        <v>472</v>
      </c>
      <c r="D182">
        <v>4</v>
      </c>
      <c r="E182" t="s">
        <v>428</v>
      </c>
      <c r="F182" t="s">
        <v>477</v>
      </c>
      <c r="G182" t="s">
        <v>133</v>
      </c>
      <c r="H182" t="s">
        <v>312</v>
      </c>
      <c r="I182" t="s">
        <v>17</v>
      </c>
    </row>
    <row r="183" spans="1:9" x14ac:dyDescent="0.25">
      <c r="A183" t="s">
        <v>422</v>
      </c>
      <c r="B183" t="s">
        <v>517</v>
      </c>
      <c r="C183" t="s">
        <v>473</v>
      </c>
      <c r="D183" t="s">
        <v>518</v>
      </c>
      <c r="E183" t="s">
        <v>428</v>
      </c>
      <c r="F183" t="s">
        <v>477</v>
      </c>
      <c r="G183" t="s">
        <v>133</v>
      </c>
      <c r="H183" t="s">
        <v>312</v>
      </c>
      <c r="I183" t="s">
        <v>17</v>
      </c>
    </row>
    <row r="184" spans="1:9" x14ac:dyDescent="0.25">
      <c r="A184" t="s">
        <v>422</v>
      </c>
      <c r="B184" t="s">
        <v>517</v>
      </c>
      <c r="C184" t="s">
        <v>474</v>
      </c>
      <c r="D184" t="s">
        <v>479</v>
      </c>
      <c r="E184" t="s">
        <v>428</v>
      </c>
      <c r="F184" t="s">
        <v>477</v>
      </c>
      <c r="G184" t="s">
        <v>133</v>
      </c>
      <c r="H184" t="s">
        <v>312</v>
      </c>
      <c r="I184" t="s">
        <v>17</v>
      </c>
    </row>
    <row r="185" spans="1:9" x14ac:dyDescent="0.25">
      <c r="A185" t="s">
        <v>422</v>
      </c>
      <c r="B185" t="s">
        <v>517</v>
      </c>
      <c r="C185" t="s">
        <v>475</v>
      </c>
      <c r="D185" t="s">
        <v>519</v>
      </c>
      <c r="E185" t="s">
        <v>428</v>
      </c>
      <c r="F185" t="s">
        <v>477</v>
      </c>
      <c r="G185" t="s">
        <v>133</v>
      </c>
      <c r="H185" t="s">
        <v>312</v>
      </c>
      <c r="I185" t="s">
        <v>17</v>
      </c>
    </row>
    <row r="186" spans="1:9" x14ac:dyDescent="0.25">
      <c r="A186" t="s">
        <v>422</v>
      </c>
      <c r="B186" t="s">
        <v>517</v>
      </c>
      <c r="C186" t="s">
        <v>469</v>
      </c>
      <c r="D186" t="s">
        <v>428</v>
      </c>
      <c r="E186" t="s">
        <v>428</v>
      </c>
      <c r="F186" t="s">
        <v>477</v>
      </c>
      <c r="G186" t="s">
        <v>152</v>
      </c>
      <c r="H186" t="s">
        <v>320</v>
      </c>
      <c r="I186" t="s">
        <v>17</v>
      </c>
    </row>
    <row r="187" spans="1:9" x14ac:dyDescent="0.25">
      <c r="A187" t="s">
        <v>422</v>
      </c>
      <c r="B187" t="s">
        <v>517</v>
      </c>
      <c r="C187" t="s">
        <v>20</v>
      </c>
      <c r="D187" t="s">
        <v>17</v>
      </c>
      <c r="E187" t="s">
        <v>428</v>
      </c>
      <c r="F187" t="s">
        <v>477</v>
      </c>
      <c r="G187" t="s">
        <v>152</v>
      </c>
      <c r="H187" t="s">
        <v>320</v>
      </c>
      <c r="I187" t="s">
        <v>17</v>
      </c>
    </row>
    <row r="188" spans="1:9" x14ac:dyDescent="0.25">
      <c r="A188" t="s">
        <v>422</v>
      </c>
      <c r="B188" t="s">
        <v>517</v>
      </c>
      <c r="C188" t="s">
        <v>470</v>
      </c>
      <c r="D188">
        <v>20</v>
      </c>
      <c r="E188" t="s">
        <v>428</v>
      </c>
      <c r="F188" t="s">
        <v>477</v>
      </c>
      <c r="G188" t="s">
        <v>152</v>
      </c>
      <c r="H188" t="s">
        <v>320</v>
      </c>
      <c r="I188" t="s">
        <v>17</v>
      </c>
    </row>
    <row r="189" spans="1:9" x14ac:dyDescent="0.25">
      <c r="A189" t="s">
        <v>422</v>
      </c>
      <c r="B189" t="s">
        <v>517</v>
      </c>
      <c r="C189" t="s">
        <v>471</v>
      </c>
      <c r="D189">
        <v>2</v>
      </c>
      <c r="E189" t="s">
        <v>428</v>
      </c>
      <c r="F189" t="s">
        <v>477</v>
      </c>
      <c r="G189" t="s">
        <v>152</v>
      </c>
      <c r="H189" t="s">
        <v>320</v>
      </c>
      <c r="I189" t="s">
        <v>17</v>
      </c>
    </row>
    <row r="190" spans="1:9" x14ac:dyDescent="0.25">
      <c r="A190" t="s">
        <v>422</v>
      </c>
      <c r="B190" t="s">
        <v>517</v>
      </c>
      <c r="C190" t="s">
        <v>472</v>
      </c>
      <c r="D190">
        <v>4</v>
      </c>
      <c r="E190" t="s">
        <v>428</v>
      </c>
      <c r="F190" t="s">
        <v>477</v>
      </c>
      <c r="G190" t="s">
        <v>152</v>
      </c>
      <c r="H190" t="s">
        <v>320</v>
      </c>
      <c r="I190" t="s">
        <v>17</v>
      </c>
    </row>
    <row r="191" spans="1:9" x14ac:dyDescent="0.25">
      <c r="A191" t="s">
        <v>422</v>
      </c>
      <c r="B191" t="s">
        <v>517</v>
      </c>
      <c r="C191" t="s">
        <v>473</v>
      </c>
      <c r="D191" t="s">
        <v>518</v>
      </c>
      <c r="E191" t="s">
        <v>428</v>
      </c>
      <c r="F191" t="s">
        <v>477</v>
      </c>
      <c r="G191" t="s">
        <v>152</v>
      </c>
      <c r="H191" t="s">
        <v>320</v>
      </c>
      <c r="I191" t="s">
        <v>17</v>
      </c>
    </row>
    <row r="192" spans="1:9" x14ac:dyDescent="0.25">
      <c r="A192" t="s">
        <v>422</v>
      </c>
      <c r="B192" t="s">
        <v>517</v>
      </c>
      <c r="C192" t="s">
        <v>474</v>
      </c>
      <c r="D192" t="s">
        <v>479</v>
      </c>
      <c r="E192" t="s">
        <v>428</v>
      </c>
      <c r="F192" t="s">
        <v>477</v>
      </c>
      <c r="G192" t="s">
        <v>152</v>
      </c>
      <c r="H192" t="s">
        <v>320</v>
      </c>
      <c r="I192" t="s">
        <v>17</v>
      </c>
    </row>
    <row r="193" spans="1:9" x14ac:dyDescent="0.25">
      <c r="A193" t="s">
        <v>422</v>
      </c>
      <c r="B193" t="s">
        <v>517</v>
      </c>
      <c r="C193" t="s">
        <v>475</v>
      </c>
      <c r="D193" t="s">
        <v>519</v>
      </c>
      <c r="E193" t="s">
        <v>428</v>
      </c>
      <c r="F193" t="s">
        <v>477</v>
      </c>
      <c r="G193" t="s">
        <v>152</v>
      </c>
      <c r="H193" t="s">
        <v>320</v>
      </c>
      <c r="I193" t="s">
        <v>17</v>
      </c>
    </row>
    <row r="194" spans="1:9" x14ac:dyDescent="0.25">
      <c r="A194" t="s">
        <v>290</v>
      </c>
      <c r="B194" t="s">
        <v>500</v>
      </c>
      <c r="C194" t="s">
        <v>469</v>
      </c>
      <c r="D194" t="s">
        <v>302</v>
      </c>
      <c r="E194" t="s">
        <v>302</v>
      </c>
      <c r="F194" t="s">
        <v>477</v>
      </c>
      <c r="G194" t="s">
        <v>114</v>
      </c>
      <c r="H194" t="s">
        <v>293</v>
      </c>
      <c r="I194" t="s">
        <v>303</v>
      </c>
    </row>
    <row r="195" spans="1:9" x14ac:dyDescent="0.25">
      <c r="A195" t="s">
        <v>290</v>
      </c>
      <c r="B195" t="s">
        <v>500</v>
      </c>
      <c r="C195" t="s">
        <v>20</v>
      </c>
      <c r="D195" t="s">
        <v>303</v>
      </c>
      <c r="E195" t="s">
        <v>302</v>
      </c>
      <c r="F195" t="s">
        <v>477</v>
      </c>
      <c r="G195" t="s">
        <v>114</v>
      </c>
      <c r="H195" t="s">
        <v>293</v>
      </c>
      <c r="I195" t="s">
        <v>303</v>
      </c>
    </row>
    <row r="196" spans="1:9" x14ac:dyDescent="0.25">
      <c r="A196" t="s">
        <v>290</v>
      </c>
      <c r="B196" t="s">
        <v>500</v>
      </c>
      <c r="C196" t="s">
        <v>470</v>
      </c>
      <c r="E196" t="s">
        <v>302</v>
      </c>
      <c r="F196" t="s">
        <v>477</v>
      </c>
      <c r="G196" t="s">
        <v>114</v>
      </c>
      <c r="H196" t="s">
        <v>293</v>
      </c>
      <c r="I196" t="s">
        <v>303</v>
      </c>
    </row>
    <row r="197" spans="1:9" x14ac:dyDescent="0.25">
      <c r="A197" t="s">
        <v>290</v>
      </c>
      <c r="B197" t="s">
        <v>500</v>
      </c>
      <c r="C197" t="s">
        <v>471</v>
      </c>
      <c r="E197" t="s">
        <v>302</v>
      </c>
      <c r="F197" t="s">
        <v>477</v>
      </c>
      <c r="G197" t="s">
        <v>114</v>
      </c>
      <c r="H197" t="s">
        <v>293</v>
      </c>
      <c r="I197" t="s">
        <v>303</v>
      </c>
    </row>
    <row r="198" spans="1:9" x14ac:dyDescent="0.25">
      <c r="A198" t="s">
        <v>290</v>
      </c>
      <c r="B198" t="s">
        <v>500</v>
      </c>
      <c r="C198" t="s">
        <v>472</v>
      </c>
      <c r="E198" t="s">
        <v>302</v>
      </c>
      <c r="F198" t="s">
        <v>477</v>
      </c>
      <c r="G198" t="s">
        <v>114</v>
      </c>
      <c r="H198" t="s">
        <v>293</v>
      </c>
      <c r="I198" t="s">
        <v>303</v>
      </c>
    </row>
    <row r="199" spans="1:9" x14ac:dyDescent="0.25">
      <c r="A199" t="s">
        <v>290</v>
      </c>
      <c r="B199" t="s">
        <v>500</v>
      </c>
      <c r="C199" t="s">
        <v>473</v>
      </c>
      <c r="E199" t="s">
        <v>302</v>
      </c>
      <c r="F199" t="s">
        <v>477</v>
      </c>
      <c r="G199" t="s">
        <v>114</v>
      </c>
      <c r="H199" t="s">
        <v>293</v>
      </c>
      <c r="I199" t="s">
        <v>303</v>
      </c>
    </row>
    <row r="200" spans="1:9" x14ac:dyDescent="0.25">
      <c r="A200" t="s">
        <v>290</v>
      </c>
      <c r="B200" t="s">
        <v>500</v>
      </c>
      <c r="C200" t="s">
        <v>474</v>
      </c>
      <c r="E200" t="s">
        <v>302</v>
      </c>
      <c r="F200" t="s">
        <v>477</v>
      </c>
      <c r="G200" t="s">
        <v>114</v>
      </c>
      <c r="H200" t="s">
        <v>293</v>
      </c>
      <c r="I200" t="s">
        <v>303</v>
      </c>
    </row>
    <row r="201" spans="1:9" x14ac:dyDescent="0.25">
      <c r="A201" t="s">
        <v>290</v>
      </c>
      <c r="B201" t="s">
        <v>500</v>
      </c>
      <c r="C201" t="s">
        <v>475</v>
      </c>
      <c r="E201" t="s">
        <v>302</v>
      </c>
      <c r="F201" t="s">
        <v>477</v>
      </c>
      <c r="G201" t="s">
        <v>114</v>
      </c>
      <c r="H201" t="s">
        <v>293</v>
      </c>
      <c r="I201" t="s">
        <v>303</v>
      </c>
    </row>
    <row r="202" spans="1:9" x14ac:dyDescent="0.25">
      <c r="A202" t="s">
        <v>385</v>
      </c>
      <c r="B202" t="s">
        <v>581</v>
      </c>
      <c r="C202" t="s">
        <v>469</v>
      </c>
      <c r="D202" t="s">
        <v>399</v>
      </c>
      <c r="E202" t="s">
        <v>399</v>
      </c>
      <c r="F202" t="s">
        <v>477</v>
      </c>
      <c r="G202" t="s">
        <v>42</v>
      </c>
      <c r="H202" t="s">
        <v>271</v>
      </c>
      <c r="I202" t="s">
        <v>26</v>
      </c>
    </row>
    <row r="203" spans="1:9" x14ac:dyDescent="0.25">
      <c r="A203" t="s">
        <v>385</v>
      </c>
      <c r="B203" t="s">
        <v>581</v>
      </c>
      <c r="C203" t="s">
        <v>20</v>
      </c>
      <c r="D203" t="s">
        <v>26</v>
      </c>
      <c r="E203" t="s">
        <v>399</v>
      </c>
      <c r="F203" t="s">
        <v>477</v>
      </c>
      <c r="G203" t="s">
        <v>42</v>
      </c>
      <c r="H203" t="s">
        <v>271</v>
      </c>
      <c r="I203" t="s">
        <v>26</v>
      </c>
    </row>
    <row r="204" spans="1:9" x14ac:dyDescent="0.25">
      <c r="A204" t="s">
        <v>385</v>
      </c>
      <c r="B204" t="s">
        <v>581</v>
      </c>
      <c r="C204" t="s">
        <v>470</v>
      </c>
      <c r="D204">
        <v>20</v>
      </c>
      <c r="E204" t="s">
        <v>399</v>
      </c>
      <c r="F204" t="s">
        <v>477</v>
      </c>
      <c r="G204" t="s">
        <v>42</v>
      </c>
      <c r="H204" t="s">
        <v>271</v>
      </c>
      <c r="I204" t="s">
        <v>26</v>
      </c>
    </row>
    <row r="205" spans="1:9" x14ac:dyDescent="0.25">
      <c r="A205" t="s">
        <v>385</v>
      </c>
      <c r="B205" t="s">
        <v>581</v>
      </c>
      <c r="C205" t="s">
        <v>471</v>
      </c>
      <c r="D205">
        <v>1</v>
      </c>
      <c r="E205" t="s">
        <v>399</v>
      </c>
      <c r="F205" t="s">
        <v>477</v>
      </c>
      <c r="G205" t="s">
        <v>42</v>
      </c>
      <c r="H205" t="s">
        <v>271</v>
      </c>
      <c r="I205" t="s">
        <v>26</v>
      </c>
    </row>
    <row r="206" spans="1:9" x14ac:dyDescent="0.25">
      <c r="A206" t="s">
        <v>385</v>
      </c>
      <c r="B206" t="s">
        <v>581</v>
      </c>
      <c r="C206" t="s">
        <v>472</v>
      </c>
      <c r="D206">
        <v>4</v>
      </c>
      <c r="E206" t="s">
        <v>399</v>
      </c>
      <c r="F206" t="s">
        <v>477</v>
      </c>
      <c r="G206" t="s">
        <v>42</v>
      </c>
      <c r="H206" t="s">
        <v>271</v>
      </c>
      <c r="I206" t="s">
        <v>26</v>
      </c>
    </row>
    <row r="207" spans="1:9" x14ac:dyDescent="0.25">
      <c r="A207" t="s">
        <v>385</v>
      </c>
      <c r="B207" t="s">
        <v>581</v>
      </c>
      <c r="C207" t="s">
        <v>473</v>
      </c>
      <c r="D207" t="s">
        <v>582</v>
      </c>
      <c r="E207" t="s">
        <v>399</v>
      </c>
      <c r="F207" t="s">
        <v>477</v>
      </c>
      <c r="G207" t="s">
        <v>42</v>
      </c>
      <c r="H207" t="s">
        <v>271</v>
      </c>
      <c r="I207" t="s">
        <v>26</v>
      </c>
    </row>
    <row r="208" spans="1:9" x14ac:dyDescent="0.25">
      <c r="A208" t="s">
        <v>385</v>
      </c>
      <c r="B208" t="s">
        <v>581</v>
      </c>
      <c r="C208" t="s">
        <v>474</v>
      </c>
      <c r="D208" t="s">
        <v>479</v>
      </c>
      <c r="E208" t="s">
        <v>399</v>
      </c>
      <c r="F208" t="s">
        <v>477</v>
      </c>
      <c r="G208" t="s">
        <v>42</v>
      </c>
      <c r="H208" t="s">
        <v>271</v>
      </c>
      <c r="I208" t="s">
        <v>26</v>
      </c>
    </row>
    <row r="209" spans="1:9" x14ac:dyDescent="0.25">
      <c r="A209" t="s">
        <v>385</v>
      </c>
      <c r="B209" t="s">
        <v>581</v>
      </c>
      <c r="C209" t="s">
        <v>475</v>
      </c>
      <c r="D209" t="s">
        <v>519</v>
      </c>
      <c r="E209" t="s">
        <v>399</v>
      </c>
      <c r="F209" t="s">
        <v>477</v>
      </c>
      <c r="G209" t="s">
        <v>42</v>
      </c>
      <c r="H209" t="s">
        <v>271</v>
      </c>
      <c r="I209" t="s">
        <v>26</v>
      </c>
    </row>
    <row r="210" spans="1:9" x14ac:dyDescent="0.25">
      <c r="A210" t="s">
        <v>385</v>
      </c>
      <c r="B210" t="s">
        <v>581</v>
      </c>
      <c r="C210" t="s">
        <v>469</v>
      </c>
      <c r="D210" t="s">
        <v>399</v>
      </c>
      <c r="E210" t="s">
        <v>399</v>
      </c>
      <c r="F210" t="s">
        <v>477</v>
      </c>
      <c r="G210" t="s">
        <v>114</v>
      </c>
      <c r="H210" t="s">
        <v>293</v>
      </c>
      <c r="I210" t="s">
        <v>26</v>
      </c>
    </row>
    <row r="211" spans="1:9" x14ac:dyDescent="0.25">
      <c r="A211" t="s">
        <v>385</v>
      </c>
      <c r="B211" t="s">
        <v>581</v>
      </c>
      <c r="C211" t="s">
        <v>20</v>
      </c>
      <c r="D211" t="s">
        <v>26</v>
      </c>
      <c r="E211" t="s">
        <v>399</v>
      </c>
      <c r="F211" t="s">
        <v>477</v>
      </c>
      <c r="G211" t="s">
        <v>114</v>
      </c>
      <c r="H211" t="s">
        <v>293</v>
      </c>
      <c r="I211" t="s">
        <v>26</v>
      </c>
    </row>
    <row r="212" spans="1:9" x14ac:dyDescent="0.25">
      <c r="A212" t="s">
        <v>385</v>
      </c>
      <c r="B212" t="s">
        <v>581</v>
      </c>
      <c r="C212" t="s">
        <v>470</v>
      </c>
      <c r="D212">
        <v>20</v>
      </c>
      <c r="E212" t="s">
        <v>399</v>
      </c>
      <c r="F212" t="s">
        <v>477</v>
      </c>
      <c r="G212" t="s">
        <v>114</v>
      </c>
      <c r="H212" t="s">
        <v>293</v>
      </c>
      <c r="I212" t="s">
        <v>26</v>
      </c>
    </row>
    <row r="213" spans="1:9" x14ac:dyDescent="0.25">
      <c r="A213" t="s">
        <v>385</v>
      </c>
      <c r="B213" t="s">
        <v>581</v>
      </c>
      <c r="C213" t="s">
        <v>471</v>
      </c>
      <c r="D213">
        <v>1</v>
      </c>
      <c r="E213" t="s">
        <v>399</v>
      </c>
      <c r="F213" t="s">
        <v>477</v>
      </c>
      <c r="G213" t="s">
        <v>114</v>
      </c>
      <c r="H213" t="s">
        <v>293</v>
      </c>
      <c r="I213" t="s">
        <v>26</v>
      </c>
    </row>
    <row r="214" spans="1:9" x14ac:dyDescent="0.25">
      <c r="A214" t="s">
        <v>385</v>
      </c>
      <c r="B214" t="s">
        <v>581</v>
      </c>
      <c r="C214" t="s">
        <v>472</v>
      </c>
      <c r="D214">
        <v>4</v>
      </c>
      <c r="E214" t="s">
        <v>399</v>
      </c>
      <c r="F214" t="s">
        <v>477</v>
      </c>
      <c r="G214" t="s">
        <v>114</v>
      </c>
      <c r="H214" t="s">
        <v>293</v>
      </c>
      <c r="I214" t="s">
        <v>26</v>
      </c>
    </row>
    <row r="215" spans="1:9" x14ac:dyDescent="0.25">
      <c r="A215" t="s">
        <v>385</v>
      </c>
      <c r="B215" t="s">
        <v>581</v>
      </c>
      <c r="C215" t="s">
        <v>473</v>
      </c>
      <c r="D215" t="s">
        <v>582</v>
      </c>
      <c r="E215" t="s">
        <v>399</v>
      </c>
      <c r="F215" t="s">
        <v>477</v>
      </c>
      <c r="G215" t="s">
        <v>114</v>
      </c>
      <c r="H215" t="s">
        <v>293</v>
      </c>
      <c r="I215" t="s">
        <v>26</v>
      </c>
    </row>
    <row r="216" spans="1:9" x14ac:dyDescent="0.25">
      <c r="A216" t="s">
        <v>385</v>
      </c>
      <c r="B216" t="s">
        <v>581</v>
      </c>
      <c r="C216" t="s">
        <v>474</v>
      </c>
      <c r="D216" t="s">
        <v>479</v>
      </c>
      <c r="E216" t="s">
        <v>399</v>
      </c>
      <c r="F216" t="s">
        <v>477</v>
      </c>
      <c r="G216" t="s">
        <v>114</v>
      </c>
      <c r="H216" t="s">
        <v>293</v>
      </c>
      <c r="I216" t="s">
        <v>26</v>
      </c>
    </row>
    <row r="217" spans="1:9" x14ac:dyDescent="0.25">
      <c r="A217" t="s">
        <v>385</v>
      </c>
      <c r="B217" t="s">
        <v>581</v>
      </c>
      <c r="C217" t="s">
        <v>475</v>
      </c>
      <c r="D217" t="s">
        <v>519</v>
      </c>
      <c r="E217" t="s">
        <v>399</v>
      </c>
      <c r="F217" t="s">
        <v>477</v>
      </c>
      <c r="G217" t="s">
        <v>114</v>
      </c>
      <c r="H217" t="s">
        <v>293</v>
      </c>
      <c r="I217" t="s">
        <v>26</v>
      </c>
    </row>
    <row r="218" spans="1:9" x14ac:dyDescent="0.25">
      <c r="A218" t="s">
        <v>385</v>
      </c>
      <c r="B218" t="s">
        <v>581</v>
      </c>
      <c r="C218" t="s">
        <v>469</v>
      </c>
      <c r="D218" t="s">
        <v>399</v>
      </c>
      <c r="E218" t="s">
        <v>399</v>
      </c>
      <c r="F218" t="s">
        <v>477</v>
      </c>
      <c r="G218" t="s">
        <v>133</v>
      </c>
      <c r="H218" t="s">
        <v>312</v>
      </c>
      <c r="I218" t="s">
        <v>26</v>
      </c>
    </row>
    <row r="219" spans="1:9" x14ac:dyDescent="0.25">
      <c r="A219" t="s">
        <v>385</v>
      </c>
      <c r="B219" t="s">
        <v>581</v>
      </c>
      <c r="C219" t="s">
        <v>20</v>
      </c>
      <c r="D219" t="s">
        <v>26</v>
      </c>
      <c r="E219" t="s">
        <v>399</v>
      </c>
      <c r="F219" t="s">
        <v>477</v>
      </c>
      <c r="G219" t="s">
        <v>133</v>
      </c>
      <c r="H219" t="s">
        <v>312</v>
      </c>
      <c r="I219" t="s">
        <v>26</v>
      </c>
    </row>
    <row r="220" spans="1:9" x14ac:dyDescent="0.25">
      <c r="A220" t="s">
        <v>385</v>
      </c>
      <c r="B220" t="s">
        <v>581</v>
      </c>
      <c r="C220" t="s">
        <v>470</v>
      </c>
      <c r="D220">
        <v>20</v>
      </c>
      <c r="E220" t="s">
        <v>399</v>
      </c>
      <c r="F220" t="s">
        <v>477</v>
      </c>
      <c r="G220" t="s">
        <v>133</v>
      </c>
      <c r="H220" t="s">
        <v>312</v>
      </c>
      <c r="I220" t="s">
        <v>26</v>
      </c>
    </row>
    <row r="221" spans="1:9" x14ac:dyDescent="0.25">
      <c r="A221" t="s">
        <v>385</v>
      </c>
      <c r="B221" t="s">
        <v>581</v>
      </c>
      <c r="C221" t="s">
        <v>471</v>
      </c>
      <c r="D221">
        <v>1</v>
      </c>
      <c r="E221" t="s">
        <v>399</v>
      </c>
      <c r="F221" t="s">
        <v>477</v>
      </c>
      <c r="G221" t="s">
        <v>133</v>
      </c>
      <c r="H221" t="s">
        <v>312</v>
      </c>
      <c r="I221" t="s">
        <v>26</v>
      </c>
    </row>
    <row r="222" spans="1:9" x14ac:dyDescent="0.25">
      <c r="A222" t="s">
        <v>385</v>
      </c>
      <c r="B222" t="s">
        <v>581</v>
      </c>
      <c r="C222" t="s">
        <v>472</v>
      </c>
      <c r="D222">
        <v>4</v>
      </c>
      <c r="E222" t="s">
        <v>399</v>
      </c>
      <c r="F222" t="s">
        <v>477</v>
      </c>
      <c r="G222" t="s">
        <v>133</v>
      </c>
      <c r="H222" t="s">
        <v>312</v>
      </c>
      <c r="I222" t="s">
        <v>26</v>
      </c>
    </row>
    <row r="223" spans="1:9" x14ac:dyDescent="0.25">
      <c r="A223" t="s">
        <v>385</v>
      </c>
      <c r="B223" t="s">
        <v>581</v>
      </c>
      <c r="C223" t="s">
        <v>473</v>
      </c>
      <c r="D223" t="s">
        <v>582</v>
      </c>
      <c r="E223" t="s">
        <v>399</v>
      </c>
      <c r="F223" t="s">
        <v>477</v>
      </c>
      <c r="G223" t="s">
        <v>133</v>
      </c>
      <c r="H223" t="s">
        <v>312</v>
      </c>
      <c r="I223" t="s">
        <v>26</v>
      </c>
    </row>
    <row r="224" spans="1:9" x14ac:dyDescent="0.25">
      <c r="A224" t="s">
        <v>385</v>
      </c>
      <c r="B224" t="s">
        <v>581</v>
      </c>
      <c r="C224" t="s">
        <v>474</v>
      </c>
      <c r="D224" t="s">
        <v>479</v>
      </c>
      <c r="E224" t="s">
        <v>399</v>
      </c>
      <c r="F224" t="s">
        <v>477</v>
      </c>
      <c r="G224" t="s">
        <v>133</v>
      </c>
      <c r="H224" t="s">
        <v>312</v>
      </c>
      <c r="I224" t="s">
        <v>26</v>
      </c>
    </row>
    <row r="225" spans="1:9" x14ac:dyDescent="0.25">
      <c r="A225" t="s">
        <v>385</v>
      </c>
      <c r="B225" t="s">
        <v>581</v>
      </c>
      <c r="C225" t="s">
        <v>475</v>
      </c>
      <c r="D225" t="s">
        <v>519</v>
      </c>
      <c r="E225" t="s">
        <v>399</v>
      </c>
      <c r="F225" t="s">
        <v>477</v>
      </c>
      <c r="G225" t="s">
        <v>133</v>
      </c>
      <c r="H225" t="s">
        <v>312</v>
      </c>
      <c r="I225" t="s">
        <v>26</v>
      </c>
    </row>
    <row r="226" spans="1:9" x14ac:dyDescent="0.25">
      <c r="A226" t="s">
        <v>385</v>
      </c>
      <c r="B226" t="s">
        <v>581</v>
      </c>
      <c r="C226" t="s">
        <v>469</v>
      </c>
      <c r="D226" t="s">
        <v>399</v>
      </c>
      <c r="E226" t="s">
        <v>399</v>
      </c>
      <c r="F226" t="s">
        <v>477</v>
      </c>
      <c r="G226" t="s">
        <v>152</v>
      </c>
      <c r="H226" t="s">
        <v>320</v>
      </c>
      <c r="I226" t="s">
        <v>26</v>
      </c>
    </row>
    <row r="227" spans="1:9" x14ac:dyDescent="0.25">
      <c r="A227" t="s">
        <v>385</v>
      </c>
      <c r="B227" t="s">
        <v>581</v>
      </c>
      <c r="C227" t="s">
        <v>20</v>
      </c>
      <c r="D227" t="s">
        <v>26</v>
      </c>
      <c r="E227" t="s">
        <v>399</v>
      </c>
      <c r="F227" t="s">
        <v>477</v>
      </c>
      <c r="G227" t="s">
        <v>152</v>
      </c>
      <c r="H227" t="s">
        <v>320</v>
      </c>
      <c r="I227" t="s">
        <v>26</v>
      </c>
    </row>
    <row r="228" spans="1:9" x14ac:dyDescent="0.25">
      <c r="A228" t="s">
        <v>385</v>
      </c>
      <c r="B228" t="s">
        <v>581</v>
      </c>
      <c r="C228" t="s">
        <v>470</v>
      </c>
      <c r="D228">
        <v>20</v>
      </c>
      <c r="E228" t="s">
        <v>399</v>
      </c>
      <c r="F228" t="s">
        <v>477</v>
      </c>
      <c r="G228" t="s">
        <v>152</v>
      </c>
      <c r="H228" t="s">
        <v>320</v>
      </c>
      <c r="I228" t="s">
        <v>26</v>
      </c>
    </row>
    <row r="229" spans="1:9" x14ac:dyDescent="0.25">
      <c r="A229" t="s">
        <v>385</v>
      </c>
      <c r="B229" t="s">
        <v>581</v>
      </c>
      <c r="C229" t="s">
        <v>471</v>
      </c>
      <c r="D229">
        <v>1</v>
      </c>
      <c r="E229" t="s">
        <v>399</v>
      </c>
      <c r="F229" t="s">
        <v>477</v>
      </c>
      <c r="G229" t="s">
        <v>152</v>
      </c>
      <c r="H229" t="s">
        <v>320</v>
      </c>
      <c r="I229" t="s">
        <v>26</v>
      </c>
    </row>
    <row r="230" spans="1:9" x14ac:dyDescent="0.25">
      <c r="A230" t="s">
        <v>385</v>
      </c>
      <c r="B230" t="s">
        <v>581</v>
      </c>
      <c r="C230" t="s">
        <v>472</v>
      </c>
      <c r="D230">
        <v>4</v>
      </c>
      <c r="E230" t="s">
        <v>399</v>
      </c>
      <c r="F230" t="s">
        <v>477</v>
      </c>
      <c r="G230" t="s">
        <v>152</v>
      </c>
      <c r="H230" t="s">
        <v>320</v>
      </c>
      <c r="I230" t="s">
        <v>26</v>
      </c>
    </row>
    <row r="231" spans="1:9" x14ac:dyDescent="0.25">
      <c r="A231" t="s">
        <v>385</v>
      </c>
      <c r="B231" t="s">
        <v>581</v>
      </c>
      <c r="C231" t="s">
        <v>473</v>
      </c>
      <c r="D231" t="s">
        <v>582</v>
      </c>
      <c r="E231" t="s">
        <v>399</v>
      </c>
      <c r="F231" t="s">
        <v>477</v>
      </c>
      <c r="G231" t="s">
        <v>152</v>
      </c>
      <c r="H231" t="s">
        <v>320</v>
      </c>
      <c r="I231" t="s">
        <v>26</v>
      </c>
    </row>
    <row r="232" spans="1:9" x14ac:dyDescent="0.25">
      <c r="A232" t="s">
        <v>385</v>
      </c>
      <c r="B232" t="s">
        <v>581</v>
      </c>
      <c r="C232" t="s">
        <v>474</v>
      </c>
      <c r="D232" t="s">
        <v>479</v>
      </c>
      <c r="E232" t="s">
        <v>399</v>
      </c>
      <c r="F232" t="s">
        <v>477</v>
      </c>
      <c r="G232" t="s">
        <v>152</v>
      </c>
      <c r="H232" t="s">
        <v>320</v>
      </c>
      <c r="I232" t="s">
        <v>26</v>
      </c>
    </row>
    <row r="233" spans="1:9" x14ac:dyDescent="0.25">
      <c r="A233" t="s">
        <v>385</v>
      </c>
      <c r="B233" t="s">
        <v>581</v>
      </c>
      <c r="C233" t="s">
        <v>475</v>
      </c>
      <c r="D233" t="s">
        <v>519</v>
      </c>
      <c r="E233" t="s">
        <v>399</v>
      </c>
      <c r="F233" t="s">
        <v>477</v>
      </c>
      <c r="G233" t="s">
        <v>152</v>
      </c>
      <c r="H233" t="s">
        <v>320</v>
      </c>
      <c r="I233" t="s">
        <v>26</v>
      </c>
    </row>
    <row r="234" spans="1:9" x14ac:dyDescent="0.25">
      <c r="A234" t="s">
        <v>290</v>
      </c>
      <c r="B234" t="s">
        <v>501</v>
      </c>
      <c r="C234" t="s">
        <v>469</v>
      </c>
      <c r="D234" t="s">
        <v>305</v>
      </c>
      <c r="E234" t="s">
        <v>305</v>
      </c>
      <c r="F234" t="s">
        <v>477</v>
      </c>
      <c r="G234" t="s">
        <v>114</v>
      </c>
      <c r="H234" t="s">
        <v>293</v>
      </c>
      <c r="I234" t="s">
        <v>306</v>
      </c>
    </row>
    <row r="235" spans="1:9" x14ac:dyDescent="0.25">
      <c r="A235" t="s">
        <v>290</v>
      </c>
      <c r="B235" t="s">
        <v>501</v>
      </c>
      <c r="C235" t="s">
        <v>20</v>
      </c>
      <c r="D235" t="s">
        <v>306</v>
      </c>
      <c r="E235" t="s">
        <v>305</v>
      </c>
      <c r="F235" t="s">
        <v>477</v>
      </c>
      <c r="G235" t="s">
        <v>114</v>
      </c>
      <c r="H235" t="s">
        <v>293</v>
      </c>
      <c r="I235" t="s">
        <v>306</v>
      </c>
    </row>
    <row r="236" spans="1:9" x14ac:dyDescent="0.25">
      <c r="A236" t="s">
        <v>290</v>
      </c>
      <c r="B236" t="s">
        <v>501</v>
      </c>
      <c r="C236" t="s">
        <v>470</v>
      </c>
      <c r="D236">
        <v>20</v>
      </c>
      <c r="E236" t="s">
        <v>305</v>
      </c>
      <c r="F236" t="s">
        <v>477</v>
      </c>
      <c r="G236" t="s">
        <v>114</v>
      </c>
      <c r="H236" t="s">
        <v>293</v>
      </c>
      <c r="I236" t="s">
        <v>306</v>
      </c>
    </row>
    <row r="237" spans="1:9" x14ac:dyDescent="0.25">
      <c r="A237" t="s">
        <v>290</v>
      </c>
      <c r="B237" t="s">
        <v>501</v>
      </c>
      <c r="C237" t="s">
        <v>471</v>
      </c>
      <c r="E237" t="s">
        <v>305</v>
      </c>
      <c r="F237" t="s">
        <v>477</v>
      </c>
      <c r="G237" t="s">
        <v>114</v>
      </c>
      <c r="H237" t="s">
        <v>293</v>
      </c>
      <c r="I237" t="s">
        <v>306</v>
      </c>
    </row>
    <row r="238" spans="1:9" x14ac:dyDescent="0.25">
      <c r="A238" t="s">
        <v>290</v>
      </c>
      <c r="B238" t="s">
        <v>501</v>
      </c>
      <c r="C238" t="s">
        <v>472</v>
      </c>
      <c r="D238">
        <v>5</v>
      </c>
      <c r="E238" t="s">
        <v>305</v>
      </c>
      <c r="F238" t="s">
        <v>477</v>
      </c>
      <c r="G238" t="s">
        <v>114</v>
      </c>
      <c r="H238" t="s">
        <v>293</v>
      </c>
      <c r="I238" t="s">
        <v>306</v>
      </c>
    </row>
    <row r="239" spans="1:9" x14ac:dyDescent="0.25">
      <c r="A239" t="s">
        <v>290</v>
      </c>
      <c r="B239" t="s">
        <v>501</v>
      </c>
      <c r="C239" t="s">
        <v>473</v>
      </c>
      <c r="D239" t="s">
        <v>502</v>
      </c>
      <c r="E239" t="s">
        <v>305</v>
      </c>
      <c r="F239" t="s">
        <v>477</v>
      </c>
      <c r="G239" t="s">
        <v>114</v>
      </c>
      <c r="H239" t="s">
        <v>293</v>
      </c>
      <c r="I239" t="s">
        <v>306</v>
      </c>
    </row>
    <row r="240" spans="1:9" x14ac:dyDescent="0.25">
      <c r="A240" t="s">
        <v>290</v>
      </c>
      <c r="B240" t="s">
        <v>501</v>
      </c>
      <c r="C240" t="s">
        <v>474</v>
      </c>
      <c r="D240" t="s">
        <v>479</v>
      </c>
      <c r="E240" t="s">
        <v>305</v>
      </c>
      <c r="F240" t="s">
        <v>477</v>
      </c>
      <c r="G240" t="s">
        <v>114</v>
      </c>
      <c r="H240" t="s">
        <v>293</v>
      </c>
      <c r="I240" t="s">
        <v>306</v>
      </c>
    </row>
    <row r="241" spans="1:9" x14ac:dyDescent="0.25">
      <c r="A241" t="s">
        <v>290</v>
      </c>
      <c r="B241" t="s">
        <v>501</v>
      </c>
      <c r="C241" t="s">
        <v>475</v>
      </c>
      <c r="D241" t="s">
        <v>114</v>
      </c>
      <c r="E241" t="s">
        <v>305</v>
      </c>
      <c r="F241" t="s">
        <v>477</v>
      </c>
      <c r="G241" t="s">
        <v>114</v>
      </c>
      <c r="H241" t="s">
        <v>293</v>
      </c>
      <c r="I241" t="s">
        <v>306</v>
      </c>
    </row>
    <row r="242" spans="1:9" x14ac:dyDescent="0.25">
      <c r="A242" t="s">
        <v>422</v>
      </c>
      <c r="B242" t="s">
        <v>520</v>
      </c>
      <c r="C242" t="s">
        <v>469</v>
      </c>
      <c r="D242" t="s">
        <v>434</v>
      </c>
      <c r="E242" t="s">
        <v>434</v>
      </c>
      <c r="F242" t="s">
        <v>477</v>
      </c>
      <c r="G242" t="s">
        <v>42</v>
      </c>
      <c r="H242" t="s">
        <v>271</v>
      </c>
      <c r="I242" t="s">
        <v>28</v>
      </c>
    </row>
    <row r="243" spans="1:9" x14ac:dyDescent="0.25">
      <c r="A243" t="s">
        <v>422</v>
      </c>
      <c r="B243" t="s">
        <v>520</v>
      </c>
      <c r="C243" t="s">
        <v>20</v>
      </c>
      <c r="D243" t="s">
        <v>28</v>
      </c>
      <c r="E243" t="s">
        <v>434</v>
      </c>
      <c r="F243" t="s">
        <v>477</v>
      </c>
      <c r="G243" t="s">
        <v>42</v>
      </c>
      <c r="H243" t="s">
        <v>271</v>
      </c>
      <c r="I243" t="s">
        <v>28</v>
      </c>
    </row>
    <row r="244" spans="1:9" x14ac:dyDescent="0.25">
      <c r="A244" t="s">
        <v>422</v>
      </c>
      <c r="B244" t="s">
        <v>520</v>
      </c>
      <c r="C244" t="s">
        <v>470</v>
      </c>
      <c r="D244">
        <v>20</v>
      </c>
      <c r="E244" t="s">
        <v>434</v>
      </c>
      <c r="F244" t="s">
        <v>477</v>
      </c>
      <c r="G244" t="s">
        <v>42</v>
      </c>
      <c r="H244" t="s">
        <v>271</v>
      </c>
      <c r="I244" t="s">
        <v>28</v>
      </c>
    </row>
    <row r="245" spans="1:9" x14ac:dyDescent="0.25">
      <c r="A245" t="s">
        <v>422</v>
      </c>
      <c r="B245" t="s">
        <v>520</v>
      </c>
      <c r="C245" t="s">
        <v>471</v>
      </c>
      <c r="D245">
        <v>2</v>
      </c>
      <c r="E245" t="s">
        <v>434</v>
      </c>
      <c r="F245" t="s">
        <v>477</v>
      </c>
      <c r="G245" t="s">
        <v>42</v>
      </c>
      <c r="H245" t="s">
        <v>271</v>
      </c>
      <c r="I245" t="s">
        <v>28</v>
      </c>
    </row>
    <row r="246" spans="1:9" x14ac:dyDescent="0.25">
      <c r="A246" t="s">
        <v>422</v>
      </c>
      <c r="B246" t="s">
        <v>520</v>
      </c>
      <c r="C246" t="s">
        <v>472</v>
      </c>
      <c r="D246">
        <v>5</v>
      </c>
      <c r="E246" t="s">
        <v>434</v>
      </c>
      <c r="F246" t="s">
        <v>477</v>
      </c>
      <c r="G246" t="s">
        <v>42</v>
      </c>
      <c r="H246" t="s">
        <v>271</v>
      </c>
      <c r="I246" t="s">
        <v>28</v>
      </c>
    </row>
    <row r="247" spans="1:9" x14ac:dyDescent="0.25">
      <c r="A247" t="s">
        <v>422</v>
      </c>
      <c r="B247" t="s">
        <v>520</v>
      </c>
      <c r="C247" t="s">
        <v>473</v>
      </c>
      <c r="D247" t="s">
        <v>521</v>
      </c>
      <c r="E247" t="s">
        <v>434</v>
      </c>
      <c r="F247" t="s">
        <v>477</v>
      </c>
      <c r="G247" t="s">
        <v>42</v>
      </c>
      <c r="H247" t="s">
        <v>271</v>
      </c>
      <c r="I247" t="s">
        <v>28</v>
      </c>
    </row>
    <row r="248" spans="1:9" x14ac:dyDescent="0.25">
      <c r="A248" t="s">
        <v>422</v>
      </c>
      <c r="B248" t="s">
        <v>520</v>
      </c>
      <c r="C248" t="s">
        <v>474</v>
      </c>
      <c r="D248" t="s">
        <v>512</v>
      </c>
      <c r="E248" t="s">
        <v>434</v>
      </c>
      <c r="F248" t="s">
        <v>477</v>
      </c>
      <c r="G248" t="s">
        <v>42</v>
      </c>
      <c r="H248" t="s">
        <v>271</v>
      </c>
      <c r="I248" t="s">
        <v>28</v>
      </c>
    </row>
    <row r="249" spans="1:9" x14ac:dyDescent="0.25">
      <c r="A249" t="s">
        <v>422</v>
      </c>
      <c r="B249" t="s">
        <v>520</v>
      </c>
      <c r="C249" t="s">
        <v>475</v>
      </c>
      <c r="D249" t="s">
        <v>516</v>
      </c>
      <c r="E249" t="s">
        <v>434</v>
      </c>
      <c r="F249" t="s">
        <v>477</v>
      </c>
      <c r="G249" t="s">
        <v>42</v>
      </c>
      <c r="H249" t="s">
        <v>271</v>
      </c>
      <c r="I249" t="s">
        <v>28</v>
      </c>
    </row>
    <row r="250" spans="1:9" x14ac:dyDescent="0.25">
      <c r="A250" t="s">
        <v>422</v>
      </c>
      <c r="B250" t="s">
        <v>520</v>
      </c>
      <c r="C250" t="s">
        <v>469</v>
      </c>
      <c r="D250" t="s">
        <v>434</v>
      </c>
      <c r="E250" t="s">
        <v>434</v>
      </c>
      <c r="F250" t="s">
        <v>477</v>
      </c>
      <c r="G250" t="s">
        <v>133</v>
      </c>
      <c r="H250" t="s">
        <v>312</v>
      </c>
      <c r="I250" t="s">
        <v>28</v>
      </c>
    </row>
    <row r="251" spans="1:9" x14ac:dyDescent="0.25">
      <c r="A251" t="s">
        <v>422</v>
      </c>
      <c r="B251" t="s">
        <v>520</v>
      </c>
      <c r="C251" t="s">
        <v>20</v>
      </c>
      <c r="D251" t="s">
        <v>28</v>
      </c>
      <c r="E251" t="s">
        <v>434</v>
      </c>
      <c r="F251" t="s">
        <v>477</v>
      </c>
      <c r="G251" t="s">
        <v>133</v>
      </c>
      <c r="H251" t="s">
        <v>312</v>
      </c>
      <c r="I251" t="s">
        <v>28</v>
      </c>
    </row>
    <row r="252" spans="1:9" x14ac:dyDescent="0.25">
      <c r="A252" t="s">
        <v>422</v>
      </c>
      <c r="B252" t="s">
        <v>520</v>
      </c>
      <c r="C252" t="s">
        <v>470</v>
      </c>
      <c r="D252">
        <v>20</v>
      </c>
      <c r="E252" t="s">
        <v>434</v>
      </c>
      <c r="F252" t="s">
        <v>477</v>
      </c>
      <c r="G252" t="s">
        <v>133</v>
      </c>
      <c r="H252" t="s">
        <v>312</v>
      </c>
      <c r="I252" t="s">
        <v>28</v>
      </c>
    </row>
    <row r="253" spans="1:9" x14ac:dyDescent="0.25">
      <c r="A253" t="s">
        <v>422</v>
      </c>
      <c r="B253" t="s">
        <v>520</v>
      </c>
      <c r="C253" t="s">
        <v>471</v>
      </c>
      <c r="D253">
        <v>2</v>
      </c>
      <c r="E253" t="s">
        <v>434</v>
      </c>
      <c r="F253" t="s">
        <v>477</v>
      </c>
      <c r="G253" t="s">
        <v>133</v>
      </c>
      <c r="H253" t="s">
        <v>312</v>
      </c>
      <c r="I253" t="s">
        <v>28</v>
      </c>
    </row>
    <row r="254" spans="1:9" x14ac:dyDescent="0.25">
      <c r="A254" t="s">
        <v>422</v>
      </c>
      <c r="B254" t="s">
        <v>520</v>
      </c>
      <c r="C254" t="s">
        <v>472</v>
      </c>
      <c r="D254">
        <v>5</v>
      </c>
      <c r="E254" t="s">
        <v>434</v>
      </c>
      <c r="F254" t="s">
        <v>477</v>
      </c>
      <c r="G254" t="s">
        <v>133</v>
      </c>
      <c r="H254" t="s">
        <v>312</v>
      </c>
      <c r="I254" t="s">
        <v>28</v>
      </c>
    </row>
    <row r="255" spans="1:9" x14ac:dyDescent="0.25">
      <c r="A255" t="s">
        <v>422</v>
      </c>
      <c r="B255" t="s">
        <v>520</v>
      </c>
      <c r="C255" t="s">
        <v>473</v>
      </c>
      <c r="D255" t="s">
        <v>521</v>
      </c>
      <c r="E255" t="s">
        <v>434</v>
      </c>
      <c r="F255" t="s">
        <v>477</v>
      </c>
      <c r="G255" t="s">
        <v>133</v>
      </c>
      <c r="H255" t="s">
        <v>312</v>
      </c>
      <c r="I255" t="s">
        <v>28</v>
      </c>
    </row>
    <row r="256" spans="1:9" x14ac:dyDescent="0.25">
      <c r="A256" t="s">
        <v>422</v>
      </c>
      <c r="B256" t="s">
        <v>520</v>
      </c>
      <c r="C256" t="s">
        <v>474</v>
      </c>
      <c r="D256" t="s">
        <v>512</v>
      </c>
      <c r="E256" t="s">
        <v>434</v>
      </c>
      <c r="F256" t="s">
        <v>477</v>
      </c>
      <c r="G256" t="s">
        <v>133</v>
      </c>
      <c r="H256" t="s">
        <v>312</v>
      </c>
      <c r="I256" t="s">
        <v>28</v>
      </c>
    </row>
    <row r="257" spans="1:9" x14ac:dyDescent="0.25">
      <c r="A257" t="s">
        <v>422</v>
      </c>
      <c r="B257" t="s">
        <v>520</v>
      </c>
      <c r="C257" t="s">
        <v>475</v>
      </c>
      <c r="D257" t="s">
        <v>516</v>
      </c>
      <c r="E257" t="s">
        <v>434</v>
      </c>
      <c r="F257" t="s">
        <v>477</v>
      </c>
      <c r="G257" t="s">
        <v>133</v>
      </c>
      <c r="H257" t="s">
        <v>312</v>
      </c>
      <c r="I257" t="s">
        <v>28</v>
      </c>
    </row>
    <row r="258" spans="1:9" x14ac:dyDescent="0.25">
      <c r="A258" t="s">
        <v>290</v>
      </c>
      <c r="B258" t="s">
        <v>503</v>
      </c>
      <c r="C258" t="s">
        <v>469</v>
      </c>
      <c r="D258" t="s">
        <v>308</v>
      </c>
      <c r="E258" t="s">
        <v>308</v>
      </c>
      <c r="F258" t="s">
        <v>477</v>
      </c>
      <c r="G258" t="s">
        <v>114</v>
      </c>
      <c r="H258" t="s">
        <v>293</v>
      </c>
      <c r="I258" t="s">
        <v>309</v>
      </c>
    </row>
    <row r="259" spans="1:9" x14ac:dyDescent="0.25">
      <c r="A259" t="s">
        <v>290</v>
      </c>
      <c r="B259" t="s">
        <v>503</v>
      </c>
      <c r="C259" t="s">
        <v>20</v>
      </c>
      <c r="D259" t="s">
        <v>309</v>
      </c>
      <c r="E259" t="s">
        <v>308</v>
      </c>
      <c r="F259" t="s">
        <v>477</v>
      </c>
      <c r="G259" t="s">
        <v>114</v>
      </c>
      <c r="H259" t="s">
        <v>293</v>
      </c>
      <c r="I259" t="s">
        <v>309</v>
      </c>
    </row>
    <row r="260" spans="1:9" x14ac:dyDescent="0.25">
      <c r="A260" t="s">
        <v>290</v>
      </c>
      <c r="B260" t="s">
        <v>503</v>
      </c>
      <c r="C260" t="s">
        <v>470</v>
      </c>
      <c r="E260" t="s">
        <v>308</v>
      </c>
      <c r="F260" t="s">
        <v>477</v>
      </c>
      <c r="G260" t="s">
        <v>114</v>
      </c>
      <c r="H260" t="s">
        <v>293</v>
      </c>
      <c r="I260" t="s">
        <v>309</v>
      </c>
    </row>
    <row r="261" spans="1:9" x14ac:dyDescent="0.25">
      <c r="A261" t="s">
        <v>290</v>
      </c>
      <c r="B261" t="s">
        <v>503</v>
      </c>
      <c r="C261" t="s">
        <v>471</v>
      </c>
      <c r="E261" t="s">
        <v>308</v>
      </c>
      <c r="F261" t="s">
        <v>477</v>
      </c>
      <c r="G261" t="s">
        <v>114</v>
      </c>
      <c r="H261" t="s">
        <v>293</v>
      </c>
      <c r="I261" t="s">
        <v>309</v>
      </c>
    </row>
    <row r="262" spans="1:9" x14ac:dyDescent="0.25">
      <c r="A262" t="s">
        <v>290</v>
      </c>
      <c r="B262" t="s">
        <v>503</v>
      </c>
      <c r="C262" t="s">
        <v>472</v>
      </c>
      <c r="E262" t="s">
        <v>308</v>
      </c>
      <c r="F262" t="s">
        <v>477</v>
      </c>
      <c r="G262" t="s">
        <v>114</v>
      </c>
      <c r="H262" t="s">
        <v>293</v>
      </c>
      <c r="I262" t="s">
        <v>309</v>
      </c>
    </row>
    <row r="263" spans="1:9" x14ac:dyDescent="0.25">
      <c r="A263" t="s">
        <v>290</v>
      </c>
      <c r="B263" t="s">
        <v>503</v>
      </c>
      <c r="C263" t="s">
        <v>473</v>
      </c>
      <c r="E263" t="s">
        <v>308</v>
      </c>
      <c r="F263" t="s">
        <v>477</v>
      </c>
      <c r="G263" t="s">
        <v>114</v>
      </c>
      <c r="H263" t="s">
        <v>293</v>
      </c>
      <c r="I263" t="s">
        <v>309</v>
      </c>
    </row>
    <row r="264" spans="1:9" x14ac:dyDescent="0.25">
      <c r="A264" t="s">
        <v>290</v>
      </c>
      <c r="B264" t="s">
        <v>503</v>
      </c>
      <c r="C264" t="s">
        <v>474</v>
      </c>
      <c r="E264" t="s">
        <v>308</v>
      </c>
      <c r="F264" t="s">
        <v>477</v>
      </c>
      <c r="G264" t="s">
        <v>114</v>
      </c>
      <c r="H264" t="s">
        <v>293</v>
      </c>
      <c r="I264" t="s">
        <v>309</v>
      </c>
    </row>
    <row r="265" spans="1:9" x14ac:dyDescent="0.25">
      <c r="A265" t="s">
        <v>290</v>
      </c>
      <c r="B265" t="s">
        <v>503</v>
      </c>
      <c r="C265" t="s">
        <v>475</v>
      </c>
      <c r="E265" t="s">
        <v>308</v>
      </c>
      <c r="F265" t="s">
        <v>477</v>
      </c>
      <c r="G265" t="s">
        <v>114</v>
      </c>
      <c r="H265" t="s">
        <v>293</v>
      </c>
      <c r="I265" t="s">
        <v>309</v>
      </c>
    </row>
    <row r="266" spans="1:9" x14ac:dyDescent="0.25">
      <c r="A266" t="s">
        <v>422</v>
      </c>
      <c r="B266" t="s">
        <v>522</v>
      </c>
      <c r="C266" t="s">
        <v>469</v>
      </c>
      <c r="D266" t="s">
        <v>436</v>
      </c>
      <c r="E266" t="s">
        <v>436</v>
      </c>
      <c r="F266" t="s">
        <v>477</v>
      </c>
      <c r="G266" t="s">
        <v>42</v>
      </c>
      <c r="H266" t="s">
        <v>271</v>
      </c>
      <c r="I266" t="s">
        <v>23</v>
      </c>
    </row>
    <row r="267" spans="1:9" x14ac:dyDescent="0.25">
      <c r="A267" t="s">
        <v>422</v>
      </c>
      <c r="B267" t="s">
        <v>522</v>
      </c>
      <c r="C267" t="s">
        <v>20</v>
      </c>
      <c r="D267" t="s">
        <v>23</v>
      </c>
      <c r="E267" t="s">
        <v>436</v>
      </c>
      <c r="F267" t="s">
        <v>477</v>
      </c>
      <c r="G267" t="s">
        <v>42</v>
      </c>
      <c r="H267" t="s">
        <v>271</v>
      </c>
      <c r="I267" t="s">
        <v>23</v>
      </c>
    </row>
    <row r="268" spans="1:9" x14ac:dyDescent="0.25">
      <c r="A268" t="s">
        <v>422</v>
      </c>
      <c r="B268" t="s">
        <v>522</v>
      </c>
      <c r="C268" t="s">
        <v>470</v>
      </c>
      <c r="D268">
        <v>20</v>
      </c>
      <c r="E268" t="s">
        <v>436</v>
      </c>
      <c r="F268" t="s">
        <v>477</v>
      </c>
      <c r="G268" t="s">
        <v>42</v>
      </c>
      <c r="H268" t="s">
        <v>271</v>
      </c>
      <c r="I268" t="s">
        <v>23</v>
      </c>
    </row>
    <row r="269" spans="1:9" x14ac:dyDescent="0.25">
      <c r="A269" t="s">
        <v>422</v>
      </c>
      <c r="B269" t="s">
        <v>522</v>
      </c>
      <c r="C269" t="s">
        <v>471</v>
      </c>
      <c r="D269">
        <v>2</v>
      </c>
      <c r="E269" t="s">
        <v>436</v>
      </c>
      <c r="F269" t="s">
        <v>477</v>
      </c>
      <c r="G269" t="s">
        <v>42</v>
      </c>
      <c r="H269" t="s">
        <v>271</v>
      </c>
      <c r="I269" t="s">
        <v>23</v>
      </c>
    </row>
    <row r="270" spans="1:9" x14ac:dyDescent="0.25">
      <c r="A270" t="s">
        <v>422</v>
      </c>
      <c r="B270" t="s">
        <v>522</v>
      </c>
      <c r="C270" t="s">
        <v>472</v>
      </c>
      <c r="D270">
        <v>5</v>
      </c>
      <c r="E270" t="s">
        <v>436</v>
      </c>
      <c r="F270" t="s">
        <v>477</v>
      </c>
      <c r="G270" t="s">
        <v>42</v>
      </c>
      <c r="H270" t="s">
        <v>271</v>
      </c>
      <c r="I270" t="s">
        <v>23</v>
      </c>
    </row>
    <row r="271" spans="1:9" x14ac:dyDescent="0.25">
      <c r="A271" t="s">
        <v>422</v>
      </c>
      <c r="B271" t="s">
        <v>522</v>
      </c>
      <c r="C271" t="s">
        <v>473</v>
      </c>
      <c r="D271" t="s">
        <v>523</v>
      </c>
      <c r="E271" t="s">
        <v>436</v>
      </c>
      <c r="F271" t="s">
        <v>477</v>
      </c>
      <c r="G271" t="s">
        <v>42</v>
      </c>
      <c r="H271" t="s">
        <v>271</v>
      </c>
      <c r="I271" t="s">
        <v>23</v>
      </c>
    </row>
    <row r="272" spans="1:9" x14ac:dyDescent="0.25">
      <c r="A272" t="s">
        <v>422</v>
      </c>
      <c r="B272" t="s">
        <v>522</v>
      </c>
      <c r="C272" t="s">
        <v>474</v>
      </c>
      <c r="D272" t="s">
        <v>479</v>
      </c>
      <c r="E272" t="s">
        <v>436</v>
      </c>
      <c r="F272" t="s">
        <v>477</v>
      </c>
      <c r="G272" t="s">
        <v>42</v>
      </c>
      <c r="H272" t="s">
        <v>271</v>
      </c>
      <c r="I272" t="s">
        <v>23</v>
      </c>
    </row>
    <row r="273" spans="1:9" x14ac:dyDescent="0.25">
      <c r="A273" t="s">
        <v>422</v>
      </c>
      <c r="B273" t="s">
        <v>522</v>
      </c>
      <c r="C273" t="s">
        <v>475</v>
      </c>
      <c r="D273" t="s">
        <v>519</v>
      </c>
      <c r="E273" t="s">
        <v>436</v>
      </c>
      <c r="F273" t="s">
        <v>477</v>
      </c>
      <c r="G273" t="s">
        <v>42</v>
      </c>
      <c r="H273" t="s">
        <v>271</v>
      </c>
      <c r="I273" t="s">
        <v>23</v>
      </c>
    </row>
    <row r="274" spans="1:9" x14ac:dyDescent="0.25">
      <c r="A274" t="s">
        <v>422</v>
      </c>
      <c r="B274" t="s">
        <v>522</v>
      </c>
      <c r="C274" t="s">
        <v>469</v>
      </c>
      <c r="D274" t="s">
        <v>436</v>
      </c>
      <c r="E274" t="s">
        <v>436</v>
      </c>
      <c r="F274" t="s">
        <v>477</v>
      </c>
      <c r="G274" t="s">
        <v>133</v>
      </c>
      <c r="H274" t="s">
        <v>312</v>
      </c>
      <c r="I274" t="s">
        <v>23</v>
      </c>
    </row>
    <row r="275" spans="1:9" x14ac:dyDescent="0.25">
      <c r="A275" t="s">
        <v>422</v>
      </c>
      <c r="B275" t="s">
        <v>522</v>
      </c>
      <c r="C275" t="s">
        <v>20</v>
      </c>
      <c r="D275" t="s">
        <v>23</v>
      </c>
      <c r="E275" t="s">
        <v>436</v>
      </c>
      <c r="F275" t="s">
        <v>477</v>
      </c>
      <c r="G275" t="s">
        <v>133</v>
      </c>
      <c r="H275" t="s">
        <v>312</v>
      </c>
      <c r="I275" t="s">
        <v>23</v>
      </c>
    </row>
    <row r="276" spans="1:9" x14ac:dyDescent="0.25">
      <c r="A276" t="s">
        <v>422</v>
      </c>
      <c r="B276" t="s">
        <v>522</v>
      </c>
      <c r="C276" t="s">
        <v>470</v>
      </c>
      <c r="D276">
        <v>20</v>
      </c>
      <c r="E276" t="s">
        <v>436</v>
      </c>
      <c r="F276" t="s">
        <v>477</v>
      </c>
      <c r="G276" t="s">
        <v>133</v>
      </c>
      <c r="H276" t="s">
        <v>312</v>
      </c>
      <c r="I276" t="s">
        <v>23</v>
      </c>
    </row>
    <row r="277" spans="1:9" x14ac:dyDescent="0.25">
      <c r="A277" t="s">
        <v>422</v>
      </c>
      <c r="B277" t="s">
        <v>522</v>
      </c>
      <c r="C277" t="s">
        <v>471</v>
      </c>
      <c r="D277">
        <v>2</v>
      </c>
      <c r="E277" t="s">
        <v>436</v>
      </c>
      <c r="F277" t="s">
        <v>477</v>
      </c>
      <c r="G277" t="s">
        <v>133</v>
      </c>
      <c r="H277" t="s">
        <v>312</v>
      </c>
      <c r="I277" t="s">
        <v>23</v>
      </c>
    </row>
    <row r="278" spans="1:9" x14ac:dyDescent="0.25">
      <c r="A278" t="s">
        <v>422</v>
      </c>
      <c r="B278" t="s">
        <v>522</v>
      </c>
      <c r="C278" t="s">
        <v>472</v>
      </c>
      <c r="D278">
        <v>5</v>
      </c>
      <c r="E278" t="s">
        <v>436</v>
      </c>
      <c r="F278" t="s">
        <v>477</v>
      </c>
      <c r="G278" t="s">
        <v>133</v>
      </c>
      <c r="H278" t="s">
        <v>312</v>
      </c>
      <c r="I278" t="s">
        <v>23</v>
      </c>
    </row>
    <row r="279" spans="1:9" x14ac:dyDescent="0.25">
      <c r="A279" t="s">
        <v>422</v>
      </c>
      <c r="B279" t="s">
        <v>522</v>
      </c>
      <c r="C279" t="s">
        <v>473</v>
      </c>
      <c r="D279" t="s">
        <v>523</v>
      </c>
      <c r="E279" t="s">
        <v>436</v>
      </c>
      <c r="F279" t="s">
        <v>477</v>
      </c>
      <c r="G279" t="s">
        <v>133</v>
      </c>
      <c r="H279" t="s">
        <v>312</v>
      </c>
      <c r="I279" t="s">
        <v>23</v>
      </c>
    </row>
    <row r="280" spans="1:9" x14ac:dyDescent="0.25">
      <c r="A280" t="s">
        <v>422</v>
      </c>
      <c r="B280" t="s">
        <v>522</v>
      </c>
      <c r="C280" t="s">
        <v>474</v>
      </c>
      <c r="D280" t="s">
        <v>479</v>
      </c>
      <c r="E280" t="s">
        <v>436</v>
      </c>
      <c r="F280" t="s">
        <v>477</v>
      </c>
      <c r="G280" t="s">
        <v>133</v>
      </c>
      <c r="H280" t="s">
        <v>312</v>
      </c>
      <c r="I280" t="s">
        <v>23</v>
      </c>
    </row>
    <row r="281" spans="1:9" x14ac:dyDescent="0.25">
      <c r="A281" t="s">
        <v>422</v>
      </c>
      <c r="B281" t="s">
        <v>522</v>
      </c>
      <c r="C281" t="s">
        <v>475</v>
      </c>
      <c r="D281" t="s">
        <v>519</v>
      </c>
      <c r="E281" t="s">
        <v>436</v>
      </c>
      <c r="F281" t="s">
        <v>477</v>
      </c>
      <c r="G281" t="s">
        <v>133</v>
      </c>
      <c r="H281" t="s">
        <v>312</v>
      </c>
      <c r="I281" t="s">
        <v>23</v>
      </c>
    </row>
    <row r="282" spans="1:9" x14ac:dyDescent="0.25">
      <c r="A282" t="s">
        <v>290</v>
      </c>
      <c r="B282" t="s">
        <v>507</v>
      </c>
      <c r="C282" t="s">
        <v>469</v>
      </c>
      <c r="D282" t="s">
        <v>314</v>
      </c>
      <c r="E282" t="s">
        <v>314</v>
      </c>
      <c r="F282" t="s">
        <v>477</v>
      </c>
      <c r="G282" t="s">
        <v>114</v>
      </c>
      <c r="H282" t="s">
        <v>293</v>
      </c>
      <c r="I282" t="s">
        <v>315</v>
      </c>
    </row>
    <row r="283" spans="1:9" x14ac:dyDescent="0.25">
      <c r="A283" t="s">
        <v>290</v>
      </c>
      <c r="B283" t="s">
        <v>507</v>
      </c>
      <c r="C283" t="s">
        <v>20</v>
      </c>
      <c r="D283" t="s">
        <v>315</v>
      </c>
      <c r="E283" t="s">
        <v>314</v>
      </c>
      <c r="F283" t="s">
        <v>477</v>
      </c>
      <c r="G283" t="s">
        <v>114</v>
      </c>
      <c r="H283" t="s">
        <v>293</v>
      </c>
      <c r="I283" t="s">
        <v>315</v>
      </c>
    </row>
    <row r="284" spans="1:9" x14ac:dyDescent="0.25">
      <c r="A284" t="s">
        <v>290</v>
      </c>
      <c r="B284" t="s">
        <v>507</v>
      </c>
      <c r="C284" t="s">
        <v>470</v>
      </c>
      <c r="D284">
        <v>20</v>
      </c>
      <c r="E284" t="s">
        <v>314</v>
      </c>
      <c r="F284" t="s">
        <v>477</v>
      </c>
      <c r="G284" t="s">
        <v>114</v>
      </c>
      <c r="H284" t="s">
        <v>293</v>
      </c>
      <c r="I284" t="s">
        <v>315</v>
      </c>
    </row>
    <row r="285" spans="1:9" x14ac:dyDescent="0.25">
      <c r="A285" t="s">
        <v>290</v>
      </c>
      <c r="B285" t="s">
        <v>507</v>
      </c>
      <c r="C285" t="s">
        <v>471</v>
      </c>
      <c r="D285">
        <v>1</v>
      </c>
      <c r="E285" t="s">
        <v>314</v>
      </c>
      <c r="F285" t="s">
        <v>477</v>
      </c>
      <c r="G285" t="s">
        <v>114</v>
      </c>
      <c r="H285" t="s">
        <v>293</v>
      </c>
      <c r="I285" t="s">
        <v>315</v>
      </c>
    </row>
    <row r="286" spans="1:9" x14ac:dyDescent="0.25">
      <c r="A286" t="s">
        <v>290</v>
      </c>
      <c r="B286" t="s">
        <v>507</v>
      </c>
      <c r="C286" t="s">
        <v>472</v>
      </c>
      <c r="D286">
        <v>6</v>
      </c>
      <c r="E286" t="s">
        <v>314</v>
      </c>
      <c r="F286" t="s">
        <v>477</v>
      </c>
      <c r="G286" t="s">
        <v>114</v>
      </c>
      <c r="H286" t="s">
        <v>293</v>
      </c>
      <c r="I286" t="s">
        <v>315</v>
      </c>
    </row>
    <row r="287" spans="1:9" x14ac:dyDescent="0.25">
      <c r="A287" t="s">
        <v>290</v>
      </c>
      <c r="B287" t="s">
        <v>507</v>
      </c>
      <c r="C287" t="s">
        <v>473</v>
      </c>
      <c r="D287" t="s">
        <v>508</v>
      </c>
      <c r="E287" t="s">
        <v>314</v>
      </c>
      <c r="F287" t="s">
        <v>477</v>
      </c>
      <c r="G287" t="s">
        <v>114</v>
      </c>
      <c r="H287" t="s">
        <v>293</v>
      </c>
      <c r="I287" t="s">
        <v>315</v>
      </c>
    </row>
    <row r="288" spans="1:9" x14ac:dyDescent="0.25">
      <c r="A288" t="s">
        <v>290</v>
      </c>
      <c r="B288" t="s">
        <v>507</v>
      </c>
      <c r="C288" t="s">
        <v>474</v>
      </c>
      <c r="D288" t="s">
        <v>479</v>
      </c>
      <c r="E288" t="s">
        <v>314</v>
      </c>
      <c r="F288" t="s">
        <v>477</v>
      </c>
      <c r="G288" t="s">
        <v>114</v>
      </c>
      <c r="H288" t="s">
        <v>293</v>
      </c>
      <c r="I288" t="s">
        <v>315</v>
      </c>
    </row>
    <row r="289" spans="1:9" x14ac:dyDescent="0.25">
      <c r="A289" t="s">
        <v>290</v>
      </c>
      <c r="B289" t="s">
        <v>507</v>
      </c>
      <c r="C289" t="s">
        <v>475</v>
      </c>
      <c r="D289" t="s">
        <v>114</v>
      </c>
      <c r="E289" t="s">
        <v>314</v>
      </c>
      <c r="F289" t="s">
        <v>477</v>
      </c>
      <c r="G289" t="s">
        <v>114</v>
      </c>
      <c r="H289" t="s">
        <v>293</v>
      </c>
      <c r="I289" t="s">
        <v>315</v>
      </c>
    </row>
    <row r="290" spans="1:9" x14ac:dyDescent="0.25">
      <c r="A290" t="s">
        <v>422</v>
      </c>
      <c r="B290" t="s">
        <v>524</v>
      </c>
      <c r="C290" t="s">
        <v>469</v>
      </c>
      <c r="D290" t="s">
        <v>442</v>
      </c>
      <c r="E290" t="s">
        <v>442</v>
      </c>
      <c r="F290" t="s">
        <v>477</v>
      </c>
      <c r="G290" t="s">
        <v>42</v>
      </c>
      <c r="H290" t="s">
        <v>271</v>
      </c>
      <c r="I290" t="s">
        <v>10</v>
      </c>
    </row>
    <row r="291" spans="1:9" x14ac:dyDescent="0.25">
      <c r="A291" t="s">
        <v>422</v>
      </c>
      <c r="B291" t="s">
        <v>524</v>
      </c>
      <c r="C291" t="s">
        <v>20</v>
      </c>
      <c r="D291" t="s">
        <v>525</v>
      </c>
      <c r="E291" t="s">
        <v>442</v>
      </c>
      <c r="F291" t="s">
        <v>477</v>
      </c>
      <c r="G291" t="s">
        <v>42</v>
      </c>
      <c r="H291" t="s">
        <v>271</v>
      </c>
      <c r="I291" t="s">
        <v>10</v>
      </c>
    </row>
    <row r="292" spans="1:9" x14ac:dyDescent="0.25">
      <c r="A292" t="s">
        <v>422</v>
      </c>
      <c r="B292" t="s">
        <v>524</v>
      </c>
      <c r="C292" t="s">
        <v>470</v>
      </c>
      <c r="E292" t="s">
        <v>442</v>
      </c>
      <c r="F292" t="s">
        <v>477</v>
      </c>
      <c r="G292" t="s">
        <v>42</v>
      </c>
      <c r="H292" t="s">
        <v>271</v>
      </c>
      <c r="I292" t="s">
        <v>10</v>
      </c>
    </row>
    <row r="293" spans="1:9" x14ac:dyDescent="0.25">
      <c r="A293" t="s">
        <v>422</v>
      </c>
      <c r="B293" t="s">
        <v>524</v>
      </c>
      <c r="C293" t="s">
        <v>471</v>
      </c>
      <c r="E293" t="s">
        <v>442</v>
      </c>
      <c r="F293" t="s">
        <v>477</v>
      </c>
      <c r="G293" t="s">
        <v>42</v>
      </c>
      <c r="H293" t="s">
        <v>271</v>
      </c>
      <c r="I293" t="s">
        <v>10</v>
      </c>
    </row>
    <row r="294" spans="1:9" x14ac:dyDescent="0.25">
      <c r="A294" t="s">
        <v>422</v>
      </c>
      <c r="B294" t="s">
        <v>524</v>
      </c>
      <c r="C294" t="s">
        <v>472</v>
      </c>
      <c r="D294">
        <v>5</v>
      </c>
      <c r="E294" t="s">
        <v>442</v>
      </c>
      <c r="F294" t="s">
        <v>477</v>
      </c>
      <c r="G294" t="s">
        <v>42</v>
      </c>
      <c r="H294" t="s">
        <v>271</v>
      </c>
      <c r="I294" t="s">
        <v>10</v>
      </c>
    </row>
    <row r="295" spans="1:9" x14ac:dyDescent="0.25">
      <c r="A295" t="s">
        <v>422</v>
      </c>
      <c r="B295" t="s">
        <v>524</v>
      </c>
      <c r="C295" t="s">
        <v>473</v>
      </c>
      <c r="D295" t="s">
        <v>526</v>
      </c>
      <c r="E295" t="s">
        <v>442</v>
      </c>
      <c r="F295" t="s">
        <v>477</v>
      </c>
      <c r="G295" t="s">
        <v>42</v>
      </c>
      <c r="H295" t="s">
        <v>271</v>
      </c>
      <c r="I295" t="s">
        <v>10</v>
      </c>
    </row>
    <row r="296" spans="1:9" x14ac:dyDescent="0.25">
      <c r="A296" t="s">
        <v>422</v>
      </c>
      <c r="B296" t="s">
        <v>524</v>
      </c>
      <c r="C296" t="s">
        <v>474</v>
      </c>
      <c r="D296" t="s">
        <v>479</v>
      </c>
      <c r="E296" t="s">
        <v>442</v>
      </c>
      <c r="F296" t="s">
        <v>477</v>
      </c>
      <c r="G296" t="s">
        <v>42</v>
      </c>
      <c r="H296" t="s">
        <v>271</v>
      </c>
      <c r="I296" t="s">
        <v>10</v>
      </c>
    </row>
    <row r="297" spans="1:9" x14ac:dyDescent="0.25">
      <c r="A297" t="s">
        <v>422</v>
      </c>
      <c r="B297" t="s">
        <v>524</v>
      </c>
      <c r="C297" t="s">
        <v>475</v>
      </c>
      <c r="D297" t="s">
        <v>527</v>
      </c>
      <c r="E297" t="s">
        <v>442</v>
      </c>
      <c r="F297" t="s">
        <v>477</v>
      </c>
      <c r="G297" t="s">
        <v>42</v>
      </c>
      <c r="H297" t="s">
        <v>271</v>
      </c>
      <c r="I297" t="s">
        <v>10</v>
      </c>
    </row>
    <row r="298" spans="1:9" x14ac:dyDescent="0.25">
      <c r="A298" t="s">
        <v>422</v>
      </c>
      <c r="B298" t="s">
        <v>524</v>
      </c>
      <c r="C298" t="s">
        <v>469</v>
      </c>
      <c r="D298" t="s">
        <v>442</v>
      </c>
      <c r="E298" t="s">
        <v>442</v>
      </c>
      <c r="F298" t="s">
        <v>477</v>
      </c>
      <c r="G298" t="s">
        <v>133</v>
      </c>
      <c r="H298" t="s">
        <v>312</v>
      </c>
      <c r="I298" t="s">
        <v>10</v>
      </c>
    </row>
    <row r="299" spans="1:9" x14ac:dyDescent="0.25">
      <c r="A299" t="s">
        <v>422</v>
      </c>
      <c r="B299" t="s">
        <v>524</v>
      </c>
      <c r="C299" t="s">
        <v>20</v>
      </c>
      <c r="D299" t="s">
        <v>525</v>
      </c>
      <c r="E299" t="s">
        <v>442</v>
      </c>
      <c r="F299" t="s">
        <v>477</v>
      </c>
      <c r="G299" t="s">
        <v>133</v>
      </c>
      <c r="H299" t="s">
        <v>312</v>
      </c>
      <c r="I299" t="s">
        <v>10</v>
      </c>
    </row>
    <row r="300" spans="1:9" x14ac:dyDescent="0.25">
      <c r="A300" t="s">
        <v>422</v>
      </c>
      <c r="B300" t="s">
        <v>524</v>
      </c>
      <c r="C300" t="s">
        <v>470</v>
      </c>
      <c r="E300" t="s">
        <v>442</v>
      </c>
      <c r="F300" t="s">
        <v>477</v>
      </c>
      <c r="G300" t="s">
        <v>133</v>
      </c>
      <c r="H300" t="s">
        <v>312</v>
      </c>
      <c r="I300" t="s">
        <v>10</v>
      </c>
    </row>
    <row r="301" spans="1:9" x14ac:dyDescent="0.25">
      <c r="A301" t="s">
        <v>422</v>
      </c>
      <c r="B301" t="s">
        <v>524</v>
      </c>
      <c r="C301" t="s">
        <v>471</v>
      </c>
      <c r="E301" t="s">
        <v>442</v>
      </c>
      <c r="F301" t="s">
        <v>477</v>
      </c>
      <c r="G301" t="s">
        <v>133</v>
      </c>
      <c r="H301" t="s">
        <v>312</v>
      </c>
      <c r="I301" t="s">
        <v>10</v>
      </c>
    </row>
    <row r="302" spans="1:9" x14ac:dyDescent="0.25">
      <c r="A302" t="s">
        <v>422</v>
      </c>
      <c r="B302" t="s">
        <v>524</v>
      </c>
      <c r="C302" t="s">
        <v>472</v>
      </c>
      <c r="D302">
        <v>5</v>
      </c>
      <c r="E302" t="s">
        <v>442</v>
      </c>
      <c r="F302" t="s">
        <v>477</v>
      </c>
      <c r="G302" t="s">
        <v>133</v>
      </c>
      <c r="H302" t="s">
        <v>312</v>
      </c>
      <c r="I302" t="s">
        <v>10</v>
      </c>
    </row>
    <row r="303" spans="1:9" x14ac:dyDescent="0.25">
      <c r="A303" t="s">
        <v>422</v>
      </c>
      <c r="B303" t="s">
        <v>524</v>
      </c>
      <c r="C303" t="s">
        <v>473</v>
      </c>
      <c r="D303" t="s">
        <v>526</v>
      </c>
      <c r="E303" t="s">
        <v>442</v>
      </c>
      <c r="F303" t="s">
        <v>477</v>
      </c>
      <c r="G303" t="s">
        <v>133</v>
      </c>
      <c r="H303" t="s">
        <v>312</v>
      </c>
      <c r="I303" t="s">
        <v>10</v>
      </c>
    </row>
    <row r="304" spans="1:9" x14ac:dyDescent="0.25">
      <c r="A304" t="s">
        <v>422</v>
      </c>
      <c r="B304" t="s">
        <v>524</v>
      </c>
      <c r="C304" t="s">
        <v>474</v>
      </c>
      <c r="D304" t="s">
        <v>479</v>
      </c>
      <c r="E304" t="s">
        <v>442</v>
      </c>
      <c r="F304" t="s">
        <v>477</v>
      </c>
      <c r="G304" t="s">
        <v>133</v>
      </c>
      <c r="H304" t="s">
        <v>312</v>
      </c>
      <c r="I304" t="s">
        <v>10</v>
      </c>
    </row>
    <row r="305" spans="1:9" x14ac:dyDescent="0.25">
      <c r="A305" t="s">
        <v>422</v>
      </c>
      <c r="B305" t="s">
        <v>524</v>
      </c>
      <c r="C305" t="s">
        <v>475</v>
      </c>
      <c r="D305" t="s">
        <v>527</v>
      </c>
      <c r="E305" t="s">
        <v>442</v>
      </c>
      <c r="F305" t="s">
        <v>477</v>
      </c>
      <c r="G305" t="s">
        <v>133</v>
      </c>
      <c r="H305" t="s">
        <v>312</v>
      </c>
      <c r="I305" t="s">
        <v>10</v>
      </c>
    </row>
    <row r="306" spans="1:9" x14ac:dyDescent="0.25">
      <c r="A306" t="s">
        <v>290</v>
      </c>
      <c r="B306" t="s">
        <v>509</v>
      </c>
      <c r="C306" t="s">
        <v>469</v>
      </c>
      <c r="D306" t="s">
        <v>317</v>
      </c>
      <c r="E306" t="s">
        <v>317</v>
      </c>
      <c r="F306" t="s">
        <v>477</v>
      </c>
      <c r="G306" t="s">
        <v>114</v>
      </c>
      <c r="H306" t="s">
        <v>293</v>
      </c>
      <c r="I306" t="s">
        <v>318</v>
      </c>
    </row>
    <row r="307" spans="1:9" x14ac:dyDescent="0.25">
      <c r="A307" t="s">
        <v>290</v>
      </c>
      <c r="B307" t="s">
        <v>509</v>
      </c>
      <c r="C307" t="s">
        <v>20</v>
      </c>
      <c r="D307" t="s">
        <v>318</v>
      </c>
      <c r="E307" t="s">
        <v>317</v>
      </c>
      <c r="F307" t="s">
        <v>477</v>
      </c>
      <c r="G307" t="s">
        <v>114</v>
      </c>
      <c r="H307" t="s">
        <v>293</v>
      </c>
      <c r="I307" t="s">
        <v>318</v>
      </c>
    </row>
    <row r="308" spans="1:9" x14ac:dyDescent="0.25">
      <c r="A308" t="s">
        <v>290</v>
      </c>
      <c r="B308" t="s">
        <v>509</v>
      </c>
      <c r="C308" t="s">
        <v>470</v>
      </c>
      <c r="D308">
        <v>30</v>
      </c>
      <c r="E308" t="s">
        <v>317</v>
      </c>
      <c r="F308" t="s">
        <v>477</v>
      </c>
      <c r="G308" t="s">
        <v>114</v>
      </c>
      <c r="H308" t="s">
        <v>293</v>
      </c>
      <c r="I308" t="s">
        <v>318</v>
      </c>
    </row>
    <row r="309" spans="1:9" x14ac:dyDescent="0.25">
      <c r="A309" t="s">
        <v>290</v>
      </c>
      <c r="B309" t="s">
        <v>509</v>
      </c>
      <c r="C309" t="s">
        <v>471</v>
      </c>
      <c r="D309" t="s">
        <v>492</v>
      </c>
      <c r="E309" t="s">
        <v>317</v>
      </c>
      <c r="F309" t="s">
        <v>477</v>
      </c>
      <c r="G309" t="s">
        <v>114</v>
      </c>
      <c r="H309" t="s">
        <v>293</v>
      </c>
      <c r="I309" t="s">
        <v>318</v>
      </c>
    </row>
    <row r="310" spans="1:9" x14ac:dyDescent="0.25">
      <c r="A310" t="s">
        <v>290</v>
      </c>
      <c r="B310" t="s">
        <v>509</v>
      </c>
      <c r="C310" t="s">
        <v>472</v>
      </c>
      <c r="D310">
        <v>6</v>
      </c>
      <c r="E310" t="s">
        <v>317</v>
      </c>
      <c r="F310" t="s">
        <v>477</v>
      </c>
      <c r="G310" t="s">
        <v>114</v>
      </c>
      <c r="H310" t="s">
        <v>293</v>
      </c>
      <c r="I310" t="s">
        <v>318</v>
      </c>
    </row>
    <row r="311" spans="1:9" x14ac:dyDescent="0.25">
      <c r="A311" t="s">
        <v>290</v>
      </c>
      <c r="B311" t="s">
        <v>509</v>
      </c>
      <c r="C311" t="s">
        <v>473</v>
      </c>
      <c r="D311" t="s">
        <v>497</v>
      </c>
      <c r="E311" t="s">
        <v>317</v>
      </c>
      <c r="F311" t="s">
        <v>477</v>
      </c>
      <c r="G311" t="s">
        <v>114</v>
      </c>
      <c r="H311" t="s">
        <v>293</v>
      </c>
      <c r="I311" t="s">
        <v>318</v>
      </c>
    </row>
    <row r="312" spans="1:9" x14ac:dyDescent="0.25">
      <c r="A312" t="s">
        <v>290</v>
      </c>
      <c r="B312" t="s">
        <v>509</v>
      </c>
      <c r="C312" t="s">
        <v>474</v>
      </c>
      <c r="D312" t="s">
        <v>494</v>
      </c>
      <c r="E312" t="s">
        <v>317</v>
      </c>
      <c r="F312" t="s">
        <v>477</v>
      </c>
      <c r="G312" t="s">
        <v>114</v>
      </c>
      <c r="H312" t="s">
        <v>293</v>
      </c>
      <c r="I312" t="s">
        <v>318</v>
      </c>
    </row>
    <row r="313" spans="1:9" x14ac:dyDescent="0.25">
      <c r="A313" t="s">
        <v>290</v>
      </c>
      <c r="B313" t="s">
        <v>509</v>
      </c>
      <c r="C313" t="s">
        <v>475</v>
      </c>
      <c r="D313" t="s">
        <v>114</v>
      </c>
      <c r="E313" t="s">
        <v>317</v>
      </c>
      <c r="F313" t="s">
        <v>477</v>
      </c>
      <c r="G313" t="s">
        <v>114</v>
      </c>
      <c r="H313" t="s">
        <v>293</v>
      </c>
      <c r="I313" t="s">
        <v>318</v>
      </c>
    </row>
    <row r="314" spans="1:9" x14ac:dyDescent="0.25">
      <c r="A314" t="s">
        <v>422</v>
      </c>
      <c r="B314" t="s">
        <v>528</v>
      </c>
      <c r="C314" t="s">
        <v>469</v>
      </c>
      <c r="D314" t="s">
        <v>444</v>
      </c>
      <c r="E314" t="s">
        <v>444</v>
      </c>
      <c r="F314" t="s">
        <v>477</v>
      </c>
      <c r="G314" t="s">
        <v>42</v>
      </c>
      <c r="H314" t="s">
        <v>271</v>
      </c>
      <c r="I314" t="s">
        <v>19</v>
      </c>
    </row>
    <row r="315" spans="1:9" x14ac:dyDescent="0.25">
      <c r="A315" t="s">
        <v>422</v>
      </c>
      <c r="B315" t="s">
        <v>528</v>
      </c>
      <c r="C315" t="s">
        <v>20</v>
      </c>
      <c r="D315" t="s">
        <v>19</v>
      </c>
      <c r="E315" t="s">
        <v>444</v>
      </c>
      <c r="F315" t="s">
        <v>477</v>
      </c>
      <c r="G315" t="s">
        <v>42</v>
      </c>
      <c r="H315" t="s">
        <v>271</v>
      </c>
      <c r="I315" t="s">
        <v>19</v>
      </c>
    </row>
    <row r="316" spans="1:9" x14ac:dyDescent="0.25">
      <c r="A316" t="s">
        <v>422</v>
      </c>
      <c r="B316" t="s">
        <v>528</v>
      </c>
      <c r="C316" t="s">
        <v>470</v>
      </c>
      <c r="D316">
        <v>40</v>
      </c>
      <c r="E316" t="s">
        <v>444</v>
      </c>
      <c r="F316" t="s">
        <v>477</v>
      </c>
      <c r="G316" t="s">
        <v>42</v>
      </c>
      <c r="H316" t="s">
        <v>271</v>
      </c>
      <c r="I316" t="s">
        <v>19</v>
      </c>
    </row>
    <row r="317" spans="1:9" x14ac:dyDescent="0.25">
      <c r="A317" t="s">
        <v>422</v>
      </c>
      <c r="B317" t="s">
        <v>528</v>
      </c>
      <c r="C317" t="s">
        <v>471</v>
      </c>
      <c r="D317" t="s">
        <v>492</v>
      </c>
      <c r="E317" t="s">
        <v>444</v>
      </c>
      <c r="F317" t="s">
        <v>477</v>
      </c>
      <c r="G317" t="s">
        <v>42</v>
      </c>
      <c r="H317" t="s">
        <v>271</v>
      </c>
      <c r="I317" t="s">
        <v>19</v>
      </c>
    </row>
    <row r="318" spans="1:9" x14ac:dyDescent="0.25">
      <c r="A318" t="s">
        <v>422</v>
      </c>
      <c r="B318" t="s">
        <v>528</v>
      </c>
      <c r="C318" t="s">
        <v>472</v>
      </c>
      <c r="D318">
        <v>6</v>
      </c>
      <c r="E318" t="s">
        <v>444</v>
      </c>
      <c r="F318" t="s">
        <v>477</v>
      </c>
      <c r="G318" t="s">
        <v>42</v>
      </c>
      <c r="H318" t="s">
        <v>271</v>
      </c>
      <c r="I318" t="s">
        <v>19</v>
      </c>
    </row>
    <row r="319" spans="1:9" x14ac:dyDescent="0.25">
      <c r="A319" t="s">
        <v>422</v>
      </c>
      <c r="B319" t="s">
        <v>528</v>
      </c>
      <c r="C319" t="s">
        <v>473</v>
      </c>
      <c r="E319" t="s">
        <v>444</v>
      </c>
      <c r="F319" t="s">
        <v>477</v>
      </c>
      <c r="G319" t="s">
        <v>42</v>
      </c>
      <c r="H319" t="s">
        <v>271</v>
      </c>
      <c r="I319" t="s">
        <v>19</v>
      </c>
    </row>
    <row r="320" spans="1:9" x14ac:dyDescent="0.25">
      <c r="A320" t="s">
        <v>422</v>
      </c>
      <c r="B320" t="s">
        <v>528</v>
      </c>
      <c r="C320" t="s">
        <v>474</v>
      </c>
      <c r="D320" t="s">
        <v>529</v>
      </c>
      <c r="E320" t="s">
        <v>444</v>
      </c>
      <c r="F320" t="s">
        <v>477</v>
      </c>
      <c r="G320" t="s">
        <v>42</v>
      </c>
      <c r="H320" t="s">
        <v>271</v>
      </c>
      <c r="I320" t="s">
        <v>19</v>
      </c>
    </row>
    <row r="321" spans="1:9" x14ac:dyDescent="0.25">
      <c r="A321" t="s">
        <v>422</v>
      </c>
      <c r="B321" t="s">
        <v>528</v>
      </c>
      <c r="C321" t="s">
        <v>475</v>
      </c>
      <c r="D321" t="s">
        <v>516</v>
      </c>
      <c r="E321" t="s">
        <v>444</v>
      </c>
      <c r="F321" t="s">
        <v>477</v>
      </c>
      <c r="G321" t="s">
        <v>42</v>
      </c>
      <c r="H321" t="s">
        <v>271</v>
      </c>
      <c r="I321" t="s">
        <v>19</v>
      </c>
    </row>
    <row r="322" spans="1:9" x14ac:dyDescent="0.25">
      <c r="A322" t="s">
        <v>422</v>
      </c>
      <c r="B322" t="s">
        <v>528</v>
      </c>
      <c r="C322" t="s">
        <v>469</v>
      </c>
      <c r="D322" t="s">
        <v>444</v>
      </c>
      <c r="E322" t="s">
        <v>444</v>
      </c>
      <c r="F322" t="s">
        <v>477</v>
      </c>
      <c r="G322" t="s">
        <v>114</v>
      </c>
      <c r="H322" t="s">
        <v>293</v>
      </c>
      <c r="I322" t="s">
        <v>19</v>
      </c>
    </row>
    <row r="323" spans="1:9" x14ac:dyDescent="0.25">
      <c r="A323" t="s">
        <v>422</v>
      </c>
      <c r="B323" t="s">
        <v>528</v>
      </c>
      <c r="C323" t="s">
        <v>20</v>
      </c>
      <c r="D323" t="s">
        <v>19</v>
      </c>
      <c r="E323" t="s">
        <v>444</v>
      </c>
      <c r="F323" t="s">
        <v>477</v>
      </c>
      <c r="G323" t="s">
        <v>114</v>
      </c>
      <c r="H323" t="s">
        <v>293</v>
      </c>
      <c r="I323" t="s">
        <v>19</v>
      </c>
    </row>
    <row r="324" spans="1:9" x14ac:dyDescent="0.25">
      <c r="A324" t="s">
        <v>422</v>
      </c>
      <c r="B324" t="s">
        <v>528</v>
      </c>
      <c r="C324" t="s">
        <v>470</v>
      </c>
      <c r="D324">
        <v>40</v>
      </c>
      <c r="E324" t="s">
        <v>444</v>
      </c>
      <c r="F324" t="s">
        <v>477</v>
      </c>
      <c r="G324" t="s">
        <v>114</v>
      </c>
      <c r="H324" t="s">
        <v>293</v>
      </c>
      <c r="I324" t="s">
        <v>19</v>
      </c>
    </row>
    <row r="325" spans="1:9" x14ac:dyDescent="0.25">
      <c r="A325" t="s">
        <v>422</v>
      </c>
      <c r="B325" t="s">
        <v>528</v>
      </c>
      <c r="C325" t="s">
        <v>471</v>
      </c>
      <c r="D325" t="s">
        <v>492</v>
      </c>
      <c r="E325" t="s">
        <v>444</v>
      </c>
      <c r="F325" t="s">
        <v>477</v>
      </c>
      <c r="G325" t="s">
        <v>114</v>
      </c>
      <c r="H325" t="s">
        <v>293</v>
      </c>
      <c r="I325" t="s">
        <v>19</v>
      </c>
    </row>
    <row r="326" spans="1:9" x14ac:dyDescent="0.25">
      <c r="A326" t="s">
        <v>422</v>
      </c>
      <c r="B326" t="s">
        <v>528</v>
      </c>
      <c r="C326" t="s">
        <v>472</v>
      </c>
      <c r="D326">
        <v>6</v>
      </c>
      <c r="E326" t="s">
        <v>444</v>
      </c>
      <c r="F326" t="s">
        <v>477</v>
      </c>
      <c r="G326" t="s">
        <v>114</v>
      </c>
      <c r="H326" t="s">
        <v>293</v>
      </c>
      <c r="I326" t="s">
        <v>19</v>
      </c>
    </row>
    <row r="327" spans="1:9" x14ac:dyDescent="0.25">
      <c r="A327" t="s">
        <v>422</v>
      </c>
      <c r="B327" t="s">
        <v>528</v>
      </c>
      <c r="C327" t="s">
        <v>473</v>
      </c>
      <c r="E327" t="s">
        <v>444</v>
      </c>
      <c r="F327" t="s">
        <v>477</v>
      </c>
      <c r="G327" t="s">
        <v>114</v>
      </c>
      <c r="H327" t="s">
        <v>293</v>
      </c>
      <c r="I327" t="s">
        <v>19</v>
      </c>
    </row>
    <row r="328" spans="1:9" x14ac:dyDescent="0.25">
      <c r="A328" t="s">
        <v>422</v>
      </c>
      <c r="B328" t="s">
        <v>528</v>
      </c>
      <c r="C328" t="s">
        <v>474</v>
      </c>
      <c r="D328" t="s">
        <v>529</v>
      </c>
      <c r="E328" t="s">
        <v>444</v>
      </c>
      <c r="F328" t="s">
        <v>477</v>
      </c>
      <c r="G328" t="s">
        <v>114</v>
      </c>
      <c r="H328" t="s">
        <v>293</v>
      </c>
      <c r="I328" t="s">
        <v>19</v>
      </c>
    </row>
    <row r="329" spans="1:9" x14ac:dyDescent="0.25">
      <c r="A329" t="s">
        <v>422</v>
      </c>
      <c r="B329" t="s">
        <v>528</v>
      </c>
      <c r="C329" t="s">
        <v>475</v>
      </c>
      <c r="D329" t="s">
        <v>516</v>
      </c>
      <c r="E329" t="s">
        <v>444</v>
      </c>
      <c r="F329" t="s">
        <v>477</v>
      </c>
      <c r="G329" t="s">
        <v>114</v>
      </c>
      <c r="H329" t="s">
        <v>293</v>
      </c>
      <c r="I329" t="s">
        <v>19</v>
      </c>
    </row>
    <row r="330" spans="1:9" x14ac:dyDescent="0.25">
      <c r="A330" t="s">
        <v>422</v>
      </c>
      <c r="B330" t="s">
        <v>528</v>
      </c>
      <c r="C330" t="s">
        <v>469</v>
      </c>
      <c r="D330" t="s">
        <v>444</v>
      </c>
      <c r="E330" t="s">
        <v>444</v>
      </c>
      <c r="F330" t="s">
        <v>477</v>
      </c>
      <c r="G330" t="s">
        <v>133</v>
      </c>
      <c r="H330" t="s">
        <v>312</v>
      </c>
      <c r="I330" t="s">
        <v>19</v>
      </c>
    </row>
    <row r="331" spans="1:9" x14ac:dyDescent="0.25">
      <c r="A331" t="s">
        <v>422</v>
      </c>
      <c r="B331" t="s">
        <v>528</v>
      </c>
      <c r="C331" t="s">
        <v>20</v>
      </c>
      <c r="D331" t="s">
        <v>19</v>
      </c>
      <c r="E331" t="s">
        <v>444</v>
      </c>
      <c r="F331" t="s">
        <v>477</v>
      </c>
      <c r="G331" t="s">
        <v>133</v>
      </c>
      <c r="H331" t="s">
        <v>312</v>
      </c>
      <c r="I331" t="s">
        <v>19</v>
      </c>
    </row>
    <row r="332" spans="1:9" x14ac:dyDescent="0.25">
      <c r="A332" t="s">
        <v>422</v>
      </c>
      <c r="B332" t="s">
        <v>528</v>
      </c>
      <c r="C332" t="s">
        <v>470</v>
      </c>
      <c r="D332">
        <v>40</v>
      </c>
      <c r="E332" t="s">
        <v>444</v>
      </c>
      <c r="F332" t="s">
        <v>477</v>
      </c>
      <c r="G332" t="s">
        <v>133</v>
      </c>
      <c r="H332" t="s">
        <v>312</v>
      </c>
      <c r="I332" t="s">
        <v>19</v>
      </c>
    </row>
    <row r="333" spans="1:9" x14ac:dyDescent="0.25">
      <c r="A333" t="s">
        <v>422</v>
      </c>
      <c r="B333" t="s">
        <v>528</v>
      </c>
      <c r="C333" t="s">
        <v>471</v>
      </c>
      <c r="D333" t="s">
        <v>492</v>
      </c>
      <c r="E333" t="s">
        <v>444</v>
      </c>
      <c r="F333" t="s">
        <v>477</v>
      </c>
      <c r="G333" t="s">
        <v>133</v>
      </c>
      <c r="H333" t="s">
        <v>312</v>
      </c>
      <c r="I333" t="s">
        <v>19</v>
      </c>
    </row>
    <row r="334" spans="1:9" x14ac:dyDescent="0.25">
      <c r="A334" t="s">
        <v>422</v>
      </c>
      <c r="B334" t="s">
        <v>528</v>
      </c>
      <c r="C334" t="s">
        <v>472</v>
      </c>
      <c r="D334">
        <v>6</v>
      </c>
      <c r="E334" t="s">
        <v>444</v>
      </c>
      <c r="F334" t="s">
        <v>477</v>
      </c>
      <c r="G334" t="s">
        <v>133</v>
      </c>
      <c r="H334" t="s">
        <v>312</v>
      </c>
      <c r="I334" t="s">
        <v>19</v>
      </c>
    </row>
    <row r="335" spans="1:9" x14ac:dyDescent="0.25">
      <c r="A335" t="s">
        <v>422</v>
      </c>
      <c r="B335" t="s">
        <v>528</v>
      </c>
      <c r="C335" t="s">
        <v>473</v>
      </c>
      <c r="E335" t="s">
        <v>444</v>
      </c>
      <c r="F335" t="s">
        <v>477</v>
      </c>
      <c r="G335" t="s">
        <v>133</v>
      </c>
      <c r="H335" t="s">
        <v>312</v>
      </c>
      <c r="I335" t="s">
        <v>19</v>
      </c>
    </row>
    <row r="336" spans="1:9" x14ac:dyDescent="0.25">
      <c r="A336" t="s">
        <v>422</v>
      </c>
      <c r="B336" t="s">
        <v>528</v>
      </c>
      <c r="C336" t="s">
        <v>474</v>
      </c>
      <c r="D336" t="s">
        <v>529</v>
      </c>
      <c r="E336" t="s">
        <v>444</v>
      </c>
      <c r="F336" t="s">
        <v>477</v>
      </c>
      <c r="G336" t="s">
        <v>133</v>
      </c>
      <c r="H336" t="s">
        <v>312</v>
      </c>
      <c r="I336" t="s">
        <v>19</v>
      </c>
    </row>
    <row r="337" spans="1:9" x14ac:dyDescent="0.25">
      <c r="A337" t="s">
        <v>422</v>
      </c>
      <c r="B337" t="s">
        <v>528</v>
      </c>
      <c r="C337" t="s">
        <v>475</v>
      </c>
      <c r="D337" t="s">
        <v>516</v>
      </c>
      <c r="E337" t="s">
        <v>444</v>
      </c>
      <c r="F337" t="s">
        <v>477</v>
      </c>
      <c r="G337" t="s">
        <v>133</v>
      </c>
      <c r="H337" t="s">
        <v>312</v>
      </c>
      <c r="I337" t="s">
        <v>19</v>
      </c>
    </row>
    <row r="338" spans="1:9" x14ac:dyDescent="0.25">
      <c r="A338" t="s">
        <v>422</v>
      </c>
      <c r="B338" t="s">
        <v>528</v>
      </c>
      <c r="C338" t="s">
        <v>469</v>
      </c>
      <c r="D338" t="s">
        <v>444</v>
      </c>
      <c r="E338" t="s">
        <v>444</v>
      </c>
      <c r="F338" t="s">
        <v>477</v>
      </c>
      <c r="G338" t="s">
        <v>152</v>
      </c>
      <c r="H338" t="s">
        <v>320</v>
      </c>
      <c r="I338" t="s">
        <v>19</v>
      </c>
    </row>
    <row r="339" spans="1:9" x14ac:dyDescent="0.25">
      <c r="A339" t="s">
        <v>422</v>
      </c>
      <c r="B339" t="s">
        <v>528</v>
      </c>
      <c r="C339" t="s">
        <v>20</v>
      </c>
      <c r="D339" t="s">
        <v>19</v>
      </c>
      <c r="E339" t="s">
        <v>444</v>
      </c>
      <c r="F339" t="s">
        <v>477</v>
      </c>
      <c r="G339" t="s">
        <v>152</v>
      </c>
      <c r="H339" t="s">
        <v>320</v>
      </c>
      <c r="I339" t="s">
        <v>19</v>
      </c>
    </row>
    <row r="340" spans="1:9" x14ac:dyDescent="0.25">
      <c r="A340" t="s">
        <v>422</v>
      </c>
      <c r="B340" t="s">
        <v>528</v>
      </c>
      <c r="C340" t="s">
        <v>470</v>
      </c>
      <c r="D340">
        <v>40</v>
      </c>
      <c r="E340" t="s">
        <v>444</v>
      </c>
      <c r="F340" t="s">
        <v>477</v>
      </c>
      <c r="G340" t="s">
        <v>152</v>
      </c>
      <c r="H340" t="s">
        <v>320</v>
      </c>
      <c r="I340" t="s">
        <v>19</v>
      </c>
    </row>
    <row r="341" spans="1:9" x14ac:dyDescent="0.25">
      <c r="A341" t="s">
        <v>422</v>
      </c>
      <c r="B341" t="s">
        <v>528</v>
      </c>
      <c r="C341" t="s">
        <v>471</v>
      </c>
      <c r="D341" t="s">
        <v>492</v>
      </c>
      <c r="E341" t="s">
        <v>444</v>
      </c>
      <c r="F341" t="s">
        <v>477</v>
      </c>
      <c r="G341" t="s">
        <v>152</v>
      </c>
      <c r="H341" t="s">
        <v>320</v>
      </c>
      <c r="I341" t="s">
        <v>19</v>
      </c>
    </row>
    <row r="342" spans="1:9" x14ac:dyDescent="0.25">
      <c r="A342" t="s">
        <v>422</v>
      </c>
      <c r="B342" t="s">
        <v>528</v>
      </c>
      <c r="C342" t="s">
        <v>472</v>
      </c>
      <c r="D342">
        <v>6</v>
      </c>
      <c r="E342" t="s">
        <v>444</v>
      </c>
      <c r="F342" t="s">
        <v>477</v>
      </c>
      <c r="G342" t="s">
        <v>152</v>
      </c>
      <c r="H342" t="s">
        <v>320</v>
      </c>
      <c r="I342" t="s">
        <v>19</v>
      </c>
    </row>
    <row r="343" spans="1:9" x14ac:dyDescent="0.25">
      <c r="A343" t="s">
        <v>422</v>
      </c>
      <c r="B343" t="s">
        <v>528</v>
      </c>
      <c r="C343" t="s">
        <v>473</v>
      </c>
      <c r="E343" t="s">
        <v>444</v>
      </c>
      <c r="F343" t="s">
        <v>477</v>
      </c>
      <c r="G343" t="s">
        <v>152</v>
      </c>
      <c r="H343" t="s">
        <v>320</v>
      </c>
      <c r="I343" t="s">
        <v>19</v>
      </c>
    </row>
    <row r="344" spans="1:9" x14ac:dyDescent="0.25">
      <c r="A344" t="s">
        <v>422</v>
      </c>
      <c r="B344" t="s">
        <v>528</v>
      </c>
      <c r="C344" t="s">
        <v>474</v>
      </c>
      <c r="D344" t="s">
        <v>529</v>
      </c>
      <c r="E344" t="s">
        <v>444</v>
      </c>
      <c r="F344" t="s">
        <v>477</v>
      </c>
      <c r="G344" t="s">
        <v>152</v>
      </c>
      <c r="H344" t="s">
        <v>320</v>
      </c>
      <c r="I344" t="s">
        <v>19</v>
      </c>
    </row>
    <row r="345" spans="1:9" x14ac:dyDescent="0.25">
      <c r="A345" t="s">
        <v>422</v>
      </c>
      <c r="B345" t="s">
        <v>528</v>
      </c>
      <c r="C345" t="s">
        <v>475</v>
      </c>
      <c r="D345" t="s">
        <v>516</v>
      </c>
      <c r="E345" t="s">
        <v>444</v>
      </c>
      <c r="F345" t="s">
        <v>477</v>
      </c>
      <c r="G345" t="s">
        <v>152</v>
      </c>
      <c r="H345" t="s">
        <v>320</v>
      </c>
      <c r="I345" t="s">
        <v>19</v>
      </c>
    </row>
    <row r="346" spans="1:9" x14ac:dyDescent="0.25">
      <c r="A346" t="s">
        <v>290</v>
      </c>
      <c r="B346" t="s">
        <v>504</v>
      </c>
      <c r="C346" t="s">
        <v>469</v>
      </c>
      <c r="D346" t="s">
        <v>311</v>
      </c>
      <c r="E346" t="s">
        <v>311</v>
      </c>
      <c r="F346" t="s">
        <v>477</v>
      </c>
      <c r="G346" t="s">
        <v>114</v>
      </c>
      <c r="H346" t="s">
        <v>293</v>
      </c>
      <c r="I346" t="s">
        <v>29</v>
      </c>
    </row>
    <row r="347" spans="1:9" x14ac:dyDescent="0.25">
      <c r="A347" t="s">
        <v>290</v>
      </c>
      <c r="B347" t="s">
        <v>504</v>
      </c>
      <c r="C347" t="s">
        <v>20</v>
      </c>
      <c r="D347" t="s">
        <v>29</v>
      </c>
      <c r="E347" t="s">
        <v>311</v>
      </c>
      <c r="F347" t="s">
        <v>477</v>
      </c>
      <c r="G347" t="s">
        <v>114</v>
      </c>
      <c r="H347" t="s">
        <v>293</v>
      </c>
      <c r="I347" t="s">
        <v>29</v>
      </c>
    </row>
    <row r="348" spans="1:9" x14ac:dyDescent="0.25">
      <c r="A348" t="s">
        <v>290</v>
      </c>
      <c r="B348" t="s">
        <v>504</v>
      </c>
      <c r="C348" t="s">
        <v>470</v>
      </c>
      <c r="D348">
        <v>20</v>
      </c>
      <c r="E348" t="s">
        <v>311</v>
      </c>
      <c r="F348" t="s">
        <v>477</v>
      </c>
      <c r="G348" t="s">
        <v>114</v>
      </c>
      <c r="H348" t="s">
        <v>293</v>
      </c>
      <c r="I348" t="s">
        <v>29</v>
      </c>
    </row>
    <row r="349" spans="1:9" x14ac:dyDescent="0.25">
      <c r="A349" t="s">
        <v>290</v>
      </c>
      <c r="B349" t="s">
        <v>504</v>
      </c>
      <c r="C349" t="s">
        <v>471</v>
      </c>
      <c r="D349">
        <v>1</v>
      </c>
      <c r="E349" t="s">
        <v>311</v>
      </c>
      <c r="F349" t="s">
        <v>477</v>
      </c>
      <c r="G349" t="s">
        <v>114</v>
      </c>
      <c r="H349" t="s">
        <v>293</v>
      </c>
      <c r="I349" t="s">
        <v>29</v>
      </c>
    </row>
    <row r="350" spans="1:9" x14ac:dyDescent="0.25">
      <c r="A350" t="s">
        <v>290</v>
      </c>
      <c r="B350" t="s">
        <v>504</v>
      </c>
      <c r="C350" t="s">
        <v>472</v>
      </c>
      <c r="D350">
        <v>6</v>
      </c>
      <c r="E350" t="s">
        <v>311</v>
      </c>
      <c r="F350" t="s">
        <v>477</v>
      </c>
      <c r="G350" t="s">
        <v>114</v>
      </c>
      <c r="H350" t="s">
        <v>293</v>
      </c>
      <c r="I350" t="s">
        <v>29</v>
      </c>
    </row>
    <row r="351" spans="1:9" x14ac:dyDescent="0.25">
      <c r="A351" t="s">
        <v>290</v>
      </c>
      <c r="B351" t="s">
        <v>504</v>
      </c>
      <c r="C351" t="s">
        <v>473</v>
      </c>
      <c r="D351" t="s">
        <v>502</v>
      </c>
      <c r="E351" t="s">
        <v>311</v>
      </c>
      <c r="F351" t="s">
        <v>477</v>
      </c>
      <c r="G351" t="s">
        <v>114</v>
      </c>
      <c r="H351" t="s">
        <v>293</v>
      </c>
      <c r="I351" t="s">
        <v>29</v>
      </c>
    </row>
    <row r="352" spans="1:9" x14ac:dyDescent="0.25">
      <c r="A352" t="s">
        <v>290</v>
      </c>
      <c r="B352" t="s">
        <v>504</v>
      </c>
      <c r="C352" t="s">
        <v>474</v>
      </c>
      <c r="D352" t="s">
        <v>505</v>
      </c>
      <c r="E352" t="s">
        <v>311</v>
      </c>
      <c r="F352" t="s">
        <v>477</v>
      </c>
      <c r="G352" t="s">
        <v>114</v>
      </c>
      <c r="H352" t="s">
        <v>293</v>
      </c>
      <c r="I352" t="s">
        <v>29</v>
      </c>
    </row>
    <row r="353" spans="1:9" x14ac:dyDescent="0.25">
      <c r="A353" t="s">
        <v>290</v>
      </c>
      <c r="B353" t="s">
        <v>504</v>
      </c>
      <c r="C353" t="s">
        <v>475</v>
      </c>
      <c r="D353" t="s">
        <v>506</v>
      </c>
      <c r="E353" t="s">
        <v>311</v>
      </c>
      <c r="F353" t="s">
        <v>477</v>
      </c>
      <c r="G353" t="s">
        <v>114</v>
      </c>
      <c r="H353" t="s">
        <v>293</v>
      </c>
      <c r="I353" t="s">
        <v>29</v>
      </c>
    </row>
    <row r="354" spans="1:9" x14ac:dyDescent="0.25">
      <c r="A354" t="s">
        <v>290</v>
      </c>
      <c r="B354" t="s">
        <v>504</v>
      </c>
      <c r="C354" t="s">
        <v>469</v>
      </c>
      <c r="D354" t="s">
        <v>311</v>
      </c>
      <c r="E354" t="s">
        <v>311</v>
      </c>
      <c r="F354" t="s">
        <v>477</v>
      </c>
      <c r="G354" t="s">
        <v>133</v>
      </c>
      <c r="H354" t="s">
        <v>312</v>
      </c>
      <c r="I354" t="s">
        <v>29</v>
      </c>
    </row>
    <row r="355" spans="1:9" x14ac:dyDescent="0.25">
      <c r="A355" t="s">
        <v>290</v>
      </c>
      <c r="B355" t="s">
        <v>504</v>
      </c>
      <c r="C355" t="s">
        <v>20</v>
      </c>
      <c r="D355" t="s">
        <v>29</v>
      </c>
      <c r="E355" t="s">
        <v>311</v>
      </c>
      <c r="F355" t="s">
        <v>477</v>
      </c>
      <c r="G355" t="s">
        <v>133</v>
      </c>
      <c r="H355" t="s">
        <v>312</v>
      </c>
      <c r="I355" t="s">
        <v>29</v>
      </c>
    </row>
    <row r="356" spans="1:9" x14ac:dyDescent="0.25">
      <c r="A356" t="s">
        <v>290</v>
      </c>
      <c r="B356" t="s">
        <v>504</v>
      </c>
      <c r="C356" t="s">
        <v>470</v>
      </c>
      <c r="D356">
        <v>20</v>
      </c>
      <c r="E356" t="s">
        <v>311</v>
      </c>
      <c r="F356" t="s">
        <v>477</v>
      </c>
      <c r="G356" t="s">
        <v>133</v>
      </c>
      <c r="H356" t="s">
        <v>312</v>
      </c>
      <c r="I356" t="s">
        <v>29</v>
      </c>
    </row>
    <row r="357" spans="1:9" x14ac:dyDescent="0.25">
      <c r="A357" t="s">
        <v>290</v>
      </c>
      <c r="B357" t="s">
        <v>504</v>
      </c>
      <c r="C357" t="s">
        <v>471</v>
      </c>
      <c r="D357">
        <v>1</v>
      </c>
      <c r="E357" t="s">
        <v>311</v>
      </c>
      <c r="F357" t="s">
        <v>477</v>
      </c>
      <c r="G357" t="s">
        <v>133</v>
      </c>
      <c r="H357" t="s">
        <v>312</v>
      </c>
      <c r="I357" t="s">
        <v>29</v>
      </c>
    </row>
    <row r="358" spans="1:9" x14ac:dyDescent="0.25">
      <c r="A358" t="s">
        <v>290</v>
      </c>
      <c r="B358" t="s">
        <v>504</v>
      </c>
      <c r="C358" t="s">
        <v>472</v>
      </c>
      <c r="D358">
        <v>6</v>
      </c>
      <c r="E358" t="s">
        <v>311</v>
      </c>
      <c r="F358" t="s">
        <v>477</v>
      </c>
      <c r="G358" t="s">
        <v>133</v>
      </c>
      <c r="H358" t="s">
        <v>312</v>
      </c>
      <c r="I358" t="s">
        <v>29</v>
      </c>
    </row>
    <row r="359" spans="1:9" x14ac:dyDescent="0.25">
      <c r="A359" t="s">
        <v>290</v>
      </c>
      <c r="B359" t="s">
        <v>504</v>
      </c>
      <c r="C359" t="s">
        <v>473</v>
      </c>
      <c r="D359" t="s">
        <v>502</v>
      </c>
      <c r="E359" t="s">
        <v>311</v>
      </c>
      <c r="F359" t="s">
        <v>477</v>
      </c>
      <c r="G359" t="s">
        <v>133</v>
      </c>
      <c r="H359" t="s">
        <v>312</v>
      </c>
      <c r="I359" t="s">
        <v>29</v>
      </c>
    </row>
    <row r="360" spans="1:9" x14ac:dyDescent="0.25">
      <c r="A360" t="s">
        <v>290</v>
      </c>
      <c r="B360" t="s">
        <v>504</v>
      </c>
      <c r="C360" t="s">
        <v>474</v>
      </c>
      <c r="D360" t="s">
        <v>505</v>
      </c>
      <c r="E360" t="s">
        <v>311</v>
      </c>
      <c r="F360" t="s">
        <v>477</v>
      </c>
      <c r="G360" t="s">
        <v>133</v>
      </c>
      <c r="H360" t="s">
        <v>312</v>
      </c>
      <c r="I360" t="s">
        <v>29</v>
      </c>
    </row>
    <row r="361" spans="1:9" x14ac:dyDescent="0.25">
      <c r="A361" t="s">
        <v>290</v>
      </c>
      <c r="B361" t="s">
        <v>504</v>
      </c>
      <c r="C361" t="s">
        <v>475</v>
      </c>
      <c r="D361" t="s">
        <v>506</v>
      </c>
      <c r="E361" t="s">
        <v>311</v>
      </c>
      <c r="F361" t="s">
        <v>477</v>
      </c>
      <c r="G361" t="s">
        <v>133</v>
      </c>
      <c r="H361" t="s">
        <v>312</v>
      </c>
      <c r="I361" t="s">
        <v>29</v>
      </c>
    </row>
    <row r="362" spans="1:9" x14ac:dyDescent="0.25">
      <c r="A362" t="s">
        <v>422</v>
      </c>
      <c r="B362" t="s">
        <v>601</v>
      </c>
      <c r="C362" t="s">
        <v>469</v>
      </c>
      <c r="D362" t="s">
        <v>602</v>
      </c>
      <c r="E362" t="s">
        <v>430</v>
      </c>
      <c r="F362" t="s">
        <v>477</v>
      </c>
      <c r="G362" t="s">
        <v>133</v>
      </c>
      <c r="H362" t="s">
        <v>312</v>
      </c>
      <c r="I362" t="s">
        <v>24</v>
      </c>
    </row>
    <row r="363" spans="1:9" x14ac:dyDescent="0.25">
      <c r="A363" t="s">
        <v>422</v>
      </c>
      <c r="B363" t="s">
        <v>601</v>
      </c>
      <c r="C363" t="s">
        <v>20</v>
      </c>
      <c r="D363" t="s">
        <v>603</v>
      </c>
      <c r="E363" t="s">
        <v>430</v>
      </c>
      <c r="F363" t="s">
        <v>477</v>
      </c>
      <c r="G363" t="s">
        <v>133</v>
      </c>
      <c r="H363" t="s">
        <v>312</v>
      </c>
      <c r="I363" t="s">
        <v>24</v>
      </c>
    </row>
    <row r="364" spans="1:9" x14ac:dyDescent="0.25">
      <c r="A364" t="s">
        <v>422</v>
      </c>
      <c r="B364" t="s">
        <v>601</v>
      </c>
      <c r="C364" t="s">
        <v>470</v>
      </c>
      <c r="D364">
        <v>20</v>
      </c>
      <c r="E364" t="s">
        <v>430</v>
      </c>
      <c r="F364" t="s">
        <v>477</v>
      </c>
      <c r="G364" t="s">
        <v>133</v>
      </c>
      <c r="H364" t="s">
        <v>312</v>
      </c>
      <c r="I364" t="s">
        <v>24</v>
      </c>
    </row>
    <row r="365" spans="1:9" x14ac:dyDescent="0.25">
      <c r="A365" t="s">
        <v>422</v>
      </c>
      <c r="B365" t="s">
        <v>601</v>
      </c>
      <c r="C365" t="s">
        <v>471</v>
      </c>
      <c r="D365">
        <v>1</v>
      </c>
      <c r="E365" t="s">
        <v>430</v>
      </c>
      <c r="F365" t="s">
        <v>477</v>
      </c>
      <c r="G365" t="s">
        <v>133</v>
      </c>
      <c r="H365" t="s">
        <v>312</v>
      </c>
      <c r="I365" t="s">
        <v>24</v>
      </c>
    </row>
    <row r="366" spans="1:9" x14ac:dyDescent="0.25">
      <c r="A366" t="s">
        <v>422</v>
      </c>
      <c r="B366" t="s">
        <v>601</v>
      </c>
      <c r="C366" t="s">
        <v>472</v>
      </c>
      <c r="D366">
        <v>4</v>
      </c>
      <c r="E366" t="s">
        <v>430</v>
      </c>
      <c r="F366" t="s">
        <v>477</v>
      </c>
      <c r="G366" t="s">
        <v>133</v>
      </c>
      <c r="H366" t="s">
        <v>312</v>
      </c>
      <c r="I366" t="s">
        <v>24</v>
      </c>
    </row>
    <row r="367" spans="1:9" x14ac:dyDescent="0.25">
      <c r="A367" t="s">
        <v>422</v>
      </c>
      <c r="B367" t="s">
        <v>601</v>
      </c>
      <c r="C367" t="s">
        <v>473</v>
      </c>
      <c r="D367" t="s">
        <v>604</v>
      </c>
      <c r="E367" t="s">
        <v>430</v>
      </c>
      <c r="F367" t="s">
        <v>477</v>
      </c>
      <c r="G367" t="s">
        <v>133</v>
      </c>
      <c r="H367" t="s">
        <v>312</v>
      </c>
      <c r="I367" t="s">
        <v>24</v>
      </c>
    </row>
    <row r="368" spans="1:9" x14ac:dyDescent="0.25">
      <c r="A368" t="s">
        <v>422</v>
      </c>
      <c r="B368" t="s">
        <v>601</v>
      </c>
      <c r="C368" t="s">
        <v>474</v>
      </c>
      <c r="D368" t="s">
        <v>494</v>
      </c>
      <c r="E368" t="s">
        <v>430</v>
      </c>
      <c r="F368" t="s">
        <v>477</v>
      </c>
      <c r="G368" t="s">
        <v>133</v>
      </c>
      <c r="H368" t="s">
        <v>312</v>
      </c>
      <c r="I368" t="s">
        <v>24</v>
      </c>
    </row>
    <row r="369" spans="1:9" x14ac:dyDescent="0.25">
      <c r="A369" t="s">
        <v>422</v>
      </c>
      <c r="B369" t="s">
        <v>601</v>
      </c>
      <c r="C369" t="s">
        <v>475</v>
      </c>
      <c r="D369" t="s">
        <v>133</v>
      </c>
      <c r="E369" t="s">
        <v>430</v>
      </c>
      <c r="F369" t="s">
        <v>477</v>
      </c>
      <c r="G369" t="s">
        <v>133</v>
      </c>
      <c r="H369" t="s">
        <v>312</v>
      </c>
      <c r="I369" t="s">
        <v>24</v>
      </c>
    </row>
    <row r="370" spans="1:9" x14ac:dyDescent="0.25">
      <c r="A370" t="s">
        <v>422</v>
      </c>
      <c r="B370" t="s">
        <v>605</v>
      </c>
      <c r="C370" t="s">
        <v>469</v>
      </c>
      <c r="D370" t="s">
        <v>432</v>
      </c>
      <c r="E370" t="s">
        <v>432</v>
      </c>
      <c r="F370" t="s">
        <v>477</v>
      </c>
      <c r="G370" t="s">
        <v>133</v>
      </c>
      <c r="H370" t="s">
        <v>312</v>
      </c>
      <c r="I370" t="s">
        <v>33</v>
      </c>
    </row>
    <row r="371" spans="1:9" x14ac:dyDescent="0.25">
      <c r="A371" t="s">
        <v>422</v>
      </c>
      <c r="B371" t="s">
        <v>605</v>
      </c>
      <c r="C371" t="s">
        <v>20</v>
      </c>
      <c r="D371" t="s">
        <v>33</v>
      </c>
      <c r="E371" t="s">
        <v>432</v>
      </c>
      <c r="F371" t="s">
        <v>477</v>
      </c>
      <c r="G371" t="s">
        <v>133</v>
      </c>
      <c r="H371" t="s">
        <v>312</v>
      </c>
      <c r="I371" t="s">
        <v>33</v>
      </c>
    </row>
    <row r="372" spans="1:9" x14ac:dyDescent="0.25">
      <c r="A372" t="s">
        <v>422</v>
      </c>
      <c r="B372" t="s">
        <v>605</v>
      </c>
      <c r="C372" t="s">
        <v>470</v>
      </c>
      <c r="D372">
        <v>20</v>
      </c>
      <c r="E372" t="s">
        <v>432</v>
      </c>
      <c r="F372" t="s">
        <v>477</v>
      </c>
      <c r="G372" t="s">
        <v>133</v>
      </c>
      <c r="H372" t="s">
        <v>312</v>
      </c>
      <c r="I372" t="s">
        <v>33</v>
      </c>
    </row>
    <row r="373" spans="1:9" x14ac:dyDescent="0.25">
      <c r="A373" t="s">
        <v>422</v>
      </c>
      <c r="B373" t="s">
        <v>605</v>
      </c>
      <c r="C373" t="s">
        <v>471</v>
      </c>
      <c r="D373">
        <v>2</v>
      </c>
      <c r="E373" t="s">
        <v>432</v>
      </c>
      <c r="F373" t="s">
        <v>477</v>
      </c>
      <c r="G373" t="s">
        <v>133</v>
      </c>
      <c r="H373" t="s">
        <v>312</v>
      </c>
      <c r="I373" t="s">
        <v>33</v>
      </c>
    </row>
    <row r="374" spans="1:9" x14ac:dyDescent="0.25">
      <c r="A374" t="s">
        <v>422</v>
      </c>
      <c r="B374" t="s">
        <v>605</v>
      </c>
      <c r="C374" t="s">
        <v>472</v>
      </c>
      <c r="D374">
        <v>4</v>
      </c>
      <c r="E374" t="s">
        <v>432</v>
      </c>
      <c r="F374" t="s">
        <v>477</v>
      </c>
      <c r="G374" t="s">
        <v>133</v>
      </c>
      <c r="H374" t="s">
        <v>312</v>
      </c>
      <c r="I374" t="s">
        <v>33</v>
      </c>
    </row>
    <row r="375" spans="1:9" x14ac:dyDescent="0.25">
      <c r="A375" t="s">
        <v>422</v>
      </c>
      <c r="B375" t="s">
        <v>605</v>
      </c>
      <c r="C375" t="s">
        <v>473</v>
      </c>
      <c r="D375" t="s">
        <v>606</v>
      </c>
      <c r="E375" t="s">
        <v>432</v>
      </c>
      <c r="F375" t="s">
        <v>477</v>
      </c>
      <c r="G375" t="s">
        <v>133</v>
      </c>
      <c r="H375" t="s">
        <v>312</v>
      </c>
      <c r="I375" t="s">
        <v>33</v>
      </c>
    </row>
    <row r="376" spans="1:9" x14ac:dyDescent="0.25">
      <c r="A376" t="s">
        <v>422</v>
      </c>
      <c r="B376" t="s">
        <v>605</v>
      </c>
      <c r="C376" t="s">
        <v>474</v>
      </c>
      <c r="D376" t="s">
        <v>479</v>
      </c>
      <c r="E376" t="s">
        <v>432</v>
      </c>
      <c r="F376" t="s">
        <v>477</v>
      </c>
      <c r="G376" t="s">
        <v>133</v>
      </c>
      <c r="H376" t="s">
        <v>312</v>
      </c>
      <c r="I376" t="s">
        <v>33</v>
      </c>
    </row>
    <row r="377" spans="1:9" x14ac:dyDescent="0.25">
      <c r="A377" t="s">
        <v>422</v>
      </c>
      <c r="B377" t="s">
        <v>605</v>
      </c>
      <c r="C377" t="s">
        <v>475</v>
      </c>
      <c r="D377" t="s">
        <v>133</v>
      </c>
      <c r="E377" t="s">
        <v>432</v>
      </c>
      <c r="F377" t="s">
        <v>477</v>
      </c>
      <c r="G377" t="s">
        <v>133</v>
      </c>
      <c r="H377" t="s">
        <v>312</v>
      </c>
      <c r="I377" t="s">
        <v>33</v>
      </c>
    </row>
    <row r="378" spans="1:9" x14ac:dyDescent="0.25">
      <c r="A378" t="s">
        <v>422</v>
      </c>
      <c r="B378" t="s">
        <v>607</v>
      </c>
      <c r="C378" t="s">
        <v>469</v>
      </c>
      <c r="D378" t="s">
        <v>438</v>
      </c>
      <c r="E378" t="s">
        <v>438</v>
      </c>
      <c r="F378" t="s">
        <v>477</v>
      </c>
      <c r="G378" t="s">
        <v>133</v>
      </c>
      <c r="H378" t="s">
        <v>312</v>
      </c>
      <c r="I378" t="s">
        <v>25</v>
      </c>
    </row>
    <row r="379" spans="1:9" x14ac:dyDescent="0.25">
      <c r="A379" t="s">
        <v>422</v>
      </c>
      <c r="B379" t="s">
        <v>607</v>
      </c>
      <c r="C379" t="s">
        <v>20</v>
      </c>
      <c r="D379" t="s">
        <v>25</v>
      </c>
      <c r="E379" t="s">
        <v>438</v>
      </c>
      <c r="F379" t="s">
        <v>477</v>
      </c>
      <c r="G379" t="s">
        <v>133</v>
      </c>
      <c r="H379" t="s">
        <v>312</v>
      </c>
      <c r="I379" t="s">
        <v>25</v>
      </c>
    </row>
    <row r="380" spans="1:9" x14ac:dyDescent="0.25">
      <c r="A380" t="s">
        <v>422</v>
      </c>
      <c r="B380" t="s">
        <v>607</v>
      </c>
      <c r="C380" t="s">
        <v>470</v>
      </c>
      <c r="D380">
        <v>20</v>
      </c>
      <c r="E380" t="s">
        <v>438</v>
      </c>
      <c r="F380" t="s">
        <v>477</v>
      </c>
      <c r="G380" t="s">
        <v>133</v>
      </c>
      <c r="H380" t="s">
        <v>312</v>
      </c>
      <c r="I380" t="s">
        <v>25</v>
      </c>
    </row>
    <row r="381" spans="1:9" x14ac:dyDescent="0.25">
      <c r="A381" t="s">
        <v>422</v>
      </c>
      <c r="B381" t="s">
        <v>607</v>
      </c>
      <c r="C381" t="s">
        <v>471</v>
      </c>
      <c r="D381">
        <v>1</v>
      </c>
      <c r="E381" t="s">
        <v>438</v>
      </c>
      <c r="F381" t="s">
        <v>477</v>
      </c>
      <c r="G381" t="s">
        <v>133</v>
      </c>
      <c r="H381" t="s">
        <v>312</v>
      </c>
      <c r="I381" t="s">
        <v>25</v>
      </c>
    </row>
    <row r="382" spans="1:9" x14ac:dyDescent="0.25">
      <c r="A382" t="s">
        <v>422</v>
      </c>
      <c r="B382" t="s">
        <v>607</v>
      </c>
      <c r="C382" t="s">
        <v>472</v>
      </c>
      <c r="D382">
        <v>5</v>
      </c>
      <c r="E382" t="s">
        <v>438</v>
      </c>
      <c r="F382" t="s">
        <v>477</v>
      </c>
      <c r="G382" t="s">
        <v>133</v>
      </c>
      <c r="H382" t="s">
        <v>312</v>
      </c>
      <c r="I382" t="s">
        <v>25</v>
      </c>
    </row>
    <row r="383" spans="1:9" x14ac:dyDescent="0.25">
      <c r="A383" t="s">
        <v>422</v>
      </c>
      <c r="B383" t="s">
        <v>607</v>
      </c>
      <c r="C383" t="s">
        <v>473</v>
      </c>
      <c r="E383" t="s">
        <v>438</v>
      </c>
      <c r="F383" t="s">
        <v>477</v>
      </c>
      <c r="G383" t="s">
        <v>133</v>
      </c>
      <c r="H383" t="s">
        <v>312</v>
      </c>
      <c r="I383" t="s">
        <v>25</v>
      </c>
    </row>
    <row r="384" spans="1:9" x14ac:dyDescent="0.25">
      <c r="A384" t="s">
        <v>422</v>
      </c>
      <c r="B384" t="s">
        <v>607</v>
      </c>
      <c r="C384" t="s">
        <v>474</v>
      </c>
      <c r="D384" t="s">
        <v>494</v>
      </c>
      <c r="E384" t="s">
        <v>438</v>
      </c>
      <c r="F384" t="s">
        <v>477</v>
      </c>
      <c r="G384" t="s">
        <v>133</v>
      </c>
      <c r="H384" t="s">
        <v>312</v>
      </c>
      <c r="I384" t="s">
        <v>25</v>
      </c>
    </row>
    <row r="385" spans="1:9" x14ac:dyDescent="0.25">
      <c r="A385" t="s">
        <v>422</v>
      </c>
      <c r="B385" t="s">
        <v>607</v>
      </c>
      <c r="C385" t="s">
        <v>475</v>
      </c>
      <c r="D385" t="s">
        <v>133</v>
      </c>
      <c r="E385" t="s">
        <v>438</v>
      </c>
      <c r="F385" t="s">
        <v>477</v>
      </c>
      <c r="G385" t="s">
        <v>133</v>
      </c>
      <c r="H385" t="s">
        <v>312</v>
      </c>
      <c r="I385" t="s">
        <v>25</v>
      </c>
    </row>
    <row r="386" spans="1:9" x14ac:dyDescent="0.25">
      <c r="A386" t="s">
        <v>422</v>
      </c>
      <c r="B386" t="s">
        <v>608</v>
      </c>
      <c r="C386" t="s">
        <v>469</v>
      </c>
      <c r="D386" t="s">
        <v>440</v>
      </c>
      <c r="E386" t="s">
        <v>440</v>
      </c>
      <c r="F386" t="s">
        <v>477</v>
      </c>
      <c r="G386" t="s">
        <v>133</v>
      </c>
      <c r="H386" t="s">
        <v>312</v>
      </c>
      <c r="I386" t="s">
        <v>18</v>
      </c>
    </row>
    <row r="387" spans="1:9" x14ac:dyDescent="0.25">
      <c r="A387" t="s">
        <v>422</v>
      </c>
      <c r="B387" t="s">
        <v>608</v>
      </c>
      <c r="C387" t="s">
        <v>20</v>
      </c>
      <c r="D387" t="s">
        <v>18</v>
      </c>
      <c r="E387" t="s">
        <v>440</v>
      </c>
      <c r="F387" t="s">
        <v>477</v>
      </c>
      <c r="G387" t="s">
        <v>133</v>
      </c>
      <c r="H387" t="s">
        <v>312</v>
      </c>
      <c r="I387" t="s">
        <v>18</v>
      </c>
    </row>
    <row r="388" spans="1:9" x14ac:dyDescent="0.25">
      <c r="A388" t="s">
        <v>422</v>
      </c>
      <c r="B388" t="s">
        <v>608</v>
      </c>
      <c r="C388" t="s">
        <v>470</v>
      </c>
      <c r="D388">
        <v>20</v>
      </c>
      <c r="E388" t="s">
        <v>440</v>
      </c>
      <c r="F388" t="s">
        <v>477</v>
      </c>
      <c r="G388" t="s">
        <v>133</v>
      </c>
      <c r="H388" t="s">
        <v>312</v>
      </c>
      <c r="I388" t="s">
        <v>18</v>
      </c>
    </row>
    <row r="389" spans="1:9" x14ac:dyDescent="0.25">
      <c r="A389" t="s">
        <v>422</v>
      </c>
      <c r="B389" t="s">
        <v>608</v>
      </c>
      <c r="C389" t="s">
        <v>471</v>
      </c>
      <c r="D389">
        <v>1</v>
      </c>
      <c r="E389" t="s">
        <v>440</v>
      </c>
      <c r="F389" t="s">
        <v>477</v>
      </c>
      <c r="G389" t="s">
        <v>133</v>
      </c>
      <c r="H389" t="s">
        <v>312</v>
      </c>
      <c r="I389" t="s">
        <v>18</v>
      </c>
    </row>
    <row r="390" spans="1:9" x14ac:dyDescent="0.25">
      <c r="A390" t="s">
        <v>422</v>
      </c>
      <c r="B390" t="s">
        <v>608</v>
      </c>
      <c r="C390" t="s">
        <v>472</v>
      </c>
      <c r="D390">
        <v>5</v>
      </c>
      <c r="E390" t="s">
        <v>440</v>
      </c>
      <c r="F390" t="s">
        <v>477</v>
      </c>
      <c r="G390" t="s">
        <v>133</v>
      </c>
      <c r="H390" t="s">
        <v>312</v>
      </c>
      <c r="I390" t="s">
        <v>18</v>
      </c>
    </row>
    <row r="391" spans="1:9" x14ac:dyDescent="0.25">
      <c r="A391" t="s">
        <v>422</v>
      </c>
      <c r="B391" t="s">
        <v>608</v>
      </c>
      <c r="C391" t="s">
        <v>473</v>
      </c>
      <c r="D391" t="s">
        <v>609</v>
      </c>
      <c r="E391" t="s">
        <v>440</v>
      </c>
      <c r="F391" t="s">
        <v>477</v>
      </c>
      <c r="G391" t="s">
        <v>133</v>
      </c>
      <c r="H391" t="s">
        <v>312</v>
      </c>
      <c r="I391" t="s">
        <v>18</v>
      </c>
    </row>
    <row r="392" spans="1:9" x14ac:dyDescent="0.25">
      <c r="A392" t="s">
        <v>422</v>
      </c>
      <c r="B392" t="s">
        <v>608</v>
      </c>
      <c r="C392" t="s">
        <v>474</v>
      </c>
      <c r="D392" t="s">
        <v>479</v>
      </c>
      <c r="E392" t="s">
        <v>440</v>
      </c>
      <c r="F392" t="s">
        <v>477</v>
      </c>
      <c r="G392" t="s">
        <v>133</v>
      </c>
      <c r="H392" t="s">
        <v>312</v>
      </c>
      <c r="I392" t="s">
        <v>18</v>
      </c>
    </row>
    <row r="393" spans="1:9" x14ac:dyDescent="0.25">
      <c r="A393" t="s">
        <v>422</v>
      </c>
      <c r="B393" t="s">
        <v>608</v>
      </c>
      <c r="C393" t="s">
        <v>475</v>
      </c>
      <c r="D393" t="s">
        <v>133</v>
      </c>
      <c r="E393" t="s">
        <v>440</v>
      </c>
      <c r="F393" t="s">
        <v>477</v>
      </c>
      <c r="G393" t="s">
        <v>133</v>
      </c>
      <c r="H393" t="s">
        <v>312</v>
      </c>
      <c r="I393" t="s">
        <v>18</v>
      </c>
    </row>
    <row r="394" spans="1:9" x14ac:dyDescent="0.25">
      <c r="A394" t="s">
        <v>422</v>
      </c>
      <c r="B394" t="s">
        <v>613</v>
      </c>
      <c r="C394" t="s">
        <v>469</v>
      </c>
      <c r="D394" t="s">
        <v>452</v>
      </c>
      <c r="E394" t="s">
        <v>452</v>
      </c>
      <c r="F394" t="s">
        <v>477</v>
      </c>
      <c r="G394" t="s">
        <v>133</v>
      </c>
      <c r="H394" t="s">
        <v>312</v>
      </c>
      <c r="I394" t="s">
        <v>31</v>
      </c>
    </row>
    <row r="395" spans="1:9" x14ac:dyDescent="0.25">
      <c r="A395" t="s">
        <v>422</v>
      </c>
      <c r="B395" t="s">
        <v>613</v>
      </c>
      <c r="C395" t="s">
        <v>20</v>
      </c>
      <c r="D395" t="s">
        <v>31</v>
      </c>
      <c r="E395" t="s">
        <v>452</v>
      </c>
      <c r="F395" t="s">
        <v>477</v>
      </c>
      <c r="G395" t="s">
        <v>133</v>
      </c>
      <c r="H395" t="s">
        <v>312</v>
      </c>
      <c r="I395" t="s">
        <v>31</v>
      </c>
    </row>
    <row r="396" spans="1:9" x14ac:dyDescent="0.25">
      <c r="A396" t="s">
        <v>422</v>
      </c>
      <c r="B396" t="s">
        <v>613</v>
      </c>
      <c r="C396" t="s">
        <v>470</v>
      </c>
      <c r="D396">
        <v>20</v>
      </c>
      <c r="E396" t="s">
        <v>452</v>
      </c>
      <c r="F396" t="s">
        <v>477</v>
      </c>
      <c r="G396" t="s">
        <v>133</v>
      </c>
      <c r="H396" t="s">
        <v>312</v>
      </c>
      <c r="I396" t="s">
        <v>31</v>
      </c>
    </row>
    <row r="397" spans="1:9" x14ac:dyDescent="0.25">
      <c r="A397" t="s">
        <v>422</v>
      </c>
      <c r="B397" t="s">
        <v>613</v>
      </c>
      <c r="C397" t="s">
        <v>471</v>
      </c>
      <c r="D397">
        <v>1</v>
      </c>
      <c r="E397" t="s">
        <v>452</v>
      </c>
      <c r="F397" t="s">
        <v>477</v>
      </c>
      <c r="G397" t="s">
        <v>133</v>
      </c>
      <c r="H397" t="s">
        <v>312</v>
      </c>
      <c r="I397" t="s">
        <v>31</v>
      </c>
    </row>
    <row r="398" spans="1:9" x14ac:dyDescent="0.25">
      <c r="A398" t="s">
        <v>422</v>
      </c>
      <c r="B398" t="s">
        <v>613</v>
      </c>
      <c r="C398" t="s">
        <v>472</v>
      </c>
      <c r="D398">
        <v>6</v>
      </c>
      <c r="E398" t="s">
        <v>452</v>
      </c>
      <c r="F398" t="s">
        <v>477</v>
      </c>
      <c r="G398" t="s">
        <v>133</v>
      </c>
      <c r="H398" t="s">
        <v>312</v>
      </c>
      <c r="I398" t="s">
        <v>31</v>
      </c>
    </row>
    <row r="399" spans="1:9" x14ac:dyDescent="0.25">
      <c r="A399" t="s">
        <v>422</v>
      </c>
      <c r="B399" t="s">
        <v>613</v>
      </c>
      <c r="C399" t="s">
        <v>473</v>
      </c>
      <c r="D399" t="s">
        <v>614</v>
      </c>
      <c r="E399" t="s">
        <v>452</v>
      </c>
      <c r="F399" t="s">
        <v>477</v>
      </c>
      <c r="G399" t="s">
        <v>133</v>
      </c>
      <c r="H399" t="s">
        <v>312</v>
      </c>
      <c r="I399" t="s">
        <v>31</v>
      </c>
    </row>
    <row r="400" spans="1:9" x14ac:dyDescent="0.25">
      <c r="A400" t="s">
        <v>422</v>
      </c>
      <c r="B400" t="s">
        <v>613</v>
      </c>
      <c r="C400" t="s">
        <v>474</v>
      </c>
      <c r="D400" t="s">
        <v>505</v>
      </c>
      <c r="E400" t="s">
        <v>452</v>
      </c>
      <c r="F400" t="s">
        <v>477</v>
      </c>
      <c r="G400" t="s">
        <v>133</v>
      </c>
      <c r="H400" t="s">
        <v>312</v>
      </c>
      <c r="I400" t="s">
        <v>31</v>
      </c>
    </row>
    <row r="401" spans="1:9" x14ac:dyDescent="0.25">
      <c r="A401" t="s">
        <v>422</v>
      </c>
      <c r="B401" t="s">
        <v>613</v>
      </c>
      <c r="C401" t="s">
        <v>475</v>
      </c>
      <c r="D401" t="s">
        <v>133</v>
      </c>
      <c r="E401" t="s">
        <v>452</v>
      </c>
      <c r="F401" t="s">
        <v>477</v>
      </c>
      <c r="G401" t="s">
        <v>133</v>
      </c>
      <c r="H401" t="s">
        <v>312</v>
      </c>
      <c r="I401" t="s">
        <v>31</v>
      </c>
    </row>
    <row r="402" spans="1:9" x14ac:dyDescent="0.25">
      <c r="A402" t="s">
        <v>422</v>
      </c>
      <c r="B402" t="s">
        <v>615</v>
      </c>
      <c r="C402" t="s">
        <v>469</v>
      </c>
      <c r="D402" t="s">
        <v>454</v>
      </c>
      <c r="E402" t="s">
        <v>454</v>
      </c>
      <c r="F402" t="s">
        <v>477</v>
      </c>
      <c r="G402" t="s">
        <v>133</v>
      </c>
      <c r="H402" t="s">
        <v>312</v>
      </c>
      <c r="I402" t="s">
        <v>22</v>
      </c>
    </row>
    <row r="403" spans="1:9" x14ac:dyDescent="0.25">
      <c r="A403" t="s">
        <v>422</v>
      </c>
      <c r="B403" t="s">
        <v>615</v>
      </c>
      <c r="C403" t="s">
        <v>20</v>
      </c>
      <c r="D403" t="s">
        <v>22</v>
      </c>
      <c r="E403" t="s">
        <v>454</v>
      </c>
      <c r="F403" t="s">
        <v>477</v>
      </c>
      <c r="G403" t="s">
        <v>133</v>
      </c>
      <c r="H403" t="s">
        <v>312</v>
      </c>
      <c r="I403" t="s">
        <v>22</v>
      </c>
    </row>
    <row r="404" spans="1:9" x14ac:dyDescent="0.25">
      <c r="A404" t="s">
        <v>422</v>
      </c>
      <c r="B404" t="s">
        <v>615</v>
      </c>
      <c r="C404" t="s">
        <v>470</v>
      </c>
      <c r="D404">
        <v>20</v>
      </c>
      <c r="E404" t="s">
        <v>454</v>
      </c>
      <c r="F404" t="s">
        <v>477</v>
      </c>
      <c r="G404" t="s">
        <v>133</v>
      </c>
      <c r="H404" t="s">
        <v>312</v>
      </c>
      <c r="I404" t="s">
        <v>22</v>
      </c>
    </row>
    <row r="405" spans="1:9" x14ac:dyDescent="0.25">
      <c r="A405" t="s">
        <v>422</v>
      </c>
      <c r="B405" t="s">
        <v>615</v>
      </c>
      <c r="C405" t="s">
        <v>471</v>
      </c>
      <c r="D405">
        <v>1</v>
      </c>
      <c r="E405" t="s">
        <v>454</v>
      </c>
      <c r="F405" t="s">
        <v>477</v>
      </c>
      <c r="G405" t="s">
        <v>133</v>
      </c>
      <c r="H405" t="s">
        <v>312</v>
      </c>
      <c r="I405" t="s">
        <v>22</v>
      </c>
    </row>
    <row r="406" spans="1:9" x14ac:dyDescent="0.25">
      <c r="A406" t="s">
        <v>422</v>
      </c>
      <c r="B406" t="s">
        <v>615</v>
      </c>
      <c r="C406" t="s">
        <v>472</v>
      </c>
      <c r="D406">
        <v>6</v>
      </c>
      <c r="E406" t="s">
        <v>454</v>
      </c>
      <c r="F406" t="s">
        <v>477</v>
      </c>
      <c r="G406" t="s">
        <v>133</v>
      </c>
      <c r="H406" t="s">
        <v>312</v>
      </c>
      <c r="I406" t="s">
        <v>22</v>
      </c>
    </row>
    <row r="407" spans="1:9" x14ac:dyDescent="0.25">
      <c r="A407" t="s">
        <v>422</v>
      </c>
      <c r="B407" t="s">
        <v>615</v>
      </c>
      <c r="C407" t="s">
        <v>473</v>
      </c>
      <c r="D407" t="s">
        <v>616</v>
      </c>
      <c r="E407" t="s">
        <v>454</v>
      </c>
      <c r="F407" t="s">
        <v>477</v>
      </c>
      <c r="G407" t="s">
        <v>133</v>
      </c>
      <c r="H407" t="s">
        <v>312</v>
      </c>
      <c r="I407" t="s">
        <v>22</v>
      </c>
    </row>
    <row r="408" spans="1:9" x14ac:dyDescent="0.25">
      <c r="A408" t="s">
        <v>422</v>
      </c>
      <c r="B408" t="s">
        <v>615</v>
      </c>
      <c r="C408" t="s">
        <v>474</v>
      </c>
      <c r="D408" t="s">
        <v>505</v>
      </c>
      <c r="E408" t="s">
        <v>454</v>
      </c>
      <c r="F408" t="s">
        <v>477</v>
      </c>
      <c r="G408" t="s">
        <v>133</v>
      </c>
      <c r="H408" t="s">
        <v>312</v>
      </c>
      <c r="I408" t="s">
        <v>22</v>
      </c>
    </row>
    <row r="409" spans="1:9" x14ac:dyDescent="0.25">
      <c r="A409" t="s">
        <v>422</v>
      </c>
      <c r="B409" t="s">
        <v>615</v>
      </c>
      <c r="C409" t="s">
        <v>475</v>
      </c>
      <c r="D409" t="s">
        <v>133</v>
      </c>
      <c r="E409" t="s">
        <v>454</v>
      </c>
      <c r="F409" t="s">
        <v>477</v>
      </c>
      <c r="G409" t="s">
        <v>133</v>
      </c>
      <c r="H409" t="s">
        <v>312</v>
      </c>
      <c r="I409" t="s">
        <v>22</v>
      </c>
    </row>
    <row r="410" spans="1:9" x14ac:dyDescent="0.25">
      <c r="A410" t="s">
        <v>422</v>
      </c>
      <c r="B410" t="s">
        <v>617</v>
      </c>
      <c r="C410" t="s">
        <v>469</v>
      </c>
      <c r="D410" t="s">
        <v>456</v>
      </c>
      <c r="E410" t="s">
        <v>456</v>
      </c>
      <c r="F410" t="s">
        <v>477</v>
      </c>
      <c r="G410" t="s">
        <v>133</v>
      </c>
      <c r="H410" t="s">
        <v>312</v>
      </c>
      <c r="I410" t="s">
        <v>14</v>
      </c>
    </row>
    <row r="411" spans="1:9" x14ac:dyDescent="0.25">
      <c r="A411" t="s">
        <v>422</v>
      </c>
      <c r="B411" t="s">
        <v>617</v>
      </c>
      <c r="C411" t="s">
        <v>20</v>
      </c>
      <c r="D411" t="s">
        <v>14</v>
      </c>
      <c r="E411" t="s">
        <v>456</v>
      </c>
      <c r="F411" t="s">
        <v>477</v>
      </c>
      <c r="G411" t="s">
        <v>133</v>
      </c>
      <c r="H411" t="s">
        <v>312</v>
      </c>
      <c r="I411" t="s">
        <v>14</v>
      </c>
    </row>
    <row r="412" spans="1:9" x14ac:dyDescent="0.25">
      <c r="A412" t="s">
        <v>422</v>
      </c>
      <c r="B412" t="s">
        <v>617</v>
      </c>
      <c r="C412" t="s">
        <v>470</v>
      </c>
      <c r="E412" t="s">
        <v>456</v>
      </c>
      <c r="F412" t="s">
        <v>477</v>
      </c>
      <c r="G412" t="s">
        <v>133</v>
      </c>
      <c r="H412" t="s">
        <v>312</v>
      </c>
      <c r="I412" t="s">
        <v>14</v>
      </c>
    </row>
    <row r="413" spans="1:9" x14ac:dyDescent="0.25">
      <c r="A413" t="s">
        <v>422</v>
      </c>
      <c r="B413" t="s">
        <v>617</v>
      </c>
      <c r="C413" t="s">
        <v>471</v>
      </c>
      <c r="E413" t="s">
        <v>456</v>
      </c>
      <c r="F413" t="s">
        <v>477</v>
      </c>
      <c r="G413" t="s">
        <v>133</v>
      </c>
      <c r="H413" t="s">
        <v>312</v>
      </c>
      <c r="I413" t="s">
        <v>14</v>
      </c>
    </row>
    <row r="414" spans="1:9" x14ac:dyDescent="0.25">
      <c r="A414" t="s">
        <v>422</v>
      </c>
      <c r="B414" t="s">
        <v>617</v>
      </c>
      <c r="C414" t="s">
        <v>472</v>
      </c>
      <c r="E414" t="s">
        <v>456</v>
      </c>
      <c r="F414" t="s">
        <v>477</v>
      </c>
      <c r="G414" t="s">
        <v>133</v>
      </c>
      <c r="H414" t="s">
        <v>312</v>
      </c>
      <c r="I414" t="s">
        <v>14</v>
      </c>
    </row>
    <row r="415" spans="1:9" x14ac:dyDescent="0.25">
      <c r="A415" t="s">
        <v>422</v>
      </c>
      <c r="B415" t="s">
        <v>617</v>
      </c>
      <c r="C415" t="s">
        <v>473</v>
      </c>
      <c r="E415" t="s">
        <v>456</v>
      </c>
      <c r="F415" t="s">
        <v>477</v>
      </c>
      <c r="G415" t="s">
        <v>133</v>
      </c>
      <c r="H415" t="s">
        <v>312</v>
      </c>
      <c r="I415" t="s">
        <v>14</v>
      </c>
    </row>
    <row r="416" spans="1:9" x14ac:dyDescent="0.25">
      <c r="A416" t="s">
        <v>422</v>
      </c>
      <c r="B416" t="s">
        <v>617</v>
      </c>
      <c r="C416" t="s">
        <v>474</v>
      </c>
      <c r="E416" t="s">
        <v>456</v>
      </c>
      <c r="F416" t="s">
        <v>477</v>
      </c>
      <c r="G416" t="s">
        <v>133</v>
      </c>
      <c r="H416" t="s">
        <v>312</v>
      </c>
      <c r="I416" t="s">
        <v>14</v>
      </c>
    </row>
    <row r="417" spans="1:9" x14ac:dyDescent="0.25">
      <c r="A417" t="s">
        <v>422</v>
      </c>
      <c r="B417" t="s">
        <v>617</v>
      </c>
      <c r="C417" t="s">
        <v>475</v>
      </c>
      <c r="E417" t="s">
        <v>456</v>
      </c>
      <c r="F417" t="s">
        <v>477</v>
      </c>
      <c r="G417" t="s">
        <v>133</v>
      </c>
      <c r="H417" t="s">
        <v>312</v>
      </c>
      <c r="I417" t="s">
        <v>14</v>
      </c>
    </row>
    <row r="418" spans="1:9" x14ac:dyDescent="0.25">
      <c r="A418" t="s">
        <v>422</v>
      </c>
      <c r="B418" t="s">
        <v>618</v>
      </c>
      <c r="C418" t="s">
        <v>469</v>
      </c>
      <c r="D418" t="s">
        <v>458</v>
      </c>
      <c r="E418" t="s">
        <v>458</v>
      </c>
      <c r="F418" t="s">
        <v>477</v>
      </c>
      <c r="G418" t="s">
        <v>133</v>
      </c>
      <c r="H418" t="s">
        <v>312</v>
      </c>
      <c r="I418" t="s">
        <v>11</v>
      </c>
    </row>
    <row r="419" spans="1:9" x14ac:dyDescent="0.25">
      <c r="A419" t="s">
        <v>422</v>
      </c>
      <c r="B419" t="s">
        <v>618</v>
      </c>
      <c r="C419" t="s">
        <v>20</v>
      </c>
      <c r="D419" t="s">
        <v>11</v>
      </c>
      <c r="E419" t="s">
        <v>458</v>
      </c>
      <c r="F419" t="s">
        <v>477</v>
      </c>
      <c r="G419" t="s">
        <v>133</v>
      </c>
      <c r="H419" t="s">
        <v>312</v>
      </c>
      <c r="I419" t="s">
        <v>11</v>
      </c>
    </row>
    <row r="420" spans="1:9" x14ac:dyDescent="0.25">
      <c r="A420" t="s">
        <v>422</v>
      </c>
      <c r="B420" t="s">
        <v>618</v>
      </c>
      <c r="C420" t="s">
        <v>470</v>
      </c>
      <c r="D420">
        <v>20</v>
      </c>
      <c r="E420" t="s">
        <v>458</v>
      </c>
      <c r="F420" t="s">
        <v>477</v>
      </c>
      <c r="G420" t="s">
        <v>133</v>
      </c>
      <c r="H420" t="s">
        <v>312</v>
      </c>
      <c r="I420" t="s">
        <v>11</v>
      </c>
    </row>
    <row r="421" spans="1:9" x14ac:dyDescent="0.25">
      <c r="A421" t="s">
        <v>422</v>
      </c>
      <c r="B421" t="s">
        <v>618</v>
      </c>
      <c r="C421" t="s">
        <v>471</v>
      </c>
      <c r="D421">
        <v>1</v>
      </c>
      <c r="E421" t="s">
        <v>458</v>
      </c>
      <c r="F421" t="s">
        <v>477</v>
      </c>
      <c r="G421" t="s">
        <v>133</v>
      </c>
      <c r="H421" t="s">
        <v>312</v>
      </c>
      <c r="I421" t="s">
        <v>11</v>
      </c>
    </row>
    <row r="422" spans="1:9" x14ac:dyDescent="0.25">
      <c r="A422" t="s">
        <v>422</v>
      </c>
      <c r="B422" t="s">
        <v>618</v>
      </c>
      <c r="C422" t="s">
        <v>472</v>
      </c>
      <c r="D422">
        <v>6</v>
      </c>
      <c r="E422" t="s">
        <v>458</v>
      </c>
      <c r="F422" t="s">
        <v>477</v>
      </c>
      <c r="G422" t="s">
        <v>133</v>
      </c>
      <c r="H422" t="s">
        <v>312</v>
      </c>
      <c r="I422" t="s">
        <v>11</v>
      </c>
    </row>
    <row r="423" spans="1:9" x14ac:dyDescent="0.25">
      <c r="A423" t="s">
        <v>422</v>
      </c>
      <c r="B423" t="s">
        <v>618</v>
      </c>
      <c r="C423" t="s">
        <v>473</v>
      </c>
      <c r="D423" t="s">
        <v>619</v>
      </c>
      <c r="E423" t="s">
        <v>458</v>
      </c>
      <c r="F423" t="s">
        <v>477</v>
      </c>
      <c r="G423" t="s">
        <v>133</v>
      </c>
      <c r="H423" t="s">
        <v>312</v>
      </c>
      <c r="I423" t="s">
        <v>11</v>
      </c>
    </row>
    <row r="424" spans="1:9" x14ac:dyDescent="0.25">
      <c r="A424" t="s">
        <v>422</v>
      </c>
      <c r="B424" t="s">
        <v>618</v>
      </c>
      <c r="C424" t="s">
        <v>474</v>
      </c>
      <c r="D424" t="s">
        <v>505</v>
      </c>
      <c r="E424" t="s">
        <v>458</v>
      </c>
      <c r="F424" t="s">
        <v>477</v>
      </c>
      <c r="G424" t="s">
        <v>133</v>
      </c>
      <c r="H424" t="s">
        <v>312</v>
      </c>
      <c r="I424" t="s">
        <v>11</v>
      </c>
    </row>
    <row r="425" spans="1:9" x14ac:dyDescent="0.25">
      <c r="A425" t="s">
        <v>422</v>
      </c>
      <c r="B425" t="s">
        <v>618</v>
      </c>
      <c r="C425" t="s">
        <v>475</v>
      </c>
      <c r="D425" t="s">
        <v>133</v>
      </c>
      <c r="E425" t="s">
        <v>458</v>
      </c>
      <c r="F425" t="s">
        <v>477</v>
      </c>
      <c r="G425" t="s">
        <v>133</v>
      </c>
      <c r="H425" t="s">
        <v>312</v>
      </c>
      <c r="I425" t="s">
        <v>11</v>
      </c>
    </row>
    <row r="426" spans="1:9" x14ac:dyDescent="0.25">
      <c r="A426" t="s">
        <v>422</v>
      </c>
      <c r="B426" t="s">
        <v>620</v>
      </c>
      <c r="C426" t="s">
        <v>469</v>
      </c>
      <c r="D426" t="s">
        <v>460</v>
      </c>
      <c r="E426" t="s">
        <v>460</v>
      </c>
      <c r="F426" t="s">
        <v>477</v>
      </c>
      <c r="G426" t="s">
        <v>133</v>
      </c>
      <c r="H426" t="s">
        <v>312</v>
      </c>
      <c r="I426" t="s">
        <v>12</v>
      </c>
    </row>
    <row r="427" spans="1:9" x14ac:dyDescent="0.25">
      <c r="A427" t="s">
        <v>422</v>
      </c>
      <c r="B427" t="s">
        <v>620</v>
      </c>
      <c r="C427" t="s">
        <v>20</v>
      </c>
      <c r="D427" t="s">
        <v>12</v>
      </c>
      <c r="E427" t="s">
        <v>460</v>
      </c>
      <c r="F427" t="s">
        <v>477</v>
      </c>
      <c r="G427" t="s">
        <v>133</v>
      </c>
      <c r="H427" t="s">
        <v>312</v>
      </c>
      <c r="I427" t="s">
        <v>12</v>
      </c>
    </row>
    <row r="428" spans="1:9" x14ac:dyDescent="0.25">
      <c r="A428" t="s">
        <v>422</v>
      </c>
      <c r="B428" t="s">
        <v>620</v>
      </c>
      <c r="C428" t="s">
        <v>470</v>
      </c>
      <c r="D428">
        <v>20</v>
      </c>
      <c r="E428" t="s">
        <v>460</v>
      </c>
      <c r="F428" t="s">
        <v>477</v>
      </c>
      <c r="G428" t="s">
        <v>133</v>
      </c>
      <c r="H428" t="s">
        <v>312</v>
      </c>
      <c r="I428" t="s">
        <v>12</v>
      </c>
    </row>
    <row r="429" spans="1:9" x14ac:dyDescent="0.25">
      <c r="A429" t="s">
        <v>422</v>
      </c>
      <c r="B429" t="s">
        <v>620</v>
      </c>
      <c r="C429" t="s">
        <v>471</v>
      </c>
      <c r="D429">
        <v>2</v>
      </c>
      <c r="E429" t="s">
        <v>460</v>
      </c>
      <c r="F429" t="s">
        <v>477</v>
      </c>
      <c r="G429" t="s">
        <v>133</v>
      </c>
      <c r="H429" t="s">
        <v>312</v>
      </c>
      <c r="I429" t="s">
        <v>12</v>
      </c>
    </row>
    <row r="430" spans="1:9" x14ac:dyDescent="0.25">
      <c r="A430" t="s">
        <v>422</v>
      </c>
      <c r="B430" t="s">
        <v>620</v>
      </c>
      <c r="C430" t="s">
        <v>472</v>
      </c>
      <c r="D430">
        <v>6</v>
      </c>
      <c r="E430" t="s">
        <v>460</v>
      </c>
      <c r="F430" t="s">
        <v>477</v>
      </c>
      <c r="G430" t="s">
        <v>133</v>
      </c>
      <c r="H430" t="s">
        <v>312</v>
      </c>
      <c r="I430" t="s">
        <v>12</v>
      </c>
    </row>
    <row r="431" spans="1:9" x14ac:dyDescent="0.25">
      <c r="A431" t="s">
        <v>422</v>
      </c>
      <c r="B431" t="s">
        <v>620</v>
      </c>
      <c r="C431" t="s">
        <v>473</v>
      </c>
      <c r="D431" t="s">
        <v>621</v>
      </c>
      <c r="E431" t="s">
        <v>460</v>
      </c>
      <c r="F431" t="s">
        <v>477</v>
      </c>
      <c r="G431" t="s">
        <v>133</v>
      </c>
      <c r="H431" t="s">
        <v>312</v>
      </c>
      <c r="I431" t="s">
        <v>12</v>
      </c>
    </row>
    <row r="432" spans="1:9" x14ac:dyDescent="0.25">
      <c r="A432" t="s">
        <v>422</v>
      </c>
      <c r="B432" t="s">
        <v>620</v>
      </c>
      <c r="C432" t="s">
        <v>474</v>
      </c>
      <c r="D432" t="s">
        <v>505</v>
      </c>
      <c r="E432" t="s">
        <v>460</v>
      </c>
      <c r="F432" t="s">
        <v>477</v>
      </c>
      <c r="G432" t="s">
        <v>133</v>
      </c>
      <c r="H432" t="s">
        <v>312</v>
      </c>
      <c r="I432" t="s">
        <v>12</v>
      </c>
    </row>
    <row r="433" spans="1:9" x14ac:dyDescent="0.25">
      <c r="A433" t="s">
        <v>422</v>
      </c>
      <c r="B433" t="s">
        <v>620</v>
      </c>
      <c r="C433" t="s">
        <v>475</v>
      </c>
      <c r="D433" t="s">
        <v>527</v>
      </c>
      <c r="E433" t="s">
        <v>460</v>
      </c>
      <c r="F433" t="s">
        <v>477</v>
      </c>
      <c r="G433" t="s">
        <v>133</v>
      </c>
      <c r="H433" t="s">
        <v>312</v>
      </c>
      <c r="I433" t="s">
        <v>12</v>
      </c>
    </row>
    <row r="434" spans="1:9" x14ac:dyDescent="0.25">
      <c r="A434" t="s">
        <v>422</v>
      </c>
      <c r="B434" t="s">
        <v>622</v>
      </c>
      <c r="C434" t="s">
        <v>469</v>
      </c>
      <c r="D434" t="s">
        <v>462</v>
      </c>
      <c r="E434" t="s">
        <v>462</v>
      </c>
      <c r="F434" t="s">
        <v>477</v>
      </c>
      <c r="G434" t="s">
        <v>133</v>
      </c>
      <c r="H434" t="s">
        <v>312</v>
      </c>
      <c r="I434" t="s">
        <v>20</v>
      </c>
    </row>
    <row r="435" spans="1:9" x14ac:dyDescent="0.25">
      <c r="A435" t="s">
        <v>422</v>
      </c>
      <c r="B435" t="s">
        <v>622</v>
      </c>
      <c r="C435" t="s">
        <v>20</v>
      </c>
      <c r="D435" t="s">
        <v>20</v>
      </c>
      <c r="E435" t="s">
        <v>462</v>
      </c>
      <c r="F435" t="s">
        <v>477</v>
      </c>
      <c r="G435" t="s">
        <v>133</v>
      </c>
      <c r="H435" t="s">
        <v>312</v>
      </c>
      <c r="I435" t="s">
        <v>20</v>
      </c>
    </row>
    <row r="436" spans="1:9" x14ac:dyDescent="0.25">
      <c r="A436" t="s">
        <v>422</v>
      </c>
      <c r="B436" t="s">
        <v>622</v>
      </c>
      <c r="C436" t="s">
        <v>470</v>
      </c>
      <c r="D436">
        <v>20</v>
      </c>
      <c r="E436" t="s">
        <v>462</v>
      </c>
      <c r="F436" t="s">
        <v>477</v>
      </c>
      <c r="G436" t="s">
        <v>133</v>
      </c>
      <c r="H436" t="s">
        <v>312</v>
      </c>
      <c r="I436" t="s">
        <v>20</v>
      </c>
    </row>
    <row r="437" spans="1:9" x14ac:dyDescent="0.25">
      <c r="A437" t="s">
        <v>422</v>
      </c>
      <c r="B437" t="s">
        <v>622</v>
      </c>
      <c r="C437" t="s">
        <v>471</v>
      </c>
      <c r="D437">
        <v>2</v>
      </c>
      <c r="E437" t="s">
        <v>462</v>
      </c>
      <c r="F437" t="s">
        <v>477</v>
      </c>
      <c r="G437" t="s">
        <v>133</v>
      </c>
      <c r="H437" t="s">
        <v>312</v>
      </c>
      <c r="I437" t="s">
        <v>20</v>
      </c>
    </row>
    <row r="438" spans="1:9" x14ac:dyDescent="0.25">
      <c r="A438" t="s">
        <v>422</v>
      </c>
      <c r="B438" t="s">
        <v>622</v>
      </c>
      <c r="C438" t="s">
        <v>472</v>
      </c>
      <c r="D438">
        <v>6</v>
      </c>
      <c r="E438" t="s">
        <v>462</v>
      </c>
      <c r="F438" t="s">
        <v>477</v>
      </c>
      <c r="G438" t="s">
        <v>133</v>
      </c>
      <c r="H438" t="s">
        <v>312</v>
      </c>
      <c r="I438" t="s">
        <v>20</v>
      </c>
    </row>
    <row r="439" spans="1:9" x14ac:dyDescent="0.25">
      <c r="A439" t="s">
        <v>422</v>
      </c>
      <c r="B439" t="s">
        <v>622</v>
      </c>
      <c r="C439" t="s">
        <v>473</v>
      </c>
      <c r="D439" t="s">
        <v>623</v>
      </c>
      <c r="E439" t="s">
        <v>462</v>
      </c>
      <c r="F439" t="s">
        <v>477</v>
      </c>
      <c r="G439" t="s">
        <v>133</v>
      </c>
      <c r="H439" t="s">
        <v>312</v>
      </c>
      <c r="I439" t="s">
        <v>20</v>
      </c>
    </row>
    <row r="440" spans="1:9" x14ac:dyDescent="0.25">
      <c r="A440" t="s">
        <v>422</v>
      </c>
      <c r="B440" t="s">
        <v>622</v>
      </c>
      <c r="C440" t="s">
        <v>474</v>
      </c>
      <c r="D440" t="s">
        <v>505</v>
      </c>
      <c r="E440" t="s">
        <v>462</v>
      </c>
      <c r="F440" t="s">
        <v>477</v>
      </c>
      <c r="G440" t="s">
        <v>133</v>
      </c>
      <c r="H440" t="s">
        <v>312</v>
      </c>
      <c r="I440" t="s">
        <v>20</v>
      </c>
    </row>
    <row r="441" spans="1:9" x14ac:dyDescent="0.25">
      <c r="A441" t="s">
        <v>422</v>
      </c>
      <c r="B441" t="s">
        <v>622</v>
      </c>
      <c r="C441" t="s">
        <v>475</v>
      </c>
      <c r="D441" t="s">
        <v>133</v>
      </c>
      <c r="E441" t="s">
        <v>462</v>
      </c>
      <c r="F441" t="s">
        <v>477</v>
      </c>
      <c r="G441" t="s">
        <v>133</v>
      </c>
      <c r="H441" t="s">
        <v>312</v>
      </c>
      <c r="I441" t="s">
        <v>20</v>
      </c>
    </row>
    <row r="442" spans="1:9" x14ac:dyDescent="0.25">
      <c r="A442" t="s">
        <v>422</v>
      </c>
      <c r="B442" t="s">
        <v>624</v>
      </c>
      <c r="C442" t="s">
        <v>469</v>
      </c>
      <c r="D442" t="s">
        <v>464</v>
      </c>
      <c r="E442" t="s">
        <v>464</v>
      </c>
      <c r="F442" t="s">
        <v>477</v>
      </c>
      <c r="G442" t="s">
        <v>133</v>
      </c>
      <c r="H442" t="s">
        <v>312</v>
      </c>
      <c r="I442" t="s">
        <v>13</v>
      </c>
    </row>
    <row r="443" spans="1:9" x14ac:dyDescent="0.25">
      <c r="A443" t="s">
        <v>422</v>
      </c>
      <c r="B443" t="s">
        <v>624</v>
      </c>
      <c r="C443" t="s">
        <v>20</v>
      </c>
      <c r="D443" t="s">
        <v>13</v>
      </c>
      <c r="E443" t="s">
        <v>464</v>
      </c>
      <c r="F443" t="s">
        <v>477</v>
      </c>
      <c r="G443" t="s">
        <v>133</v>
      </c>
      <c r="H443" t="s">
        <v>312</v>
      </c>
      <c r="I443" t="s">
        <v>13</v>
      </c>
    </row>
    <row r="444" spans="1:9" x14ac:dyDescent="0.25">
      <c r="A444" t="s">
        <v>422</v>
      </c>
      <c r="B444" t="s">
        <v>624</v>
      </c>
      <c r="C444" t="s">
        <v>470</v>
      </c>
      <c r="E444" t="s">
        <v>464</v>
      </c>
      <c r="F444" t="s">
        <v>477</v>
      </c>
      <c r="G444" t="s">
        <v>133</v>
      </c>
      <c r="H444" t="s">
        <v>312</v>
      </c>
      <c r="I444" t="s">
        <v>13</v>
      </c>
    </row>
    <row r="445" spans="1:9" x14ac:dyDescent="0.25">
      <c r="A445" t="s">
        <v>422</v>
      </c>
      <c r="B445" t="s">
        <v>624</v>
      </c>
      <c r="C445" t="s">
        <v>471</v>
      </c>
      <c r="E445" t="s">
        <v>464</v>
      </c>
      <c r="F445" t="s">
        <v>477</v>
      </c>
      <c r="G445" t="s">
        <v>133</v>
      </c>
      <c r="H445" t="s">
        <v>312</v>
      </c>
      <c r="I445" t="s">
        <v>13</v>
      </c>
    </row>
    <row r="446" spans="1:9" x14ac:dyDescent="0.25">
      <c r="A446" t="s">
        <v>422</v>
      </c>
      <c r="B446" t="s">
        <v>624</v>
      </c>
      <c r="C446" t="s">
        <v>472</v>
      </c>
      <c r="E446" t="s">
        <v>464</v>
      </c>
      <c r="F446" t="s">
        <v>477</v>
      </c>
      <c r="G446" t="s">
        <v>133</v>
      </c>
      <c r="H446" t="s">
        <v>312</v>
      </c>
      <c r="I446" t="s">
        <v>13</v>
      </c>
    </row>
    <row r="447" spans="1:9" x14ac:dyDescent="0.25">
      <c r="A447" t="s">
        <v>422</v>
      </c>
      <c r="B447" t="s">
        <v>624</v>
      </c>
      <c r="C447" t="s">
        <v>473</v>
      </c>
      <c r="E447" t="s">
        <v>464</v>
      </c>
      <c r="F447" t="s">
        <v>477</v>
      </c>
      <c r="G447" t="s">
        <v>133</v>
      </c>
      <c r="H447" t="s">
        <v>312</v>
      </c>
      <c r="I447" t="s">
        <v>13</v>
      </c>
    </row>
    <row r="448" spans="1:9" x14ac:dyDescent="0.25">
      <c r="A448" t="s">
        <v>422</v>
      </c>
      <c r="B448" t="s">
        <v>624</v>
      </c>
      <c r="C448" t="s">
        <v>474</v>
      </c>
      <c r="E448" t="s">
        <v>464</v>
      </c>
      <c r="F448" t="s">
        <v>477</v>
      </c>
      <c r="G448" t="s">
        <v>133</v>
      </c>
      <c r="H448" t="s">
        <v>312</v>
      </c>
      <c r="I448" t="s">
        <v>13</v>
      </c>
    </row>
    <row r="449" spans="1:9" x14ac:dyDescent="0.25">
      <c r="A449" t="s">
        <v>422</v>
      </c>
      <c r="B449" t="s">
        <v>624</v>
      </c>
      <c r="C449" t="s">
        <v>475</v>
      </c>
      <c r="E449" t="s">
        <v>464</v>
      </c>
      <c r="F449" t="s">
        <v>477</v>
      </c>
      <c r="G449" t="s">
        <v>133</v>
      </c>
      <c r="H449" t="s">
        <v>312</v>
      </c>
      <c r="I449" t="s">
        <v>13</v>
      </c>
    </row>
    <row r="450" spans="1:9" x14ac:dyDescent="0.25">
      <c r="A450" t="s">
        <v>422</v>
      </c>
      <c r="B450" t="s">
        <v>625</v>
      </c>
      <c r="C450" t="s">
        <v>469</v>
      </c>
      <c r="D450" t="s">
        <v>466</v>
      </c>
      <c r="E450" t="s">
        <v>466</v>
      </c>
      <c r="F450" t="s">
        <v>477</v>
      </c>
      <c r="G450" t="s">
        <v>133</v>
      </c>
      <c r="H450" t="s">
        <v>312</v>
      </c>
      <c r="I450" t="s">
        <v>16</v>
      </c>
    </row>
    <row r="451" spans="1:9" x14ac:dyDescent="0.25">
      <c r="A451" t="s">
        <v>422</v>
      </c>
      <c r="B451" t="s">
        <v>625</v>
      </c>
      <c r="C451" t="s">
        <v>20</v>
      </c>
      <c r="D451" t="s">
        <v>16</v>
      </c>
      <c r="E451" t="s">
        <v>466</v>
      </c>
      <c r="F451" t="s">
        <v>477</v>
      </c>
      <c r="G451" t="s">
        <v>133</v>
      </c>
      <c r="H451" t="s">
        <v>312</v>
      </c>
      <c r="I451" t="s">
        <v>16</v>
      </c>
    </row>
    <row r="452" spans="1:9" x14ac:dyDescent="0.25">
      <c r="A452" t="s">
        <v>422</v>
      </c>
      <c r="B452" t="s">
        <v>625</v>
      </c>
      <c r="C452" t="s">
        <v>470</v>
      </c>
      <c r="E452" t="s">
        <v>466</v>
      </c>
      <c r="F452" t="s">
        <v>477</v>
      </c>
      <c r="G452" t="s">
        <v>133</v>
      </c>
      <c r="H452" t="s">
        <v>312</v>
      </c>
      <c r="I452" t="s">
        <v>16</v>
      </c>
    </row>
    <row r="453" spans="1:9" x14ac:dyDescent="0.25">
      <c r="A453" t="s">
        <v>422</v>
      </c>
      <c r="B453" t="s">
        <v>625</v>
      </c>
      <c r="C453" t="s">
        <v>471</v>
      </c>
      <c r="E453" t="s">
        <v>466</v>
      </c>
      <c r="F453" t="s">
        <v>477</v>
      </c>
      <c r="G453" t="s">
        <v>133</v>
      </c>
      <c r="H453" t="s">
        <v>312</v>
      </c>
      <c r="I453" t="s">
        <v>16</v>
      </c>
    </row>
    <row r="454" spans="1:9" x14ac:dyDescent="0.25">
      <c r="A454" t="s">
        <v>422</v>
      </c>
      <c r="B454" t="s">
        <v>625</v>
      </c>
      <c r="C454" t="s">
        <v>472</v>
      </c>
      <c r="E454" t="s">
        <v>466</v>
      </c>
      <c r="F454" t="s">
        <v>477</v>
      </c>
      <c r="G454" t="s">
        <v>133</v>
      </c>
      <c r="H454" t="s">
        <v>312</v>
      </c>
      <c r="I454" t="s">
        <v>16</v>
      </c>
    </row>
    <row r="455" spans="1:9" x14ac:dyDescent="0.25">
      <c r="A455" t="s">
        <v>422</v>
      </c>
      <c r="B455" t="s">
        <v>625</v>
      </c>
      <c r="C455" t="s">
        <v>473</v>
      </c>
      <c r="E455" t="s">
        <v>466</v>
      </c>
      <c r="F455" t="s">
        <v>477</v>
      </c>
      <c r="G455" t="s">
        <v>133</v>
      </c>
      <c r="H455" t="s">
        <v>312</v>
      </c>
      <c r="I455" t="s">
        <v>16</v>
      </c>
    </row>
    <row r="456" spans="1:9" x14ac:dyDescent="0.25">
      <c r="A456" t="s">
        <v>422</v>
      </c>
      <c r="B456" t="s">
        <v>625</v>
      </c>
      <c r="C456" t="s">
        <v>474</v>
      </c>
      <c r="D456" t="s">
        <v>505</v>
      </c>
      <c r="E456" t="s">
        <v>466</v>
      </c>
      <c r="F456" t="s">
        <v>477</v>
      </c>
      <c r="G456" t="s">
        <v>133</v>
      </c>
      <c r="H456" t="s">
        <v>312</v>
      </c>
      <c r="I456" t="s">
        <v>16</v>
      </c>
    </row>
    <row r="457" spans="1:9" x14ac:dyDescent="0.25">
      <c r="A457" t="s">
        <v>422</v>
      </c>
      <c r="B457" t="s">
        <v>625</v>
      </c>
      <c r="C457" t="s">
        <v>475</v>
      </c>
      <c r="E457" t="s">
        <v>466</v>
      </c>
      <c r="F457" t="s">
        <v>477</v>
      </c>
      <c r="G457" t="s">
        <v>133</v>
      </c>
      <c r="H457" t="s">
        <v>312</v>
      </c>
      <c r="I457" t="s">
        <v>16</v>
      </c>
    </row>
    <row r="458" spans="1:9" x14ac:dyDescent="0.25">
      <c r="A458" t="s">
        <v>422</v>
      </c>
      <c r="B458" t="s">
        <v>626</v>
      </c>
      <c r="C458" t="s">
        <v>469</v>
      </c>
      <c r="D458" t="s">
        <v>468</v>
      </c>
      <c r="E458" t="s">
        <v>468</v>
      </c>
      <c r="F458" t="s">
        <v>477</v>
      </c>
      <c r="G458" t="s">
        <v>133</v>
      </c>
      <c r="H458" t="s">
        <v>312</v>
      </c>
      <c r="I458" t="s">
        <v>8</v>
      </c>
    </row>
    <row r="459" spans="1:9" x14ac:dyDescent="0.25">
      <c r="A459" t="s">
        <v>422</v>
      </c>
      <c r="B459" t="s">
        <v>626</v>
      </c>
      <c r="C459" t="s">
        <v>20</v>
      </c>
      <c r="D459" t="s">
        <v>627</v>
      </c>
      <c r="E459" t="s">
        <v>468</v>
      </c>
      <c r="F459" t="s">
        <v>477</v>
      </c>
      <c r="G459" t="s">
        <v>133</v>
      </c>
      <c r="H459" t="s">
        <v>312</v>
      </c>
      <c r="I459" t="s">
        <v>8</v>
      </c>
    </row>
    <row r="460" spans="1:9" x14ac:dyDescent="0.25">
      <c r="A460" t="s">
        <v>422</v>
      </c>
      <c r="B460" t="s">
        <v>626</v>
      </c>
      <c r="C460" t="s">
        <v>470</v>
      </c>
      <c r="D460">
        <v>20</v>
      </c>
      <c r="E460" t="s">
        <v>468</v>
      </c>
      <c r="F460" t="s">
        <v>477</v>
      </c>
      <c r="G460" t="s">
        <v>133</v>
      </c>
      <c r="H460" t="s">
        <v>312</v>
      </c>
      <c r="I460" t="s">
        <v>8</v>
      </c>
    </row>
    <row r="461" spans="1:9" x14ac:dyDescent="0.25">
      <c r="A461" t="s">
        <v>422</v>
      </c>
      <c r="B461" t="s">
        <v>626</v>
      </c>
      <c r="C461" t="s">
        <v>471</v>
      </c>
      <c r="D461" t="s">
        <v>492</v>
      </c>
      <c r="E461" t="s">
        <v>468</v>
      </c>
      <c r="F461" t="s">
        <v>477</v>
      </c>
      <c r="G461" t="s">
        <v>133</v>
      </c>
      <c r="H461" t="s">
        <v>312</v>
      </c>
      <c r="I461" t="s">
        <v>8</v>
      </c>
    </row>
    <row r="462" spans="1:9" x14ac:dyDescent="0.25">
      <c r="A462" t="s">
        <v>422</v>
      </c>
      <c r="B462" t="s">
        <v>626</v>
      </c>
      <c r="C462" t="s">
        <v>472</v>
      </c>
      <c r="D462">
        <v>6</v>
      </c>
      <c r="E462" t="s">
        <v>468</v>
      </c>
      <c r="F462" t="s">
        <v>477</v>
      </c>
      <c r="G462" t="s">
        <v>133</v>
      </c>
      <c r="H462" t="s">
        <v>312</v>
      </c>
      <c r="I462" t="s">
        <v>8</v>
      </c>
    </row>
    <row r="463" spans="1:9" x14ac:dyDescent="0.25">
      <c r="A463" t="s">
        <v>422</v>
      </c>
      <c r="B463" t="s">
        <v>626</v>
      </c>
      <c r="C463" t="s">
        <v>473</v>
      </c>
      <c r="D463" t="s">
        <v>628</v>
      </c>
      <c r="E463" t="s">
        <v>468</v>
      </c>
      <c r="F463" t="s">
        <v>477</v>
      </c>
      <c r="G463" t="s">
        <v>133</v>
      </c>
      <c r="H463" t="s">
        <v>312</v>
      </c>
      <c r="I463" t="s">
        <v>8</v>
      </c>
    </row>
    <row r="464" spans="1:9" x14ac:dyDescent="0.25">
      <c r="A464" t="s">
        <v>422</v>
      </c>
      <c r="B464" t="s">
        <v>626</v>
      </c>
      <c r="C464" t="s">
        <v>474</v>
      </c>
      <c r="D464" t="s">
        <v>494</v>
      </c>
      <c r="E464" t="s">
        <v>468</v>
      </c>
      <c r="F464" t="s">
        <v>477</v>
      </c>
      <c r="G464" t="s">
        <v>133</v>
      </c>
      <c r="H464" t="s">
        <v>312</v>
      </c>
      <c r="I464" t="s">
        <v>8</v>
      </c>
    </row>
    <row r="465" spans="1:9" x14ac:dyDescent="0.25">
      <c r="A465" t="s">
        <v>422</v>
      </c>
      <c r="B465" t="s">
        <v>626</v>
      </c>
      <c r="C465" t="s">
        <v>475</v>
      </c>
      <c r="D465" t="s">
        <v>133</v>
      </c>
      <c r="E465" t="s">
        <v>468</v>
      </c>
      <c r="F465" t="s">
        <v>477</v>
      </c>
      <c r="G465" t="s">
        <v>133</v>
      </c>
      <c r="H465" t="s">
        <v>312</v>
      </c>
      <c r="I465" t="s">
        <v>8</v>
      </c>
    </row>
    <row r="466" spans="1:9" x14ac:dyDescent="0.25">
      <c r="A466" t="s">
        <v>422</v>
      </c>
      <c r="B466" t="s">
        <v>530</v>
      </c>
      <c r="C466" t="s">
        <v>469</v>
      </c>
      <c r="D466" t="s">
        <v>446</v>
      </c>
      <c r="E466" t="s">
        <v>446</v>
      </c>
      <c r="F466" t="s">
        <v>477</v>
      </c>
      <c r="G466" t="s">
        <v>133</v>
      </c>
      <c r="H466" t="s">
        <v>312</v>
      </c>
      <c r="I466" t="s">
        <v>32</v>
      </c>
    </row>
    <row r="467" spans="1:9" x14ac:dyDescent="0.25">
      <c r="A467" t="s">
        <v>422</v>
      </c>
      <c r="B467" t="s">
        <v>530</v>
      </c>
      <c r="C467" t="s">
        <v>20</v>
      </c>
      <c r="D467" t="s">
        <v>32</v>
      </c>
      <c r="E467" t="s">
        <v>446</v>
      </c>
      <c r="F467" t="s">
        <v>477</v>
      </c>
      <c r="G467" t="s">
        <v>133</v>
      </c>
      <c r="H467" t="s">
        <v>312</v>
      </c>
      <c r="I467" t="s">
        <v>32</v>
      </c>
    </row>
    <row r="468" spans="1:9" x14ac:dyDescent="0.25">
      <c r="A468" t="s">
        <v>422</v>
      </c>
      <c r="B468" t="s">
        <v>530</v>
      </c>
      <c r="C468" t="s">
        <v>470</v>
      </c>
      <c r="D468">
        <v>20</v>
      </c>
      <c r="E468" t="s">
        <v>446</v>
      </c>
      <c r="F468" t="s">
        <v>477</v>
      </c>
      <c r="G468" t="s">
        <v>133</v>
      </c>
      <c r="H468" t="s">
        <v>312</v>
      </c>
      <c r="I468" t="s">
        <v>32</v>
      </c>
    </row>
    <row r="469" spans="1:9" x14ac:dyDescent="0.25">
      <c r="A469" t="s">
        <v>422</v>
      </c>
      <c r="B469" t="s">
        <v>530</v>
      </c>
      <c r="C469" t="s">
        <v>471</v>
      </c>
      <c r="D469">
        <v>1</v>
      </c>
      <c r="E469" t="s">
        <v>446</v>
      </c>
      <c r="F469" t="s">
        <v>477</v>
      </c>
      <c r="G469" t="s">
        <v>133</v>
      </c>
      <c r="H469" t="s">
        <v>312</v>
      </c>
      <c r="I469" t="s">
        <v>32</v>
      </c>
    </row>
    <row r="470" spans="1:9" x14ac:dyDescent="0.25">
      <c r="A470" t="s">
        <v>422</v>
      </c>
      <c r="B470" t="s">
        <v>530</v>
      </c>
      <c r="C470" t="s">
        <v>472</v>
      </c>
      <c r="D470">
        <v>6</v>
      </c>
      <c r="E470" t="s">
        <v>446</v>
      </c>
      <c r="F470" t="s">
        <v>477</v>
      </c>
      <c r="G470" t="s">
        <v>133</v>
      </c>
      <c r="H470" t="s">
        <v>312</v>
      </c>
      <c r="I470" t="s">
        <v>32</v>
      </c>
    </row>
    <row r="471" spans="1:9" x14ac:dyDescent="0.25">
      <c r="A471" t="s">
        <v>422</v>
      </c>
      <c r="B471" t="s">
        <v>530</v>
      </c>
      <c r="C471" t="s">
        <v>473</v>
      </c>
      <c r="D471" t="s">
        <v>531</v>
      </c>
      <c r="E471" t="s">
        <v>446</v>
      </c>
      <c r="F471" t="s">
        <v>477</v>
      </c>
      <c r="G471" t="s">
        <v>133</v>
      </c>
      <c r="H471" t="s">
        <v>312</v>
      </c>
      <c r="I471" t="s">
        <v>32</v>
      </c>
    </row>
    <row r="472" spans="1:9" x14ac:dyDescent="0.25">
      <c r="A472" t="s">
        <v>422</v>
      </c>
      <c r="B472" t="s">
        <v>530</v>
      </c>
      <c r="C472" t="s">
        <v>474</v>
      </c>
      <c r="D472" t="s">
        <v>505</v>
      </c>
      <c r="E472" t="s">
        <v>446</v>
      </c>
      <c r="F472" t="s">
        <v>477</v>
      </c>
      <c r="G472" t="s">
        <v>133</v>
      </c>
      <c r="H472" t="s">
        <v>312</v>
      </c>
      <c r="I472" t="s">
        <v>32</v>
      </c>
    </row>
    <row r="473" spans="1:9" x14ac:dyDescent="0.25">
      <c r="A473" t="s">
        <v>422</v>
      </c>
      <c r="B473" t="s">
        <v>530</v>
      </c>
      <c r="C473" t="s">
        <v>475</v>
      </c>
      <c r="D473" t="s">
        <v>506</v>
      </c>
      <c r="E473" t="s">
        <v>446</v>
      </c>
      <c r="F473" t="s">
        <v>477</v>
      </c>
      <c r="G473" t="s">
        <v>133</v>
      </c>
      <c r="H473" t="s">
        <v>312</v>
      </c>
      <c r="I473" t="s">
        <v>32</v>
      </c>
    </row>
    <row r="474" spans="1:9" x14ac:dyDescent="0.25">
      <c r="A474" t="s">
        <v>422</v>
      </c>
      <c r="B474" t="s">
        <v>530</v>
      </c>
      <c r="C474" t="s">
        <v>469</v>
      </c>
      <c r="D474" t="s">
        <v>446</v>
      </c>
      <c r="E474" t="s">
        <v>446</v>
      </c>
      <c r="F474" t="s">
        <v>477</v>
      </c>
      <c r="G474" t="s">
        <v>152</v>
      </c>
      <c r="H474" t="s">
        <v>320</v>
      </c>
      <c r="I474" t="s">
        <v>32</v>
      </c>
    </row>
    <row r="475" spans="1:9" x14ac:dyDescent="0.25">
      <c r="A475" t="s">
        <v>422</v>
      </c>
      <c r="B475" t="s">
        <v>530</v>
      </c>
      <c r="C475" t="s">
        <v>20</v>
      </c>
      <c r="D475" t="s">
        <v>32</v>
      </c>
      <c r="E475" t="s">
        <v>446</v>
      </c>
      <c r="F475" t="s">
        <v>477</v>
      </c>
      <c r="G475" t="s">
        <v>152</v>
      </c>
      <c r="H475" t="s">
        <v>320</v>
      </c>
      <c r="I475" t="s">
        <v>32</v>
      </c>
    </row>
    <row r="476" spans="1:9" x14ac:dyDescent="0.25">
      <c r="A476" t="s">
        <v>422</v>
      </c>
      <c r="B476" t="s">
        <v>530</v>
      </c>
      <c r="C476" t="s">
        <v>470</v>
      </c>
      <c r="D476">
        <v>20</v>
      </c>
      <c r="E476" t="s">
        <v>446</v>
      </c>
      <c r="F476" t="s">
        <v>477</v>
      </c>
      <c r="G476" t="s">
        <v>152</v>
      </c>
      <c r="H476" t="s">
        <v>320</v>
      </c>
      <c r="I476" t="s">
        <v>32</v>
      </c>
    </row>
    <row r="477" spans="1:9" x14ac:dyDescent="0.25">
      <c r="A477" t="s">
        <v>422</v>
      </c>
      <c r="B477" t="s">
        <v>530</v>
      </c>
      <c r="C477" t="s">
        <v>471</v>
      </c>
      <c r="D477">
        <v>1</v>
      </c>
      <c r="E477" t="s">
        <v>446</v>
      </c>
      <c r="F477" t="s">
        <v>477</v>
      </c>
      <c r="G477" t="s">
        <v>152</v>
      </c>
      <c r="H477" t="s">
        <v>320</v>
      </c>
      <c r="I477" t="s">
        <v>32</v>
      </c>
    </row>
    <row r="478" spans="1:9" x14ac:dyDescent="0.25">
      <c r="A478" t="s">
        <v>422</v>
      </c>
      <c r="B478" t="s">
        <v>530</v>
      </c>
      <c r="C478" t="s">
        <v>472</v>
      </c>
      <c r="D478">
        <v>6</v>
      </c>
      <c r="E478" t="s">
        <v>446</v>
      </c>
      <c r="F478" t="s">
        <v>477</v>
      </c>
      <c r="G478" t="s">
        <v>152</v>
      </c>
      <c r="H478" t="s">
        <v>320</v>
      </c>
      <c r="I478" t="s">
        <v>32</v>
      </c>
    </row>
    <row r="479" spans="1:9" x14ac:dyDescent="0.25">
      <c r="A479" t="s">
        <v>422</v>
      </c>
      <c r="B479" t="s">
        <v>530</v>
      </c>
      <c r="C479" t="s">
        <v>473</v>
      </c>
      <c r="D479" t="s">
        <v>531</v>
      </c>
      <c r="E479" t="s">
        <v>446</v>
      </c>
      <c r="F479" t="s">
        <v>477</v>
      </c>
      <c r="G479" t="s">
        <v>152</v>
      </c>
      <c r="H479" t="s">
        <v>320</v>
      </c>
      <c r="I479" t="s">
        <v>32</v>
      </c>
    </row>
    <row r="480" spans="1:9" x14ac:dyDescent="0.25">
      <c r="A480" t="s">
        <v>422</v>
      </c>
      <c r="B480" t="s">
        <v>530</v>
      </c>
      <c r="C480" t="s">
        <v>474</v>
      </c>
      <c r="D480" t="s">
        <v>505</v>
      </c>
      <c r="E480" t="s">
        <v>446</v>
      </c>
      <c r="F480" t="s">
        <v>477</v>
      </c>
      <c r="G480" t="s">
        <v>152</v>
      </c>
      <c r="H480" t="s">
        <v>320</v>
      </c>
      <c r="I480" t="s">
        <v>32</v>
      </c>
    </row>
    <row r="481" spans="1:9" x14ac:dyDescent="0.25">
      <c r="A481" t="s">
        <v>422</v>
      </c>
      <c r="B481" t="s">
        <v>530</v>
      </c>
      <c r="C481" t="s">
        <v>475</v>
      </c>
      <c r="D481" t="s">
        <v>506</v>
      </c>
      <c r="E481" t="s">
        <v>446</v>
      </c>
      <c r="F481" t="s">
        <v>477</v>
      </c>
      <c r="G481" t="s">
        <v>152</v>
      </c>
      <c r="H481" t="s">
        <v>320</v>
      </c>
      <c r="I481" t="s">
        <v>32</v>
      </c>
    </row>
    <row r="482" spans="1:9" x14ac:dyDescent="0.25">
      <c r="A482" t="s">
        <v>422</v>
      </c>
      <c r="B482" t="s">
        <v>610</v>
      </c>
      <c r="C482" t="s">
        <v>469</v>
      </c>
      <c r="D482" t="s">
        <v>448</v>
      </c>
      <c r="E482" t="s">
        <v>448</v>
      </c>
      <c r="F482" t="s">
        <v>477</v>
      </c>
      <c r="G482" t="s">
        <v>133</v>
      </c>
      <c r="H482" t="s">
        <v>312</v>
      </c>
      <c r="I482" t="s">
        <v>9</v>
      </c>
    </row>
    <row r="483" spans="1:9" x14ac:dyDescent="0.25">
      <c r="A483" t="s">
        <v>422</v>
      </c>
      <c r="B483" t="s">
        <v>610</v>
      </c>
      <c r="C483" t="s">
        <v>20</v>
      </c>
      <c r="D483" t="s">
        <v>9</v>
      </c>
      <c r="E483" t="s">
        <v>448</v>
      </c>
      <c r="F483" t="s">
        <v>477</v>
      </c>
      <c r="G483" t="s">
        <v>133</v>
      </c>
      <c r="H483" t="s">
        <v>312</v>
      </c>
      <c r="I483" t="s">
        <v>9</v>
      </c>
    </row>
    <row r="484" spans="1:9" x14ac:dyDescent="0.25">
      <c r="A484" t="s">
        <v>422</v>
      </c>
      <c r="B484" t="s">
        <v>610</v>
      </c>
      <c r="C484" t="s">
        <v>470</v>
      </c>
      <c r="D484">
        <v>20</v>
      </c>
      <c r="E484" t="s">
        <v>448</v>
      </c>
      <c r="F484" t="s">
        <v>477</v>
      </c>
      <c r="G484" t="s">
        <v>133</v>
      </c>
      <c r="H484" t="s">
        <v>312</v>
      </c>
      <c r="I484" t="s">
        <v>9</v>
      </c>
    </row>
    <row r="485" spans="1:9" x14ac:dyDescent="0.25">
      <c r="A485" t="s">
        <v>422</v>
      </c>
      <c r="B485" t="s">
        <v>610</v>
      </c>
      <c r="C485" t="s">
        <v>471</v>
      </c>
      <c r="D485">
        <v>1</v>
      </c>
      <c r="E485" t="s">
        <v>448</v>
      </c>
      <c r="F485" t="s">
        <v>477</v>
      </c>
      <c r="G485" t="s">
        <v>133</v>
      </c>
      <c r="H485" t="s">
        <v>312</v>
      </c>
      <c r="I485" t="s">
        <v>9</v>
      </c>
    </row>
    <row r="486" spans="1:9" x14ac:dyDescent="0.25">
      <c r="A486" t="s">
        <v>422</v>
      </c>
      <c r="B486" t="s">
        <v>610</v>
      </c>
      <c r="C486" t="s">
        <v>472</v>
      </c>
      <c r="D486">
        <v>6</v>
      </c>
      <c r="E486" t="s">
        <v>448</v>
      </c>
      <c r="F486" t="s">
        <v>477</v>
      </c>
      <c r="G486" t="s">
        <v>133</v>
      </c>
      <c r="H486" t="s">
        <v>312</v>
      </c>
      <c r="I486" t="s">
        <v>9</v>
      </c>
    </row>
    <row r="487" spans="1:9" x14ac:dyDescent="0.25">
      <c r="A487" t="s">
        <v>422</v>
      </c>
      <c r="B487" t="s">
        <v>610</v>
      </c>
      <c r="C487" t="s">
        <v>473</v>
      </c>
      <c r="D487" t="s">
        <v>611</v>
      </c>
      <c r="E487" t="s">
        <v>448</v>
      </c>
      <c r="F487" t="s">
        <v>477</v>
      </c>
      <c r="G487" t="s">
        <v>133</v>
      </c>
      <c r="H487" t="s">
        <v>312</v>
      </c>
      <c r="I487" t="s">
        <v>9</v>
      </c>
    </row>
    <row r="488" spans="1:9" x14ac:dyDescent="0.25">
      <c r="A488" t="s">
        <v>422</v>
      </c>
      <c r="B488" t="s">
        <v>610</v>
      </c>
      <c r="C488" t="s">
        <v>474</v>
      </c>
      <c r="D488" t="s">
        <v>505</v>
      </c>
      <c r="E488" t="s">
        <v>448</v>
      </c>
      <c r="F488" t="s">
        <v>477</v>
      </c>
      <c r="G488" t="s">
        <v>133</v>
      </c>
      <c r="H488" t="s">
        <v>312</v>
      </c>
      <c r="I488" t="s">
        <v>9</v>
      </c>
    </row>
    <row r="489" spans="1:9" x14ac:dyDescent="0.25">
      <c r="A489" t="s">
        <v>422</v>
      </c>
      <c r="B489" t="s">
        <v>610</v>
      </c>
      <c r="C489" t="s">
        <v>475</v>
      </c>
      <c r="D489" t="s">
        <v>506</v>
      </c>
      <c r="E489" t="s">
        <v>448</v>
      </c>
      <c r="F489" t="s">
        <v>477</v>
      </c>
      <c r="G489" t="s">
        <v>133</v>
      </c>
      <c r="H489" t="s">
        <v>312</v>
      </c>
      <c r="I489" t="s">
        <v>9</v>
      </c>
    </row>
    <row r="490" spans="1:9" x14ac:dyDescent="0.25">
      <c r="A490" t="s">
        <v>422</v>
      </c>
      <c r="B490" t="s">
        <v>612</v>
      </c>
      <c r="C490" t="s">
        <v>469</v>
      </c>
      <c r="D490" t="s">
        <v>450</v>
      </c>
      <c r="E490" t="s">
        <v>450</v>
      </c>
      <c r="F490" t="s">
        <v>477</v>
      </c>
      <c r="G490" t="s">
        <v>133</v>
      </c>
      <c r="H490" t="s">
        <v>312</v>
      </c>
      <c r="I490" t="s">
        <v>21</v>
      </c>
    </row>
    <row r="491" spans="1:9" x14ac:dyDescent="0.25">
      <c r="A491" t="s">
        <v>422</v>
      </c>
      <c r="B491" t="s">
        <v>612</v>
      </c>
      <c r="C491" t="s">
        <v>20</v>
      </c>
      <c r="D491" t="s">
        <v>21</v>
      </c>
      <c r="E491" t="s">
        <v>450</v>
      </c>
      <c r="F491" t="s">
        <v>477</v>
      </c>
      <c r="G491" t="s">
        <v>133</v>
      </c>
      <c r="H491" t="s">
        <v>312</v>
      </c>
      <c r="I491" t="s">
        <v>21</v>
      </c>
    </row>
    <row r="492" spans="1:9" x14ac:dyDescent="0.25">
      <c r="A492" t="s">
        <v>422</v>
      </c>
      <c r="B492" t="s">
        <v>612</v>
      </c>
      <c r="C492" t="s">
        <v>470</v>
      </c>
      <c r="D492">
        <v>20</v>
      </c>
      <c r="E492" t="s">
        <v>450</v>
      </c>
      <c r="F492" t="s">
        <v>477</v>
      </c>
      <c r="G492" t="s">
        <v>133</v>
      </c>
      <c r="H492" t="s">
        <v>312</v>
      </c>
      <c r="I492" t="s">
        <v>21</v>
      </c>
    </row>
    <row r="493" spans="1:9" x14ac:dyDescent="0.25">
      <c r="A493" t="s">
        <v>422</v>
      </c>
      <c r="B493" t="s">
        <v>612</v>
      </c>
      <c r="C493" t="s">
        <v>471</v>
      </c>
      <c r="D493">
        <v>1</v>
      </c>
      <c r="E493" t="s">
        <v>450</v>
      </c>
      <c r="F493" t="s">
        <v>477</v>
      </c>
      <c r="G493" t="s">
        <v>133</v>
      </c>
      <c r="H493" t="s">
        <v>312</v>
      </c>
      <c r="I493" t="s">
        <v>21</v>
      </c>
    </row>
    <row r="494" spans="1:9" x14ac:dyDescent="0.25">
      <c r="A494" t="s">
        <v>422</v>
      </c>
      <c r="B494" t="s">
        <v>612</v>
      </c>
      <c r="C494" t="s">
        <v>472</v>
      </c>
      <c r="D494">
        <v>6</v>
      </c>
      <c r="E494" t="s">
        <v>450</v>
      </c>
      <c r="F494" t="s">
        <v>477</v>
      </c>
      <c r="G494" t="s">
        <v>133</v>
      </c>
      <c r="H494" t="s">
        <v>312</v>
      </c>
      <c r="I494" t="s">
        <v>21</v>
      </c>
    </row>
    <row r="495" spans="1:9" x14ac:dyDescent="0.25">
      <c r="A495" t="s">
        <v>422</v>
      </c>
      <c r="B495" t="s">
        <v>612</v>
      </c>
      <c r="C495" t="s">
        <v>473</v>
      </c>
      <c r="D495" t="s">
        <v>483</v>
      </c>
      <c r="E495" t="s">
        <v>450</v>
      </c>
      <c r="F495" t="s">
        <v>477</v>
      </c>
      <c r="G495" t="s">
        <v>133</v>
      </c>
      <c r="H495" t="s">
        <v>312</v>
      </c>
      <c r="I495" t="s">
        <v>21</v>
      </c>
    </row>
    <row r="496" spans="1:9" x14ac:dyDescent="0.25">
      <c r="A496" t="s">
        <v>422</v>
      </c>
      <c r="B496" t="s">
        <v>612</v>
      </c>
      <c r="C496" t="s">
        <v>474</v>
      </c>
      <c r="D496" t="s">
        <v>505</v>
      </c>
      <c r="E496" t="s">
        <v>450</v>
      </c>
      <c r="F496" t="s">
        <v>477</v>
      </c>
      <c r="G496" t="s">
        <v>133</v>
      </c>
      <c r="H496" t="s">
        <v>312</v>
      </c>
      <c r="I496" t="s">
        <v>21</v>
      </c>
    </row>
    <row r="497" spans="1:9" x14ac:dyDescent="0.25">
      <c r="A497" t="s">
        <v>422</v>
      </c>
      <c r="B497" t="s">
        <v>612</v>
      </c>
      <c r="C497" t="s">
        <v>475</v>
      </c>
      <c r="D497" t="s">
        <v>506</v>
      </c>
      <c r="E497" t="s">
        <v>450</v>
      </c>
      <c r="F497" t="s">
        <v>477</v>
      </c>
      <c r="G497" t="s">
        <v>133</v>
      </c>
      <c r="H497" t="s">
        <v>312</v>
      </c>
      <c r="I497" t="s">
        <v>21</v>
      </c>
    </row>
    <row r="498" spans="1:9" x14ac:dyDescent="0.25">
      <c r="A498" t="s">
        <v>319</v>
      </c>
      <c r="B498" t="s">
        <v>532</v>
      </c>
      <c r="C498" t="s">
        <v>469</v>
      </c>
      <c r="D498" t="s">
        <v>323</v>
      </c>
      <c r="E498" t="s">
        <v>323</v>
      </c>
      <c r="F498" t="s">
        <v>477</v>
      </c>
      <c r="G498" t="s">
        <v>152</v>
      </c>
      <c r="H498" t="s">
        <v>320</v>
      </c>
      <c r="I498" t="s">
        <v>324</v>
      </c>
    </row>
    <row r="499" spans="1:9" x14ac:dyDescent="0.25">
      <c r="A499" t="s">
        <v>319</v>
      </c>
      <c r="B499" t="s">
        <v>532</v>
      </c>
      <c r="C499" t="s">
        <v>20</v>
      </c>
      <c r="D499" t="s">
        <v>533</v>
      </c>
      <c r="E499" t="s">
        <v>323</v>
      </c>
      <c r="F499" t="s">
        <v>477</v>
      </c>
      <c r="G499" t="s">
        <v>152</v>
      </c>
      <c r="H499" t="s">
        <v>320</v>
      </c>
      <c r="I499" t="s">
        <v>324</v>
      </c>
    </row>
    <row r="500" spans="1:9" x14ac:dyDescent="0.25">
      <c r="A500" t="s">
        <v>319</v>
      </c>
      <c r="B500" t="s">
        <v>532</v>
      </c>
      <c r="C500" t="s">
        <v>470</v>
      </c>
      <c r="E500" t="s">
        <v>323</v>
      </c>
      <c r="F500" t="s">
        <v>477</v>
      </c>
      <c r="G500" t="s">
        <v>152</v>
      </c>
      <c r="H500" t="s">
        <v>320</v>
      </c>
      <c r="I500" t="s">
        <v>324</v>
      </c>
    </row>
    <row r="501" spans="1:9" x14ac:dyDescent="0.25">
      <c r="A501" t="s">
        <v>319</v>
      </c>
      <c r="B501" t="s">
        <v>532</v>
      </c>
      <c r="C501" t="s">
        <v>471</v>
      </c>
      <c r="E501" t="s">
        <v>323</v>
      </c>
      <c r="F501" t="s">
        <v>477</v>
      </c>
      <c r="G501" t="s">
        <v>152</v>
      </c>
      <c r="H501" t="s">
        <v>320</v>
      </c>
      <c r="I501" t="s">
        <v>324</v>
      </c>
    </row>
    <row r="502" spans="1:9" x14ac:dyDescent="0.25">
      <c r="A502" t="s">
        <v>319</v>
      </c>
      <c r="B502" t="s">
        <v>532</v>
      </c>
      <c r="C502" t="s">
        <v>472</v>
      </c>
      <c r="E502" t="s">
        <v>323</v>
      </c>
      <c r="F502" t="s">
        <v>477</v>
      </c>
      <c r="G502" t="s">
        <v>152</v>
      </c>
      <c r="H502" t="s">
        <v>320</v>
      </c>
      <c r="I502" t="s">
        <v>324</v>
      </c>
    </row>
    <row r="503" spans="1:9" x14ac:dyDescent="0.25">
      <c r="A503" t="s">
        <v>319</v>
      </c>
      <c r="B503" t="s">
        <v>532</v>
      </c>
      <c r="C503" t="s">
        <v>473</v>
      </c>
      <c r="E503" t="s">
        <v>323</v>
      </c>
      <c r="F503" t="s">
        <v>477</v>
      </c>
      <c r="G503" t="s">
        <v>152</v>
      </c>
      <c r="H503" t="s">
        <v>320</v>
      </c>
      <c r="I503" t="s">
        <v>324</v>
      </c>
    </row>
    <row r="504" spans="1:9" x14ac:dyDescent="0.25">
      <c r="A504" t="s">
        <v>319</v>
      </c>
      <c r="B504" t="s">
        <v>532</v>
      </c>
      <c r="C504" t="s">
        <v>474</v>
      </c>
      <c r="E504" t="s">
        <v>323</v>
      </c>
      <c r="F504" t="s">
        <v>477</v>
      </c>
      <c r="G504" t="s">
        <v>152</v>
      </c>
      <c r="H504" t="s">
        <v>320</v>
      </c>
      <c r="I504" t="s">
        <v>324</v>
      </c>
    </row>
    <row r="505" spans="1:9" x14ac:dyDescent="0.25">
      <c r="A505" t="s">
        <v>319</v>
      </c>
      <c r="B505" t="s">
        <v>532</v>
      </c>
      <c r="C505" t="s">
        <v>475</v>
      </c>
      <c r="E505" t="s">
        <v>323</v>
      </c>
      <c r="F505" t="s">
        <v>477</v>
      </c>
      <c r="G505" t="s">
        <v>152</v>
      </c>
      <c r="H505" t="s">
        <v>320</v>
      </c>
      <c r="I505" t="s">
        <v>324</v>
      </c>
    </row>
    <row r="506" spans="1:9" x14ac:dyDescent="0.25">
      <c r="A506" t="s">
        <v>319</v>
      </c>
      <c r="B506" t="s">
        <v>534</v>
      </c>
      <c r="C506" t="s">
        <v>469</v>
      </c>
      <c r="D506" t="s">
        <v>326</v>
      </c>
      <c r="E506" t="s">
        <v>326</v>
      </c>
      <c r="F506" t="s">
        <v>477</v>
      </c>
      <c r="G506" t="s">
        <v>152</v>
      </c>
      <c r="H506" t="s">
        <v>320</v>
      </c>
      <c r="I506" t="s">
        <v>327</v>
      </c>
    </row>
    <row r="507" spans="1:9" x14ac:dyDescent="0.25">
      <c r="A507" t="s">
        <v>319</v>
      </c>
      <c r="B507" t="s">
        <v>534</v>
      </c>
      <c r="C507" t="s">
        <v>20</v>
      </c>
      <c r="D507" t="s">
        <v>327</v>
      </c>
      <c r="E507" t="s">
        <v>326</v>
      </c>
      <c r="F507" t="s">
        <v>477</v>
      </c>
      <c r="G507" t="s">
        <v>152</v>
      </c>
      <c r="H507" t="s">
        <v>320</v>
      </c>
      <c r="I507" t="s">
        <v>327</v>
      </c>
    </row>
    <row r="508" spans="1:9" x14ac:dyDescent="0.25">
      <c r="A508" t="s">
        <v>319</v>
      </c>
      <c r="B508" t="s">
        <v>534</v>
      </c>
      <c r="C508" t="s">
        <v>470</v>
      </c>
      <c r="E508" t="s">
        <v>326</v>
      </c>
      <c r="F508" t="s">
        <v>477</v>
      </c>
      <c r="G508" t="s">
        <v>152</v>
      </c>
      <c r="H508" t="s">
        <v>320</v>
      </c>
      <c r="I508" t="s">
        <v>327</v>
      </c>
    </row>
    <row r="509" spans="1:9" x14ac:dyDescent="0.25">
      <c r="A509" t="s">
        <v>319</v>
      </c>
      <c r="B509" t="s">
        <v>534</v>
      </c>
      <c r="C509" t="s">
        <v>471</v>
      </c>
      <c r="E509" t="s">
        <v>326</v>
      </c>
      <c r="F509" t="s">
        <v>477</v>
      </c>
      <c r="G509" t="s">
        <v>152</v>
      </c>
      <c r="H509" t="s">
        <v>320</v>
      </c>
      <c r="I509" t="s">
        <v>327</v>
      </c>
    </row>
    <row r="510" spans="1:9" x14ac:dyDescent="0.25">
      <c r="A510" t="s">
        <v>319</v>
      </c>
      <c r="B510" t="s">
        <v>534</v>
      </c>
      <c r="C510" t="s">
        <v>472</v>
      </c>
      <c r="E510" t="s">
        <v>326</v>
      </c>
      <c r="F510" t="s">
        <v>477</v>
      </c>
      <c r="G510" t="s">
        <v>152</v>
      </c>
      <c r="H510" t="s">
        <v>320</v>
      </c>
      <c r="I510" t="s">
        <v>327</v>
      </c>
    </row>
    <row r="511" spans="1:9" x14ac:dyDescent="0.25">
      <c r="A511" t="s">
        <v>319</v>
      </c>
      <c r="B511" t="s">
        <v>534</v>
      </c>
      <c r="C511" t="s">
        <v>473</v>
      </c>
      <c r="E511" t="s">
        <v>326</v>
      </c>
      <c r="F511" t="s">
        <v>477</v>
      </c>
      <c r="G511" t="s">
        <v>152</v>
      </c>
      <c r="H511" t="s">
        <v>320</v>
      </c>
      <c r="I511" t="s">
        <v>327</v>
      </c>
    </row>
    <row r="512" spans="1:9" x14ac:dyDescent="0.25">
      <c r="A512" t="s">
        <v>319</v>
      </c>
      <c r="B512" t="s">
        <v>534</v>
      </c>
      <c r="C512" t="s">
        <v>474</v>
      </c>
      <c r="E512" t="s">
        <v>326</v>
      </c>
      <c r="F512" t="s">
        <v>477</v>
      </c>
      <c r="G512" t="s">
        <v>152</v>
      </c>
      <c r="H512" t="s">
        <v>320</v>
      </c>
      <c r="I512" t="s">
        <v>327</v>
      </c>
    </row>
    <row r="513" spans="1:9" x14ac:dyDescent="0.25">
      <c r="A513" t="s">
        <v>319</v>
      </c>
      <c r="B513" t="s">
        <v>534</v>
      </c>
      <c r="C513" t="s">
        <v>475</v>
      </c>
      <c r="E513" t="s">
        <v>326</v>
      </c>
      <c r="F513" t="s">
        <v>477</v>
      </c>
      <c r="G513" t="s">
        <v>152</v>
      </c>
      <c r="H513" t="s">
        <v>320</v>
      </c>
      <c r="I513" t="s">
        <v>327</v>
      </c>
    </row>
    <row r="514" spans="1:9" x14ac:dyDescent="0.25">
      <c r="A514" t="s">
        <v>319</v>
      </c>
      <c r="B514" t="s">
        <v>535</v>
      </c>
      <c r="C514" t="s">
        <v>469</v>
      </c>
      <c r="D514" t="s">
        <v>329</v>
      </c>
      <c r="E514" t="s">
        <v>329</v>
      </c>
      <c r="F514" t="s">
        <v>477</v>
      </c>
      <c r="G514" t="s">
        <v>152</v>
      </c>
      <c r="H514" t="s">
        <v>320</v>
      </c>
      <c r="I514" t="s">
        <v>330</v>
      </c>
    </row>
    <row r="515" spans="1:9" x14ac:dyDescent="0.25">
      <c r="A515" t="s">
        <v>319</v>
      </c>
      <c r="B515" t="s">
        <v>535</v>
      </c>
      <c r="C515" t="s">
        <v>20</v>
      </c>
      <c r="D515" t="s">
        <v>330</v>
      </c>
      <c r="E515" t="s">
        <v>329</v>
      </c>
      <c r="F515" t="s">
        <v>477</v>
      </c>
      <c r="G515" t="s">
        <v>152</v>
      </c>
      <c r="H515" t="s">
        <v>320</v>
      </c>
      <c r="I515" t="s">
        <v>330</v>
      </c>
    </row>
    <row r="516" spans="1:9" x14ac:dyDescent="0.25">
      <c r="A516" t="s">
        <v>319</v>
      </c>
      <c r="B516" t="s">
        <v>535</v>
      </c>
      <c r="C516" t="s">
        <v>470</v>
      </c>
      <c r="E516" t="s">
        <v>329</v>
      </c>
      <c r="F516" t="s">
        <v>477</v>
      </c>
      <c r="G516" t="s">
        <v>152</v>
      </c>
      <c r="H516" t="s">
        <v>320</v>
      </c>
      <c r="I516" t="s">
        <v>330</v>
      </c>
    </row>
    <row r="517" spans="1:9" x14ac:dyDescent="0.25">
      <c r="A517" t="s">
        <v>319</v>
      </c>
      <c r="B517" t="s">
        <v>535</v>
      </c>
      <c r="C517" t="s">
        <v>471</v>
      </c>
      <c r="E517" t="s">
        <v>329</v>
      </c>
      <c r="F517" t="s">
        <v>477</v>
      </c>
      <c r="G517" t="s">
        <v>152</v>
      </c>
      <c r="H517" t="s">
        <v>320</v>
      </c>
      <c r="I517" t="s">
        <v>330</v>
      </c>
    </row>
    <row r="518" spans="1:9" x14ac:dyDescent="0.25">
      <c r="A518" t="s">
        <v>319</v>
      </c>
      <c r="B518" t="s">
        <v>535</v>
      </c>
      <c r="C518" t="s">
        <v>472</v>
      </c>
      <c r="E518" t="s">
        <v>329</v>
      </c>
      <c r="F518" t="s">
        <v>477</v>
      </c>
      <c r="G518" t="s">
        <v>152</v>
      </c>
      <c r="H518" t="s">
        <v>320</v>
      </c>
      <c r="I518" t="s">
        <v>330</v>
      </c>
    </row>
    <row r="519" spans="1:9" x14ac:dyDescent="0.25">
      <c r="A519" t="s">
        <v>319</v>
      </c>
      <c r="B519" t="s">
        <v>535</v>
      </c>
      <c r="C519" t="s">
        <v>473</v>
      </c>
      <c r="E519" t="s">
        <v>329</v>
      </c>
      <c r="F519" t="s">
        <v>477</v>
      </c>
      <c r="G519" t="s">
        <v>152</v>
      </c>
      <c r="H519" t="s">
        <v>320</v>
      </c>
      <c r="I519" t="s">
        <v>330</v>
      </c>
    </row>
    <row r="520" spans="1:9" x14ac:dyDescent="0.25">
      <c r="A520" t="s">
        <v>319</v>
      </c>
      <c r="B520" t="s">
        <v>535</v>
      </c>
      <c r="C520" t="s">
        <v>474</v>
      </c>
      <c r="E520" t="s">
        <v>329</v>
      </c>
      <c r="F520" t="s">
        <v>477</v>
      </c>
      <c r="G520" t="s">
        <v>152</v>
      </c>
      <c r="H520" t="s">
        <v>320</v>
      </c>
      <c r="I520" t="s">
        <v>330</v>
      </c>
    </row>
    <row r="521" spans="1:9" x14ac:dyDescent="0.25">
      <c r="A521" t="s">
        <v>319</v>
      </c>
      <c r="B521" t="s">
        <v>535</v>
      </c>
      <c r="C521" t="s">
        <v>475</v>
      </c>
      <c r="E521" t="s">
        <v>329</v>
      </c>
      <c r="F521" t="s">
        <v>477</v>
      </c>
      <c r="G521" t="s">
        <v>152</v>
      </c>
      <c r="H521" t="s">
        <v>320</v>
      </c>
      <c r="I521" t="s">
        <v>330</v>
      </c>
    </row>
    <row r="522" spans="1:9" x14ac:dyDescent="0.25">
      <c r="A522" t="s">
        <v>319</v>
      </c>
      <c r="B522" t="s">
        <v>536</v>
      </c>
      <c r="C522" t="s">
        <v>469</v>
      </c>
      <c r="D522" t="s">
        <v>332</v>
      </c>
      <c r="E522" t="s">
        <v>332</v>
      </c>
      <c r="F522" t="s">
        <v>477</v>
      </c>
      <c r="G522" t="s">
        <v>152</v>
      </c>
      <c r="H522" t="s">
        <v>320</v>
      </c>
      <c r="I522" t="s">
        <v>333</v>
      </c>
    </row>
    <row r="523" spans="1:9" x14ac:dyDescent="0.25">
      <c r="A523" t="s">
        <v>319</v>
      </c>
      <c r="B523" t="s">
        <v>536</v>
      </c>
      <c r="C523" t="s">
        <v>20</v>
      </c>
      <c r="D523" t="s">
        <v>333</v>
      </c>
      <c r="E523" t="s">
        <v>332</v>
      </c>
      <c r="F523" t="s">
        <v>477</v>
      </c>
      <c r="G523" t="s">
        <v>152</v>
      </c>
      <c r="H523" t="s">
        <v>320</v>
      </c>
      <c r="I523" t="s">
        <v>333</v>
      </c>
    </row>
    <row r="524" spans="1:9" x14ac:dyDescent="0.25">
      <c r="A524" t="s">
        <v>319</v>
      </c>
      <c r="B524" t="s">
        <v>536</v>
      </c>
      <c r="C524" t="s">
        <v>470</v>
      </c>
      <c r="E524" t="s">
        <v>332</v>
      </c>
      <c r="F524" t="s">
        <v>477</v>
      </c>
      <c r="G524" t="s">
        <v>152</v>
      </c>
      <c r="H524" t="s">
        <v>320</v>
      </c>
      <c r="I524" t="s">
        <v>333</v>
      </c>
    </row>
    <row r="525" spans="1:9" x14ac:dyDescent="0.25">
      <c r="A525" t="s">
        <v>319</v>
      </c>
      <c r="B525" t="s">
        <v>536</v>
      </c>
      <c r="C525" t="s">
        <v>471</v>
      </c>
      <c r="E525" t="s">
        <v>332</v>
      </c>
      <c r="F525" t="s">
        <v>477</v>
      </c>
      <c r="G525" t="s">
        <v>152</v>
      </c>
      <c r="H525" t="s">
        <v>320</v>
      </c>
      <c r="I525" t="s">
        <v>333</v>
      </c>
    </row>
    <row r="526" spans="1:9" x14ac:dyDescent="0.25">
      <c r="A526" t="s">
        <v>319</v>
      </c>
      <c r="B526" t="s">
        <v>536</v>
      </c>
      <c r="C526" t="s">
        <v>472</v>
      </c>
      <c r="E526" t="s">
        <v>332</v>
      </c>
      <c r="F526" t="s">
        <v>477</v>
      </c>
      <c r="G526" t="s">
        <v>152</v>
      </c>
      <c r="H526" t="s">
        <v>320</v>
      </c>
      <c r="I526" t="s">
        <v>333</v>
      </c>
    </row>
    <row r="527" spans="1:9" x14ac:dyDescent="0.25">
      <c r="A527" t="s">
        <v>319</v>
      </c>
      <c r="B527" t="s">
        <v>536</v>
      </c>
      <c r="C527" t="s">
        <v>473</v>
      </c>
      <c r="E527" t="s">
        <v>332</v>
      </c>
      <c r="F527" t="s">
        <v>477</v>
      </c>
      <c r="G527" t="s">
        <v>152</v>
      </c>
      <c r="H527" t="s">
        <v>320</v>
      </c>
      <c r="I527" t="s">
        <v>333</v>
      </c>
    </row>
    <row r="528" spans="1:9" x14ac:dyDescent="0.25">
      <c r="A528" t="s">
        <v>319</v>
      </c>
      <c r="B528" t="s">
        <v>536</v>
      </c>
      <c r="C528" t="s">
        <v>474</v>
      </c>
      <c r="E528" t="s">
        <v>332</v>
      </c>
      <c r="F528" t="s">
        <v>477</v>
      </c>
      <c r="G528" t="s">
        <v>152</v>
      </c>
      <c r="H528" t="s">
        <v>320</v>
      </c>
      <c r="I528" t="s">
        <v>333</v>
      </c>
    </row>
    <row r="529" spans="1:9" x14ac:dyDescent="0.25">
      <c r="A529" t="s">
        <v>319</v>
      </c>
      <c r="B529" t="s">
        <v>536</v>
      </c>
      <c r="C529" t="s">
        <v>475</v>
      </c>
      <c r="E529" t="s">
        <v>332</v>
      </c>
      <c r="F529" t="s">
        <v>477</v>
      </c>
      <c r="G529" t="s">
        <v>152</v>
      </c>
      <c r="H529" t="s">
        <v>320</v>
      </c>
      <c r="I529" t="s">
        <v>333</v>
      </c>
    </row>
    <row r="530" spans="1:9" x14ac:dyDescent="0.25">
      <c r="A530" t="s">
        <v>319</v>
      </c>
      <c r="B530" t="s">
        <v>537</v>
      </c>
      <c r="C530" t="s">
        <v>469</v>
      </c>
      <c r="D530" t="s">
        <v>538</v>
      </c>
      <c r="E530" t="s">
        <v>335</v>
      </c>
      <c r="F530" t="s">
        <v>477</v>
      </c>
      <c r="G530" t="s">
        <v>152</v>
      </c>
      <c r="H530" t="s">
        <v>320</v>
      </c>
      <c r="I530" t="s">
        <v>336</v>
      </c>
    </row>
    <row r="531" spans="1:9" x14ac:dyDescent="0.25">
      <c r="A531" t="s">
        <v>319</v>
      </c>
      <c r="B531" t="s">
        <v>537</v>
      </c>
      <c r="C531" t="s">
        <v>20</v>
      </c>
      <c r="D531" t="s">
        <v>336</v>
      </c>
      <c r="E531" t="s">
        <v>335</v>
      </c>
      <c r="F531" t="s">
        <v>477</v>
      </c>
      <c r="G531" t="s">
        <v>152</v>
      </c>
      <c r="H531" t="s">
        <v>320</v>
      </c>
      <c r="I531" t="s">
        <v>336</v>
      </c>
    </row>
    <row r="532" spans="1:9" x14ac:dyDescent="0.25">
      <c r="A532" t="s">
        <v>319</v>
      </c>
      <c r="B532" t="s">
        <v>537</v>
      </c>
      <c r="C532" t="s">
        <v>470</v>
      </c>
      <c r="E532" t="s">
        <v>335</v>
      </c>
      <c r="F532" t="s">
        <v>477</v>
      </c>
      <c r="G532" t="s">
        <v>152</v>
      </c>
      <c r="H532" t="s">
        <v>320</v>
      </c>
      <c r="I532" t="s">
        <v>336</v>
      </c>
    </row>
    <row r="533" spans="1:9" x14ac:dyDescent="0.25">
      <c r="A533" t="s">
        <v>319</v>
      </c>
      <c r="B533" t="s">
        <v>537</v>
      </c>
      <c r="C533" t="s">
        <v>471</v>
      </c>
      <c r="E533" t="s">
        <v>335</v>
      </c>
      <c r="F533" t="s">
        <v>477</v>
      </c>
      <c r="G533" t="s">
        <v>152</v>
      </c>
      <c r="H533" t="s">
        <v>320</v>
      </c>
      <c r="I533" t="s">
        <v>336</v>
      </c>
    </row>
    <row r="534" spans="1:9" x14ac:dyDescent="0.25">
      <c r="A534" t="s">
        <v>319</v>
      </c>
      <c r="B534" t="s">
        <v>537</v>
      </c>
      <c r="C534" t="s">
        <v>472</v>
      </c>
      <c r="E534" t="s">
        <v>335</v>
      </c>
      <c r="F534" t="s">
        <v>477</v>
      </c>
      <c r="G534" t="s">
        <v>152</v>
      </c>
      <c r="H534" t="s">
        <v>320</v>
      </c>
      <c r="I534" t="s">
        <v>336</v>
      </c>
    </row>
    <row r="535" spans="1:9" x14ac:dyDescent="0.25">
      <c r="A535" t="s">
        <v>319</v>
      </c>
      <c r="B535" t="s">
        <v>537</v>
      </c>
      <c r="C535" t="s">
        <v>473</v>
      </c>
      <c r="E535" t="s">
        <v>335</v>
      </c>
      <c r="F535" t="s">
        <v>477</v>
      </c>
      <c r="G535" t="s">
        <v>152</v>
      </c>
      <c r="H535" t="s">
        <v>320</v>
      </c>
      <c r="I535" t="s">
        <v>336</v>
      </c>
    </row>
    <row r="536" spans="1:9" x14ac:dyDescent="0.25">
      <c r="A536" t="s">
        <v>319</v>
      </c>
      <c r="B536" t="s">
        <v>537</v>
      </c>
      <c r="C536" t="s">
        <v>474</v>
      </c>
      <c r="E536" t="s">
        <v>335</v>
      </c>
      <c r="F536" t="s">
        <v>477</v>
      </c>
      <c r="G536" t="s">
        <v>152</v>
      </c>
      <c r="H536" t="s">
        <v>320</v>
      </c>
      <c r="I536" t="s">
        <v>336</v>
      </c>
    </row>
    <row r="537" spans="1:9" x14ac:dyDescent="0.25">
      <c r="A537" t="s">
        <v>319</v>
      </c>
      <c r="B537" t="s">
        <v>537</v>
      </c>
      <c r="C537" t="s">
        <v>475</v>
      </c>
      <c r="E537" t="s">
        <v>335</v>
      </c>
      <c r="F537" t="s">
        <v>477</v>
      </c>
      <c r="G537" t="s">
        <v>152</v>
      </c>
      <c r="H537" t="s">
        <v>320</v>
      </c>
      <c r="I537" t="s">
        <v>336</v>
      </c>
    </row>
    <row r="538" spans="1:9" x14ac:dyDescent="0.25">
      <c r="A538" t="s">
        <v>319</v>
      </c>
      <c r="B538" t="s">
        <v>539</v>
      </c>
      <c r="C538" t="s">
        <v>469</v>
      </c>
      <c r="D538" t="s">
        <v>338</v>
      </c>
      <c r="E538" t="s">
        <v>338</v>
      </c>
      <c r="F538" t="s">
        <v>477</v>
      </c>
      <c r="G538" t="s">
        <v>152</v>
      </c>
      <c r="H538" t="s">
        <v>320</v>
      </c>
      <c r="I538" t="s">
        <v>339</v>
      </c>
    </row>
    <row r="539" spans="1:9" x14ac:dyDescent="0.25">
      <c r="A539" t="s">
        <v>319</v>
      </c>
      <c r="B539" t="s">
        <v>539</v>
      </c>
      <c r="C539" t="s">
        <v>20</v>
      </c>
      <c r="D539" t="s">
        <v>339</v>
      </c>
      <c r="E539" t="s">
        <v>338</v>
      </c>
      <c r="F539" t="s">
        <v>477</v>
      </c>
      <c r="G539" t="s">
        <v>152</v>
      </c>
      <c r="H539" t="s">
        <v>320</v>
      </c>
      <c r="I539" t="s">
        <v>339</v>
      </c>
    </row>
    <row r="540" spans="1:9" x14ac:dyDescent="0.25">
      <c r="A540" t="s">
        <v>319</v>
      </c>
      <c r="B540" t="s">
        <v>539</v>
      </c>
      <c r="C540" t="s">
        <v>470</v>
      </c>
      <c r="E540" t="s">
        <v>338</v>
      </c>
      <c r="F540" t="s">
        <v>477</v>
      </c>
      <c r="G540" t="s">
        <v>152</v>
      </c>
      <c r="H540" t="s">
        <v>320</v>
      </c>
      <c r="I540" t="s">
        <v>339</v>
      </c>
    </row>
    <row r="541" spans="1:9" x14ac:dyDescent="0.25">
      <c r="A541" t="s">
        <v>319</v>
      </c>
      <c r="B541" t="s">
        <v>539</v>
      </c>
      <c r="C541" t="s">
        <v>471</v>
      </c>
      <c r="E541" t="s">
        <v>338</v>
      </c>
      <c r="F541" t="s">
        <v>477</v>
      </c>
      <c r="G541" t="s">
        <v>152</v>
      </c>
      <c r="H541" t="s">
        <v>320</v>
      </c>
      <c r="I541" t="s">
        <v>339</v>
      </c>
    </row>
    <row r="542" spans="1:9" x14ac:dyDescent="0.25">
      <c r="A542" t="s">
        <v>319</v>
      </c>
      <c r="B542" t="s">
        <v>539</v>
      </c>
      <c r="C542" t="s">
        <v>472</v>
      </c>
      <c r="E542" t="s">
        <v>338</v>
      </c>
      <c r="F542" t="s">
        <v>477</v>
      </c>
      <c r="G542" t="s">
        <v>152</v>
      </c>
      <c r="H542" t="s">
        <v>320</v>
      </c>
      <c r="I542" t="s">
        <v>339</v>
      </c>
    </row>
    <row r="543" spans="1:9" x14ac:dyDescent="0.25">
      <c r="A543" t="s">
        <v>319</v>
      </c>
      <c r="B543" t="s">
        <v>539</v>
      </c>
      <c r="C543" t="s">
        <v>473</v>
      </c>
      <c r="E543" t="s">
        <v>338</v>
      </c>
      <c r="F543" t="s">
        <v>477</v>
      </c>
      <c r="G543" t="s">
        <v>152</v>
      </c>
      <c r="H543" t="s">
        <v>320</v>
      </c>
      <c r="I543" t="s">
        <v>339</v>
      </c>
    </row>
    <row r="544" spans="1:9" x14ac:dyDescent="0.25">
      <c r="A544" t="s">
        <v>319</v>
      </c>
      <c r="B544" t="s">
        <v>539</v>
      </c>
      <c r="C544" t="s">
        <v>474</v>
      </c>
      <c r="E544" t="s">
        <v>338</v>
      </c>
      <c r="F544" t="s">
        <v>477</v>
      </c>
      <c r="G544" t="s">
        <v>152</v>
      </c>
      <c r="H544" t="s">
        <v>320</v>
      </c>
      <c r="I544" t="s">
        <v>339</v>
      </c>
    </row>
    <row r="545" spans="1:9" x14ac:dyDescent="0.25">
      <c r="A545" t="s">
        <v>319</v>
      </c>
      <c r="B545" t="s">
        <v>539</v>
      </c>
      <c r="C545" t="s">
        <v>475</v>
      </c>
      <c r="E545" t="s">
        <v>338</v>
      </c>
      <c r="F545" t="s">
        <v>477</v>
      </c>
      <c r="G545" t="s">
        <v>152</v>
      </c>
      <c r="H545" t="s">
        <v>320</v>
      </c>
      <c r="I545" t="s">
        <v>339</v>
      </c>
    </row>
    <row r="546" spans="1:9" x14ac:dyDescent="0.25">
      <c r="A546" t="s">
        <v>319</v>
      </c>
      <c r="B546" t="s">
        <v>543</v>
      </c>
      <c r="C546" t="s">
        <v>469</v>
      </c>
      <c r="D546" t="s">
        <v>346</v>
      </c>
      <c r="E546" t="s">
        <v>346</v>
      </c>
      <c r="F546" t="s">
        <v>477</v>
      </c>
      <c r="G546" t="s">
        <v>152</v>
      </c>
      <c r="H546" t="s">
        <v>320</v>
      </c>
      <c r="I546" t="s">
        <v>347</v>
      </c>
    </row>
    <row r="547" spans="1:9" x14ac:dyDescent="0.25">
      <c r="A547" t="s">
        <v>319</v>
      </c>
      <c r="B547" t="s">
        <v>543</v>
      </c>
      <c r="C547" t="s">
        <v>20</v>
      </c>
      <c r="D547" t="s">
        <v>544</v>
      </c>
      <c r="E547" t="s">
        <v>346</v>
      </c>
      <c r="F547" t="s">
        <v>477</v>
      </c>
      <c r="G547" t="s">
        <v>152</v>
      </c>
      <c r="H547" t="s">
        <v>320</v>
      </c>
      <c r="I547" t="s">
        <v>347</v>
      </c>
    </row>
    <row r="548" spans="1:9" x14ac:dyDescent="0.25">
      <c r="A548" t="s">
        <v>319</v>
      </c>
      <c r="B548" t="s">
        <v>543</v>
      </c>
      <c r="C548" t="s">
        <v>470</v>
      </c>
      <c r="E548" t="s">
        <v>346</v>
      </c>
      <c r="F548" t="s">
        <v>477</v>
      </c>
      <c r="G548" t="s">
        <v>152</v>
      </c>
      <c r="H548" t="s">
        <v>320</v>
      </c>
      <c r="I548" t="s">
        <v>347</v>
      </c>
    </row>
    <row r="549" spans="1:9" x14ac:dyDescent="0.25">
      <c r="A549" t="s">
        <v>319</v>
      </c>
      <c r="B549" t="s">
        <v>543</v>
      </c>
      <c r="C549" t="s">
        <v>471</v>
      </c>
      <c r="E549" t="s">
        <v>346</v>
      </c>
      <c r="F549" t="s">
        <v>477</v>
      </c>
      <c r="G549" t="s">
        <v>152</v>
      </c>
      <c r="H549" t="s">
        <v>320</v>
      </c>
      <c r="I549" t="s">
        <v>347</v>
      </c>
    </row>
    <row r="550" spans="1:9" x14ac:dyDescent="0.25">
      <c r="A550" t="s">
        <v>319</v>
      </c>
      <c r="B550" t="s">
        <v>543</v>
      </c>
      <c r="C550" t="s">
        <v>472</v>
      </c>
      <c r="E550" t="s">
        <v>346</v>
      </c>
      <c r="F550" t="s">
        <v>477</v>
      </c>
      <c r="G550" t="s">
        <v>152</v>
      </c>
      <c r="H550" t="s">
        <v>320</v>
      </c>
      <c r="I550" t="s">
        <v>347</v>
      </c>
    </row>
    <row r="551" spans="1:9" x14ac:dyDescent="0.25">
      <c r="A551" t="s">
        <v>319</v>
      </c>
      <c r="B551" t="s">
        <v>543</v>
      </c>
      <c r="C551" t="s">
        <v>473</v>
      </c>
      <c r="E551" t="s">
        <v>346</v>
      </c>
      <c r="F551" t="s">
        <v>477</v>
      </c>
      <c r="G551" t="s">
        <v>152</v>
      </c>
      <c r="H551" t="s">
        <v>320</v>
      </c>
      <c r="I551" t="s">
        <v>347</v>
      </c>
    </row>
    <row r="552" spans="1:9" x14ac:dyDescent="0.25">
      <c r="A552" t="s">
        <v>319</v>
      </c>
      <c r="B552" t="s">
        <v>543</v>
      </c>
      <c r="C552" t="s">
        <v>474</v>
      </c>
      <c r="E552" t="s">
        <v>346</v>
      </c>
      <c r="F552" t="s">
        <v>477</v>
      </c>
      <c r="G552" t="s">
        <v>152</v>
      </c>
      <c r="H552" t="s">
        <v>320</v>
      </c>
      <c r="I552" t="s">
        <v>347</v>
      </c>
    </row>
    <row r="553" spans="1:9" x14ac:dyDescent="0.25">
      <c r="A553" t="s">
        <v>319</v>
      </c>
      <c r="B553" t="s">
        <v>543</v>
      </c>
      <c r="C553" t="s">
        <v>475</v>
      </c>
      <c r="E553" t="s">
        <v>346</v>
      </c>
      <c r="F553" t="s">
        <v>477</v>
      </c>
      <c r="G553" t="s">
        <v>152</v>
      </c>
      <c r="H553" t="s">
        <v>320</v>
      </c>
      <c r="I553" t="s">
        <v>347</v>
      </c>
    </row>
    <row r="554" spans="1:9" x14ac:dyDescent="0.25">
      <c r="A554" t="s">
        <v>319</v>
      </c>
      <c r="B554" t="s">
        <v>545</v>
      </c>
      <c r="C554" t="s">
        <v>469</v>
      </c>
      <c r="D554" t="s">
        <v>349</v>
      </c>
      <c r="E554" t="s">
        <v>349</v>
      </c>
      <c r="F554" t="s">
        <v>477</v>
      </c>
      <c r="G554" t="s">
        <v>152</v>
      </c>
      <c r="H554" t="s">
        <v>320</v>
      </c>
      <c r="I554" t="s">
        <v>350</v>
      </c>
    </row>
    <row r="555" spans="1:9" x14ac:dyDescent="0.25">
      <c r="A555" t="s">
        <v>319</v>
      </c>
      <c r="B555" t="s">
        <v>545</v>
      </c>
      <c r="C555" t="s">
        <v>20</v>
      </c>
      <c r="D555" t="s">
        <v>546</v>
      </c>
      <c r="E555" t="s">
        <v>349</v>
      </c>
      <c r="F555" t="s">
        <v>477</v>
      </c>
      <c r="G555" t="s">
        <v>152</v>
      </c>
      <c r="H555" t="s">
        <v>320</v>
      </c>
      <c r="I555" t="s">
        <v>350</v>
      </c>
    </row>
    <row r="556" spans="1:9" x14ac:dyDescent="0.25">
      <c r="A556" t="s">
        <v>319</v>
      </c>
      <c r="B556" t="s">
        <v>545</v>
      </c>
      <c r="C556" t="s">
        <v>470</v>
      </c>
      <c r="E556" t="s">
        <v>349</v>
      </c>
      <c r="F556" t="s">
        <v>477</v>
      </c>
      <c r="G556" t="s">
        <v>152</v>
      </c>
      <c r="H556" t="s">
        <v>320</v>
      </c>
      <c r="I556" t="s">
        <v>350</v>
      </c>
    </row>
    <row r="557" spans="1:9" x14ac:dyDescent="0.25">
      <c r="A557" t="s">
        <v>319</v>
      </c>
      <c r="B557" t="s">
        <v>545</v>
      </c>
      <c r="C557" t="s">
        <v>471</v>
      </c>
      <c r="E557" t="s">
        <v>349</v>
      </c>
      <c r="F557" t="s">
        <v>477</v>
      </c>
      <c r="G557" t="s">
        <v>152</v>
      </c>
      <c r="H557" t="s">
        <v>320</v>
      </c>
      <c r="I557" t="s">
        <v>350</v>
      </c>
    </row>
    <row r="558" spans="1:9" x14ac:dyDescent="0.25">
      <c r="A558" t="s">
        <v>319</v>
      </c>
      <c r="B558" t="s">
        <v>545</v>
      </c>
      <c r="C558" t="s">
        <v>472</v>
      </c>
      <c r="E558" t="s">
        <v>349</v>
      </c>
      <c r="F558" t="s">
        <v>477</v>
      </c>
      <c r="G558" t="s">
        <v>152</v>
      </c>
      <c r="H558" t="s">
        <v>320</v>
      </c>
      <c r="I558" t="s">
        <v>350</v>
      </c>
    </row>
    <row r="559" spans="1:9" x14ac:dyDescent="0.25">
      <c r="A559" t="s">
        <v>319</v>
      </c>
      <c r="B559" t="s">
        <v>545</v>
      </c>
      <c r="C559" t="s">
        <v>473</v>
      </c>
      <c r="E559" t="s">
        <v>349</v>
      </c>
      <c r="F559" t="s">
        <v>477</v>
      </c>
      <c r="G559" t="s">
        <v>152</v>
      </c>
      <c r="H559" t="s">
        <v>320</v>
      </c>
      <c r="I559" t="s">
        <v>350</v>
      </c>
    </row>
    <row r="560" spans="1:9" x14ac:dyDescent="0.25">
      <c r="A560" t="s">
        <v>319</v>
      </c>
      <c r="B560" t="s">
        <v>545</v>
      </c>
      <c r="C560" t="s">
        <v>474</v>
      </c>
      <c r="E560" t="s">
        <v>349</v>
      </c>
      <c r="F560" t="s">
        <v>477</v>
      </c>
      <c r="G560" t="s">
        <v>152</v>
      </c>
      <c r="H560" t="s">
        <v>320</v>
      </c>
      <c r="I560" t="s">
        <v>350</v>
      </c>
    </row>
    <row r="561" spans="1:9" x14ac:dyDescent="0.25">
      <c r="A561" t="s">
        <v>319</v>
      </c>
      <c r="B561" t="s">
        <v>545</v>
      </c>
      <c r="C561" t="s">
        <v>475</v>
      </c>
      <c r="E561" t="s">
        <v>349</v>
      </c>
      <c r="F561" t="s">
        <v>477</v>
      </c>
      <c r="G561" t="s">
        <v>152</v>
      </c>
      <c r="H561" t="s">
        <v>320</v>
      </c>
      <c r="I561" t="s">
        <v>350</v>
      </c>
    </row>
    <row r="562" spans="1:9" x14ac:dyDescent="0.25">
      <c r="A562" t="s">
        <v>319</v>
      </c>
      <c r="B562" t="s">
        <v>541</v>
      </c>
      <c r="C562" t="s">
        <v>469</v>
      </c>
      <c r="D562" t="s">
        <v>343</v>
      </c>
      <c r="E562" t="s">
        <v>343</v>
      </c>
      <c r="F562" t="s">
        <v>477</v>
      </c>
      <c r="G562" t="s">
        <v>152</v>
      </c>
      <c r="H562" t="s">
        <v>320</v>
      </c>
      <c r="I562" t="s">
        <v>344</v>
      </c>
    </row>
    <row r="563" spans="1:9" x14ac:dyDescent="0.25">
      <c r="A563" t="s">
        <v>319</v>
      </c>
      <c r="B563" t="s">
        <v>541</v>
      </c>
      <c r="C563" t="s">
        <v>20</v>
      </c>
      <c r="D563" t="s">
        <v>542</v>
      </c>
      <c r="E563" t="s">
        <v>343</v>
      </c>
      <c r="F563" t="s">
        <v>477</v>
      </c>
      <c r="G563" t="s">
        <v>152</v>
      </c>
      <c r="H563" t="s">
        <v>320</v>
      </c>
      <c r="I563" t="s">
        <v>344</v>
      </c>
    </row>
    <row r="564" spans="1:9" x14ac:dyDescent="0.25">
      <c r="A564" t="s">
        <v>319</v>
      </c>
      <c r="B564" t="s">
        <v>541</v>
      </c>
      <c r="C564" t="s">
        <v>470</v>
      </c>
      <c r="E564" t="s">
        <v>343</v>
      </c>
      <c r="F564" t="s">
        <v>477</v>
      </c>
      <c r="G564" t="s">
        <v>152</v>
      </c>
      <c r="H564" t="s">
        <v>320</v>
      </c>
      <c r="I564" t="s">
        <v>344</v>
      </c>
    </row>
    <row r="565" spans="1:9" x14ac:dyDescent="0.25">
      <c r="A565" t="s">
        <v>319</v>
      </c>
      <c r="B565" t="s">
        <v>541</v>
      </c>
      <c r="C565" t="s">
        <v>471</v>
      </c>
      <c r="E565" t="s">
        <v>343</v>
      </c>
      <c r="F565" t="s">
        <v>477</v>
      </c>
      <c r="G565" t="s">
        <v>152</v>
      </c>
      <c r="H565" t="s">
        <v>320</v>
      </c>
      <c r="I565" t="s">
        <v>344</v>
      </c>
    </row>
    <row r="566" spans="1:9" x14ac:dyDescent="0.25">
      <c r="A566" t="s">
        <v>319</v>
      </c>
      <c r="B566" t="s">
        <v>541</v>
      </c>
      <c r="C566" t="s">
        <v>472</v>
      </c>
      <c r="E566" t="s">
        <v>343</v>
      </c>
      <c r="F566" t="s">
        <v>477</v>
      </c>
      <c r="G566" t="s">
        <v>152</v>
      </c>
      <c r="H566" t="s">
        <v>320</v>
      </c>
      <c r="I566" t="s">
        <v>344</v>
      </c>
    </row>
    <row r="567" spans="1:9" x14ac:dyDescent="0.25">
      <c r="A567" t="s">
        <v>319</v>
      </c>
      <c r="B567" t="s">
        <v>541</v>
      </c>
      <c r="C567" t="s">
        <v>473</v>
      </c>
      <c r="E567" t="s">
        <v>343</v>
      </c>
      <c r="F567" t="s">
        <v>477</v>
      </c>
      <c r="G567" t="s">
        <v>152</v>
      </c>
      <c r="H567" t="s">
        <v>320</v>
      </c>
      <c r="I567" t="s">
        <v>344</v>
      </c>
    </row>
    <row r="568" spans="1:9" x14ac:dyDescent="0.25">
      <c r="A568" t="s">
        <v>319</v>
      </c>
      <c r="B568" t="s">
        <v>541</v>
      </c>
      <c r="C568" t="s">
        <v>474</v>
      </c>
      <c r="E568" t="s">
        <v>343</v>
      </c>
      <c r="F568" t="s">
        <v>477</v>
      </c>
      <c r="G568" t="s">
        <v>152</v>
      </c>
      <c r="H568" t="s">
        <v>320</v>
      </c>
      <c r="I568" t="s">
        <v>344</v>
      </c>
    </row>
    <row r="569" spans="1:9" x14ac:dyDescent="0.25">
      <c r="A569" t="s">
        <v>319</v>
      </c>
      <c r="B569" t="s">
        <v>541</v>
      </c>
      <c r="C569" t="s">
        <v>475</v>
      </c>
      <c r="E569" t="s">
        <v>343</v>
      </c>
      <c r="F569" t="s">
        <v>477</v>
      </c>
      <c r="G569" t="s">
        <v>152</v>
      </c>
      <c r="H569" t="s">
        <v>320</v>
      </c>
      <c r="I569" t="s">
        <v>344</v>
      </c>
    </row>
    <row r="570" spans="1:9" x14ac:dyDescent="0.25">
      <c r="A570" t="s">
        <v>319</v>
      </c>
      <c r="B570" t="s">
        <v>540</v>
      </c>
      <c r="C570" t="s">
        <v>469</v>
      </c>
      <c r="D570" t="s">
        <v>341</v>
      </c>
      <c r="E570" t="s">
        <v>341</v>
      </c>
      <c r="F570" t="s">
        <v>477</v>
      </c>
      <c r="G570" t="s">
        <v>133</v>
      </c>
      <c r="H570" t="s">
        <v>312</v>
      </c>
      <c r="I570" t="s">
        <v>34</v>
      </c>
    </row>
    <row r="571" spans="1:9" x14ac:dyDescent="0.25">
      <c r="A571" t="s">
        <v>319</v>
      </c>
      <c r="B571" t="s">
        <v>540</v>
      </c>
      <c r="C571" t="s">
        <v>20</v>
      </c>
      <c r="D571" t="s">
        <v>34</v>
      </c>
      <c r="E571" t="s">
        <v>341</v>
      </c>
      <c r="F571" t="s">
        <v>477</v>
      </c>
      <c r="G571" t="s">
        <v>133</v>
      </c>
      <c r="H571" t="s">
        <v>312</v>
      </c>
      <c r="I571" t="s">
        <v>34</v>
      </c>
    </row>
    <row r="572" spans="1:9" x14ac:dyDescent="0.25">
      <c r="A572" t="s">
        <v>319</v>
      </c>
      <c r="B572" t="s">
        <v>540</v>
      </c>
      <c r="C572" t="s">
        <v>470</v>
      </c>
      <c r="E572" t="s">
        <v>341</v>
      </c>
      <c r="F572" t="s">
        <v>477</v>
      </c>
      <c r="G572" t="s">
        <v>133</v>
      </c>
      <c r="H572" t="s">
        <v>312</v>
      </c>
      <c r="I572" t="s">
        <v>34</v>
      </c>
    </row>
    <row r="573" spans="1:9" x14ac:dyDescent="0.25">
      <c r="A573" t="s">
        <v>319</v>
      </c>
      <c r="B573" t="s">
        <v>540</v>
      </c>
      <c r="C573" t="s">
        <v>471</v>
      </c>
      <c r="E573" t="s">
        <v>341</v>
      </c>
      <c r="F573" t="s">
        <v>477</v>
      </c>
      <c r="G573" t="s">
        <v>133</v>
      </c>
      <c r="H573" t="s">
        <v>312</v>
      </c>
      <c r="I573" t="s">
        <v>34</v>
      </c>
    </row>
    <row r="574" spans="1:9" x14ac:dyDescent="0.25">
      <c r="A574" t="s">
        <v>319</v>
      </c>
      <c r="B574" t="s">
        <v>540</v>
      </c>
      <c r="C574" t="s">
        <v>472</v>
      </c>
      <c r="E574" t="s">
        <v>341</v>
      </c>
      <c r="F574" t="s">
        <v>477</v>
      </c>
      <c r="G574" t="s">
        <v>133</v>
      </c>
      <c r="H574" t="s">
        <v>312</v>
      </c>
      <c r="I574" t="s">
        <v>34</v>
      </c>
    </row>
    <row r="575" spans="1:9" x14ac:dyDescent="0.25">
      <c r="A575" t="s">
        <v>319</v>
      </c>
      <c r="B575" t="s">
        <v>540</v>
      </c>
      <c r="C575" t="s">
        <v>473</v>
      </c>
      <c r="E575" t="s">
        <v>341</v>
      </c>
      <c r="F575" t="s">
        <v>477</v>
      </c>
      <c r="G575" t="s">
        <v>133</v>
      </c>
      <c r="H575" t="s">
        <v>312</v>
      </c>
      <c r="I575" t="s">
        <v>34</v>
      </c>
    </row>
    <row r="576" spans="1:9" x14ac:dyDescent="0.25">
      <c r="A576" t="s">
        <v>319</v>
      </c>
      <c r="B576" t="s">
        <v>540</v>
      </c>
      <c r="C576" t="s">
        <v>474</v>
      </c>
      <c r="E576" t="s">
        <v>341</v>
      </c>
      <c r="F576" t="s">
        <v>477</v>
      </c>
      <c r="G576" t="s">
        <v>133</v>
      </c>
      <c r="H576" t="s">
        <v>312</v>
      </c>
      <c r="I576" t="s">
        <v>34</v>
      </c>
    </row>
    <row r="577" spans="1:9" x14ac:dyDescent="0.25">
      <c r="A577" t="s">
        <v>319</v>
      </c>
      <c r="B577" t="s">
        <v>540</v>
      </c>
      <c r="C577" t="s">
        <v>475</v>
      </c>
      <c r="E577" t="s">
        <v>341</v>
      </c>
      <c r="F577" t="s">
        <v>477</v>
      </c>
      <c r="G577" t="s">
        <v>133</v>
      </c>
      <c r="H577" t="s">
        <v>312</v>
      </c>
      <c r="I577" t="s">
        <v>34</v>
      </c>
    </row>
    <row r="578" spans="1:9" x14ac:dyDescent="0.25">
      <c r="A578" t="s">
        <v>319</v>
      </c>
      <c r="B578" t="s">
        <v>540</v>
      </c>
      <c r="C578" t="s">
        <v>469</v>
      </c>
      <c r="D578" t="s">
        <v>341</v>
      </c>
      <c r="E578" t="s">
        <v>341</v>
      </c>
      <c r="F578" t="s">
        <v>477</v>
      </c>
      <c r="G578" t="s">
        <v>152</v>
      </c>
      <c r="H578" t="s">
        <v>320</v>
      </c>
      <c r="I578" t="s">
        <v>34</v>
      </c>
    </row>
    <row r="579" spans="1:9" x14ac:dyDescent="0.25">
      <c r="A579" t="s">
        <v>319</v>
      </c>
      <c r="B579" t="s">
        <v>540</v>
      </c>
      <c r="C579" t="s">
        <v>20</v>
      </c>
      <c r="D579" t="s">
        <v>34</v>
      </c>
      <c r="E579" t="s">
        <v>341</v>
      </c>
      <c r="F579" t="s">
        <v>477</v>
      </c>
      <c r="G579" t="s">
        <v>152</v>
      </c>
      <c r="H579" t="s">
        <v>320</v>
      </c>
      <c r="I579" t="s">
        <v>34</v>
      </c>
    </row>
    <row r="580" spans="1:9" x14ac:dyDescent="0.25">
      <c r="A580" t="s">
        <v>319</v>
      </c>
      <c r="B580" t="s">
        <v>540</v>
      </c>
      <c r="C580" t="s">
        <v>470</v>
      </c>
      <c r="E580" t="s">
        <v>341</v>
      </c>
      <c r="F580" t="s">
        <v>477</v>
      </c>
      <c r="G580" t="s">
        <v>152</v>
      </c>
      <c r="H580" t="s">
        <v>320</v>
      </c>
      <c r="I580" t="s">
        <v>34</v>
      </c>
    </row>
    <row r="581" spans="1:9" x14ac:dyDescent="0.25">
      <c r="A581" t="s">
        <v>319</v>
      </c>
      <c r="B581" t="s">
        <v>540</v>
      </c>
      <c r="C581" t="s">
        <v>471</v>
      </c>
      <c r="E581" t="s">
        <v>341</v>
      </c>
      <c r="F581" t="s">
        <v>477</v>
      </c>
      <c r="G581" t="s">
        <v>152</v>
      </c>
      <c r="H581" t="s">
        <v>320</v>
      </c>
      <c r="I581" t="s">
        <v>34</v>
      </c>
    </row>
    <row r="582" spans="1:9" x14ac:dyDescent="0.25">
      <c r="A582" t="s">
        <v>319</v>
      </c>
      <c r="B582" t="s">
        <v>540</v>
      </c>
      <c r="C582" t="s">
        <v>472</v>
      </c>
      <c r="E582" t="s">
        <v>341</v>
      </c>
      <c r="F582" t="s">
        <v>477</v>
      </c>
      <c r="G582" t="s">
        <v>152</v>
      </c>
      <c r="H582" t="s">
        <v>320</v>
      </c>
      <c r="I582" t="s">
        <v>34</v>
      </c>
    </row>
    <row r="583" spans="1:9" x14ac:dyDescent="0.25">
      <c r="A583" t="s">
        <v>319</v>
      </c>
      <c r="B583" t="s">
        <v>540</v>
      </c>
      <c r="C583" t="s">
        <v>473</v>
      </c>
      <c r="E583" t="s">
        <v>341</v>
      </c>
      <c r="F583" t="s">
        <v>477</v>
      </c>
      <c r="G583" t="s">
        <v>152</v>
      </c>
      <c r="H583" t="s">
        <v>320</v>
      </c>
      <c r="I583" t="s">
        <v>34</v>
      </c>
    </row>
    <row r="584" spans="1:9" x14ac:dyDescent="0.25">
      <c r="A584" t="s">
        <v>319</v>
      </c>
      <c r="B584" t="s">
        <v>540</v>
      </c>
      <c r="C584" t="s">
        <v>474</v>
      </c>
      <c r="E584" t="s">
        <v>341</v>
      </c>
      <c r="F584" t="s">
        <v>477</v>
      </c>
      <c r="G584" t="s">
        <v>152</v>
      </c>
      <c r="H584" t="s">
        <v>320</v>
      </c>
      <c r="I584" t="s">
        <v>34</v>
      </c>
    </row>
    <row r="585" spans="1:9" x14ac:dyDescent="0.25">
      <c r="A585" t="s">
        <v>319</v>
      </c>
      <c r="B585" t="s">
        <v>540</v>
      </c>
      <c r="C585" t="s">
        <v>475</v>
      </c>
      <c r="E585" t="s">
        <v>341</v>
      </c>
      <c r="F585" t="s">
        <v>477</v>
      </c>
      <c r="G585" t="s">
        <v>152</v>
      </c>
      <c r="H585" t="s">
        <v>320</v>
      </c>
      <c r="I585" t="s">
        <v>34</v>
      </c>
    </row>
    <row r="586" spans="1:9" x14ac:dyDescent="0.25">
      <c r="A586" t="s">
        <v>385</v>
      </c>
      <c r="B586" t="s">
        <v>591</v>
      </c>
      <c r="C586" t="s">
        <v>469</v>
      </c>
      <c r="D586" t="s">
        <v>412</v>
      </c>
      <c r="E586" t="s">
        <v>412</v>
      </c>
      <c r="F586" t="s">
        <v>477</v>
      </c>
      <c r="G586" t="s">
        <v>133</v>
      </c>
      <c r="H586" t="s">
        <v>312</v>
      </c>
      <c r="I586" t="s">
        <v>30</v>
      </c>
    </row>
    <row r="587" spans="1:9" x14ac:dyDescent="0.25">
      <c r="A587" t="s">
        <v>385</v>
      </c>
      <c r="B587" t="s">
        <v>591</v>
      </c>
      <c r="C587" t="s">
        <v>20</v>
      </c>
      <c r="D587" t="s">
        <v>30</v>
      </c>
      <c r="E587" t="s">
        <v>412</v>
      </c>
      <c r="F587" t="s">
        <v>477</v>
      </c>
      <c r="G587" t="s">
        <v>133</v>
      </c>
      <c r="H587" t="s">
        <v>312</v>
      </c>
      <c r="I587" t="s">
        <v>30</v>
      </c>
    </row>
    <row r="588" spans="1:9" x14ac:dyDescent="0.25">
      <c r="A588" t="s">
        <v>385</v>
      </c>
      <c r="B588" t="s">
        <v>591</v>
      </c>
      <c r="C588" t="s">
        <v>470</v>
      </c>
      <c r="D588">
        <v>20</v>
      </c>
      <c r="E588" t="s">
        <v>412</v>
      </c>
      <c r="F588" t="s">
        <v>477</v>
      </c>
      <c r="G588" t="s">
        <v>133</v>
      </c>
      <c r="H588" t="s">
        <v>312</v>
      </c>
      <c r="I588" t="s">
        <v>30</v>
      </c>
    </row>
    <row r="589" spans="1:9" x14ac:dyDescent="0.25">
      <c r="A589" t="s">
        <v>385</v>
      </c>
      <c r="B589" t="s">
        <v>591</v>
      </c>
      <c r="C589" t="s">
        <v>471</v>
      </c>
      <c r="D589">
        <v>2</v>
      </c>
      <c r="E589" t="s">
        <v>412</v>
      </c>
      <c r="F589" t="s">
        <v>477</v>
      </c>
      <c r="G589" t="s">
        <v>133</v>
      </c>
      <c r="H589" t="s">
        <v>312</v>
      </c>
      <c r="I589" t="s">
        <v>30</v>
      </c>
    </row>
    <row r="590" spans="1:9" x14ac:dyDescent="0.25">
      <c r="A590" t="s">
        <v>385</v>
      </c>
      <c r="B590" t="s">
        <v>591</v>
      </c>
      <c r="C590" t="s">
        <v>472</v>
      </c>
      <c r="D590">
        <v>5</v>
      </c>
      <c r="E590" t="s">
        <v>412</v>
      </c>
      <c r="F590" t="s">
        <v>477</v>
      </c>
      <c r="G590" t="s">
        <v>133</v>
      </c>
      <c r="H590" t="s">
        <v>312</v>
      </c>
      <c r="I590" t="s">
        <v>30</v>
      </c>
    </row>
    <row r="591" spans="1:9" x14ac:dyDescent="0.25">
      <c r="A591" t="s">
        <v>385</v>
      </c>
      <c r="B591" t="s">
        <v>591</v>
      </c>
      <c r="C591" t="s">
        <v>473</v>
      </c>
      <c r="D591" t="s">
        <v>585</v>
      </c>
      <c r="E591" t="s">
        <v>412</v>
      </c>
      <c r="F591" t="s">
        <v>477</v>
      </c>
      <c r="G591" t="s">
        <v>133</v>
      </c>
      <c r="H591" t="s">
        <v>312</v>
      </c>
      <c r="I591" t="s">
        <v>30</v>
      </c>
    </row>
    <row r="592" spans="1:9" x14ac:dyDescent="0.25">
      <c r="A592" t="s">
        <v>385</v>
      </c>
      <c r="B592" t="s">
        <v>591</v>
      </c>
      <c r="C592" t="s">
        <v>474</v>
      </c>
      <c r="D592" t="s">
        <v>479</v>
      </c>
      <c r="E592" t="s">
        <v>412</v>
      </c>
      <c r="F592" t="s">
        <v>477</v>
      </c>
      <c r="G592" t="s">
        <v>133</v>
      </c>
      <c r="H592" t="s">
        <v>312</v>
      </c>
      <c r="I592" t="s">
        <v>30</v>
      </c>
    </row>
    <row r="593" spans="1:9" x14ac:dyDescent="0.25">
      <c r="A593" t="s">
        <v>385</v>
      </c>
      <c r="B593" t="s">
        <v>591</v>
      </c>
      <c r="C593" t="s">
        <v>475</v>
      </c>
      <c r="D593" t="s">
        <v>516</v>
      </c>
      <c r="E593" t="s">
        <v>412</v>
      </c>
      <c r="F593" t="s">
        <v>477</v>
      </c>
      <c r="G593" t="s">
        <v>133</v>
      </c>
      <c r="H593" t="s">
        <v>312</v>
      </c>
      <c r="I593" t="s">
        <v>30</v>
      </c>
    </row>
    <row r="594" spans="1:9" x14ac:dyDescent="0.25">
      <c r="A594" t="s">
        <v>385</v>
      </c>
      <c r="B594" t="s">
        <v>594</v>
      </c>
      <c r="C594" t="s">
        <v>469</v>
      </c>
      <c r="D594" t="s">
        <v>417</v>
      </c>
      <c r="E594" t="s">
        <v>417</v>
      </c>
      <c r="F594" t="s">
        <v>477</v>
      </c>
      <c r="G594" t="s">
        <v>133</v>
      </c>
      <c r="H594" t="s">
        <v>312</v>
      </c>
      <c r="I594" t="s">
        <v>7</v>
      </c>
    </row>
    <row r="595" spans="1:9" x14ac:dyDescent="0.25">
      <c r="A595" t="s">
        <v>385</v>
      </c>
      <c r="B595" t="s">
        <v>594</v>
      </c>
      <c r="C595" t="s">
        <v>20</v>
      </c>
      <c r="D595" t="s">
        <v>7</v>
      </c>
      <c r="E595" t="s">
        <v>417</v>
      </c>
      <c r="F595" t="s">
        <v>477</v>
      </c>
      <c r="G595" t="s">
        <v>133</v>
      </c>
      <c r="H595" t="s">
        <v>312</v>
      </c>
      <c r="I595" t="s">
        <v>7</v>
      </c>
    </row>
    <row r="596" spans="1:9" x14ac:dyDescent="0.25">
      <c r="A596" t="s">
        <v>385</v>
      </c>
      <c r="B596" t="s">
        <v>594</v>
      </c>
      <c r="C596" t="s">
        <v>470</v>
      </c>
      <c r="D596">
        <v>20</v>
      </c>
      <c r="E596" t="s">
        <v>417</v>
      </c>
      <c r="F596" t="s">
        <v>477</v>
      </c>
      <c r="G596" t="s">
        <v>133</v>
      </c>
      <c r="H596" t="s">
        <v>312</v>
      </c>
      <c r="I596" t="s">
        <v>7</v>
      </c>
    </row>
    <row r="597" spans="1:9" x14ac:dyDescent="0.25">
      <c r="A597" t="s">
        <v>385</v>
      </c>
      <c r="B597" t="s">
        <v>594</v>
      </c>
      <c r="C597" t="s">
        <v>471</v>
      </c>
      <c r="D597">
        <v>1</v>
      </c>
      <c r="E597" t="s">
        <v>417</v>
      </c>
      <c r="F597" t="s">
        <v>477</v>
      </c>
      <c r="G597" t="s">
        <v>133</v>
      </c>
      <c r="H597" t="s">
        <v>312</v>
      </c>
      <c r="I597" t="s">
        <v>7</v>
      </c>
    </row>
    <row r="598" spans="1:9" x14ac:dyDescent="0.25">
      <c r="A598" t="s">
        <v>385</v>
      </c>
      <c r="B598" t="s">
        <v>594</v>
      </c>
      <c r="C598" t="s">
        <v>472</v>
      </c>
      <c r="D598">
        <v>6</v>
      </c>
      <c r="E598" t="s">
        <v>417</v>
      </c>
      <c r="F598" t="s">
        <v>477</v>
      </c>
      <c r="G598" t="s">
        <v>133</v>
      </c>
      <c r="H598" t="s">
        <v>312</v>
      </c>
      <c r="I598" t="s">
        <v>7</v>
      </c>
    </row>
    <row r="599" spans="1:9" x14ac:dyDescent="0.25">
      <c r="A599" t="s">
        <v>385</v>
      </c>
      <c r="B599" t="s">
        <v>594</v>
      </c>
      <c r="C599" t="s">
        <v>473</v>
      </c>
      <c r="D599" t="s">
        <v>595</v>
      </c>
      <c r="E599" t="s">
        <v>417</v>
      </c>
      <c r="F599" t="s">
        <v>477</v>
      </c>
      <c r="G599" t="s">
        <v>133</v>
      </c>
      <c r="H599" t="s">
        <v>312</v>
      </c>
      <c r="I599" t="s">
        <v>7</v>
      </c>
    </row>
    <row r="600" spans="1:9" x14ac:dyDescent="0.25">
      <c r="A600" t="s">
        <v>385</v>
      </c>
      <c r="B600" t="s">
        <v>594</v>
      </c>
      <c r="C600" t="s">
        <v>474</v>
      </c>
      <c r="D600" t="s">
        <v>479</v>
      </c>
      <c r="E600" t="s">
        <v>417</v>
      </c>
      <c r="F600" t="s">
        <v>477</v>
      </c>
      <c r="G600" t="s">
        <v>133</v>
      </c>
      <c r="H600" t="s">
        <v>312</v>
      </c>
      <c r="I600" t="s">
        <v>7</v>
      </c>
    </row>
    <row r="601" spans="1:9" x14ac:dyDescent="0.25">
      <c r="A601" t="s">
        <v>385</v>
      </c>
      <c r="B601" t="s">
        <v>594</v>
      </c>
      <c r="C601" t="s">
        <v>475</v>
      </c>
      <c r="D601" t="s">
        <v>233</v>
      </c>
      <c r="E601" t="s">
        <v>417</v>
      </c>
      <c r="F601" t="s">
        <v>477</v>
      </c>
      <c r="G601" t="s">
        <v>133</v>
      </c>
      <c r="H601" t="s">
        <v>312</v>
      </c>
      <c r="I601" t="s">
        <v>7</v>
      </c>
    </row>
    <row r="602" spans="1:9" x14ac:dyDescent="0.25">
      <c r="A602" t="s">
        <v>351</v>
      </c>
      <c r="B602" t="s">
        <v>547</v>
      </c>
      <c r="C602" t="s">
        <v>469</v>
      </c>
      <c r="D602" t="s">
        <v>353</v>
      </c>
      <c r="E602" t="s">
        <v>353</v>
      </c>
      <c r="F602" t="s">
        <v>477</v>
      </c>
      <c r="G602" t="s">
        <v>169</v>
      </c>
      <c r="H602" t="s">
        <v>354</v>
      </c>
      <c r="I602" t="s">
        <v>224</v>
      </c>
    </row>
    <row r="603" spans="1:9" x14ac:dyDescent="0.25">
      <c r="A603" t="s">
        <v>351</v>
      </c>
      <c r="B603" t="s">
        <v>547</v>
      </c>
      <c r="C603" t="s">
        <v>20</v>
      </c>
      <c r="D603" t="s">
        <v>224</v>
      </c>
      <c r="E603" t="s">
        <v>353</v>
      </c>
      <c r="F603" t="s">
        <v>477</v>
      </c>
      <c r="G603" t="s">
        <v>169</v>
      </c>
      <c r="H603" t="s">
        <v>354</v>
      </c>
      <c r="I603" t="s">
        <v>224</v>
      </c>
    </row>
    <row r="604" spans="1:9" x14ac:dyDescent="0.25">
      <c r="A604" t="s">
        <v>351</v>
      </c>
      <c r="B604" t="s">
        <v>547</v>
      </c>
      <c r="C604" t="s">
        <v>470</v>
      </c>
      <c r="D604">
        <v>20</v>
      </c>
      <c r="E604" t="s">
        <v>353</v>
      </c>
      <c r="F604" t="s">
        <v>477</v>
      </c>
      <c r="G604" t="s">
        <v>169</v>
      </c>
      <c r="H604" t="s">
        <v>354</v>
      </c>
      <c r="I604" t="s">
        <v>224</v>
      </c>
    </row>
    <row r="605" spans="1:9" x14ac:dyDescent="0.25">
      <c r="A605" t="s">
        <v>351</v>
      </c>
      <c r="B605" t="s">
        <v>547</v>
      </c>
      <c r="C605" t="s">
        <v>471</v>
      </c>
      <c r="D605" t="s">
        <v>492</v>
      </c>
      <c r="E605" t="s">
        <v>353</v>
      </c>
      <c r="F605" t="s">
        <v>477</v>
      </c>
      <c r="G605" t="s">
        <v>169</v>
      </c>
      <c r="H605" t="s">
        <v>354</v>
      </c>
      <c r="I605" t="s">
        <v>224</v>
      </c>
    </row>
    <row r="606" spans="1:9" x14ac:dyDescent="0.25">
      <c r="A606" t="s">
        <v>351</v>
      </c>
      <c r="B606" t="s">
        <v>547</v>
      </c>
      <c r="C606" t="s">
        <v>472</v>
      </c>
      <c r="D606">
        <v>4</v>
      </c>
      <c r="E606" t="s">
        <v>353</v>
      </c>
      <c r="F606" t="s">
        <v>477</v>
      </c>
      <c r="G606" t="s">
        <v>169</v>
      </c>
      <c r="H606" t="s">
        <v>354</v>
      </c>
      <c r="I606" t="s">
        <v>224</v>
      </c>
    </row>
    <row r="607" spans="1:9" x14ac:dyDescent="0.25">
      <c r="A607" t="s">
        <v>351</v>
      </c>
      <c r="B607" t="s">
        <v>547</v>
      </c>
      <c r="C607" t="s">
        <v>473</v>
      </c>
      <c r="D607" t="s">
        <v>548</v>
      </c>
      <c r="E607" t="s">
        <v>353</v>
      </c>
      <c r="F607" t="s">
        <v>477</v>
      </c>
      <c r="G607" t="s">
        <v>169</v>
      </c>
      <c r="H607" t="s">
        <v>354</v>
      </c>
      <c r="I607" t="s">
        <v>224</v>
      </c>
    </row>
    <row r="608" spans="1:9" x14ac:dyDescent="0.25">
      <c r="A608" t="s">
        <v>351</v>
      </c>
      <c r="B608" t="s">
        <v>547</v>
      </c>
      <c r="C608" t="s">
        <v>474</v>
      </c>
      <c r="D608" t="s">
        <v>494</v>
      </c>
      <c r="E608" t="s">
        <v>353</v>
      </c>
      <c r="F608" t="s">
        <v>477</v>
      </c>
      <c r="G608" t="s">
        <v>169</v>
      </c>
      <c r="H608" t="s">
        <v>354</v>
      </c>
      <c r="I608" t="s">
        <v>224</v>
      </c>
    </row>
    <row r="609" spans="1:9" x14ac:dyDescent="0.25">
      <c r="A609" t="s">
        <v>351</v>
      </c>
      <c r="B609" t="s">
        <v>547</v>
      </c>
      <c r="C609" t="s">
        <v>475</v>
      </c>
      <c r="D609" t="s">
        <v>169</v>
      </c>
      <c r="E609" t="s">
        <v>353</v>
      </c>
      <c r="F609" t="s">
        <v>477</v>
      </c>
      <c r="G609" t="s">
        <v>169</v>
      </c>
      <c r="H609" t="s">
        <v>354</v>
      </c>
      <c r="I609" t="s">
        <v>224</v>
      </c>
    </row>
    <row r="610" spans="1:9" x14ac:dyDescent="0.25">
      <c r="A610" t="s">
        <v>351</v>
      </c>
      <c r="B610" t="s">
        <v>549</v>
      </c>
      <c r="C610" t="s">
        <v>469</v>
      </c>
      <c r="D610" t="s">
        <v>356</v>
      </c>
      <c r="E610" t="s">
        <v>356</v>
      </c>
      <c r="F610" t="s">
        <v>477</v>
      </c>
      <c r="G610" t="s">
        <v>169</v>
      </c>
      <c r="H610" t="s">
        <v>354</v>
      </c>
      <c r="I610" t="s">
        <v>357</v>
      </c>
    </row>
    <row r="611" spans="1:9" x14ac:dyDescent="0.25">
      <c r="A611" t="s">
        <v>351</v>
      </c>
      <c r="B611" t="s">
        <v>549</v>
      </c>
      <c r="C611" t="s">
        <v>20</v>
      </c>
      <c r="D611" t="s">
        <v>357</v>
      </c>
      <c r="E611" t="s">
        <v>356</v>
      </c>
      <c r="F611" t="s">
        <v>477</v>
      </c>
      <c r="G611" t="s">
        <v>169</v>
      </c>
      <c r="H611" t="s">
        <v>354</v>
      </c>
      <c r="I611" t="s">
        <v>357</v>
      </c>
    </row>
    <row r="612" spans="1:9" x14ac:dyDescent="0.25">
      <c r="A612" t="s">
        <v>351</v>
      </c>
      <c r="B612" t="s">
        <v>549</v>
      </c>
      <c r="C612" t="s">
        <v>470</v>
      </c>
      <c r="D612">
        <v>20</v>
      </c>
      <c r="E612" t="s">
        <v>356</v>
      </c>
      <c r="F612" t="s">
        <v>477</v>
      </c>
      <c r="G612" t="s">
        <v>169</v>
      </c>
      <c r="H612" t="s">
        <v>354</v>
      </c>
      <c r="I612" t="s">
        <v>357</v>
      </c>
    </row>
    <row r="613" spans="1:9" x14ac:dyDescent="0.25">
      <c r="A613" t="s">
        <v>351</v>
      </c>
      <c r="B613" t="s">
        <v>549</v>
      </c>
      <c r="C613" t="s">
        <v>471</v>
      </c>
      <c r="D613">
        <v>1</v>
      </c>
      <c r="E613" t="s">
        <v>356</v>
      </c>
      <c r="F613" t="s">
        <v>477</v>
      </c>
      <c r="G613" t="s">
        <v>169</v>
      </c>
      <c r="H613" t="s">
        <v>354</v>
      </c>
      <c r="I613" t="s">
        <v>357</v>
      </c>
    </row>
    <row r="614" spans="1:9" x14ac:dyDescent="0.25">
      <c r="A614" t="s">
        <v>351</v>
      </c>
      <c r="B614" t="s">
        <v>549</v>
      </c>
      <c r="C614" t="s">
        <v>472</v>
      </c>
      <c r="D614">
        <v>4</v>
      </c>
      <c r="E614" t="s">
        <v>356</v>
      </c>
      <c r="F614" t="s">
        <v>477</v>
      </c>
      <c r="G614" t="s">
        <v>169</v>
      </c>
      <c r="H614" t="s">
        <v>354</v>
      </c>
      <c r="I614" t="s">
        <v>357</v>
      </c>
    </row>
    <row r="615" spans="1:9" x14ac:dyDescent="0.25">
      <c r="A615" t="s">
        <v>351</v>
      </c>
      <c r="B615" t="s">
        <v>549</v>
      </c>
      <c r="C615" t="s">
        <v>473</v>
      </c>
      <c r="D615" t="s">
        <v>550</v>
      </c>
      <c r="E615" t="s">
        <v>356</v>
      </c>
      <c r="F615" t="s">
        <v>477</v>
      </c>
      <c r="G615" t="s">
        <v>169</v>
      </c>
      <c r="H615" t="s">
        <v>354</v>
      </c>
      <c r="I615" t="s">
        <v>357</v>
      </c>
    </row>
    <row r="616" spans="1:9" x14ac:dyDescent="0.25">
      <c r="A616" t="s">
        <v>351</v>
      </c>
      <c r="B616" t="s">
        <v>549</v>
      </c>
      <c r="C616" t="s">
        <v>474</v>
      </c>
      <c r="D616" t="s">
        <v>479</v>
      </c>
      <c r="E616" t="s">
        <v>356</v>
      </c>
      <c r="F616" t="s">
        <v>477</v>
      </c>
      <c r="G616" t="s">
        <v>169</v>
      </c>
      <c r="H616" t="s">
        <v>354</v>
      </c>
      <c r="I616" t="s">
        <v>357</v>
      </c>
    </row>
    <row r="617" spans="1:9" x14ac:dyDescent="0.25">
      <c r="A617" t="s">
        <v>351</v>
      </c>
      <c r="B617" t="s">
        <v>549</v>
      </c>
      <c r="C617" t="s">
        <v>475</v>
      </c>
      <c r="D617" t="s">
        <v>169</v>
      </c>
      <c r="E617" t="s">
        <v>356</v>
      </c>
      <c r="F617" t="s">
        <v>477</v>
      </c>
      <c r="G617" t="s">
        <v>169</v>
      </c>
      <c r="H617" t="s">
        <v>354</v>
      </c>
      <c r="I617" t="s">
        <v>357</v>
      </c>
    </row>
    <row r="618" spans="1:9" x14ac:dyDescent="0.25">
      <c r="A618" t="s">
        <v>351</v>
      </c>
      <c r="B618" t="s">
        <v>551</v>
      </c>
      <c r="C618" t="s">
        <v>469</v>
      </c>
      <c r="D618" t="s">
        <v>359</v>
      </c>
      <c r="E618" t="s">
        <v>359</v>
      </c>
      <c r="F618" t="s">
        <v>477</v>
      </c>
      <c r="G618" t="s">
        <v>169</v>
      </c>
      <c r="H618" t="s">
        <v>354</v>
      </c>
      <c r="I618" t="s">
        <v>360</v>
      </c>
    </row>
    <row r="619" spans="1:9" x14ac:dyDescent="0.25">
      <c r="A619" t="s">
        <v>351</v>
      </c>
      <c r="B619" t="s">
        <v>551</v>
      </c>
      <c r="C619" t="s">
        <v>20</v>
      </c>
      <c r="D619" t="s">
        <v>360</v>
      </c>
      <c r="E619" t="s">
        <v>359</v>
      </c>
      <c r="F619" t="s">
        <v>477</v>
      </c>
      <c r="G619" t="s">
        <v>169</v>
      </c>
      <c r="H619" t="s">
        <v>354</v>
      </c>
      <c r="I619" t="s">
        <v>360</v>
      </c>
    </row>
    <row r="620" spans="1:9" x14ac:dyDescent="0.25">
      <c r="A620" t="s">
        <v>351</v>
      </c>
      <c r="B620" t="s">
        <v>551</v>
      </c>
      <c r="C620" t="s">
        <v>470</v>
      </c>
      <c r="D620">
        <v>20</v>
      </c>
      <c r="E620" t="s">
        <v>359</v>
      </c>
      <c r="F620" t="s">
        <v>477</v>
      </c>
      <c r="G620" t="s">
        <v>169</v>
      </c>
      <c r="H620" t="s">
        <v>354</v>
      </c>
      <c r="I620" t="s">
        <v>360</v>
      </c>
    </row>
    <row r="621" spans="1:9" x14ac:dyDescent="0.25">
      <c r="A621" t="s">
        <v>351</v>
      </c>
      <c r="B621" t="s">
        <v>551</v>
      </c>
      <c r="C621" t="s">
        <v>471</v>
      </c>
      <c r="D621">
        <v>2</v>
      </c>
      <c r="E621" t="s">
        <v>359</v>
      </c>
      <c r="F621" t="s">
        <v>477</v>
      </c>
      <c r="G621" t="s">
        <v>169</v>
      </c>
      <c r="H621" t="s">
        <v>354</v>
      </c>
      <c r="I621" t="s">
        <v>360</v>
      </c>
    </row>
    <row r="622" spans="1:9" x14ac:dyDescent="0.25">
      <c r="A622" t="s">
        <v>351</v>
      </c>
      <c r="B622" t="s">
        <v>551</v>
      </c>
      <c r="C622" t="s">
        <v>472</v>
      </c>
      <c r="D622">
        <v>4</v>
      </c>
      <c r="E622" t="s">
        <v>359</v>
      </c>
      <c r="F622" t="s">
        <v>477</v>
      </c>
      <c r="G622" t="s">
        <v>169</v>
      </c>
      <c r="H622" t="s">
        <v>354</v>
      </c>
      <c r="I622" t="s">
        <v>360</v>
      </c>
    </row>
    <row r="623" spans="1:9" x14ac:dyDescent="0.25">
      <c r="A623" t="s">
        <v>351</v>
      </c>
      <c r="B623" t="s">
        <v>551</v>
      </c>
      <c r="C623" t="s">
        <v>473</v>
      </c>
      <c r="D623" t="s">
        <v>552</v>
      </c>
      <c r="E623" t="s">
        <v>359</v>
      </c>
      <c r="F623" t="s">
        <v>477</v>
      </c>
      <c r="G623" t="s">
        <v>169</v>
      </c>
      <c r="H623" t="s">
        <v>354</v>
      </c>
      <c r="I623" t="s">
        <v>360</v>
      </c>
    </row>
    <row r="624" spans="1:9" x14ac:dyDescent="0.25">
      <c r="A624" t="s">
        <v>351</v>
      </c>
      <c r="B624" t="s">
        <v>551</v>
      </c>
      <c r="C624" t="s">
        <v>474</v>
      </c>
      <c r="D624" t="s">
        <v>479</v>
      </c>
      <c r="E624" t="s">
        <v>359</v>
      </c>
      <c r="F624" t="s">
        <v>477</v>
      </c>
      <c r="G624" t="s">
        <v>169</v>
      </c>
      <c r="H624" t="s">
        <v>354</v>
      </c>
      <c r="I624" t="s">
        <v>360</v>
      </c>
    </row>
    <row r="625" spans="1:9" x14ac:dyDescent="0.25">
      <c r="A625" t="s">
        <v>351</v>
      </c>
      <c r="B625" t="s">
        <v>551</v>
      </c>
      <c r="C625" t="s">
        <v>475</v>
      </c>
      <c r="D625" t="s">
        <v>169</v>
      </c>
      <c r="E625" t="s">
        <v>359</v>
      </c>
      <c r="F625" t="s">
        <v>477</v>
      </c>
      <c r="G625" t="s">
        <v>169</v>
      </c>
      <c r="H625" t="s">
        <v>354</v>
      </c>
      <c r="I625" t="s">
        <v>360</v>
      </c>
    </row>
    <row r="626" spans="1:9" x14ac:dyDescent="0.25">
      <c r="A626" t="s">
        <v>351</v>
      </c>
      <c r="B626" t="s">
        <v>553</v>
      </c>
      <c r="C626" t="s">
        <v>469</v>
      </c>
      <c r="D626" t="s">
        <v>362</v>
      </c>
      <c r="E626" t="s">
        <v>362</v>
      </c>
      <c r="F626" t="s">
        <v>477</v>
      </c>
      <c r="G626" t="s">
        <v>169</v>
      </c>
      <c r="H626" t="s">
        <v>354</v>
      </c>
      <c r="I626" t="s">
        <v>213</v>
      </c>
    </row>
    <row r="627" spans="1:9" x14ac:dyDescent="0.25">
      <c r="A627" t="s">
        <v>351</v>
      </c>
      <c r="B627" t="s">
        <v>553</v>
      </c>
      <c r="C627" t="s">
        <v>20</v>
      </c>
      <c r="D627" t="s">
        <v>213</v>
      </c>
      <c r="E627" t="s">
        <v>362</v>
      </c>
      <c r="F627" t="s">
        <v>477</v>
      </c>
      <c r="G627" t="s">
        <v>169</v>
      </c>
      <c r="H627" t="s">
        <v>354</v>
      </c>
      <c r="I627" t="s">
        <v>213</v>
      </c>
    </row>
    <row r="628" spans="1:9" x14ac:dyDescent="0.25">
      <c r="A628" t="s">
        <v>351</v>
      </c>
      <c r="B628" t="s">
        <v>553</v>
      </c>
      <c r="C628" t="s">
        <v>470</v>
      </c>
      <c r="D628">
        <v>20</v>
      </c>
      <c r="E628" t="s">
        <v>362</v>
      </c>
      <c r="F628" t="s">
        <v>477</v>
      </c>
      <c r="G628" t="s">
        <v>169</v>
      </c>
      <c r="H628" t="s">
        <v>354</v>
      </c>
      <c r="I628" t="s">
        <v>213</v>
      </c>
    </row>
    <row r="629" spans="1:9" x14ac:dyDescent="0.25">
      <c r="A629" t="s">
        <v>351</v>
      </c>
      <c r="B629" t="s">
        <v>553</v>
      </c>
      <c r="C629" t="s">
        <v>471</v>
      </c>
      <c r="D629">
        <v>2</v>
      </c>
      <c r="E629" t="s">
        <v>362</v>
      </c>
      <c r="F629" t="s">
        <v>477</v>
      </c>
      <c r="G629" t="s">
        <v>169</v>
      </c>
      <c r="H629" t="s">
        <v>354</v>
      </c>
      <c r="I629" t="s">
        <v>213</v>
      </c>
    </row>
    <row r="630" spans="1:9" x14ac:dyDescent="0.25">
      <c r="A630" t="s">
        <v>351</v>
      </c>
      <c r="B630" t="s">
        <v>553</v>
      </c>
      <c r="C630" t="s">
        <v>472</v>
      </c>
      <c r="D630">
        <v>4</v>
      </c>
      <c r="E630" t="s">
        <v>362</v>
      </c>
      <c r="F630" t="s">
        <v>477</v>
      </c>
      <c r="G630" t="s">
        <v>169</v>
      </c>
      <c r="H630" t="s">
        <v>354</v>
      </c>
      <c r="I630" t="s">
        <v>213</v>
      </c>
    </row>
    <row r="631" spans="1:9" x14ac:dyDescent="0.25">
      <c r="A631" t="s">
        <v>351</v>
      </c>
      <c r="B631" t="s">
        <v>553</v>
      </c>
      <c r="C631" t="s">
        <v>473</v>
      </c>
      <c r="D631" t="s">
        <v>554</v>
      </c>
      <c r="E631" t="s">
        <v>362</v>
      </c>
      <c r="F631" t="s">
        <v>477</v>
      </c>
      <c r="G631" t="s">
        <v>169</v>
      </c>
      <c r="H631" t="s">
        <v>354</v>
      </c>
      <c r="I631" t="s">
        <v>213</v>
      </c>
    </row>
    <row r="632" spans="1:9" x14ac:dyDescent="0.25">
      <c r="A632" t="s">
        <v>351</v>
      </c>
      <c r="B632" t="s">
        <v>553</v>
      </c>
      <c r="C632" t="s">
        <v>474</v>
      </c>
      <c r="D632" t="s">
        <v>479</v>
      </c>
      <c r="E632" t="s">
        <v>362</v>
      </c>
      <c r="F632" t="s">
        <v>477</v>
      </c>
      <c r="G632" t="s">
        <v>169</v>
      </c>
      <c r="H632" t="s">
        <v>354</v>
      </c>
      <c r="I632" t="s">
        <v>213</v>
      </c>
    </row>
    <row r="633" spans="1:9" x14ac:dyDescent="0.25">
      <c r="A633" t="s">
        <v>351</v>
      </c>
      <c r="B633" t="s">
        <v>553</v>
      </c>
      <c r="C633" t="s">
        <v>475</v>
      </c>
      <c r="D633" t="s">
        <v>169</v>
      </c>
      <c r="E633" t="s">
        <v>362</v>
      </c>
      <c r="F633" t="s">
        <v>477</v>
      </c>
      <c r="G633" t="s">
        <v>169</v>
      </c>
      <c r="H633" t="s">
        <v>354</v>
      </c>
      <c r="I633" t="s">
        <v>213</v>
      </c>
    </row>
    <row r="634" spans="1:9" x14ac:dyDescent="0.25">
      <c r="A634" t="s">
        <v>351</v>
      </c>
      <c r="B634" t="s">
        <v>555</v>
      </c>
      <c r="C634" t="s">
        <v>469</v>
      </c>
      <c r="D634" t="s">
        <v>372</v>
      </c>
      <c r="E634" t="s">
        <v>364</v>
      </c>
      <c r="F634" t="s">
        <v>477</v>
      </c>
      <c r="G634" t="s">
        <v>169</v>
      </c>
      <c r="H634" t="s">
        <v>354</v>
      </c>
      <c r="I634" t="s">
        <v>365</v>
      </c>
    </row>
    <row r="635" spans="1:9" x14ac:dyDescent="0.25">
      <c r="A635" t="s">
        <v>351</v>
      </c>
      <c r="B635" t="s">
        <v>555</v>
      </c>
      <c r="C635" t="s">
        <v>20</v>
      </c>
      <c r="D635" t="s">
        <v>365</v>
      </c>
      <c r="E635" t="s">
        <v>364</v>
      </c>
      <c r="F635" t="s">
        <v>477</v>
      </c>
      <c r="G635" t="s">
        <v>169</v>
      </c>
      <c r="H635" t="s">
        <v>354</v>
      </c>
      <c r="I635" t="s">
        <v>365</v>
      </c>
    </row>
    <row r="636" spans="1:9" x14ac:dyDescent="0.25">
      <c r="A636" t="s">
        <v>351</v>
      </c>
      <c r="B636" t="s">
        <v>555</v>
      </c>
      <c r="C636" t="s">
        <v>470</v>
      </c>
      <c r="D636">
        <v>20</v>
      </c>
      <c r="E636" t="s">
        <v>364</v>
      </c>
      <c r="F636" t="s">
        <v>477</v>
      </c>
      <c r="G636" t="s">
        <v>169</v>
      </c>
      <c r="H636" t="s">
        <v>354</v>
      </c>
      <c r="I636" t="s">
        <v>365</v>
      </c>
    </row>
    <row r="637" spans="1:9" x14ac:dyDescent="0.25">
      <c r="A637" t="s">
        <v>351</v>
      </c>
      <c r="B637" t="s">
        <v>555</v>
      </c>
      <c r="C637" t="s">
        <v>471</v>
      </c>
      <c r="D637" t="s">
        <v>492</v>
      </c>
      <c r="E637" t="s">
        <v>364</v>
      </c>
      <c r="F637" t="s">
        <v>477</v>
      </c>
      <c r="G637" t="s">
        <v>169</v>
      </c>
      <c r="H637" t="s">
        <v>354</v>
      </c>
      <c r="I637" t="s">
        <v>365</v>
      </c>
    </row>
    <row r="638" spans="1:9" x14ac:dyDescent="0.25">
      <c r="A638" t="s">
        <v>351</v>
      </c>
      <c r="B638" t="s">
        <v>555</v>
      </c>
      <c r="C638" t="s">
        <v>472</v>
      </c>
      <c r="D638">
        <v>5</v>
      </c>
      <c r="E638" t="s">
        <v>364</v>
      </c>
      <c r="F638" t="s">
        <v>477</v>
      </c>
      <c r="G638" t="s">
        <v>169</v>
      </c>
      <c r="H638" t="s">
        <v>354</v>
      </c>
      <c r="I638" t="s">
        <v>365</v>
      </c>
    </row>
    <row r="639" spans="1:9" x14ac:dyDescent="0.25">
      <c r="A639" t="s">
        <v>351</v>
      </c>
      <c r="B639" t="s">
        <v>555</v>
      </c>
      <c r="C639" t="s">
        <v>473</v>
      </c>
      <c r="D639" t="s">
        <v>548</v>
      </c>
      <c r="E639" t="s">
        <v>364</v>
      </c>
      <c r="F639" t="s">
        <v>477</v>
      </c>
      <c r="G639" t="s">
        <v>169</v>
      </c>
      <c r="H639" t="s">
        <v>354</v>
      </c>
      <c r="I639" t="s">
        <v>365</v>
      </c>
    </row>
    <row r="640" spans="1:9" x14ac:dyDescent="0.25">
      <c r="A640" t="s">
        <v>351</v>
      </c>
      <c r="B640" t="s">
        <v>555</v>
      </c>
      <c r="C640" t="s">
        <v>474</v>
      </c>
      <c r="D640" t="s">
        <v>494</v>
      </c>
      <c r="E640" t="s">
        <v>364</v>
      </c>
      <c r="F640" t="s">
        <v>477</v>
      </c>
      <c r="G640" t="s">
        <v>169</v>
      </c>
      <c r="H640" t="s">
        <v>354</v>
      </c>
      <c r="I640" t="s">
        <v>365</v>
      </c>
    </row>
    <row r="641" spans="1:9" x14ac:dyDescent="0.25">
      <c r="A641" t="s">
        <v>351</v>
      </c>
      <c r="B641" t="s">
        <v>555</v>
      </c>
      <c r="C641" t="s">
        <v>475</v>
      </c>
      <c r="D641" t="s">
        <v>169</v>
      </c>
      <c r="E641" t="s">
        <v>364</v>
      </c>
      <c r="F641" t="s">
        <v>477</v>
      </c>
      <c r="G641" t="s">
        <v>169</v>
      </c>
      <c r="H641" t="s">
        <v>354</v>
      </c>
      <c r="I641" t="s">
        <v>365</v>
      </c>
    </row>
    <row r="642" spans="1:9" x14ac:dyDescent="0.25">
      <c r="A642" t="s">
        <v>351</v>
      </c>
      <c r="B642" t="s">
        <v>556</v>
      </c>
      <c r="C642" t="s">
        <v>469</v>
      </c>
      <c r="D642" t="s">
        <v>367</v>
      </c>
      <c r="E642" t="s">
        <v>367</v>
      </c>
      <c r="F642" t="s">
        <v>477</v>
      </c>
      <c r="G642" t="s">
        <v>169</v>
      </c>
      <c r="H642" t="s">
        <v>354</v>
      </c>
      <c r="I642" t="s">
        <v>231</v>
      </c>
    </row>
    <row r="643" spans="1:9" x14ac:dyDescent="0.25">
      <c r="A643" t="s">
        <v>351</v>
      </c>
      <c r="B643" t="s">
        <v>556</v>
      </c>
      <c r="C643" t="s">
        <v>20</v>
      </c>
      <c r="D643" t="s">
        <v>231</v>
      </c>
      <c r="E643" t="s">
        <v>367</v>
      </c>
      <c r="F643" t="s">
        <v>477</v>
      </c>
      <c r="G643" t="s">
        <v>169</v>
      </c>
      <c r="H643" t="s">
        <v>354</v>
      </c>
      <c r="I643" t="s">
        <v>231</v>
      </c>
    </row>
    <row r="644" spans="1:9" x14ac:dyDescent="0.25">
      <c r="A644" t="s">
        <v>351</v>
      </c>
      <c r="B644" t="s">
        <v>556</v>
      </c>
      <c r="C644" t="s">
        <v>470</v>
      </c>
      <c r="D644">
        <v>20</v>
      </c>
      <c r="E644" t="s">
        <v>367</v>
      </c>
      <c r="F644" t="s">
        <v>477</v>
      </c>
      <c r="G644" t="s">
        <v>169</v>
      </c>
      <c r="H644" t="s">
        <v>354</v>
      </c>
      <c r="I644" t="s">
        <v>231</v>
      </c>
    </row>
    <row r="645" spans="1:9" x14ac:dyDescent="0.25">
      <c r="A645" t="s">
        <v>351</v>
      </c>
      <c r="B645" t="s">
        <v>556</v>
      </c>
      <c r="C645" t="s">
        <v>471</v>
      </c>
      <c r="D645">
        <v>1</v>
      </c>
      <c r="E645" t="s">
        <v>367</v>
      </c>
      <c r="F645" t="s">
        <v>477</v>
      </c>
      <c r="G645" t="s">
        <v>169</v>
      </c>
      <c r="H645" t="s">
        <v>354</v>
      </c>
      <c r="I645" t="s">
        <v>231</v>
      </c>
    </row>
    <row r="646" spans="1:9" x14ac:dyDescent="0.25">
      <c r="A646" t="s">
        <v>351</v>
      </c>
      <c r="B646" t="s">
        <v>556</v>
      </c>
      <c r="C646" t="s">
        <v>472</v>
      </c>
      <c r="D646">
        <v>5</v>
      </c>
      <c r="E646" t="s">
        <v>367</v>
      </c>
      <c r="F646" t="s">
        <v>477</v>
      </c>
      <c r="G646" t="s">
        <v>169</v>
      </c>
      <c r="H646" t="s">
        <v>354</v>
      </c>
      <c r="I646" t="s">
        <v>231</v>
      </c>
    </row>
    <row r="647" spans="1:9" x14ac:dyDescent="0.25">
      <c r="A647" t="s">
        <v>351</v>
      </c>
      <c r="B647" t="s">
        <v>556</v>
      </c>
      <c r="C647" t="s">
        <v>473</v>
      </c>
      <c r="D647" t="s">
        <v>557</v>
      </c>
      <c r="E647" t="s">
        <v>367</v>
      </c>
      <c r="F647" t="s">
        <v>477</v>
      </c>
      <c r="G647" t="s">
        <v>169</v>
      </c>
      <c r="H647" t="s">
        <v>354</v>
      </c>
      <c r="I647" t="s">
        <v>231</v>
      </c>
    </row>
    <row r="648" spans="1:9" x14ac:dyDescent="0.25">
      <c r="A648" t="s">
        <v>351</v>
      </c>
      <c r="B648" t="s">
        <v>556</v>
      </c>
      <c r="C648" t="s">
        <v>474</v>
      </c>
      <c r="D648" t="s">
        <v>479</v>
      </c>
      <c r="E648" t="s">
        <v>367</v>
      </c>
      <c r="F648" t="s">
        <v>477</v>
      </c>
      <c r="G648" t="s">
        <v>169</v>
      </c>
      <c r="H648" t="s">
        <v>354</v>
      </c>
      <c r="I648" t="s">
        <v>231</v>
      </c>
    </row>
    <row r="649" spans="1:9" x14ac:dyDescent="0.25">
      <c r="A649" t="s">
        <v>351</v>
      </c>
      <c r="B649" t="s">
        <v>556</v>
      </c>
      <c r="C649" t="s">
        <v>475</v>
      </c>
      <c r="D649" t="s">
        <v>169</v>
      </c>
      <c r="E649" t="s">
        <v>367</v>
      </c>
      <c r="F649" t="s">
        <v>477</v>
      </c>
      <c r="G649" t="s">
        <v>169</v>
      </c>
      <c r="H649" t="s">
        <v>354</v>
      </c>
      <c r="I649" t="s">
        <v>231</v>
      </c>
    </row>
    <row r="650" spans="1:9" x14ac:dyDescent="0.25">
      <c r="A650" t="s">
        <v>351</v>
      </c>
      <c r="B650" t="s">
        <v>558</v>
      </c>
      <c r="C650" t="s">
        <v>469</v>
      </c>
      <c r="D650" t="s">
        <v>369</v>
      </c>
      <c r="E650" t="s">
        <v>369</v>
      </c>
      <c r="F650" t="s">
        <v>477</v>
      </c>
      <c r="G650" t="s">
        <v>169</v>
      </c>
      <c r="H650" t="s">
        <v>354</v>
      </c>
      <c r="I650" t="s">
        <v>370</v>
      </c>
    </row>
    <row r="651" spans="1:9" x14ac:dyDescent="0.25">
      <c r="A651" t="s">
        <v>351</v>
      </c>
      <c r="B651" t="s">
        <v>558</v>
      </c>
      <c r="C651" t="s">
        <v>20</v>
      </c>
      <c r="D651" t="s">
        <v>370</v>
      </c>
      <c r="E651" t="s">
        <v>369</v>
      </c>
      <c r="F651" t="s">
        <v>477</v>
      </c>
      <c r="G651" t="s">
        <v>169</v>
      </c>
      <c r="H651" t="s">
        <v>354</v>
      </c>
      <c r="I651" t="s">
        <v>370</v>
      </c>
    </row>
    <row r="652" spans="1:9" x14ac:dyDescent="0.25">
      <c r="A652" t="s">
        <v>351</v>
      </c>
      <c r="B652" t="s">
        <v>558</v>
      </c>
      <c r="C652" t="s">
        <v>470</v>
      </c>
      <c r="D652">
        <v>20</v>
      </c>
      <c r="E652" t="s">
        <v>369</v>
      </c>
      <c r="F652" t="s">
        <v>477</v>
      </c>
      <c r="G652" t="s">
        <v>169</v>
      </c>
      <c r="H652" t="s">
        <v>354</v>
      </c>
      <c r="I652" t="s">
        <v>370</v>
      </c>
    </row>
    <row r="653" spans="1:9" x14ac:dyDescent="0.25">
      <c r="A653" t="s">
        <v>351</v>
      </c>
      <c r="B653" t="s">
        <v>558</v>
      </c>
      <c r="C653" t="s">
        <v>471</v>
      </c>
      <c r="D653">
        <v>2</v>
      </c>
      <c r="E653" t="s">
        <v>369</v>
      </c>
      <c r="F653" t="s">
        <v>477</v>
      </c>
      <c r="G653" t="s">
        <v>169</v>
      </c>
      <c r="H653" t="s">
        <v>354</v>
      </c>
      <c r="I653" t="s">
        <v>370</v>
      </c>
    </row>
    <row r="654" spans="1:9" x14ac:dyDescent="0.25">
      <c r="A654" t="s">
        <v>351</v>
      </c>
      <c r="B654" t="s">
        <v>558</v>
      </c>
      <c r="C654" t="s">
        <v>472</v>
      </c>
      <c r="D654">
        <v>5</v>
      </c>
      <c r="E654" t="s">
        <v>369</v>
      </c>
      <c r="F654" t="s">
        <v>477</v>
      </c>
      <c r="G654" t="s">
        <v>169</v>
      </c>
      <c r="H654" t="s">
        <v>354</v>
      </c>
      <c r="I654" t="s">
        <v>370</v>
      </c>
    </row>
    <row r="655" spans="1:9" x14ac:dyDescent="0.25">
      <c r="A655" t="s">
        <v>351</v>
      </c>
      <c r="B655" t="s">
        <v>558</v>
      </c>
      <c r="C655" t="s">
        <v>473</v>
      </c>
      <c r="D655" t="s">
        <v>559</v>
      </c>
      <c r="E655" t="s">
        <v>369</v>
      </c>
      <c r="F655" t="s">
        <v>477</v>
      </c>
      <c r="G655" t="s">
        <v>169</v>
      </c>
      <c r="H655" t="s">
        <v>354</v>
      </c>
      <c r="I655" t="s">
        <v>370</v>
      </c>
    </row>
    <row r="656" spans="1:9" x14ac:dyDescent="0.25">
      <c r="A656" t="s">
        <v>351</v>
      </c>
      <c r="B656" t="s">
        <v>558</v>
      </c>
      <c r="C656" t="s">
        <v>474</v>
      </c>
      <c r="D656" t="s">
        <v>479</v>
      </c>
      <c r="E656" t="s">
        <v>369</v>
      </c>
      <c r="F656" t="s">
        <v>477</v>
      </c>
      <c r="G656" t="s">
        <v>169</v>
      </c>
      <c r="H656" t="s">
        <v>354</v>
      </c>
      <c r="I656" t="s">
        <v>370</v>
      </c>
    </row>
    <row r="657" spans="1:9" x14ac:dyDescent="0.25">
      <c r="A657" t="s">
        <v>351</v>
      </c>
      <c r="B657" t="s">
        <v>558</v>
      </c>
      <c r="C657" t="s">
        <v>475</v>
      </c>
      <c r="D657" t="s">
        <v>169</v>
      </c>
      <c r="E657" t="s">
        <v>369</v>
      </c>
      <c r="F657" t="s">
        <v>477</v>
      </c>
      <c r="G657" t="s">
        <v>169</v>
      </c>
      <c r="H657" t="s">
        <v>354</v>
      </c>
      <c r="I657" t="s">
        <v>370</v>
      </c>
    </row>
    <row r="658" spans="1:9" x14ac:dyDescent="0.25">
      <c r="A658" t="s">
        <v>351</v>
      </c>
      <c r="B658" t="s">
        <v>560</v>
      </c>
      <c r="C658" t="s">
        <v>469</v>
      </c>
      <c r="D658" t="s">
        <v>372</v>
      </c>
      <c r="E658" t="s">
        <v>372</v>
      </c>
      <c r="F658" t="s">
        <v>477</v>
      </c>
      <c r="G658" t="s">
        <v>169</v>
      </c>
      <c r="H658" t="s">
        <v>354</v>
      </c>
      <c r="I658" t="s">
        <v>221</v>
      </c>
    </row>
    <row r="659" spans="1:9" x14ac:dyDescent="0.25">
      <c r="A659" t="s">
        <v>351</v>
      </c>
      <c r="B659" t="s">
        <v>560</v>
      </c>
      <c r="C659" t="s">
        <v>20</v>
      </c>
      <c r="D659" t="s">
        <v>221</v>
      </c>
      <c r="E659" t="s">
        <v>372</v>
      </c>
      <c r="F659" t="s">
        <v>477</v>
      </c>
      <c r="G659" t="s">
        <v>169</v>
      </c>
      <c r="H659" t="s">
        <v>354</v>
      </c>
      <c r="I659" t="s">
        <v>221</v>
      </c>
    </row>
    <row r="660" spans="1:9" x14ac:dyDescent="0.25">
      <c r="A660" t="s">
        <v>351</v>
      </c>
      <c r="B660" t="s">
        <v>560</v>
      </c>
      <c r="C660" t="s">
        <v>470</v>
      </c>
      <c r="D660">
        <v>20</v>
      </c>
      <c r="E660" t="s">
        <v>372</v>
      </c>
      <c r="F660" t="s">
        <v>477</v>
      </c>
      <c r="G660" t="s">
        <v>169</v>
      </c>
      <c r="H660" t="s">
        <v>354</v>
      </c>
      <c r="I660" t="s">
        <v>221</v>
      </c>
    </row>
    <row r="661" spans="1:9" x14ac:dyDescent="0.25">
      <c r="A661" t="s">
        <v>351</v>
      </c>
      <c r="B661" t="s">
        <v>560</v>
      </c>
      <c r="C661" t="s">
        <v>471</v>
      </c>
      <c r="D661">
        <v>2</v>
      </c>
      <c r="E661" t="s">
        <v>372</v>
      </c>
      <c r="F661" t="s">
        <v>477</v>
      </c>
      <c r="G661" t="s">
        <v>169</v>
      </c>
      <c r="H661" t="s">
        <v>354</v>
      </c>
      <c r="I661" t="s">
        <v>221</v>
      </c>
    </row>
    <row r="662" spans="1:9" x14ac:dyDescent="0.25">
      <c r="A662" t="s">
        <v>351</v>
      </c>
      <c r="B662" t="s">
        <v>560</v>
      </c>
      <c r="C662" t="s">
        <v>472</v>
      </c>
      <c r="D662">
        <v>5</v>
      </c>
      <c r="E662" t="s">
        <v>372</v>
      </c>
      <c r="F662" t="s">
        <v>477</v>
      </c>
      <c r="G662" t="s">
        <v>169</v>
      </c>
      <c r="H662" t="s">
        <v>354</v>
      </c>
      <c r="I662" t="s">
        <v>221</v>
      </c>
    </row>
    <row r="663" spans="1:9" x14ac:dyDescent="0.25">
      <c r="A663" t="s">
        <v>351</v>
      </c>
      <c r="B663" t="s">
        <v>560</v>
      </c>
      <c r="C663" t="s">
        <v>473</v>
      </c>
      <c r="D663" t="s">
        <v>561</v>
      </c>
      <c r="E663" t="s">
        <v>372</v>
      </c>
      <c r="F663" t="s">
        <v>477</v>
      </c>
      <c r="G663" t="s">
        <v>169</v>
      </c>
      <c r="H663" t="s">
        <v>354</v>
      </c>
      <c r="I663" t="s">
        <v>221</v>
      </c>
    </row>
    <row r="664" spans="1:9" x14ac:dyDescent="0.25">
      <c r="A664" t="s">
        <v>351</v>
      </c>
      <c r="B664" t="s">
        <v>560</v>
      </c>
      <c r="C664" t="s">
        <v>474</v>
      </c>
      <c r="D664" t="s">
        <v>479</v>
      </c>
      <c r="E664" t="s">
        <v>372</v>
      </c>
      <c r="F664" t="s">
        <v>477</v>
      </c>
      <c r="G664" t="s">
        <v>169</v>
      </c>
      <c r="H664" t="s">
        <v>354</v>
      </c>
      <c r="I664" t="s">
        <v>221</v>
      </c>
    </row>
    <row r="665" spans="1:9" x14ac:dyDescent="0.25">
      <c r="A665" t="s">
        <v>351</v>
      </c>
      <c r="B665" t="s">
        <v>560</v>
      </c>
      <c r="C665" t="s">
        <v>475</v>
      </c>
      <c r="D665" t="s">
        <v>169</v>
      </c>
      <c r="E665" t="s">
        <v>372</v>
      </c>
      <c r="F665" t="s">
        <v>477</v>
      </c>
      <c r="G665" t="s">
        <v>169</v>
      </c>
      <c r="H665" t="s">
        <v>354</v>
      </c>
      <c r="I665" t="s">
        <v>221</v>
      </c>
    </row>
    <row r="666" spans="1:9" x14ac:dyDescent="0.25">
      <c r="A666" t="s">
        <v>351</v>
      </c>
      <c r="B666" t="s">
        <v>562</v>
      </c>
      <c r="C666" t="s">
        <v>469</v>
      </c>
      <c r="D666" t="s">
        <v>374</v>
      </c>
      <c r="E666" t="s">
        <v>374</v>
      </c>
      <c r="F666" t="s">
        <v>477</v>
      </c>
      <c r="G666" t="s">
        <v>169</v>
      </c>
      <c r="H666" t="s">
        <v>354</v>
      </c>
      <c r="I666" t="s">
        <v>219</v>
      </c>
    </row>
    <row r="667" spans="1:9" x14ac:dyDescent="0.25">
      <c r="A667" t="s">
        <v>351</v>
      </c>
      <c r="B667" t="s">
        <v>562</v>
      </c>
      <c r="C667" t="s">
        <v>20</v>
      </c>
      <c r="D667" t="s">
        <v>219</v>
      </c>
      <c r="E667" t="s">
        <v>374</v>
      </c>
      <c r="F667" t="s">
        <v>477</v>
      </c>
      <c r="G667" t="s">
        <v>169</v>
      </c>
      <c r="H667" t="s">
        <v>354</v>
      </c>
      <c r="I667" t="s">
        <v>219</v>
      </c>
    </row>
    <row r="668" spans="1:9" x14ac:dyDescent="0.25">
      <c r="A668" t="s">
        <v>351</v>
      </c>
      <c r="B668" t="s">
        <v>562</v>
      </c>
      <c r="C668" t="s">
        <v>470</v>
      </c>
      <c r="D668">
        <v>20</v>
      </c>
      <c r="E668" t="s">
        <v>374</v>
      </c>
      <c r="F668" t="s">
        <v>477</v>
      </c>
      <c r="G668" t="s">
        <v>169</v>
      </c>
      <c r="H668" t="s">
        <v>354</v>
      </c>
      <c r="I668" t="s">
        <v>219</v>
      </c>
    </row>
    <row r="669" spans="1:9" x14ac:dyDescent="0.25">
      <c r="A669" t="s">
        <v>351</v>
      </c>
      <c r="B669" t="s">
        <v>562</v>
      </c>
      <c r="C669" t="s">
        <v>471</v>
      </c>
      <c r="D669">
        <v>1</v>
      </c>
      <c r="E669" t="s">
        <v>374</v>
      </c>
      <c r="F669" t="s">
        <v>477</v>
      </c>
      <c r="G669" t="s">
        <v>169</v>
      </c>
      <c r="H669" t="s">
        <v>354</v>
      </c>
      <c r="I669" t="s">
        <v>219</v>
      </c>
    </row>
    <row r="670" spans="1:9" x14ac:dyDescent="0.25">
      <c r="A670" t="s">
        <v>351</v>
      </c>
      <c r="B670" t="s">
        <v>562</v>
      </c>
      <c r="C670" t="s">
        <v>472</v>
      </c>
      <c r="D670">
        <v>6</v>
      </c>
      <c r="E670" t="s">
        <v>374</v>
      </c>
      <c r="F670" t="s">
        <v>477</v>
      </c>
      <c r="G670" t="s">
        <v>169</v>
      </c>
      <c r="H670" t="s">
        <v>354</v>
      </c>
      <c r="I670" t="s">
        <v>219</v>
      </c>
    </row>
    <row r="671" spans="1:9" x14ac:dyDescent="0.25">
      <c r="A671" t="s">
        <v>351</v>
      </c>
      <c r="B671" t="s">
        <v>562</v>
      </c>
      <c r="C671" t="s">
        <v>473</v>
      </c>
      <c r="D671" t="s">
        <v>552</v>
      </c>
      <c r="E671" t="s">
        <v>374</v>
      </c>
      <c r="F671" t="s">
        <v>477</v>
      </c>
      <c r="G671" t="s">
        <v>169</v>
      </c>
      <c r="H671" t="s">
        <v>354</v>
      </c>
      <c r="I671" t="s">
        <v>219</v>
      </c>
    </row>
    <row r="672" spans="1:9" x14ac:dyDescent="0.25">
      <c r="A672" t="s">
        <v>351</v>
      </c>
      <c r="B672" t="s">
        <v>562</v>
      </c>
      <c r="C672" t="s">
        <v>474</v>
      </c>
      <c r="D672" t="s">
        <v>479</v>
      </c>
      <c r="E672" t="s">
        <v>374</v>
      </c>
      <c r="F672" t="s">
        <v>477</v>
      </c>
      <c r="G672" t="s">
        <v>169</v>
      </c>
      <c r="H672" t="s">
        <v>354</v>
      </c>
      <c r="I672" t="s">
        <v>219</v>
      </c>
    </row>
    <row r="673" spans="1:9" x14ac:dyDescent="0.25">
      <c r="A673" t="s">
        <v>351</v>
      </c>
      <c r="B673" t="s">
        <v>562</v>
      </c>
      <c r="C673" t="s">
        <v>475</v>
      </c>
      <c r="D673" t="s">
        <v>169</v>
      </c>
      <c r="E673" t="s">
        <v>374</v>
      </c>
      <c r="F673" t="s">
        <v>477</v>
      </c>
      <c r="G673" t="s">
        <v>169</v>
      </c>
      <c r="H673" t="s">
        <v>354</v>
      </c>
      <c r="I673" t="s">
        <v>219</v>
      </c>
    </row>
    <row r="674" spans="1:9" x14ac:dyDescent="0.25">
      <c r="A674" t="s">
        <v>351</v>
      </c>
      <c r="B674" t="s">
        <v>563</v>
      </c>
      <c r="C674" t="s">
        <v>469</v>
      </c>
      <c r="D674" t="s">
        <v>376</v>
      </c>
      <c r="E674" t="s">
        <v>376</v>
      </c>
      <c r="F674" t="s">
        <v>477</v>
      </c>
      <c r="G674" t="s">
        <v>169</v>
      </c>
      <c r="H674" t="s">
        <v>354</v>
      </c>
      <c r="I674" t="s">
        <v>222</v>
      </c>
    </row>
    <row r="675" spans="1:9" x14ac:dyDescent="0.25">
      <c r="A675" t="s">
        <v>351</v>
      </c>
      <c r="B675" t="s">
        <v>563</v>
      </c>
      <c r="C675" t="s">
        <v>20</v>
      </c>
      <c r="D675" t="s">
        <v>222</v>
      </c>
      <c r="E675" t="s">
        <v>376</v>
      </c>
      <c r="F675" t="s">
        <v>477</v>
      </c>
      <c r="G675" t="s">
        <v>169</v>
      </c>
      <c r="H675" t="s">
        <v>354</v>
      </c>
      <c r="I675" t="s">
        <v>222</v>
      </c>
    </row>
    <row r="676" spans="1:9" x14ac:dyDescent="0.25">
      <c r="A676" t="s">
        <v>351</v>
      </c>
      <c r="B676" t="s">
        <v>563</v>
      </c>
      <c r="C676" t="s">
        <v>470</v>
      </c>
      <c r="D676">
        <v>20</v>
      </c>
      <c r="E676" t="s">
        <v>376</v>
      </c>
      <c r="F676" t="s">
        <v>477</v>
      </c>
      <c r="G676" t="s">
        <v>169</v>
      </c>
      <c r="H676" t="s">
        <v>354</v>
      </c>
      <c r="I676" t="s">
        <v>222</v>
      </c>
    </row>
    <row r="677" spans="1:9" x14ac:dyDescent="0.25">
      <c r="A677" t="s">
        <v>351</v>
      </c>
      <c r="B677" t="s">
        <v>563</v>
      </c>
      <c r="C677" t="s">
        <v>471</v>
      </c>
      <c r="D677">
        <v>1</v>
      </c>
      <c r="E677" t="s">
        <v>376</v>
      </c>
      <c r="F677" t="s">
        <v>477</v>
      </c>
      <c r="G677" t="s">
        <v>169</v>
      </c>
      <c r="H677" t="s">
        <v>354</v>
      </c>
      <c r="I677" t="s">
        <v>222</v>
      </c>
    </row>
    <row r="678" spans="1:9" x14ac:dyDescent="0.25">
      <c r="A678" t="s">
        <v>351</v>
      </c>
      <c r="B678" t="s">
        <v>563</v>
      </c>
      <c r="C678" t="s">
        <v>472</v>
      </c>
      <c r="D678">
        <v>6</v>
      </c>
      <c r="E678" t="s">
        <v>376</v>
      </c>
      <c r="F678" t="s">
        <v>477</v>
      </c>
      <c r="G678" t="s">
        <v>169</v>
      </c>
      <c r="H678" t="s">
        <v>354</v>
      </c>
      <c r="I678" t="s">
        <v>222</v>
      </c>
    </row>
    <row r="679" spans="1:9" x14ac:dyDescent="0.25">
      <c r="A679" t="s">
        <v>351</v>
      </c>
      <c r="B679" t="s">
        <v>563</v>
      </c>
      <c r="C679" t="s">
        <v>473</v>
      </c>
      <c r="D679" t="s">
        <v>564</v>
      </c>
      <c r="E679" t="s">
        <v>376</v>
      </c>
      <c r="F679" t="s">
        <v>477</v>
      </c>
      <c r="G679" t="s">
        <v>169</v>
      </c>
      <c r="H679" t="s">
        <v>354</v>
      </c>
      <c r="I679" t="s">
        <v>222</v>
      </c>
    </row>
    <row r="680" spans="1:9" x14ac:dyDescent="0.25">
      <c r="A680" t="s">
        <v>351</v>
      </c>
      <c r="B680" t="s">
        <v>563</v>
      </c>
      <c r="C680" t="s">
        <v>474</v>
      </c>
      <c r="D680" t="s">
        <v>479</v>
      </c>
      <c r="E680" t="s">
        <v>376</v>
      </c>
      <c r="F680" t="s">
        <v>477</v>
      </c>
      <c r="G680" t="s">
        <v>169</v>
      </c>
      <c r="H680" t="s">
        <v>354</v>
      </c>
      <c r="I680" t="s">
        <v>222</v>
      </c>
    </row>
    <row r="681" spans="1:9" x14ac:dyDescent="0.25">
      <c r="A681" t="s">
        <v>351</v>
      </c>
      <c r="B681" t="s">
        <v>563</v>
      </c>
      <c r="C681" t="s">
        <v>475</v>
      </c>
      <c r="D681" t="s">
        <v>169</v>
      </c>
      <c r="E681" t="s">
        <v>376</v>
      </c>
      <c r="F681" t="s">
        <v>477</v>
      </c>
      <c r="G681" t="s">
        <v>169</v>
      </c>
      <c r="H681" t="s">
        <v>354</v>
      </c>
      <c r="I681" t="s">
        <v>222</v>
      </c>
    </row>
    <row r="682" spans="1:9" x14ac:dyDescent="0.25">
      <c r="A682" t="s">
        <v>351</v>
      </c>
      <c r="B682" t="s">
        <v>565</v>
      </c>
      <c r="C682" t="s">
        <v>469</v>
      </c>
      <c r="D682" t="s">
        <v>378</v>
      </c>
      <c r="E682" t="s">
        <v>378</v>
      </c>
      <c r="F682" t="s">
        <v>477</v>
      </c>
      <c r="G682" t="s">
        <v>169</v>
      </c>
      <c r="H682" t="s">
        <v>354</v>
      </c>
      <c r="I682" t="s">
        <v>230</v>
      </c>
    </row>
    <row r="683" spans="1:9" x14ac:dyDescent="0.25">
      <c r="A683" t="s">
        <v>351</v>
      </c>
      <c r="B683" t="s">
        <v>565</v>
      </c>
      <c r="C683" t="s">
        <v>20</v>
      </c>
      <c r="D683" t="s">
        <v>230</v>
      </c>
      <c r="E683" t="s">
        <v>378</v>
      </c>
      <c r="F683" t="s">
        <v>477</v>
      </c>
      <c r="G683" t="s">
        <v>169</v>
      </c>
      <c r="H683" t="s">
        <v>354</v>
      </c>
      <c r="I683" t="s">
        <v>230</v>
      </c>
    </row>
    <row r="684" spans="1:9" x14ac:dyDescent="0.25">
      <c r="A684" t="s">
        <v>351</v>
      </c>
      <c r="B684" t="s">
        <v>565</v>
      </c>
      <c r="C684" t="s">
        <v>470</v>
      </c>
      <c r="D684">
        <v>20</v>
      </c>
      <c r="E684" t="s">
        <v>378</v>
      </c>
      <c r="F684" t="s">
        <v>477</v>
      </c>
      <c r="G684" t="s">
        <v>169</v>
      </c>
      <c r="H684" t="s">
        <v>354</v>
      </c>
      <c r="I684" t="s">
        <v>230</v>
      </c>
    </row>
    <row r="685" spans="1:9" x14ac:dyDescent="0.25">
      <c r="A685" t="s">
        <v>351</v>
      </c>
      <c r="B685" t="s">
        <v>565</v>
      </c>
      <c r="C685" t="s">
        <v>471</v>
      </c>
      <c r="D685">
        <v>2</v>
      </c>
      <c r="E685" t="s">
        <v>378</v>
      </c>
      <c r="F685" t="s">
        <v>477</v>
      </c>
      <c r="G685" t="s">
        <v>169</v>
      </c>
      <c r="H685" t="s">
        <v>354</v>
      </c>
      <c r="I685" t="s">
        <v>230</v>
      </c>
    </row>
    <row r="686" spans="1:9" x14ac:dyDescent="0.25">
      <c r="A686" t="s">
        <v>351</v>
      </c>
      <c r="B686" t="s">
        <v>565</v>
      </c>
      <c r="C686" t="s">
        <v>472</v>
      </c>
      <c r="D686">
        <v>6</v>
      </c>
      <c r="E686" t="s">
        <v>378</v>
      </c>
      <c r="F686" t="s">
        <v>477</v>
      </c>
      <c r="G686" t="s">
        <v>169</v>
      </c>
      <c r="H686" t="s">
        <v>354</v>
      </c>
      <c r="I686" t="s">
        <v>230</v>
      </c>
    </row>
    <row r="687" spans="1:9" x14ac:dyDescent="0.25">
      <c r="A687" t="s">
        <v>351</v>
      </c>
      <c r="B687" t="s">
        <v>565</v>
      </c>
      <c r="C687" t="s">
        <v>473</v>
      </c>
      <c r="D687" t="s">
        <v>566</v>
      </c>
      <c r="E687" t="s">
        <v>378</v>
      </c>
      <c r="F687" t="s">
        <v>477</v>
      </c>
      <c r="G687" t="s">
        <v>169</v>
      </c>
      <c r="H687" t="s">
        <v>354</v>
      </c>
      <c r="I687" t="s">
        <v>230</v>
      </c>
    </row>
    <row r="688" spans="1:9" x14ac:dyDescent="0.25">
      <c r="A688" t="s">
        <v>351</v>
      </c>
      <c r="B688" t="s">
        <v>565</v>
      </c>
      <c r="C688" t="s">
        <v>474</v>
      </c>
      <c r="D688" t="s">
        <v>479</v>
      </c>
      <c r="E688" t="s">
        <v>378</v>
      </c>
      <c r="F688" t="s">
        <v>477</v>
      </c>
      <c r="G688" t="s">
        <v>169</v>
      </c>
      <c r="H688" t="s">
        <v>354</v>
      </c>
      <c r="I688" t="s">
        <v>230</v>
      </c>
    </row>
    <row r="689" spans="1:9" x14ac:dyDescent="0.25">
      <c r="A689" t="s">
        <v>351</v>
      </c>
      <c r="B689" t="s">
        <v>565</v>
      </c>
      <c r="C689" t="s">
        <v>475</v>
      </c>
      <c r="D689" t="s">
        <v>169</v>
      </c>
      <c r="E689" t="s">
        <v>378</v>
      </c>
      <c r="F689" t="s">
        <v>477</v>
      </c>
      <c r="G689" t="s">
        <v>169</v>
      </c>
      <c r="H689" t="s">
        <v>354</v>
      </c>
      <c r="I689" t="s">
        <v>230</v>
      </c>
    </row>
    <row r="690" spans="1:9" x14ac:dyDescent="0.25">
      <c r="A690" t="s">
        <v>351</v>
      </c>
      <c r="B690" t="s">
        <v>567</v>
      </c>
      <c r="C690" t="s">
        <v>469</v>
      </c>
      <c r="D690" t="s">
        <v>380</v>
      </c>
      <c r="E690" t="s">
        <v>380</v>
      </c>
      <c r="F690" t="s">
        <v>477</v>
      </c>
      <c r="G690" t="s">
        <v>169</v>
      </c>
      <c r="H690" t="s">
        <v>354</v>
      </c>
      <c r="I690" t="s">
        <v>381</v>
      </c>
    </row>
    <row r="691" spans="1:9" x14ac:dyDescent="0.25">
      <c r="A691" t="s">
        <v>351</v>
      </c>
      <c r="B691" t="s">
        <v>567</v>
      </c>
      <c r="C691" t="s">
        <v>20</v>
      </c>
      <c r="D691" t="s">
        <v>568</v>
      </c>
      <c r="E691" t="s">
        <v>380</v>
      </c>
      <c r="F691" t="s">
        <v>477</v>
      </c>
      <c r="G691" t="s">
        <v>169</v>
      </c>
      <c r="H691" t="s">
        <v>354</v>
      </c>
      <c r="I691" t="s">
        <v>381</v>
      </c>
    </row>
    <row r="692" spans="1:9" x14ac:dyDescent="0.25">
      <c r="A692" t="s">
        <v>351</v>
      </c>
      <c r="B692" t="s">
        <v>567</v>
      </c>
      <c r="C692" t="s">
        <v>470</v>
      </c>
      <c r="D692">
        <v>60</v>
      </c>
      <c r="E692" t="s">
        <v>380</v>
      </c>
      <c r="F692" t="s">
        <v>477</v>
      </c>
      <c r="G692" t="s">
        <v>169</v>
      </c>
      <c r="H692" t="s">
        <v>354</v>
      </c>
      <c r="I692" t="s">
        <v>381</v>
      </c>
    </row>
    <row r="693" spans="1:9" x14ac:dyDescent="0.25">
      <c r="A693" t="s">
        <v>351</v>
      </c>
      <c r="B693" t="s">
        <v>567</v>
      </c>
      <c r="C693" t="s">
        <v>471</v>
      </c>
      <c r="D693" t="s">
        <v>492</v>
      </c>
      <c r="E693" t="s">
        <v>380</v>
      </c>
      <c r="F693" t="s">
        <v>477</v>
      </c>
      <c r="G693" t="s">
        <v>169</v>
      </c>
      <c r="H693" t="s">
        <v>354</v>
      </c>
      <c r="I693" t="s">
        <v>381</v>
      </c>
    </row>
    <row r="694" spans="1:9" x14ac:dyDescent="0.25">
      <c r="A694" t="s">
        <v>351</v>
      </c>
      <c r="B694" t="s">
        <v>567</v>
      </c>
      <c r="C694" t="s">
        <v>472</v>
      </c>
      <c r="D694">
        <v>6</v>
      </c>
      <c r="E694" t="s">
        <v>380</v>
      </c>
      <c r="F694" t="s">
        <v>477</v>
      </c>
      <c r="G694" t="s">
        <v>169</v>
      </c>
      <c r="H694" t="s">
        <v>354</v>
      </c>
      <c r="I694" t="s">
        <v>381</v>
      </c>
    </row>
    <row r="695" spans="1:9" x14ac:dyDescent="0.25">
      <c r="A695" t="s">
        <v>351</v>
      </c>
      <c r="B695" t="s">
        <v>567</v>
      </c>
      <c r="C695" t="s">
        <v>473</v>
      </c>
      <c r="D695" t="s">
        <v>569</v>
      </c>
      <c r="E695" t="s">
        <v>380</v>
      </c>
      <c r="F695" t="s">
        <v>477</v>
      </c>
      <c r="G695" t="s">
        <v>169</v>
      </c>
      <c r="H695" t="s">
        <v>354</v>
      </c>
      <c r="I695" t="s">
        <v>381</v>
      </c>
    </row>
    <row r="696" spans="1:9" x14ac:dyDescent="0.25">
      <c r="A696" t="s">
        <v>351</v>
      </c>
      <c r="B696" t="s">
        <v>567</v>
      </c>
      <c r="C696" t="s">
        <v>474</v>
      </c>
      <c r="D696" t="s">
        <v>494</v>
      </c>
      <c r="E696" t="s">
        <v>380</v>
      </c>
      <c r="F696" t="s">
        <v>477</v>
      </c>
      <c r="G696" t="s">
        <v>169</v>
      </c>
      <c r="H696" t="s">
        <v>354</v>
      </c>
      <c r="I696" t="s">
        <v>381</v>
      </c>
    </row>
    <row r="697" spans="1:9" x14ac:dyDescent="0.25">
      <c r="A697" t="s">
        <v>351</v>
      </c>
      <c r="B697" t="s">
        <v>567</v>
      </c>
      <c r="C697" t="s">
        <v>475</v>
      </c>
      <c r="D697" t="s">
        <v>169</v>
      </c>
      <c r="E697" t="s">
        <v>380</v>
      </c>
      <c r="F697" t="s">
        <v>477</v>
      </c>
      <c r="G697" t="s">
        <v>169</v>
      </c>
      <c r="H697" t="s">
        <v>354</v>
      </c>
      <c r="I697" t="s">
        <v>381</v>
      </c>
    </row>
    <row r="698" spans="1:9" x14ac:dyDescent="0.25">
      <c r="A698" t="s">
        <v>351</v>
      </c>
      <c r="B698" t="s">
        <v>570</v>
      </c>
      <c r="C698" t="s">
        <v>469</v>
      </c>
      <c r="D698" t="s">
        <v>383</v>
      </c>
      <c r="E698" t="s">
        <v>383</v>
      </c>
      <c r="F698" t="s">
        <v>477</v>
      </c>
      <c r="G698" t="s">
        <v>169</v>
      </c>
      <c r="H698" t="s">
        <v>354</v>
      </c>
      <c r="I698" t="s">
        <v>384</v>
      </c>
    </row>
    <row r="699" spans="1:9" x14ac:dyDescent="0.25">
      <c r="A699" t="s">
        <v>351</v>
      </c>
      <c r="B699" t="s">
        <v>570</v>
      </c>
      <c r="C699" t="s">
        <v>20</v>
      </c>
      <c r="D699" t="s">
        <v>571</v>
      </c>
      <c r="E699" t="s">
        <v>383</v>
      </c>
      <c r="F699" t="s">
        <v>477</v>
      </c>
      <c r="G699" t="s">
        <v>169</v>
      </c>
      <c r="H699" t="s">
        <v>354</v>
      </c>
      <c r="I699" t="s">
        <v>384</v>
      </c>
    </row>
    <row r="700" spans="1:9" x14ac:dyDescent="0.25">
      <c r="A700" t="s">
        <v>351</v>
      </c>
      <c r="B700" t="s">
        <v>570</v>
      </c>
      <c r="C700" t="s">
        <v>470</v>
      </c>
      <c r="D700">
        <v>20</v>
      </c>
      <c r="E700" t="s">
        <v>383</v>
      </c>
      <c r="F700" t="s">
        <v>477</v>
      </c>
      <c r="G700" t="s">
        <v>169</v>
      </c>
      <c r="H700" t="s">
        <v>354</v>
      </c>
      <c r="I700" t="s">
        <v>384</v>
      </c>
    </row>
    <row r="701" spans="1:9" x14ac:dyDescent="0.25">
      <c r="A701" t="s">
        <v>351</v>
      </c>
      <c r="B701" t="s">
        <v>570</v>
      </c>
      <c r="C701" t="s">
        <v>471</v>
      </c>
      <c r="D701" t="s">
        <v>492</v>
      </c>
      <c r="E701" t="s">
        <v>383</v>
      </c>
      <c r="F701" t="s">
        <v>477</v>
      </c>
      <c r="G701" t="s">
        <v>169</v>
      </c>
      <c r="H701" t="s">
        <v>354</v>
      </c>
      <c r="I701" t="s">
        <v>384</v>
      </c>
    </row>
    <row r="702" spans="1:9" x14ac:dyDescent="0.25">
      <c r="A702" t="s">
        <v>351</v>
      </c>
      <c r="B702" t="s">
        <v>570</v>
      </c>
      <c r="C702" t="s">
        <v>472</v>
      </c>
      <c r="D702">
        <v>6</v>
      </c>
      <c r="E702" t="s">
        <v>383</v>
      </c>
      <c r="F702" t="s">
        <v>477</v>
      </c>
      <c r="G702" t="s">
        <v>169</v>
      </c>
      <c r="H702" t="s">
        <v>354</v>
      </c>
      <c r="I702" t="s">
        <v>384</v>
      </c>
    </row>
    <row r="703" spans="1:9" x14ac:dyDescent="0.25">
      <c r="A703" t="s">
        <v>351</v>
      </c>
      <c r="B703" t="s">
        <v>570</v>
      </c>
      <c r="C703" t="s">
        <v>473</v>
      </c>
      <c r="D703" t="s">
        <v>572</v>
      </c>
      <c r="E703" t="s">
        <v>383</v>
      </c>
      <c r="F703" t="s">
        <v>477</v>
      </c>
      <c r="G703" t="s">
        <v>169</v>
      </c>
      <c r="H703" t="s">
        <v>354</v>
      </c>
      <c r="I703" t="s">
        <v>384</v>
      </c>
    </row>
    <row r="704" spans="1:9" x14ac:dyDescent="0.25">
      <c r="A704" t="s">
        <v>351</v>
      </c>
      <c r="B704" t="s">
        <v>570</v>
      </c>
      <c r="C704" t="s">
        <v>474</v>
      </c>
      <c r="D704" t="s">
        <v>494</v>
      </c>
      <c r="E704" t="s">
        <v>383</v>
      </c>
      <c r="F704" t="s">
        <v>477</v>
      </c>
      <c r="G704" t="s">
        <v>169</v>
      </c>
      <c r="H704" t="s">
        <v>354</v>
      </c>
      <c r="I704" t="s">
        <v>384</v>
      </c>
    </row>
    <row r="705" spans="1:9" x14ac:dyDescent="0.25">
      <c r="A705" t="s">
        <v>351</v>
      </c>
      <c r="B705" t="s">
        <v>570</v>
      </c>
      <c r="C705" t="s">
        <v>475</v>
      </c>
      <c r="D705" t="s">
        <v>169</v>
      </c>
      <c r="E705" t="s">
        <v>383</v>
      </c>
      <c r="F705" t="s">
        <v>477</v>
      </c>
      <c r="G705" t="s">
        <v>169</v>
      </c>
      <c r="H705" t="s">
        <v>354</v>
      </c>
      <c r="I705" t="s">
        <v>384</v>
      </c>
    </row>
    <row r="706" spans="1:9" x14ac:dyDescent="0.25">
      <c r="A706" t="s">
        <v>422</v>
      </c>
      <c r="B706" t="s">
        <v>511</v>
      </c>
      <c r="C706" t="s">
        <v>469</v>
      </c>
      <c r="D706" t="s">
        <v>424</v>
      </c>
      <c r="E706" t="s">
        <v>424</v>
      </c>
      <c r="F706" t="s">
        <v>477</v>
      </c>
      <c r="G706" t="s">
        <v>169</v>
      </c>
      <c r="H706" t="s">
        <v>354</v>
      </c>
      <c r="I706" t="s">
        <v>27</v>
      </c>
    </row>
    <row r="707" spans="1:9" x14ac:dyDescent="0.25">
      <c r="A707" t="s">
        <v>422</v>
      </c>
      <c r="B707" t="s">
        <v>511</v>
      </c>
      <c r="C707" t="s">
        <v>20</v>
      </c>
      <c r="D707" t="s">
        <v>27</v>
      </c>
      <c r="E707" t="s">
        <v>424</v>
      </c>
      <c r="F707" t="s">
        <v>477</v>
      </c>
      <c r="G707" t="s">
        <v>169</v>
      </c>
      <c r="H707" t="s">
        <v>354</v>
      </c>
      <c r="I707" t="s">
        <v>27</v>
      </c>
    </row>
    <row r="708" spans="1:9" x14ac:dyDescent="0.25">
      <c r="A708" t="s">
        <v>422</v>
      </c>
      <c r="B708" t="s">
        <v>511</v>
      </c>
      <c r="C708" t="s">
        <v>470</v>
      </c>
      <c r="E708" t="s">
        <v>424</v>
      </c>
      <c r="F708" t="s">
        <v>477</v>
      </c>
      <c r="G708" t="s">
        <v>169</v>
      </c>
      <c r="H708" t="s">
        <v>354</v>
      </c>
      <c r="I708" t="s">
        <v>27</v>
      </c>
    </row>
    <row r="709" spans="1:9" x14ac:dyDescent="0.25">
      <c r="A709" t="s">
        <v>422</v>
      </c>
      <c r="B709" t="s">
        <v>511</v>
      </c>
      <c r="C709" t="s">
        <v>471</v>
      </c>
      <c r="E709" t="s">
        <v>424</v>
      </c>
      <c r="F709" t="s">
        <v>477</v>
      </c>
      <c r="G709" t="s">
        <v>169</v>
      </c>
      <c r="H709" t="s">
        <v>354</v>
      </c>
      <c r="I709" t="s">
        <v>27</v>
      </c>
    </row>
    <row r="710" spans="1:9" x14ac:dyDescent="0.25">
      <c r="A710" t="s">
        <v>422</v>
      </c>
      <c r="B710" t="s">
        <v>511</v>
      </c>
      <c r="C710" t="s">
        <v>472</v>
      </c>
      <c r="E710" t="s">
        <v>424</v>
      </c>
      <c r="F710" t="s">
        <v>477</v>
      </c>
      <c r="G710" t="s">
        <v>169</v>
      </c>
      <c r="H710" t="s">
        <v>354</v>
      </c>
      <c r="I710" t="s">
        <v>27</v>
      </c>
    </row>
    <row r="711" spans="1:9" x14ac:dyDescent="0.25">
      <c r="A711" t="s">
        <v>422</v>
      </c>
      <c r="B711" t="s">
        <v>511</v>
      </c>
      <c r="C711" t="s">
        <v>473</v>
      </c>
      <c r="E711" t="s">
        <v>424</v>
      </c>
      <c r="F711" t="s">
        <v>477</v>
      </c>
      <c r="G711" t="s">
        <v>169</v>
      </c>
      <c r="H711" t="s">
        <v>354</v>
      </c>
      <c r="I711" t="s">
        <v>27</v>
      </c>
    </row>
    <row r="712" spans="1:9" x14ac:dyDescent="0.25">
      <c r="A712" t="s">
        <v>422</v>
      </c>
      <c r="B712" t="s">
        <v>511</v>
      </c>
      <c r="C712" t="s">
        <v>474</v>
      </c>
      <c r="D712" t="s">
        <v>512</v>
      </c>
      <c r="E712" t="s">
        <v>424</v>
      </c>
      <c r="F712" t="s">
        <v>477</v>
      </c>
      <c r="G712" t="s">
        <v>169</v>
      </c>
      <c r="H712" t="s">
        <v>354</v>
      </c>
      <c r="I712" t="s">
        <v>27</v>
      </c>
    </row>
    <row r="713" spans="1:9" x14ac:dyDescent="0.25">
      <c r="A713" t="s">
        <v>422</v>
      </c>
      <c r="B713" t="s">
        <v>511</v>
      </c>
      <c r="C713" t="s">
        <v>475</v>
      </c>
      <c r="E713" t="s">
        <v>424</v>
      </c>
      <c r="F713" t="s">
        <v>477</v>
      </c>
      <c r="G713" t="s">
        <v>169</v>
      </c>
      <c r="H713" t="s">
        <v>354</v>
      </c>
      <c r="I713" t="s">
        <v>27</v>
      </c>
    </row>
    <row r="714" spans="1:9" x14ac:dyDescent="0.25">
      <c r="A714" t="s">
        <v>422</v>
      </c>
      <c r="B714" t="s">
        <v>513</v>
      </c>
      <c r="C714" t="s">
        <v>469</v>
      </c>
      <c r="D714" t="s">
        <v>426</v>
      </c>
      <c r="E714" t="s">
        <v>426</v>
      </c>
      <c r="F714" t="s">
        <v>477</v>
      </c>
      <c r="G714" t="s">
        <v>169</v>
      </c>
      <c r="H714" t="s">
        <v>354</v>
      </c>
      <c r="I714" t="s">
        <v>15</v>
      </c>
    </row>
    <row r="715" spans="1:9" x14ac:dyDescent="0.25">
      <c r="A715" t="s">
        <v>422</v>
      </c>
      <c r="B715" t="s">
        <v>513</v>
      </c>
      <c r="C715" t="s">
        <v>20</v>
      </c>
      <c r="D715" t="s">
        <v>514</v>
      </c>
      <c r="E715" t="s">
        <v>426</v>
      </c>
      <c r="F715" t="s">
        <v>477</v>
      </c>
      <c r="G715" t="s">
        <v>169</v>
      </c>
      <c r="H715" t="s">
        <v>354</v>
      </c>
      <c r="I715" t="s">
        <v>15</v>
      </c>
    </row>
    <row r="716" spans="1:9" x14ac:dyDescent="0.25">
      <c r="A716" t="s">
        <v>422</v>
      </c>
      <c r="B716" t="s">
        <v>513</v>
      </c>
      <c r="C716" t="s">
        <v>470</v>
      </c>
      <c r="D716">
        <v>20</v>
      </c>
      <c r="E716" t="s">
        <v>426</v>
      </c>
      <c r="F716" t="s">
        <v>477</v>
      </c>
      <c r="G716" t="s">
        <v>169</v>
      </c>
      <c r="H716" t="s">
        <v>354</v>
      </c>
      <c r="I716" t="s">
        <v>15</v>
      </c>
    </row>
    <row r="717" spans="1:9" x14ac:dyDescent="0.25">
      <c r="A717" t="s">
        <v>422</v>
      </c>
      <c r="B717" t="s">
        <v>513</v>
      </c>
      <c r="C717" t="s">
        <v>471</v>
      </c>
      <c r="D717">
        <v>1</v>
      </c>
      <c r="E717" t="s">
        <v>426</v>
      </c>
      <c r="F717" t="s">
        <v>477</v>
      </c>
      <c r="G717" t="s">
        <v>169</v>
      </c>
      <c r="H717" t="s">
        <v>354</v>
      </c>
      <c r="I717" t="s">
        <v>15</v>
      </c>
    </row>
    <row r="718" spans="1:9" x14ac:dyDescent="0.25">
      <c r="A718" t="s">
        <v>422</v>
      </c>
      <c r="B718" t="s">
        <v>513</v>
      </c>
      <c r="C718" t="s">
        <v>472</v>
      </c>
      <c r="D718">
        <v>4</v>
      </c>
      <c r="E718" t="s">
        <v>426</v>
      </c>
      <c r="F718" t="s">
        <v>477</v>
      </c>
      <c r="G718" t="s">
        <v>169</v>
      </c>
      <c r="H718" t="s">
        <v>354</v>
      </c>
      <c r="I718" t="s">
        <v>15</v>
      </c>
    </row>
    <row r="719" spans="1:9" x14ac:dyDescent="0.25">
      <c r="A719" t="s">
        <v>422</v>
      </c>
      <c r="B719" t="s">
        <v>513</v>
      </c>
      <c r="C719" t="s">
        <v>473</v>
      </c>
      <c r="D719" t="s">
        <v>515</v>
      </c>
      <c r="E719" t="s">
        <v>426</v>
      </c>
      <c r="F719" t="s">
        <v>477</v>
      </c>
      <c r="G719" t="s">
        <v>169</v>
      </c>
      <c r="H719" t="s">
        <v>354</v>
      </c>
      <c r="I719" t="s">
        <v>15</v>
      </c>
    </row>
    <row r="720" spans="1:9" x14ac:dyDescent="0.25">
      <c r="A720" t="s">
        <v>422</v>
      </c>
      <c r="B720" t="s">
        <v>513</v>
      </c>
      <c r="C720" t="s">
        <v>474</v>
      </c>
      <c r="D720" t="s">
        <v>479</v>
      </c>
      <c r="E720" t="s">
        <v>426</v>
      </c>
      <c r="F720" t="s">
        <v>477</v>
      </c>
      <c r="G720" t="s">
        <v>169</v>
      </c>
      <c r="H720" t="s">
        <v>354</v>
      </c>
      <c r="I720" t="s">
        <v>15</v>
      </c>
    </row>
    <row r="721" spans="1:9" x14ac:dyDescent="0.25">
      <c r="A721" t="s">
        <v>422</v>
      </c>
      <c r="B721" t="s">
        <v>513</v>
      </c>
      <c r="C721" t="s">
        <v>475</v>
      </c>
      <c r="D721" t="s">
        <v>516</v>
      </c>
      <c r="E721" t="s">
        <v>426</v>
      </c>
      <c r="F721" t="s">
        <v>477</v>
      </c>
      <c r="G721" t="s">
        <v>169</v>
      </c>
      <c r="H721" t="s">
        <v>354</v>
      </c>
      <c r="I721" t="s">
        <v>15</v>
      </c>
    </row>
    <row r="722" spans="1:9" x14ac:dyDescent="0.25">
      <c r="A722" t="s">
        <v>422</v>
      </c>
      <c r="B722" t="s">
        <v>528</v>
      </c>
      <c r="C722" t="s">
        <v>469</v>
      </c>
      <c r="D722" t="s">
        <v>444</v>
      </c>
      <c r="E722" t="s">
        <v>444</v>
      </c>
      <c r="F722" t="s">
        <v>477</v>
      </c>
      <c r="G722" t="s">
        <v>169</v>
      </c>
      <c r="H722" t="s">
        <v>354</v>
      </c>
      <c r="I722" t="s">
        <v>19</v>
      </c>
    </row>
    <row r="723" spans="1:9" x14ac:dyDescent="0.25">
      <c r="A723" t="s">
        <v>422</v>
      </c>
      <c r="B723" t="s">
        <v>528</v>
      </c>
      <c r="C723" t="s">
        <v>20</v>
      </c>
      <c r="D723" t="s">
        <v>19</v>
      </c>
      <c r="E723" t="s">
        <v>444</v>
      </c>
      <c r="F723" t="s">
        <v>477</v>
      </c>
      <c r="G723" t="s">
        <v>169</v>
      </c>
      <c r="H723" t="s">
        <v>354</v>
      </c>
      <c r="I723" t="s">
        <v>19</v>
      </c>
    </row>
    <row r="724" spans="1:9" x14ac:dyDescent="0.25">
      <c r="A724" t="s">
        <v>422</v>
      </c>
      <c r="B724" t="s">
        <v>528</v>
      </c>
      <c r="C724" t="s">
        <v>470</v>
      </c>
      <c r="D724">
        <v>40</v>
      </c>
      <c r="E724" t="s">
        <v>444</v>
      </c>
      <c r="F724" t="s">
        <v>477</v>
      </c>
      <c r="G724" t="s">
        <v>169</v>
      </c>
      <c r="H724" t="s">
        <v>354</v>
      </c>
      <c r="I724" t="s">
        <v>19</v>
      </c>
    </row>
    <row r="725" spans="1:9" x14ac:dyDescent="0.25">
      <c r="A725" t="s">
        <v>422</v>
      </c>
      <c r="B725" t="s">
        <v>528</v>
      </c>
      <c r="C725" t="s">
        <v>471</v>
      </c>
      <c r="D725" t="s">
        <v>492</v>
      </c>
      <c r="E725" t="s">
        <v>444</v>
      </c>
      <c r="F725" t="s">
        <v>477</v>
      </c>
      <c r="G725" t="s">
        <v>169</v>
      </c>
      <c r="H725" t="s">
        <v>354</v>
      </c>
      <c r="I725" t="s">
        <v>19</v>
      </c>
    </row>
    <row r="726" spans="1:9" x14ac:dyDescent="0.25">
      <c r="A726" t="s">
        <v>422</v>
      </c>
      <c r="B726" t="s">
        <v>528</v>
      </c>
      <c r="C726" t="s">
        <v>472</v>
      </c>
      <c r="D726">
        <v>6</v>
      </c>
      <c r="E726" t="s">
        <v>444</v>
      </c>
      <c r="F726" t="s">
        <v>477</v>
      </c>
      <c r="G726" t="s">
        <v>169</v>
      </c>
      <c r="H726" t="s">
        <v>354</v>
      </c>
      <c r="I726" t="s">
        <v>19</v>
      </c>
    </row>
    <row r="727" spans="1:9" x14ac:dyDescent="0.25">
      <c r="A727" t="s">
        <v>422</v>
      </c>
      <c r="B727" t="s">
        <v>528</v>
      </c>
      <c r="C727" t="s">
        <v>473</v>
      </c>
      <c r="E727" t="s">
        <v>444</v>
      </c>
      <c r="F727" t="s">
        <v>477</v>
      </c>
      <c r="G727" t="s">
        <v>169</v>
      </c>
      <c r="H727" t="s">
        <v>354</v>
      </c>
      <c r="I727" t="s">
        <v>19</v>
      </c>
    </row>
    <row r="728" spans="1:9" x14ac:dyDescent="0.25">
      <c r="A728" t="s">
        <v>422</v>
      </c>
      <c r="B728" t="s">
        <v>528</v>
      </c>
      <c r="C728" t="s">
        <v>474</v>
      </c>
      <c r="D728" t="s">
        <v>529</v>
      </c>
      <c r="E728" t="s">
        <v>444</v>
      </c>
      <c r="F728" t="s">
        <v>477</v>
      </c>
      <c r="G728" t="s">
        <v>169</v>
      </c>
      <c r="H728" t="s">
        <v>354</v>
      </c>
      <c r="I728" t="s">
        <v>19</v>
      </c>
    </row>
    <row r="729" spans="1:9" x14ac:dyDescent="0.25">
      <c r="A729" t="s">
        <v>422</v>
      </c>
      <c r="B729" t="s">
        <v>528</v>
      </c>
      <c r="C729" t="s">
        <v>475</v>
      </c>
      <c r="D729" t="s">
        <v>516</v>
      </c>
      <c r="E729" t="s">
        <v>444</v>
      </c>
      <c r="F729" t="s">
        <v>477</v>
      </c>
      <c r="G729" t="s">
        <v>169</v>
      </c>
      <c r="H729" t="s">
        <v>354</v>
      </c>
      <c r="I729" t="s">
        <v>19</v>
      </c>
    </row>
    <row r="730" spans="1:9" x14ac:dyDescent="0.25">
      <c r="A730" t="s">
        <v>385</v>
      </c>
      <c r="B730" t="s">
        <v>573</v>
      </c>
      <c r="C730" t="s">
        <v>469</v>
      </c>
      <c r="D730" t="s">
        <v>387</v>
      </c>
      <c r="E730" t="s">
        <v>387</v>
      </c>
      <c r="F730" t="s">
        <v>477</v>
      </c>
      <c r="G730" t="s">
        <v>233</v>
      </c>
      <c r="H730" t="s">
        <v>388</v>
      </c>
      <c r="I730" t="s">
        <v>241</v>
      </c>
    </row>
    <row r="731" spans="1:9" x14ac:dyDescent="0.25">
      <c r="A731" t="s">
        <v>385</v>
      </c>
      <c r="B731" t="s">
        <v>573</v>
      </c>
      <c r="C731" t="s">
        <v>20</v>
      </c>
      <c r="D731" t="s">
        <v>241</v>
      </c>
      <c r="E731" t="s">
        <v>387</v>
      </c>
      <c r="F731" t="s">
        <v>477</v>
      </c>
      <c r="G731" t="s">
        <v>233</v>
      </c>
      <c r="H731" t="s">
        <v>388</v>
      </c>
      <c r="I731" t="s">
        <v>241</v>
      </c>
    </row>
    <row r="732" spans="1:9" x14ac:dyDescent="0.25">
      <c r="A732" t="s">
        <v>385</v>
      </c>
      <c r="B732" t="s">
        <v>573</v>
      </c>
      <c r="C732" t="s">
        <v>470</v>
      </c>
      <c r="D732">
        <v>20</v>
      </c>
      <c r="E732" t="s">
        <v>387</v>
      </c>
      <c r="F732" t="s">
        <v>477</v>
      </c>
      <c r="G732" t="s">
        <v>233</v>
      </c>
      <c r="H732" t="s">
        <v>388</v>
      </c>
      <c r="I732" t="s">
        <v>241</v>
      </c>
    </row>
    <row r="733" spans="1:9" x14ac:dyDescent="0.25">
      <c r="A733" t="s">
        <v>385</v>
      </c>
      <c r="B733" t="s">
        <v>573</v>
      </c>
      <c r="C733" t="s">
        <v>471</v>
      </c>
      <c r="D733">
        <v>2</v>
      </c>
      <c r="E733" t="s">
        <v>387</v>
      </c>
      <c r="F733" t="s">
        <v>477</v>
      </c>
      <c r="G733" t="s">
        <v>233</v>
      </c>
      <c r="H733" t="s">
        <v>388</v>
      </c>
      <c r="I733" t="s">
        <v>241</v>
      </c>
    </row>
    <row r="734" spans="1:9" x14ac:dyDescent="0.25">
      <c r="A734" t="s">
        <v>385</v>
      </c>
      <c r="B734" t="s">
        <v>573</v>
      </c>
      <c r="C734" t="s">
        <v>472</v>
      </c>
      <c r="D734">
        <v>4</v>
      </c>
      <c r="E734" t="s">
        <v>387</v>
      </c>
      <c r="F734" t="s">
        <v>477</v>
      </c>
      <c r="G734" t="s">
        <v>233</v>
      </c>
      <c r="H734" t="s">
        <v>388</v>
      </c>
      <c r="I734" t="s">
        <v>241</v>
      </c>
    </row>
    <row r="735" spans="1:9" x14ac:dyDescent="0.25">
      <c r="A735" t="s">
        <v>385</v>
      </c>
      <c r="B735" t="s">
        <v>573</v>
      </c>
      <c r="C735" t="s">
        <v>473</v>
      </c>
      <c r="D735" t="s">
        <v>574</v>
      </c>
      <c r="E735" t="s">
        <v>387</v>
      </c>
      <c r="F735" t="s">
        <v>477</v>
      </c>
      <c r="G735" t="s">
        <v>233</v>
      </c>
      <c r="H735" t="s">
        <v>388</v>
      </c>
      <c r="I735" t="s">
        <v>241</v>
      </c>
    </row>
    <row r="736" spans="1:9" x14ac:dyDescent="0.25">
      <c r="A736" t="s">
        <v>385</v>
      </c>
      <c r="B736" t="s">
        <v>573</v>
      </c>
      <c r="C736" t="s">
        <v>474</v>
      </c>
      <c r="D736" t="s">
        <v>494</v>
      </c>
      <c r="E736" t="s">
        <v>387</v>
      </c>
      <c r="F736" t="s">
        <v>477</v>
      </c>
      <c r="G736" t="s">
        <v>233</v>
      </c>
      <c r="H736" t="s">
        <v>388</v>
      </c>
      <c r="I736" t="s">
        <v>241</v>
      </c>
    </row>
    <row r="737" spans="1:9" x14ac:dyDescent="0.25">
      <c r="A737" t="s">
        <v>385</v>
      </c>
      <c r="B737" t="s">
        <v>573</v>
      </c>
      <c r="C737" t="s">
        <v>475</v>
      </c>
      <c r="D737" t="s">
        <v>233</v>
      </c>
      <c r="E737" t="s">
        <v>387</v>
      </c>
      <c r="F737" t="s">
        <v>477</v>
      </c>
      <c r="G737" t="s">
        <v>233</v>
      </c>
      <c r="H737" t="s">
        <v>388</v>
      </c>
      <c r="I737" t="s">
        <v>241</v>
      </c>
    </row>
    <row r="738" spans="1:9" x14ac:dyDescent="0.25">
      <c r="A738" t="s">
        <v>385</v>
      </c>
      <c r="B738" t="s">
        <v>575</v>
      </c>
      <c r="C738" t="s">
        <v>469</v>
      </c>
      <c r="D738" t="s">
        <v>390</v>
      </c>
      <c r="E738" t="s">
        <v>390</v>
      </c>
      <c r="F738" t="s">
        <v>477</v>
      </c>
      <c r="G738" t="s">
        <v>233</v>
      </c>
      <c r="H738" t="s">
        <v>388</v>
      </c>
      <c r="I738" t="s">
        <v>391</v>
      </c>
    </row>
    <row r="739" spans="1:9" x14ac:dyDescent="0.25">
      <c r="A739" t="s">
        <v>385</v>
      </c>
      <c r="B739" t="s">
        <v>575</v>
      </c>
      <c r="C739" t="s">
        <v>20</v>
      </c>
      <c r="D739" t="s">
        <v>576</v>
      </c>
      <c r="E739" t="s">
        <v>390</v>
      </c>
      <c r="F739" t="s">
        <v>477</v>
      </c>
      <c r="G739" t="s">
        <v>233</v>
      </c>
      <c r="H739" t="s">
        <v>388</v>
      </c>
      <c r="I739" t="s">
        <v>391</v>
      </c>
    </row>
    <row r="740" spans="1:9" x14ac:dyDescent="0.25">
      <c r="A740" t="s">
        <v>385</v>
      </c>
      <c r="B740" t="s">
        <v>575</v>
      </c>
      <c r="C740" t="s">
        <v>470</v>
      </c>
      <c r="D740">
        <v>20</v>
      </c>
      <c r="E740" t="s">
        <v>390</v>
      </c>
      <c r="F740" t="s">
        <v>477</v>
      </c>
      <c r="G740" t="s">
        <v>233</v>
      </c>
      <c r="H740" t="s">
        <v>388</v>
      </c>
      <c r="I740" t="s">
        <v>391</v>
      </c>
    </row>
    <row r="741" spans="1:9" x14ac:dyDescent="0.25">
      <c r="A741" t="s">
        <v>385</v>
      </c>
      <c r="B741" t="s">
        <v>575</v>
      </c>
      <c r="C741" t="s">
        <v>471</v>
      </c>
      <c r="D741">
        <v>1</v>
      </c>
      <c r="E741" t="s">
        <v>390</v>
      </c>
      <c r="F741" t="s">
        <v>477</v>
      </c>
      <c r="G741" t="s">
        <v>233</v>
      </c>
      <c r="H741" t="s">
        <v>388</v>
      </c>
      <c r="I741" t="s">
        <v>391</v>
      </c>
    </row>
    <row r="742" spans="1:9" x14ac:dyDescent="0.25">
      <c r="A742" t="s">
        <v>385</v>
      </c>
      <c r="B742" t="s">
        <v>575</v>
      </c>
      <c r="C742" t="s">
        <v>472</v>
      </c>
      <c r="D742">
        <v>4</v>
      </c>
      <c r="E742" t="s">
        <v>390</v>
      </c>
      <c r="F742" t="s">
        <v>477</v>
      </c>
      <c r="G742" t="s">
        <v>233</v>
      </c>
      <c r="H742" t="s">
        <v>388</v>
      </c>
      <c r="I742" t="s">
        <v>391</v>
      </c>
    </row>
    <row r="743" spans="1:9" x14ac:dyDescent="0.25">
      <c r="A743" t="s">
        <v>385</v>
      </c>
      <c r="B743" t="s">
        <v>575</v>
      </c>
      <c r="C743" t="s">
        <v>473</v>
      </c>
      <c r="D743" t="s">
        <v>577</v>
      </c>
      <c r="E743" t="s">
        <v>390</v>
      </c>
      <c r="F743" t="s">
        <v>477</v>
      </c>
      <c r="G743" t="s">
        <v>233</v>
      </c>
      <c r="H743" t="s">
        <v>388</v>
      </c>
      <c r="I743" t="s">
        <v>391</v>
      </c>
    </row>
    <row r="744" spans="1:9" x14ac:dyDescent="0.25">
      <c r="A744" t="s">
        <v>385</v>
      </c>
      <c r="B744" t="s">
        <v>575</v>
      </c>
      <c r="C744" t="s">
        <v>474</v>
      </c>
      <c r="D744" t="s">
        <v>479</v>
      </c>
      <c r="E744" t="s">
        <v>390</v>
      </c>
      <c r="F744" t="s">
        <v>477</v>
      </c>
      <c r="G744" t="s">
        <v>233</v>
      </c>
      <c r="H744" t="s">
        <v>388</v>
      </c>
      <c r="I744" t="s">
        <v>391</v>
      </c>
    </row>
    <row r="745" spans="1:9" x14ac:dyDescent="0.25">
      <c r="A745" t="s">
        <v>385</v>
      </c>
      <c r="B745" t="s">
        <v>575</v>
      </c>
      <c r="C745" t="s">
        <v>475</v>
      </c>
      <c r="D745" t="s">
        <v>233</v>
      </c>
      <c r="E745" t="s">
        <v>390</v>
      </c>
      <c r="F745" t="s">
        <v>477</v>
      </c>
      <c r="G745" t="s">
        <v>233</v>
      </c>
      <c r="H745" t="s">
        <v>388</v>
      </c>
      <c r="I745" t="s">
        <v>391</v>
      </c>
    </row>
    <row r="746" spans="1:9" x14ac:dyDescent="0.25">
      <c r="A746" t="s">
        <v>385</v>
      </c>
      <c r="B746" t="s">
        <v>578</v>
      </c>
      <c r="C746" t="s">
        <v>469</v>
      </c>
      <c r="D746" t="s">
        <v>393</v>
      </c>
      <c r="E746" t="s">
        <v>393</v>
      </c>
      <c r="F746" t="s">
        <v>477</v>
      </c>
      <c r="G746" t="s">
        <v>233</v>
      </c>
      <c r="H746" t="s">
        <v>388</v>
      </c>
      <c r="I746" t="s">
        <v>394</v>
      </c>
    </row>
    <row r="747" spans="1:9" x14ac:dyDescent="0.25">
      <c r="A747" t="s">
        <v>385</v>
      </c>
      <c r="B747" t="s">
        <v>578</v>
      </c>
      <c r="C747" t="s">
        <v>20</v>
      </c>
      <c r="D747" t="s">
        <v>394</v>
      </c>
      <c r="E747" t="s">
        <v>393</v>
      </c>
      <c r="F747" t="s">
        <v>477</v>
      </c>
      <c r="G747" t="s">
        <v>233</v>
      </c>
      <c r="H747" t="s">
        <v>388</v>
      </c>
      <c r="I747" t="s">
        <v>394</v>
      </c>
    </row>
    <row r="748" spans="1:9" x14ac:dyDescent="0.25">
      <c r="A748" t="s">
        <v>385</v>
      </c>
      <c r="B748" t="s">
        <v>578</v>
      </c>
      <c r="C748" t="s">
        <v>470</v>
      </c>
      <c r="D748">
        <v>20</v>
      </c>
      <c r="E748" t="s">
        <v>393</v>
      </c>
      <c r="F748" t="s">
        <v>477</v>
      </c>
      <c r="G748" t="s">
        <v>233</v>
      </c>
      <c r="H748" t="s">
        <v>388</v>
      </c>
      <c r="I748" t="s">
        <v>394</v>
      </c>
    </row>
    <row r="749" spans="1:9" x14ac:dyDescent="0.25">
      <c r="A749" t="s">
        <v>385</v>
      </c>
      <c r="B749" t="s">
        <v>578</v>
      </c>
      <c r="C749" t="s">
        <v>471</v>
      </c>
      <c r="D749">
        <v>2</v>
      </c>
      <c r="E749" t="s">
        <v>393</v>
      </c>
      <c r="F749" t="s">
        <v>477</v>
      </c>
      <c r="G749" t="s">
        <v>233</v>
      </c>
      <c r="H749" t="s">
        <v>388</v>
      </c>
      <c r="I749" t="s">
        <v>394</v>
      </c>
    </row>
    <row r="750" spans="1:9" x14ac:dyDescent="0.25">
      <c r="A750" t="s">
        <v>385</v>
      </c>
      <c r="B750" t="s">
        <v>578</v>
      </c>
      <c r="C750" t="s">
        <v>472</v>
      </c>
      <c r="D750">
        <v>4</v>
      </c>
      <c r="E750" t="s">
        <v>393</v>
      </c>
      <c r="F750" t="s">
        <v>477</v>
      </c>
      <c r="G750" t="s">
        <v>233</v>
      </c>
      <c r="H750" t="s">
        <v>388</v>
      </c>
      <c r="I750" t="s">
        <v>394</v>
      </c>
    </row>
    <row r="751" spans="1:9" x14ac:dyDescent="0.25">
      <c r="A751" t="s">
        <v>385</v>
      </c>
      <c r="B751" t="s">
        <v>578</v>
      </c>
      <c r="C751" t="s">
        <v>473</v>
      </c>
      <c r="D751" t="s">
        <v>579</v>
      </c>
      <c r="E751" t="s">
        <v>393</v>
      </c>
      <c r="F751" t="s">
        <v>477</v>
      </c>
      <c r="G751" t="s">
        <v>233</v>
      </c>
      <c r="H751" t="s">
        <v>388</v>
      </c>
      <c r="I751" t="s">
        <v>394</v>
      </c>
    </row>
    <row r="752" spans="1:9" x14ac:dyDescent="0.25">
      <c r="A752" t="s">
        <v>385</v>
      </c>
      <c r="B752" t="s">
        <v>578</v>
      </c>
      <c r="C752" t="s">
        <v>474</v>
      </c>
      <c r="D752" t="s">
        <v>479</v>
      </c>
      <c r="E752" t="s">
        <v>393</v>
      </c>
      <c r="F752" t="s">
        <v>477</v>
      </c>
      <c r="G752" t="s">
        <v>233</v>
      </c>
      <c r="H752" t="s">
        <v>388</v>
      </c>
      <c r="I752" t="s">
        <v>394</v>
      </c>
    </row>
    <row r="753" spans="1:9" x14ac:dyDescent="0.25">
      <c r="A753" t="s">
        <v>385</v>
      </c>
      <c r="B753" t="s">
        <v>578</v>
      </c>
      <c r="C753" t="s">
        <v>475</v>
      </c>
      <c r="D753" t="s">
        <v>233</v>
      </c>
      <c r="E753" t="s">
        <v>393</v>
      </c>
      <c r="F753" t="s">
        <v>477</v>
      </c>
      <c r="G753" t="s">
        <v>233</v>
      </c>
      <c r="H753" t="s">
        <v>388</v>
      </c>
      <c r="I753" t="s">
        <v>394</v>
      </c>
    </row>
    <row r="754" spans="1:9" x14ac:dyDescent="0.25">
      <c r="A754" t="s">
        <v>385</v>
      </c>
      <c r="B754" t="s">
        <v>580</v>
      </c>
      <c r="C754" t="s">
        <v>469</v>
      </c>
      <c r="D754" t="s">
        <v>396</v>
      </c>
      <c r="E754" t="s">
        <v>396</v>
      </c>
      <c r="F754" t="s">
        <v>477</v>
      </c>
      <c r="G754" t="s">
        <v>233</v>
      </c>
      <c r="H754" t="s">
        <v>388</v>
      </c>
      <c r="I754" t="s">
        <v>397</v>
      </c>
    </row>
    <row r="755" spans="1:9" x14ac:dyDescent="0.25">
      <c r="A755" t="s">
        <v>385</v>
      </c>
      <c r="B755" t="s">
        <v>580</v>
      </c>
      <c r="C755" t="s">
        <v>20</v>
      </c>
      <c r="D755" t="s">
        <v>397</v>
      </c>
      <c r="E755" t="s">
        <v>396</v>
      </c>
      <c r="F755" t="s">
        <v>477</v>
      </c>
      <c r="G755" t="s">
        <v>233</v>
      </c>
      <c r="H755" t="s">
        <v>388</v>
      </c>
      <c r="I755" t="s">
        <v>397</v>
      </c>
    </row>
    <row r="756" spans="1:9" x14ac:dyDescent="0.25">
      <c r="A756" t="s">
        <v>385</v>
      </c>
      <c r="B756" t="s">
        <v>580</v>
      </c>
      <c r="C756" t="s">
        <v>470</v>
      </c>
      <c r="D756">
        <v>20</v>
      </c>
      <c r="E756" t="s">
        <v>396</v>
      </c>
      <c r="F756" t="s">
        <v>477</v>
      </c>
      <c r="G756" t="s">
        <v>233</v>
      </c>
      <c r="H756" t="s">
        <v>388</v>
      </c>
      <c r="I756" t="s">
        <v>397</v>
      </c>
    </row>
    <row r="757" spans="1:9" x14ac:dyDescent="0.25">
      <c r="A757" t="s">
        <v>385</v>
      </c>
      <c r="B757" t="s">
        <v>580</v>
      </c>
      <c r="C757" t="s">
        <v>471</v>
      </c>
      <c r="D757">
        <v>1</v>
      </c>
      <c r="E757" t="s">
        <v>396</v>
      </c>
      <c r="F757" t="s">
        <v>477</v>
      </c>
      <c r="G757" t="s">
        <v>233</v>
      </c>
      <c r="H757" t="s">
        <v>388</v>
      </c>
      <c r="I757" t="s">
        <v>397</v>
      </c>
    </row>
    <row r="758" spans="1:9" x14ac:dyDescent="0.25">
      <c r="A758" t="s">
        <v>385</v>
      </c>
      <c r="B758" t="s">
        <v>580</v>
      </c>
      <c r="C758" t="s">
        <v>472</v>
      </c>
      <c r="D758">
        <v>4</v>
      </c>
      <c r="E758" t="s">
        <v>396</v>
      </c>
      <c r="F758" t="s">
        <v>477</v>
      </c>
      <c r="G758" t="s">
        <v>233</v>
      </c>
      <c r="H758" t="s">
        <v>388</v>
      </c>
      <c r="I758" t="s">
        <v>397</v>
      </c>
    </row>
    <row r="759" spans="1:9" x14ac:dyDescent="0.25">
      <c r="A759" t="s">
        <v>385</v>
      </c>
      <c r="B759" t="s">
        <v>580</v>
      </c>
      <c r="C759" t="s">
        <v>473</v>
      </c>
      <c r="D759" t="s">
        <v>574</v>
      </c>
      <c r="E759" t="s">
        <v>396</v>
      </c>
      <c r="F759" t="s">
        <v>477</v>
      </c>
      <c r="G759" t="s">
        <v>233</v>
      </c>
      <c r="H759" t="s">
        <v>388</v>
      </c>
      <c r="I759" t="s">
        <v>397</v>
      </c>
    </row>
    <row r="760" spans="1:9" x14ac:dyDescent="0.25">
      <c r="A760" t="s">
        <v>385</v>
      </c>
      <c r="B760" t="s">
        <v>580</v>
      </c>
      <c r="C760" t="s">
        <v>474</v>
      </c>
      <c r="D760" t="s">
        <v>479</v>
      </c>
      <c r="E760" t="s">
        <v>396</v>
      </c>
      <c r="F760" t="s">
        <v>477</v>
      </c>
      <c r="G760" t="s">
        <v>233</v>
      </c>
      <c r="H760" t="s">
        <v>388</v>
      </c>
      <c r="I760" t="s">
        <v>397</v>
      </c>
    </row>
    <row r="761" spans="1:9" x14ac:dyDescent="0.25">
      <c r="A761" t="s">
        <v>385</v>
      </c>
      <c r="B761" t="s">
        <v>580</v>
      </c>
      <c r="C761" t="s">
        <v>475</v>
      </c>
      <c r="D761" t="s">
        <v>233</v>
      </c>
      <c r="E761" t="s">
        <v>396</v>
      </c>
      <c r="F761" t="s">
        <v>477</v>
      </c>
      <c r="G761" t="s">
        <v>233</v>
      </c>
      <c r="H761" t="s">
        <v>388</v>
      </c>
      <c r="I761" t="s">
        <v>397</v>
      </c>
    </row>
    <row r="762" spans="1:9" x14ac:dyDescent="0.25">
      <c r="A762" t="s">
        <v>385</v>
      </c>
      <c r="B762" t="s">
        <v>581</v>
      </c>
      <c r="C762" t="s">
        <v>469</v>
      </c>
      <c r="D762" t="s">
        <v>399</v>
      </c>
      <c r="E762" t="s">
        <v>399</v>
      </c>
      <c r="F762" t="s">
        <v>477</v>
      </c>
      <c r="G762" t="s">
        <v>233</v>
      </c>
      <c r="H762" t="s">
        <v>388</v>
      </c>
      <c r="I762" t="s">
        <v>26</v>
      </c>
    </row>
    <row r="763" spans="1:9" x14ac:dyDescent="0.25">
      <c r="A763" t="s">
        <v>385</v>
      </c>
      <c r="B763" t="s">
        <v>581</v>
      </c>
      <c r="C763" t="s">
        <v>20</v>
      </c>
      <c r="D763" t="s">
        <v>26</v>
      </c>
      <c r="E763" t="s">
        <v>399</v>
      </c>
      <c r="F763" t="s">
        <v>477</v>
      </c>
      <c r="G763" t="s">
        <v>233</v>
      </c>
      <c r="H763" t="s">
        <v>388</v>
      </c>
      <c r="I763" t="s">
        <v>26</v>
      </c>
    </row>
    <row r="764" spans="1:9" x14ac:dyDescent="0.25">
      <c r="A764" t="s">
        <v>385</v>
      </c>
      <c r="B764" t="s">
        <v>581</v>
      </c>
      <c r="C764" t="s">
        <v>470</v>
      </c>
      <c r="D764">
        <v>20</v>
      </c>
      <c r="E764" t="s">
        <v>399</v>
      </c>
      <c r="F764" t="s">
        <v>477</v>
      </c>
      <c r="G764" t="s">
        <v>233</v>
      </c>
      <c r="H764" t="s">
        <v>388</v>
      </c>
      <c r="I764" t="s">
        <v>26</v>
      </c>
    </row>
    <row r="765" spans="1:9" x14ac:dyDescent="0.25">
      <c r="A765" t="s">
        <v>385</v>
      </c>
      <c r="B765" t="s">
        <v>581</v>
      </c>
      <c r="C765" t="s">
        <v>471</v>
      </c>
      <c r="D765">
        <v>1</v>
      </c>
      <c r="E765" t="s">
        <v>399</v>
      </c>
      <c r="F765" t="s">
        <v>477</v>
      </c>
      <c r="G765" t="s">
        <v>233</v>
      </c>
      <c r="H765" t="s">
        <v>388</v>
      </c>
      <c r="I765" t="s">
        <v>26</v>
      </c>
    </row>
    <row r="766" spans="1:9" x14ac:dyDescent="0.25">
      <c r="A766" t="s">
        <v>385</v>
      </c>
      <c r="B766" t="s">
        <v>581</v>
      </c>
      <c r="C766" t="s">
        <v>472</v>
      </c>
      <c r="D766">
        <v>4</v>
      </c>
      <c r="E766" t="s">
        <v>399</v>
      </c>
      <c r="F766" t="s">
        <v>477</v>
      </c>
      <c r="G766" t="s">
        <v>233</v>
      </c>
      <c r="H766" t="s">
        <v>388</v>
      </c>
      <c r="I766" t="s">
        <v>26</v>
      </c>
    </row>
    <row r="767" spans="1:9" x14ac:dyDescent="0.25">
      <c r="A767" t="s">
        <v>385</v>
      </c>
      <c r="B767" t="s">
        <v>581</v>
      </c>
      <c r="C767" t="s">
        <v>473</v>
      </c>
      <c r="D767" t="s">
        <v>582</v>
      </c>
      <c r="E767" t="s">
        <v>399</v>
      </c>
      <c r="F767" t="s">
        <v>477</v>
      </c>
      <c r="G767" t="s">
        <v>233</v>
      </c>
      <c r="H767" t="s">
        <v>388</v>
      </c>
      <c r="I767" t="s">
        <v>26</v>
      </c>
    </row>
    <row r="768" spans="1:9" x14ac:dyDescent="0.25">
      <c r="A768" t="s">
        <v>385</v>
      </c>
      <c r="B768" t="s">
        <v>581</v>
      </c>
      <c r="C768" t="s">
        <v>474</v>
      </c>
      <c r="D768" t="s">
        <v>479</v>
      </c>
      <c r="E768" t="s">
        <v>399</v>
      </c>
      <c r="F768" t="s">
        <v>477</v>
      </c>
      <c r="G768" t="s">
        <v>233</v>
      </c>
      <c r="H768" t="s">
        <v>388</v>
      </c>
      <c r="I768" t="s">
        <v>26</v>
      </c>
    </row>
    <row r="769" spans="1:9" x14ac:dyDescent="0.25">
      <c r="A769" t="s">
        <v>385</v>
      </c>
      <c r="B769" t="s">
        <v>581</v>
      </c>
      <c r="C769" t="s">
        <v>475</v>
      </c>
      <c r="D769" t="s">
        <v>519</v>
      </c>
      <c r="E769" t="s">
        <v>399</v>
      </c>
      <c r="F769" t="s">
        <v>477</v>
      </c>
      <c r="G769" t="s">
        <v>233</v>
      </c>
      <c r="H769" t="s">
        <v>388</v>
      </c>
      <c r="I769" t="s">
        <v>26</v>
      </c>
    </row>
    <row r="770" spans="1:9" x14ac:dyDescent="0.25">
      <c r="A770" t="s">
        <v>385</v>
      </c>
      <c r="B770" t="s">
        <v>583</v>
      </c>
      <c r="C770" t="s">
        <v>469</v>
      </c>
      <c r="D770" t="s">
        <v>401</v>
      </c>
      <c r="E770" t="s">
        <v>401</v>
      </c>
      <c r="F770" t="s">
        <v>477</v>
      </c>
      <c r="G770" t="s">
        <v>233</v>
      </c>
      <c r="H770" t="s">
        <v>388</v>
      </c>
      <c r="I770" t="s">
        <v>402</v>
      </c>
    </row>
    <row r="771" spans="1:9" x14ac:dyDescent="0.25">
      <c r="A771" t="s">
        <v>385</v>
      </c>
      <c r="B771" t="s">
        <v>583</v>
      </c>
      <c r="C771" t="s">
        <v>20</v>
      </c>
      <c r="D771" t="s">
        <v>402</v>
      </c>
      <c r="E771" t="s">
        <v>401</v>
      </c>
      <c r="F771" t="s">
        <v>477</v>
      </c>
      <c r="G771" t="s">
        <v>233</v>
      </c>
      <c r="H771" t="s">
        <v>388</v>
      </c>
      <c r="I771" t="s">
        <v>402</v>
      </c>
    </row>
    <row r="772" spans="1:9" x14ac:dyDescent="0.25">
      <c r="A772" t="s">
        <v>385</v>
      </c>
      <c r="B772" t="s">
        <v>583</v>
      </c>
      <c r="C772" t="s">
        <v>470</v>
      </c>
      <c r="D772">
        <v>20</v>
      </c>
      <c r="E772" t="s">
        <v>401</v>
      </c>
      <c r="F772" t="s">
        <v>477</v>
      </c>
      <c r="G772" t="s">
        <v>233</v>
      </c>
      <c r="H772" t="s">
        <v>388</v>
      </c>
      <c r="I772" t="s">
        <v>402</v>
      </c>
    </row>
    <row r="773" spans="1:9" x14ac:dyDescent="0.25">
      <c r="A773" t="s">
        <v>385</v>
      </c>
      <c r="B773" t="s">
        <v>583</v>
      </c>
      <c r="C773" t="s">
        <v>471</v>
      </c>
      <c r="D773">
        <v>1</v>
      </c>
      <c r="E773" t="s">
        <v>401</v>
      </c>
      <c r="F773" t="s">
        <v>477</v>
      </c>
      <c r="G773" t="s">
        <v>233</v>
      </c>
      <c r="H773" t="s">
        <v>388</v>
      </c>
      <c r="I773" t="s">
        <v>402</v>
      </c>
    </row>
    <row r="774" spans="1:9" x14ac:dyDescent="0.25">
      <c r="A774" t="s">
        <v>385</v>
      </c>
      <c r="B774" t="s">
        <v>583</v>
      </c>
      <c r="C774" t="s">
        <v>472</v>
      </c>
      <c r="D774">
        <v>5</v>
      </c>
      <c r="E774" t="s">
        <v>401</v>
      </c>
      <c r="F774" t="s">
        <v>477</v>
      </c>
      <c r="G774" t="s">
        <v>233</v>
      </c>
      <c r="H774" t="s">
        <v>388</v>
      </c>
      <c r="I774" t="s">
        <v>402</v>
      </c>
    </row>
    <row r="775" spans="1:9" x14ac:dyDescent="0.25">
      <c r="A775" t="s">
        <v>385</v>
      </c>
      <c r="B775" t="s">
        <v>583</v>
      </c>
      <c r="C775" t="s">
        <v>473</v>
      </c>
      <c r="D775" t="s">
        <v>574</v>
      </c>
      <c r="E775" t="s">
        <v>401</v>
      </c>
      <c r="F775" t="s">
        <v>477</v>
      </c>
      <c r="G775" t="s">
        <v>233</v>
      </c>
      <c r="H775" t="s">
        <v>388</v>
      </c>
      <c r="I775" t="s">
        <v>402</v>
      </c>
    </row>
    <row r="776" spans="1:9" x14ac:dyDescent="0.25">
      <c r="A776" t="s">
        <v>385</v>
      </c>
      <c r="B776" t="s">
        <v>583</v>
      </c>
      <c r="C776" t="s">
        <v>474</v>
      </c>
      <c r="D776" t="s">
        <v>494</v>
      </c>
      <c r="E776" t="s">
        <v>401</v>
      </c>
      <c r="F776" t="s">
        <v>477</v>
      </c>
      <c r="G776" t="s">
        <v>233</v>
      </c>
      <c r="H776" t="s">
        <v>388</v>
      </c>
      <c r="I776" t="s">
        <v>402</v>
      </c>
    </row>
    <row r="777" spans="1:9" x14ac:dyDescent="0.25">
      <c r="A777" t="s">
        <v>385</v>
      </c>
      <c r="B777" t="s">
        <v>583</v>
      </c>
      <c r="C777" t="s">
        <v>475</v>
      </c>
      <c r="D777" t="s">
        <v>233</v>
      </c>
      <c r="E777" t="s">
        <v>401</v>
      </c>
      <c r="F777" t="s">
        <v>477</v>
      </c>
      <c r="G777" t="s">
        <v>233</v>
      </c>
      <c r="H777" t="s">
        <v>388</v>
      </c>
      <c r="I777" t="s">
        <v>402</v>
      </c>
    </row>
    <row r="778" spans="1:9" x14ac:dyDescent="0.25">
      <c r="A778" t="s">
        <v>385</v>
      </c>
      <c r="B778" t="s">
        <v>584</v>
      </c>
      <c r="C778" t="s">
        <v>469</v>
      </c>
      <c r="D778" t="s">
        <v>404</v>
      </c>
      <c r="E778" t="s">
        <v>404</v>
      </c>
      <c r="F778" t="s">
        <v>477</v>
      </c>
      <c r="G778" t="s">
        <v>233</v>
      </c>
      <c r="H778" t="s">
        <v>388</v>
      </c>
      <c r="I778" t="s">
        <v>238</v>
      </c>
    </row>
    <row r="779" spans="1:9" x14ac:dyDescent="0.25">
      <c r="A779" t="s">
        <v>385</v>
      </c>
      <c r="B779" t="s">
        <v>584</v>
      </c>
      <c r="C779" t="s">
        <v>20</v>
      </c>
      <c r="D779" t="s">
        <v>238</v>
      </c>
      <c r="E779" t="s">
        <v>404</v>
      </c>
      <c r="F779" t="s">
        <v>477</v>
      </c>
      <c r="G779" t="s">
        <v>233</v>
      </c>
      <c r="H779" t="s">
        <v>388</v>
      </c>
      <c r="I779" t="s">
        <v>238</v>
      </c>
    </row>
    <row r="780" spans="1:9" x14ac:dyDescent="0.25">
      <c r="A780" t="s">
        <v>385</v>
      </c>
      <c r="B780" t="s">
        <v>584</v>
      </c>
      <c r="C780" t="s">
        <v>470</v>
      </c>
      <c r="D780">
        <v>20</v>
      </c>
      <c r="E780" t="s">
        <v>404</v>
      </c>
      <c r="F780" t="s">
        <v>477</v>
      </c>
      <c r="G780" t="s">
        <v>233</v>
      </c>
      <c r="H780" t="s">
        <v>388</v>
      </c>
      <c r="I780" t="s">
        <v>238</v>
      </c>
    </row>
    <row r="781" spans="1:9" x14ac:dyDescent="0.25">
      <c r="A781" t="s">
        <v>385</v>
      </c>
      <c r="B781" t="s">
        <v>584</v>
      </c>
      <c r="C781" t="s">
        <v>471</v>
      </c>
      <c r="D781">
        <v>1</v>
      </c>
      <c r="E781" t="s">
        <v>404</v>
      </c>
      <c r="F781" t="s">
        <v>477</v>
      </c>
      <c r="G781" t="s">
        <v>233</v>
      </c>
      <c r="H781" t="s">
        <v>388</v>
      </c>
      <c r="I781" t="s">
        <v>238</v>
      </c>
    </row>
    <row r="782" spans="1:9" x14ac:dyDescent="0.25">
      <c r="A782" t="s">
        <v>385</v>
      </c>
      <c r="B782" t="s">
        <v>584</v>
      </c>
      <c r="C782" t="s">
        <v>472</v>
      </c>
      <c r="D782">
        <v>5</v>
      </c>
      <c r="E782" t="s">
        <v>404</v>
      </c>
      <c r="F782" t="s">
        <v>477</v>
      </c>
      <c r="G782" t="s">
        <v>233</v>
      </c>
      <c r="H782" t="s">
        <v>388</v>
      </c>
      <c r="I782" t="s">
        <v>238</v>
      </c>
    </row>
    <row r="783" spans="1:9" x14ac:dyDescent="0.25">
      <c r="A783" t="s">
        <v>385</v>
      </c>
      <c r="B783" t="s">
        <v>584</v>
      </c>
      <c r="C783" t="s">
        <v>473</v>
      </c>
      <c r="D783" t="s">
        <v>585</v>
      </c>
      <c r="E783" t="s">
        <v>404</v>
      </c>
      <c r="F783" t="s">
        <v>477</v>
      </c>
      <c r="G783" t="s">
        <v>233</v>
      </c>
      <c r="H783" t="s">
        <v>388</v>
      </c>
      <c r="I783" t="s">
        <v>238</v>
      </c>
    </row>
    <row r="784" spans="1:9" x14ac:dyDescent="0.25">
      <c r="A784" t="s">
        <v>385</v>
      </c>
      <c r="B784" t="s">
        <v>584</v>
      </c>
      <c r="C784" t="s">
        <v>474</v>
      </c>
      <c r="D784" t="s">
        <v>479</v>
      </c>
      <c r="E784" t="s">
        <v>404</v>
      </c>
      <c r="F784" t="s">
        <v>477</v>
      </c>
      <c r="G784" t="s">
        <v>233</v>
      </c>
      <c r="H784" t="s">
        <v>388</v>
      </c>
      <c r="I784" t="s">
        <v>238</v>
      </c>
    </row>
    <row r="785" spans="1:9" x14ac:dyDescent="0.25">
      <c r="A785" t="s">
        <v>385</v>
      </c>
      <c r="B785" t="s">
        <v>584</v>
      </c>
      <c r="C785" t="s">
        <v>475</v>
      </c>
      <c r="D785" t="s">
        <v>233</v>
      </c>
      <c r="E785" t="s">
        <v>404</v>
      </c>
      <c r="F785" t="s">
        <v>477</v>
      </c>
      <c r="G785" t="s">
        <v>233</v>
      </c>
      <c r="H785" t="s">
        <v>388</v>
      </c>
      <c r="I785" t="s">
        <v>238</v>
      </c>
    </row>
    <row r="786" spans="1:9" x14ac:dyDescent="0.25">
      <c r="A786" t="s">
        <v>385</v>
      </c>
      <c r="B786" t="s">
        <v>586</v>
      </c>
      <c r="C786" t="s">
        <v>469</v>
      </c>
      <c r="D786" t="s">
        <v>406</v>
      </c>
      <c r="E786" t="s">
        <v>406</v>
      </c>
      <c r="F786" t="s">
        <v>477</v>
      </c>
      <c r="G786" t="s">
        <v>233</v>
      </c>
      <c r="H786" t="s">
        <v>388</v>
      </c>
      <c r="I786" t="s">
        <v>407</v>
      </c>
    </row>
    <row r="787" spans="1:9" x14ac:dyDescent="0.25">
      <c r="A787" t="s">
        <v>385</v>
      </c>
      <c r="B787" t="s">
        <v>586</v>
      </c>
      <c r="C787" t="s">
        <v>20</v>
      </c>
      <c r="D787" t="s">
        <v>407</v>
      </c>
      <c r="E787" t="s">
        <v>406</v>
      </c>
      <c r="F787" t="s">
        <v>477</v>
      </c>
      <c r="G787" t="s">
        <v>233</v>
      </c>
      <c r="H787" t="s">
        <v>388</v>
      </c>
      <c r="I787" t="s">
        <v>407</v>
      </c>
    </row>
    <row r="788" spans="1:9" x14ac:dyDescent="0.25">
      <c r="A788" t="s">
        <v>385</v>
      </c>
      <c r="B788" t="s">
        <v>586</v>
      </c>
      <c r="C788" t="s">
        <v>470</v>
      </c>
      <c r="D788">
        <v>20</v>
      </c>
      <c r="E788" t="s">
        <v>406</v>
      </c>
      <c r="F788" t="s">
        <v>477</v>
      </c>
      <c r="G788" t="s">
        <v>233</v>
      </c>
      <c r="H788" t="s">
        <v>388</v>
      </c>
      <c r="I788" t="s">
        <v>407</v>
      </c>
    </row>
    <row r="789" spans="1:9" x14ac:dyDescent="0.25">
      <c r="A789" t="s">
        <v>385</v>
      </c>
      <c r="B789" t="s">
        <v>586</v>
      </c>
      <c r="C789" t="s">
        <v>471</v>
      </c>
      <c r="D789">
        <v>1</v>
      </c>
      <c r="E789" t="s">
        <v>406</v>
      </c>
      <c r="F789" t="s">
        <v>477</v>
      </c>
      <c r="G789" t="s">
        <v>233</v>
      </c>
      <c r="H789" t="s">
        <v>388</v>
      </c>
      <c r="I789" t="s">
        <v>407</v>
      </c>
    </row>
    <row r="790" spans="1:9" x14ac:dyDescent="0.25">
      <c r="A790" t="s">
        <v>385</v>
      </c>
      <c r="B790" t="s">
        <v>586</v>
      </c>
      <c r="C790" t="s">
        <v>472</v>
      </c>
      <c r="D790">
        <v>5</v>
      </c>
      <c r="E790" t="s">
        <v>406</v>
      </c>
      <c r="F790" t="s">
        <v>477</v>
      </c>
      <c r="G790" t="s">
        <v>233</v>
      </c>
      <c r="H790" t="s">
        <v>388</v>
      </c>
      <c r="I790" t="s">
        <v>407</v>
      </c>
    </row>
    <row r="791" spans="1:9" x14ac:dyDescent="0.25">
      <c r="A791" t="s">
        <v>385</v>
      </c>
      <c r="B791" t="s">
        <v>586</v>
      </c>
      <c r="C791" t="s">
        <v>473</v>
      </c>
      <c r="D791" t="s">
        <v>587</v>
      </c>
      <c r="E791" t="s">
        <v>406</v>
      </c>
      <c r="F791" t="s">
        <v>477</v>
      </c>
      <c r="G791" t="s">
        <v>233</v>
      </c>
      <c r="H791" t="s">
        <v>388</v>
      </c>
      <c r="I791" t="s">
        <v>407</v>
      </c>
    </row>
    <row r="792" spans="1:9" x14ac:dyDescent="0.25">
      <c r="A792" t="s">
        <v>385</v>
      </c>
      <c r="B792" t="s">
        <v>586</v>
      </c>
      <c r="C792" t="s">
        <v>474</v>
      </c>
      <c r="D792" t="s">
        <v>479</v>
      </c>
      <c r="E792" t="s">
        <v>406</v>
      </c>
      <c r="F792" t="s">
        <v>477</v>
      </c>
      <c r="G792" t="s">
        <v>233</v>
      </c>
      <c r="H792" t="s">
        <v>388</v>
      </c>
      <c r="I792" t="s">
        <v>407</v>
      </c>
    </row>
    <row r="793" spans="1:9" x14ac:dyDescent="0.25">
      <c r="A793" t="s">
        <v>385</v>
      </c>
      <c r="B793" t="s">
        <v>586</v>
      </c>
      <c r="C793" t="s">
        <v>475</v>
      </c>
      <c r="D793" t="s">
        <v>233</v>
      </c>
      <c r="E793" t="s">
        <v>406</v>
      </c>
      <c r="F793" t="s">
        <v>477</v>
      </c>
      <c r="G793" t="s">
        <v>233</v>
      </c>
      <c r="H793" t="s">
        <v>388</v>
      </c>
      <c r="I793" t="s">
        <v>407</v>
      </c>
    </row>
    <row r="794" spans="1:9" x14ac:dyDescent="0.25">
      <c r="A794" t="s">
        <v>385</v>
      </c>
      <c r="B794" t="s">
        <v>588</v>
      </c>
      <c r="C794" t="s">
        <v>469</v>
      </c>
      <c r="D794" t="s">
        <v>409</v>
      </c>
      <c r="E794" t="s">
        <v>409</v>
      </c>
      <c r="F794" t="s">
        <v>477</v>
      </c>
      <c r="G794" t="s">
        <v>233</v>
      </c>
      <c r="H794" t="s">
        <v>388</v>
      </c>
      <c r="I794" t="s">
        <v>410</v>
      </c>
    </row>
    <row r="795" spans="1:9" x14ac:dyDescent="0.25">
      <c r="A795" t="s">
        <v>385</v>
      </c>
      <c r="B795" t="s">
        <v>588</v>
      </c>
      <c r="C795" t="s">
        <v>20</v>
      </c>
      <c r="D795" t="s">
        <v>589</v>
      </c>
      <c r="E795" t="s">
        <v>409</v>
      </c>
      <c r="F795" t="s">
        <v>477</v>
      </c>
      <c r="G795" t="s">
        <v>233</v>
      </c>
      <c r="H795" t="s">
        <v>388</v>
      </c>
      <c r="I795" t="s">
        <v>410</v>
      </c>
    </row>
    <row r="796" spans="1:9" x14ac:dyDescent="0.25">
      <c r="A796" t="s">
        <v>385</v>
      </c>
      <c r="B796" t="s">
        <v>588</v>
      </c>
      <c r="C796" t="s">
        <v>470</v>
      </c>
      <c r="D796">
        <v>20</v>
      </c>
      <c r="E796" t="s">
        <v>409</v>
      </c>
      <c r="F796" t="s">
        <v>477</v>
      </c>
      <c r="G796" t="s">
        <v>233</v>
      </c>
      <c r="H796" t="s">
        <v>388</v>
      </c>
      <c r="I796" t="s">
        <v>410</v>
      </c>
    </row>
    <row r="797" spans="1:9" x14ac:dyDescent="0.25">
      <c r="A797" t="s">
        <v>385</v>
      </c>
      <c r="B797" t="s">
        <v>588</v>
      </c>
      <c r="C797" t="s">
        <v>471</v>
      </c>
      <c r="D797">
        <v>2</v>
      </c>
      <c r="E797" t="s">
        <v>409</v>
      </c>
      <c r="F797" t="s">
        <v>477</v>
      </c>
      <c r="G797" t="s">
        <v>233</v>
      </c>
      <c r="H797" t="s">
        <v>388</v>
      </c>
      <c r="I797" t="s">
        <v>410</v>
      </c>
    </row>
    <row r="798" spans="1:9" x14ac:dyDescent="0.25">
      <c r="A798" t="s">
        <v>385</v>
      </c>
      <c r="B798" t="s">
        <v>588</v>
      </c>
      <c r="C798" t="s">
        <v>472</v>
      </c>
      <c r="D798">
        <v>5</v>
      </c>
      <c r="E798" t="s">
        <v>409</v>
      </c>
      <c r="F798" t="s">
        <v>477</v>
      </c>
      <c r="G798" t="s">
        <v>233</v>
      </c>
      <c r="H798" t="s">
        <v>388</v>
      </c>
      <c r="I798" t="s">
        <v>410</v>
      </c>
    </row>
    <row r="799" spans="1:9" x14ac:dyDescent="0.25">
      <c r="A799" t="s">
        <v>385</v>
      </c>
      <c r="B799" t="s">
        <v>588</v>
      </c>
      <c r="C799" t="s">
        <v>473</v>
      </c>
      <c r="D799" t="s">
        <v>590</v>
      </c>
      <c r="E799" t="s">
        <v>409</v>
      </c>
      <c r="F799" t="s">
        <v>477</v>
      </c>
      <c r="G799" t="s">
        <v>233</v>
      </c>
      <c r="H799" t="s">
        <v>388</v>
      </c>
      <c r="I799" t="s">
        <v>410</v>
      </c>
    </row>
    <row r="800" spans="1:9" x14ac:dyDescent="0.25">
      <c r="A800" t="s">
        <v>385</v>
      </c>
      <c r="B800" t="s">
        <v>588</v>
      </c>
      <c r="C800" t="s">
        <v>474</v>
      </c>
      <c r="D800" t="s">
        <v>479</v>
      </c>
      <c r="E800" t="s">
        <v>409</v>
      </c>
      <c r="F800" t="s">
        <v>477</v>
      </c>
      <c r="G800" t="s">
        <v>233</v>
      </c>
      <c r="H800" t="s">
        <v>388</v>
      </c>
      <c r="I800" t="s">
        <v>410</v>
      </c>
    </row>
    <row r="801" spans="1:9" x14ac:dyDescent="0.25">
      <c r="A801" t="s">
        <v>385</v>
      </c>
      <c r="B801" t="s">
        <v>588</v>
      </c>
      <c r="C801" t="s">
        <v>475</v>
      </c>
      <c r="D801" t="s">
        <v>233</v>
      </c>
      <c r="E801" t="s">
        <v>409</v>
      </c>
      <c r="F801" t="s">
        <v>477</v>
      </c>
      <c r="G801" t="s">
        <v>233</v>
      </c>
      <c r="H801" t="s">
        <v>388</v>
      </c>
      <c r="I801" t="s">
        <v>410</v>
      </c>
    </row>
    <row r="802" spans="1:9" x14ac:dyDescent="0.25">
      <c r="A802" t="s">
        <v>385</v>
      </c>
      <c r="B802" t="s">
        <v>591</v>
      </c>
      <c r="C802" t="s">
        <v>469</v>
      </c>
      <c r="D802" t="s">
        <v>412</v>
      </c>
      <c r="E802" t="s">
        <v>412</v>
      </c>
      <c r="F802" t="s">
        <v>477</v>
      </c>
      <c r="G802" t="s">
        <v>233</v>
      </c>
      <c r="H802" t="s">
        <v>388</v>
      </c>
      <c r="I802" t="s">
        <v>30</v>
      </c>
    </row>
    <row r="803" spans="1:9" x14ac:dyDescent="0.25">
      <c r="A803" t="s">
        <v>385</v>
      </c>
      <c r="B803" t="s">
        <v>591</v>
      </c>
      <c r="C803" t="s">
        <v>20</v>
      </c>
      <c r="D803" t="s">
        <v>30</v>
      </c>
      <c r="E803" t="s">
        <v>412</v>
      </c>
      <c r="F803" t="s">
        <v>477</v>
      </c>
      <c r="G803" t="s">
        <v>233</v>
      </c>
      <c r="H803" t="s">
        <v>388</v>
      </c>
      <c r="I803" t="s">
        <v>30</v>
      </c>
    </row>
    <row r="804" spans="1:9" x14ac:dyDescent="0.25">
      <c r="A804" t="s">
        <v>385</v>
      </c>
      <c r="B804" t="s">
        <v>591</v>
      </c>
      <c r="C804" t="s">
        <v>470</v>
      </c>
      <c r="D804">
        <v>20</v>
      </c>
      <c r="E804" t="s">
        <v>412</v>
      </c>
      <c r="F804" t="s">
        <v>477</v>
      </c>
      <c r="G804" t="s">
        <v>233</v>
      </c>
      <c r="H804" t="s">
        <v>388</v>
      </c>
      <c r="I804" t="s">
        <v>30</v>
      </c>
    </row>
    <row r="805" spans="1:9" x14ac:dyDescent="0.25">
      <c r="A805" t="s">
        <v>385</v>
      </c>
      <c r="B805" t="s">
        <v>591</v>
      </c>
      <c r="C805" t="s">
        <v>471</v>
      </c>
      <c r="D805">
        <v>2</v>
      </c>
      <c r="E805" t="s">
        <v>412</v>
      </c>
      <c r="F805" t="s">
        <v>477</v>
      </c>
      <c r="G805" t="s">
        <v>233</v>
      </c>
      <c r="H805" t="s">
        <v>388</v>
      </c>
      <c r="I805" t="s">
        <v>30</v>
      </c>
    </row>
    <row r="806" spans="1:9" x14ac:dyDescent="0.25">
      <c r="A806" t="s">
        <v>385</v>
      </c>
      <c r="B806" t="s">
        <v>591</v>
      </c>
      <c r="C806" t="s">
        <v>472</v>
      </c>
      <c r="D806">
        <v>5</v>
      </c>
      <c r="E806" t="s">
        <v>412</v>
      </c>
      <c r="F806" t="s">
        <v>477</v>
      </c>
      <c r="G806" t="s">
        <v>233</v>
      </c>
      <c r="H806" t="s">
        <v>388</v>
      </c>
      <c r="I806" t="s">
        <v>30</v>
      </c>
    </row>
    <row r="807" spans="1:9" x14ac:dyDescent="0.25">
      <c r="A807" t="s">
        <v>385</v>
      </c>
      <c r="B807" t="s">
        <v>591</v>
      </c>
      <c r="C807" t="s">
        <v>473</v>
      </c>
      <c r="D807" t="s">
        <v>585</v>
      </c>
      <c r="E807" t="s">
        <v>412</v>
      </c>
      <c r="F807" t="s">
        <v>477</v>
      </c>
      <c r="G807" t="s">
        <v>233</v>
      </c>
      <c r="H807" t="s">
        <v>388</v>
      </c>
      <c r="I807" t="s">
        <v>30</v>
      </c>
    </row>
    <row r="808" spans="1:9" x14ac:dyDescent="0.25">
      <c r="A808" t="s">
        <v>385</v>
      </c>
      <c r="B808" t="s">
        <v>591</v>
      </c>
      <c r="C808" t="s">
        <v>474</v>
      </c>
      <c r="D808" t="s">
        <v>479</v>
      </c>
      <c r="E808" t="s">
        <v>412</v>
      </c>
      <c r="F808" t="s">
        <v>477</v>
      </c>
      <c r="G808" t="s">
        <v>233</v>
      </c>
      <c r="H808" t="s">
        <v>388</v>
      </c>
      <c r="I808" t="s">
        <v>30</v>
      </c>
    </row>
    <row r="809" spans="1:9" x14ac:dyDescent="0.25">
      <c r="A809" t="s">
        <v>385</v>
      </c>
      <c r="B809" t="s">
        <v>591</v>
      </c>
      <c r="C809" t="s">
        <v>475</v>
      </c>
      <c r="D809" t="s">
        <v>516</v>
      </c>
      <c r="E809" t="s">
        <v>412</v>
      </c>
      <c r="F809" t="s">
        <v>477</v>
      </c>
      <c r="G809" t="s">
        <v>233</v>
      </c>
      <c r="H809" t="s">
        <v>388</v>
      </c>
      <c r="I809" t="s">
        <v>30</v>
      </c>
    </row>
    <row r="810" spans="1:9" x14ac:dyDescent="0.25">
      <c r="A810" t="s">
        <v>385</v>
      </c>
      <c r="B810" t="s">
        <v>592</v>
      </c>
      <c r="C810" t="s">
        <v>469</v>
      </c>
      <c r="D810" t="s">
        <v>414</v>
      </c>
      <c r="E810" t="s">
        <v>414</v>
      </c>
      <c r="F810" t="s">
        <v>477</v>
      </c>
      <c r="G810" t="s">
        <v>233</v>
      </c>
      <c r="H810" t="s">
        <v>388</v>
      </c>
      <c r="I810" t="s">
        <v>415</v>
      </c>
    </row>
    <row r="811" spans="1:9" x14ac:dyDescent="0.25">
      <c r="A811" t="s">
        <v>385</v>
      </c>
      <c r="B811" t="s">
        <v>592</v>
      </c>
      <c r="C811" t="s">
        <v>20</v>
      </c>
      <c r="D811" t="s">
        <v>415</v>
      </c>
      <c r="E811" t="s">
        <v>414</v>
      </c>
      <c r="F811" t="s">
        <v>477</v>
      </c>
      <c r="G811" t="s">
        <v>233</v>
      </c>
      <c r="H811" t="s">
        <v>388</v>
      </c>
      <c r="I811" t="s">
        <v>415</v>
      </c>
    </row>
    <row r="812" spans="1:9" x14ac:dyDescent="0.25">
      <c r="A812" t="s">
        <v>385</v>
      </c>
      <c r="B812" t="s">
        <v>592</v>
      </c>
      <c r="C812" t="s">
        <v>470</v>
      </c>
      <c r="D812">
        <v>20</v>
      </c>
      <c r="E812" t="s">
        <v>414</v>
      </c>
      <c r="F812" t="s">
        <v>477</v>
      </c>
      <c r="G812" t="s">
        <v>233</v>
      </c>
      <c r="H812" t="s">
        <v>388</v>
      </c>
      <c r="I812" t="s">
        <v>415</v>
      </c>
    </row>
    <row r="813" spans="1:9" x14ac:dyDescent="0.25">
      <c r="A813" t="s">
        <v>385</v>
      </c>
      <c r="B813" t="s">
        <v>592</v>
      </c>
      <c r="C813" t="s">
        <v>471</v>
      </c>
      <c r="D813">
        <v>1</v>
      </c>
      <c r="E813" t="s">
        <v>414</v>
      </c>
      <c r="F813" t="s">
        <v>477</v>
      </c>
      <c r="G813" t="s">
        <v>233</v>
      </c>
      <c r="H813" t="s">
        <v>388</v>
      </c>
      <c r="I813" t="s">
        <v>415</v>
      </c>
    </row>
    <row r="814" spans="1:9" x14ac:dyDescent="0.25">
      <c r="A814" t="s">
        <v>385</v>
      </c>
      <c r="B814" t="s">
        <v>592</v>
      </c>
      <c r="C814" t="s">
        <v>472</v>
      </c>
      <c r="D814">
        <v>6</v>
      </c>
      <c r="E814" t="s">
        <v>414</v>
      </c>
      <c r="F814" t="s">
        <v>477</v>
      </c>
      <c r="G814" t="s">
        <v>233</v>
      </c>
      <c r="H814" t="s">
        <v>388</v>
      </c>
      <c r="I814" t="s">
        <v>415</v>
      </c>
    </row>
    <row r="815" spans="1:9" x14ac:dyDescent="0.25">
      <c r="A815" t="s">
        <v>385</v>
      </c>
      <c r="B815" t="s">
        <v>592</v>
      </c>
      <c r="C815" t="s">
        <v>473</v>
      </c>
      <c r="D815" t="s">
        <v>593</v>
      </c>
      <c r="E815" t="s">
        <v>414</v>
      </c>
      <c r="F815" t="s">
        <v>477</v>
      </c>
      <c r="G815" t="s">
        <v>233</v>
      </c>
      <c r="H815" t="s">
        <v>388</v>
      </c>
      <c r="I815" t="s">
        <v>415</v>
      </c>
    </row>
    <row r="816" spans="1:9" x14ac:dyDescent="0.25">
      <c r="A816" t="s">
        <v>385</v>
      </c>
      <c r="B816" t="s">
        <v>592</v>
      </c>
      <c r="C816" t="s">
        <v>474</v>
      </c>
      <c r="D816" t="s">
        <v>494</v>
      </c>
      <c r="E816" t="s">
        <v>414</v>
      </c>
      <c r="F816" t="s">
        <v>477</v>
      </c>
      <c r="G816" t="s">
        <v>233</v>
      </c>
      <c r="H816" t="s">
        <v>388</v>
      </c>
      <c r="I816" t="s">
        <v>415</v>
      </c>
    </row>
    <row r="817" spans="1:9" x14ac:dyDescent="0.25">
      <c r="A817" t="s">
        <v>385</v>
      </c>
      <c r="B817" t="s">
        <v>592</v>
      </c>
      <c r="C817" t="s">
        <v>475</v>
      </c>
      <c r="D817" t="s">
        <v>233</v>
      </c>
      <c r="E817" t="s">
        <v>414</v>
      </c>
      <c r="F817" t="s">
        <v>477</v>
      </c>
      <c r="G817" t="s">
        <v>233</v>
      </c>
      <c r="H817" t="s">
        <v>388</v>
      </c>
      <c r="I817" t="s">
        <v>415</v>
      </c>
    </row>
    <row r="818" spans="1:9" x14ac:dyDescent="0.25">
      <c r="A818" t="s">
        <v>385</v>
      </c>
      <c r="B818" t="s">
        <v>594</v>
      </c>
      <c r="C818" t="s">
        <v>469</v>
      </c>
      <c r="D818" t="s">
        <v>417</v>
      </c>
      <c r="E818" t="s">
        <v>417</v>
      </c>
      <c r="F818" t="s">
        <v>477</v>
      </c>
      <c r="G818" t="s">
        <v>233</v>
      </c>
      <c r="H818" t="s">
        <v>388</v>
      </c>
      <c r="I818" t="s">
        <v>7</v>
      </c>
    </row>
    <row r="819" spans="1:9" x14ac:dyDescent="0.25">
      <c r="A819" t="s">
        <v>385</v>
      </c>
      <c r="B819" t="s">
        <v>594</v>
      </c>
      <c r="C819" t="s">
        <v>20</v>
      </c>
      <c r="D819" t="s">
        <v>7</v>
      </c>
      <c r="E819" t="s">
        <v>417</v>
      </c>
      <c r="F819" t="s">
        <v>477</v>
      </c>
      <c r="G819" t="s">
        <v>233</v>
      </c>
      <c r="H819" t="s">
        <v>388</v>
      </c>
      <c r="I819" t="s">
        <v>7</v>
      </c>
    </row>
    <row r="820" spans="1:9" x14ac:dyDescent="0.25">
      <c r="A820" t="s">
        <v>385</v>
      </c>
      <c r="B820" t="s">
        <v>594</v>
      </c>
      <c r="C820" t="s">
        <v>470</v>
      </c>
      <c r="D820">
        <v>20</v>
      </c>
      <c r="E820" t="s">
        <v>417</v>
      </c>
      <c r="F820" t="s">
        <v>477</v>
      </c>
      <c r="G820" t="s">
        <v>233</v>
      </c>
      <c r="H820" t="s">
        <v>388</v>
      </c>
      <c r="I820" t="s">
        <v>7</v>
      </c>
    </row>
    <row r="821" spans="1:9" x14ac:dyDescent="0.25">
      <c r="A821" t="s">
        <v>385</v>
      </c>
      <c r="B821" t="s">
        <v>594</v>
      </c>
      <c r="C821" t="s">
        <v>471</v>
      </c>
      <c r="D821">
        <v>1</v>
      </c>
      <c r="E821" t="s">
        <v>417</v>
      </c>
      <c r="F821" t="s">
        <v>477</v>
      </c>
      <c r="G821" t="s">
        <v>233</v>
      </c>
      <c r="H821" t="s">
        <v>388</v>
      </c>
      <c r="I821" t="s">
        <v>7</v>
      </c>
    </row>
    <row r="822" spans="1:9" x14ac:dyDescent="0.25">
      <c r="A822" t="s">
        <v>385</v>
      </c>
      <c r="B822" t="s">
        <v>594</v>
      </c>
      <c r="C822" t="s">
        <v>472</v>
      </c>
      <c r="D822">
        <v>6</v>
      </c>
      <c r="E822" t="s">
        <v>417</v>
      </c>
      <c r="F822" t="s">
        <v>477</v>
      </c>
      <c r="G822" t="s">
        <v>233</v>
      </c>
      <c r="H822" t="s">
        <v>388</v>
      </c>
      <c r="I822" t="s">
        <v>7</v>
      </c>
    </row>
    <row r="823" spans="1:9" x14ac:dyDescent="0.25">
      <c r="A823" t="s">
        <v>385</v>
      </c>
      <c r="B823" t="s">
        <v>594</v>
      </c>
      <c r="C823" t="s">
        <v>473</v>
      </c>
      <c r="D823" t="s">
        <v>595</v>
      </c>
      <c r="E823" t="s">
        <v>417</v>
      </c>
      <c r="F823" t="s">
        <v>477</v>
      </c>
      <c r="G823" t="s">
        <v>233</v>
      </c>
      <c r="H823" t="s">
        <v>388</v>
      </c>
      <c r="I823" t="s">
        <v>7</v>
      </c>
    </row>
    <row r="824" spans="1:9" x14ac:dyDescent="0.25">
      <c r="A824" t="s">
        <v>385</v>
      </c>
      <c r="B824" t="s">
        <v>594</v>
      </c>
      <c r="C824" t="s">
        <v>474</v>
      </c>
      <c r="D824" t="s">
        <v>479</v>
      </c>
      <c r="E824" t="s">
        <v>417</v>
      </c>
      <c r="F824" t="s">
        <v>477</v>
      </c>
      <c r="G824" t="s">
        <v>233</v>
      </c>
      <c r="H824" t="s">
        <v>388</v>
      </c>
      <c r="I824" t="s">
        <v>7</v>
      </c>
    </row>
    <row r="825" spans="1:9" x14ac:dyDescent="0.25">
      <c r="A825" t="s">
        <v>385</v>
      </c>
      <c r="B825" t="s">
        <v>594</v>
      </c>
      <c r="C825" t="s">
        <v>475</v>
      </c>
      <c r="D825" t="s">
        <v>233</v>
      </c>
      <c r="E825" t="s">
        <v>417</v>
      </c>
      <c r="F825" t="s">
        <v>477</v>
      </c>
      <c r="G825" t="s">
        <v>233</v>
      </c>
      <c r="H825" t="s">
        <v>388</v>
      </c>
      <c r="I825" t="s">
        <v>7</v>
      </c>
    </row>
    <row r="826" spans="1:9" x14ac:dyDescent="0.25">
      <c r="A826" t="s">
        <v>385</v>
      </c>
      <c r="B826" t="s">
        <v>596</v>
      </c>
      <c r="C826" t="s">
        <v>469</v>
      </c>
      <c r="D826" t="s">
        <v>419</v>
      </c>
      <c r="E826" t="s">
        <v>419</v>
      </c>
      <c r="F826" t="s">
        <v>477</v>
      </c>
      <c r="G826" t="s">
        <v>233</v>
      </c>
      <c r="H826" t="s">
        <v>388</v>
      </c>
      <c r="I826" t="s">
        <v>245</v>
      </c>
    </row>
    <row r="827" spans="1:9" x14ac:dyDescent="0.25">
      <c r="A827" t="s">
        <v>385</v>
      </c>
      <c r="B827" t="s">
        <v>596</v>
      </c>
      <c r="C827" t="s">
        <v>20</v>
      </c>
      <c r="D827" t="s">
        <v>245</v>
      </c>
      <c r="E827" t="s">
        <v>419</v>
      </c>
      <c r="F827" t="s">
        <v>477</v>
      </c>
      <c r="G827" t="s">
        <v>233</v>
      </c>
      <c r="H827" t="s">
        <v>388</v>
      </c>
      <c r="I827" t="s">
        <v>245</v>
      </c>
    </row>
    <row r="828" spans="1:9" x14ac:dyDescent="0.25">
      <c r="A828" t="s">
        <v>385</v>
      </c>
      <c r="B828" t="s">
        <v>596</v>
      </c>
      <c r="C828" t="s">
        <v>470</v>
      </c>
      <c r="D828">
        <v>20</v>
      </c>
      <c r="E828" t="s">
        <v>419</v>
      </c>
      <c r="F828" t="s">
        <v>477</v>
      </c>
      <c r="G828" t="s">
        <v>233</v>
      </c>
      <c r="H828" t="s">
        <v>388</v>
      </c>
      <c r="I828" t="s">
        <v>245</v>
      </c>
    </row>
    <row r="829" spans="1:9" x14ac:dyDescent="0.25">
      <c r="A829" t="s">
        <v>385</v>
      </c>
      <c r="B829" t="s">
        <v>596</v>
      </c>
      <c r="C829" t="s">
        <v>471</v>
      </c>
      <c r="D829">
        <v>2</v>
      </c>
      <c r="E829" t="s">
        <v>419</v>
      </c>
      <c r="F829" t="s">
        <v>477</v>
      </c>
      <c r="G829" t="s">
        <v>233</v>
      </c>
      <c r="H829" t="s">
        <v>388</v>
      </c>
      <c r="I829" t="s">
        <v>245</v>
      </c>
    </row>
    <row r="830" spans="1:9" x14ac:dyDescent="0.25">
      <c r="A830" t="s">
        <v>385</v>
      </c>
      <c r="B830" t="s">
        <v>596</v>
      </c>
      <c r="C830" t="s">
        <v>472</v>
      </c>
      <c r="D830">
        <v>6</v>
      </c>
      <c r="E830" t="s">
        <v>419</v>
      </c>
      <c r="F830" t="s">
        <v>477</v>
      </c>
      <c r="G830" t="s">
        <v>233</v>
      </c>
      <c r="H830" t="s">
        <v>388</v>
      </c>
      <c r="I830" t="s">
        <v>245</v>
      </c>
    </row>
    <row r="831" spans="1:9" x14ac:dyDescent="0.25">
      <c r="A831" t="s">
        <v>385</v>
      </c>
      <c r="B831" t="s">
        <v>596</v>
      </c>
      <c r="C831" t="s">
        <v>473</v>
      </c>
      <c r="D831" t="s">
        <v>597</v>
      </c>
      <c r="E831" t="s">
        <v>419</v>
      </c>
      <c r="F831" t="s">
        <v>477</v>
      </c>
      <c r="G831" t="s">
        <v>233</v>
      </c>
      <c r="H831" t="s">
        <v>388</v>
      </c>
      <c r="I831" t="s">
        <v>245</v>
      </c>
    </row>
    <row r="832" spans="1:9" x14ac:dyDescent="0.25">
      <c r="A832" t="s">
        <v>385</v>
      </c>
      <c r="B832" t="s">
        <v>596</v>
      </c>
      <c r="C832" t="s">
        <v>474</v>
      </c>
      <c r="D832" t="s">
        <v>479</v>
      </c>
      <c r="E832" t="s">
        <v>419</v>
      </c>
      <c r="F832" t="s">
        <v>477</v>
      </c>
      <c r="G832" t="s">
        <v>233</v>
      </c>
      <c r="H832" t="s">
        <v>388</v>
      </c>
      <c r="I832" t="s">
        <v>245</v>
      </c>
    </row>
    <row r="833" spans="1:9" x14ac:dyDescent="0.25">
      <c r="A833" t="s">
        <v>385</v>
      </c>
      <c r="B833" t="s">
        <v>596</v>
      </c>
      <c r="C833" t="s">
        <v>475</v>
      </c>
      <c r="D833" t="s">
        <v>519</v>
      </c>
      <c r="E833" t="s">
        <v>419</v>
      </c>
      <c r="F833" t="s">
        <v>477</v>
      </c>
      <c r="G833" t="s">
        <v>233</v>
      </c>
      <c r="H833" t="s">
        <v>388</v>
      </c>
      <c r="I833" t="s">
        <v>245</v>
      </c>
    </row>
    <row r="834" spans="1:9" x14ac:dyDescent="0.25">
      <c r="A834" t="s">
        <v>385</v>
      </c>
      <c r="B834" t="s">
        <v>598</v>
      </c>
      <c r="C834" t="s">
        <v>469</v>
      </c>
      <c r="D834" t="s">
        <v>421</v>
      </c>
      <c r="E834" t="s">
        <v>421</v>
      </c>
      <c r="F834" t="s">
        <v>477</v>
      </c>
      <c r="G834" t="s">
        <v>233</v>
      </c>
      <c r="H834" t="s">
        <v>388</v>
      </c>
      <c r="I834" t="s">
        <v>253</v>
      </c>
    </row>
    <row r="835" spans="1:9" x14ac:dyDescent="0.25">
      <c r="A835" t="s">
        <v>385</v>
      </c>
      <c r="B835" t="s">
        <v>598</v>
      </c>
      <c r="C835" t="s">
        <v>20</v>
      </c>
      <c r="D835" t="s">
        <v>599</v>
      </c>
      <c r="E835" t="s">
        <v>421</v>
      </c>
      <c r="F835" t="s">
        <v>477</v>
      </c>
      <c r="G835" t="s">
        <v>233</v>
      </c>
      <c r="H835" t="s">
        <v>388</v>
      </c>
      <c r="I835" t="s">
        <v>253</v>
      </c>
    </row>
    <row r="836" spans="1:9" x14ac:dyDescent="0.25">
      <c r="A836" t="s">
        <v>385</v>
      </c>
      <c r="B836" t="s">
        <v>598</v>
      </c>
      <c r="C836" t="s">
        <v>470</v>
      </c>
      <c r="D836">
        <v>20</v>
      </c>
      <c r="E836" t="s">
        <v>421</v>
      </c>
      <c r="F836" t="s">
        <v>477</v>
      </c>
      <c r="G836" t="s">
        <v>233</v>
      </c>
      <c r="H836" t="s">
        <v>388</v>
      </c>
      <c r="I836" t="s">
        <v>253</v>
      </c>
    </row>
    <row r="837" spans="1:9" x14ac:dyDescent="0.25">
      <c r="A837" t="s">
        <v>385</v>
      </c>
      <c r="B837" t="s">
        <v>598</v>
      </c>
      <c r="C837" t="s">
        <v>471</v>
      </c>
      <c r="D837">
        <v>2</v>
      </c>
      <c r="E837" t="s">
        <v>421</v>
      </c>
      <c r="F837" t="s">
        <v>477</v>
      </c>
      <c r="G837" t="s">
        <v>233</v>
      </c>
      <c r="H837" t="s">
        <v>388</v>
      </c>
      <c r="I837" t="s">
        <v>253</v>
      </c>
    </row>
    <row r="838" spans="1:9" x14ac:dyDescent="0.25">
      <c r="A838" t="s">
        <v>385</v>
      </c>
      <c r="B838" t="s">
        <v>598</v>
      </c>
      <c r="C838" t="s">
        <v>472</v>
      </c>
      <c r="D838">
        <v>6</v>
      </c>
      <c r="E838" t="s">
        <v>421</v>
      </c>
      <c r="F838" t="s">
        <v>477</v>
      </c>
      <c r="G838" t="s">
        <v>233</v>
      </c>
      <c r="H838" t="s">
        <v>388</v>
      </c>
      <c r="I838" t="s">
        <v>253</v>
      </c>
    </row>
    <row r="839" spans="1:9" x14ac:dyDescent="0.25">
      <c r="A839" t="s">
        <v>385</v>
      </c>
      <c r="B839" t="s">
        <v>598</v>
      </c>
      <c r="C839" t="s">
        <v>473</v>
      </c>
      <c r="D839" t="s">
        <v>593</v>
      </c>
      <c r="E839" t="s">
        <v>421</v>
      </c>
      <c r="F839" t="s">
        <v>477</v>
      </c>
      <c r="G839" t="s">
        <v>233</v>
      </c>
      <c r="H839" t="s">
        <v>388</v>
      </c>
      <c r="I839" t="s">
        <v>253</v>
      </c>
    </row>
    <row r="840" spans="1:9" x14ac:dyDescent="0.25">
      <c r="A840" t="s">
        <v>385</v>
      </c>
      <c r="B840" t="s">
        <v>598</v>
      </c>
      <c r="C840" t="s">
        <v>474</v>
      </c>
      <c r="D840" t="s">
        <v>600</v>
      </c>
      <c r="E840" t="s">
        <v>421</v>
      </c>
      <c r="F840" t="s">
        <v>477</v>
      </c>
      <c r="G840" t="s">
        <v>233</v>
      </c>
      <c r="H840" t="s">
        <v>388</v>
      </c>
      <c r="I840" t="s">
        <v>253</v>
      </c>
    </row>
    <row r="841" spans="1:9" x14ac:dyDescent="0.25">
      <c r="A841" t="s">
        <v>385</v>
      </c>
      <c r="B841" t="s">
        <v>598</v>
      </c>
      <c r="C841" t="s">
        <v>475</v>
      </c>
      <c r="D841" t="s">
        <v>233</v>
      </c>
      <c r="E841" t="s">
        <v>421</v>
      </c>
      <c r="F841" t="s">
        <v>477</v>
      </c>
      <c r="G841" t="s">
        <v>233</v>
      </c>
      <c r="H841" t="s">
        <v>388</v>
      </c>
      <c r="I841" t="s">
        <v>253</v>
      </c>
    </row>
    <row r="842" spans="1:9" x14ac:dyDescent="0.25">
      <c r="A842" t="s">
        <v>422</v>
      </c>
      <c r="B842" t="s">
        <v>511</v>
      </c>
      <c r="C842" t="s">
        <v>469</v>
      </c>
      <c r="D842" t="s">
        <v>424</v>
      </c>
      <c r="E842" t="s">
        <v>424</v>
      </c>
      <c r="F842" t="s">
        <v>477</v>
      </c>
      <c r="G842" t="s">
        <v>233</v>
      </c>
      <c r="H842" t="s">
        <v>388</v>
      </c>
      <c r="I842" t="s">
        <v>27</v>
      </c>
    </row>
    <row r="843" spans="1:9" x14ac:dyDescent="0.25">
      <c r="A843" t="s">
        <v>422</v>
      </c>
      <c r="B843" t="s">
        <v>511</v>
      </c>
      <c r="C843" t="s">
        <v>20</v>
      </c>
      <c r="D843" t="s">
        <v>27</v>
      </c>
      <c r="E843" t="s">
        <v>424</v>
      </c>
      <c r="F843" t="s">
        <v>477</v>
      </c>
      <c r="G843" t="s">
        <v>233</v>
      </c>
      <c r="H843" t="s">
        <v>388</v>
      </c>
      <c r="I843" t="s">
        <v>27</v>
      </c>
    </row>
    <row r="844" spans="1:9" x14ac:dyDescent="0.25">
      <c r="A844" t="s">
        <v>422</v>
      </c>
      <c r="B844" t="s">
        <v>511</v>
      </c>
      <c r="C844" t="s">
        <v>470</v>
      </c>
      <c r="E844" t="s">
        <v>424</v>
      </c>
      <c r="F844" t="s">
        <v>477</v>
      </c>
      <c r="G844" t="s">
        <v>233</v>
      </c>
      <c r="H844" t="s">
        <v>388</v>
      </c>
      <c r="I844" t="s">
        <v>27</v>
      </c>
    </row>
    <row r="845" spans="1:9" x14ac:dyDescent="0.25">
      <c r="A845" t="s">
        <v>422</v>
      </c>
      <c r="B845" t="s">
        <v>511</v>
      </c>
      <c r="C845" t="s">
        <v>471</v>
      </c>
      <c r="E845" t="s">
        <v>424</v>
      </c>
      <c r="F845" t="s">
        <v>477</v>
      </c>
      <c r="G845" t="s">
        <v>233</v>
      </c>
      <c r="H845" t="s">
        <v>388</v>
      </c>
      <c r="I845" t="s">
        <v>27</v>
      </c>
    </row>
    <row r="846" spans="1:9" x14ac:dyDescent="0.25">
      <c r="A846" t="s">
        <v>422</v>
      </c>
      <c r="B846" t="s">
        <v>511</v>
      </c>
      <c r="C846" t="s">
        <v>472</v>
      </c>
      <c r="E846" t="s">
        <v>424</v>
      </c>
      <c r="F846" t="s">
        <v>477</v>
      </c>
      <c r="G846" t="s">
        <v>233</v>
      </c>
      <c r="H846" t="s">
        <v>388</v>
      </c>
      <c r="I846" t="s">
        <v>27</v>
      </c>
    </row>
    <row r="847" spans="1:9" x14ac:dyDescent="0.25">
      <c r="A847" t="s">
        <v>422</v>
      </c>
      <c r="B847" t="s">
        <v>511</v>
      </c>
      <c r="C847" t="s">
        <v>473</v>
      </c>
      <c r="E847" t="s">
        <v>424</v>
      </c>
      <c r="F847" t="s">
        <v>477</v>
      </c>
      <c r="G847" t="s">
        <v>233</v>
      </c>
      <c r="H847" t="s">
        <v>388</v>
      </c>
      <c r="I847" t="s">
        <v>27</v>
      </c>
    </row>
    <row r="848" spans="1:9" x14ac:dyDescent="0.25">
      <c r="A848" t="s">
        <v>422</v>
      </c>
      <c r="B848" t="s">
        <v>511</v>
      </c>
      <c r="C848" t="s">
        <v>474</v>
      </c>
      <c r="D848" t="s">
        <v>512</v>
      </c>
      <c r="E848" t="s">
        <v>424</v>
      </c>
      <c r="F848" t="s">
        <v>477</v>
      </c>
      <c r="G848" t="s">
        <v>233</v>
      </c>
      <c r="H848" t="s">
        <v>388</v>
      </c>
      <c r="I848" t="s">
        <v>27</v>
      </c>
    </row>
    <row r="849" spans="1:9" x14ac:dyDescent="0.25">
      <c r="A849" t="s">
        <v>422</v>
      </c>
      <c r="B849" t="s">
        <v>511</v>
      </c>
      <c r="C849" t="s">
        <v>475</v>
      </c>
      <c r="E849" t="s">
        <v>424</v>
      </c>
      <c r="F849" t="s">
        <v>477</v>
      </c>
      <c r="G849" t="s">
        <v>233</v>
      </c>
      <c r="H849" t="s">
        <v>388</v>
      </c>
      <c r="I849" t="s">
        <v>27</v>
      </c>
    </row>
    <row r="850" spans="1:9" x14ac:dyDescent="0.25">
      <c r="A850" t="s">
        <v>422</v>
      </c>
      <c r="B850" t="s">
        <v>528</v>
      </c>
      <c r="C850" t="s">
        <v>469</v>
      </c>
      <c r="D850" t="s">
        <v>444</v>
      </c>
      <c r="E850" t="s">
        <v>444</v>
      </c>
      <c r="F850" t="s">
        <v>477</v>
      </c>
      <c r="G850" t="s">
        <v>233</v>
      </c>
      <c r="H850" t="s">
        <v>388</v>
      </c>
      <c r="I850" t="s">
        <v>19</v>
      </c>
    </row>
    <row r="851" spans="1:9" x14ac:dyDescent="0.25">
      <c r="A851" t="s">
        <v>422</v>
      </c>
      <c r="B851" t="s">
        <v>528</v>
      </c>
      <c r="C851" t="s">
        <v>20</v>
      </c>
      <c r="D851" t="s">
        <v>19</v>
      </c>
      <c r="E851" t="s">
        <v>444</v>
      </c>
      <c r="F851" t="s">
        <v>477</v>
      </c>
      <c r="G851" t="s">
        <v>233</v>
      </c>
      <c r="H851" t="s">
        <v>388</v>
      </c>
      <c r="I851" t="s">
        <v>19</v>
      </c>
    </row>
    <row r="852" spans="1:9" x14ac:dyDescent="0.25">
      <c r="A852" t="s">
        <v>422</v>
      </c>
      <c r="B852" t="s">
        <v>528</v>
      </c>
      <c r="C852" t="s">
        <v>470</v>
      </c>
      <c r="D852">
        <v>40</v>
      </c>
      <c r="E852" t="s">
        <v>444</v>
      </c>
      <c r="F852" t="s">
        <v>477</v>
      </c>
      <c r="G852" t="s">
        <v>233</v>
      </c>
      <c r="H852" t="s">
        <v>388</v>
      </c>
      <c r="I852" t="s">
        <v>19</v>
      </c>
    </row>
    <row r="853" spans="1:9" x14ac:dyDescent="0.25">
      <c r="A853" t="s">
        <v>422</v>
      </c>
      <c r="B853" t="s">
        <v>528</v>
      </c>
      <c r="C853" t="s">
        <v>471</v>
      </c>
      <c r="D853" t="s">
        <v>492</v>
      </c>
      <c r="E853" t="s">
        <v>444</v>
      </c>
      <c r="F853" t="s">
        <v>477</v>
      </c>
      <c r="G853" t="s">
        <v>233</v>
      </c>
      <c r="H853" t="s">
        <v>388</v>
      </c>
      <c r="I853" t="s">
        <v>19</v>
      </c>
    </row>
    <row r="854" spans="1:9" x14ac:dyDescent="0.25">
      <c r="A854" t="s">
        <v>422</v>
      </c>
      <c r="B854" t="s">
        <v>528</v>
      </c>
      <c r="C854" t="s">
        <v>472</v>
      </c>
      <c r="D854">
        <v>6</v>
      </c>
      <c r="E854" t="s">
        <v>444</v>
      </c>
      <c r="F854" t="s">
        <v>477</v>
      </c>
      <c r="G854" t="s">
        <v>233</v>
      </c>
      <c r="H854" t="s">
        <v>388</v>
      </c>
      <c r="I854" t="s">
        <v>19</v>
      </c>
    </row>
    <row r="855" spans="1:9" x14ac:dyDescent="0.25">
      <c r="A855" t="s">
        <v>422</v>
      </c>
      <c r="B855" t="s">
        <v>528</v>
      </c>
      <c r="C855" t="s">
        <v>473</v>
      </c>
      <c r="E855" t="s">
        <v>444</v>
      </c>
      <c r="F855" t="s">
        <v>477</v>
      </c>
      <c r="G855" t="s">
        <v>233</v>
      </c>
      <c r="H855" t="s">
        <v>388</v>
      </c>
      <c r="I855" t="s">
        <v>19</v>
      </c>
    </row>
    <row r="856" spans="1:9" x14ac:dyDescent="0.25">
      <c r="A856" t="s">
        <v>422</v>
      </c>
      <c r="B856" t="s">
        <v>528</v>
      </c>
      <c r="C856" t="s">
        <v>474</v>
      </c>
      <c r="D856" t="s">
        <v>529</v>
      </c>
      <c r="E856" t="s">
        <v>444</v>
      </c>
      <c r="F856" t="s">
        <v>477</v>
      </c>
      <c r="G856" t="s">
        <v>233</v>
      </c>
      <c r="H856" t="s">
        <v>388</v>
      </c>
      <c r="I856" t="s">
        <v>19</v>
      </c>
    </row>
    <row r="857" spans="1:9" x14ac:dyDescent="0.25">
      <c r="A857" t="s">
        <v>422</v>
      </c>
      <c r="B857" t="s">
        <v>528</v>
      </c>
      <c r="C857" t="s">
        <v>475</v>
      </c>
      <c r="D857" t="s">
        <v>516</v>
      </c>
      <c r="E857" t="s">
        <v>444</v>
      </c>
      <c r="F857" t="s">
        <v>477</v>
      </c>
      <c r="G857" t="s">
        <v>233</v>
      </c>
      <c r="H857" t="s">
        <v>388</v>
      </c>
      <c r="I857" t="s">
        <v>19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BB1DD-F469-4B0C-8EE9-FF16EC784179}">
  <sheetPr codeName="Sheet32"/>
  <dimension ref="C4:T102"/>
  <sheetViews>
    <sheetView topLeftCell="A12" workbookViewId="0">
      <selection activeCell="A28" sqref="A28"/>
    </sheetView>
  </sheetViews>
  <sheetFormatPr defaultColWidth="8.85546875" defaultRowHeight="15" x14ac:dyDescent="0.25"/>
  <cols>
    <col min="7" max="7" width="11.28515625" customWidth="1"/>
    <col min="10" max="10" width="19.28515625" bestFit="1" customWidth="1"/>
    <col min="19" max="19" width="28.28515625" customWidth="1"/>
    <col min="20" max="20" width="16.140625" customWidth="1"/>
  </cols>
  <sheetData>
    <row r="4" spans="3:10" x14ac:dyDescent="0.25">
      <c r="C4" t="s">
        <v>1183</v>
      </c>
      <c r="E4" t="s">
        <v>1184</v>
      </c>
      <c r="G4" t="s">
        <v>1184</v>
      </c>
      <c r="J4" t="s">
        <v>1185</v>
      </c>
    </row>
    <row r="7" spans="3:10" ht="15.75" customHeight="1" x14ac:dyDescent="0.25">
      <c r="C7" s="2">
        <v>1</v>
      </c>
      <c r="E7" t="s">
        <v>635</v>
      </c>
      <c r="G7" t="s">
        <v>979</v>
      </c>
      <c r="J7" t="s">
        <v>43</v>
      </c>
    </row>
    <row r="8" spans="3:10" x14ac:dyDescent="0.25">
      <c r="C8" s="2">
        <v>2</v>
      </c>
      <c r="E8" t="s">
        <v>638</v>
      </c>
      <c r="G8" t="s">
        <v>991</v>
      </c>
      <c r="J8" t="s">
        <v>69</v>
      </c>
    </row>
    <row r="9" spans="3:10" x14ac:dyDescent="0.25">
      <c r="C9" s="2" t="s">
        <v>492</v>
      </c>
      <c r="E9" t="s">
        <v>640</v>
      </c>
      <c r="G9" t="s">
        <v>968</v>
      </c>
      <c r="J9" t="s">
        <v>71</v>
      </c>
    </row>
    <row r="10" spans="3:10" x14ac:dyDescent="0.25">
      <c r="E10" t="s">
        <v>641</v>
      </c>
      <c r="G10" t="s">
        <v>263</v>
      </c>
      <c r="J10" t="s">
        <v>83</v>
      </c>
    </row>
    <row r="11" spans="3:10" x14ac:dyDescent="0.25">
      <c r="C11" s="2">
        <v>3</v>
      </c>
      <c r="E11" t="s">
        <v>679</v>
      </c>
      <c r="G11" t="s">
        <v>972</v>
      </c>
      <c r="J11" t="s">
        <v>63</v>
      </c>
    </row>
    <row r="12" spans="3:10" x14ac:dyDescent="0.25">
      <c r="C12" s="2">
        <v>4</v>
      </c>
      <c r="J12" t="s">
        <v>46</v>
      </c>
    </row>
    <row r="13" spans="3:10" x14ac:dyDescent="0.25">
      <c r="C13" s="2">
        <v>5</v>
      </c>
      <c r="J13" t="s">
        <v>93</v>
      </c>
    </row>
    <row r="14" spans="3:10" x14ac:dyDescent="0.25">
      <c r="C14" s="2">
        <v>6</v>
      </c>
      <c r="G14" t="s">
        <v>963</v>
      </c>
      <c r="J14" t="s">
        <v>110</v>
      </c>
    </row>
    <row r="15" spans="3:10" x14ac:dyDescent="0.25">
      <c r="C15" s="2">
        <v>7</v>
      </c>
      <c r="G15" t="s">
        <v>1006</v>
      </c>
      <c r="J15" t="s">
        <v>59</v>
      </c>
    </row>
    <row r="16" spans="3:10" x14ac:dyDescent="0.25">
      <c r="G16" t="s">
        <v>973</v>
      </c>
      <c r="J16" t="s">
        <v>160</v>
      </c>
    </row>
    <row r="17" spans="3:20" x14ac:dyDescent="0.25">
      <c r="C17" t="s">
        <v>494</v>
      </c>
      <c r="G17" t="s">
        <v>1039</v>
      </c>
    </row>
    <row r="18" spans="3:20" x14ac:dyDescent="0.25">
      <c r="C18" t="s">
        <v>512</v>
      </c>
      <c r="G18" t="s">
        <v>980</v>
      </c>
    </row>
    <row r="19" spans="3:20" x14ac:dyDescent="0.25">
      <c r="C19" t="s">
        <v>529</v>
      </c>
      <c r="G19" t="s">
        <v>977</v>
      </c>
      <c r="J19" t="s">
        <v>37</v>
      </c>
      <c r="K19" t="s">
        <v>38</v>
      </c>
    </row>
    <row r="20" spans="3:20" x14ac:dyDescent="0.25">
      <c r="C20" t="s">
        <v>600</v>
      </c>
      <c r="G20" t="s">
        <v>969</v>
      </c>
      <c r="J20" t="s">
        <v>43</v>
      </c>
      <c r="K20" t="s">
        <v>44</v>
      </c>
      <c r="O20" s="4" t="s">
        <v>717</v>
      </c>
      <c r="S20" s="8" t="s">
        <v>1186</v>
      </c>
      <c r="T20" s="9" t="s">
        <v>1187</v>
      </c>
    </row>
    <row r="21" spans="3:20" x14ac:dyDescent="0.25">
      <c r="C21" t="s">
        <v>505</v>
      </c>
      <c r="G21" t="s">
        <v>983</v>
      </c>
      <c r="J21" t="s">
        <v>43</v>
      </c>
      <c r="K21" t="s">
        <v>49</v>
      </c>
      <c r="O21" t="str" cm="1">
        <f t="array" ref="O21:O26">_xlfn._xlws.FILTER(LISTS_Table[Skill],LISTS_Table[Category]="Scientific Knowledge")</f>
        <v>Critical thinking</v>
      </c>
      <c r="S21" s="10" t="s">
        <v>43</v>
      </c>
      <c r="T21" s="11" t="s">
        <v>1188</v>
      </c>
    </row>
    <row r="22" spans="3:20" x14ac:dyDescent="0.25">
      <c r="C22" t="s">
        <v>479</v>
      </c>
      <c r="G22" t="s">
        <v>992</v>
      </c>
      <c r="J22" t="s">
        <v>43</v>
      </c>
      <c r="K22" t="s">
        <v>53</v>
      </c>
      <c r="O22" t="str">
        <v>Scientific literacy</v>
      </c>
      <c r="S22" s="12" t="s">
        <v>69</v>
      </c>
      <c r="T22" s="13" t="s">
        <v>1189</v>
      </c>
    </row>
    <row r="23" spans="3:20" x14ac:dyDescent="0.25">
      <c r="G23" t="s">
        <v>1014</v>
      </c>
      <c r="J23" t="s">
        <v>43</v>
      </c>
      <c r="K23" t="s">
        <v>57</v>
      </c>
      <c r="O23" t="str">
        <v>Information retrieval</v>
      </c>
      <c r="S23" s="10" t="s">
        <v>71</v>
      </c>
      <c r="T23" s="11" t="s">
        <v>1190</v>
      </c>
    </row>
    <row r="24" spans="3:20" x14ac:dyDescent="0.25">
      <c r="G24" t="s">
        <v>1156</v>
      </c>
      <c r="J24" t="s">
        <v>43</v>
      </c>
      <c r="K24" t="s">
        <v>61</v>
      </c>
      <c r="O24" t="str">
        <v>Knowledge synthesis</v>
      </c>
      <c r="S24" s="12" t="s">
        <v>83</v>
      </c>
      <c r="T24" s="13" t="s">
        <v>1191</v>
      </c>
    </row>
    <row r="25" spans="3:20" x14ac:dyDescent="0.25">
      <c r="G25" t="s">
        <v>985</v>
      </c>
      <c r="J25" t="s">
        <v>43</v>
      </c>
      <c r="K25" t="s">
        <v>66</v>
      </c>
      <c r="O25" t="str">
        <v>Domian-specfic analytical skills</v>
      </c>
      <c r="S25" s="10" t="s">
        <v>63</v>
      </c>
      <c r="T25" s="11" t="s">
        <v>1192</v>
      </c>
    </row>
    <row r="26" spans="3:20" x14ac:dyDescent="0.25">
      <c r="C26" t="s">
        <v>42</v>
      </c>
      <c r="G26" t="s">
        <v>1193</v>
      </c>
      <c r="J26" t="s">
        <v>69</v>
      </c>
      <c r="K26" t="s">
        <v>70</v>
      </c>
      <c r="O26" t="str">
        <v>Evidence evaluation</v>
      </c>
      <c r="S26" s="12" t="s">
        <v>46</v>
      </c>
      <c r="T26" s="13" t="s">
        <v>46</v>
      </c>
    </row>
    <row r="27" spans="3:20" x14ac:dyDescent="0.25">
      <c r="C27" t="s">
        <v>114</v>
      </c>
      <c r="G27" t="s">
        <v>1012</v>
      </c>
      <c r="J27" t="s">
        <v>69</v>
      </c>
      <c r="K27" t="s">
        <v>74</v>
      </c>
      <c r="S27" s="10" t="s">
        <v>93</v>
      </c>
      <c r="T27" s="11" t="s">
        <v>1194</v>
      </c>
    </row>
    <row r="28" spans="3:20" x14ac:dyDescent="0.25">
      <c r="C28" t="s">
        <v>133</v>
      </c>
      <c r="G28" t="s">
        <v>1008</v>
      </c>
      <c r="J28" t="s">
        <v>69</v>
      </c>
      <c r="K28" t="s">
        <v>77</v>
      </c>
      <c r="O28" s="1" t="s">
        <v>719</v>
      </c>
      <c r="S28" s="12" t="s">
        <v>110</v>
      </c>
      <c r="T28" s="13" t="s">
        <v>1195</v>
      </c>
    </row>
    <row r="29" spans="3:20" x14ac:dyDescent="0.25">
      <c r="C29" t="s">
        <v>152</v>
      </c>
      <c r="J29" t="s">
        <v>69</v>
      </c>
      <c r="K29" t="s">
        <v>79</v>
      </c>
      <c r="O29" t="str" cm="1">
        <f t="array" ref="O29:O34">_xlfn._xlws.FILTER(LISTS_Table[Skill],LISTS_Table[Category]="Technical Skills")</f>
        <v>Laboratory/clinical techniques</v>
      </c>
      <c r="S29" s="10" t="s">
        <v>59</v>
      </c>
      <c r="T29" s="11" t="s">
        <v>1196</v>
      </c>
    </row>
    <row r="30" spans="3:20" x14ac:dyDescent="0.25">
      <c r="C30" t="s">
        <v>169</v>
      </c>
      <c r="J30" t="s">
        <v>69</v>
      </c>
      <c r="K30" t="s">
        <v>80</v>
      </c>
      <c r="O30" t="str">
        <v>Data collection</v>
      </c>
      <c r="S30" s="7" t="s">
        <v>160</v>
      </c>
      <c r="T30" s="6" t="s">
        <v>1197</v>
      </c>
    </row>
    <row r="31" spans="3:20" x14ac:dyDescent="0.25">
      <c r="C31" t="s">
        <v>233</v>
      </c>
      <c r="J31" t="s">
        <v>69</v>
      </c>
      <c r="K31" t="s">
        <v>82</v>
      </c>
      <c r="O31" t="str">
        <v>Data analysis</v>
      </c>
    </row>
    <row r="32" spans="3:20" x14ac:dyDescent="0.25">
      <c r="C32" t="s">
        <v>516</v>
      </c>
      <c r="J32" t="s">
        <v>71</v>
      </c>
      <c r="K32" t="s">
        <v>86</v>
      </c>
      <c r="O32" t="str">
        <v>Digital literacy</v>
      </c>
    </row>
    <row r="33" spans="3:15" x14ac:dyDescent="0.25">
      <c r="C33" t="s">
        <v>527</v>
      </c>
      <c r="J33" t="s">
        <v>71</v>
      </c>
      <c r="K33" t="s">
        <v>90</v>
      </c>
      <c r="O33" t="str">
        <v>Equipment and technology utilisation</v>
      </c>
    </row>
    <row r="34" spans="3:15" x14ac:dyDescent="0.25">
      <c r="C34" t="s">
        <v>506</v>
      </c>
      <c r="J34" t="s">
        <v>71</v>
      </c>
      <c r="K34" t="s">
        <v>72</v>
      </c>
      <c r="O34" t="str">
        <v>Technical proficiency</v>
      </c>
    </row>
    <row r="35" spans="3:15" x14ac:dyDescent="0.25">
      <c r="C35" t="s">
        <v>1198</v>
      </c>
      <c r="J35" t="s">
        <v>71</v>
      </c>
      <c r="K35" t="s">
        <v>88</v>
      </c>
    </row>
    <row r="36" spans="3:15" x14ac:dyDescent="0.25">
      <c r="C36" t="s">
        <v>1199</v>
      </c>
      <c r="J36" t="s">
        <v>71</v>
      </c>
      <c r="K36" t="s">
        <v>98</v>
      </c>
      <c r="O36" s="4" t="s">
        <v>723</v>
      </c>
    </row>
    <row r="37" spans="3:15" x14ac:dyDescent="0.25">
      <c r="C37" t="s">
        <v>519</v>
      </c>
      <c r="J37" t="s">
        <v>71</v>
      </c>
      <c r="K37" t="s">
        <v>99</v>
      </c>
      <c r="O37" t="str" cm="1">
        <f t="array" ref="O37:O42">_xlfn._xlws.FILTER(LISTS_Table[Skill],LISTS_Table[Category]="Application of Knowledge and skills")</f>
        <v>Decision-making</v>
      </c>
    </row>
    <row r="38" spans="3:15" x14ac:dyDescent="0.25">
      <c r="J38" t="s">
        <v>83</v>
      </c>
      <c r="K38" t="s">
        <v>100</v>
      </c>
      <c r="O38" t="str">
        <v>Translational practice</v>
      </c>
    </row>
    <row r="39" spans="3:15" x14ac:dyDescent="0.25">
      <c r="J39" t="s">
        <v>83</v>
      </c>
      <c r="K39" t="s">
        <v>101</v>
      </c>
      <c r="O39" t="str">
        <v>Contextual application</v>
      </c>
    </row>
    <row r="40" spans="3:15" x14ac:dyDescent="0.25">
      <c r="J40" t="s">
        <v>83</v>
      </c>
      <c r="K40" t="s">
        <v>103</v>
      </c>
      <c r="O40" t="str">
        <v>Professional judgement</v>
      </c>
    </row>
    <row r="41" spans="3:15" x14ac:dyDescent="0.25">
      <c r="J41" t="s">
        <v>83</v>
      </c>
      <c r="K41" t="s">
        <v>104</v>
      </c>
      <c r="O41" t="str">
        <v>Adaptability</v>
      </c>
    </row>
    <row r="42" spans="3:15" x14ac:dyDescent="0.25">
      <c r="J42" t="s">
        <v>83</v>
      </c>
      <c r="K42" t="s">
        <v>91</v>
      </c>
      <c r="O42" t="str">
        <v>Risk assessment</v>
      </c>
    </row>
    <row r="43" spans="3:15" x14ac:dyDescent="0.25">
      <c r="J43" t="s">
        <v>83</v>
      </c>
      <c r="K43" t="s">
        <v>84</v>
      </c>
    </row>
    <row r="44" spans="3:15" x14ac:dyDescent="0.25">
      <c r="J44" t="s">
        <v>63</v>
      </c>
      <c r="K44" t="s">
        <v>67</v>
      </c>
      <c r="O44" s="3" t="s">
        <v>83</v>
      </c>
    </row>
    <row r="45" spans="3:15" x14ac:dyDescent="0.25">
      <c r="J45" t="s">
        <v>63</v>
      </c>
      <c r="K45" t="s">
        <v>113</v>
      </c>
      <c r="O45" t="str" cm="1">
        <f t="array" ref="O45:O50">_xlfn._xlws.FILTER(LISTS_Table[Skill],LISTS_Table[Category]="Understanding and use of research")</f>
        <v>Reserch literacy</v>
      </c>
    </row>
    <row r="46" spans="3:15" x14ac:dyDescent="0.25">
      <c r="J46" t="s">
        <v>63</v>
      </c>
      <c r="K46" t="s">
        <v>116</v>
      </c>
      <c r="O46" t="str">
        <v>Literature searching</v>
      </c>
    </row>
    <row r="47" spans="3:15" x14ac:dyDescent="0.25">
      <c r="J47" t="s">
        <v>63</v>
      </c>
      <c r="K47" t="s">
        <v>64</v>
      </c>
      <c r="O47" t="str">
        <v>Critical appraisal</v>
      </c>
    </row>
    <row r="48" spans="3:15" x14ac:dyDescent="0.25">
      <c r="J48" t="s">
        <v>63</v>
      </c>
      <c r="K48" t="s">
        <v>76</v>
      </c>
      <c r="O48" t="str">
        <v>Data interpretation</v>
      </c>
    </row>
    <row r="49" spans="10:15" x14ac:dyDescent="0.25">
      <c r="J49" t="s">
        <v>63</v>
      </c>
      <c r="K49" t="s">
        <v>120</v>
      </c>
      <c r="O49" t="str">
        <v>Evidne-based practice</v>
      </c>
    </row>
    <row r="50" spans="10:15" x14ac:dyDescent="0.25">
      <c r="J50" t="s">
        <v>63</v>
      </c>
      <c r="K50" t="s">
        <v>122</v>
      </c>
      <c r="O50" t="str">
        <v>Research communication</v>
      </c>
    </row>
    <row r="51" spans="10:15" x14ac:dyDescent="0.25">
      <c r="J51" t="s">
        <v>46</v>
      </c>
      <c r="K51" t="s">
        <v>106</v>
      </c>
    </row>
    <row r="52" spans="10:15" x14ac:dyDescent="0.25">
      <c r="J52" t="s">
        <v>46</v>
      </c>
      <c r="K52" t="s">
        <v>47</v>
      </c>
      <c r="O52" s="3" t="s">
        <v>63</v>
      </c>
    </row>
    <row r="53" spans="10:15" x14ac:dyDescent="0.25">
      <c r="J53" t="s">
        <v>46</v>
      </c>
      <c r="K53" t="s">
        <v>123</v>
      </c>
      <c r="O53" t="str" cm="1">
        <f t="array" ref="O53:O59">_xlfn._xlws.FILTER(LISTS_Table[Skill],LISTS_Table[Category]="Self-evaluation and professional development")</f>
        <v>Reflective practice</v>
      </c>
    </row>
    <row r="54" spans="10:15" x14ac:dyDescent="0.25">
      <c r="J54" t="s">
        <v>46</v>
      </c>
      <c r="K54" t="s">
        <v>124</v>
      </c>
      <c r="O54" t="str">
        <v>Self-awareness</v>
      </c>
    </row>
    <row r="55" spans="10:15" x14ac:dyDescent="0.25">
      <c r="J55" t="s">
        <v>46</v>
      </c>
      <c r="K55" t="s">
        <v>55</v>
      </c>
      <c r="O55" t="str">
        <v>Lifelong learning</v>
      </c>
    </row>
    <row r="56" spans="10:15" x14ac:dyDescent="0.25">
      <c r="J56" t="s">
        <v>46</v>
      </c>
      <c r="K56" t="s">
        <v>51</v>
      </c>
      <c r="O56" t="str">
        <v>Personal development planning</v>
      </c>
    </row>
    <row r="57" spans="10:15" x14ac:dyDescent="0.25">
      <c r="J57" t="s">
        <v>93</v>
      </c>
      <c r="K57" t="s">
        <v>108</v>
      </c>
      <c r="O57" t="str">
        <v>Resilience</v>
      </c>
    </row>
    <row r="58" spans="10:15" x14ac:dyDescent="0.25">
      <c r="J58" t="s">
        <v>93</v>
      </c>
      <c r="K58" t="s">
        <v>128</v>
      </c>
      <c r="O58" t="str">
        <v>Initiative</v>
      </c>
    </row>
    <row r="59" spans="10:15" x14ac:dyDescent="0.25">
      <c r="J59" t="s">
        <v>93</v>
      </c>
      <c r="K59" t="s">
        <v>130</v>
      </c>
      <c r="O59" t="str">
        <v>Accountability</v>
      </c>
    </row>
    <row r="60" spans="10:15" x14ac:dyDescent="0.25">
      <c r="J60" t="s">
        <v>93</v>
      </c>
      <c r="K60" t="s">
        <v>94</v>
      </c>
    </row>
    <row r="61" spans="10:15" x14ac:dyDescent="0.25">
      <c r="J61" t="s">
        <v>93</v>
      </c>
      <c r="K61" t="s">
        <v>132</v>
      </c>
      <c r="O61" s="5" t="s">
        <v>46</v>
      </c>
    </row>
    <row r="62" spans="10:15" x14ac:dyDescent="0.25">
      <c r="J62" t="s">
        <v>93</v>
      </c>
      <c r="K62" t="s">
        <v>135</v>
      </c>
      <c r="O62" t="str" cm="1">
        <f t="array" ref="O62:O67">_xlfn._xlws.FILTER(LISTS_Table[Skill],LISTS_Table[Category]="Communication")</f>
        <v>Written communication</v>
      </c>
    </row>
    <row r="63" spans="10:15" x14ac:dyDescent="0.25">
      <c r="J63" t="s">
        <v>110</v>
      </c>
      <c r="K63" t="s">
        <v>137</v>
      </c>
      <c r="O63" t="str">
        <v>Oral presentation</v>
      </c>
    </row>
    <row r="64" spans="10:15" x14ac:dyDescent="0.25">
      <c r="J64" t="s">
        <v>110</v>
      </c>
      <c r="K64" t="s">
        <v>138</v>
      </c>
      <c r="O64" t="str">
        <v>Active listening</v>
      </c>
    </row>
    <row r="65" spans="10:15" x14ac:dyDescent="0.25">
      <c r="J65" t="s">
        <v>110</v>
      </c>
      <c r="K65" t="s">
        <v>140</v>
      </c>
      <c r="O65" t="str">
        <v>Scientific writing</v>
      </c>
    </row>
    <row r="66" spans="10:15" x14ac:dyDescent="0.25">
      <c r="J66" t="s">
        <v>110</v>
      </c>
      <c r="K66" t="s">
        <v>142</v>
      </c>
      <c r="O66" t="str">
        <v>Interpesronal communication</v>
      </c>
    </row>
    <row r="67" spans="10:15" x14ac:dyDescent="0.25">
      <c r="J67" t="s">
        <v>110</v>
      </c>
      <c r="K67" t="s">
        <v>111</v>
      </c>
      <c r="O67" t="str">
        <v>Digital communication</v>
      </c>
    </row>
    <row r="68" spans="10:15" x14ac:dyDescent="0.25">
      <c r="J68" t="s">
        <v>110</v>
      </c>
      <c r="K68" t="s">
        <v>146</v>
      </c>
    </row>
    <row r="69" spans="10:15" x14ac:dyDescent="0.25">
      <c r="J69" t="s">
        <v>110</v>
      </c>
      <c r="K69" t="s">
        <v>148</v>
      </c>
      <c r="O69" s="5" t="s">
        <v>93</v>
      </c>
    </row>
    <row r="70" spans="10:15" x14ac:dyDescent="0.25">
      <c r="J70" t="s">
        <v>110</v>
      </c>
      <c r="K70" t="s">
        <v>149</v>
      </c>
      <c r="O70" t="str" cm="1">
        <f t="array" ref="O70:O75">_xlfn._xlws.FILTER(LISTS_Table[Skill],LISTS_Table[Category]="Problem solving and impact")</f>
        <v>Analytical thinking</v>
      </c>
    </row>
    <row r="71" spans="10:15" x14ac:dyDescent="0.25">
      <c r="J71" t="s">
        <v>110</v>
      </c>
      <c r="K71" t="s">
        <v>151</v>
      </c>
      <c r="O71" t="str">
        <v>problem identification</v>
      </c>
    </row>
    <row r="72" spans="10:15" x14ac:dyDescent="0.25">
      <c r="J72" t="s">
        <v>59</v>
      </c>
      <c r="K72" t="s">
        <v>154</v>
      </c>
      <c r="O72" t="str">
        <v>Creative thinking</v>
      </c>
    </row>
    <row r="73" spans="10:15" x14ac:dyDescent="0.25">
      <c r="J73" t="s">
        <v>59</v>
      </c>
      <c r="K73" t="s">
        <v>156</v>
      </c>
      <c r="O73" t="str">
        <v>Evidence-based decision making</v>
      </c>
    </row>
    <row r="74" spans="10:15" x14ac:dyDescent="0.25">
      <c r="J74" t="s">
        <v>59</v>
      </c>
      <c r="K74" t="s">
        <v>96</v>
      </c>
      <c r="O74" t="str">
        <v>Innovation</v>
      </c>
    </row>
    <row r="75" spans="10:15" x14ac:dyDescent="0.25">
      <c r="J75" t="s">
        <v>59</v>
      </c>
      <c r="K75" t="s">
        <v>158</v>
      </c>
      <c r="O75" t="str">
        <v>Evaluation of outcomes</v>
      </c>
    </row>
    <row r="76" spans="10:15" x14ac:dyDescent="0.25">
      <c r="J76" t="s">
        <v>59</v>
      </c>
      <c r="K76" t="s">
        <v>60</v>
      </c>
    </row>
    <row r="77" spans="10:15" x14ac:dyDescent="0.25">
      <c r="J77" t="s">
        <v>160</v>
      </c>
      <c r="K77" t="s">
        <v>161</v>
      </c>
      <c r="O77" s="5" t="s">
        <v>110</v>
      </c>
    </row>
    <row r="78" spans="10:15" x14ac:dyDescent="0.25">
      <c r="J78" t="s">
        <v>160</v>
      </c>
      <c r="K78" t="s">
        <v>163</v>
      </c>
      <c r="O78" t="str" cm="1">
        <f t="array" ref="O78:O86">_xlfn._xlws.FILTER(LISTS_Table[Skill],LISTS_Table[Category]="Management of self and others")</f>
        <v>Leadership</v>
      </c>
    </row>
    <row r="79" spans="10:15" x14ac:dyDescent="0.25">
      <c r="J79" t="s">
        <v>160</v>
      </c>
      <c r="K79" t="s">
        <v>165</v>
      </c>
      <c r="O79" t="str">
        <v>Coaching and mentoring</v>
      </c>
    </row>
    <row r="80" spans="10:15" x14ac:dyDescent="0.25">
      <c r="J80" t="s">
        <v>160</v>
      </c>
      <c r="K80" t="s">
        <v>166</v>
      </c>
      <c r="O80" t="str">
        <v>Time management</v>
      </c>
    </row>
    <row r="81" spans="10:15" x14ac:dyDescent="0.25">
      <c r="J81" t="s">
        <v>160</v>
      </c>
      <c r="K81" t="s">
        <v>168</v>
      </c>
      <c r="O81" t="str">
        <v>Organisation</v>
      </c>
    </row>
    <row r="82" spans="10:15" x14ac:dyDescent="0.25">
      <c r="J82" t="s">
        <v>160</v>
      </c>
      <c r="K82" t="s">
        <v>171</v>
      </c>
      <c r="O82" t="str">
        <v>Delegation</v>
      </c>
    </row>
    <row r="83" spans="10:15" x14ac:dyDescent="0.25">
      <c r="J83" t="s">
        <v>160</v>
      </c>
      <c r="K83" t="s">
        <v>173</v>
      </c>
      <c r="O83" t="str">
        <v>Conflict resolution</v>
      </c>
    </row>
    <row r="84" spans="10:15" x14ac:dyDescent="0.25">
      <c r="O84" t="str">
        <v>Empathy</v>
      </c>
    </row>
    <row r="85" spans="10:15" x14ac:dyDescent="0.25">
      <c r="O85" t="str">
        <v>Multi-tasking</v>
      </c>
    </row>
    <row r="86" spans="10:15" x14ac:dyDescent="0.25">
      <c r="O86" t="str">
        <v>Resource management</v>
      </c>
    </row>
    <row r="88" spans="10:15" x14ac:dyDescent="0.25">
      <c r="O88" s="3" t="s">
        <v>59</v>
      </c>
    </row>
    <row r="89" spans="10:15" x14ac:dyDescent="0.25">
      <c r="O89" t="str" cm="1">
        <f t="array" ref="O89:O93">_xlfn._xlws.FILTER(LISTS_Table[Skill],LISTS_Table[Category]="Understanding the delivery environment")</f>
        <v>Organisational awareness</v>
      </c>
    </row>
    <row r="90" spans="10:15" x14ac:dyDescent="0.25">
      <c r="O90" t="str">
        <v>Policy interpretation</v>
      </c>
    </row>
    <row r="91" spans="10:15" x14ac:dyDescent="0.25">
      <c r="O91" t="str">
        <v>Stakeholder awareness</v>
      </c>
    </row>
    <row r="92" spans="10:15" x14ac:dyDescent="0.25">
      <c r="O92" t="str">
        <v>Service delivery</v>
      </c>
    </row>
    <row r="93" spans="10:15" x14ac:dyDescent="0.25">
      <c r="O93" t="str">
        <v>Professional awareness</v>
      </c>
    </row>
    <row r="95" spans="10:15" x14ac:dyDescent="0.25">
      <c r="O95" s="5" t="s">
        <v>1200</v>
      </c>
    </row>
    <row r="96" spans="10:15" x14ac:dyDescent="0.25">
      <c r="O96" t="str" cm="1">
        <f t="array" ref="O96:O102">_xlfn._xlws.FILTER(LISTS_Table[Skill],LISTS_Table[Category]="Professional relationships and behaviours")</f>
        <v>Teamwork</v>
      </c>
    </row>
    <row r="97" spans="15:15" x14ac:dyDescent="0.25">
      <c r="O97" t="str">
        <v>Collaboration/multi-disciplinary working</v>
      </c>
    </row>
    <row r="98" spans="15:15" x14ac:dyDescent="0.25">
      <c r="O98" t="str">
        <v>Ethical practice</v>
      </c>
    </row>
    <row r="99" spans="15:15" x14ac:dyDescent="0.25">
      <c r="O99" t="str">
        <v>Professionalism</v>
      </c>
    </row>
    <row r="100" spans="15:15" x14ac:dyDescent="0.25">
      <c r="O100" t="str">
        <v>Cultural awareness and competence</v>
      </c>
    </row>
    <row r="101" spans="15:15" x14ac:dyDescent="0.25">
      <c r="O101" t="str">
        <v>Integrity</v>
      </c>
    </row>
    <row r="102" spans="15:15" x14ac:dyDescent="0.25">
      <c r="O102" t="str">
        <v>Respect</v>
      </c>
    </row>
  </sheetData>
  <sheetProtection sheet="1" objects="1" scenarios="1" sort="0" autoFilter="0" pivotTables="0"/>
  <sortState xmlns:xlrd2="http://schemas.microsoft.com/office/spreadsheetml/2017/richdata2" ref="C26:C31">
    <sortCondition ref="C31"/>
  </sortState>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5424D8F461E94980DF8EC8486B8636" ma:contentTypeVersion="10" ma:contentTypeDescription="Create a new document." ma:contentTypeScope="" ma:versionID="bcfcf74337161f6441250f8f4cf7d932">
  <xsd:schema xmlns:xsd="http://www.w3.org/2001/XMLSchema" xmlns:xs="http://www.w3.org/2001/XMLSchema" xmlns:p="http://schemas.microsoft.com/office/2006/metadata/properties" xmlns:ns2="f1436123-e04c-43f8-b7d8-6e3401685a6a" xmlns:ns3="e2acc87f-978a-4c56-9887-574fe2c7e53e" targetNamespace="http://schemas.microsoft.com/office/2006/metadata/properties" ma:root="true" ma:fieldsID="c081e04d381fea11733dd13b3c4e862f" ns2:_="" ns3:_="">
    <xsd:import namespace="f1436123-e04c-43f8-b7d8-6e3401685a6a"/>
    <xsd:import namespace="e2acc87f-978a-4c56-9887-574fe2c7e53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Location"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436123-e04c-43f8-b7d8-6e3401685a6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13fea976-0fb7-4036-bc8a-08177e9f5879" ma:termSetId="09814cd3-568e-fe90-9814-8d621ff8fb84" ma:anchorId="fba54fb3-c3e1-fe81-a776-ca4b69148c4d" ma:open="true" ma:isKeyword="false">
      <xsd:complexType>
        <xsd:sequence>
          <xsd:element ref="pc:Terms" minOccurs="0" maxOccurs="1"/>
        </xsd:sequence>
      </xsd:complexType>
    </xsd:element>
    <xsd:element name="MediaServiceLocation" ma:index="15" nillable="true" ma:displayName="Location" ma:indexed="true"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2acc87f-978a-4c56-9887-574fe2c7e53e"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ac9bdcf-c2d0-47d2-a991-206be5278a68}" ma:internalName="TaxCatchAll" ma:showField="CatchAllData" ma:web="e2acc87f-978a-4c56-9887-574fe2c7e53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1436123-e04c-43f8-b7d8-6e3401685a6a">
      <Terms xmlns="http://schemas.microsoft.com/office/infopath/2007/PartnerControls"/>
    </lcf76f155ced4ddcb4097134ff3c332f>
    <TaxCatchAll xmlns="e2acc87f-978a-4c56-9887-574fe2c7e53e" xsi:nil="true"/>
  </documentManagement>
</p:properties>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EC2277A-D9ED-4816-935C-C90FD1E76CA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436123-e04c-43f8-b7d8-6e3401685a6a"/>
    <ds:schemaRef ds:uri="e2acc87f-978a-4c56-9887-574fe2c7e53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89D2076-FDB4-4F5A-9AB8-4257F37ABF29}">
  <ds:schemaRefs>
    <ds:schemaRef ds:uri="http://schemas.microsoft.com/DataMashup"/>
  </ds:schemaRefs>
</ds:datastoreItem>
</file>

<file path=customXml/itemProps3.xml><?xml version="1.0" encoding="utf-8"?>
<ds:datastoreItem xmlns:ds="http://schemas.openxmlformats.org/officeDocument/2006/customXml" ds:itemID="{E926B8C1-52E8-4875-97D8-8065275A389C}">
  <ds:schemaRefs>
    <ds:schemaRef ds:uri="e2acc87f-978a-4c56-9887-574fe2c7e53e"/>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schemas.openxmlformats.org/package/2006/metadata/core-properties"/>
    <ds:schemaRef ds:uri="http://purl.org/dc/terms/"/>
    <ds:schemaRef ds:uri="f1436123-e04c-43f8-b7d8-6e3401685a6a"/>
    <ds:schemaRef ds:uri="http://www.w3.org/XML/1998/namespace"/>
    <ds:schemaRef ds:uri="http://purl.org/dc/dcmitype/"/>
  </ds:schemaRefs>
</ds:datastoreItem>
</file>

<file path=customXml/itemProps4.xml><?xml version="1.0" encoding="utf-8"?>
<ds:datastoreItem xmlns:ds="http://schemas.openxmlformats.org/officeDocument/2006/customXml" ds:itemID="{F68FF4DD-0CC1-430F-BDA6-0C89361FBF1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DASH</vt:lpstr>
      <vt:lpstr>All_SkillsCoverage</vt:lpstr>
      <vt:lpstr>All_Hours_Wide</vt:lpstr>
      <vt:lpstr>All_Meta_Wide</vt:lpstr>
      <vt:lpstr>All_Mapping</vt:lpstr>
      <vt:lpstr>All_LO</vt:lpstr>
      <vt:lpstr>All_Assess</vt:lpstr>
      <vt:lpstr>All_Meta</vt:lpstr>
      <vt:lpstr>LISTS</vt:lpstr>
      <vt:lpstr>SkillNameMap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Robinson, Mark</dc:creator>
  <cp:keywords/>
  <dc:description/>
  <cp:lastModifiedBy>Robinson, Mark</cp:lastModifiedBy>
  <cp:revision/>
  <dcterms:created xsi:type="dcterms:W3CDTF">2026-07-01T09:36:48Z</dcterms:created>
  <dcterms:modified xsi:type="dcterms:W3CDTF">2026-09-08T10:49:15Z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0x010100AF5424D8F461E94980DF8EC8486B8636</vt:lpwstr>
  </property>
  <property fmtid="{D5CDD505-2E9C-101B-9397-08002B2CF9AE}" pid="3" name="MediaServiceImageTags">
    <vt:lpwstr/>
  </property>
</Properties>
</file>