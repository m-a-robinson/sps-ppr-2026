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tables/table177.xml" ContentType="application/vnd.openxmlformats-officedocument.spreadsheetml.table+xml"/>
  <Override PartName="/xl/tables/table178.xml" ContentType="application/vnd.openxmlformats-officedocument.spreadsheetml.table+xml"/>
  <Override PartName="/xl/tables/table179.xml" ContentType="application/vnd.openxmlformats-officedocument.spreadsheetml.table+xml"/>
  <Override PartName="/xl/tables/table180.xml" ContentType="application/vnd.openxmlformats-officedocument.spreadsheetml.table+xml"/>
  <Override PartName="/xl/tables/table181.xml" ContentType="application/vnd.openxmlformats-officedocument.spreadsheetml.table+xml"/>
  <Override PartName="/xl/tables/table182.xml" ContentType="application/vnd.openxmlformats-officedocument.spreadsheetml.table+xml"/>
  <Override PartName="/xl/tables/table183.xml" ContentType="application/vnd.openxmlformats-officedocument.spreadsheetml.table+xml"/>
  <Override PartName="/xl/tables/table184.xml" ContentType="application/vnd.openxmlformats-officedocument.spreadsheetml.table+xml"/>
  <Override PartName="/xl/tables/table185.xml" ContentType="application/vnd.openxmlformats-officedocument.spreadsheetml.table+xml"/>
  <Override PartName="/xl/tables/table186.xml" ContentType="application/vnd.openxmlformats-officedocument.spreadsheetml.table+xml"/>
  <Override PartName="/xl/tables/table187.xml" ContentType="application/vnd.openxmlformats-officedocument.spreadsheetml.table+xml"/>
  <Override PartName="/xl/tables/table188.xml" ContentType="application/vnd.openxmlformats-officedocument.spreadsheetml.table+xml"/>
  <Override PartName="/xl/tables/table189.xml" ContentType="application/vnd.openxmlformats-officedocument.spreadsheetml.table+xml"/>
  <Override PartName="/xl/tables/table190.xml" ContentType="application/vnd.openxmlformats-officedocument.spreadsheetml.table+xml"/>
  <Override PartName="/xl/tables/table191.xml" ContentType="application/vnd.openxmlformats-officedocument.spreadsheetml.table+xml"/>
  <Override PartName="/xl/tables/table192.xml" ContentType="application/vnd.openxmlformats-officedocument.spreadsheetml.table+xml"/>
  <Override PartName="/xl/tables/table193.xml" ContentType="application/vnd.openxmlformats-officedocument.spreadsheetml.table+xml"/>
  <Override PartName="/xl/tables/table194.xml" ContentType="application/vnd.openxmlformats-officedocument.spreadsheetml.table+xml"/>
  <Override PartName="/xl/tables/table195.xml" ContentType="application/vnd.openxmlformats-officedocument.spreadsheetml.table+xml"/>
  <Override PartName="/xl/tables/table196.xml" ContentType="application/vnd.openxmlformats-officedocument.spreadsheetml.table+xml"/>
  <Override PartName="/xl/tables/table197.xml" ContentType="application/vnd.openxmlformats-officedocument.spreadsheetml.table+xml"/>
  <Override PartName="/xl/tables/table198.xml" ContentType="application/vnd.openxmlformats-officedocument.spreadsheetml.table+xml"/>
  <Override PartName="/xl/tables/table199.xml" ContentType="application/vnd.openxmlformats-officedocument.spreadsheetml.table+xml"/>
  <Override PartName="/xl/tables/table200.xml" ContentType="application/vnd.openxmlformats-officedocument.spreadsheetml.table+xml"/>
  <Override PartName="/xl/tables/table201.xml" ContentType="application/vnd.openxmlformats-officedocument.spreadsheetml.table+xml"/>
  <Override PartName="/xl/tables/table202.xml" ContentType="application/vnd.openxmlformats-officedocument.spreadsheetml.table+xml"/>
  <Override PartName="/xl/tables/table203.xml" ContentType="application/vnd.openxmlformats-officedocument.spreadsheetml.table+xml"/>
  <Override PartName="/xl/tables/table204.xml" ContentType="application/vnd.openxmlformats-officedocument.spreadsheetml.table+xml"/>
  <Override PartName="/xl/tables/table205.xml" ContentType="application/vnd.openxmlformats-officedocument.spreadsheetml.table+xml"/>
  <Override PartName="/xl/tables/table206.xml" ContentType="application/vnd.openxmlformats-officedocument.spreadsheetml.table+xml"/>
  <Override PartName="/xl/tables/table207.xml" ContentType="application/vnd.openxmlformats-officedocument.spreadsheetml.table+xml"/>
  <Override PartName="/xl/tables/table208.xml" ContentType="application/vnd.openxmlformats-officedocument.spreadsheetml.table+xml"/>
  <Override PartName="/xl/tables/table209.xml" ContentType="application/vnd.openxmlformats-officedocument.spreadsheetml.table+xml"/>
  <Override PartName="/xl/tables/table210.xml" ContentType="application/vnd.openxmlformats-officedocument.spreadsheetml.table+xml"/>
  <Override PartName="/xl/tables/table211.xml" ContentType="application/vnd.openxmlformats-officedocument.spreadsheetml.table+xml"/>
  <Override PartName="/xl/tables/table212.xml" ContentType="application/vnd.openxmlformats-officedocument.spreadsheetml.table+xml"/>
  <Override PartName="/xl/tables/table213.xml" ContentType="application/vnd.openxmlformats-officedocument.spreadsheetml.table+xml"/>
  <Override PartName="/xl/tables/table214.xml" ContentType="application/vnd.openxmlformats-officedocument.spreadsheetml.table+xml"/>
  <Override PartName="/xl/tables/table215.xml" ContentType="application/vnd.openxmlformats-officedocument.spreadsheetml.table+xml"/>
  <Override PartName="/xl/tables/table216.xml" ContentType="application/vnd.openxmlformats-officedocument.spreadsheetml.table+xml"/>
  <Override PartName="/xl/tables/table217.xml" ContentType="application/vnd.openxmlformats-officedocument.spreadsheetml.table+xml"/>
  <Override PartName="/xl/tables/table218.xml" ContentType="application/vnd.openxmlformats-officedocument.spreadsheetml.table+xml"/>
  <Override PartName="/xl/tables/table219.xml" ContentType="application/vnd.openxmlformats-officedocument.spreadsheetml.table+xml"/>
  <Override PartName="/xl/tables/table220.xml" ContentType="application/vnd.openxmlformats-officedocument.spreadsheetml.table+xml"/>
  <Override PartName="/xl/tables/table221.xml" ContentType="application/vnd.openxmlformats-officedocument.spreadsheetml.table+xml"/>
  <Override PartName="/xl/tables/table222.xml" ContentType="application/vnd.openxmlformats-officedocument.spreadsheetml.table+xml"/>
  <Override PartName="/xl/tables/table223.xml" ContentType="application/vnd.openxmlformats-officedocument.spreadsheetml.table+xml"/>
  <Override PartName="/xl/tables/table224.xml" ContentType="application/vnd.openxmlformats-officedocument.spreadsheetml.table+xml"/>
  <Override PartName="/xl/tables/table225.xml" ContentType="application/vnd.openxmlformats-officedocument.spreadsheetml.table+xml"/>
  <Override PartName="/xl/tables/table226.xml" ContentType="application/vnd.openxmlformats-officedocument.spreadsheetml.table+xml"/>
  <Override PartName="/xl/tables/table227.xml" ContentType="application/vnd.openxmlformats-officedocument.spreadsheetml.table+xml"/>
  <Override PartName="/xl/tables/table228.xml" ContentType="application/vnd.openxmlformats-officedocument.spreadsheetml.table+xml"/>
  <Override PartName="/xl/tables/table229.xml" ContentType="application/vnd.openxmlformats-officedocument.spreadsheetml.table+xml"/>
  <Override PartName="/xl/tables/table230.xml" ContentType="application/vnd.openxmlformats-officedocument.spreadsheetml.table+xml"/>
  <Override PartName="/xl/tables/table231.xml" ContentType="application/vnd.openxmlformats-officedocument.spreadsheetml.table+xml"/>
  <Override PartName="/xl/tables/table232.xml" ContentType="application/vnd.openxmlformats-officedocument.spreadsheetml.table+xml"/>
  <Override PartName="/xl/tables/table233.xml" ContentType="application/vnd.openxmlformats-officedocument.spreadsheetml.table+xml"/>
  <Override PartName="/xl/tables/table234.xml" ContentType="application/vnd.openxmlformats-officedocument.spreadsheetml.table+xml"/>
  <Override PartName="/xl/tables/table235.xml" ContentType="application/vnd.openxmlformats-officedocument.spreadsheetml.table+xml"/>
  <Override PartName="/xl/tables/table236.xml" ContentType="application/vnd.openxmlformats-officedocument.spreadsheetml.table+xml"/>
  <Override PartName="/xl/tables/table237.xml" ContentType="application/vnd.openxmlformats-officedocument.spreadsheetml.table+xml"/>
  <Override PartName="/xl/tables/table238.xml" ContentType="application/vnd.openxmlformats-officedocument.spreadsheetml.table+xml"/>
  <Override PartName="/xl/tables/table239.xml" ContentType="application/vnd.openxmlformats-officedocument.spreadsheetml.table+xml"/>
  <Override PartName="/xl/tables/table240.xml" ContentType="application/vnd.openxmlformats-officedocument.spreadsheetml.table+xml"/>
  <Override PartName="/xl/tables/table241.xml" ContentType="application/vnd.openxmlformats-officedocument.spreadsheetml.table+xml"/>
  <Override PartName="/xl/tables/table242.xml" ContentType="application/vnd.openxmlformats-officedocument.spreadsheetml.table+xml"/>
  <Override PartName="/xl/tables/table243.xml" ContentType="application/vnd.openxmlformats-officedocument.spreadsheetml.table+xml"/>
  <Override PartName="/xl/tables/table244.xml" ContentType="application/vnd.openxmlformats-officedocument.spreadsheetml.table+xml"/>
  <Override PartName="/xl/tables/table245.xml" ContentType="application/vnd.openxmlformats-officedocument.spreadsheetml.table+xml"/>
  <Override PartName="/xl/tables/table246.xml" ContentType="application/vnd.openxmlformats-officedocument.spreadsheetml.table+xml"/>
  <Override PartName="/xl/tables/table247.xml" ContentType="application/vnd.openxmlformats-officedocument.spreadsheetml.table+xml"/>
  <Override PartName="/xl/tables/table248.xml" ContentType="application/vnd.openxmlformats-officedocument.spreadsheetml.table+xml"/>
  <Override PartName="/xl/tables/table249.xml" ContentType="application/vnd.openxmlformats-officedocument.spreadsheetml.table+xml"/>
  <Override PartName="/xl/tables/table250.xml" ContentType="application/vnd.openxmlformats-officedocument.spreadsheetml.table+xml"/>
  <Override PartName="/xl/tables/table251.xml" ContentType="application/vnd.openxmlformats-officedocument.spreadsheetml.table+xml"/>
  <Override PartName="/xl/tables/table25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53.xml" ContentType="application/vnd.openxmlformats-officedocument.spreadsheetml.table+xml"/>
  <Override PartName="/xl/queryTables/queryTable1.xml" ContentType="application/vnd.openxmlformats-officedocument.spreadsheetml.queryTable+xml"/>
  <Override PartName="/xl/tables/table254.xml" ContentType="application/vnd.openxmlformats-officedocument.spreadsheetml.table+xml"/>
  <Override PartName="/xl/queryTables/queryTable2.xml" ContentType="application/vnd.openxmlformats-officedocument.spreadsheetml.queryTable+xml"/>
  <Override PartName="/xl/tables/table255.xml" ContentType="application/vnd.openxmlformats-officedocument.spreadsheetml.table+xml"/>
  <Override PartName="/xl/tables/table256.xml" ContentType="application/vnd.openxmlformats-officedocument.spreadsheetml.table+xml"/>
  <Override PartName="/xl/tables/table257.xml" ContentType="application/vnd.openxmlformats-officedocument.spreadsheetml.table+xml"/>
  <Override PartName="/xl/tables/table258.xml" ContentType="application/vnd.openxmlformats-officedocument.spreadsheetml.table+xml"/>
  <Override PartName="/xl/tables/table259.xml" ContentType="application/vnd.openxmlformats-officedocument.spreadsheetml.table+xml"/>
  <Override PartName="/xl/tables/table260.xml" ContentType="application/vnd.openxmlformats-officedocument.spreadsheetml.table+xml"/>
  <Override PartName="/xl/tables/table261.xml" ContentType="application/vnd.openxmlformats-officedocument.spreadsheetml.table+xml"/>
  <Override PartName="/xl/tables/table262.xml" ContentType="application/vnd.openxmlformats-officedocument.spreadsheetml.table+xml"/>
  <Override PartName="/xl/tables/table263.xml" ContentType="application/vnd.openxmlformats-officedocument.spreadsheetml.table+xml"/>
  <Override PartName="/xl/tables/table264.xml" ContentType="application/vnd.openxmlformats-officedocument.spreadsheetml.table+xml"/>
  <Override PartName="/xl/tables/table265.xml" ContentType="application/vnd.openxmlformats-officedocument.spreadsheetml.table+xml"/>
  <Override PartName="/xl/queryTables/queryTable3.xml" ContentType="application/vnd.openxmlformats-officedocument.spreadsheetml.queryTable+xml"/>
  <Override PartName="/xl/tables/table266.xml" ContentType="application/vnd.openxmlformats-officedocument.spreadsheetml.table+xml"/>
  <Override PartName="/xl/queryTables/queryTable4.xml" ContentType="application/vnd.openxmlformats-officedocument.spreadsheetml.queryTable+xml"/>
  <Override PartName="/xl/tables/table267.xml" ContentType="application/vnd.openxmlformats-officedocument.spreadsheetml.table+xml"/>
  <Override PartName="/xl/queryTables/queryTable5.xml" ContentType="application/vnd.openxmlformats-officedocument.spreadsheetml.queryTable+xml"/>
  <Override PartName="/xl/tables/table268.xml" ContentType="application/vnd.openxmlformats-officedocument.spreadsheetml.table+xml"/>
  <Override PartName="/xl/queryTables/queryTable6.xml" ContentType="application/vnd.openxmlformats-officedocument.spreadsheetml.queryTable+xml"/>
  <Override PartName="/xl/tables/table269.xml" ContentType="application/vnd.openxmlformats-officedocument.spreadsheetml.table+xml"/>
  <Override PartName="/xl/queryTables/queryTable7.xml" ContentType="application/vnd.openxmlformats-officedocument.spreadsheetml.queryTable+xml"/>
  <Override PartName="/xl/tables/table270.xml" ContentType="application/vnd.openxmlformats-officedocument.spreadsheetml.table+xml"/>
  <Override PartName="/xl/queryTables/queryTable8.xml" ContentType="application/vnd.openxmlformats-officedocument.spreadsheetml.queryTable+xml"/>
  <Override PartName="/xl/tables/table271.xml" ContentType="application/vnd.openxmlformats-officedocument.spreadsheetml.table+xml"/>
  <Override PartName="/xl/queryTables/queryTable9.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9"/>
  <workbookPr updateLinks="always" codeName="ThisWorkbook" hidePivotFieldList="1"/>
  <mc:AlternateContent xmlns:mc="http://schemas.openxmlformats.org/markup-compatibility/2006">
    <mc:Choice Requires="x15">
      <x15ac:absPath xmlns:x15ac="http://schemas.microsoft.com/office/spreadsheetml/2010/11/ac" url="https://ljmu.sharepoint.com/teams/SPSRe-validation2026Team/Shared Documents/Sport and Exercise Science/Module Documents/"/>
    </mc:Choice>
  </mc:AlternateContent>
  <xr:revisionPtr revIDLastSave="5044" documentId="8_{20AD63D6-7E4E-4EFA-BE5C-A6DF2DDE1EA8}" xr6:coauthVersionLast="47" xr6:coauthVersionMax="47" xr10:uidLastSave="{53012197-A7AA-49E2-A8C4-22465F89A6AB}"/>
  <bookViews>
    <workbookView xWindow="2415" yWindow="90" windowWidth="48495" windowHeight="20760" firstSheet="20" activeTab="8" xr2:uid="{8D7B9789-0724-4FF2-A9AF-E462B2920CAC}"/>
  </bookViews>
  <sheets>
    <sheet name="Module" sheetId="68" r:id="rId1"/>
    <sheet name="4101SPS" sheetId="80" r:id="rId2"/>
    <sheet name="4102SPS" sheetId="89" r:id="rId3"/>
    <sheet name="Sheet1" sheetId="120" r:id="rId4"/>
    <sheet name="Sheet2" sheetId="121" r:id="rId5"/>
    <sheet name="4091SPS" sheetId="106" r:id="rId6"/>
    <sheet name="4092SPS" sheetId="90" r:id="rId7"/>
    <sheet name="4094SPS" sheetId="76" r:id="rId8"/>
    <sheet name="5091SPS" sheetId="105" r:id="rId9"/>
    <sheet name="5092SPS" sheetId="86" r:id="rId10"/>
    <sheet name="5101SPS" sheetId="107" r:id="rId11"/>
    <sheet name="5102SPS" sheetId="83" r:id="rId12"/>
    <sheet name="5103SPS" sheetId="93" r:id="rId13"/>
    <sheet name="6101SPS" sheetId="104" r:id="rId14"/>
    <sheet name="6102SPS" sheetId="85" r:id="rId15"/>
    <sheet name="6103SPS" sheetId="109" r:id="rId16"/>
    <sheet name="6104SPS" sheetId="84" r:id="rId17"/>
    <sheet name="6105SPS" sheetId="78" r:id="rId18"/>
    <sheet name="6106SPS" sheetId="87" r:id="rId19"/>
    <sheet name="6107SPS" sheetId="108" r:id="rId20"/>
    <sheet name="6108SPS" sheetId="81" r:id="rId21"/>
    <sheet name="6109SPS" sheetId="77" r:id="rId22"/>
    <sheet name="6093SPS" sheetId="79" r:id="rId23"/>
    <sheet name="6094SPS" sheetId="92" r:id="rId24"/>
    <sheet name="6095SPS" sheetId="88" r:id="rId25"/>
    <sheet name="Module (22)" sheetId="95" r:id="rId26"/>
    <sheet name="Template" sheetId="7" r:id="rId27"/>
    <sheet name="LISTS" sheetId="4" r:id="rId28"/>
    <sheet name="DASH" sheetId="119" r:id="rId29"/>
    <sheet name="SES_Hours_Wide" sheetId="116" r:id="rId30"/>
    <sheet name="SES_SkillsCoverage" sheetId="118" r:id="rId31"/>
    <sheet name="6091SPS" sheetId="82" r:id="rId32"/>
    <sheet name="SES_Module_Overview" sheetId="117" r:id="rId33"/>
    <sheet name="SES_Meta_Wide" sheetId="115" r:id="rId34"/>
    <sheet name="SES_Mapping" sheetId="114" r:id="rId35"/>
    <sheet name="SES_Hours" sheetId="113" r:id="rId36"/>
    <sheet name="SES_Assess" sheetId="112" r:id="rId37"/>
    <sheet name="SES_LO" sheetId="111" r:id="rId38"/>
    <sheet name="SES_Meta" sheetId="110" r:id="rId39"/>
  </sheets>
  <externalReferences>
    <externalReference r:id="rId40"/>
  </externalReferences>
  <definedNames>
    <definedName name="_xlnm._FilterDatabase" localSheetId="28" hidden="1">DASH!$A$3:$I$31</definedName>
    <definedName name="ApplicationofKnowledge" localSheetId="8">_xlfn.ANCHORARRAY([1]LISTS!$O$37)</definedName>
    <definedName name="ApplicationofKnowledge" localSheetId="13">_xlfn.ANCHORARRAY(#REF!)</definedName>
    <definedName name="ApplicationofKnowledge">_xlfn.ANCHORARRAY(LISTS!$O$37)</definedName>
    <definedName name="Communication" localSheetId="8">_xlfn.ANCHORARRAY([1]LISTS!$O$62)</definedName>
    <definedName name="Communication" localSheetId="13">_xlfn.ANCHORARRAY(#REF!)</definedName>
    <definedName name="Communication">_xlfn.ANCHORARRAY(LISTS!$O$62)</definedName>
    <definedName name="DeliveryEnvironment" localSheetId="8">_xlfn.ANCHORARRAY([1]LISTS!$O$89)</definedName>
    <definedName name="DeliveryEnvironment" localSheetId="13">_xlfn.ANCHORARRAY(#REF!)</definedName>
    <definedName name="DeliveryEnvironment">_xlfn.ANCHORARRAY(LISTS!$O$89)</definedName>
    <definedName name="ExternalData_1" localSheetId="38" hidden="1">SES_Meta!$A$1:$I$225</definedName>
    <definedName name="ExternalData_2" localSheetId="37" hidden="1">SES_LO!$A$1:$I$75</definedName>
    <definedName name="ExternalData_3" localSheetId="36" hidden="1">SES_Assess!$A$1:$M$53</definedName>
    <definedName name="ExternalData_4" localSheetId="35" hidden="1">SES_Hours!$A$1:$I$169</definedName>
    <definedName name="ExternalData_5" localSheetId="34" hidden="1">SES_Mapping!$A$1:$K$286</definedName>
    <definedName name="ExternalData_6" localSheetId="33" hidden="1">SES_Meta_Wide!$A$1:$N$29</definedName>
    <definedName name="ExternalData_7" localSheetId="29" hidden="1">SES_Hours_Wide!$A$1:$L$29</definedName>
    <definedName name="ExternalData_8" localSheetId="32" hidden="1">SES_Module_Overview!$A$1:$I$29</definedName>
    <definedName name="ExternalData_9" localSheetId="30" hidden="1">SES_SkillsCoverage!$A$1:$E$65</definedName>
    <definedName name="MgmtSelf" localSheetId="8">_xlfn.ANCHORARRAY([1]LISTS!$O$78)</definedName>
    <definedName name="MgmtSelf" localSheetId="13">_xlfn.ANCHORARRAY(#REF!)</definedName>
    <definedName name="MgmtSelf">_xlfn.ANCHORARRAY(LISTS!$O$78)</definedName>
    <definedName name="ProblemSolving" localSheetId="8">_xlfn.ANCHORARRAY([1]LISTS!$O$70)</definedName>
    <definedName name="ProblemSolving" localSheetId="13">_xlfn.ANCHORARRAY(#REF!)</definedName>
    <definedName name="ProblemSolving">_xlfn.ANCHORARRAY(LISTS!$O$70)</definedName>
    <definedName name="ProfRelationships" localSheetId="8">_xlfn.ANCHORARRAY([1]LISTS!$O$96)</definedName>
    <definedName name="ProfRelationships" localSheetId="13">_xlfn.ANCHORARRAY(#REF!)</definedName>
    <definedName name="ProfRelationships">_xlfn.ANCHORARRAY(LISTS!$O$96)</definedName>
    <definedName name="ScientificKnowledge" localSheetId="8">_xlfn.ANCHORARRAY([1]LISTS!$O$21)</definedName>
    <definedName name="ScientificKnowledge" localSheetId="13">_xlfn.ANCHORARRAY(#REF!)</definedName>
    <definedName name="ScientificKnowledge">_xlfn.ANCHORARRAY(LISTS!$O$21)</definedName>
    <definedName name="SelfEvaluation" localSheetId="8">_xlfn.ANCHORARRAY([1]LISTS!$O$53)</definedName>
    <definedName name="SelfEvaluation" localSheetId="13">_xlfn.ANCHORARRAY(#REF!)</definedName>
    <definedName name="SelfEvaluation">_xlfn.ANCHORARRAY(LISTS!$O$53)</definedName>
    <definedName name="SkillNameMap" localSheetId="8">[1]LISTS!$S$20:$T$30</definedName>
    <definedName name="SkillNameMap" localSheetId="13">#REF!</definedName>
    <definedName name="SkillNameMap">LISTS!$S$20:$T$30</definedName>
    <definedName name="TechnicalSkills" localSheetId="8">_xlfn.ANCHORARRAY([1]LISTS!$O$29)</definedName>
    <definedName name="TechnicalSkills" localSheetId="13">_xlfn.ANCHORARRAY(#REF!)</definedName>
    <definedName name="TechnicalSkills">_xlfn.ANCHORARRAY(LISTS!$O$29)</definedName>
    <definedName name="UnderstandingResearch" localSheetId="8">_xlfn.ANCHORARRAY([1]LISTS!$O$45)</definedName>
    <definedName name="UnderstandingResearch" localSheetId="13">_xlfn.ANCHORARRAY(#REF!)</definedName>
    <definedName name="UnderstandingResearch">_xlfn.ANCHORARRAY(LISTS!$O$45)</definedName>
  </definedNames>
  <calcPr calcId="191028"/>
  <pivotCaches>
    <pivotCache cacheId="2" r:id="rId41"/>
    <pivotCache cacheId="3" r:id="rId4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109" l="1"/>
  <c r="D2" i="109"/>
  <c r="C2" i="109"/>
  <c r="D24" i="108"/>
  <c r="D2" i="108"/>
  <c r="C2" i="108"/>
  <c r="D24" i="107"/>
  <c r="D2" i="107"/>
  <c r="C2" i="107"/>
  <c r="D24" i="106"/>
  <c r="D2" i="106"/>
  <c r="C2" i="106"/>
  <c r="C2" i="105"/>
  <c r="D2" i="105"/>
  <c r="D24" i="105"/>
  <c r="D24" i="104"/>
  <c r="D2" i="104"/>
  <c r="C2" i="104"/>
  <c r="D24" i="95"/>
  <c r="D2" i="95"/>
  <c r="C2" i="95"/>
  <c r="D24" i="93"/>
  <c r="D2" i="93"/>
  <c r="C2" i="93"/>
  <c r="D24" i="92"/>
  <c r="D2" i="92"/>
  <c r="C2" i="92"/>
  <c r="D24" i="90"/>
  <c r="D2" i="90"/>
  <c r="C2" i="90"/>
  <c r="D24" i="89"/>
  <c r="D2" i="89"/>
  <c r="C2" i="89"/>
  <c r="D24" i="88"/>
  <c r="D2" i="88"/>
  <c r="C2" i="88"/>
  <c r="D24" i="87"/>
  <c r="D2" i="87"/>
  <c r="C2" i="87"/>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68"/>
  <c r="D2" i="68"/>
  <c r="C2" i="68"/>
  <c r="D24" i="7"/>
  <c r="D2" i="7"/>
  <c r="C2" i="7"/>
  <c r="O96" i="4" a="1"/>
  <c r="O89" i="4" a="1"/>
  <c r="O78" i="4" a="1"/>
  <c r="O70" i="4" a="1"/>
  <c r="O62" i="4" a="1"/>
  <c r="O53" i="4" a="1"/>
  <c r="O45" i="4" a="1"/>
  <c r="O37" i="4" a="1"/>
  <c r="O29" i="4" a="1"/>
  <c r="O21" i="4" a="1"/>
  <c r="O96" i="4"/>
  <c r="O89" i="4"/>
  <c r="O78" i="4"/>
  <c r="O70" i="4"/>
  <c r="O62" i="4"/>
  <c r="O53" i="4"/>
  <c r="O45" i="4"/>
  <c r="O37" i="4"/>
  <c r="O29" i="4"/>
  <c r="O2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tc={3645A966-E75C-4267-9C38-FBA7FE00828B}</author>
    <author>tc={F66AD8D5-B5C5-4755-B548-7270B05FF0CB}</author>
    <author>tc={3E8F4BD7-486E-4104-BC82-62579504483E}</author>
  </authors>
  <commentList>
    <comment ref="D20" authorId="0" shapeId="0" xr:uid="{3645A966-E75C-4267-9C38-FBA7FE00828B}">
      <text>
        <t>[Threaded comment]
Your version of Excel allows you to read this threaded comment; however, any edits to it will get removed if the file is opened in a newer version of Excel. Learn more: https://go.microsoft.com/fwlink/?linkid=870924
Comment:
    Peer Review Seminar</t>
      </text>
    </comment>
    <comment ref="D22" authorId="1" shapeId="0" xr:uid="{F66AD8D5-B5C5-4755-B548-7270B05FF0CB}">
      <text>
        <t>[Threaded comment]
Your version of Excel allows you to read this threaded comment; however, any edits to it will get removed if the file is opened in a newer version of Excel. Learn more: https://go.microsoft.com/fwlink/?linkid=870924
Comment:
    Data Analysis Computer Practical</t>
      </text>
    </comment>
    <comment ref="D23" authorId="2" shapeId="0" xr:uid="{3E8F4BD7-486E-4104-BC82-62579504483E}">
      <text>
        <t>[Threaded comment]
Your version of Excel allows you to read this threaded comment; however, any edits to it will get removed if the file is opened in a newer version of Excel. Learn more: https://go.microsoft.com/fwlink/?linkid=870924
Comment:
    Synchronous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tc={F774FFA2-D32D-41DE-B3AB-B5AECE8B6F5D}</author>
  </authors>
  <commentList>
    <comment ref="D23" authorId="0" shapeId="0" xr:uid="{F774FFA2-D32D-41DE-B3AB-B5AECE8B6F5D}">
      <text>
        <t>[Threaded comment]
Your version of Excel allows you to read this threaded comment; however, any edits to it will get removed if the file is opened in a newer version of Excel. Learn more: https://go.microsoft.com/fwlink/?linkid=870924
Comment:
    asynchronous tasks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tc={5C5F7A89-0EDA-48CB-819D-1968E0B25D3B}</author>
  </authors>
  <commentList>
    <comment ref="E38" authorId="0" shapeId="0" xr:uid="{5C5F7A89-0EDA-48CB-819D-1968E0B25D3B}">
      <text>
        <t>[Threaded comment]
Your version of Excel allows you to read this threaded comment; however, any edits to it will get removed if the file is opened in a newer version of Excel. Learn more: https://go.microsoft.com/fwlink/?linkid=870924
Comment:
    This is a portfolio made up of three mini essays.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tc={4E91AFC5-1741-4F40-9C85-8F128F5276C2}</author>
  </authors>
  <commentList>
    <comment ref="E39" authorId="0" shapeId="0" xr:uid="{4E91AFC5-1741-4F40-9C85-8F128F5276C2}">
      <text>
        <t>[Threaded comment]
Your version of Excel allows you to read this threaded comment; however, any edits to it will get removed if the file is opened in a newer version of Excel. Learn more: https://go.microsoft.com/fwlink/?linkid=870924
Comment:
    In person exam - cant edit this box sorry</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1EFCAE-6867-4369-A3A2-878D2CD4400C}"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2D2C2781-E2B3-4F2B-B64A-B48D87B1362F}"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ED8E257C-611A-4D22-9B96-BDE2BEBEA013}"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BA8101B4-602B-44C3-99FA-13D3C073F8B4}"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3BB015D6-ED31-4D13-A376-1AA58FA2D48B}"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EF984BC6-AD59-406B-9F2B-26A62EFC0AE5}"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E86AAD0B-950E-4BD5-B6C3-BA6800842EC0}"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06727D3C-698A-45B7-B890-D0DD9940EF9E}"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6E45512B-CC53-4589-A3FD-D85E80DE4134}"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70AFD8C4-03D5-445E-BE47-8EA1777FCF37}"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FB27829F-3C77-4C43-AB1E-19CA959B4D39}"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A5C36A7D-C2A9-4BBE-B793-995C2FE41973}" keepAlive="1" name="Query - SES_Assess" description="Connection to the 'SES_Assess' query in the workbook." type="5" refreshedVersion="8" background="1" saveData="1">
    <dbPr connection="Provider=Microsoft.Mashup.OleDb.1;Data Source=$Workbook$;Location=SES_Assess;Extended Properties=&quot;&quot;" command="SELECT * FROM [SES_Assess]"/>
  </connection>
  <connection id="13" xr16:uid="{585AA2EF-3C8D-4965-B7E4-AC3C6C3C2660}" keepAlive="1" name="Query - SES_Hours" description="Connection to the 'SES_Hours' query in the workbook." type="5" refreshedVersion="8" background="1" saveData="1">
    <dbPr connection="Provider=Microsoft.Mashup.OleDb.1;Data Source=$Workbook$;Location=SES_Hours;Extended Properties=&quot;&quot;" command="SELECT * FROM [SES_Hours]"/>
  </connection>
  <connection id="14" xr16:uid="{66B39D3E-C31D-49E7-BF8F-3E7BD18BD95D}" keepAlive="1" name="Query - SES_Hours_Wide" description="Connection to the 'SES_Hours_Wide' query in the workbook." type="5" refreshedVersion="8" background="1" saveData="1">
    <dbPr connection="Provider=Microsoft.Mashup.OleDb.1;Data Source=$Workbook$;Location=SES_Hours_Wide;Extended Properties=&quot;&quot;" command="SELECT * FROM [SES_Hours_Wide]"/>
  </connection>
  <connection id="15" xr16:uid="{F8178110-CB34-4FAA-9CEF-9FA6C071A1FC}" keepAlive="1" name="Query - SES_LO" description="Connection to the 'SES_LO' query in the workbook." type="5" refreshedVersion="8" background="1" saveData="1">
    <dbPr connection="Provider=Microsoft.Mashup.OleDb.1;Data Source=$Workbook$;Location=SES_LO;Extended Properties=&quot;&quot;" command="SELECT * FROM [SES_LO]"/>
  </connection>
  <connection id="16" xr16:uid="{4F6366BD-C933-4AAF-9D59-07C39EE26580}" keepAlive="1" name="Query - SES_Mapping" description="Connection to the 'SES_Mapping' query in the workbook." type="5" refreshedVersion="8" background="1" saveData="1">
    <dbPr connection="Provider=Microsoft.Mashup.OleDb.1;Data Source=$Workbook$;Location=SES_Mapping;Extended Properties=&quot;&quot;" command="SELECT * FROM [SES_Mapping]"/>
  </connection>
  <connection id="17" xr16:uid="{6EB5116C-C8F9-4569-BF5E-5E3F187274A3}" keepAlive="1" name="Query - SES_Meta" description="Connection to the 'SES_Meta' query in the workbook." type="5" refreshedVersion="8" background="1" saveData="1">
    <dbPr connection="Provider=Microsoft.Mashup.OleDb.1;Data Source=$Workbook$;Location=SES_Meta;Extended Properties=&quot;&quot;" command="SELECT * FROM [SES_Meta]"/>
  </connection>
  <connection id="18" xr16:uid="{D8AAC6DC-D138-427A-811E-BA255588DF2C}" keepAlive="1" name="Query - SES_Meta_Wide" description="Connection to the 'SES_Meta_Wide' query in the workbook." type="5" refreshedVersion="8" background="1" saveData="1">
    <dbPr connection="Provider=Microsoft.Mashup.OleDb.1;Data Source=$Workbook$;Location=SES_Meta_Wide;Extended Properties=&quot;&quot;" command="SELECT * FROM [SES_Meta_Wide]"/>
  </connection>
  <connection id="19" xr16:uid="{17B9B98F-EE61-42BC-AFAD-93439DC866B2}" keepAlive="1" name="Query - SES_Module_Overview" description="Connection to the 'SES_Module_Overview' query in the workbook." type="5" refreshedVersion="8" background="1" saveData="1">
    <dbPr connection="Provider=Microsoft.Mashup.OleDb.1;Data Source=$Workbook$;Location=SES_Module_Overview;Extended Properties=&quot;&quot;" command="SELECT * FROM [SES_Module_Overview]"/>
  </connection>
  <connection id="20" xr16:uid="{A6FA6A43-C8AD-4DA0-A88C-92F783A32A32}" keepAlive="1" name="Query - SES_SkillsCoverage" description="Connection to the 'SES_SkillsCoverage' query in the workbook." type="5" refreshedVersion="8" background="1" saveData="1">
    <dbPr connection="Provider=Microsoft.Mashup.OleDb.1;Data Source=$Workbook$;Location=SES_SkillsCoverage;Extended Properties=&quot;&quot;" command="SELECT * FROM [SES_SkillsCoverage]"/>
  </connection>
  <connection id="21" xr16:uid="{2B4AF151-008D-4FEF-A7F7-12412358B85A}"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2" xr16:uid="{DAA4DE1F-5E42-4B60-9FCD-76A414294387}"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3DE9C0B1-9EF3-4D5A-A896-DD2967490A9F}"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<sst xmlns="http://schemas.openxmlformats.org/spreadsheetml/2006/main" count="12325" uniqueCount="1158">
  <si>
    <t>Module Information</t>
  </si>
  <si>
    <t>Module Data</t>
  </si>
  <si>
    <t>Details</t>
  </si>
  <si>
    <t>Aims</t>
  </si>
  <si>
    <t>Module Code</t>
  </si>
  <si>
    <t>SEM401</t>
  </si>
  <si>
    <t>Module Title</t>
  </si>
  <si>
    <t>Credits</t>
  </si>
  <si>
    <t>Semester</t>
  </si>
  <si>
    <t>Outline Syllabus</t>
  </si>
  <si>
    <t>Level</t>
  </si>
  <si>
    <t>Module Leader</t>
  </si>
  <si>
    <t>Module Type</t>
  </si>
  <si>
    <t>Programme(s)</t>
  </si>
  <si>
    <t>Module Overview</t>
  </si>
  <si>
    <t>Contact Hours</t>
  </si>
  <si>
    <t>Component</t>
  </si>
  <si>
    <t>Lecture</t>
  </si>
  <si>
    <t>Seminar</t>
  </si>
  <si>
    <t>Practical</t>
  </si>
  <si>
    <t>Workshop</t>
  </si>
  <si>
    <t>Additional Information/Notes</t>
  </si>
  <si>
    <t>Online</t>
  </si>
  <si>
    <t>Total</t>
  </si>
  <si>
    <t>Learning Outcomes</t>
  </si>
  <si>
    <t>After completing the module the student should be able to:</t>
  </si>
  <si>
    <t>LO Number</t>
  </si>
  <si>
    <t>LO Description</t>
  </si>
  <si>
    <t>LO1</t>
  </si>
  <si>
    <t>LO2</t>
  </si>
  <si>
    <t>LO3</t>
  </si>
  <si>
    <t>LO4</t>
  </si>
  <si>
    <t>LO5</t>
  </si>
  <si>
    <t>Assessment</t>
  </si>
  <si>
    <t>Assessment No</t>
  </si>
  <si>
    <t>Assessment Type</t>
  </si>
  <si>
    <t>Assessment Specific</t>
  </si>
  <si>
    <t>Assessment Description</t>
  </si>
  <si>
    <t>Weighting</t>
  </si>
  <si>
    <t>Due Week</t>
  </si>
  <si>
    <t>A1</t>
  </si>
  <si>
    <t>Presentation</t>
  </si>
  <si>
    <t>Group Presentation</t>
  </si>
  <si>
    <t>Group presentation on biomechanical principles in weightlifting</t>
  </si>
  <si>
    <t>A2</t>
  </si>
  <si>
    <t>A3</t>
  </si>
  <si>
    <t>A4</t>
  </si>
  <si>
    <t>Assessment Mapping</t>
  </si>
  <si>
    <t>Graduate Skills Category</t>
  </si>
  <si>
    <t>Graduate Skill</t>
  </si>
  <si>
    <t>Scientific knowledge</t>
  </si>
  <si>
    <t>Information retrieval</t>
  </si>
  <si>
    <t>Scientific literacy</t>
  </si>
  <si>
    <t>Application of knowledge and skills</t>
  </si>
  <si>
    <t>Decision-making</t>
  </si>
  <si>
    <t>Communication</t>
  </si>
  <si>
    <t>Oral presentation</t>
  </si>
  <si>
    <t>Technical skills</t>
  </si>
  <si>
    <t>Equipment and technology utilisation</t>
  </si>
  <si>
    <t>Weekly Content</t>
  </si>
  <si>
    <t xml:space="preserve">Semester </t>
  </si>
  <si>
    <t>Week Number</t>
  </si>
  <si>
    <t>Weekly Content 1</t>
  </si>
  <si>
    <t>Weekly Content 2</t>
  </si>
  <si>
    <t>Weekly Content 3</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</si>
  <si>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</si>
  <si>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</si>
  <si>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</si>
  <si>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</si>
  <si>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</si>
  <si>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</si>
  <si>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</si>
  <si>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</si>
  <si>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</si>
  <si>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</si>
  <si>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</si>
  <si>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</si>
  <si>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</si>
  <si>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</si>
  <si>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</si>
  <si>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SPS4101</t>
  </si>
  <si>
    <t>Support successful transition and belonging. Introduce the core Sport and Exercise Science disciplines.
Develop professional identity and foundational competencies.
Develop academic, digital and employability skills.
Embed evidence-informed practice, responsible AI, sustainability and inclusion.
Prepare students for Level 5.</t>
  </si>
  <si>
    <t xml:space="preserve">Professional Practice </t>
  </si>
  <si>
    <t>Transition and belonging
Exercise Physiology Spotlight
Biomechanics Spotlight
Sport &amp; Exercise Psychology Spotlight
Physical Activity Spotlight
Professional behaviours and ethics
Evidence-informed practice
Academic Skills CPD
Responsible AI
Sustainability and EDI
Employability
Reflection and Professional Development Portfolio</t>
  </si>
  <si>
    <t>Liz Mahon/ Conor Heeney</t>
  </si>
  <si>
    <t>Prof Practice Strand</t>
  </si>
  <si>
    <t>Sport and Exercise Science</t>
  </si>
  <si>
    <t>This module provides the developmental foundation for the Sport and Exercise Science programme, supporting transition into higher education while introducing the core disciplines, developing professional identity, and establishing the knowledge, behaviours and competencies required of contemporary Sport and Exercise Scientists through a Professional Development Portfolio.</t>
  </si>
  <si>
    <t>This module provides the developmental foundation for the Sport and Exercise Science programme by supporting students' transition into higher education whilst fostering their identity as developing sport and exercise scientists. It integrates professional practice, disciplinary exploration, academic development and employability.</t>
  </si>
  <si>
    <t>A distinctive feature of the module is the use of Sport Science Spotlight weeks, introducing students to the core disciplines of Exercise Physiology, Biomechanics, Sport and Exercise Psychology, and Physical Activity through authentic, profession-focused learning experiences that demonstrate the impact and career opportunities within each discipline.</t>
  </si>
  <si>
    <t>Assessment is centred on a Professional Development Portfolio and skills audit presentation, which enables students to evidence their academic, personal and professional development through discipline-based activities, reflective practice, and Academic Achievement CPD. The module adopts an active, student-centred approach and is explicitly aligned with the programme's Professional Practice Competency Framework.</t>
  </si>
  <si>
    <t>Identify and explain the professional roles, working environments, knowledge, skills, behaviours and graduate competencies required in contemporary Sport and Exercise Science.</t>
  </si>
  <si>
    <t>Evaluate current strengths, development needs and engagement to formulate a realistic, evidence-informed personal and professional development plan.</t>
  </si>
  <si>
    <t>Communicate and justify professional development, experiences and application of learning through live professional discussion, supported by evidence of continuing professional development.</t>
  </si>
  <si>
    <t>Individual Presentation</t>
  </si>
  <si>
    <t>Approved job-role skills audit: 5-minute individual presentation followed by 5 minutes of personal tutor questions. Students compare their current evidence against the role requirements and present a realistic, time-bound development plan.</t>
  </si>
  <si>
    <t>Portfolio</t>
  </si>
  <si>
    <t>Reflection</t>
  </si>
  <si>
    <t>Professional Development Portfolio comprising evidence of two specified professional certificates (10% each) and a 10-minute individual personal tutor viva (40%) covering development, engagement and attendance reflection, disciplinary learning, experience, professional behaviours and future action planning.</t>
  </si>
  <si>
    <t>Self-evaluation and professional development</t>
  </si>
  <si>
    <t>Reflective practice</t>
  </si>
  <si>
    <t>Understanding the delivery environment</t>
  </si>
  <si>
    <t>Professional awareness</t>
  </si>
  <si>
    <t>Interpesronal communication</t>
  </si>
  <si>
    <t>Personal development planning</t>
  </si>
  <si>
    <t>Management of self and others</t>
  </si>
  <si>
    <t>Time management</t>
  </si>
  <si>
    <t>Lecture (2hr) - Becoming a Sport Scientist 
Professional identity, graduate competencies, introduction to the profession and programme. Professional Competency: Professional identity &amp; management of self</t>
  </si>
  <si>
    <r>
      <rPr>
        <sz val="11"/>
        <color rgb="FF000000"/>
        <rFont val="Aptos Narrow"/>
      </rPr>
      <t>Workshop - Transition to university, Canvas, library, academic integrity, Portfolio introduction. AI</t>
    </r>
    <r>
      <rPr>
        <b/>
        <sz val="11"/>
        <color rgb="FF000000"/>
        <rFont val="Aptos Narrow"/>
      </rPr>
      <t>:</t>
    </r>
    <r>
      <rPr>
        <sz val="11"/>
        <color rgb="FF000000"/>
        <rFont val="Aptos Narrow"/>
      </rPr>
      <t xml:space="preserve"> Responsible use of AI at university.</t>
    </r>
  </si>
  <si>
    <t>Seminar (1hr) - Personal tutor meeting, goal setting and PDP. Employability: Career pathways. Sustainability: What is sustainable professional practice?</t>
  </si>
  <si>
    <t>Lecture / Guest Session (2hr) – Professional Journey and Reflective Practice: career decisions, setbacks, feedback, values, resilience and continuing development, split between lecturer and a senior practitioner or alumnus</t>
  </si>
  <si>
    <t>Personal Tutor Meeting (1hr) - Introduction, transition and professional identity: expectations, support, initial career interests, strengths and development priorities.</t>
  </si>
  <si>
    <t>Formative activity  – Students generate questions in advance and identify one action arising from the session.</t>
  </si>
  <si>
    <t>Lecture - Exercise Physiology Spotlight – Why physiology matters. Professional Competency: Scientific knowledge, Employability: Careers in physiology</t>
  </si>
  <si>
    <t>Physiology practical and communication with clients. Professional Competency: Communication &amp; technical skills</t>
  </si>
  <si>
    <t>Workshop – Presentation &amp; communication skills, introduction to presentation assessment</t>
  </si>
  <si>
    <t>Lecture (2hr): Evidence-Informed Practice – Using science to make decisions. Professional Competency: Research capability</t>
  </si>
  <si>
    <r>
      <rPr>
        <sz val="11"/>
        <color rgb="FF000000"/>
        <rFont val="Aptos Narrow"/>
        <scheme val="minor"/>
      </rPr>
      <t>Excel workshop analysing physiological data. Professional Competency: Problem solving &amp; data analysis. AI</t>
    </r>
    <r>
      <rPr>
        <b/>
        <sz val="11"/>
        <color rgb="FF000000"/>
        <rFont val="Aptos Narrow"/>
        <scheme val="minor"/>
      </rPr>
      <t>:</t>
    </r>
    <r>
      <rPr>
        <sz val="11"/>
        <color rgb="FF000000"/>
        <rFont val="Aptos Narrow"/>
        <scheme val="minor"/>
      </rPr>
      <t xml:space="preserve"> Using AI to support literature searching and checking data interpretation.</t>
    </r>
  </si>
  <si>
    <t>Seminar - Reflection on evidence-informed practice</t>
  </si>
  <si>
    <r>
      <rPr>
        <sz val="11"/>
        <color rgb="FF000000"/>
        <rFont val="Aptos Narrow"/>
        <family val="2"/>
      </rPr>
      <t>Lecture (2hr): Biomechanics Spotlight – Movement, injury prevention and technology. Professional Competency</t>
    </r>
    <r>
      <rPr>
        <b/>
        <sz val="11"/>
        <color rgb="FF000000"/>
        <rFont val="Aptos Narrow"/>
        <family val="2"/>
      </rPr>
      <t>:</t>
    </r>
    <r>
      <rPr>
        <sz val="11"/>
        <color rgb="FF000000"/>
        <rFont val="Aptos Narrow"/>
        <family val="2"/>
      </rPr>
      <t xml:space="preserve"> Application of knowledge</t>
    </r>
  </si>
  <si>
    <t>Biomechanics practical</t>
  </si>
  <si>
    <t>Workshop - Sustainability: Sustainable technologies, equipment and innovation in biomechanics.</t>
  </si>
  <si>
    <t>Professional Identity and Careers – CASES, career pathways and employability. Professional Competency: Management of self</t>
  </si>
  <si>
    <t>Workshop: Future Focus, CV development, LinkedIn, networking.</t>
  </si>
  <si>
    <t>Assessment workshop - practice presentations and portfolio check in</t>
  </si>
  <si>
    <t>DIRECTED STUDY WEEK</t>
  </si>
  <si>
    <t>Lecture (2hr) - Sport &amp; Exercise Psychology Spotlight – Behaviour change and performance. Professional Competency: Communication/Listening</t>
  </si>
  <si>
    <t>Workshop / Personal Tutor Assessment (1hr) – Assessment 1: 5-minute individual presentation and 5 minutes of questions within the personal tutor.</t>
  </si>
  <si>
    <t>Directed online activity (1hr) – Submit presentation evidence, review feedback and update the development plan.</t>
  </si>
  <si>
    <t>Lecture. Physical Activity &amp; Health Spotlight – Population health and public health. Professional Competency: Application of knowledge</t>
  </si>
  <si>
    <t>Workshop: Community case studies and physical activity assessment. Professional Competency: Delivery environment.</t>
  </si>
  <si>
    <t>Academic writing seminar. Employability: Careers in public health. Sustainability: Active travel, green exercise and social prescribing.</t>
  </si>
  <si>
    <t>Lecture (2hr) – AI, Digital Literacy and Evidence-Informed Practice: appropriate use, limitations, bias, data protection, verification and professional accountability.</t>
  </si>
  <si>
    <t>Workshop (1hr) – AI-output audit: verify, challenge and improve a sport and exercise science response using evidence and professional judgement.</t>
  </si>
  <si>
    <t>Directed online activity (1hr) – Complete or progress the specified professional certification and upload evidence to the portfolio.</t>
  </si>
  <si>
    <t>Lecture (2hr) – Review, Progression and Preparing for Semester 2 and  Level 5: using feedback, maintaining engagement, accessing support and carrying the development plan forward.</t>
  </si>
  <si>
    <t>Workshop / Personal Tutor Assessment (1hr) – Assessment 2: certificate completion check followed by a 10-minute individual viva.</t>
  </si>
  <si>
    <t>Directed online activity (1hr) – Final portfolio submission and updated personal and professional development plan.</t>
  </si>
  <si>
    <t>Lecture / Guest Session (2hr) – Professional Journey and Reflective Practice: career decisions, setbacks, feedback, values, resilience and continuing development, led by a senior practitioner or alumnus.</t>
  </si>
  <si>
    <t>Formative activity – Students generate questions in advance and identify one action arising from the session.</t>
  </si>
  <si>
    <t>4102SPS</t>
  </si>
  <si>
    <t xml:space="preserve">To develop knowledge and understanding of concepts and principles associated with 24-hour movement behaviours and sustainable development goals. </t>
  </si>
  <si>
    <t>Understanding Physical Activity and Sedentary Behaviour</t>
  </si>
  <si>
    <t>To develop skills in analysing, interpreting and presenting scientific literature and quantitative data</t>
  </si>
  <si>
    <t>24-hour movement behaviour terminology, trends and prevalence; Sustainable development goals; Benefits of moving more, reducing sedentary time, and sleeping well; Movement behaviour guidelines across the lifecourse; Behavioural epidemiology framework; Socio-ecological model of health; Influences on physical activity and sedentary behaviour.</t>
  </si>
  <si>
    <t>Lee Graves</t>
  </si>
  <si>
    <t>Core module</t>
  </si>
  <si>
    <t xml:space="preserve">This module explores concepts and principles associated with 24-hour movement behaviours, which includes physical activity, sedentary behaviour and sleep, and sustainable development goals. It also introduces learners to the socio-ecological model of health and influences on behaviour. </t>
  </si>
  <si>
    <t>Identify, describe and interpret 24-hour movement behaviours, their benefits and guidelines across the lifecourse</t>
  </si>
  <si>
    <t>Analyse and interpret 24-hour movement behaviour data and influences on behaviour</t>
  </si>
  <si>
    <t>Exam</t>
  </si>
  <si>
    <t>In Person Exam</t>
  </si>
  <si>
    <t>In-person test</t>
  </si>
  <si>
    <t>Group narrated (recorded) presentation</t>
  </si>
  <si>
    <t>Contextual application</t>
  </si>
  <si>
    <t>Understanding and use of research</t>
  </si>
  <si>
    <t>Literature searching</t>
  </si>
  <si>
    <t>Data interpretation</t>
  </si>
  <si>
    <t>24-hour movement behaviour terminology, trends and prevalence</t>
  </si>
  <si>
    <t xml:space="preserve">Children and young people: 24-hour movement behaviour guidelines and benefits </t>
  </si>
  <si>
    <t>Adults: 24-hour movement behaviour guidelines and benefits</t>
  </si>
  <si>
    <t>Wider benefits of moving more, reducing sedentary time and sleeping well</t>
  </si>
  <si>
    <t>The role of PA, exercise, and sport in climate breakdown</t>
  </si>
  <si>
    <t>Assessment 1 support</t>
  </si>
  <si>
    <t>DIRECTED STUDY</t>
  </si>
  <si>
    <t xml:space="preserve">Influences on PA and SB </t>
  </si>
  <si>
    <t>Influence of gender on PA, SB, and health</t>
  </si>
  <si>
    <t>Influence of ethnicity on PA, SB, and health</t>
  </si>
  <si>
    <t>Influence of disability on PA, SB, and health</t>
  </si>
  <si>
    <t>Assessment 2 support</t>
  </si>
  <si>
    <t>4091SPS</t>
  </si>
  <si>
    <t>Research Methods 1</t>
  </si>
  <si>
    <t>Research Strand</t>
  </si>
  <si>
    <t>4092SPS</t>
  </si>
  <si>
    <t>To develop knowledge and understanding of the basic structure and function of key physiological systems and metabolic processes, their responses to acute exercise, and their integration in determining the limits of human performance, while developing skills in the collection, presentation and interpretation of physiological data.</t>
  </si>
  <si>
    <t>xxx</t>
  </si>
  <si>
    <t>The module will use the overarching theme of the limits of human performance to explore how physiological systems and metabolic processes function, respond to acute exercise and interact as exercise intensity increases.</t>
  </si>
  <si>
    <t>Theme 1: Creating Movement - Homeostasis and physiological regulation; structure and function of the nervous system; neural control of movement; skeletal-muscle structure and function; muscle contraction, motor-unit recruitment and acute fatigue.</t>
  </si>
  <si>
    <t>Gemma Miller (TBC)</t>
  </si>
  <si>
    <t>Theme 2: Building the Aerobic Ceiling - Structure and function of the cardiovascular and respiratory systems; cardiac cycle; heart rate, stroke volume and cardiac output; blood pressure and regulation of blood flow; ventilation and gas exchange; the integrated oxygen pathway; the Fick principle; physiological determinants and measurement of V̇O₂max.</t>
  </si>
  <si>
    <t>Theme 3 : Producing and Sustaining Energy - DNA, genes and protein synthesis; biological variation; ATP, enzymes and mitochondria; phosphagen, glycolytic and oxidative energy systems; carbohydrate and lipid metabolism; substrate use across exercise intensities; blood lactate; exercise-intensity domains; fractional utilisation of V̇O₂max. Theme 4: Reaching and Explaining the Limit -Thermoregulation and fluid balance during acute exercise; cardiovascular, respiratory, metabolic, muscular and perceptual contributions to fatigue; exercise economy; sustainable performance; integration of physiological systems from rest to maximal exercise and recovery.</t>
  </si>
  <si>
    <t>All Programmes</t>
  </si>
  <si>
    <t>This module introduces the fundamental physiological systems and metabolic processes that enable humans to exercise, using the overarching theme of the limits of human performance. Students will explore how the nervous, muscular, cardiovascular and respiratory systems function and interact, how energy is produced and used, and how these systems respond as exercise intensity increases from rest to maximal and sustainable performance. Practical laboratory and field-based experiences will provide opportunities to develop skills in cardiovascular assessment, pulmonary-function testing, V̇O₂max measurement and the evaluation of sustainable performance. Students will collect, present and interpret physiological data and relate their findings to the underpinning scientific concepts. A programme of synchronous online lectures and asynchronous resources will provide structured support for laboratory-report development, including study design, methods, data analysis, presentation of results, scientific discussion and the use of evidence. Peer review, reflection and feedforward will support students in applying learning from an initial report to a more independent second submission. Together, these experiences provide the scientific knowledge, practical skills and research foundations required for subsequent study of chronic exercise adaptation, health, disease, nutrition and environmental physiology.</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</si>
  <si>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</si>
  <si>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</si>
  <si>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</si>
  <si>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Lab Report</t>
  </si>
  <si>
    <t>Lab Report Portfolio: Lab Report 1 Submission + Peer Review Activity + Reflection + Lab Report 2 Submission</t>
  </si>
  <si>
    <t xml:space="preserve">In person Online MCQ Exam </t>
  </si>
  <si>
    <t>Critical thinking</t>
  </si>
  <si>
    <t>Data collection</t>
  </si>
  <si>
    <t>Written communication</t>
  </si>
  <si>
    <t>Professional judgement</t>
  </si>
  <si>
    <t xml:space="preserve">Lecture: Introducing human performance: homeostasis, physiological regulation and the demands of exercise </t>
  </si>
  <si>
    <t>Lecture: How does the brain initiate movement? Structure and function of the nervous system</t>
  </si>
  <si>
    <t>Synchronous: The Big Picture/ Asynchronous: Overview of laboratory-report structure and purpose</t>
  </si>
  <si>
    <t>Lecture: Skeletal-muscle structure: fibres, motor units and muscle architecture</t>
  </si>
  <si>
    <t>Lecture: Skeletal-muscle function: contraction, recruitment and acute fatigue</t>
  </si>
  <si>
    <t xml:space="preserve">Asynchronous: Research questions, variables, reliability, validity, ethics and standardisation </t>
  </si>
  <si>
    <t>Lecture: Structure and function of the heart: cardiac cycle, heart rate and stroke volume</t>
  </si>
  <si>
    <t>Lecture: Acute cardiovascular responses: cardiac output and blood pressure</t>
  </si>
  <si>
    <t>Practical 1: HR and BP responses — Dataset 1/ Synchronous: Who Are We Testing and What Are We Measuring? Participant characteristics and study design applied to the HR/BP practical / Asynchronous: Complete the laboratory record and draft the participant characteristics, study design and procedural sections</t>
  </si>
  <si>
    <t>Lecture: Blood vessels, systemic circulation and distribution of blood flow</t>
  </si>
  <si>
    <t>Lecture: Regulation of blood pressure and blood flow during acute exercise</t>
  </si>
  <si>
    <t>Seminar (Computer Prac ): Dataset 1 analysis: means, SD, tables and figures / Asynchronous: Complete the Dataset 1 analysis and produce a draft table or figure</t>
  </si>
  <si>
    <t>Lecture: Structure and function of the respiratory system</t>
  </si>
  <si>
    <t>Lecture: Ventilation, pulmonary gas exchange and acute respiratory responses</t>
  </si>
  <si>
    <t>Practical 2: Pulmonary function and oxygen transport / Synchronous: How Do We Communicate What We Did and Found?Procedures, study design and objective results writing / Asynchronous: Draft the Dataset 1 results section using the class data and reporting checklist</t>
  </si>
  <si>
    <t>Lecture: The integrated oxygen pathway: atmosphere to mitochondria</t>
  </si>
  <si>
    <t>Lecture: The Fick principle and physiological determinants of V̇O₂max</t>
  </si>
  <si>
    <t>Lab Report 1 Submission</t>
  </si>
  <si>
    <t>Recorded Lecture: DNA, genes and protein synthesis</t>
  </si>
  <si>
    <t>Recorded Lecture: genetics, biological variation and the limits of prediction</t>
  </si>
  <si>
    <t>Asynchronous: Watch the recorded content, compare three contrasting lab reports and complete a formative quiz</t>
  </si>
  <si>
    <t>Lecture: How to peer review scientific work: evaluating methods, results, tables and figures; giving constructive feedback</t>
  </si>
  <si>
    <t>Lecture: Meeting the energy demands of exercise: ATP, enzymes and interaction of the energy systems</t>
  </si>
  <si>
    <t xml:space="preserve">Seminar: Peer Review of Lab Report 1 / Asynchronous task: Complete a reflection identifying one strength, two areas for improvement and three feedforward actions for Lab Report 2 </t>
  </si>
  <si>
    <t>Lecture: Integrated metabolic and physiological responses to incremental exercise</t>
  </si>
  <si>
    <t>Lecture: Measuring V̇O₂max: protocols, maximal criteria and volitional exhaustion</t>
  </si>
  <si>
    <t>Practical 3: V̇O₂max and maximal exercise; Dataset 2 / Synchronous: Using Feedback to Become a Better Physiological Scientist: feedback on Report 1 and feedforward into Report 2 / Asynchronous: Asynchronous: Apply the Report 1 feedback and produce an outline of the Report 2 methods and results</t>
  </si>
  <si>
    <t>Lecture: Carbohydrate and lipid metabolism: substrate use across exercise intensities</t>
  </si>
  <si>
    <t>Lecture: Lactate, exercise-intensity domains and the fraction of V̇O₂max sustained</t>
  </si>
  <si>
    <t>Synchronous: Explaining Why the Body Reached Its Limit: structuring the discussion and linking findings to mechanisms and evidence / Asynchronous: Draft a discussion paragraph using a claim–evidence–explanation structure</t>
  </si>
  <si>
    <t>Lecture: Heat production, heat transfer and thermoregulation during exercise</t>
  </si>
  <si>
    <t>Lecture: Sweating, fluid balance and cardiovascular strain during exercise in the heat</t>
  </si>
  <si>
    <t>Practical 4: Field-based sustainable performance / Asynchronous: Review limitations and conclusions and complete the final Lab Report 2 self-review checklist</t>
  </si>
  <si>
    <r>
      <t>Live to the Limit:</t>
    </r>
    <r>
      <rPr>
        <sz val="11"/>
        <color theme="1"/>
        <rFont val="Aptos Narrow"/>
        <family val="2"/>
        <scheme val="minor"/>
      </rPr>
      <t xml:space="preserve"> live V̇O₂max and blood-lactate exercise test integrating nervous, muscular, cardiovascular, respiratory and metabolic responses</t>
    </r>
  </si>
  <si>
    <r>
      <t>Can You Explain the Limit?</t>
    </r>
    <r>
      <rPr>
        <sz val="11"/>
        <color theme="1"/>
        <rFont val="Aptos Narrow"/>
        <family val="2"/>
        <scheme val="minor"/>
      </rPr>
      <t xml:space="preserve"> MCQ feedforward and revision using data generated during the live exercise test</t>
    </r>
  </si>
  <si>
    <t>Lab Report 2 Submission / Asynchronous: Can You Explain the Limits of Human Performance? Practice MCQ, revision and whole-module integration</t>
  </si>
  <si>
    <t>4094SPS</t>
  </si>
  <si>
    <t>To introduce the basic principles of human anatomy, functional movement, biomechanics, and motor skill acquisition, and to illustrate applications of these principles in sport, exercise, and health. The module also aims to introduce experimental methods in biomechanics and to develop skills in data handling.</t>
  </si>
  <si>
    <t>Human Movement</t>
  </si>
  <si>
    <t>Anatomy and functional movement (3 weeks)</t>
  </si>
  <si>
    <t>Katie Fitton Davies</t>
  </si>
  <si>
    <t>Biomechanics (4 weeks)</t>
  </si>
  <si>
    <t>Skill Acquisition (3-4 weeks)</t>
  </si>
  <si>
    <t>Other combination</t>
  </si>
  <si>
    <t>This module will present different concepts of human movement, from internal systems where you will be introduced to the basic principles of human anatomy and functional movement, to the mechanical laws relating to human movement via biomechanics, and finally to how we can progress whole body movement from early to later stages of learning through skill acquisition theories. You will take the theories gained through lectures and workshops and apply these theories in practical sessions, alongside being introduced to experimental methods in biomechanics and developing skills in data handling. By the end of this module, you will be able to describe human anatomical structure and function and apply concepts and techniques from biomechanics and skill acquisition to sport, exercise, and health.</t>
  </si>
  <si>
    <t>The online seminars in previous iteration do not work (low attendance - ~10% of cohort) and suggest changing to asynchronous online tasks that link to the week's content - reading, videos, tasks and a quiz - feedback from completing the quiz</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</si>
  <si>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</si>
  <si>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</si>
  <si>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</si>
  <si>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</si>
  <si>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</si>
  <si>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</si>
  <si>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</si>
  <si>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Knowledge synthesis</t>
  </si>
  <si>
    <t>Digital communication</t>
  </si>
  <si>
    <t>Organisation</t>
  </si>
  <si>
    <t>Leadership</t>
  </si>
  <si>
    <t>Delegation</t>
  </si>
  <si>
    <t>Conflict resolution</t>
  </si>
  <si>
    <t>Problem solving and impact</t>
  </si>
  <si>
    <t>Evaluation of outcomes</t>
  </si>
  <si>
    <t>Module introduction</t>
  </si>
  <si>
    <t>Introduction to the module and the assessment; what is a skill; categorisation of skills; motor learning theory; stages of learning.</t>
  </si>
  <si>
    <t>Lecture/workshop/online tasks</t>
  </si>
  <si>
    <t>Planes and Axes Rotation</t>
  </si>
  <si>
    <t>Key anatomical terms related to body orientation and position; explain anatomical planes; use directional and regional terms to describe relative locations of structures in the body.</t>
  </si>
  <si>
    <t>Bones and Joints</t>
  </si>
  <si>
    <t>Identify and classify joints; describe the anatomical components of synovial joints; explain the different types of movements; relate the structyre of specifc joints to their range of motion and function.</t>
  </si>
  <si>
    <t>Lecture/workshop/practical/online tasks</t>
  </si>
  <si>
    <t>Muscle Structure and Function</t>
  </si>
  <si>
    <t>Structure and function of skeletal muscles and how these affect strength characteristics.</t>
  </si>
  <si>
    <t>Linear Motion  - 100m Sprint</t>
  </si>
  <si>
    <t>Understand mechanical descriptors of linear motion adn apply to chosen movement.</t>
  </si>
  <si>
    <t>Cricket Bowling Action</t>
  </si>
  <si>
    <t>Understand the mechanical descriptors of angular motion so that you are able to apply these descriptors to your chosen movement.</t>
  </si>
  <si>
    <t>World's Strongest Competition</t>
  </si>
  <si>
    <t>Understand Newton's Laws in the context of how internal and external forces affect human movement.</t>
  </si>
  <si>
    <t>Dynamics - Vertical Jump</t>
  </si>
  <si>
    <t>Understand angular kinetics and then the impulse-momentum relationship within the context of the vertical jump.</t>
  </si>
  <si>
    <t>Practice</t>
  </si>
  <si>
    <t>Understand how different practice leads to different learning outcomes, understand contextual interference in practice, understand blocked and random practice and how these affect learning.</t>
  </si>
  <si>
    <t>Feedback</t>
  </si>
  <si>
    <t>Augmented feedback- what is it, when do we use, how often, and in relation to stages of learning.</t>
  </si>
  <si>
    <t>Assessment Support</t>
  </si>
  <si>
    <t>Assessment review</t>
  </si>
  <si>
    <t>5091SPS</t>
  </si>
  <si>
    <t>This module will enhance students' understanding of the research process and related methodological approaches, whilst also developing their knowledge, skills and ability to undertake a research project involving data collection, analysis and interpretation.</t>
  </si>
  <si>
    <t>Research Methods 2</t>
  </si>
  <si>
    <t>Theme 1: Qualitative research: design, methods and analysis, interpretation of results and reporting approaches. data interpretation, analysis, and presentation.</t>
  </si>
  <si>
    <t>Jonathan Foulkes</t>
  </si>
  <si>
    <t>Theme 2: Quantitative research: design, methods and analysis, interpretation of results and reporting approaches, data interpretation, analysis, and presentation.</t>
  </si>
  <si>
    <t>Theme 3: The Research Process: research designs incl. systematic review; ethical and methodological considerations; participant recruitment.</t>
  </si>
  <si>
    <t>Module consistes of lectures, seminars and support sessions.</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</si>
  <si>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</si>
  <si>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</si>
  <si>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</si>
  <si>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Group presentation demonstrating analysis of mixed-methods data</t>
  </si>
  <si>
    <t>Report</t>
  </si>
  <si>
    <t>Essay</t>
  </si>
  <si>
    <t>Research Proposal outlining a feasible study to undertake at L6</t>
  </si>
  <si>
    <t>Scientific writing</t>
  </si>
  <si>
    <t>Qualitative Research - Recap</t>
  </si>
  <si>
    <t>Qualitative Research - Recap (Seminar)</t>
  </si>
  <si>
    <t>Qualitative Research - Focus Groups (&amp; Other Methods)</t>
  </si>
  <si>
    <t>Qualitative Research - Focus Groups (Seminar)</t>
  </si>
  <si>
    <t>Qualitative Analysis - Thematic Analysis / NVivo</t>
  </si>
  <si>
    <t>Qualitative Analysis - Thematic Analysis / NVivo (Seminar)</t>
  </si>
  <si>
    <t>Questionnaires / Surveys</t>
  </si>
  <si>
    <t>Questionnaires / Surveys (Seminar)</t>
  </si>
  <si>
    <t>Quantitative Research - ANOVA</t>
  </si>
  <si>
    <t>Quantitative Research - ANOVA (Seminar)</t>
  </si>
  <si>
    <t xml:space="preserve">Quantitative Research - Correlation </t>
  </si>
  <si>
    <t>Quantitative Research - Correlation (Seminar)</t>
  </si>
  <si>
    <t>Module Choices / Dissertation Feedforward</t>
  </si>
  <si>
    <t>Research Ethics / Proposal</t>
  </si>
  <si>
    <t>Drop-in Support (Workshop)</t>
  </si>
  <si>
    <t>Study Design/Rationale Recap &amp; Systematic Review</t>
  </si>
  <si>
    <t xml:space="preserve">Methodological Considerations </t>
  </si>
  <si>
    <t>Participant Recruitment</t>
  </si>
  <si>
    <t>5092SPS</t>
  </si>
  <si>
    <t>Physiological adaptations to exercise</t>
  </si>
  <si>
    <t>To develop knowledge and understanding of the physiological adaptations to chronic exercise across diverse populations and environmental conditions, and to critically discuss their implications for human health and performance.</t>
  </si>
  <si>
    <t>Theme 1: Physiological adaptations to exercise training in athletes, inc. endurance training, resistance training and high-intensity interval training</t>
  </si>
  <si>
    <t>Pascale Kippelen</t>
  </si>
  <si>
    <t>Theme 2: Physiological adaptations to exercise intervention for health and diseases prevention / management, inc. metabolic health, cardiovascular health, respiratory health, women's health</t>
  </si>
  <si>
    <t>Theme 3: Environmental and nutritional influences on training adaptations and performance, inc. thermal stress, altitude, nutrition</t>
  </si>
  <si>
    <t>The module combines physiological theory, applied examples, practical laboratory experiences, and critical discussion to enhance students' understanding of physiological adaptations to chronic exercise and exercise as a tool for improving health and optimising performance in diverse contexts. Through introduction of real-world case studies in lectures, students will learn how physiological theories and research can be used to understand and solve practical challenges in sport, exercise, health, and performance. Through the analysis of contemporary research and participation in structured debates on controversial topics, students will develop their ability to critically evaluate competing perspectives and communicate evidence-based arguments.</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</si>
  <si>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</si>
  <si>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</si>
  <si>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</si>
  <si>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</si>
  <si>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</si>
  <si>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Evidence evaluation</t>
  </si>
  <si>
    <t>Active listening</t>
  </si>
  <si>
    <t>Critical appraisal</t>
  </si>
  <si>
    <t>Introduction lecture (1h)</t>
  </si>
  <si>
    <t>Workshop/debate: Should asthma inhalers be banned in elite sport? (1h)</t>
  </si>
  <si>
    <t>Tutorial: How to write a lab report – Online synchronous (1h)</t>
  </si>
  <si>
    <t>Lecture: Endurance training – case study: the professional cyclist (1.5h)</t>
  </si>
  <si>
    <t>Practical + seminar: Douglas bag technique (2h)</t>
  </si>
  <si>
    <t>Tutorial: How to use SPSS – Online synchronous (1h)</t>
  </si>
  <si>
    <t>Lecture: High intensity interval training – case study: the football academy player (1.5h)</t>
  </si>
  <si>
    <t>Practical + seminar: HIIT (2h)</t>
  </si>
  <si>
    <t>Practical: Data analysis – computer lab (1h)</t>
  </si>
  <si>
    <t>Lecture: Resistance training – case study: the bodybuilder (1.5h)</t>
  </si>
  <si>
    <t>Practical + seminar : Cardiovascular response to resistance training (2h)</t>
  </si>
  <si>
    <t>Workshop/debate: Pro/con of anabolic steroids? (1h)</t>
  </si>
  <si>
    <t>Lecture: Exercise for metabolic health – case study: the obese adult</t>
  </si>
  <si>
    <t>Practical + seminar: Substrate use (2h)</t>
  </si>
  <si>
    <t>Tutorial: How to interpret research findings – Online synchronous (1h)</t>
  </si>
  <si>
    <t>Lecture: Exercise for cardiovascular health – case study: the older adult with cardiovascular disease (1.5h)</t>
  </si>
  <si>
    <t>Workshop/debate: Can exercise keep you young? (1h)</t>
  </si>
  <si>
    <t>Tutorial: AI literacy: dos and don’ts – Online synchronous (1h)</t>
  </si>
  <si>
    <t>ENRICHMENT WEEK</t>
  </si>
  <si>
    <t>Lecture: Exercise for respiratory health – case study: the child with asthma (1.5h)</t>
  </si>
  <si>
    <t>Workshop/debate: Risks versus benefits of active commuting (1h)</t>
  </si>
  <si>
    <t>Lecture: Exercise for all women – case study: the amenorrhoeic athlete (1.5h)</t>
  </si>
  <si>
    <t>Workshop/debate: How to address female under-representation in sport and exercise sciences research? (1h)</t>
  </si>
  <si>
    <t>Tutorial: Feedback lab report / Feedforward pro/con debate – Online synchronous (1h)</t>
  </si>
  <si>
    <t>Lecture: Environmental thermal stress – case study: the athlete who suffered heatstroke (1.5h)</t>
  </si>
  <si>
    <t>Practical + seminar: Heat (2h)</t>
  </si>
  <si>
    <t>Tutorial: How to win a debate – Online synchronous (1h)</t>
  </si>
  <si>
    <t>Lecture: Exercise at altitude – case study: the Queen of the mountain (successful pregnancy while exercising up to 5,300 m) (1.5h)</t>
  </si>
  <si>
    <t>Workshop/debate: Is altitude training doping?  (1h)</t>
  </si>
  <si>
    <t>Lecture: Nutrition for health and performance – case study: the marathon runner who ‘hit the wall’ (1.5h)</t>
  </si>
  <si>
    <t>Workshop/debate: Student practice (1h)</t>
  </si>
  <si>
    <t>Drop-in session</t>
  </si>
  <si>
    <t>5101SPS</t>
  </si>
  <si>
    <t>To develop the student’s skills, knowledge and abilities as a professional practitioner in sport and exercise science. To enhance practical skills and theoretical knowledge to audit a ‘client’s’ requirements and effectively communicate outcomes of consultation. To understand the requirements for professional behaviour and how to be inclusive. To recognise ways to enhance personal and professional development.</t>
  </si>
  <si>
    <t>Professional Practice in Sport and Exercise Science 2</t>
  </si>
  <si>
    <t>Theme 1: The Professional Practitioner - What does it mean to be a Professional</t>
  </si>
  <si>
    <t xml:space="preserve">Theme 2: Understanding Client Needs </t>
  </si>
  <si>
    <t>Theme 3: Employability</t>
  </si>
  <si>
    <t>Students will engage with weekly lecture material, delivered largely by the module leader - with some input from academic/industry experts where appropriate. Lecture material will be supported by Seminars, whereby students will be afforded the ability to work in smaller groups to help refine their analytic, communicative and academic skillsets to help achieve the module learning outcomes. Students should also engage in the extracurricular CPD material that is signposted to them throughout the module.</t>
  </si>
  <si>
    <t>Employ sport &amp; exercise science principles and practice</t>
  </si>
  <si>
    <t>Analyse personal and professional development</t>
  </si>
  <si>
    <t>Evaluate client needs and prepare appropriate client-based material and feedback, accounting for individual differences (e.g. culture and environmental factors).</t>
  </si>
  <si>
    <t>Students will Compose a CV, Cover Letter + Video Interview for the "application" for one of two roles in a Sport &amp; Exercise Setting</t>
  </si>
  <si>
    <t>Students will, in groups, provide a needs analysis for a given issue and should deliver a presentation of interdisciplinary cohesion to improve health and/or performance outcomes</t>
  </si>
  <si>
    <t>Self-awareness</t>
  </si>
  <si>
    <t>Evidne-based practice</t>
  </si>
  <si>
    <t>Module Introduction &amp; Overview</t>
  </si>
  <si>
    <t>Online / in-Person Ad-Hoc Support</t>
  </si>
  <si>
    <t>Anti-Doping in Sport</t>
  </si>
  <si>
    <t>CV + Cover Letter Development</t>
  </si>
  <si>
    <t>Early Career Navigation</t>
  </si>
  <si>
    <t>Careers Beyond Performance Sport</t>
  </si>
  <si>
    <t>Interdisciplinary Approached in SES</t>
  </si>
  <si>
    <t>Elite Practitioner Insights</t>
  </si>
  <si>
    <t>Conducting Appropriate Needs Analyses in SES</t>
  </si>
  <si>
    <t>Fostering Cohesive Environments in SES</t>
  </si>
  <si>
    <t>What Does the Sport Scientist do? Elite Practitioner Insights</t>
  </si>
  <si>
    <t>Group Assessment Preperation</t>
  </si>
  <si>
    <t>5102SPS</t>
  </si>
  <si>
    <t>This module aims to develop students’ theoretical knowledge and understanding of socio-ecological influences on physical activity, sedentary behaviour and sleep through analysis of scientific literature in different population subgroups. The module also aims to analyse the strengths and limitations of methods to assess physical activity and sedentary behaviour, and to equip students with the skills to conduct a brief assessment of physical activity with a client, including assessment administration, interpretation of behaviour/results against guidelines, and feedback.</t>
  </si>
  <si>
    <t>Influences and Assessment of Physical Activity and Sedentary Behaviour</t>
  </si>
  <si>
    <t>Influences on physical activity and sedentary behaviour</t>
  </si>
  <si>
    <t>Sarah Taylor</t>
  </si>
  <si>
    <t>Assessment of physical activity and sedentary behaviour: Measurement principles, Device-based measures, Self-report measures, Brief assessment and advice</t>
  </si>
  <si>
    <t>Students should engage with synchronous lectures that will be delivered face-to-face. Lecture content will be supported by seminar and practical activities. Students will be expected to use their analytical, statistical and research skills to interpret the scientific evidence. Practical activities will provide experiential learning opportunities for students to analyse the measurement methods and practice skills-based competencies. Students should also access the wide range of resources provided to broaden their knowledge, understanding and their ability to apply module material.</t>
  </si>
  <si>
    <t>Analyse and interpret influences on physical activity and sedentary behaviour</t>
  </si>
  <si>
    <t>Analyse the strengths and limitations of methods for assessing physical activity and sedentary behaviour</t>
  </si>
  <si>
    <t xml:space="preserve">Assess physical activity and communicate results to a lay person </t>
  </si>
  <si>
    <t>30-minute group presentation – Analyse the factors that influence physical activity sedentary behaviour, and sleep in a specific population subgroup (e.g., young children, children, adolescents, adults, older adults).</t>
  </si>
  <si>
    <r>
      <rPr>
        <sz val="11"/>
        <color rgb="FF000000"/>
        <rFont val="Aptos Narrow"/>
        <scheme val="minor"/>
      </rPr>
      <t xml:space="preserve">PART 1 – </t>
    </r>
    <r>
      <rPr>
        <b/>
        <sz val="11"/>
        <color rgb="FF000000"/>
        <rFont val="Aptos Narrow"/>
        <scheme val="minor"/>
      </rPr>
      <t>Individual practical:</t>
    </r>
    <r>
      <rPr>
        <sz val="11"/>
        <color rgb="FF000000"/>
        <rFont val="Aptos Narrow"/>
        <scheme val="minor"/>
      </rPr>
      <t xml:space="preserve"> Perform a brief assessment of physical activity with a client (research participant) and give accurate feedback and appropriate recommendations. PART 2 - </t>
    </r>
    <r>
      <rPr>
        <b/>
        <sz val="11"/>
        <color rgb="FF000000"/>
        <rFont val="Aptos Narrow"/>
        <scheme val="minor"/>
      </rPr>
      <t>Viva:</t>
    </r>
    <r>
      <rPr>
        <sz val="11"/>
        <color rgb="FF000000"/>
        <rFont val="Aptos Narrow"/>
        <scheme val="minor"/>
      </rPr>
      <t xml:space="preserve"> Analyse the strengths and limitations and provide recommendations for a proposed measurement approach in a given research scenario .</t>
    </r>
  </si>
  <si>
    <t>17-18 (January Assessment Week)</t>
  </si>
  <si>
    <t>Professional relationships and behaviours</t>
  </si>
  <si>
    <t>Collaboration/multi-disciplinary working</t>
  </si>
  <si>
    <t>Module Introduction, Individual (demographic) factors (L4 recap)</t>
  </si>
  <si>
    <t>Online module support drop in</t>
  </si>
  <si>
    <t>Individual (psychological) factors</t>
  </si>
  <si>
    <t>Seminar: Journal Club</t>
  </si>
  <si>
    <t>Social factors</t>
  </si>
  <si>
    <t>Environmental factors</t>
  </si>
  <si>
    <t>Policy factors</t>
  </si>
  <si>
    <t xml:space="preserve">Assessment support </t>
  </si>
  <si>
    <t xml:space="preserve">PA and SB Measurement Introduction </t>
  </si>
  <si>
    <t xml:space="preserve">Practical: Measurement Feasibility and Potential Issues </t>
  </si>
  <si>
    <t>PA and SB Measurement: Device-Based</t>
  </si>
  <si>
    <t>Seminar: Device-Based Deployment</t>
  </si>
  <si>
    <t>PA and SB Measurement: Self-Report</t>
  </si>
  <si>
    <t>Seminar: Self-Report Deployment</t>
  </si>
  <si>
    <t>PA and SB Measurement: Strengths and Limitations</t>
  </si>
  <si>
    <t>Seminar: Viva Preparation</t>
  </si>
  <si>
    <t>5103SPS</t>
  </si>
  <si>
    <t xml:space="preserve">Biomechanics </t>
  </si>
  <si>
    <t xml:space="preserve">Thomas O'Brien </t>
  </si>
  <si>
    <t>SES and FS</t>
  </si>
  <si>
    <t>Collect, analyse and report biomechanical data and in sports and exercise applications</t>
  </si>
  <si>
    <t xml:space="preserve">Explain how biomechanical principles can be used to improve performance and reduce injury </t>
  </si>
  <si>
    <t xml:space="preserve">Porfoiolo of biomechanical analysis reports to a 'Performance Director', linked to taught labs </t>
  </si>
  <si>
    <t xml:space="preserve">Exam testing knowledge of taught conetent and assessing depth of knowlegde and seeking justifications and critique of portfolio </t>
  </si>
  <si>
    <t>Describing and measuring movement</t>
  </si>
  <si>
    <t xml:space="preserve">Directed study: qualitative movement analysis </t>
  </si>
  <si>
    <t>Moments and Forces</t>
  </si>
  <si>
    <t xml:space="preserve">Seminar: More moments </t>
  </si>
  <si>
    <t>Load measurement and monitoring</t>
  </si>
  <si>
    <t xml:space="preserve">Lab: moments data collection </t>
  </si>
  <si>
    <t xml:space="preserve">Jumping 1: Performance + Screening and RtP </t>
  </si>
  <si>
    <t>Computer prctical</t>
  </si>
  <si>
    <t xml:space="preserve">Jumping 2 </t>
  </si>
  <si>
    <t>Lab: Jumping</t>
  </si>
  <si>
    <t>Kicking</t>
  </si>
  <si>
    <t>Seminar: Jumping analysis</t>
  </si>
  <si>
    <t xml:space="preserve">3D motion analysis </t>
  </si>
  <si>
    <t xml:space="preserve">3D labs </t>
  </si>
  <si>
    <t xml:space="preserve">Running 1 (technique) </t>
  </si>
  <si>
    <t>Lab: running GRF</t>
  </si>
  <si>
    <t>Running 2 (Appliations)</t>
  </si>
  <si>
    <t xml:space="preserve">Seminar: running analysis </t>
  </si>
  <si>
    <t xml:space="preserve">Neuro-muscular basis of movement: EMG </t>
  </si>
  <si>
    <t>Lab: EMG</t>
  </si>
  <si>
    <t>Neuro-muscular basis of movement: Strength</t>
  </si>
  <si>
    <t xml:space="preserve">Seminar: EMG analysis </t>
  </si>
  <si>
    <t>Exam prep</t>
  </si>
  <si>
    <t>6101SPS</t>
  </si>
  <si>
    <t>The aim of this module is for students to gain the knowledge and skills necessary to evaluate sports biomechanics in performance and injury contexts</t>
  </si>
  <si>
    <t>Sport and Injury Biomechanics</t>
  </si>
  <si>
    <t>This module covers sports performance and injury contexts alongside technical training with key biomechanical</t>
  </si>
  <si>
    <t>Mark Robinson</t>
  </si>
  <si>
    <t>tools. Topics include: Sports performance evaluation; Footwear; 3D Motion Analysis; Segmental Modelling in</t>
  </si>
  <si>
    <t>Option module</t>
  </si>
  <si>
    <t>Visual 3D; Wearable Sensors; Injury; Current issues.</t>
  </si>
  <si>
    <t>Conduct an experimental analysis in sports biomechanics and interpret the findings</t>
  </si>
  <si>
    <t>Critique measurement tools used in biomechanical analysis</t>
  </si>
  <si>
    <t>Effectively present biomechanical results and respond to questions</t>
  </si>
  <si>
    <t>Data Analysis</t>
  </si>
  <si>
    <t>Running Evaluation</t>
  </si>
  <si>
    <t>Case Study</t>
  </si>
  <si>
    <t>Injury Screening Evaluation</t>
  </si>
  <si>
    <t>6102SPS</t>
  </si>
  <si>
    <t>Physical activity and sedentary behaviour across the life course</t>
  </si>
  <si>
    <t>This module aims to engage students in current physical activity, sedentary behaviour and health concepts linked to stages of the life course. Students will gain experience of using physical activity and sedentary behaviour measurement tools via practical sessions. Students will also gain an understanding of the principles of intervention design, evaluation and health inequalities.</t>
  </si>
  <si>
    <t>Theme 1: Physical activity, sedentary behaviour and health across the life course, for example: Pregnancy, early years, childhood and adolescence, early adulthood, middle age, older age, inequalities.</t>
  </si>
  <si>
    <t>Prof. Lynne Boddy</t>
  </si>
  <si>
    <t xml:space="preserve">Theme 2: Intervention design, measurement and evaluation. Developing interventions physical activity and sedentary behaviour measurement, evaluation. </t>
  </si>
  <si>
    <t xml:space="preserve">This module will use flipped lectures, lectures, seminars, practical classes and online drop in sessions to engage students in the content. </t>
  </si>
  <si>
    <t>Demonstrate an ability to locate and synthesise physical activity, sedentary behaviour and health research literature.</t>
  </si>
  <si>
    <t>Demonstrate a critical understanding of intervention design, measurement and evaluation principles in the context of physical activity, sedentary behaviour and health research.</t>
  </si>
  <si>
    <t xml:space="preserve">Demonstrate a critical  understanding of inequalities in physical activity, sedendary behaviour and associated health outcomes. </t>
  </si>
  <si>
    <t xml:space="preserve">Three mini essays: Critical discussions. </t>
  </si>
  <si>
    <t xml:space="preserve">One 10 minute individual presentation plus up to 5 minutes of questions. </t>
  </si>
  <si>
    <t>Domian-specfic analytical skills</t>
  </si>
  <si>
    <t>Module introduction &amp; assessment feed forward</t>
  </si>
  <si>
    <t>Life course 1</t>
  </si>
  <si>
    <t>Drop in week 1 content</t>
  </si>
  <si>
    <t>Life course 2 introduction</t>
  </si>
  <si>
    <t>Life course 2</t>
  </si>
  <si>
    <t>Drop in week 2 content</t>
  </si>
  <si>
    <t>Life course 3 introduction</t>
  </si>
  <si>
    <t>Life course 3</t>
  </si>
  <si>
    <t>Drop in week 3 content</t>
  </si>
  <si>
    <t>Life course 5 introduction</t>
  </si>
  <si>
    <t xml:space="preserve">Life course 5 </t>
  </si>
  <si>
    <t>Drop in week 4 content</t>
  </si>
  <si>
    <t>Life course 4 introduction</t>
  </si>
  <si>
    <t>Life course 4</t>
  </si>
  <si>
    <t>Drop in week 5 content</t>
  </si>
  <si>
    <t>Introduction to intervention design</t>
  </si>
  <si>
    <t>Assessment 1 support clinic</t>
  </si>
  <si>
    <t>Drop in week 6 content &amp; assessment support</t>
  </si>
  <si>
    <t>ASSESSMENT 1 SUBMISSION</t>
  </si>
  <si>
    <t>Intervention design 2</t>
  </si>
  <si>
    <t>Evaluation 1</t>
  </si>
  <si>
    <t>Practical: Measuring PA and SB 1 (IT rooms)</t>
  </si>
  <si>
    <t>Evaluation 2 introduction</t>
  </si>
  <si>
    <t>Evaluation 2</t>
  </si>
  <si>
    <t>Practical: Measuring PA and SB 2 (Sports Hall)</t>
  </si>
  <si>
    <t>Evaluation 3 introduction</t>
  </si>
  <si>
    <t>Evaluation 3</t>
  </si>
  <si>
    <t>Drop in week 10 content</t>
  </si>
  <si>
    <t>Intervention and Evaluation summary</t>
  </si>
  <si>
    <t>Assessment 2 support clinic</t>
  </si>
  <si>
    <t>Drop in week 11 content &amp; assessment support</t>
  </si>
  <si>
    <t>ASSESSMENT 2 WEEK</t>
  </si>
  <si>
    <t>6103SPS</t>
  </si>
  <si>
    <t>To develop an understanding of the regulation of the metabolic processes by which muscles are provided with energy during exercise, as well as examining the molecular mechanisms underpinning muscle adaptation to exercise training.</t>
  </si>
  <si>
    <t>Exercise Metabolism</t>
  </si>
  <si>
    <t>Theme 1: methods used in exercise metabolism</t>
  </si>
  <si>
    <t>Daniel Owens</t>
  </si>
  <si>
    <t>Theme 2: metabolic regulation during exercise</t>
  </si>
  <si>
    <t>Theme 3: metabolic adaptations to exercise training</t>
  </si>
  <si>
    <t xml:space="preserve">This module will use lectures, seminars (journal club and case studies), practical classes and engaging online content to engage students. </t>
  </si>
  <si>
    <t xml:space="preserve">Critically evaluate and synthesise evidence relating to the hormonal and cellular processes involved in the metabolic regulation of energy provision during exercise </t>
  </si>
  <si>
    <t>Critically evaluate the metabolic responses to acute and chronic endurance, high intensity and resistance-type exercise.</t>
  </si>
  <si>
    <t>Recognise and evaluate key concepts relating to the influence of pre- and during- exercise feeding on related metabolic pathways.</t>
  </si>
  <si>
    <t>Laboratory Report</t>
  </si>
  <si>
    <t xml:space="preserve">Scientific laboratory report based upon data collected during physiological testing lab practicals. Designed to demonstrate analysis, synthesis and evaluation skills. </t>
  </si>
  <si>
    <t xml:space="preserve">In person exam to assess knowledge and comprehension. </t>
  </si>
  <si>
    <t>Reserch literacy</t>
  </si>
  <si>
    <t>Module overview and measuring fuel use during exercise</t>
  </si>
  <si>
    <t>Metabolic fuels and determinants of fuel selection during exercise</t>
  </si>
  <si>
    <t>Online mini lecture: important molecules in exercise metabolism</t>
  </si>
  <si>
    <t>NotebookLM podcast of key reading items</t>
  </si>
  <si>
    <t>Fundamentals of carbohydrate metabolism</t>
  </si>
  <si>
    <t>Seminar Journal club 1 - seminal research article Romijn et al 1993</t>
  </si>
  <si>
    <t>Fundamentals of lipid metabolism</t>
  </si>
  <si>
    <t>Seminar Journal club 2 - seminal research article van Loon et al 2001</t>
  </si>
  <si>
    <t>Fundamentals of protein metabolism</t>
  </si>
  <si>
    <t>Seminar Journal club 3 - seminal research article Watt et al 2002</t>
  </si>
  <si>
    <t>Lab practical</t>
  </si>
  <si>
    <t>Metabolic adaptations to endurance training</t>
  </si>
  <si>
    <t>Seminar Journal club 4 - seminal research article Romijn et al 1995</t>
  </si>
  <si>
    <t xml:space="preserve">Adaptations to resistance training </t>
  </si>
  <si>
    <t>Seminar Case study: Team sport athlete profiling</t>
  </si>
  <si>
    <t>Molecular drivers of exercise adaptations</t>
  </si>
  <si>
    <t xml:space="preserve">Seminar Case study: Metabolic consequences of low energy availability </t>
  </si>
  <si>
    <t>Maladaptations and the metabolic effects of detraining</t>
  </si>
  <si>
    <t xml:space="preserve">Seminar Case study: Premier league footballer ACL </t>
  </si>
  <si>
    <t>Mock exam preparation</t>
  </si>
  <si>
    <t>Metabolic profiling of athletes: lab to field data translation</t>
  </si>
  <si>
    <t xml:space="preserve">Seminar Case study: Ironman triathlete data analysis, training prescription and pacing </t>
  </si>
  <si>
    <t>Exam preparation lecture</t>
  </si>
  <si>
    <t>Exam preparation seminar</t>
  </si>
  <si>
    <t>Exam preparation - self directed</t>
  </si>
  <si>
    <t>6104SPS</t>
  </si>
  <si>
    <t>Cardiovascular Physiology</t>
  </si>
  <si>
    <t>Ben Buckley</t>
  </si>
  <si>
    <t>Critically evaluate the diagnostic and prognostic ability of various cardiovascular and exercise physiology assessment tools employed in clinical or research practice</t>
  </si>
  <si>
    <t>Analyse and interpret results from cardiovascular and clinical exercise assessments.</t>
  </si>
  <si>
    <t>Critically evaluate the pathophysiology of cardiovascular conditions, their impact on exercise response and how exercise can be used to treat conditions.</t>
  </si>
  <si>
    <t>Case-study presentation of CPET data collected during lab practicals + viva</t>
  </si>
  <si>
    <t>ECG interpretation exam</t>
  </si>
  <si>
    <t>Laboratory/clinical techniques</t>
  </si>
  <si>
    <t>Domain-specific analytical skills</t>
  </si>
  <si>
    <t>Cardiovascular physiology</t>
  </si>
  <si>
    <t>Vascular ultrasound practical</t>
  </si>
  <si>
    <t>Cardiovascular pathophysiology</t>
  </si>
  <si>
    <t>Cardiopulmonary exercise testing: principles</t>
  </si>
  <si>
    <t>Conducting a CPET practical</t>
  </si>
  <si>
    <t>Cardiopulmonary exercise testing: application</t>
  </si>
  <si>
    <t>CPET interpretation practical</t>
  </si>
  <si>
    <t>Exercise prescription and assessment support</t>
  </si>
  <si>
    <t>Clinical CPET interpretation</t>
  </si>
  <si>
    <t>Advanced CPET interpretation</t>
  </si>
  <si>
    <t>Assessment 1 tutorials</t>
  </si>
  <si>
    <t>Enrichment week</t>
  </si>
  <si>
    <t>Assessment 1: case-study presentation and viva</t>
  </si>
  <si>
    <t>ECG principles and assessment preparation</t>
  </si>
  <si>
    <t>Taking an ECG and ECG interpretation</t>
  </si>
  <si>
    <t>Clinical ECG interpretation</t>
  </si>
  <si>
    <t>Clinical ECG practical</t>
  </si>
  <si>
    <t>Advanced ECG interpretation</t>
  </si>
  <si>
    <t>Athletes’ ECG and cardiovascular disease</t>
  </si>
  <si>
    <t>Echocardiography</t>
  </si>
  <si>
    <t>Assessment 2 tutorials</t>
  </si>
  <si>
    <t>6105SPS</t>
  </si>
  <si>
    <t>To gain the knowledge and skills necessary to evaluate gait through quantitative analysis.</t>
  </si>
  <si>
    <t>Clinical Biomechanics</t>
  </si>
  <si>
    <t>To gain the knowledge and skills necessary to evaluate the role of muscle and tendon function and adaptation that contribute to locomotor impairments.</t>
  </si>
  <si>
    <t>Introduction to gait analysis, Observational gait analysis and temporal/spatial parameters, Methods of 3D movement analysis, Normal gait, Collection of kinematic data for assessment, Invited speaker on clinical gait analysis in cerebral palsy, Relationship between muscle structure and function, Muscle and tendon function &amp; adaptation, Voluntary activation of muscle, Measurement techniques for muscle and tendon function.</t>
  </si>
  <si>
    <t>Gabor Barton</t>
  </si>
  <si>
    <t>Given that biomechanics has important practical applications in a clinical context and that in the Biomechanics Group several members of staff are leaders in various areas of this field, we are in a unique position to engage you with two main topics: gait analysis and strength assessment.</t>
  </si>
  <si>
    <t xml:space="preserve">The gait analysis component of the module (content and assessment) is endorsed by the European Society for Movement Analysis in Adults and Children (www.esmac.org). </t>
  </si>
  <si>
    <t>Conduct an experimental analysis of human gait and interpret the findings</t>
  </si>
  <si>
    <t>Critically evaluate the role of muscle and tendon function and adaptation</t>
  </si>
  <si>
    <t>The effects of walking speed on three-dimensional gait kinematics</t>
  </si>
  <si>
    <t>Exam covering content delivered in the second half on strength, muscles and tendons.</t>
  </si>
  <si>
    <t>Digital literacy</t>
  </si>
  <si>
    <t>Technical proficiency</t>
  </si>
  <si>
    <t>Research communication</t>
  </si>
  <si>
    <t>Analytical thinking</t>
  </si>
  <si>
    <t>Mark, we'll need more lines for A1 and A2</t>
  </si>
  <si>
    <t>A2 Tom, please complete for exam</t>
  </si>
  <si>
    <t>Module introduction and
Introduction to gait analysis</t>
  </si>
  <si>
    <t>Directed reading (selected papers, ESMAC abstracts, CMAS/ESMAC websites, etc.)</t>
  </si>
  <si>
    <t>Observational gait analysis and temporal-spatial parameters</t>
  </si>
  <si>
    <t>Capturing, calculating and interpreting temporal and spatial parameters of gait using TemporoSpatial program and new/existing data</t>
  </si>
  <si>
    <t>Physical examination</t>
  </si>
  <si>
    <t>Measure joint angles from images with program, explain which muscle/tendon is short. Can include MCQs covering content so far, see in phys. exam folder.</t>
  </si>
  <si>
    <t>Normal gait</t>
  </si>
  <si>
    <t>Compare normal gait video with normal angle curves</t>
  </si>
  <si>
    <t>Kinematics data collection for Coursework</t>
  </si>
  <si>
    <t>Data processing in QTM&amp;V3D with step-by-step guide</t>
  </si>
  <si>
    <t>Clinical gait analysis - invited speaker</t>
  </si>
  <si>
    <t>Identify mechanisms in normal and pathological gait (ankylosis, SDR, CP) using video worksheets</t>
  </si>
  <si>
    <t>DSW</t>
  </si>
  <si>
    <r>
      <t xml:space="preserve">,  </t>
    </r>
    <r>
      <rPr>
        <i/>
        <sz val="11"/>
        <color theme="1"/>
        <rFont val="Aptos Narrow"/>
        <family val="2"/>
        <scheme val="minor"/>
      </rPr>
      <t>(Costis, you've deleted this in our Excel sheet)</t>
    </r>
  </si>
  <si>
    <t xml:space="preserve">Ultrasound imaging of muscle architecture and directed reading </t>
  </si>
  <si>
    <t xml:space="preserve">Plasticity of muscle architecture and functional implications </t>
  </si>
  <si>
    <t xml:space="preserve">Analysis of ultrasound images of muscle architecture </t>
  </si>
  <si>
    <t>Activation of angonist and antagonist muscles</t>
  </si>
  <si>
    <t>Pre-lab task: Video demo of agonist activaion data collection.
Computer practical: analysis of agonist activation</t>
  </si>
  <si>
    <t xml:space="preserve">Moment arms and mechanical advantage </t>
  </si>
  <si>
    <t xml:space="preserve">Calculating mechanical advanatge </t>
  </si>
  <si>
    <t>Revision</t>
  </si>
  <si>
    <t>6106SPS</t>
  </si>
  <si>
    <t>This module aims to develop students' understanding of the role of physical activity and sedentary behaviour in the prevention and management of long term medical conditions. It explores contemporary evidence and practice relating to the promotion of physical activity, the reduction of sedentary behaviour, and the use of physical activity as an evidence based, non pharmacological component of healthcare across a range of clinical populations and settings. Students will critically evaluate current approaches to physical activity promotion and progress from understanding interventions within specific populations and environments to designing and communicating evidence informed physical activity interventions for clinical populations.</t>
  </si>
  <si>
    <t>The role of physical activity within healthcare, including referral pathways, clinical reporting, prehabilitation, rehabilitation, risk stratification and health inequalities.
Physical activity as an evidence based, non pharmacological component of the prevention and management of long term medical conditions.</t>
  </si>
  <si>
    <t>Dr Tori Sprung</t>
  </si>
  <si>
    <t>Physiological, psychological and functional benefits of physical activity across a range of clinical populations, including cancer, cardiovascular disease, metabolic disease, rheumatic disease, pregnancy and severe mental illness.</t>
  </si>
  <si>
    <t>Behaviour change and motivational strategies to support long term physical activity participation and adherence.
Effective communication with healthcare professionals, patients and the wider public, including the translation of scientific evidence into accessible health messages.</t>
  </si>
  <si>
    <t>Students are expected to engage with a combination of synchronous and asynchronous learning activities, including lectures, some of which may be delivered by guest speakers with specialist expertise. Workshops, journal club seminars and online worksheet activities are designed to consolidate lecture content, promote critical engagement with the evidence base and support the application of learning to clinical practice.</t>
  </si>
  <si>
    <t>Interactive teaching sessions will incorporate discussion activities that encourage students to share perspectives and experiences, fostering collaborative learning and consideration of wider societal and healthcare needs. Additional tutorials will be available throughout the module, with students expected to book appointments via the University's SeeMyTutor system to support their academic development.</t>
  </si>
  <si>
    <t>Students are also expected to undertake prescribed reading and directed independent study to broaden their knowledge, develop critical understanding and strengthen their ability to apply evidence based principles of physical activity for people living with long term medical conditions.</t>
  </si>
  <si>
    <t>Examine the prevalence of long term medical conditions and critically consider how protected characteristics and their intersections influence disease risk, health inequalities and opportunities for physical activity participation.</t>
  </si>
  <si>
    <t>Evaluate the evidence underpinning physical activity for the prevention and management of long term medical conditions, including its role in improving function, facilitating recovery, maximising independence and supporting participation.</t>
  </si>
  <si>
    <t>Critically evaluate the practical, ethical and societal considerations associated with promoting physical activity and reducing sedentary behaviour among people living with long term medical conditions.</t>
  </si>
  <si>
    <t>Critically analyse the effectiveness of physical activity, sedentary behaviour and health interventions, and formulate evidence based recommendations appropriate for clinical practice and patient education.</t>
  </si>
  <si>
    <t>Communicate evidence based physical activity recommendations effectively to healthcare professionals, patients and the wider public, adapting information appropriately for the intended audience.</t>
  </si>
  <si>
    <t>The Conversation' style article and accompanying infographic</t>
  </si>
  <si>
    <t>Patient Education Session</t>
  </si>
  <si>
    <t>Service delivery</t>
  </si>
  <si>
    <t>Evidence-based decision making</t>
  </si>
  <si>
    <t>Not sure we have enough rows here to do this comprehensively so I have just done one skil for each LO.</t>
  </si>
  <si>
    <t>Self-directed learning on Canvas pages</t>
  </si>
  <si>
    <t>The role of Physical Activity in healthcare</t>
  </si>
  <si>
    <t>Physical activity for clinical groups</t>
  </si>
  <si>
    <t>Effective Communication &amp; Utilisation of Evidence</t>
  </si>
  <si>
    <t>The role of Physical Activity in healthcare II + Assessment Feedforward</t>
  </si>
  <si>
    <t>PA for Cancer</t>
  </si>
  <si>
    <t>PA for Pregnancy related complications</t>
  </si>
  <si>
    <t>PA for Mental Health</t>
  </si>
  <si>
    <t>PA for Rheumatoid Arthritis</t>
  </si>
  <si>
    <t>Motivatonal Strategies to Enhance Adherence &amp; Compliance</t>
  </si>
  <si>
    <t>Assessment Support Clinic</t>
  </si>
  <si>
    <t>6107SPS</t>
  </si>
  <si>
    <t>Environmental Physiology</t>
  </si>
  <si>
    <t xml:space="preserve">This module is designed to critically examine the limitations to health and
performance under various environmental stressors and will examine how these
limitations can be ameliorated with appropriate adaptation strategies and exercise
interventions.
</t>
  </si>
  <si>
    <t>Thermoregulatory physiology
Hydration
Exercise in the heat/cold
Circadian physiology
Pollution
Space physiology
Exercise at altitude
Diving physiology
Climate change</t>
  </si>
  <si>
    <t>Dr Ben Edwards</t>
  </si>
  <si>
    <t xml:space="preserve">Learning Activities
Students will attend time-tabled lectures and laboratory practicals and will be
encouraged to utilise the available directed learning/private study time and resources
made available via the virtual learning platforms. Students should seek advice from
module staff and/or conduct essential reading as directed. Some of the teaching
sessions will contain practical based activities where students will be required to use
their analytical, statistical and problem solving skills to enhance their own learning.
Students should complete the required and recommended reading and directed
learning/private study tasks to widen their knowledge, understanding and their ability
to apply module material. Students will be required to evidence this in their
assessments, in practical/tutorial discourse and via virtual learning platform tasks.
</t>
  </si>
  <si>
    <t>Learning Activities</t>
  </si>
  <si>
    <t>Students will attend time-tabled lectures and laboratory practicals and will be</t>
  </si>
  <si>
    <t>encouraged to utilise the available directed learning/private study time and resources</t>
  </si>
  <si>
    <t>made available via the virtual learning platforms. Students should seek advice from</t>
  </si>
  <si>
    <t>module staff and/or conduct essential reading as directed. Some of the teaching</t>
  </si>
  <si>
    <t>sessions will contain practical based activities where students will be required to use</t>
  </si>
  <si>
    <t>Critically analyse the limitations to performance and health during common environmental stressors</t>
  </si>
  <si>
    <t>their analytical, statistical and problem solving skills to enhance their own learning.</t>
  </si>
  <si>
    <t xml:space="preserve">Critically evaluate a range of coping strategies when confronted with common
environmental stressors
</t>
  </si>
  <si>
    <t>Students should complete the required and recommended reading and directed</t>
  </si>
  <si>
    <t>learning/private study tasks to widen their knowledge, understanding and their ability</t>
  </si>
  <si>
    <t>to apply module material. Students will be required to evidence this in their</t>
  </si>
  <si>
    <t>assessments, in practical/tutorial discourse and via virtual learning platform tasks.</t>
  </si>
  <si>
    <t>15-min group presentation</t>
  </si>
  <si>
    <t>On a chosen sporting challenge in extreme heat/cold</t>
  </si>
  <si>
    <t>Presnt a poster and defend questions on the poster and the topic both theoretical and practical</t>
  </si>
  <si>
    <r>
      <rPr>
        <b/>
        <sz val="12"/>
        <color rgb="FF000000"/>
        <rFont val="Times New Roman"/>
      </rPr>
      <t>2-h</t>
    </r>
    <r>
      <rPr>
        <sz val="12"/>
        <color rgb="FF000000"/>
        <rFont val="Times New Roman"/>
      </rPr>
      <t xml:space="preserve"> </t>
    </r>
    <r>
      <rPr>
        <b/>
        <sz val="12"/>
        <color rgb="FF000000"/>
        <rFont val="Times New Roman"/>
      </rPr>
      <t xml:space="preserve">exam </t>
    </r>
  </si>
  <si>
    <t>Answering 2/4 questions</t>
  </si>
  <si>
    <t>From the Topics/lectures covered in the module</t>
  </si>
  <si>
    <t>Introduction</t>
  </si>
  <si>
    <t>Heat</t>
  </si>
  <si>
    <t xml:space="preserve">Cold </t>
  </si>
  <si>
    <t>Dehydration</t>
  </si>
  <si>
    <t>Rhythms</t>
  </si>
  <si>
    <t>Sleep</t>
  </si>
  <si>
    <t>Directed Study week</t>
  </si>
  <si>
    <t>Polution</t>
  </si>
  <si>
    <t>Space</t>
  </si>
  <si>
    <t>Altitude</t>
  </si>
  <si>
    <t>Diving</t>
  </si>
  <si>
    <t>Survival vs Sport Science</t>
  </si>
  <si>
    <t>6108SPS</t>
  </si>
  <si>
    <t xml:space="preserve">This module first aims to introduce fundamental knowledge in nutrition related to methods to measure energy intake/expenditure and body composition, macro- andmicronutrients. This knowledge will underpin the second aim. </t>
  </si>
  <si>
    <t>Health and Performance Nutrition</t>
  </si>
  <si>
    <t>the second aim is understanding how _x000D_macronutrients, micronutrients and ergogenic aids can be used effectively to_x000D_ enhance sports performance, training adaptation, and exercise recovery. The_x000D_ module will also consider the application of the key principles of nutrition to improve _x000D_health and prevent and treat metabolic disease.</t>
  </si>
  <si>
    <t>Methods in Nutrition; Measuring energy intake, Measuring energy expenditure,_x000D_ Measuring body composition
Nutrition Fundamentals – Macro- &amp; micro-nutrients; RDI's, Carbohydrates, Fats,_x000D_Proteins, Vitamins, Minerals</t>
  </si>
  <si>
    <t>Richie Kirwan</t>
  </si>
  <si>
    <t>Sports Nutrition; Endurance sports performance, Strength/power sports_x000D_ performance, Intermittent sports performance, Weight-making sports performance,_x000D_Hydration
_x000D_Health Nutrition; Obesity, T2D, Aging &amp; sarcopenia, Eating disorders</t>
  </si>
  <si>
    <t>Individual-level influences on physical activity and sedentary behaviour
Prevalence, patterns and trends in physical activity and sedentary behaviour</t>
  </si>
  <si>
    <t>This module firstly aims to introduce fundamental knowledge in nutrition related to methods to measure energy intake/expenditure and body composition, macro- and micronutrients. This knowledge will underpin the second aim of understanding how macronutrients, micronutrients and ergogenic aids can be used effectively to enhance sports performance, training adaptation, and exercise recovery.</t>
  </si>
  <si>
    <t>Critically evaluate the contribution of macronutrients to sports performance,_x000D_training adaptations and recovery.</t>
  </si>
  <si>
    <t>Critically evaluate the role of micronutrients and ergogenic aids in sports_x000D_performance, training adaptation and recovery</t>
  </si>
  <si>
    <t>Critically evaluate the role of diet in prevention and treatment of metabolic disease.</t>
  </si>
  <si>
    <t>Group presentation on population nutrient deficiency in health and performance context</t>
  </si>
  <si>
    <t>Case study of athlete needs for performance and health goals</t>
  </si>
  <si>
    <t xml:space="preserve">	Lecture Week 1: Module Introduction: Calories, Macros &amp; Calculations</t>
  </si>
  <si>
    <t xml:space="preserve">	Lecture Week 2: Nutrition for endurance performance</t>
  </si>
  <si>
    <t>Seminar Week 2: Assessing Intake</t>
  </si>
  <si>
    <t xml:space="preserve">	Lecture Week 3: Nutrition for making weight</t>
  </si>
  <si>
    <t>Seminar Week 3: Intro to nutrition software packages</t>
  </si>
  <si>
    <t>Lecture Week 4: Appetite Regulation</t>
  </si>
  <si>
    <t>Seminar Week 4: RDIs</t>
  </si>
  <si>
    <t>Lab Week 4: Body Composition Analysis</t>
  </si>
  <si>
    <t xml:space="preserve">	Lecture Week 5: Nutrition and Cardiovascular Disease</t>
  </si>
  <si>
    <t xml:space="preserve">	Seminar Week 5: Minerals 1</t>
  </si>
  <si>
    <t xml:space="preserve">	Lab Week 5: Glycemic response to food</t>
  </si>
  <si>
    <t>Lecture Week 6: Ultra Processed Foods and Health</t>
  </si>
  <si>
    <t xml:space="preserve">	Seminar Week 6: Minerals 2</t>
  </si>
  <si>
    <t>Lab Week 6: Assessment Support Drop-In</t>
  </si>
  <si>
    <t>Lecture Week 8: Nutrition for strength/power athletes</t>
  </si>
  <si>
    <t>Seminar Week 8: Vitamins 1</t>
  </si>
  <si>
    <t>Lab Week 8: Assessment Support Drop-In</t>
  </si>
  <si>
    <t>Lecture Week 9: Fueling Team Sports</t>
  </si>
  <si>
    <t>Seminar Week 9: Vitamins 2</t>
  </si>
  <si>
    <t xml:space="preserve">	Lecture Week 10: Hydration and sports performance</t>
  </si>
  <si>
    <t>6109SPS</t>
  </si>
  <si>
    <t>This module provides students with the opportunity to develop and critically evaluate the knowledge, skills and professional behaviours required for effective practice within applied sport and exercise science.</t>
  </si>
  <si>
    <t>Applied Professional Practice </t>
  </si>
  <si>
    <t>YL</t>
  </si>
  <si>
    <t>Map and examine professional competencis which translate experience to graduate exit routes.</t>
  </si>
  <si>
    <t>Tim Donovan</t>
  </si>
  <si>
    <t>This module enables students to apply and critically evaluate their sport and exercise science knowledge within an authentic professional setting. Students will undertake a placement or equivalent work-related learning experience, using reflective practice and scientific evidence to evaluate their contribution, professional development and the demands of their chosen area of practice. The module supports the transition from academic study to graduate employment by fostering professional competence, critical thinking and lifelong learning.</t>
  </si>
  <si>
    <t>Critically evaluate the important skills, applied knowledge and evidence base required to work in applied Sport and Exercise Science</t>
  </si>
  <si>
    <t>Critically reflect on issues relating to professional practice.</t>
  </si>
  <si>
    <t>Demonstrate a critical understanding of the applied knowledge in your placement area.</t>
  </si>
  <si>
    <t>Work related task. The submission will depend upon the nature of the work related activity (3000 words or equivalent)</t>
  </si>
  <si>
    <t>An individual presentation within the context of the discipline area that you have completed your placement, and in consideration of your skills, experience and possible career plans you are required to reflect upon the knowledge and competencies required to work in Sport and Exercise Science field/discipline.</t>
  </si>
  <si>
    <t>Stakeholder awareness</t>
  </si>
  <si>
    <t>Ethical practice</t>
  </si>
  <si>
    <t>Professionalism</t>
  </si>
  <si>
    <t>Cultural awareness and competence</t>
  </si>
  <si>
    <t>Evidence-Based Practice in Sport and Exercise Science</t>
  </si>
  <si>
    <t>Lrofessional Relationships and Communication</t>
  </si>
  <si>
    <t>Problem Solving in Professional Practice</t>
  </si>
  <si>
    <t>Applying Knowledge to Practice</t>
  </si>
  <si>
    <t>Managing Professional Practice</t>
  </si>
  <si>
    <t>Delivering Sport and Exercise Science in Professional Contexts</t>
  </si>
  <si>
    <t>6093SPS</t>
  </si>
  <si>
    <t>Students will learn how to implement strength and conditioning concepts and principles in the applied sporting environment. Specifically, students will develop the knowledge and skills needed to perform a needs analysis of an athlete, analyse data against theoretical norms and programme design. Students will gain the opportunity to practise and explore the correct ways to administer safe and effective training-interventions.</t>
  </si>
  <si>
    <t>Strength and Conditioning</t>
  </si>
  <si>
    <t>Needs analysis (of a sport and athlete); warm-ups; periodisation and programme design; basic lifting technique; performance testing and monitoring; strength and power development; speed and agility; endurance performance (aerobic and anaerobic); concurrent training; data visualisation; injury prevention. </t>
  </si>
  <si>
    <t>Chelsea Oxendale</t>
  </si>
  <si>
    <t>SES, SC, PE</t>
  </si>
  <si>
    <t>In this module, you will learn to apply strength and conditioning principles in a sporting context to enhance performance and minimize risk of injury. You will develop the knowledge and skills to conduct a thorough needs analysis, assess data against normative values, and design individualized training programs tailored to the athlete's needs. Furthermore, you will gain hands-on experience in resistance training, power and speed development, injury screening, performance testing, and explore different data visualization methods</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</si>
  <si>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</si>
  <si>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</si>
  <si>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</si>
  <si>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10 minute pre-recorded needs analysis presentation</t>
  </si>
  <si>
    <t>Viva</t>
  </si>
  <si>
    <t>Training Programme and Viva Defence</t>
  </si>
  <si>
    <t>Adaptability</t>
  </si>
  <si>
    <t>Module Introduction and Needs Analysis (Assessment Guidance)</t>
  </si>
  <si>
    <t>Seminar: Needs Analysis and Effective Coaching</t>
  </si>
  <si>
    <t>Training Load and Adaptation</t>
  </si>
  <si>
    <t>Practical: Warm-ups and Load Monitoring</t>
  </si>
  <si>
    <t>Performance Testing and Monitoring</t>
  </si>
  <si>
    <t>Practical: Performance Testing and Monitoring</t>
  </si>
  <si>
    <t>Periodisation and Programme Design</t>
  </si>
  <si>
    <t>Seminar:Data Visualisation (Assessment Feedforward)</t>
  </si>
  <si>
    <t>Preconditioning and Warm-up</t>
  </si>
  <si>
    <t>Practical: Basic Lifting Technique (lower)</t>
  </si>
  <si>
    <t>Principles of Resistance Training</t>
  </si>
  <si>
    <t>Practical: Basic Lifting Technique (upper)</t>
  </si>
  <si>
    <t>Principles of Power Training</t>
  </si>
  <si>
    <t>Practical: Power Training</t>
  </si>
  <si>
    <t>Principles of Endurance Training</t>
  </si>
  <si>
    <t>Seminar: Endurance Training Planning</t>
  </si>
  <si>
    <t>Principles of Speed and Agility Training (Assessment Guidance)</t>
  </si>
  <si>
    <t>Practical: Speed and Agility Training</t>
  </si>
  <si>
    <t xml:space="preserve">Injury Prevention and Rehabilitation </t>
  </si>
  <si>
    <t>Practical: Screening and Return to Sport Criteria</t>
  </si>
  <si>
    <t>S&amp;C Career Pathways (Assessment Feedforward)</t>
  </si>
  <si>
    <t>6094SPS</t>
  </si>
  <si>
    <t>This module seeks to immerse students in contemporary behaviour change theory and practical applications within the disciplines of physical activity, nutrition, sport performance, and health. It aims to equip students with the knowledge, skills, and behaviours needed to effectively facilitate behaviour change.</t>
  </si>
  <si>
    <t>Behaviour Change</t>
  </si>
  <si>
    <t>Theoretical underpinning in behaviour change using the Behaviour Change Wheel, including:- Defining and selecting target behaviours; Behavioural analysis and diagnosis using the COM-B model; Identifying intervention options and corresponding theories; identifying behaviour change techniques and modes of delivery; effective communication; coaching, action planning; goal setting.  Practical application of behaviour change interventions in multi-disciplinary contexts and case study scenarios at different levels, including population/organisational/ teams/ group/ individual.</t>
  </si>
  <si>
    <t>Lawrence Foweather</t>
  </si>
  <si>
    <t>This module will engage you in current behaviour change theories, concepts and applied examples across the physical activity, nutrition, sport performance and health disciplines. In doing so, you will gain a theoretical underpinning in behaviour change and insight into how to change behaviours across a range of settings/populations/disciplines.</t>
  </si>
  <si>
    <t>Other contact hours are timetabled tutorials (4 hours) taking place in week 7</t>
  </si>
  <si>
    <t>2 hour online drop in assessment support in week 8 and week 16</t>
  </si>
  <si>
    <t xml:space="preserve">Practical simulation to take place either week 12 or first week of Jan assessment weeks. </t>
  </si>
  <si>
    <t>Reflection submitted before semester 2 starts (Jan assessment weeks)</t>
  </si>
  <si>
    <t>Guest speakers in the applied contexts sessions</t>
  </si>
  <si>
    <t>Design a theory-based behaviour change intervention</t>
  </si>
  <si>
    <t>Conduct a behaviour change consultation</t>
  </si>
  <si>
    <t>Critically evaluate and reflect upon personal and professional skills to support behaviour change</t>
  </si>
  <si>
    <t>Design a theory-based behaviour change intervention (10 minute narrated presentation)</t>
  </si>
  <si>
    <t xml:space="preserve">Practical Simulation and Reflection: Students complete a 12-15 minute behaviour change consultation with an adult client seeking support. Following the practical, students submit a critical reflection (≈750–1,000 words) on their consultation. </t>
  </si>
  <si>
    <t>Coaching and mentoring</t>
  </si>
  <si>
    <t>Module Introduction | Behaviour Change Wheel 1: Target Behaviours</t>
  </si>
  <si>
    <t>Behaviour Change Wheel 2: What needs to change? (COM-B)</t>
  </si>
  <si>
    <t>Behaviour Change Wheel 3: Intervention Options &amp; Behaviour Change Techniques</t>
  </si>
  <si>
    <t>Behaviour Change in Applied Contexts</t>
  </si>
  <si>
    <t>Assessment Support and Preparation</t>
  </si>
  <si>
    <t>Directed Study Week | Tutorials</t>
  </si>
  <si>
    <t>Communication skills to support behaviour change</t>
  </si>
  <si>
    <t xml:space="preserve">Goal setting, action planning, and self-monitoring </t>
  </si>
  <si>
    <t>GROW coaching model and 1:1 skills practice</t>
  </si>
  <si>
    <t>Reflective Practice and 1:1 skills practice</t>
  </si>
  <si>
    <t>6095SPS</t>
  </si>
  <si>
    <t>This module aims to develop students' theoretical knowledge, applied understanding and skills in performance analysis of sport. The module will develop students’ ability to review and critique performance analysis application across sports. Students will develop their theoretical knowledge and applied skills of assessment and analysis of sport performance domains. Students will develop critical thinking skills required for performance analysis and translation of performance analysis information to the daily sport practice.</t>
  </si>
  <si>
    <t>Performance Analysis in Sport</t>
  </si>
  <si>
    <t>Applied performance analysis in sport; Notational analysis; Video analysis; Performance profiling (normative profiling); Physical analysis; Tracking technology and athlete monitoring Coach feedback Applications of performance analysis</t>
  </si>
  <si>
    <t>Dr Ed Hope</t>
  </si>
  <si>
    <t>This module will develop your theoretical knowledge, applied understanding and skills in performance analysis of sport. In doing so, you will improve your ability to review and critique performance analysis application across sports.</t>
  </si>
  <si>
    <t>This module provides an opportunity to develop your theoretical knowledge and applied skills of assessment and analysis of sport performance domains. You will develop the critical thinking skills required for performance analysis and translation of performance analysis information to the daily sport practice.</t>
  </si>
  <si>
    <t>BUES mapped.</t>
  </si>
  <si>
    <t xml:space="preserve">
Analyse and evaluate the application of performance analysis in sport.</t>
  </si>
  <si>
    <t xml:space="preserve">
Demonstrate and apply techniques used to collect, analyse, interpret, and feedback performance analysis data.</t>
  </si>
  <si>
    <t>Part A includes 3 different components: a code window file (from Sportscode), a CSV file, and a report.                                                                                                                                                Part B includes 2 different components: a video playlist, and a Tableau dashboard file.</t>
  </si>
  <si>
    <t>Group Presentation analysing performance of a team or athlete (15 minutes + 5 minutes questions).</t>
  </si>
  <si>
    <t>Week 17</t>
  </si>
  <si>
    <t>Introduction and module guidance (Lecture) </t>
  </si>
  <si>
    <t>Assessment feedforward (Practical) </t>
  </si>
  <si>
    <t>Foundations of Performance Analysis (Lecture) </t>
  </si>
  <si>
    <t>Performance indicators and code window (Practical) </t>
  </si>
  <si>
    <t>Tactical analysis (Lecture) </t>
  </si>
  <si>
    <t>Video coding (Practical) </t>
  </si>
  <si>
    <t>Physical analysis (Lecture) </t>
  </si>
  <si>
    <t>Technique analysis (Lecture) </t>
  </si>
  <si>
    <t>Motion analysis with LPS (Practical) </t>
  </si>
  <si>
    <t>Measurement issues in PA: validity, objectivity, reliability (Lecture) </t>
  </si>
  <si>
    <t>Evaluation of technique (Practical) </t>
  </si>
  <si>
    <t>Curriculum Enrichment Week </t>
  </si>
  <si>
    <t>Data analysis (Lecture) </t>
  </si>
  <si>
    <t>Clipping, telestration and playlists (Practical) </t>
  </si>
  <si>
    <t>Sport analytics (Lecture) </t>
  </si>
  <si>
    <t>Data analysis (Practical) </t>
  </si>
  <si>
    <t>Performance profiling (Lecture) </t>
  </si>
  <si>
    <t>Data visualisation (Practical) </t>
  </si>
  <si>
    <t>From analysis to coaching (Lecture) </t>
  </si>
  <si>
    <t>Guest lecture (Lecture) </t>
  </si>
  <si>
    <t>Drop-in </t>
  </si>
  <si>
    <t>Applied Biomechanics</t>
  </si>
  <si>
    <t>Jane Smith</t>
  </si>
  <si>
    <t>Explain the fundamental principles of biomechanics</t>
  </si>
  <si>
    <t>Analyse human movement using quantitative methods</t>
  </si>
  <si>
    <t>Apply biomechanical concepts to practical scenarios</t>
  </si>
  <si>
    <t>Table 1</t>
  </si>
  <si>
    <t>Table 3</t>
  </si>
  <si>
    <t>Table 5</t>
  </si>
  <si>
    <t>Dissertation</t>
  </si>
  <si>
    <t>Research Project</t>
  </si>
  <si>
    <t>Category</t>
  </si>
  <si>
    <t>Skill</t>
  </si>
  <si>
    <t>Placement</t>
  </si>
  <si>
    <t>Scientific Knowledge</t>
  </si>
  <si>
    <t>Category text shown to user</t>
  </si>
  <si>
    <t>Defined Name</t>
  </si>
  <si>
    <t>ScientificKnowledge</t>
  </si>
  <si>
    <t>TechnicalSkills</t>
  </si>
  <si>
    <t>ApplicationofKnowledge</t>
  </si>
  <si>
    <t>Infographic</t>
  </si>
  <si>
    <t>UnderstandingResearch</t>
  </si>
  <si>
    <t>SelfEvaluation</t>
  </si>
  <si>
    <t>Football Science</t>
  </si>
  <si>
    <t>Journal</t>
  </si>
  <si>
    <t>Physical Education</t>
  </si>
  <si>
    <t>ProblemSolving</t>
  </si>
  <si>
    <t>Technical Skills</t>
  </si>
  <si>
    <t>MgmtSelf</t>
  </si>
  <si>
    <t>Sport Coaching</t>
  </si>
  <si>
    <t>DeliveryEnvironment</t>
  </si>
  <si>
    <t>Sport Nutrition</t>
  </si>
  <si>
    <t>ProfRelationships</t>
  </si>
  <si>
    <t>Sport Psychology</t>
  </si>
  <si>
    <t>Translational practice</t>
  </si>
  <si>
    <t>SES and SN</t>
  </si>
  <si>
    <t>SC and PE</t>
  </si>
  <si>
    <t>Application of Knowledge &amp; Skills</t>
  </si>
  <si>
    <t>Risk assessment</t>
  </si>
  <si>
    <t>Lifelong learning</t>
  </si>
  <si>
    <t>Resilience</t>
  </si>
  <si>
    <t>Initiative</t>
  </si>
  <si>
    <t>Accountability</t>
  </si>
  <si>
    <t>problem identification</t>
  </si>
  <si>
    <t>Creative thinking</t>
  </si>
  <si>
    <t>Innovation</t>
  </si>
  <si>
    <t>Empathy</t>
  </si>
  <si>
    <t>Multi-tasking</t>
  </si>
  <si>
    <t>Resource management</t>
  </si>
  <si>
    <t>Organisational awareness</t>
  </si>
  <si>
    <t>Policy interpretation</t>
  </si>
  <si>
    <t>Teamwork</t>
  </si>
  <si>
    <t>Integrity</t>
  </si>
  <si>
    <t>Respect</t>
  </si>
  <si>
    <t>Professional relationships &amp; behaviours</t>
  </si>
  <si>
    <t>MODULES</t>
  </si>
  <si>
    <t>ModuleCode</t>
  </si>
  <si>
    <t>ModuleTitle</t>
  </si>
  <si>
    <t>Total Contact Hours</t>
  </si>
  <si>
    <t>Hours per Credit</t>
  </si>
  <si>
    <t>Sum of Contact Hours</t>
  </si>
  <si>
    <t>Column Labels</t>
  </si>
  <si>
    <t>4093SPS</t>
  </si>
  <si>
    <t>Psychosocial Principles of Sport and Exercise</t>
  </si>
  <si>
    <t>Kathryn Curran</t>
  </si>
  <si>
    <t>Row Labels</t>
  </si>
  <si>
    <t>Grand Total</t>
  </si>
  <si>
    <t>Exercise Phys L4</t>
  </si>
  <si>
    <t>4101SPS</t>
  </si>
  <si>
    <t>Professional Practice</t>
  </si>
  <si>
    <t>5093SPS</t>
  </si>
  <si>
    <t>Sport amd Performance Psychology</t>
  </si>
  <si>
    <t>James Roberts</t>
  </si>
  <si>
    <t>Biomechanics</t>
  </si>
  <si>
    <t>6096SPS</t>
  </si>
  <si>
    <t>Secondary PE Teacher Education</t>
  </si>
  <si>
    <t>Kelly Massey</t>
  </si>
  <si>
    <t>6052SPS</t>
  </si>
  <si>
    <t>Applied Motor Behaviour</t>
  </si>
  <si>
    <t>Simon Bennett</t>
  </si>
  <si>
    <t>6091SPS</t>
  </si>
  <si>
    <t>Major Project</t>
  </si>
  <si>
    <t>6097SPS</t>
  </si>
  <si>
    <t>Applied Professional Practice</t>
  </si>
  <si>
    <t>Working in High Performance Sport</t>
  </si>
  <si>
    <t>Count of Assessment No</t>
  </si>
  <si>
    <t>Count of Assessment Description</t>
  </si>
  <si>
    <t>SourceWorkbook</t>
  </si>
  <si>
    <t>Programme</t>
  </si>
  <si>
    <t>TableName</t>
  </si>
  <si>
    <t>ProgCode</t>
  </si>
  <si>
    <t>Physical Education - AllModuleProformas.xlsx</t>
  </si>
  <si>
    <t>6096SPS_Hours</t>
  </si>
  <si>
    <t>SES</t>
  </si>
  <si>
    <t>Sport Coaching - AllModuleProformas.xlsx</t>
  </si>
  <si>
    <t>6097SPS_Hours</t>
  </si>
  <si>
    <t>Sport Psychology - AllModuleProformas.xlsx</t>
  </si>
  <si>
    <t>4093SPS_Hours</t>
  </si>
  <si>
    <t>Sport and Performance Psychology</t>
  </si>
  <si>
    <t>5093SPS_Hours</t>
  </si>
  <si>
    <t>6052SPS_Hours</t>
  </si>
  <si>
    <t>Sport and Exercise Science - AllModuleProformas.xlsx</t>
  </si>
  <si>
    <t>4091SPS_Hours</t>
  </si>
  <si>
    <t>4092SPS_Hours</t>
  </si>
  <si>
    <t>4094SPS_Hours</t>
  </si>
  <si>
    <t>4101SPS_Hours</t>
  </si>
  <si>
    <t>4102SPS_Hours</t>
  </si>
  <si>
    <t>5091SPS_Hours</t>
  </si>
  <si>
    <t>5092SPS_Hours</t>
  </si>
  <si>
    <t>5101SPS_Hours</t>
  </si>
  <si>
    <t>5102SPS_Hours</t>
  </si>
  <si>
    <t>5103SPS_Hours</t>
  </si>
  <si>
    <t>6091SPS_Hours</t>
  </si>
  <si>
    <t>6093SPS_Hours</t>
  </si>
  <si>
    <t>6094SPS_Hours</t>
  </si>
  <si>
    <t>6095SPS_Hours</t>
  </si>
  <si>
    <t>6101SPS_Hours</t>
  </si>
  <si>
    <t>6102SPS_Hours</t>
  </si>
  <si>
    <t>6103SPS_Hours</t>
  </si>
  <si>
    <t>6104SPS_Hours</t>
  </si>
  <si>
    <t>6105SPS_Hours</t>
  </si>
  <si>
    <t>6106SPS_Hours</t>
  </si>
  <si>
    <t>6107SPS_Hours</t>
  </si>
  <si>
    <t>6108SPS_Hours</t>
  </si>
  <si>
    <t>6109SPS_Hours</t>
  </si>
  <si>
    <t>Modules Covering</t>
  </si>
  <si>
    <t>Module Count</t>
  </si>
  <si>
    <t>Covered</t>
  </si>
  <si>
    <t>Understanding Physical Activity and Sedentary Behaviour; Research Methods 1; Human Movement; Influences and Assessment of Physical Activity and Sedentary Behaviour; Secondary PE Teacher Education; Module Title; Strength and Conditioning; Behaviour Change; Working in High Performance Sport; Applied Motor Behaviour</t>
  </si>
  <si>
    <t>Research Methods 2; Sport and Injury Biomechanics; Secondary PE Teacher Education; Clinical Biomechanics; Strength and Conditioning; Performance Analysis in Sport</t>
  </si>
  <si>
    <t>Exercise Phys L4; Secondary PE Teacher Education; Clinical Biomechanics; Applied Professional Practice; Major Project; Sport and Performance Psychology</t>
  </si>
  <si>
    <t>Secondary PE Teacher Education; Strength and Conditioning</t>
  </si>
  <si>
    <t>Secondary PE Teacher Education; Major Project</t>
  </si>
  <si>
    <t>Professional Practice; Understanding Physical Activity and Sedentary Behaviour; Research Methods 1; Research Methods 2; Physiological adaptations to exercise; Influences and Assessment of Physical Activity and Sedentary Behaviour; Sport and Injury Biomechanics; Secondary PE Teacher Education; Cardiovascular Physiology; Module Title; Applied Professional Practice; Health and Performance Nutrition; Strength and Conditioning; Behaviour Change; Performance Analysis in Sport; Major Project; Working in High Performance Sport; Applied Motor Behaviour</t>
  </si>
  <si>
    <t>Professional Practice; Influences and Assessment of Physical Activity and Sedentary Behaviour; Secondary PE Teacher Education; Behaviour Change</t>
  </si>
  <si>
    <t>Exercise Phys L4; Clinical Biomechanics; Module Title</t>
  </si>
  <si>
    <t>Research Methods 2; Physiological adaptations to exercise; Clinical Biomechanics; Major Project; Working in High Performance Sport</t>
  </si>
  <si>
    <t>Physiological adaptations to exercise; Secondary PE Teacher Education</t>
  </si>
  <si>
    <t>Professional Practice; Secondary PE Teacher Education; Applied Professional Practice</t>
  </si>
  <si>
    <t>Human Movement; Physiological adaptations to exercise; Secondary PE Teacher Education; Applied Professional Practice; Performance Analysis in Sport; Major Project; Applied Motor Behaviour</t>
  </si>
  <si>
    <t>Human Movement; Secondary PE Teacher Education</t>
  </si>
  <si>
    <t>Human Movement; Performance Analysis in Sport</t>
  </si>
  <si>
    <t>Secondary PE Teacher Education; Sport and Performance Psychology</t>
  </si>
  <si>
    <t>Secondary PE Teacher Education; Module Title; Applied Professional Practice; Working in High Performance Sport; Sport and Performance Psychology</t>
  </si>
  <si>
    <t>Influences and Assessment of Physical Activity and Sedentary Behaviour; Applied Professional Practice</t>
  </si>
  <si>
    <t>Secondary PE Teacher Education; Applied Professional Practice</t>
  </si>
  <si>
    <t>Secondary PE Teacher Education; Applied Professional Practice; Behaviour Change</t>
  </si>
  <si>
    <t>Exercise Phys L4; Physiological adaptations to exercise; Exercise Metabolism; Cardiovascular Physiology; Clinical Biomechanics; Module Title; Applied Professional Practice; Health and Performance Nutrition; Strength and Conditioning; Behaviour Change; Major Project; Applied Motor Behaviour</t>
  </si>
  <si>
    <t>Understanding Physical Activity and Sedentary Behaviour; Research Methods 1; Exercise Phys L4; Research Methods 2; Physiological adaptations to exercise; Sport and Injury Biomechanics; Exercise Metabolism; Cardiovascular Physiology; Clinical Biomechanics; Health and Performance Nutrition; Strength and Conditioning; Major Project; Applied Motor Behaviour</t>
  </si>
  <si>
    <t>Understanding Physical Activity and Sedentary Behaviour; Research Methods 1; Human Movement; Research Methods 2; Influences and Assessment of Physical Activity and Sedentary Behaviour; Sport and Injury Biomechanics; Clinical Biomechanics; Strength and Conditioning; Psychosocial Principles of Sport and Exercise; Sport and Performance Psychology</t>
  </si>
  <si>
    <t>Human Movement; Physical activity and sedentary behaviour across the life course; Exercise Metabolism; Cardiovascular Physiology; Clinical Biomechanics; Module Title; Health and Performance Nutrition; Major Project</t>
  </si>
  <si>
    <t>Physical activity and sedentary behaviour across the life course; Exercise Metabolism; Applied Professional Practice; Strength and Conditioning; Behaviour Change; Performance Analysis in Sport</t>
  </si>
  <si>
    <t>Physiological adaptations to exercise; Cardiovascular Physiology; Health and Performance Nutrition; Sport and Performance Psychology</t>
  </si>
  <si>
    <t>Professional Practice; Understanding Physical Activity and Sedentary Behaviour; Research Methods 1; Exercise Phys L4; Applied Professional Practice; Behaviour Change</t>
  </si>
  <si>
    <t>Cardiovascular Physiology; Clinical Biomechanics; Health and Performance Nutrition</t>
  </si>
  <si>
    <t>Exercise Phys L4; Human Movement; Clinical Biomechanics; Major Project</t>
  </si>
  <si>
    <t>Physiological adaptations to exercise; Clinical Biomechanics; Applied Professional Practice; Performance Analysis in Sport</t>
  </si>
  <si>
    <t>Understanding Physical Activity and Sedentary Behaviour; Research Methods 1; Research Methods 2; Influences and Assessment of Physical Activity and Sedentary Behaviour; Sport and Injury Biomechanics; Clinical Biomechanics</t>
  </si>
  <si>
    <t>Clinical Biomechanics; Behaviour Change; Major Project</t>
  </si>
  <si>
    <t>Understanding Physical Activity and Sedentary Behaviour; Research Methods 1; Research Methods 2; Influences and Assessment of Physical Activity and Sedentary Behaviour; Secondary PE Teacher Education; Clinical Biomechanics; Module Title</t>
  </si>
  <si>
    <t>Understanding Physical Activity and Sedentary Behaviour; Research Methods 1; Exercise Phys L4; Research Methods 2; Physiological adaptations to exercise; Influences and Assessment of Physical Activity and Sedentary Behaviour; Secondary PE Teacher Education; Exercise Metabolism; Clinical Biomechanics; Applied Professional Practice; Strength and Conditioning; Performance Analysis in Sport; Major Project; Psychosocial Principles of Sport and Exercise; Applied Motor Behaviour</t>
  </si>
  <si>
    <t>Physiological adaptations to exercise; Secondary PE Teacher Education; Physical activity and sedentary behaviour across the life course; Exercise Metabolism; Clinical Biomechanics; Module Title; Applied Motor Behaviour</t>
  </si>
  <si>
    <t>Secondary PE Teacher Education; Clinical Biomechanics; Working in High Performance Sport</t>
  </si>
  <si>
    <t>Secondary PE Teacher Education; Module Title</t>
  </si>
  <si>
    <t>To critically extend the students understanding and deployment of the research process through the planning, production, analyses and report of a piece of independent research conducted in a responsible, safe and ethical manner</t>
  </si>
  <si>
    <t xml:space="preserve">Project design (e.g., ethical approval, risk assessment, technical training, data analyses) </t>
  </si>
  <si>
    <t>Project monitoring (tutorials with project supervisor to discuss and provide feedback on research process)</t>
  </si>
  <si>
    <t>Practical data collection, analysis and communication</t>
  </si>
  <si>
    <t xml:space="preserve">Students should attend all lectures/seminars/tutorials on the </t>
  </si>
  <si>
    <t xml:space="preserve">requirements of the project. Students should meet regularly with their designated </t>
  </si>
  <si>
    <t xml:space="preserve">major project supervisor and or Personal Tutor to engage with tutorial support. </t>
  </si>
  <si>
    <t>Students may be required to undertake training and to demonstrate competency with</t>
  </si>
  <si>
    <t>research tools.</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</si>
  <si>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</si>
  <si>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</si>
  <si>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</si>
  <si>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 xml:space="preserve">Students are required to submit a thesis that describes and reports the major project that they conducted using the scientific method, e.g., Introduction, Methods, Results and Discussion. </t>
  </si>
  <si>
    <t xml:space="preserve">Students are required to manage their own project throughout the year and produce, present and defend their major project </t>
  </si>
  <si>
    <t>Dr Nic Robinson</t>
  </si>
  <si>
    <t>ItemSuffix</t>
  </si>
  <si>
    <t>6096SPS_Meta</t>
  </si>
  <si>
    <t>Meta</t>
  </si>
  <si>
    <t>6097SPS_Meta</t>
  </si>
  <si>
    <t>4093SPS_Meta</t>
  </si>
  <si>
    <t>5093SPS_Meta</t>
  </si>
  <si>
    <t>6052SPS_Meta</t>
  </si>
  <si>
    <t>4091SPS_Meta</t>
  </si>
  <si>
    <t>4092SPS_Meta</t>
  </si>
  <si>
    <t>4094SPS_Meta</t>
  </si>
  <si>
    <t>4101SPS_Meta</t>
  </si>
  <si>
    <t>4102SPS_Meta</t>
  </si>
  <si>
    <t>5091SPS_Meta</t>
  </si>
  <si>
    <t>5092SPS_Meta</t>
  </si>
  <si>
    <t>5101SPS_Meta</t>
  </si>
  <si>
    <t>5102SPS_Meta</t>
  </si>
  <si>
    <t>5103SPS_Meta</t>
  </si>
  <si>
    <t>6091SPS_Meta</t>
  </si>
  <si>
    <t>6093SPS_Meta</t>
  </si>
  <si>
    <t>6094SPS_Meta</t>
  </si>
  <si>
    <t>6095SPS_Meta</t>
  </si>
  <si>
    <t>6101SPS_Meta</t>
  </si>
  <si>
    <t>6102SPS_Meta</t>
  </si>
  <si>
    <t>6103SPS_Meta</t>
  </si>
  <si>
    <t>6104SPS_Meta</t>
  </si>
  <si>
    <t>6105SPS_Meta</t>
  </si>
  <si>
    <t>6106SPS_Meta</t>
  </si>
  <si>
    <t>6107SPS_Meta</t>
  </si>
  <si>
    <t>6108SPS_Meta</t>
  </si>
  <si>
    <t>6109SPS_Meta</t>
  </si>
  <si>
    <t>4101SPS_Mapping</t>
  </si>
  <si>
    <t>Mapping</t>
  </si>
  <si>
    <t>4102SPS_Mapping</t>
  </si>
  <si>
    <t>4091SPS_Mapping</t>
  </si>
  <si>
    <t>4092SPS_Mapping</t>
  </si>
  <si>
    <t>4094SPS_Mapping</t>
  </si>
  <si>
    <t>5091SPS_Mapping</t>
  </si>
  <si>
    <t>5092SPS_Mapping</t>
  </si>
  <si>
    <t>5102SPS_Mapping</t>
  </si>
  <si>
    <t>5103SPS_Mapping</t>
  </si>
  <si>
    <t>6101SPS_Mapping</t>
  </si>
  <si>
    <t>6096SPS_Mapping</t>
  </si>
  <si>
    <t>6102SPS_Mapping</t>
  </si>
  <si>
    <t>6103SPS_Mapping</t>
  </si>
  <si>
    <t>6104SPS_Mapping</t>
  </si>
  <si>
    <t>6105SPS_Mapping</t>
  </si>
  <si>
    <t>6106SPS_Mapping</t>
  </si>
  <si>
    <t>6109SPS_Mapping</t>
  </si>
  <si>
    <t>6108SPS_Mapping</t>
  </si>
  <si>
    <t>6093SPS_Mapping</t>
  </si>
  <si>
    <t>6094SPS_Mapping</t>
  </si>
  <si>
    <t>6095SPS_Mapping</t>
  </si>
  <si>
    <t>6091SPS_Mapping</t>
  </si>
  <si>
    <t>6097SPS_Mapping</t>
  </si>
  <si>
    <t>4093SPS_Mapping</t>
  </si>
  <si>
    <t>5093SPS_Mapping</t>
  </si>
  <si>
    <t>6052SPS_Mapping</t>
  </si>
  <si>
    <t>Hours</t>
  </si>
  <si>
    <t>4101SPS_Assess</t>
  </si>
  <si>
    <t>Assess</t>
  </si>
  <si>
    <t>4102SPS_Assess</t>
  </si>
  <si>
    <t>4092SPS_Assess</t>
  </si>
  <si>
    <t>4094SPS_Assess</t>
  </si>
  <si>
    <t>5091SPS_Assess</t>
  </si>
  <si>
    <t>5092SPS_Assess</t>
  </si>
  <si>
    <t>5102SPS_Assess</t>
  </si>
  <si>
    <t>PART 1 – Individual practical: Perform a brief assessment of physical activity with a client (research participant) and give accurate feedback and appropriate recommendations. PART 2 - Viva: Analyse the strengths and limitations and provide recommendations for a proposed measurement approach in a given research scenario .</t>
  </si>
  <si>
    <t>Group lesson plan and delivery of lesson</t>
  </si>
  <si>
    <t>6096SPS_Assess</t>
  </si>
  <si>
    <t>Individual essay critically evaluating a current trend in secondary PE</t>
  </si>
  <si>
    <t>5103SPS_Assess</t>
  </si>
  <si>
    <t>6101SPS_Assess</t>
  </si>
  <si>
    <t>6102SPS_Assess</t>
  </si>
  <si>
    <t>6103SPS_Assess</t>
  </si>
  <si>
    <t>6104SPS_Assess</t>
  </si>
  <si>
    <t>6105SPS_Assess</t>
  </si>
  <si>
    <t>6106SPS_Assess</t>
  </si>
  <si>
    <t>6107SPS_Assess</t>
  </si>
  <si>
    <t xml:space="preserve">2-h exam </t>
  </si>
  <si>
    <t>6109SPS_Assess</t>
  </si>
  <si>
    <t>30%%</t>
  </si>
  <si>
    <t>6108SPS_Assess</t>
  </si>
  <si>
    <t>6093SPS_Assess</t>
  </si>
  <si>
    <t>6094SPS_Assess</t>
  </si>
  <si>
    <t>6095SPS_Assess</t>
  </si>
  <si>
    <t>6091SPS_Assess</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</si>
  <si>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</si>
  <si>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6097SPS_Assess</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</si>
  <si>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</si>
  <si>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 xml:space="preserve">90 minute and 60 question MCT to cover material delivered during weeks 1-6 of the module. </t>
  </si>
  <si>
    <t>January Assessment Week 1</t>
  </si>
  <si>
    <t>4093SPS_Assess</t>
  </si>
  <si>
    <t>90 minute and 60 question MCT to cover material delivered during weeks 8-12 of the module. </t>
  </si>
  <si>
    <t>January Assessment Week 2</t>
  </si>
  <si>
    <t>In-class video observation and short-answer questions</t>
  </si>
  <si>
    <t>5093SPS_Assess</t>
  </si>
  <si>
    <t>In-class short- and multi-choice answer questions</t>
  </si>
  <si>
    <t>13-14</t>
  </si>
  <si>
    <t>Group presentation on motor learning protocols</t>
  </si>
  <si>
    <t>6052SPS_Assess</t>
  </si>
  <si>
    <t>Interpret statistical outputs to independently produce a summary of key findings, followed by discussion that considers findings relative to research and conceptual/theoretical perspectives</t>
  </si>
  <si>
    <t>4092SPS_LO</t>
  </si>
  <si>
    <t>LO</t>
  </si>
  <si>
    <t>Outline the importance of psychology, sociology and psychosocial principles in sport and exercise.</t>
  </si>
  <si>
    <t>4093SPS_LO</t>
  </si>
  <si>
    <t>Describe the individual and environmental psychosocial principles associated with sport and exercise.</t>
  </si>
  <si>
    <t>Describe the social processes and behavioural outcomes associated with sport and exercise.</t>
  </si>
  <si>
    <t>4094SPS_LO</t>
  </si>
  <si>
    <t>4101SPS_LO</t>
  </si>
  <si>
    <t>4102SPS_LO</t>
  </si>
  <si>
    <t>5091SPS_LO</t>
  </si>
  <si>
    <t>5092SPS_LO</t>
  </si>
  <si>
    <t>Evaluate individual and environmental psychological principles associated with sport performance.</t>
  </si>
  <si>
    <t>5093SPS_LO</t>
  </si>
  <si>
    <t>Evaluate the identification and development of perceptual-cognitive expertise within sport.</t>
  </si>
  <si>
    <t>5102SPS_LO</t>
  </si>
  <si>
    <t>5103SPS_LO</t>
  </si>
  <si>
    <t>Critically evaluate and integrate research findings, perspectives and models of motor learning in sport, exercise and health</t>
  </si>
  <si>
    <t>6052SPS_LO</t>
  </si>
  <si>
    <t>Critically evaluate and integrate research findings, perspectives and models of interceptive actions in sport, exercise and health</t>
  </si>
  <si>
    <t>Apply quantitative research skills to understanding applied motor behaviour</t>
  </si>
  <si>
    <t>6091SPS_LO</t>
  </si>
  <si>
    <t>6093SPS_LO</t>
  </si>
  <si>
    <t>6094SPS_LO</t>
  </si>
  <si>
    <t>6095SPS_LO</t>
  </si>
  <si>
    <t>Critically analyse the structure, content, and delivery of the secondary Physical Education curriculum and the role of the PE teacher in facilitating effective learning</t>
  </si>
  <si>
    <t>6096SPS_LO</t>
  </si>
  <si>
    <t>Apply and evaluate pedagogical teaching and learning stratagies within a secondary Physical Education setting</t>
  </si>
  <si>
    <t>Critically evaluate the provision and processes that underpin Physical Education for learners within the 14-19 curriculum</t>
  </si>
  <si>
    <t xml:space="preserve">Critically evaluate the structures, governance and leadership models of high-performance sport organisations in the UK (e.g. UK Sport, NGBs, professional academies, performance institutes). </t>
  </si>
  <si>
    <t>6097SPS_LO</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</si>
  <si>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</si>
  <si>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</si>
  <si>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t>6101SPS_LO</t>
  </si>
  <si>
    <t>6102SPS_LO</t>
  </si>
  <si>
    <t>6103SPS_LO</t>
  </si>
  <si>
    <t>6104SPS_LO</t>
  </si>
  <si>
    <t>6105SPS_LO</t>
  </si>
  <si>
    <t>6106SPS_LO</t>
  </si>
  <si>
    <t>6107SPS_LO</t>
  </si>
  <si>
    <t>6108SPS_LO</t>
  </si>
  <si>
    <t>6109SPS_LO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</si>
</sst>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2"/>
      <color rgb="FF000000"/>
      <name val="Arial"/>
      <family val="2"/>
    </font>
    <font>
      <sz val="12"/>
      <color rgb="FF000000"/>
      <name val="Calibri"/>
      <family val="2"/>
      <charset val="1"/>
    </font>
    <font>
      <sz val="12"/>
      <color theme="1"/>
      <name val="Calibri"/>
      <family val="2"/>
      <charset val="1"/>
    </font>
    <font>
      <sz val="11"/>
      <color theme="1"/>
      <name val="Calibri"/>
      <family val="2"/>
      <charset val="1"/>
    </font>
    <font>
      <sz val="12"/>
      <name val="Arial"/>
      <family val="2"/>
      <charset val="1"/>
    </font>
    <font>
      <sz val="11"/>
      <color theme="1"/>
      <name val="Aptos Narrow"/>
      <scheme val="minor"/>
    </font>
    <font>
      <i/>
      <sz val="11"/>
      <color theme="1"/>
      <name val="Aptos Narrow"/>
      <family val="2"/>
      <scheme val="minor"/>
    </font>
    <font>
      <sz val="11"/>
      <color rgb="FF525252"/>
      <name val="Roboto"/>
      <family val="2"/>
      <charset val="1"/>
    </font>
    <font>
      <sz val="10"/>
      <color rgb="FF525252"/>
      <name val="Roboto"/>
    </font>
    <font>
      <sz val="11"/>
      <color rgb="FF011A42"/>
      <name val="Arial"/>
      <family val="2"/>
    </font>
    <font>
      <sz val="11"/>
      <color rgb="FF000000"/>
      <name val="Aptos Narrow"/>
      <scheme val="minor"/>
    </font>
    <font>
      <b/>
      <sz val="11"/>
      <color rgb="FF000000"/>
      <name val="Aptos Narrow"/>
      <scheme val="minor"/>
    </font>
    <font>
      <sz val="11"/>
      <color rgb="FF000000"/>
      <name val="Aptos Narrow"/>
      <family val="2"/>
      <scheme val="minor"/>
    </font>
    <font>
      <sz val="11"/>
      <color rgb="FF000000"/>
      <name val="Aptos Narrow"/>
    </font>
    <font>
      <b/>
      <sz val="11"/>
      <color rgb="FF000000"/>
      <name val="Aptos Narrow"/>
    </font>
    <font>
      <sz val="12"/>
      <color rgb="FF000000"/>
      <name val="Aptos"/>
      <family val="2"/>
      <charset val="1"/>
    </font>
    <font>
      <b/>
      <sz val="11"/>
      <color rgb="FF242424"/>
      <name val="Yu Gothic"/>
      <charset val="128"/>
    </font>
    <font>
      <sz val="11"/>
      <color rgb="FF000000"/>
      <name val="Calibri"/>
      <family val="2"/>
      <charset val="1"/>
    </font>
    <font>
      <sz val="11"/>
      <color rgb="FF232C38"/>
      <name val="Aptos Narrow"/>
      <scheme val="minor"/>
    </font>
    <font>
      <b/>
      <sz val="11"/>
      <color rgb="FF232C38"/>
      <name val="Aptos Narrow"/>
      <scheme val="minor"/>
    </font>
    <font>
      <b/>
      <sz val="11"/>
      <color rgb="FF000000"/>
      <name val="Aptos Narrow"/>
      <family val="2"/>
    </font>
    <font>
      <sz val="11"/>
      <color rgb="FF000000"/>
      <name val="Aptos Narrow"/>
      <family val="2"/>
    </font>
    <font>
      <b/>
      <sz val="11"/>
      <color theme="1"/>
      <name val="Aptos Narrow"/>
      <scheme val="minor"/>
    </font>
    <font>
      <b/>
      <sz val="11"/>
      <color rgb="FFFFFFFF"/>
      <name val="Aptos Narrow"/>
      <family val="2"/>
      <scheme val="minor"/>
    </font>
    <font>
      <b/>
      <sz val="12"/>
      <color theme="1"/>
      <name val="Times New Roman"/>
      <family val="1"/>
      <charset val="1"/>
    </font>
    <font>
      <sz val="12"/>
      <color theme="1"/>
      <name val="Times New Roman"/>
      <family val="1"/>
      <charset val="1"/>
    </font>
    <font>
      <sz val="12"/>
      <color rgb="FF000000"/>
      <name val="Times New Roman"/>
    </font>
    <font>
      <b/>
      <sz val="12"/>
      <color rgb="FF000000"/>
      <name val="Times New Roman"/>
    </font>
    <font>
      <sz val="11"/>
      <color rgb="FF242424"/>
      <name val="Aptos Narrow"/>
      <charset val="1"/>
    </font>
    <font>
      <b/>
      <sz val="12"/>
      <color rgb="FF000000"/>
      <name val="Arial"/>
      <family val="2"/>
      <charset val="1"/>
    </font>
    <font>
      <sz val="12"/>
      <color theme="1"/>
      <name val="Arial"/>
      <family val="2"/>
      <charset val="1"/>
    </font>
    <font>
      <sz val="11"/>
      <color rgb="FF000000"/>
      <name val="Aptos Narrow"/>
      <charset val="1"/>
    </font>
    <font>
      <sz val="10"/>
      <color theme="1"/>
      <name val="Helvetica Neue"/>
      <charset val="1"/>
    </font>
  </fonts>
  <fills count="9">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5" tint="0.79998168889431442"/>
        <bgColor theme="5" tint="0.79998168889431442"/>
      </patternFill>
    </fill>
    <fill>
      <patternFill patternType="solid">
        <fgColor rgb="FFFFFFFF"/>
        <bgColor indexed="64"/>
      </patternFill>
    </fill>
    <fill>
      <patternFill patternType="solid">
        <fgColor rgb="FF4EA72E"/>
        <bgColor rgb="FF4EA72E"/>
      </patternFill>
    </fill>
    <fill>
      <patternFill patternType="solid">
        <fgColor rgb="FFDAF2D0"/>
        <bgColor rgb="FFDAF2D0"/>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theme="5" tint="0.39997558519241921"/>
      </left>
      <right/>
      <top style="thin">
        <color theme="5" tint="0.39997558519241921"/>
      </top>
      <bottom style="thin">
        <color theme="5" tint="0.39997558519241921"/>
      </bottom>
      <diagonal/>
    </border>
    <border>
      <left style="thin">
        <color indexed="64"/>
      </left>
      <right style="thin">
        <color indexed="64"/>
      </right>
      <top style="thin">
        <color indexed="64"/>
      </top>
      <bottom style="thin">
        <color indexed="64"/>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s>
  <cellStyleXfs count="1">
    <xf numFmtId="0" fontId="0" fillId="0" borderId="0"/>
  </cellStyleXfs>
  <cellXfs count="86">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Alignment="1" applyProtection="1">
      <alignment wrapText="1"/>
      <protection locked="0"/>
    </xf>
    <xf numFmtId="0" fontId="9" fillId="0" borderId="0" xfId="0" applyFont="1" applyAlignment="1" applyProtection="1">
      <alignment wrapText="1"/>
      <protection locked="0"/>
    </xf>
    <xf numFmtId="0" fontId="10" fillId="0" borderId="0" xfId="0" applyFont="1" applyProtection="1">
      <protection locked="0"/>
    </xf>
    <xf numFmtId="0" fontId="11" fillId="0" borderId="0" xfId="0" applyFont="1" applyAlignment="1" applyProtection="1">
      <alignment wrapText="1"/>
      <protection locked="0"/>
    </xf>
    <xf numFmtId="0" fontId="12" fillId="0" borderId="0" xfId="0" applyFont="1" applyProtection="1">
      <protection locked="0"/>
    </xf>
    <xf numFmtId="0" fontId="0" fillId="0" borderId="0" xfId="0" applyAlignment="1" applyProtection="1">
      <alignment wrapText="1"/>
      <protection locked="0"/>
    </xf>
    <xf numFmtId="0" fontId="14" fillId="0" borderId="0" xfId="0" applyFont="1" applyAlignment="1" applyProtection="1">
      <alignment wrapText="1"/>
      <protection locked="0"/>
    </xf>
    <xf numFmtId="0" fontId="15" fillId="0" borderId="0" xfId="0" applyFont="1" applyAlignment="1" applyProtection="1">
      <alignment wrapText="1"/>
      <protection locked="0"/>
    </xf>
    <xf numFmtId="0" fontId="16" fillId="0" borderId="0" xfId="0" applyFont="1" applyAlignment="1" applyProtection="1">
      <alignment wrapText="1"/>
      <protection locked="0"/>
    </xf>
    <xf numFmtId="0" fontId="16" fillId="0" borderId="0" xfId="0" applyFont="1" applyProtection="1">
      <protection locked="0"/>
    </xf>
    <xf numFmtId="0" fontId="19" fillId="0" borderId="0" xfId="0" applyFont="1" applyAlignment="1">
      <alignment wrapText="1"/>
    </xf>
    <xf numFmtId="0" fontId="20" fillId="0" borderId="0" xfId="0" applyFont="1" applyAlignment="1">
      <alignment wrapText="1"/>
    </xf>
    <xf numFmtId="0" fontId="0" fillId="0" borderId="0" xfId="0" applyAlignment="1">
      <alignment wrapText="1"/>
    </xf>
    <xf numFmtId="0" fontId="19" fillId="0" borderId="0" xfId="0" applyFont="1" applyAlignment="1" applyProtection="1">
      <alignment wrapText="1"/>
      <protection locked="0"/>
    </xf>
    <xf numFmtId="0" fontId="20" fillId="0" borderId="0" xfId="0" applyFont="1" applyAlignment="1" applyProtection="1">
      <alignment wrapText="1"/>
      <protection locked="0"/>
    </xf>
    <xf numFmtId="0" fontId="22" fillId="0" borderId="0" xfId="0" applyFont="1" applyAlignment="1" applyProtection="1">
      <alignment wrapText="1"/>
      <protection locked="0"/>
    </xf>
    <xf numFmtId="0" fontId="1" fillId="5" borderId="5" xfId="0" applyFont="1" applyFill="1" applyBorder="1" applyProtection="1">
      <protection locked="0"/>
    </xf>
    <xf numFmtId="0" fontId="1" fillId="0" borderId="5" xfId="0" applyFont="1" applyBorder="1" applyProtection="1">
      <protection locked="0"/>
    </xf>
    <xf numFmtId="0" fontId="23" fillId="0" borderId="0" xfId="0" applyFont="1" applyProtection="1">
      <protection locked="0"/>
    </xf>
    <xf numFmtId="0" fontId="24" fillId="0" borderId="0" xfId="0" applyFont="1" applyProtection="1">
      <protection locked="0"/>
    </xf>
    <xf numFmtId="0" fontId="17" fillId="0" borderId="0" xfId="0" applyFont="1" applyAlignment="1" applyProtection="1">
      <alignment wrapText="1"/>
      <protection locked="0"/>
    </xf>
    <xf numFmtId="0" fontId="12" fillId="0" borderId="0" xfId="0" applyFont="1" applyAlignment="1" applyProtection="1">
      <alignment wrapText="1"/>
      <protection locked="0"/>
    </xf>
    <xf numFmtId="0" fontId="12" fillId="0" borderId="6" xfId="0" applyFont="1" applyBorder="1" applyAlignment="1" applyProtection="1">
      <alignment wrapText="1"/>
      <protection locked="0"/>
    </xf>
    <xf numFmtId="0" fontId="17" fillId="0" borderId="0" xfId="0" applyFont="1" applyProtection="1">
      <protection locked="0"/>
    </xf>
    <xf numFmtId="0" fontId="17" fillId="6" borderId="0" xfId="0" applyFont="1" applyFill="1" applyAlignment="1" applyProtection="1">
      <alignment wrapText="1"/>
      <protection locked="0"/>
    </xf>
    <xf numFmtId="0" fontId="17" fillId="0" borderId="0" xfId="0" applyFont="1" applyAlignment="1" applyProtection="1">
      <alignment horizontal="left" vertical="center" wrapText="1"/>
      <protection locked="0"/>
    </xf>
    <xf numFmtId="0" fontId="0" fillId="0" borderId="0" xfId="0" quotePrefix="1" applyAlignment="1" applyProtection="1">
      <alignment horizontal="left" vertical="center" wrapText="1"/>
      <protection locked="0"/>
    </xf>
    <xf numFmtId="0" fontId="0" fillId="0" borderId="0" xfId="0" applyAlignment="1" applyProtection="1">
      <alignment vertical="top" wrapText="1"/>
      <protection locked="0"/>
    </xf>
    <xf numFmtId="0" fontId="25" fillId="0" borderId="0" xfId="0" applyFont="1" applyAlignment="1" applyProtection="1">
      <alignment wrapText="1"/>
      <protection locked="0"/>
    </xf>
    <xf numFmtId="0" fontId="25" fillId="0" borderId="0" xfId="0" applyFont="1" applyAlignment="1" applyProtection="1">
      <alignment vertical="center" wrapText="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25" fillId="0" borderId="0" xfId="0" applyFont="1" applyAlignment="1" applyProtection="1">
      <alignment vertical="center"/>
      <protection locked="0"/>
    </xf>
    <xf numFmtId="0" fontId="26" fillId="0" borderId="0" xfId="0" applyFont="1" applyProtection="1">
      <protection locked="0"/>
    </xf>
    <xf numFmtId="0" fontId="20" fillId="0" borderId="0" xfId="0" applyFont="1" applyProtection="1">
      <protection locked="0"/>
    </xf>
    <xf numFmtId="0" fontId="27" fillId="0" borderId="0" xfId="0" applyFont="1" applyAlignment="1" applyProtection="1">
      <alignment wrapText="1"/>
      <protection locked="0"/>
    </xf>
    <xf numFmtId="0" fontId="29" fillId="0" borderId="0" xfId="0" applyFont="1"/>
    <xf numFmtId="0" fontId="30" fillId="7" borderId="7" xfId="0" applyFont="1" applyFill="1" applyBorder="1"/>
    <xf numFmtId="0" fontId="30" fillId="7" borderId="8" xfId="0" applyFont="1" applyFill="1" applyBorder="1"/>
    <xf numFmtId="0" fontId="30" fillId="7" borderId="9" xfId="0" applyFont="1" applyFill="1" applyBorder="1"/>
    <xf numFmtId="0" fontId="19" fillId="8" borderId="7" xfId="0" applyFont="1" applyFill="1" applyBorder="1"/>
    <xf numFmtId="0" fontId="19" fillId="8" borderId="8" xfId="0" applyFont="1" applyFill="1" applyBorder="1"/>
    <xf numFmtId="0" fontId="19" fillId="8" borderId="9" xfId="0" applyFont="1" applyFill="1" applyBorder="1"/>
    <xf numFmtId="0" fontId="19" fillId="0" borderId="7" xfId="0" applyFont="1" applyBorder="1"/>
    <xf numFmtId="0" fontId="19" fillId="0" borderId="8" xfId="0" applyFont="1" applyBorder="1"/>
    <xf numFmtId="0" fontId="19" fillId="0" borderId="9" xfId="0"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0" fontId="32" fillId="0" borderId="0" xfId="0" applyFont="1" applyAlignment="1" applyProtection="1">
      <alignment wrapText="1"/>
      <protection locked="0"/>
    </xf>
    <xf numFmtId="0" fontId="31" fillId="0" borderId="0" xfId="0" applyFont="1" applyAlignment="1" applyProtection="1">
      <alignment horizontal="left" vertical="center" wrapText="1"/>
      <protection locked="0"/>
    </xf>
    <xf numFmtId="0" fontId="34" fillId="0" borderId="0" xfId="0" applyFont="1" applyAlignment="1" applyProtection="1">
      <alignment horizontal="left" vertical="center" wrapText="1"/>
      <protection locked="0"/>
    </xf>
    <xf numFmtId="0" fontId="35" fillId="0" borderId="0" xfId="0" applyFont="1" applyAlignment="1" applyProtection="1">
      <alignment horizontal="left" vertical="center" wrapText="1"/>
      <protection locked="0"/>
    </xf>
    <xf numFmtId="0" fontId="32" fillId="0" borderId="0" xfId="0" applyFont="1" applyAlignment="1" applyProtection="1">
      <alignment horizontal="left" vertical="center" wrapText="1"/>
      <protection locked="0"/>
    </xf>
    <xf numFmtId="0" fontId="36" fillId="0" borderId="0" xfId="0" applyFont="1" applyAlignment="1" applyProtection="1">
      <alignment wrapText="1"/>
      <protection locked="0"/>
    </xf>
    <xf numFmtId="0" fontId="37" fillId="0" borderId="0" xfId="0" applyFont="1" applyProtection="1">
      <protection locked="0"/>
    </xf>
    <xf numFmtId="0" fontId="38" fillId="0" borderId="0" xfId="0" applyFont="1" applyAlignment="1">
      <alignment wrapText="1"/>
    </xf>
    <xf numFmtId="0" fontId="39" fillId="0" borderId="0" xfId="0" applyFont="1"/>
    <xf numFmtId="0" fontId="39" fillId="0" borderId="0" xfId="0" applyFont="1" applyAlignment="1">
      <alignment wrapText="1"/>
    </xf>
  </cellXfs>
  <cellStyles count="1">
    <cellStyle name="Normal" xfId="0" builtinId="0"/>
  </cellStyles>
  <dxfs count="8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font>
        <sz val="11"/>
        <name val="Aptos Narrow"/>
        <scheme val="minor"/>
      </font>
      <protection locked="0" hidden="0"/>
    </dxf>
    <dxf>
      <font>
        <sz val="11"/>
        <name val="Aptos Narrow"/>
        <scheme val="minor"/>
      </font>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font>
        <strike val="0"/>
        <outline val="0"/>
        <shadow val="0"/>
        <u val="none"/>
        <vertAlign val="baseline"/>
        <sz val="11"/>
        <name val="Aptos Narrow"/>
        <family val="2"/>
        <scheme val="minor"/>
      </font>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2.xml"/><Relationship Id="rId47" Type="http://schemas.openxmlformats.org/officeDocument/2006/relationships/sheetMetadata" Target="metadata.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styles" Target="styles.xml"/><Relationship Id="rId53" Type="http://schemas.openxmlformats.org/officeDocument/2006/relationships/customXml" Target="../customXml/item4.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onnections" Target="connections.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hysical%20Education/Module%20Documents/Physical%20Education%20-%20AllModuleProformas.xlsx" TargetMode="External"/><Relationship Id="rId2" Type="http://schemas.openxmlformats.org/officeDocument/2006/relationships/externalLinkPath" Target="https://ljmu.sharepoint.com/teams/SPSRe-validation2026Team/Shared%20Documents/Physical%20Education/Module%20Documents/Physical%20Education%20-%20AllModuleProformas.xlsx" TargetMode="External"/><Relationship Id="rId1" Type="http://schemas.openxmlformats.org/officeDocument/2006/relationships/externalLinkPath" Target="/teams/SPSRe-validation2026Team/Shared%20Documents/Physical%20Education/Module%20Documents/Physical%20Education%20-%20AllModuleProform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sBpNJw6GxEqrSYAv3-_tg3_IrOKKl1ZMmIdXT-LH5T4jYUPxTOD4Q7fYbjQBaFpq" itemId="01GGTD2LQPVBU3MCZIFRBYPSIOI6H5I6MP">
      <xxl21:absoluteUrl r:id="rId2"/>
      <xxl21:relativeUrl r:id="rId3"/>
    </xxl21:alternateUrls>
    <sheetNames>
      <sheetName val="4201SPS"/>
      <sheetName val="4202SPS"/>
      <sheetName val="5201SPS"/>
      <sheetName val="5202SPS"/>
      <sheetName val="5203SPS"/>
      <sheetName val="5204SPS"/>
      <sheetName val="6202SPS"/>
      <sheetName val="6203SPS"/>
      <sheetName val="6096SPS"/>
      <sheetName val="PE_SkillsCoverage"/>
      <sheetName val="PE_Module_Overview"/>
      <sheetName val="PE_Hours_Wide"/>
      <sheetName val="PE_Meta_Wide"/>
      <sheetName val="PE_Mapping"/>
      <sheetName val="PE_Hours"/>
      <sheetName val="PE_Assess"/>
      <sheetName val="PE_LO"/>
      <sheetName val="PE_Meta"/>
      <sheetName val="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20">
          <cell r="S20" t="str">
            <v>Category text shown to user</v>
          </cell>
          <cell r="T20" t="str">
            <v>Defined Name</v>
          </cell>
        </row>
        <row r="21">
          <cell r="O21" t="str">
            <v>Critical thinking</v>
          </cell>
          <cell r="S21" t="str">
            <v>Scientific knowledge</v>
          </cell>
          <cell r="T21" t="str">
            <v>ScientificKnowledge</v>
          </cell>
        </row>
        <row r="22">
          <cell r="S22" t="str">
            <v>Technical skills</v>
          </cell>
          <cell r="T22" t="str">
            <v>TechnicalSkills</v>
          </cell>
        </row>
        <row r="23">
          <cell r="S23" t="str">
            <v>Application of knowledge and skills</v>
          </cell>
          <cell r="T23" t="str">
            <v>ApplicationofKnowledge</v>
          </cell>
        </row>
        <row r="24">
          <cell r="S24" t="str">
            <v>Understanding and use of research</v>
          </cell>
          <cell r="T24" t="str">
            <v>UnderstandingResearch</v>
          </cell>
        </row>
        <row r="25">
          <cell r="S25" t="str">
            <v>Self-evaluation and professional development</v>
          </cell>
          <cell r="T25" t="str">
            <v>SelfEvaluation</v>
          </cell>
        </row>
        <row r="26">
          <cell r="S26" t="str">
            <v>Communication</v>
          </cell>
          <cell r="T26" t="str">
            <v>Communication</v>
          </cell>
        </row>
        <row r="27">
          <cell r="S27" t="str">
            <v>Problem solving and impact</v>
          </cell>
          <cell r="T27" t="str">
            <v>ProblemSolving</v>
          </cell>
        </row>
        <row r="28">
          <cell r="S28" t="str">
            <v>Management of self and others</v>
          </cell>
          <cell r="T28" t="str">
            <v>MgmtSelf</v>
          </cell>
        </row>
        <row r="29">
          <cell r="O29" t="str">
            <v>Laboratory/clinical techniques</v>
          </cell>
          <cell r="S29" t="str">
            <v>Understanding the delivery environment</v>
          </cell>
          <cell r="T29" t="str">
            <v>DeliveryEnvironment</v>
          </cell>
        </row>
        <row r="30">
          <cell r="S30" t="str">
            <v>Professional relationships and behaviours</v>
          </cell>
          <cell r="T30" t="str">
            <v>ProfRelationships</v>
          </cell>
        </row>
        <row r="37">
          <cell r="O37" t="str">
            <v>Decision-making</v>
          </cell>
        </row>
        <row r="45">
          <cell r="O45" t="str">
            <v>Reserch literacy</v>
          </cell>
        </row>
        <row r="53">
          <cell r="O53" t="str">
            <v>Reflective practice</v>
          </cell>
        </row>
        <row r="62">
          <cell r="O62" t="str">
            <v>Written communication</v>
          </cell>
        </row>
        <row r="70">
          <cell r="O70" t="str">
            <v>Analytical thinking</v>
          </cell>
        </row>
        <row r="78">
          <cell r="O78" t="str">
            <v>Leadership</v>
          </cell>
        </row>
        <row r="89">
          <cell r="O89" t="str">
            <v>Organisational awareness</v>
          </cell>
        </row>
        <row r="96">
          <cell r="O96" t="str">
            <v>Teamwork</v>
          </cell>
        </row>
      </sheetData>
    </sheetDataSet>
  </externalBook>
</externalLink>
</file>

<file path=xl/persons/person.xml><?xml version="1.0" encoding="utf-8"?>
<personList xmlns="http://schemas.microsoft.com/office/spreadsheetml/2018/threadedcomments" xmlns:x="http://schemas.openxmlformats.org/spreadsheetml/2006/main">
  <person displayName="Owens, Daniel" id="{38634D3B-70C4-8F44-856B-2B4869DA4869}" userId="S::SPSDOWEN@ljmu.ac.uk::3eac6e0b-34d7-4a7c-9b8a-cef9e010b0a3" providerId="AD"/>
  <person displayName="Boddy, Lynne" id="{14AE07FE-F738-4266-B42F-DFD851BB43E4}" userId="S::olflbodd@ljmu.ac.uk::4e2c177b-3065-45f0-b76e-62857f926f3e" providerId="AD"/>
  <person displayName="Miller, Gemma" id="{51414E2E-ADDB-4659-9E0D-35850923C808}" userId="S::spsgmill@ljmu.ac.uk::1e036a39-ad06-42aa-9aae-539c4900d766" providerId="AD"/>
  <person displayName="Fitton Davies, Katie" id="{DA93A651-29F7-4AAC-A835-71CACA86DFCA}" userId="S::spskfitt@ljmu.ac.uk::fed5e076-bb9d-43c3-b44d-d3491bd8113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k Robinson" refreshedDate="46295.586327893521" createdVersion="8" refreshedVersion="8" minRefreshableVersion="3" recordCount="47" xr:uid="{1D4E36C7-8739-714E-9A14-79EF7A3B3554}">
  <cacheSource type="worksheet">
    <worksheetSource name="SES_Assess"/>
  </cacheSource>
  <cacheFields count="13">
    <cacheField name="SourceWorkbook" numFmtId="0">
      <sharedItems/>
    </cacheField>
    <cacheField name="ModuleCode" numFmtId="0">
      <sharedItems count="24">
        <s v="4101SPS"/>
        <s v="4102SPS"/>
        <s v="4092SPS"/>
        <s v="4094SPS"/>
        <s v="5091SPS"/>
        <s v="5092SPS"/>
        <s v="5102SPS"/>
        <s v="6096SPS"/>
        <s v="5103SPS"/>
        <s v="6101SPS"/>
        <s v="6102SPS"/>
        <s v="6104SPS"/>
        <s v="6105SPS"/>
        <s v="6106SPS"/>
        <s v="6108SPS"/>
        <s v="6109SPS"/>
        <s v="6091SPS"/>
        <s v="6093SPS"/>
        <s v="6094SPS"/>
        <s v="6095SPS"/>
        <s v="6097SPS"/>
        <s v="4093SPS"/>
        <s v="5093SPS"/>
        <s v="6052SPS"/>
      </sharedItems>
    </cacheField>
    <cacheField name="ModuleTitle" numFmtId="0">
      <sharedItems/>
    </cacheField>
    <cacheField name="Assessment No" numFmtId="0">
      <sharedItems/>
    </cacheField>
    <cacheField name="Assessment Type" numFmtId="0">
      <sharedItems count="6">
        <s v="Presentation"/>
        <s v="Portfolio"/>
        <s v="Exam"/>
        <s v="Report"/>
        <s v="Essay"/>
        <s v="Practical"/>
      </sharedItems>
    </cacheField>
    <cacheField name="Assessment Specific" numFmtId="0">
      <sharedItems containsBlank="1"/>
    </cacheField>
    <cacheField name="Assessment Description" numFmtId="0">
      <sharedItems longText="1"/>
    </cacheField>
    <cacheField name="Weighting" numFmtId="0">
      <sharedItems containsMixedTypes="1" containsNumber="1" minValue="0.35" maxValue="0.7"/>
    </cacheField>
    <cacheField name="Due Week" numFmtId="0">
      <sharedItems containsMixedTypes="1" containsNumber="1" containsInteger="1" minValue="6" maxValue="33"/>
    </cacheField>
    <cacheField name="TableName" numFmtId="0">
      <sharedItems/>
    </cacheField>
    <cacheField name="ItemSuffix" numFmtId="0">
      <sharedItems/>
    </cacheField>
    <cacheField name="Programme" numFmtId="0">
      <sharedItems/>
    </cacheField>
    <cacheField name="ProgCode" numFmtId="0">
      <sharedItems/>
    </cacheField>
  </cacheFields>
  <extLst>
    <ext xmlns:x14="http://schemas.microsoft.com/office/spreadsheetml/2009/9/main" uri="{725AE2AE-9491-48be-B2B4-4EB974FC3084}">
      <x14:pivotCacheDefinition pivotCacheId="12716519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k Robinson" refreshedDate="46295.586328124999" createdVersion="8" refreshedVersion="8" minRefreshableVersion="3" recordCount="168" xr:uid="{F6538765-2DF2-3840-8937-7B9437E9586B}">
  <cacheSource type="worksheet">
    <worksheetSource name="SES_Hours"/>
  </cacheSource>
  <cacheFields count="9">
    <cacheField name="SourceWorkbook" numFmtId="0">
      <sharedItems/>
    </cacheField>
    <cacheField name="ModuleCode" numFmtId="0">
      <sharedItems count="28">
        <s v="4101SPS"/>
        <s v="4102SPS"/>
        <s v="4091SPS"/>
        <s v="4092SPS"/>
        <s v="4094SPS"/>
        <s v="5091SPS"/>
        <s v="5092SPS"/>
        <s v="5101SPS"/>
        <s v="5102SPS"/>
        <s v="5103SPS"/>
        <s v="6101SPS"/>
        <s v="6096SPS"/>
        <s v="6102SPS"/>
        <s v="6103SPS"/>
        <s v="6104SPS"/>
        <s v="6105SPS"/>
        <s v="6106SPS"/>
        <s v="6107SPS"/>
        <s v="6108SPS"/>
        <s v="6109SPS"/>
        <s v="6091SPS"/>
        <s v="6093SPS"/>
        <s v="6094SPS"/>
        <s v="6095SPS"/>
        <s v="6097SPS"/>
        <s v="4093SPS"/>
        <s v="5093SPS"/>
        <s v="6052SPS"/>
      </sharedItems>
    </cacheField>
    <cacheField name="ModuleTitle" numFmtId="0">
      <sharedItems/>
    </cacheField>
    <cacheField name="Component" numFmtId="0">
      <sharedItems count="6">
        <s v="Lecture"/>
        <s v="Seminar"/>
        <s v="Practical"/>
        <s v="Workshop"/>
        <s v="Online"/>
        <s v="Total"/>
      </sharedItems>
    </cacheField>
    <cacheField name="Contact Hours" numFmtId="0">
      <sharedItems containsString="0" containsBlank="1" containsNumber="1" containsInteger="1" minValue="0" maxValue="50"/>
    </cacheField>
    <cacheField name="ItemSuffix" numFmtId="0">
      <sharedItems/>
    </cacheField>
    <cacheField name="Programme" numFmtId="0">
      <sharedItems/>
    </cacheField>
    <cacheField name="TableName" numFmtId="0">
      <sharedItems/>
    </cacheField>
    <cacheField name="ProgCod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
  <r>
    <s v="Sport and Exercise Science - AllModuleProformas.xlsx"/>
    <x v="0"/>
    <s v="Professional Practice"/>
    <s v="A1"/>
    <x v="0"/>
    <s v="Individual Presentation"/>
    <s v="Approved job-role skills audit: 5-minute individual presentation followed by 5 minutes of personal tutor questions. Students compare their current evidence against the role requirements and present a realistic, time-bound development plan."/>
    <n v="0.4"/>
    <n v="8"/>
    <s v="4101SPS_Assess"/>
    <s v="Assess"/>
    <s v="Sport and Exercise Science"/>
    <s v="SES"/>
  </r>
  <r>
    <s v="Sport and Exercise Science - AllModuleProformas.xlsx"/>
    <x v="0"/>
    <s v="Professional Practice"/>
    <s v="A2"/>
    <x v="1"/>
    <s v="Reflection"/>
    <s v="Professional Development Portfolio comprising evidence of two specified professional certificates (10% each) and a 10-minute individual personal tutor viva (40%) covering development, engagement and attendance reflection, disciplinary learning, experience, professional behaviours and future action planning."/>
    <n v="0.6"/>
    <n v="12"/>
    <s v="4101SPS_Assess"/>
    <s v="Assess"/>
    <s v="Sport and Exercise Science"/>
    <s v="SES"/>
  </r>
  <r>
    <s v="Sport and Exercise Science - AllModuleProformas.xlsx"/>
    <x v="1"/>
    <s v="Understanding Physical Activity and Sedentary Behaviour"/>
    <s v="A1"/>
    <x v="2"/>
    <s v="In Person Exam"/>
    <s v="In-person test"/>
    <n v="0.5"/>
    <n v="6"/>
    <s v="4102SPS_Assess"/>
    <s v="Assess"/>
    <s v="Sport and Exercise Science"/>
    <s v="SES"/>
  </r>
  <r>
    <s v="Sport and Exercise Science - AllModuleProformas.xlsx"/>
    <x v="1"/>
    <s v="Understanding Physical Activity and Sedentary Behaviour"/>
    <s v="A2"/>
    <x v="0"/>
    <s v="Group Presentation"/>
    <s v="Group narrated (recorded) presentation"/>
    <n v="0.5"/>
    <n v="12"/>
    <s v="4102SPS_Assess"/>
    <s v="Assess"/>
    <s v="Sport and Exercise Science"/>
    <s v="SES"/>
  </r>
  <r>
    <s v="Sport and Exercise Science - AllModuleProformas.xlsx"/>
    <x v="2"/>
    <s v="Exercise Phys L4"/>
    <s v="A1"/>
    <x v="1"/>
    <s v="Lab Report"/>
    <s v="Lab Report Portfolio: Lab Report 1 Submission + Peer Review Activity + Reflection + Lab Report 2 Submission"/>
    <n v="0.5"/>
    <n v="6"/>
    <s v="4092SPS_Assess"/>
    <s v="Assess"/>
    <s v="Sport and Exercise Science"/>
    <s v="SES"/>
  </r>
  <r>
    <s v="Sport and Exercise Science - AllModuleProformas.xlsx"/>
    <x v="2"/>
    <s v="Exercise Phys L4"/>
    <s v="A2"/>
    <x v="2"/>
    <s v="In Person Exam"/>
    <s v="In person Online MCQ Exam "/>
    <n v="0.5"/>
    <n v="12"/>
    <s v="4092SPS_Assess"/>
    <s v="Assess"/>
    <s v="Sport and Exercise Science"/>
    <s v="SES"/>
  </r>
  <r>
    <s v="Sport and Exercise Science - AllModuleProformas.xlsx"/>
    <x v="3"/>
    <s v="Human Movement"/>
    <s v="A1"/>
    <x v="2"/>
    <s v="MCQ Online Test"/>
    <s v="Online exam where students choose 3 out of 6 possible videos of movement to deconstruct a joint of their choice through MCQ and open text responses"/>
    <n v="0.35"/>
    <n v="6"/>
    <s v="4094SPS_Assess"/>
    <s v="Assess"/>
    <s v="Sport and Exercise Science"/>
    <s v="SES"/>
  </r>
  <r>
    <s v="Sport and Exercise Science - AllModuleProformas.xlsx"/>
    <x v="3"/>
    <s v="Human Movement"/>
    <s v="A2"/>
    <x v="0"/>
    <s v="Video"/>
    <s v="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
    <n v="0.65"/>
    <n v="13"/>
    <s v="4094SPS_Assess"/>
    <s v="Assess"/>
    <s v="Sport and Exercise Science"/>
    <s v="SES"/>
  </r>
  <r>
    <s v="Sport and Exercise Science - AllModuleProformas.xlsx"/>
    <x v="4"/>
    <s v="Research Methods 2"/>
    <s v="A1"/>
    <x v="0"/>
    <s v="Group Presentation"/>
    <s v="Group presentation demonstrating analysis of mixed-methods data"/>
    <n v="0.5"/>
    <n v="6"/>
    <s v="5091SPS_Assess"/>
    <s v="Assess"/>
    <s v="Sport and Exercise Science"/>
    <s v="SES"/>
  </r>
  <r>
    <s v="Sport and Exercise Science - AllModuleProformas.xlsx"/>
    <x v="4"/>
    <s v="Research Methods 2"/>
    <s v="A2"/>
    <x v="3"/>
    <s v="Essay"/>
    <s v="Research Proposal outlining a feasible study to undertake at L6"/>
    <n v="0.5"/>
    <n v="12"/>
    <s v="5091SPS_Assess"/>
    <s v="Assess"/>
    <s v="Sport and Exercise Science"/>
    <s v="SES"/>
  </r>
  <r>
    <s v="Sport and Exercise Science - AllModuleProformas.xlsx"/>
    <x v="5"/>
    <s v="Physiological adaptations to exercise"/>
    <s v="A1"/>
    <x v="3"/>
    <s v="Lab Report"/>
    <s v="Using the experimental data provided and an AI-generated draft report, students will produce a scientific laboratory report that analyses and evaluates the physiological effects of exercise training"/>
    <n v="0.5"/>
    <n v="8"/>
    <s v="5092SPS_Assess"/>
    <s v="Assess"/>
    <s v="Sport and Exercise Science"/>
    <s v="SES"/>
  </r>
  <r>
    <s v="Sport and Exercise Science - AllModuleProformas.xlsx"/>
    <x v="5"/>
    <s v="Physiological adaptations to exercise"/>
    <s v="A2"/>
    <x v="0"/>
    <s v="Group Presentation"/>
    <s v="Pro/con debate: working in groups, students will research, prepare, and participate in a structured debate on a controversial topic related to sport and exercise physiology"/>
    <n v="0.5"/>
    <s v="Assessment week"/>
    <s v="5092SPS_Assess"/>
    <s v="Assess"/>
    <s v="Sport and Exercise Science"/>
    <s v="SES"/>
  </r>
  <r>
    <s v="Sport and Exercise Science - AllModuleProformas.xlsx"/>
    <x v="6"/>
    <s v="Influences and Assessment of Physical Activity and Sedentary Behaviour"/>
    <s v="A1"/>
    <x v="0"/>
    <s v="Group Presentation"/>
    <s v="30-minute group presentation – Analyse the factors that influence physical activity sedentary behaviour, and sleep in a specific population subgroup (e.g., young children, children, adolescents, adults, older adults)."/>
    <n v="0.5"/>
    <n v="7"/>
    <s v="5102SPS_Assess"/>
    <s v="Assess"/>
    <s v="Sport and Exercise Science"/>
    <s v="SES"/>
  </r>
  <r>
    <s v="Sport and Exercise Science - AllModuleProformas.xlsx"/>
    <x v="6"/>
    <s v="Influences and Assessment of Physical Activity and Sedentary Behaviour"/>
    <s v="A2"/>
    <x v="1"/>
    <m/>
    <s v="PART 1 – Individual practical: Perform a brief assessment of physical activity with a client (research participant) and give accurate feedback and appropriate recommendations. PART 2 - Viva: Analyse the strengths and limitations and provide recommendations for a proposed measurement approach in a given research scenario ."/>
    <n v="0.5"/>
    <s v="17-18 (January Assessment Week)"/>
    <s v="5102SPS_Assess"/>
    <s v="Assess"/>
    <s v="Sport and Exercise Science"/>
    <s v="SES"/>
  </r>
  <r>
    <s v="Physical Education - AllModuleProformas.xlsx"/>
    <x v="7"/>
    <s v="Secondary PE Teacher Education"/>
    <s v="A1"/>
    <x v="0"/>
    <s v="Group Presentation"/>
    <s v="Group lesson plan and delivery of lesson"/>
    <n v="0.5"/>
    <n v="12"/>
    <s v="6096SPS_Assess"/>
    <s v="Assess"/>
    <s v="Sport and Exercise Science"/>
    <s v="SES"/>
  </r>
  <r>
    <s v="Physical Education - AllModuleProformas.xlsx"/>
    <x v="7"/>
    <s v="Secondary PE Teacher Education"/>
    <s v="A2"/>
    <x v="4"/>
    <s v="Essay"/>
    <s v="Individual essay critically evaluating a current trend in secondary PE"/>
    <n v="0.5"/>
    <n v="16"/>
    <s v="6096SPS_Assess"/>
    <s v="Assess"/>
    <s v="Sport and Exercise Science"/>
    <s v="SES"/>
  </r>
  <r>
    <s v="Sport and Exercise Science - AllModuleProformas.xlsx"/>
    <x v="8"/>
    <s v="Biomechanics"/>
    <s v="A1"/>
    <x v="1"/>
    <s v="Lab Report"/>
    <s v="Porfoiolo of biomechanical analysis reports to a 'Performance Director', linked to taught labs "/>
    <n v="0.5"/>
    <n v="9"/>
    <s v="5103SPS_Assess"/>
    <s v="Assess"/>
    <s v="Sport and Exercise Science"/>
    <s v="SES"/>
  </r>
  <r>
    <s v="Sport and Exercise Science - AllModuleProformas.xlsx"/>
    <x v="8"/>
    <s v="Biomechanics"/>
    <s v="A2"/>
    <x v="2"/>
    <s v="In Person Exam"/>
    <s v="Exam testing knowledge of taught conetent and assessing depth of knowlegde and seeking justifications and critique of portfolio "/>
    <n v="0.5"/>
    <n v="12"/>
    <s v="5103SPS_Assess"/>
    <s v="Assess"/>
    <s v="Sport and Exercise Science"/>
    <s v="SES"/>
  </r>
  <r>
    <s v="Sport and Exercise Science - AllModuleProformas.xlsx"/>
    <x v="9"/>
    <s v="Sport and Injury Biomechanics"/>
    <s v="A1"/>
    <x v="3"/>
    <s v="Data Analysis"/>
    <s v="Running Evaluation"/>
    <n v="0.5"/>
    <n v="6"/>
    <s v="6101SPS_Assess"/>
    <s v="Assess"/>
    <s v="Sport and Exercise Science"/>
    <s v="SES"/>
  </r>
  <r>
    <s v="Sport and Exercise Science - AllModuleProformas.xlsx"/>
    <x v="9"/>
    <s v="Sport and Injury Biomechanics"/>
    <s v="A2"/>
    <x v="3"/>
    <s v="Case Study"/>
    <s v="Injury Screening Evaluation"/>
    <n v="0.5"/>
    <n v="12"/>
    <s v="6101SPS_Assess"/>
    <s v="Assess"/>
    <s v="Sport and Exercise Science"/>
    <s v="SES"/>
  </r>
  <r>
    <s v="Sport and Exercise Science - AllModuleProformas.xlsx"/>
    <x v="10"/>
    <s v="Physical activity and sedentary behaviour across the life course"/>
    <s v="A1"/>
    <x v="1"/>
    <s v="Essay"/>
    <s v="Three mini essays: Critical discussions. "/>
    <n v="0.5"/>
    <n v="7"/>
    <s v="6102SPS_Assess"/>
    <s v="Assess"/>
    <s v="Sport and Exercise Science"/>
    <s v="SES"/>
  </r>
  <r>
    <s v="Sport and Exercise Science - AllModuleProformas.xlsx"/>
    <x v="10"/>
    <s v="Physical activity and sedentary behaviour across the life course"/>
    <s v="A2"/>
    <x v="0"/>
    <s v="Individual Presentation"/>
    <s v="One 10 minute individual presentation plus up to 5 minutes of questions. "/>
    <n v="0.5"/>
    <n v="12"/>
    <s v="6102SPS_Assess"/>
    <s v="Assess"/>
    <s v="Sport and Exercise Science"/>
    <s v="SES"/>
  </r>
  <r>
    <s v="Sport and Exercise Science - AllModuleProformas.xlsx"/>
    <x v="11"/>
    <s v="Cardiovascular Physiology"/>
    <s v="A1"/>
    <x v="0"/>
    <s v="Individual Presentation"/>
    <s v="Case-study presentation of CPET data collected during lab practicals + viva"/>
    <n v="0.5"/>
    <n v="8"/>
    <s v="6104SPS_Assess"/>
    <s v="Assess"/>
    <s v="Sport and Exercise Science"/>
    <s v="SES"/>
  </r>
  <r>
    <s v="Sport and Exercise Science - AllModuleProformas.xlsx"/>
    <x v="11"/>
    <s v="Cardiovascular Physiology"/>
    <s v="A2"/>
    <x v="2"/>
    <s v="In Person Exam"/>
    <s v="ECG interpretation exam"/>
    <n v="0.5"/>
    <n v="18"/>
    <s v="6104SPS_Assess"/>
    <s v="Assess"/>
    <s v="Sport and Exercise Science"/>
    <s v="SES"/>
  </r>
  <r>
    <s v="Sport and Exercise Science - AllModuleProformas.xlsx"/>
    <x v="12"/>
    <s v="Clinical Biomechanics"/>
    <s v="A1"/>
    <x v="3"/>
    <s v="Data Analysis"/>
    <s v="The effects of walking speed on three-dimensional gait kinematics"/>
    <n v="0.5"/>
    <n v="7"/>
    <s v="6105SPS_Assess"/>
    <s v="Assess"/>
    <s v="Sport and Exercise Science"/>
    <s v="SES"/>
  </r>
  <r>
    <s v="Sport and Exercise Science - AllModuleProformas.xlsx"/>
    <x v="12"/>
    <s v="Clinical Biomechanics"/>
    <s v="A2"/>
    <x v="2"/>
    <s v="Essay"/>
    <s v="Exam covering content delivered in the second half on strength, muscles and tendons."/>
    <n v="0.5"/>
    <n v="12"/>
    <s v="6105SPS_Assess"/>
    <s v="Assess"/>
    <s v="Sport and Exercise Science"/>
    <s v="SES"/>
  </r>
  <r>
    <s v="Sport and Exercise Science - AllModuleProformas.xlsx"/>
    <x v="13"/>
    <s v="Module Title"/>
    <s v="A1"/>
    <x v="3"/>
    <s v="Essay"/>
    <s v="The Conversation' style article and accompanying infographic"/>
    <n v="0.4"/>
    <n v="24"/>
    <s v="6106SPS_Assess"/>
    <s v="Assess"/>
    <s v="Sport and Exercise Science"/>
    <s v="SES"/>
  </r>
  <r>
    <s v="Sport and Exercise Science - AllModuleProformas.xlsx"/>
    <x v="13"/>
    <s v="Module Title"/>
    <s v="A2"/>
    <x v="0"/>
    <s v="Individual Presentation"/>
    <s v="Patient Education Session"/>
    <n v="0.6"/>
    <n v="33"/>
    <s v="6106SPS_Assess"/>
    <s v="Assess"/>
    <s v="Sport and Exercise Science"/>
    <s v="SES"/>
  </r>
  <r>
    <s v="Sport and Exercise Science - AllModuleProformas.xlsx"/>
    <x v="14"/>
    <s v="Health and Performance Nutrition"/>
    <s v="A1"/>
    <x v="0"/>
    <s v="Group Presentation"/>
    <s v="Group presentation on population nutrient deficiency in health and performance context"/>
    <s v="30%%"/>
    <n v="9"/>
    <s v="6108SPS_Assess"/>
    <s v="Assess"/>
    <s v="Sport and Exercise Science"/>
    <s v="SES"/>
  </r>
  <r>
    <s v="Sport and Exercise Science - AllModuleProformas.xlsx"/>
    <x v="14"/>
    <s v="Health and Performance Nutrition"/>
    <s v="A2"/>
    <x v="1"/>
    <s v="Case Study"/>
    <s v="Case study of athlete needs for performance and health goals"/>
    <n v="0.7"/>
    <n v="12"/>
    <s v="6108SPS_Assess"/>
    <s v="Assess"/>
    <s v="Sport and Exercise Science"/>
    <s v="SES"/>
  </r>
  <r>
    <s v="Sport and Exercise Science - AllModuleProformas.xlsx"/>
    <x v="15"/>
    <s v="Applied Professional Practice"/>
    <s v="A1"/>
    <x v="1"/>
    <s v="Case Study"/>
    <s v="Work related task. The submission will depend upon the nature of the work related activity (3000 words or equivalent)"/>
    <n v="0.5"/>
    <n v="26"/>
    <s v="6109SPS_Assess"/>
    <s v="Assess"/>
    <s v="Sport and Exercise Science"/>
    <s v="SES"/>
  </r>
  <r>
    <s v="Sport and Exercise Science - AllModuleProformas.xlsx"/>
    <x v="15"/>
    <s v="Applied Professional Practice"/>
    <s v="A2"/>
    <x v="0"/>
    <s v="Individual Presentation"/>
    <s v="An individual presentation within the context of the discipline area that you have completed your placement, and in consideration of your skills, experience and possible career plans you are required to reflect upon the knowledge and competencies required to work in Sport and Exercise Science field/discipline."/>
    <n v="0.5"/>
    <n v="26"/>
    <s v="6109SPS_Assess"/>
    <s v="Assess"/>
    <s v="Sport and Exercise Science"/>
    <s v="SES"/>
  </r>
  <r>
    <s v="Sport and Exercise Science - AllModuleProformas.xlsx"/>
    <x v="16"/>
    <s v="Major Project"/>
    <s v="A1"/>
    <x v="3"/>
    <s v="Dissertation"/>
    <s v="Students are required to submit a thesis that describes and reports the major project that they conducted using the scientific method, e.g., Introduction, Methods, Results and Discussion. "/>
    <n v="0.6"/>
    <n v="28"/>
    <s v="6091SPS_Assess"/>
    <s v="Assess"/>
    <s v="Sport and Exercise Science"/>
    <s v="SES"/>
  </r>
  <r>
    <s v="Sport and Exercise Science - AllModuleProformas.xlsx"/>
    <x v="16"/>
    <s v="Major Project"/>
    <s v="A2"/>
    <x v="0"/>
    <s v="Individual Presentation"/>
    <s v="Students are required to manage their own project throughout the year and produce, present and defend their major project "/>
    <n v="0.4"/>
    <n v="28"/>
    <s v="6091SPS_Assess"/>
    <s v="Assess"/>
    <s v="Sport and Exercise Science"/>
    <s v="SES"/>
  </r>
  <r>
    <s v="Sport and Exercise Science - AllModuleProformas.xlsx"/>
    <x v="17"/>
    <s v="Strength and Conditioning"/>
    <s v="A1"/>
    <x v="0"/>
    <s v="Individual Presentation"/>
    <s v="10 minute pre-recorded needs analysis presentation"/>
    <n v="0.5"/>
    <n v="6"/>
    <s v="6093SPS_Assess"/>
    <s v="Assess"/>
    <s v="Sport and Exercise Science"/>
    <s v="SES"/>
  </r>
  <r>
    <s v="Sport and Exercise Science - AllModuleProformas.xlsx"/>
    <x v="17"/>
    <s v="Strength and Conditioning"/>
    <s v="A2"/>
    <x v="1"/>
    <s v="Viva"/>
    <s v="Training Programme and Viva Defence"/>
    <n v="0.5"/>
    <n v="12"/>
    <s v="6093SPS_Assess"/>
    <s v="Assess"/>
    <s v="Sport and Exercise Science"/>
    <s v="SES"/>
  </r>
  <r>
    <s v="Sport and Exercise Science - AllModuleProformas.xlsx"/>
    <x v="18"/>
    <s v="Behaviour Change"/>
    <s v="A1"/>
    <x v="0"/>
    <s v="Individual Presentation"/>
    <s v="Design a theory-based behaviour change intervention (10 minute narrated presentation)"/>
    <n v="0.5"/>
    <n v="8"/>
    <s v="6094SPS_Assess"/>
    <s v="Assess"/>
    <s v="Sport and Exercise Science"/>
    <s v="SES"/>
  </r>
  <r>
    <s v="Sport and Exercise Science - AllModuleProformas.xlsx"/>
    <x v="18"/>
    <s v="Behaviour Change"/>
    <s v="A2"/>
    <x v="5"/>
    <m/>
    <s v="Practical Simulation and Reflection: Students complete a 12-15 minute behaviour change consultation with an adult client seeking support. Following the practical, students submit a critical reflection (≈750–1,000 words) on their consultation. "/>
    <n v="0.5"/>
    <n v="12"/>
    <s v="6094SPS_Assess"/>
    <s v="Assess"/>
    <s v="Sport and Exercise Science"/>
    <s v="SES"/>
  </r>
  <r>
    <s v="Sport and Exercise Science - AllModuleProformas.xlsx"/>
    <x v="19"/>
    <s v="Performance Analysis in Sport"/>
    <s v="A1"/>
    <x v="1"/>
    <s v="Data Analysis"/>
    <s v="Part A includes 3 different components: a code window file (from Sportscode), a CSV file, and a report.                                                                                                                                                Part B includes 2 different components: a video playlist, and a Tableau dashboard file."/>
    <n v="0.6"/>
    <n v="12"/>
    <s v="6095SPS_Assess"/>
    <s v="Assess"/>
    <s v="Sport and Exercise Science"/>
    <s v="SES"/>
  </r>
  <r>
    <s v="Sport and Exercise Science - AllModuleProformas.xlsx"/>
    <x v="19"/>
    <s v="Performance Analysis in Sport"/>
    <s v="A2"/>
    <x v="0"/>
    <s v="Group Presentation"/>
    <s v="Group Presentation analysing performance of a team or athlete (15 minutes + 5 minutes questions)."/>
    <n v="0.4"/>
    <s v="Week 17"/>
    <s v="6095SPS_Assess"/>
    <s v="Assess"/>
    <s v="Sport and Exercise Science"/>
    <s v="SES"/>
  </r>
  <r>
    <s v="Sport Coaching - AllModuleProformas.xlsx"/>
    <x v="20"/>
    <s v="Working in High Performance Sport"/>
    <s v="A1"/>
    <x v="0"/>
    <s v="Group Presentation"/>
    <s v="Group presentation on biomechanical principles in weightlifting"/>
    <n v="0.5"/>
    <n v="6"/>
    <s v="6097SPS_Assess"/>
    <s v="Assess"/>
    <s v="Sport and Exercise Science"/>
    <s v="SES"/>
  </r>
  <r>
    <s v="Sport Psychology - AllModuleProformas.xlsx"/>
    <x v="21"/>
    <s v="Psychosocial Principles of Sport and Exercise"/>
    <s v="A1"/>
    <x v="2"/>
    <s v="In Person Exam"/>
    <s v="90 minute and 60 question MCT to cover material delivered during weeks 1-6 of the module. "/>
    <n v="0.5"/>
    <s v="January Assessment Week 1"/>
    <s v="4093SPS_Assess"/>
    <s v="Assess"/>
    <s v="Sport and Exercise Science"/>
    <s v="SES"/>
  </r>
  <r>
    <s v="Sport Psychology - AllModuleProformas.xlsx"/>
    <x v="21"/>
    <s v="Psychosocial Principles of Sport and Exercise"/>
    <s v="A2"/>
    <x v="2"/>
    <s v="In Person Exam"/>
    <s v="90 minute and 60 question MCT to cover material delivered during weeks 8-12 of the module. "/>
    <n v="0.5"/>
    <s v="January Assessment Week 2"/>
    <s v="4093SPS_Assess"/>
    <s v="Assess"/>
    <s v="Sport and Exercise Science"/>
    <s v="SES"/>
  </r>
  <r>
    <s v="Sport Psychology - AllModuleProformas.xlsx"/>
    <x v="22"/>
    <s v="Sport amd Performance Psychology"/>
    <s v="A1"/>
    <x v="2"/>
    <s v="In Person Exam"/>
    <s v="In-class video observation and short-answer questions"/>
    <n v="0.5"/>
    <n v="8"/>
    <s v="5093SPS_Assess"/>
    <s v="Assess"/>
    <s v="Sport and Exercise Science"/>
    <s v="SES"/>
  </r>
  <r>
    <s v="Sport Psychology - AllModuleProformas.xlsx"/>
    <x v="22"/>
    <s v="Sport amd Performance Psychology"/>
    <s v="A2"/>
    <x v="2"/>
    <s v="In Person Exam"/>
    <s v="In-class short- and multi-choice answer questions"/>
    <n v="0.5"/>
    <s v="13-14"/>
    <s v="5093SPS_Assess"/>
    <s v="Assess"/>
    <s v="Sport and Exercise Science"/>
    <s v="SES"/>
  </r>
  <r>
    <s v="Sport Psychology - AllModuleProformas.xlsx"/>
    <x v="23"/>
    <s v="Applied Motor Behaviour"/>
    <s v="A1"/>
    <x v="0"/>
    <s v="Group Presentation"/>
    <s v="Group presentation on motor learning protocols"/>
    <n v="0.5"/>
    <n v="8"/>
    <s v="6052SPS_Assess"/>
    <s v="Assess"/>
    <s v="Sport and Exercise Science"/>
    <s v="SES"/>
  </r>
  <r>
    <s v="Sport Psychology - AllModuleProformas.xlsx"/>
    <x v="23"/>
    <s v="Applied Motor Behaviour"/>
    <s v="A2"/>
    <x v="2"/>
    <s v="Essay"/>
    <s v="Interpret statistical outputs to independently produce a summary of key findings, followed by discussion that considers findings relative to research and conceptual/theoretical perspectives"/>
    <n v="0.5"/>
    <n v="17"/>
    <s v="6052SPS_Assess"/>
    <s v="Assess"/>
    <s v="Sport and Exercise Science"/>
    <s v="SE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Sport and Exercise Science - AllModuleProformas.xlsx"/>
    <x v="0"/>
    <s v="Professional Practice"/>
    <x v="0"/>
    <n v="22"/>
    <s v="Hours"/>
    <s v="Sport and Exercise Science"/>
    <s v="4101SPS_Hours"/>
    <s v="SES"/>
  </r>
  <r>
    <s v="Sport and Exercise Science - AllModuleProformas.xlsx"/>
    <x v="0"/>
    <s v="Professional Practice"/>
    <x v="1"/>
    <n v="5"/>
    <s v="Hours"/>
    <s v="Sport and Exercise Science"/>
    <s v="4101SPS_Hours"/>
    <s v="SES"/>
  </r>
  <r>
    <s v="Sport and Exercise Science - AllModuleProformas.xlsx"/>
    <x v="0"/>
    <s v="Professional Practice"/>
    <x v="2"/>
    <n v="3"/>
    <s v="Hours"/>
    <s v="Sport and Exercise Science"/>
    <s v="4101SPS_Hours"/>
    <s v="SES"/>
  </r>
  <r>
    <s v="Sport and Exercise Science - AllModuleProformas.xlsx"/>
    <x v="0"/>
    <s v="Professional Practice"/>
    <x v="3"/>
    <n v="10"/>
    <s v="Hours"/>
    <s v="Sport and Exercise Science"/>
    <s v="4101SPS_Hours"/>
    <s v="SES"/>
  </r>
  <r>
    <s v="Sport and Exercise Science - AllModuleProformas.xlsx"/>
    <x v="0"/>
    <s v="Professional Practice"/>
    <x v="4"/>
    <n v="4"/>
    <s v="Hours"/>
    <s v="Sport and Exercise Science"/>
    <s v="4101SPS_Hours"/>
    <s v="SES"/>
  </r>
  <r>
    <s v="Sport and Exercise Science - AllModuleProformas.xlsx"/>
    <x v="0"/>
    <s v="Professional Practice"/>
    <x v="5"/>
    <n v="44"/>
    <s v="Hours"/>
    <s v="Sport and Exercise Science"/>
    <s v="4101SPS_Hours"/>
    <s v="SES"/>
  </r>
  <r>
    <s v="Sport and Exercise Science - AllModuleProformas.xlsx"/>
    <x v="1"/>
    <s v="Understanding Physical Activity and Sedentary Behaviour"/>
    <x v="0"/>
    <n v="23"/>
    <s v="Hours"/>
    <s v="Sport and Exercise Science"/>
    <s v="4102SPS_Hours"/>
    <s v="SES"/>
  </r>
  <r>
    <s v="Sport and Exercise Science - AllModuleProformas.xlsx"/>
    <x v="1"/>
    <s v="Understanding Physical Activity and Sedentary Behaviour"/>
    <x v="1"/>
    <m/>
    <s v="Hours"/>
    <s v="Sport and Exercise Science"/>
    <s v="4102SPS_Hours"/>
    <s v="SES"/>
  </r>
  <r>
    <s v="Sport and Exercise Science - AllModuleProformas.xlsx"/>
    <x v="1"/>
    <s v="Understanding Physical Activity and Sedentary Behaviour"/>
    <x v="2"/>
    <m/>
    <s v="Hours"/>
    <s v="Sport and Exercise Science"/>
    <s v="4102SPS_Hours"/>
    <s v="SES"/>
  </r>
  <r>
    <s v="Sport and Exercise Science - AllModuleProformas.xlsx"/>
    <x v="1"/>
    <s v="Understanding Physical Activity and Sedentary Behaviour"/>
    <x v="3"/>
    <n v="17"/>
    <s v="Hours"/>
    <s v="Sport and Exercise Science"/>
    <s v="4102SPS_Hours"/>
    <s v="SES"/>
  </r>
  <r>
    <s v="Sport and Exercise Science - AllModuleProformas.xlsx"/>
    <x v="1"/>
    <s v="Understanding Physical Activity and Sedentary Behaviour"/>
    <x v="4"/>
    <m/>
    <s v="Hours"/>
    <s v="Sport and Exercise Science"/>
    <s v="4102SPS_Hours"/>
    <s v="SES"/>
  </r>
  <r>
    <s v="Sport and Exercise Science - AllModuleProformas.xlsx"/>
    <x v="1"/>
    <s v="Understanding Physical Activity and Sedentary Behaviour"/>
    <x v="5"/>
    <n v="40"/>
    <s v="Hours"/>
    <s v="Sport and Exercise Science"/>
    <s v="4102SPS_Hours"/>
    <s v="SES"/>
  </r>
  <r>
    <s v="Sport and Exercise Science - AllModuleProformas.xlsx"/>
    <x v="2"/>
    <s v="Research Methods 1"/>
    <x v="0"/>
    <m/>
    <s v="Hours"/>
    <s v="Sport and Exercise Science"/>
    <s v="4091SPS_Hours"/>
    <s v="SES"/>
  </r>
  <r>
    <s v="Sport and Exercise Science - AllModuleProformas.xlsx"/>
    <x v="2"/>
    <s v="Research Methods 1"/>
    <x v="1"/>
    <m/>
    <s v="Hours"/>
    <s v="Sport and Exercise Science"/>
    <s v="4091SPS_Hours"/>
    <s v="SES"/>
  </r>
  <r>
    <s v="Sport and Exercise Science - AllModuleProformas.xlsx"/>
    <x v="2"/>
    <s v="Research Methods 1"/>
    <x v="2"/>
    <m/>
    <s v="Hours"/>
    <s v="Sport and Exercise Science"/>
    <s v="4091SPS_Hours"/>
    <s v="SES"/>
  </r>
  <r>
    <s v="Sport and Exercise Science - AllModuleProformas.xlsx"/>
    <x v="2"/>
    <s v="Research Methods 1"/>
    <x v="3"/>
    <m/>
    <s v="Hours"/>
    <s v="Sport and Exercise Science"/>
    <s v="4091SPS_Hours"/>
    <s v="SES"/>
  </r>
  <r>
    <s v="Sport and Exercise Science - AllModuleProformas.xlsx"/>
    <x v="2"/>
    <s v="Research Methods 1"/>
    <x v="4"/>
    <m/>
    <s v="Hours"/>
    <s v="Sport and Exercise Science"/>
    <s v="4091SPS_Hours"/>
    <s v="SES"/>
  </r>
  <r>
    <s v="Sport and Exercise Science - AllModuleProformas.xlsx"/>
    <x v="2"/>
    <s v="Research Methods 1"/>
    <x v="5"/>
    <n v="0"/>
    <s v="Hours"/>
    <s v="Sport and Exercise Science"/>
    <s v="4091SPS_Hours"/>
    <s v="SES"/>
  </r>
  <r>
    <s v="Sport and Exercise Science - AllModuleProformas.xlsx"/>
    <x v="3"/>
    <s v="Exercise Phys L4"/>
    <x v="0"/>
    <n v="33"/>
    <s v="Hours"/>
    <s v="Sport and Exercise Science"/>
    <s v="4092SPS_Hours"/>
    <s v="SES"/>
  </r>
  <r>
    <s v="Sport and Exercise Science - AllModuleProformas.xlsx"/>
    <x v="3"/>
    <s v="Exercise Phys L4"/>
    <x v="1"/>
    <n v="1"/>
    <s v="Hours"/>
    <s v="Sport and Exercise Science"/>
    <s v="4092SPS_Hours"/>
    <s v="SES"/>
  </r>
  <r>
    <s v="Sport and Exercise Science - AllModuleProformas.xlsx"/>
    <x v="3"/>
    <s v="Exercise Phys L4"/>
    <x v="2"/>
    <n v="6"/>
    <s v="Hours"/>
    <s v="Sport and Exercise Science"/>
    <s v="4092SPS_Hours"/>
    <s v="SES"/>
  </r>
  <r>
    <s v="Sport and Exercise Science - AllModuleProformas.xlsx"/>
    <x v="3"/>
    <s v="Exercise Phys L4"/>
    <x v="3"/>
    <n v="1"/>
    <s v="Hours"/>
    <s v="Sport and Exercise Science"/>
    <s v="4092SPS_Hours"/>
    <s v="SES"/>
  </r>
  <r>
    <s v="Sport and Exercise Science - AllModuleProformas.xlsx"/>
    <x v="3"/>
    <s v="Exercise Phys L4"/>
    <x v="4"/>
    <n v="3"/>
    <s v="Hours"/>
    <s v="Sport and Exercise Science"/>
    <s v="4092SPS_Hours"/>
    <s v="SES"/>
  </r>
  <r>
    <s v="Sport and Exercise Science - AllModuleProformas.xlsx"/>
    <x v="3"/>
    <s v="Exercise Phys L4"/>
    <x v="5"/>
    <n v="44"/>
    <s v="Hours"/>
    <s v="Sport and Exercise Science"/>
    <s v="4092SPS_Hours"/>
    <s v="SES"/>
  </r>
  <r>
    <s v="Sport and Exercise Science - AllModuleProformas.xlsx"/>
    <x v="4"/>
    <s v="Human Movement"/>
    <x v="0"/>
    <n v="11"/>
    <s v="Hours"/>
    <s v="Sport and Exercise Science"/>
    <s v="4094SPS_Hours"/>
    <s v="SES"/>
  </r>
  <r>
    <s v="Sport and Exercise Science - AllModuleProformas.xlsx"/>
    <x v="4"/>
    <s v="Human Movement"/>
    <x v="1"/>
    <m/>
    <s v="Hours"/>
    <s v="Sport and Exercise Science"/>
    <s v="4094SPS_Hours"/>
    <s v="SES"/>
  </r>
  <r>
    <s v="Sport and Exercise Science - AllModuleProformas.xlsx"/>
    <x v="4"/>
    <s v="Human Movement"/>
    <x v="2"/>
    <n v="6"/>
    <s v="Hours"/>
    <s v="Sport and Exercise Science"/>
    <s v="4094SPS_Hours"/>
    <s v="SES"/>
  </r>
  <r>
    <s v="Sport and Exercise Science - AllModuleProformas.xlsx"/>
    <x v="4"/>
    <s v="Human Movement"/>
    <x v="3"/>
    <n v="11"/>
    <s v="Hours"/>
    <s v="Sport and Exercise Science"/>
    <s v="4094SPS_Hours"/>
    <s v="SES"/>
  </r>
  <r>
    <s v="Sport and Exercise Science - AllModuleProformas.xlsx"/>
    <x v="4"/>
    <s v="Human Movement"/>
    <x v="4"/>
    <n v="11"/>
    <s v="Hours"/>
    <s v="Sport and Exercise Science"/>
    <s v="4094SPS_Hours"/>
    <s v="SES"/>
  </r>
  <r>
    <s v="Sport and Exercise Science - AllModuleProformas.xlsx"/>
    <x v="4"/>
    <s v="Human Movement"/>
    <x v="5"/>
    <n v="39"/>
    <s v="Hours"/>
    <s v="Sport and Exercise Science"/>
    <s v="4094SPS_Hours"/>
    <s v="SES"/>
  </r>
  <r>
    <s v="Sport and Exercise Science - AllModuleProformas.xlsx"/>
    <x v="5"/>
    <s v="Research Methods 2"/>
    <x v="0"/>
    <n v="34"/>
    <s v="Hours"/>
    <s v="Sport and Exercise Science"/>
    <s v="5091SPS_Hours"/>
    <s v="SES"/>
  </r>
  <r>
    <s v="Sport and Exercise Science - AllModuleProformas.xlsx"/>
    <x v="5"/>
    <s v="Research Methods 2"/>
    <x v="1"/>
    <n v="6"/>
    <s v="Hours"/>
    <s v="Sport and Exercise Science"/>
    <s v="5091SPS_Hours"/>
    <s v="SES"/>
  </r>
  <r>
    <s v="Sport and Exercise Science - AllModuleProformas.xlsx"/>
    <x v="5"/>
    <s v="Research Methods 2"/>
    <x v="2"/>
    <m/>
    <s v="Hours"/>
    <s v="Sport and Exercise Science"/>
    <s v="5091SPS_Hours"/>
    <s v="SES"/>
  </r>
  <r>
    <s v="Sport and Exercise Science - AllModuleProformas.xlsx"/>
    <x v="5"/>
    <s v="Research Methods 2"/>
    <x v="3"/>
    <n v="2"/>
    <s v="Hours"/>
    <s v="Sport and Exercise Science"/>
    <s v="5091SPS_Hours"/>
    <s v="SES"/>
  </r>
  <r>
    <s v="Sport and Exercise Science - AllModuleProformas.xlsx"/>
    <x v="5"/>
    <s v="Research Methods 2"/>
    <x v="4"/>
    <m/>
    <s v="Hours"/>
    <s v="Sport and Exercise Science"/>
    <s v="5091SPS_Hours"/>
    <s v="SES"/>
  </r>
  <r>
    <s v="Sport and Exercise Science - AllModuleProformas.xlsx"/>
    <x v="5"/>
    <s v="Research Methods 2"/>
    <x v="5"/>
    <n v="42"/>
    <s v="Hours"/>
    <s v="Sport and Exercise Science"/>
    <s v="5091SPS_Hours"/>
    <s v="SES"/>
  </r>
  <r>
    <s v="Sport and Exercise Science - AllModuleProformas.xlsx"/>
    <x v="6"/>
    <s v="Physiological adaptations to exercise"/>
    <x v="0"/>
    <n v="16"/>
    <s v="Hours"/>
    <s v="Sport and Exercise Science"/>
    <s v="5092SPS_Hours"/>
    <s v="SES"/>
  </r>
  <r>
    <s v="Sport and Exercise Science - AllModuleProformas.xlsx"/>
    <x v="6"/>
    <s v="Physiological adaptations to exercise"/>
    <x v="1"/>
    <n v="5"/>
    <s v="Hours"/>
    <s v="Sport and Exercise Science"/>
    <s v="5092SPS_Hours"/>
    <s v="SES"/>
  </r>
  <r>
    <s v="Sport and Exercise Science - AllModuleProformas.xlsx"/>
    <x v="6"/>
    <s v="Physiological adaptations to exercise"/>
    <x v="2"/>
    <n v="6"/>
    <s v="Hours"/>
    <s v="Sport and Exercise Science"/>
    <s v="5092SPS_Hours"/>
    <s v="SES"/>
  </r>
  <r>
    <s v="Sport and Exercise Science - AllModuleProformas.xlsx"/>
    <x v="6"/>
    <s v="Physiological adaptations to exercise"/>
    <x v="3"/>
    <n v="7"/>
    <s v="Hours"/>
    <s v="Sport and Exercise Science"/>
    <s v="5092SPS_Hours"/>
    <s v="SES"/>
  </r>
  <r>
    <s v="Sport and Exercise Science - AllModuleProformas.xlsx"/>
    <x v="6"/>
    <s v="Physiological adaptations to exercise"/>
    <x v="4"/>
    <n v="6"/>
    <s v="Hours"/>
    <s v="Sport and Exercise Science"/>
    <s v="5092SPS_Hours"/>
    <s v="SES"/>
  </r>
  <r>
    <s v="Sport and Exercise Science - AllModuleProformas.xlsx"/>
    <x v="6"/>
    <s v="Physiological adaptations to exercise"/>
    <x v="5"/>
    <n v="40"/>
    <s v="Hours"/>
    <s v="Sport and Exercise Science"/>
    <s v="5092SPS_Hours"/>
    <s v="SES"/>
  </r>
  <r>
    <s v="Sport and Exercise Science - AllModuleProformas.xlsx"/>
    <x v="7"/>
    <s v="Professional Practice in Sport and Exercise Science 2"/>
    <x v="0"/>
    <m/>
    <s v="Hours"/>
    <s v="Sport and Exercise Science"/>
    <s v="5101SPS_Hours"/>
    <s v="SES"/>
  </r>
  <r>
    <s v="Sport and Exercise Science - AllModuleProformas.xlsx"/>
    <x v="7"/>
    <s v="Professional Practice in Sport and Exercise Science 2"/>
    <x v="1"/>
    <m/>
    <s v="Hours"/>
    <s v="Sport and Exercise Science"/>
    <s v="5101SPS_Hours"/>
    <s v="SES"/>
  </r>
  <r>
    <s v="Sport and Exercise Science - AllModuleProformas.xlsx"/>
    <x v="7"/>
    <s v="Professional Practice in Sport and Exercise Science 2"/>
    <x v="2"/>
    <m/>
    <s v="Hours"/>
    <s v="Sport and Exercise Science"/>
    <s v="5101SPS_Hours"/>
    <s v="SES"/>
  </r>
  <r>
    <s v="Sport and Exercise Science - AllModuleProformas.xlsx"/>
    <x v="7"/>
    <s v="Professional Practice in Sport and Exercise Science 2"/>
    <x v="3"/>
    <m/>
    <s v="Hours"/>
    <s v="Sport and Exercise Science"/>
    <s v="5101SPS_Hours"/>
    <s v="SES"/>
  </r>
  <r>
    <s v="Sport and Exercise Science - AllModuleProformas.xlsx"/>
    <x v="7"/>
    <s v="Professional Practice in Sport and Exercise Science 2"/>
    <x v="4"/>
    <m/>
    <s v="Hours"/>
    <s v="Sport and Exercise Science"/>
    <s v="5101SPS_Hours"/>
    <s v="SES"/>
  </r>
  <r>
    <s v="Sport and Exercise Science - AllModuleProformas.xlsx"/>
    <x v="7"/>
    <s v="Professional Practice in Sport and Exercise Science 2"/>
    <x v="5"/>
    <n v="0"/>
    <s v="Hours"/>
    <s v="Sport and Exercise Science"/>
    <s v="5101SPS_Hours"/>
    <s v="SES"/>
  </r>
  <r>
    <s v="Sport and Exercise Science - AllModuleProformas.xlsx"/>
    <x v="8"/>
    <s v="Influences and Assessment of Physical Activity and Sedentary Behaviour"/>
    <x v="0"/>
    <n v="22"/>
    <s v="Hours"/>
    <s v="Sport and Exercise Science"/>
    <s v="5102SPS_Hours"/>
    <s v="SES"/>
  </r>
  <r>
    <s v="Sport and Exercise Science - AllModuleProformas.xlsx"/>
    <x v="8"/>
    <s v="Influences and Assessment of Physical Activity and Sedentary Behaviour"/>
    <x v="1"/>
    <n v="14"/>
    <s v="Hours"/>
    <s v="Sport and Exercise Science"/>
    <s v="5102SPS_Hours"/>
    <s v="SES"/>
  </r>
  <r>
    <s v="Sport and Exercise Science - AllModuleProformas.xlsx"/>
    <x v="8"/>
    <s v="Influences and Assessment of Physical Activity and Sedentary Behaviour"/>
    <x v="2"/>
    <n v="2"/>
    <s v="Hours"/>
    <s v="Sport and Exercise Science"/>
    <s v="5102SPS_Hours"/>
    <s v="SES"/>
  </r>
  <r>
    <s v="Sport and Exercise Science - AllModuleProformas.xlsx"/>
    <x v="8"/>
    <s v="Influences and Assessment of Physical Activity and Sedentary Behaviour"/>
    <x v="3"/>
    <n v="0"/>
    <s v="Hours"/>
    <s v="Sport and Exercise Science"/>
    <s v="5102SPS_Hours"/>
    <s v="SES"/>
  </r>
  <r>
    <s v="Sport and Exercise Science - AllModuleProformas.xlsx"/>
    <x v="8"/>
    <s v="Influences and Assessment of Physical Activity and Sedentary Behaviour"/>
    <x v="4"/>
    <n v="11"/>
    <s v="Hours"/>
    <s v="Sport and Exercise Science"/>
    <s v="5102SPS_Hours"/>
    <s v="SES"/>
  </r>
  <r>
    <s v="Sport and Exercise Science - AllModuleProformas.xlsx"/>
    <x v="8"/>
    <s v="Influences and Assessment of Physical Activity and Sedentary Behaviour"/>
    <x v="5"/>
    <n v="49"/>
    <s v="Hours"/>
    <s v="Sport and Exercise Science"/>
    <s v="5102SPS_Hours"/>
    <s v="SES"/>
  </r>
  <r>
    <s v="Sport and Exercise Science - AllModuleProformas.xlsx"/>
    <x v="9"/>
    <s v="Biomechanics"/>
    <x v="0"/>
    <m/>
    <s v="Hours"/>
    <s v="Sport and Exercise Science"/>
    <s v="5103SPS_Hours"/>
    <s v="SES"/>
  </r>
  <r>
    <s v="Sport and Exercise Science - AllModuleProformas.xlsx"/>
    <x v="9"/>
    <s v="Biomechanics"/>
    <x v="1"/>
    <m/>
    <s v="Hours"/>
    <s v="Sport and Exercise Science"/>
    <s v="5103SPS_Hours"/>
    <s v="SES"/>
  </r>
  <r>
    <s v="Sport and Exercise Science - AllModuleProformas.xlsx"/>
    <x v="9"/>
    <s v="Biomechanics"/>
    <x v="2"/>
    <m/>
    <s v="Hours"/>
    <s v="Sport and Exercise Science"/>
    <s v="5103SPS_Hours"/>
    <s v="SES"/>
  </r>
  <r>
    <s v="Sport and Exercise Science - AllModuleProformas.xlsx"/>
    <x v="9"/>
    <s v="Biomechanics"/>
    <x v="3"/>
    <m/>
    <s v="Hours"/>
    <s v="Sport and Exercise Science"/>
    <s v="5103SPS_Hours"/>
    <s v="SES"/>
  </r>
  <r>
    <s v="Sport and Exercise Science - AllModuleProformas.xlsx"/>
    <x v="9"/>
    <s v="Biomechanics"/>
    <x v="4"/>
    <m/>
    <s v="Hours"/>
    <s v="Sport and Exercise Science"/>
    <s v="5103SPS_Hours"/>
    <s v="SES"/>
  </r>
  <r>
    <s v="Sport and Exercise Science - AllModuleProformas.xlsx"/>
    <x v="9"/>
    <s v="Biomechanics"/>
    <x v="5"/>
    <n v="0"/>
    <s v="Hours"/>
    <s v="Sport and Exercise Science"/>
    <s v="5103SPS_Hours"/>
    <s v="SES"/>
  </r>
  <r>
    <s v="Sport and Exercise Science - AllModuleProformas.xlsx"/>
    <x v="10"/>
    <s v="Sport and Injury Biomechanics"/>
    <x v="0"/>
    <n v="20"/>
    <s v="Hours"/>
    <s v="Sport and Exercise Science"/>
    <s v="6101SPS_Hours"/>
    <s v="SES"/>
  </r>
  <r>
    <s v="Sport and Exercise Science - AllModuleProformas.xlsx"/>
    <x v="10"/>
    <s v="Sport and Injury Biomechanics"/>
    <x v="1"/>
    <n v="9"/>
    <s v="Hours"/>
    <s v="Sport and Exercise Science"/>
    <s v="6101SPS_Hours"/>
    <s v="SES"/>
  </r>
  <r>
    <s v="Sport and Exercise Science - AllModuleProformas.xlsx"/>
    <x v="10"/>
    <s v="Sport and Injury Biomechanics"/>
    <x v="2"/>
    <n v="13"/>
    <s v="Hours"/>
    <s v="Sport and Exercise Science"/>
    <s v="6101SPS_Hours"/>
    <s v="SES"/>
  </r>
  <r>
    <s v="Sport and Exercise Science - AllModuleProformas.xlsx"/>
    <x v="10"/>
    <s v="Sport and Injury Biomechanics"/>
    <x v="3"/>
    <n v="0"/>
    <s v="Hours"/>
    <s v="Sport and Exercise Science"/>
    <s v="6101SPS_Hours"/>
    <s v="SES"/>
  </r>
  <r>
    <s v="Sport and Exercise Science - AllModuleProformas.xlsx"/>
    <x v="10"/>
    <s v="Sport and Injury Biomechanics"/>
    <x v="4"/>
    <n v="0"/>
    <s v="Hours"/>
    <s v="Sport and Exercise Science"/>
    <s v="6101SPS_Hours"/>
    <s v="SES"/>
  </r>
  <r>
    <s v="Sport and Exercise Science - AllModuleProformas.xlsx"/>
    <x v="10"/>
    <s v="Sport and Injury Biomechanics"/>
    <x v="5"/>
    <n v="42"/>
    <s v="Hours"/>
    <s v="Sport and Exercise Science"/>
    <s v="6101SPS_Hours"/>
    <s v="SES"/>
  </r>
  <r>
    <s v="Physical Education - AllModuleProformas.xlsx"/>
    <x v="11"/>
    <s v="Secondary PE Teacher Education"/>
    <x v="0"/>
    <n v="9"/>
    <s v="Hours"/>
    <s v="Sport and Exercise Science"/>
    <s v="6096SPS_Hours"/>
    <s v="SES"/>
  </r>
  <r>
    <s v="Physical Education - AllModuleProformas.xlsx"/>
    <x v="11"/>
    <s v="Secondary PE Teacher Education"/>
    <x v="1"/>
    <n v="3"/>
    <s v="Hours"/>
    <s v="Sport and Exercise Science"/>
    <s v="6096SPS_Hours"/>
    <s v="SES"/>
  </r>
  <r>
    <s v="Physical Education - AllModuleProformas.xlsx"/>
    <x v="11"/>
    <s v="Secondary PE Teacher Education"/>
    <x v="2"/>
    <n v="16"/>
    <s v="Hours"/>
    <s v="Sport and Exercise Science"/>
    <s v="6096SPS_Hours"/>
    <s v="SES"/>
  </r>
  <r>
    <s v="Physical Education - AllModuleProformas.xlsx"/>
    <x v="11"/>
    <s v="Secondary PE Teacher Education"/>
    <x v="3"/>
    <n v="6"/>
    <s v="Hours"/>
    <s v="Sport and Exercise Science"/>
    <s v="6096SPS_Hours"/>
    <s v="SES"/>
  </r>
  <r>
    <s v="Physical Education - AllModuleProformas.xlsx"/>
    <x v="11"/>
    <s v="Secondary PE Teacher Education"/>
    <x v="4"/>
    <n v="6"/>
    <s v="Hours"/>
    <s v="Sport and Exercise Science"/>
    <s v="6096SPS_Hours"/>
    <s v="SES"/>
  </r>
  <r>
    <s v="Physical Education - AllModuleProformas.xlsx"/>
    <x v="11"/>
    <s v="Secondary PE Teacher Education"/>
    <x v="5"/>
    <n v="40"/>
    <s v="Hours"/>
    <s v="Sport and Exercise Science"/>
    <s v="6096SPS_Hours"/>
    <s v="SES"/>
  </r>
  <r>
    <s v="Sport and Exercise Science - AllModuleProformas.xlsx"/>
    <x v="12"/>
    <s v="Physical activity and sedentary behaviour across the life course"/>
    <x v="0"/>
    <n v="20"/>
    <s v="Hours"/>
    <s v="Sport and Exercise Science"/>
    <s v="6102SPS_Hours"/>
    <s v="SES"/>
  </r>
  <r>
    <s v="Sport and Exercise Science - AllModuleProformas.xlsx"/>
    <x v="12"/>
    <s v="Physical activity and sedentary behaviour across the life course"/>
    <x v="1"/>
    <n v="16"/>
    <s v="Hours"/>
    <s v="Sport and Exercise Science"/>
    <s v="6102SPS_Hours"/>
    <s v="SES"/>
  </r>
  <r>
    <s v="Sport and Exercise Science - AllModuleProformas.xlsx"/>
    <x v="12"/>
    <s v="Physical activity and sedentary behaviour across the life course"/>
    <x v="2"/>
    <n v="4"/>
    <s v="Hours"/>
    <s v="Sport and Exercise Science"/>
    <s v="6102SPS_Hours"/>
    <s v="SES"/>
  </r>
  <r>
    <s v="Sport and Exercise Science - AllModuleProformas.xlsx"/>
    <x v="12"/>
    <s v="Physical activity and sedentary behaviour across the life course"/>
    <x v="3"/>
    <m/>
    <s v="Hours"/>
    <s v="Sport and Exercise Science"/>
    <s v="6102SPS_Hours"/>
    <s v="SES"/>
  </r>
  <r>
    <s v="Sport and Exercise Science - AllModuleProformas.xlsx"/>
    <x v="12"/>
    <s v="Physical activity and sedentary behaviour across the life course"/>
    <x v="4"/>
    <m/>
    <s v="Hours"/>
    <s v="Sport and Exercise Science"/>
    <s v="6102SPS_Hours"/>
    <s v="SES"/>
  </r>
  <r>
    <s v="Sport and Exercise Science - AllModuleProformas.xlsx"/>
    <x v="12"/>
    <s v="Physical activity and sedentary behaviour across the life course"/>
    <x v="5"/>
    <n v="40"/>
    <s v="Hours"/>
    <s v="Sport and Exercise Science"/>
    <s v="6102SPS_Hours"/>
    <s v="SES"/>
  </r>
  <r>
    <s v="Sport and Exercise Science - AllModuleProformas.xlsx"/>
    <x v="13"/>
    <s v="Exercise Metabolism"/>
    <x v="0"/>
    <m/>
    <s v="Hours"/>
    <s v="Sport and Exercise Science"/>
    <s v="6103SPS_Hours"/>
    <s v="SES"/>
  </r>
  <r>
    <s v="Sport and Exercise Science - AllModuleProformas.xlsx"/>
    <x v="13"/>
    <s v="Exercise Metabolism"/>
    <x v="1"/>
    <m/>
    <s v="Hours"/>
    <s v="Sport and Exercise Science"/>
    <s v="6103SPS_Hours"/>
    <s v="SES"/>
  </r>
  <r>
    <s v="Sport and Exercise Science - AllModuleProformas.xlsx"/>
    <x v="13"/>
    <s v="Exercise Metabolism"/>
    <x v="2"/>
    <m/>
    <s v="Hours"/>
    <s v="Sport and Exercise Science"/>
    <s v="6103SPS_Hours"/>
    <s v="SES"/>
  </r>
  <r>
    <s v="Sport and Exercise Science - AllModuleProformas.xlsx"/>
    <x v="13"/>
    <s v="Exercise Metabolism"/>
    <x v="3"/>
    <m/>
    <s v="Hours"/>
    <s v="Sport and Exercise Science"/>
    <s v="6103SPS_Hours"/>
    <s v="SES"/>
  </r>
  <r>
    <s v="Sport and Exercise Science - AllModuleProformas.xlsx"/>
    <x v="13"/>
    <s v="Exercise Metabolism"/>
    <x v="4"/>
    <m/>
    <s v="Hours"/>
    <s v="Sport and Exercise Science"/>
    <s v="6103SPS_Hours"/>
    <s v="SES"/>
  </r>
  <r>
    <s v="Sport and Exercise Science - AllModuleProformas.xlsx"/>
    <x v="13"/>
    <s v="Exercise Metabolism"/>
    <x v="5"/>
    <n v="0"/>
    <s v="Hours"/>
    <s v="Sport and Exercise Science"/>
    <s v="6103SPS_Hours"/>
    <s v="SES"/>
  </r>
  <r>
    <s v="Sport and Exercise Science - AllModuleProformas.xlsx"/>
    <x v="14"/>
    <s v="Cardiovascular Physiology"/>
    <x v="0"/>
    <n v="18"/>
    <s v="Hours"/>
    <s v="Sport and Exercise Science"/>
    <s v="6104SPS_Hours"/>
    <s v="SES"/>
  </r>
  <r>
    <s v="Sport and Exercise Science - AllModuleProformas.xlsx"/>
    <x v="14"/>
    <s v="Cardiovascular Physiology"/>
    <x v="1"/>
    <n v="4"/>
    <s v="Hours"/>
    <s v="Sport and Exercise Science"/>
    <s v="6104SPS_Hours"/>
    <s v="SES"/>
  </r>
  <r>
    <s v="Sport and Exercise Science - AllModuleProformas.xlsx"/>
    <x v="14"/>
    <s v="Cardiovascular Physiology"/>
    <x v="2"/>
    <n v="16"/>
    <s v="Hours"/>
    <s v="Sport and Exercise Science"/>
    <s v="6104SPS_Hours"/>
    <s v="SES"/>
  </r>
  <r>
    <s v="Sport and Exercise Science - AllModuleProformas.xlsx"/>
    <x v="14"/>
    <s v="Cardiovascular Physiology"/>
    <x v="3"/>
    <m/>
    <s v="Hours"/>
    <s v="Sport and Exercise Science"/>
    <s v="6104SPS_Hours"/>
    <s v="SES"/>
  </r>
  <r>
    <s v="Sport and Exercise Science - AllModuleProformas.xlsx"/>
    <x v="14"/>
    <s v="Cardiovascular Physiology"/>
    <x v="4"/>
    <m/>
    <s v="Hours"/>
    <s v="Sport and Exercise Science"/>
    <s v="6104SPS_Hours"/>
    <s v="SES"/>
  </r>
  <r>
    <s v="Sport and Exercise Science - AllModuleProformas.xlsx"/>
    <x v="14"/>
    <s v="Cardiovascular Physiology"/>
    <x v="5"/>
    <n v="38"/>
    <s v="Hours"/>
    <s v="Sport and Exercise Science"/>
    <s v="6104SPS_Hours"/>
    <s v="SES"/>
  </r>
  <r>
    <s v="Sport and Exercise Science - AllModuleProformas.xlsx"/>
    <x v="15"/>
    <s v="Clinical Biomechanics"/>
    <x v="0"/>
    <n v="18"/>
    <s v="Hours"/>
    <s v="Sport and Exercise Science"/>
    <s v="6105SPS_Hours"/>
    <s v="SES"/>
  </r>
  <r>
    <s v="Sport and Exercise Science - AllModuleProformas.xlsx"/>
    <x v="15"/>
    <s v="Clinical Biomechanics"/>
    <x v="1"/>
    <n v="4"/>
    <s v="Hours"/>
    <s v="Sport and Exercise Science"/>
    <s v="6105SPS_Hours"/>
    <s v="SES"/>
  </r>
  <r>
    <s v="Sport and Exercise Science - AllModuleProformas.xlsx"/>
    <x v="15"/>
    <s v="Clinical Biomechanics"/>
    <x v="2"/>
    <n v="8"/>
    <s v="Hours"/>
    <s v="Sport and Exercise Science"/>
    <s v="6105SPS_Hours"/>
    <s v="SES"/>
  </r>
  <r>
    <s v="Sport and Exercise Science - AllModuleProformas.xlsx"/>
    <x v="15"/>
    <s v="Clinical Biomechanics"/>
    <x v="3"/>
    <n v="4"/>
    <s v="Hours"/>
    <s v="Sport and Exercise Science"/>
    <s v="6105SPS_Hours"/>
    <s v="SES"/>
  </r>
  <r>
    <s v="Sport and Exercise Science - AllModuleProformas.xlsx"/>
    <x v="15"/>
    <s v="Clinical Biomechanics"/>
    <x v="4"/>
    <n v="4"/>
    <s v="Hours"/>
    <s v="Sport and Exercise Science"/>
    <s v="6105SPS_Hours"/>
    <s v="SES"/>
  </r>
  <r>
    <s v="Sport and Exercise Science - AllModuleProformas.xlsx"/>
    <x v="15"/>
    <s v="Clinical Biomechanics"/>
    <x v="5"/>
    <n v="38"/>
    <s v="Hours"/>
    <s v="Sport and Exercise Science"/>
    <s v="6105SPS_Hours"/>
    <s v="SES"/>
  </r>
  <r>
    <s v="Sport and Exercise Science - AllModuleProformas.xlsx"/>
    <x v="16"/>
    <s v="Module Title"/>
    <x v="0"/>
    <n v="22"/>
    <s v="Hours"/>
    <s v="Sport and Exercise Science"/>
    <s v="6106SPS_Hours"/>
    <s v="SES"/>
  </r>
  <r>
    <s v="Sport and Exercise Science - AllModuleProformas.xlsx"/>
    <x v="16"/>
    <s v="Module Title"/>
    <x v="1"/>
    <n v="16"/>
    <s v="Hours"/>
    <s v="Sport and Exercise Science"/>
    <s v="6106SPS_Hours"/>
    <s v="SES"/>
  </r>
  <r>
    <s v="Sport and Exercise Science - AllModuleProformas.xlsx"/>
    <x v="16"/>
    <s v="Module Title"/>
    <x v="2"/>
    <m/>
    <s v="Hours"/>
    <s v="Sport and Exercise Science"/>
    <s v="6106SPS_Hours"/>
    <s v="SES"/>
  </r>
  <r>
    <s v="Sport and Exercise Science - AllModuleProformas.xlsx"/>
    <x v="16"/>
    <s v="Module Title"/>
    <x v="3"/>
    <n v="8"/>
    <s v="Hours"/>
    <s v="Sport and Exercise Science"/>
    <s v="6106SPS_Hours"/>
    <s v="SES"/>
  </r>
  <r>
    <s v="Sport and Exercise Science - AllModuleProformas.xlsx"/>
    <x v="16"/>
    <s v="Module Title"/>
    <x v="4"/>
    <m/>
    <s v="Hours"/>
    <s v="Sport and Exercise Science"/>
    <s v="6106SPS_Hours"/>
    <s v="SES"/>
  </r>
  <r>
    <s v="Sport and Exercise Science - AllModuleProformas.xlsx"/>
    <x v="16"/>
    <s v="Module Title"/>
    <x v="5"/>
    <n v="46"/>
    <s v="Hours"/>
    <s v="Sport and Exercise Science"/>
    <s v="6106SPS_Hours"/>
    <s v="SES"/>
  </r>
  <r>
    <s v="Sport and Exercise Science - AllModuleProformas.xlsx"/>
    <x v="17"/>
    <s v="Environmental Physiology"/>
    <x v="0"/>
    <m/>
    <s v="Hours"/>
    <s v="Sport and Exercise Science"/>
    <s v="6107SPS_Hours"/>
    <s v="SES"/>
  </r>
  <r>
    <s v="Sport and Exercise Science - AllModuleProformas.xlsx"/>
    <x v="17"/>
    <s v="Environmental Physiology"/>
    <x v="1"/>
    <m/>
    <s v="Hours"/>
    <s v="Sport and Exercise Science"/>
    <s v="6107SPS_Hours"/>
    <s v="SES"/>
  </r>
  <r>
    <s v="Sport and Exercise Science - AllModuleProformas.xlsx"/>
    <x v="17"/>
    <s v="Environmental Physiology"/>
    <x v="2"/>
    <m/>
    <s v="Hours"/>
    <s v="Sport and Exercise Science"/>
    <s v="6107SPS_Hours"/>
    <s v="SES"/>
  </r>
  <r>
    <s v="Sport and Exercise Science - AllModuleProformas.xlsx"/>
    <x v="17"/>
    <s v="Environmental Physiology"/>
    <x v="3"/>
    <m/>
    <s v="Hours"/>
    <s v="Sport and Exercise Science"/>
    <s v="6107SPS_Hours"/>
    <s v="SES"/>
  </r>
  <r>
    <s v="Sport and Exercise Science - AllModuleProformas.xlsx"/>
    <x v="17"/>
    <s v="Environmental Physiology"/>
    <x v="4"/>
    <m/>
    <s v="Hours"/>
    <s v="Sport and Exercise Science"/>
    <s v="6107SPS_Hours"/>
    <s v="SES"/>
  </r>
  <r>
    <s v="Sport and Exercise Science - AllModuleProformas.xlsx"/>
    <x v="17"/>
    <s v="Environmental Physiology"/>
    <x v="5"/>
    <n v="0"/>
    <s v="Hours"/>
    <s v="Sport and Exercise Science"/>
    <s v="6107SPS_Hours"/>
    <s v="SES"/>
  </r>
  <r>
    <s v="Sport and Exercise Science - AllModuleProformas.xlsx"/>
    <x v="18"/>
    <s v="Health and Performance Nutrition"/>
    <x v="0"/>
    <n v="18"/>
    <s v="Hours"/>
    <s v="Sport and Exercise Science"/>
    <s v="6108SPS_Hours"/>
    <s v="SES"/>
  </r>
  <r>
    <s v="Sport and Exercise Science - AllModuleProformas.xlsx"/>
    <x v="18"/>
    <s v="Health and Performance Nutrition"/>
    <x v="1"/>
    <n v="14"/>
    <s v="Hours"/>
    <s v="Sport and Exercise Science"/>
    <s v="6108SPS_Hours"/>
    <s v="SES"/>
  </r>
  <r>
    <s v="Sport and Exercise Science - AllModuleProformas.xlsx"/>
    <x v="18"/>
    <s v="Health and Performance Nutrition"/>
    <x v="2"/>
    <n v="2"/>
    <s v="Hours"/>
    <s v="Sport and Exercise Science"/>
    <s v="6108SPS_Hours"/>
    <s v="SES"/>
  </r>
  <r>
    <s v="Sport and Exercise Science - AllModuleProformas.xlsx"/>
    <x v="18"/>
    <s v="Health and Performance Nutrition"/>
    <x v="3"/>
    <n v="2"/>
    <s v="Hours"/>
    <s v="Sport and Exercise Science"/>
    <s v="6108SPS_Hours"/>
    <s v="SES"/>
  </r>
  <r>
    <s v="Sport and Exercise Science - AllModuleProformas.xlsx"/>
    <x v="18"/>
    <s v="Health and Performance Nutrition"/>
    <x v="4"/>
    <m/>
    <s v="Hours"/>
    <s v="Sport and Exercise Science"/>
    <s v="6108SPS_Hours"/>
    <s v="SES"/>
  </r>
  <r>
    <s v="Sport and Exercise Science - AllModuleProformas.xlsx"/>
    <x v="18"/>
    <s v="Health and Performance Nutrition"/>
    <x v="5"/>
    <n v="36"/>
    <s v="Hours"/>
    <s v="Sport and Exercise Science"/>
    <s v="6108SPS_Hours"/>
    <s v="SES"/>
  </r>
  <r>
    <s v="Sport and Exercise Science - AllModuleProformas.xlsx"/>
    <x v="19"/>
    <s v="Applied Professional Practice"/>
    <x v="0"/>
    <n v="10"/>
    <s v="Hours"/>
    <s v="Sport and Exercise Science"/>
    <s v="6109SPS_Hours"/>
    <s v="SES"/>
  </r>
  <r>
    <s v="Sport and Exercise Science - AllModuleProformas.xlsx"/>
    <x v="19"/>
    <s v="Applied Professional Practice"/>
    <x v="1"/>
    <m/>
    <s v="Hours"/>
    <s v="Sport and Exercise Science"/>
    <s v="6109SPS_Hours"/>
    <s v="SES"/>
  </r>
  <r>
    <s v="Sport and Exercise Science - AllModuleProformas.xlsx"/>
    <x v="19"/>
    <s v="Applied Professional Practice"/>
    <x v="2"/>
    <n v="40"/>
    <s v="Hours"/>
    <s v="Sport and Exercise Science"/>
    <s v="6109SPS_Hours"/>
    <s v="SES"/>
  </r>
  <r>
    <s v="Sport and Exercise Science - AllModuleProformas.xlsx"/>
    <x v="19"/>
    <s v="Applied Professional Practice"/>
    <x v="3"/>
    <m/>
    <s v="Hours"/>
    <s v="Sport and Exercise Science"/>
    <s v="6109SPS_Hours"/>
    <s v="SES"/>
  </r>
  <r>
    <s v="Sport and Exercise Science - AllModuleProformas.xlsx"/>
    <x v="19"/>
    <s v="Applied Professional Practice"/>
    <x v="4"/>
    <m/>
    <s v="Hours"/>
    <s v="Sport and Exercise Science"/>
    <s v="6109SPS_Hours"/>
    <s v="SES"/>
  </r>
  <r>
    <s v="Sport and Exercise Science - AllModuleProformas.xlsx"/>
    <x v="19"/>
    <s v="Applied Professional Practice"/>
    <x v="5"/>
    <n v="50"/>
    <s v="Hours"/>
    <s v="Sport and Exercise Science"/>
    <s v="6109SPS_Hours"/>
    <s v="SES"/>
  </r>
  <r>
    <s v="Sport and Exercise Science - AllModuleProformas.xlsx"/>
    <x v="20"/>
    <s v="Major Project"/>
    <x v="0"/>
    <n v="10"/>
    <s v="Hours"/>
    <s v="Sport and Exercise Science"/>
    <s v="6091SPS_Hours"/>
    <s v="SES"/>
  </r>
  <r>
    <s v="Sport and Exercise Science - AllModuleProformas.xlsx"/>
    <x v="20"/>
    <s v="Major Project"/>
    <x v="1"/>
    <n v="26"/>
    <s v="Hours"/>
    <s v="Sport and Exercise Science"/>
    <s v="6091SPS_Hours"/>
    <s v="SES"/>
  </r>
  <r>
    <s v="Sport and Exercise Science - AllModuleProformas.xlsx"/>
    <x v="20"/>
    <s v="Major Project"/>
    <x v="2"/>
    <m/>
    <s v="Hours"/>
    <s v="Sport and Exercise Science"/>
    <s v="6091SPS_Hours"/>
    <s v="SES"/>
  </r>
  <r>
    <s v="Sport and Exercise Science - AllModuleProformas.xlsx"/>
    <x v="20"/>
    <s v="Major Project"/>
    <x v="3"/>
    <m/>
    <s v="Hours"/>
    <s v="Sport and Exercise Science"/>
    <s v="6091SPS_Hours"/>
    <s v="SES"/>
  </r>
  <r>
    <s v="Sport and Exercise Science - AllModuleProformas.xlsx"/>
    <x v="20"/>
    <s v="Major Project"/>
    <x v="4"/>
    <m/>
    <s v="Hours"/>
    <s v="Sport and Exercise Science"/>
    <s v="6091SPS_Hours"/>
    <s v="SES"/>
  </r>
  <r>
    <s v="Sport and Exercise Science - AllModuleProformas.xlsx"/>
    <x v="20"/>
    <s v="Major Project"/>
    <x v="5"/>
    <n v="36"/>
    <s v="Hours"/>
    <s v="Sport and Exercise Science"/>
    <s v="6091SPS_Hours"/>
    <s v="SES"/>
  </r>
  <r>
    <s v="Sport and Exercise Science - AllModuleProformas.xlsx"/>
    <x v="21"/>
    <s v="Strength and Conditioning"/>
    <x v="0"/>
    <n v="22"/>
    <s v="Hours"/>
    <s v="Sport and Exercise Science"/>
    <s v="6093SPS_Hours"/>
    <s v="SES"/>
  </r>
  <r>
    <s v="Sport and Exercise Science - AllModuleProformas.xlsx"/>
    <x v="21"/>
    <s v="Strength and Conditioning"/>
    <x v="1"/>
    <n v="6"/>
    <s v="Hours"/>
    <s v="Sport and Exercise Science"/>
    <s v="6093SPS_Hours"/>
    <s v="SES"/>
  </r>
  <r>
    <s v="Sport and Exercise Science - AllModuleProformas.xlsx"/>
    <x v="21"/>
    <s v="Strength and Conditioning"/>
    <x v="2"/>
    <n v="12"/>
    <s v="Hours"/>
    <s v="Sport and Exercise Science"/>
    <s v="6093SPS_Hours"/>
    <s v="SES"/>
  </r>
  <r>
    <s v="Sport and Exercise Science - AllModuleProformas.xlsx"/>
    <x v="21"/>
    <s v="Strength and Conditioning"/>
    <x v="3"/>
    <m/>
    <s v="Hours"/>
    <s v="Sport and Exercise Science"/>
    <s v="6093SPS_Hours"/>
    <s v="SES"/>
  </r>
  <r>
    <s v="Sport and Exercise Science - AllModuleProformas.xlsx"/>
    <x v="21"/>
    <s v="Strength and Conditioning"/>
    <x v="4"/>
    <m/>
    <s v="Hours"/>
    <s v="Sport and Exercise Science"/>
    <s v="6093SPS_Hours"/>
    <s v="SES"/>
  </r>
  <r>
    <s v="Sport and Exercise Science - AllModuleProformas.xlsx"/>
    <x v="21"/>
    <s v="Strength and Conditioning"/>
    <x v="5"/>
    <n v="40"/>
    <s v="Hours"/>
    <s v="Sport and Exercise Science"/>
    <s v="6093SPS_Hours"/>
    <s v="SES"/>
  </r>
  <r>
    <s v="Sport and Exercise Science - AllModuleProformas.xlsx"/>
    <x v="22"/>
    <s v="Behaviour Change"/>
    <x v="0"/>
    <m/>
    <s v="Hours"/>
    <s v="Sport and Exercise Science"/>
    <s v="6094SPS_Hours"/>
    <s v="SES"/>
  </r>
  <r>
    <s v="Sport and Exercise Science - AllModuleProformas.xlsx"/>
    <x v="22"/>
    <s v="Behaviour Change"/>
    <x v="1"/>
    <n v="6"/>
    <s v="Hours"/>
    <s v="Sport and Exercise Science"/>
    <s v="6094SPS_Hours"/>
    <s v="SES"/>
  </r>
  <r>
    <s v="Sport and Exercise Science - AllModuleProformas.xlsx"/>
    <x v="22"/>
    <s v="Behaviour Change"/>
    <x v="2"/>
    <m/>
    <s v="Hours"/>
    <s v="Sport and Exercise Science"/>
    <s v="6094SPS_Hours"/>
    <s v="SES"/>
  </r>
  <r>
    <s v="Sport and Exercise Science - AllModuleProformas.xlsx"/>
    <x v="22"/>
    <s v="Behaviour Change"/>
    <x v="3"/>
    <n v="27"/>
    <s v="Hours"/>
    <s v="Sport and Exercise Science"/>
    <s v="6094SPS_Hours"/>
    <s v="SES"/>
  </r>
  <r>
    <s v="Sport and Exercise Science - AllModuleProformas.xlsx"/>
    <x v="22"/>
    <s v="Behaviour Change"/>
    <x v="4"/>
    <n v="4"/>
    <s v="Hours"/>
    <s v="Sport and Exercise Science"/>
    <s v="6094SPS_Hours"/>
    <s v="SES"/>
  </r>
  <r>
    <s v="Sport and Exercise Science - AllModuleProformas.xlsx"/>
    <x v="22"/>
    <s v="Behaviour Change"/>
    <x v="5"/>
    <n v="37"/>
    <s v="Hours"/>
    <s v="Sport and Exercise Science"/>
    <s v="6094SPS_Hours"/>
    <s v="SES"/>
  </r>
  <r>
    <s v="Sport and Exercise Science - AllModuleProformas.xlsx"/>
    <x v="23"/>
    <s v="Performance Analysis in Sport"/>
    <x v="0"/>
    <n v="22"/>
    <s v="Hours"/>
    <s v="Sport and Exercise Science"/>
    <s v="6095SPS_Hours"/>
    <s v="SES"/>
  </r>
  <r>
    <s v="Sport and Exercise Science - AllModuleProformas.xlsx"/>
    <x v="23"/>
    <s v="Performance Analysis in Sport"/>
    <x v="1"/>
    <m/>
    <s v="Hours"/>
    <s v="Sport and Exercise Science"/>
    <s v="6095SPS_Hours"/>
    <s v="SES"/>
  </r>
  <r>
    <s v="Sport and Exercise Science - AllModuleProformas.xlsx"/>
    <x v="23"/>
    <s v="Performance Analysis in Sport"/>
    <x v="2"/>
    <n v="16"/>
    <s v="Hours"/>
    <s v="Sport and Exercise Science"/>
    <s v="6095SPS_Hours"/>
    <s v="SES"/>
  </r>
  <r>
    <s v="Sport and Exercise Science - AllModuleProformas.xlsx"/>
    <x v="23"/>
    <s v="Performance Analysis in Sport"/>
    <x v="3"/>
    <n v="6"/>
    <s v="Hours"/>
    <s v="Sport and Exercise Science"/>
    <s v="6095SPS_Hours"/>
    <s v="SES"/>
  </r>
  <r>
    <s v="Sport and Exercise Science - AllModuleProformas.xlsx"/>
    <x v="23"/>
    <s v="Performance Analysis in Sport"/>
    <x v="4"/>
    <m/>
    <s v="Hours"/>
    <s v="Sport and Exercise Science"/>
    <s v="6095SPS_Hours"/>
    <s v="SES"/>
  </r>
  <r>
    <s v="Sport and Exercise Science - AllModuleProformas.xlsx"/>
    <x v="23"/>
    <s v="Performance Analysis in Sport"/>
    <x v="5"/>
    <n v="44"/>
    <s v="Hours"/>
    <s v="Sport and Exercise Science"/>
    <s v="6095SPS_Hours"/>
    <s v="SES"/>
  </r>
  <r>
    <s v="Sport Coaching - AllModuleProformas.xlsx"/>
    <x v="24"/>
    <s v="Working in High Performance Sport"/>
    <x v="0"/>
    <m/>
    <s v="Hours"/>
    <s v="Sport and Exercise Science"/>
    <s v="6097SPS_Hours"/>
    <s v="SES"/>
  </r>
  <r>
    <s v="Sport Coaching - AllModuleProformas.xlsx"/>
    <x v="24"/>
    <s v="Working in High Performance Sport"/>
    <x v="1"/>
    <m/>
    <s v="Hours"/>
    <s v="Sport and Exercise Science"/>
    <s v="6097SPS_Hours"/>
    <s v="SES"/>
  </r>
  <r>
    <s v="Sport Coaching - AllModuleProformas.xlsx"/>
    <x v="24"/>
    <s v="Working in High Performance Sport"/>
    <x v="2"/>
    <m/>
    <s v="Hours"/>
    <s v="Sport and Exercise Science"/>
    <s v="6097SPS_Hours"/>
    <s v="SES"/>
  </r>
  <r>
    <s v="Sport Coaching - AllModuleProformas.xlsx"/>
    <x v="24"/>
    <s v="Working in High Performance Sport"/>
    <x v="3"/>
    <m/>
    <s v="Hours"/>
    <s v="Sport and Exercise Science"/>
    <s v="6097SPS_Hours"/>
    <s v="SES"/>
  </r>
  <r>
    <s v="Sport Coaching - AllModuleProformas.xlsx"/>
    <x v="24"/>
    <s v="Working in High Performance Sport"/>
    <x v="4"/>
    <m/>
    <s v="Hours"/>
    <s v="Sport and Exercise Science"/>
    <s v="6097SPS_Hours"/>
    <s v="SES"/>
  </r>
  <r>
    <s v="Sport Coaching - AllModuleProformas.xlsx"/>
    <x v="24"/>
    <s v="Working in High Performance Sport"/>
    <x v="5"/>
    <n v="0"/>
    <s v="Hours"/>
    <s v="Sport and Exercise Science"/>
    <s v="6097SPS_Hours"/>
    <s v="SES"/>
  </r>
  <r>
    <s v="Sport Psychology - AllModuleProformas.xlsx"/>
    <x v="25"/>
    <s v="Psychosocial Principles of Sport and Exercise"/>
    <x v="0"/>
    <n v="22"/>
    <s v="Hours"/>
    <s v="Sport and Exercise Science"/>
    <s v="4093SPS_Hours"/>
    <s v="SES"/>
  </r>
  <r>
    <s v="Sport Psychology - AllModuleProformas.xlsx"/>
    <x v="25"/>
    <s v="Psychosocial Principles of Sport and Exercise"/>
    <x v="1"/>
    <m/>
    <s v="Hours"/>
    <s v="Sport and Exercise Science"/>
    <s v="4093SPS_Hours"/>
    <s v="SES"/>
  </r>
  <r>
    <s v="Sport Psychology - AllModuleProformas.xlsx"/>
    <x v="25"/>
    <s v="Psychosocial Principles of Sport and Exercise"/>
    <x v="2"/>
    <m/>
    <s v="Hours"/>
    <s v="Sport and Exercise Science"/>
    <s v="4093SPS_Hours"/>
    <s v="SES"/>
  </r>
  <r>
    <s v="Sport Psychology - AllModuleProformas.xlsx"/>
    <x v="25"/>
    <s v="Psychosocial Principles of Sport and Exercise"/>
    <x v="3"/>
    <m/>
    <s v="Hours"/>
    <s v="Sport and Exercise Science"/>
    <s v="4093SPS_Hours"/>
    <s v="SES"/>
  </r>
  <r>
    <s v="Sport Psychology - AllModuleProformas.xlsx"/>
    <x v="25"/>
    <s v="Psychosocial Principles of Sport and Exercise"/>
    <x v="4"/>
    <n v="22"/>
    <s v="Hours"/>
    <s v="Sport and Exercise Science"/>
    <s v="4093SPS_Hours"/>
    <s v="SES"/>
  </r>
  <r>
    <s v="Sport Psychology - AllModuleProformas.xlsx"/>
    <x v="25"/>
    <s v="Psychosocial Principles of Sport and Exercise"/>
    <x v="5"/>
    <n v="44"/>
    <s v="Hours"/>
    <s v="Sport and Exercise Science"/>
    <s v="4093SPS_Hours"/>
    <s v="SES"/>
  </r>
  <r>
    <s v="Sport Psychology - AllModuleProformas.xlsx"/>
    <x v="26"/>
    <s v="Sport amd Performance Psychology"/>
    <x v="0"/>
    <n v="38"/>
    <s v="Hours"/>
    <s v="Sport and Exercise Science"/>
    <s v="5093SPS_Hours"/>
    <s v="SES"/>
  </r>
  <r>
    <s v="Sport Psychology - AllModuleProformas.xlsx"/>
    <x v="26"/>
    <s v="Sport amd Performance Psychology"/>
    <x v="1"/>
    <n v="6"/>
    <s v="Hours"/>
    <s v="Sport and Exercise Science"/>
    <s v="5093SPS_Hours"/>
    <s v="SES"/>
  </r>
  <r>
    <s v="Sport Psychology - AllModuleProformas.xlsx"/>
    <x v="26"/>
    <s v="Sport amd Performance Psychology"/>
    <x v="2"/>
    <n v="0"/>
    <s v="Hours"/>
    <s v="Sport and Exercise Science"/>
    <s v="5093SPS_Hours"/>
    <s v="SES"/>
  </r>
  <r>
    <s v="Sport Psychology - AllModuleProformas.xlsx"/>
    <x v="26"/>
    <s v="Sport amd Performance Psychology"/>
    <x v="3"/>
    <n v="0"/>
    <s v="Hours"/>
    <s v="Sport and Exercise Science"/>
    <s v="5093SPS_Hours"/>
    <s v="SES"/>
  </r>
  <r>
    <s v="Sport Psychology - AllModuleProformas.xlsx"/>
    <x v="26"/>
    <s v="Sport amd Performance Psychology"/>
    <x v="4"/>
    <n v="0"/>
    <s v="Hours"/>
    <s v="Sport and Exercise Science"/>
    <s v="5093SPS_Hours"/>
    <s v="SES"/>
  </r>
  <r>
    <s v="Sport Psychology - AllModuleProformas.xlsx"/>
    <x v="26"/>
    <s v="Sport amd Performance Psychology"/>
    <x v="5"/>
    <n v="44"/>
    <s v="Hours"/>
    <s v="Sport and Exercise Science"/>
    <s v="5093SPS_Hours"/>
    <s v="SES"/>
  </r>
  <r>
    <s v="Sport Psychology - AllModuleProformas.xlsx"/>
    <x v="27"/>
    <s v="Applied Motor Behaviour"/>
    <x v="0"/>
    <n v="22"/>
    <s v="Hours"/>
    <s v="Sport and Exercise Science"/>
    <s v="6052SPS_Hours"/>
    <s v="SES"/>
  </r>
  <r>
    <s v="Sport Psychology - AllModuleProformas.xlsx"/>
    <x v="27"/>
    <s v="Applied Motor Behaviour"/>
    <x v="1"/>
    <m/>
    <s v="Hours"/>
    <s v="Sport and Exercise Science"/>
    <s v="6052SPS_Hours"/>
    <s v="SES"/>
  </r>
  <r>
    <s v="Sport Psychology - AllModuleProformas.xlsx"/>
    <x v="27"/>
    <s v="Applied Motor Behaviour"/>
    <x v="2"/>
    <n v="8"/>
    <s v="Hours"/>
    <s v="Sport and Exercise Science"/>
    <s v="6052SPS_Hours"/>
    <s v="SES"/>
  </r>
  <r>
    <s v="Sport Psychology - AllModuleProformas.xlsx"/>
    <x v="27"/>
    <s v="Applied Motor Behaviour"/>
    <x v="3"/>
    <n v="14"/>
    <s v="Hours"/>
    <s v="Sport and Exercise Science"/>
    <s v="6052SPS_Hours"/>
    <s v="SES"/>
  </r>
  <r>
    <s v="Sport Psychology - AllModuleProformas.xlsx"/>
    <x v="27"/>
    <s v="Applied Motor Behaviour"/>
    <x v="4"/>
    <m/>
    <s v="Hours"/>
    <s v="Sport and Exercise Science"/>
    <s v="6052SPS_Hours"/>
    <s v="SES"/>
  </r>
  <r>
    <s v="Sport Psychology - AllModuleProformas.xlsx"/>
    <x v="27"/>
    <s v="Applied Motor Behaviour"/>
    <x v="5"/>
    <n v="44"/>
    <s v="Hours"/>
    <s v="Sport and Exercise Science"/>
    <s v="6052SPS_Hours"/>
    <s v="S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35F69C-A493-8E47-8F06-DECA81DB26BC}"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R33" firstHeaderRow="1" firstDataRow="2" firstDataCol="1"/>
  <pivotFields count="9">
    <pivotField showAll="0"/>
    <pivotField axis="axisRow" showAll="0">
      <items count="29">
        <item x="2"/>
        <item x="3"/>
        <item x="25"/>
        <item x="4"/>
        <item x="0"/>
        <item x="1"/>
        <item x="5"/>
        <item x="6"/>
        <item x="26"/>
        <item x="7"/>
        <item x="8"/>
        <item x="9"/>
        <item x="27"/>
        <item x="20"/>
        <item x="21"/>
        <item x="22"/>
        <item x="23"/>
        <item x="11"/>
        <item x="24"/>
        <item x="10"/>
        <item x="12"/>
        <item x="13"/>
        <item x="14"/>
        <item x="15"/>
        <item x="16"/>
        <item x="17"/>
        <item x="18"/>
        <item x="19"/>
        <item t="default"/>
      </items>
    </pivotField>
    <pivotField showAll="0"/>
    <pivotField axis="axisCol" showAll="0">
      <items count="7">
        <item x="0"/>
        <item x="4"/>
        <item x="2"/>
        <item x="1"/>
        <item x="5"/>
        <item x="3"/>
        <item t="default"/>
      </items>
    </pivotField>
    <pivotField dataField="1" showAll="0"/>
    <pivotField showAll="0"/>
    <pivotField showAll="0"/>
    <pivotField showAll="0"/>
    <pivotField showAll="0"/>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3"/>
  </colFields>
  <colItems count="7">
    <i>
      <x/>
    </i>
    <i>
      <x v="1"/>
    </i>
    <i>
      <x v="2"/>
    </i>
    <i>
      <x v="3"/>
    </i>
    <i>
      <x v="4"/>
    </i>
    <i>
      <x v="5"/>
    </i>
    <i t="grand">
      <x/>
    </i>
  </colItems>
  <dataFields count="1">
    <dataField name="Sum of Contact Hour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58A7598-651F-684E-8C2C-7D48C009BD24}"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8:C42" firstHeaderRow="0" firstDataRow="1" firstDataCol="1"/>
  <pivotFields count="13">
    <pivotField showAll="0"/>
    <pivotField axis="axisRow" showAll="0">
      <items count="25">
        <item x="2"/>
        <item h="1" x="21"/>
        <item h="1" x="3"/>
        <item h="1" x="0"/>
        <item h="1" x="1"/>
        <item h="1" x="4"/>
        <item h="1" x="5"/>
        <item h="1" x="22"/>
        <item h="1" x="6"/>
        <item h="1" x="8"/>
        <item h="1" x="23"/>
        <item h="1" x="16"/>
        <item h="1" x="17"/>
        <item h="1" x="18"/>
        <item h="1" x="19"/>
        <item h="1" x="7"/>
        <item h="1" x="20"/>
        <item h="1" x="9"/>
        <item h="1" x="10"/>
        <item h="1" x="11"/>
        <item h="1" x="12"/>
        <item h="1" x="13"/>
        <item h="1" x="14"/>
        <item h="1" x="15"/>
        <item t="default"/>
      </items>
    </pivotField>
    <pivotField showAll="0"/>
    <pivotField dataField="1" showAll="0"/>
    <pivotField axis="axisRow" showAll="0">
      <items count="7">
        <item x="4"/>
        <item x="2"/>
        <item x="1"/>
        <item x="5"/>
        <item x="0"/>
        <item x="3"/>
        <item t="default"/>
      </items>
    </pivotField>
    <pivotField showAll="0"/>
    <pivotField dataField="1" showAll="0"/>
    <pivotField showAll="0"/>
    <pivotField showAll="0"/>
    <pivotField showAll="0"/>
    <pivotField showAll="0"/>
    <pivotField showAll="0"/>
    <pivotField showAll="0"/>
  </pivotFields>
  <rowFields count="2">
    <field x="1"/>
    <field x="4"/>
  </rowFields>
  <rowItems count="4">
    <i>
      <x/>
    </i>
    <i r="1">
      <x v="1"/>
    </i>
    <i r="1">
      <x v="2"/>
    </i>
    <i t="grand">
      <x/>
    </i>
  </rowItems>
  <colFields count="1">
    <field x="-2"/>
  </colFields>
  <colItems count="2">
    <i>
      <x/>
    </i>
    <i i="1">
      <x v="1"/>
    </i>
  </colItems>
  <dataFields count="2">
    <dataField name="Count of Assessment No" fld="3" subtotal="count" baseField="0" baseItem="0"/>
    <dataField name="Count of Assessment Description"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7" connectionId="14" xr16:uid="{1D0DFEF6-C54A-4438-9168-708B2C1B3FB3}" autoFormatId="16" applyNumberFormats="0" applyBorderFormats="0" applyFontFormats="0" applyPatternFormats="0" applyAlignmentFormats="0" applyWidthHeightFormats="0">
  <queryTableRefresh nextId="13">
    <queryTableFields count="12">
      <queryTableField id="1" name="SourceWorkbook" tableColumnId="1"/>
      <queryTableField id="2" name="ModuleCode" tableColumnId="2"/>
      <queryTableField id="3" name="ModuleTitle" tableColumnId="3"/>
      <queryTableField id="4" name="Programme" tableColumnId="4"/>
      <queryTableField id="5" name="TableName" tableColumnId="5"/>
      <queryTableField id="6" name="ProgCode" tableColumnId="6"/>
      <queryTableField id="7" name="Lecture" tableColumnId="7"/>
      <queryTableField id="8" name="Seminar" tableColumnId="8"/>
      <queryTableField id="9" name="Practical" tableColumnId="9"/>
      <queryTableField id="10" name="Workshop" tableColumnId="10"/>
      <queryTableField id="11" name="Online" tableColumnId="11"/>
      <queryTableField id="12" name="Total"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9" connectionId="20" xr16:uid="{5A8F4048-6E8F-4AB4-900B-1268A45FB177}"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8" connectionId="19" xr16:uid="{4CF3F2C3-1EE5-402F-9AAB-A39D3C19F063}"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18" xr16:uid="{FA3807B1-35D8-4219-B2E7-881433E67C10}" autoFormatId="16" applyNumberFormats="0" applyBorderFormats="0" applyFontFormats="0" applyPatternFormats="0" applyAlignmentFormats="0" applyWidthHeightFormats="0">
  <queryTableRefresh nextId="15">
    <queryTableFields count="14">
      <queryTableField id="1" name="SourceWorkbook" tableColumnId="1"/>
      <queryTableField id="2" name="ModuleCode" tableColumnId="2"/>
      <queryTableField id="3" name="ModuleTitle" tableColumnId="3"/>
      <queryTableField id="4" name="Module Title" tableColumnId="4"/>
      <queryTableField id="5" name="Credits" tableColumnId="5"/>
      <queryTableField id="6" name="Semester" tableColumnId="6"/>
      <queryTableField id="7" name="Level" tableColumnId="7"/>
      <queryTableField id="8" name="Module Leader" tableColumnId="8"/>
      <queryTableField id="9" name="Module Type" tableColumnId="9"/>
      <queryTableField id="10" name="Programme(s)" tableColumnId="10"/>
      <queryTableField id="11" name="TableName" tableColumnId="11"/>
      <queryTableField id="12" name="ItemSuffix" tableColumnId="12"/>
      <queryTableField id="13" name="Programme" tableColumnId="13"/>
      <queryTableField id="14" name="ProgCode" tableColumnId="1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6" xr16:uid="{EE3325D3-30AC-4143-A0C6-85A6DF70D050}"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3" xr16:uid="{4FC2C8A4-B774-4847-ACE0-CC1733D1FEC0}" autoFormatId="16" applyNumberFormats="0" applyBorderFormats="0" applyFontFormats="0" applyPatternFormats="0" applyAlignmentFormats="0" applyWidthHeightFormats="0">
  <queryTableRefresh nextId="10">
    <queryTableFields count="9">
      <queryTableField id="1" name="SourceWorkbook" tableColumnId="1"/>
      <queryTableField id="2" name="ModuleCode" tableColumnId="2"/>
      <queryTableField id="3" name="ModuleTitle" tableColumnId="3"/>
      <queryTableField id="4" name="Component" tableColumnId="4"/>
      <queryTableField id="5" name="Contact Hours" tableColumnId="5"/>
      <queryTableField id="6" name="ItemSuffix" tableColumnId="6"/>
      <queryTableField id="7" name="Programme" tableColumnId="7"/>
      <queryTableField id="8" name="TableName" tableColumnId="8"/>
      <queryTableField id="9" name="ProgCod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2" xr16:uid="{8ACE5520-D1EC-4E37-9794-78FDBD058F98}" autoFormatId="16" applyNumberFormats="0" applyBorderFormats="0" applyFontFormats="0" applyPatternFormats="0" applyAlignmentFormats="0" applyWidthHeightFormats="0">
  <queryTableRefresh nextId="14">
    <queryTableFields count="13">
      <queryTableField id="1" name="SourceWorkbook" tableColumnId="1"/>
      <queryTableField id="2" name="ModuleCode" tableColumnId="2"/>
      <queryTableField id="3" name="ModuleTitle" tableColumnId="3"/>
      <queryTableField id="4" name="Assessment No" tableColumnId="4"/>
      <queryTableField id="5" name="Assessment Type" tableColumnId="5"/>
      <queryTableField id="6" name="Assessment Specific" tableColumnId="6"/>
      <queryTableField id="7" name="Assessment Description" tableColumnId="7"/>
      <queryTableField id="8" name="Weighting" tableColumnId="8"/>
      <queryTableField id="9" name="Due Week" tableColumnId="9"/>
      <queryTableField id="10" name="TableName" tableColumnId="10"/>
      <queryTableField id="11" name="ItemSuffix" tableColumnId="11"/>
      <queryTableField id="12" name="Programme" tableColumnId="12"/>
      <queryTableField id="13" name="ProgCod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5" xr16:uid="{B04525B2-0492-4569-84EF-1415FCE5CB80}" autoFormatId="16" applyNumberFormats="0" applyBorderFormats="0" applyFontFormats="0" applyPatternFormats="0" applyAlignmentFormats="0" applyWidthHeightFormats="0">
  <queryTableRefresh nextId="10">
    <queryTableFields count="9">
      <queryTableField id="1" name="SourceWorkbook" tableColumnId="1"/>
      <queryTableField id="2" name="Programme" tableColumnId="2"/>
      <queryTableField id="3" name="ModuleCode" tableColumnId="3"/>
      <queryTableField id="4" name="ModuleTitle" tableColumnId="4"/>
      <queryTableField id="5" name="LO Number" tableColumnId="5"/>
      <queryTableField id="6" name="LO Description" tableColumnId="6"/>
      <queryTableField id="7" name="TableName" tableColumnId="7"/>
      <queryTableField id="8" name="ItemSuffix" tableColumnId="8"/>
      <queryTableField id="9" name="ProgCod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7" xr16:uid="{D889CFCD-FBDC-4F58-A1D1-455B5F8797A6}"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25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5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26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26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26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26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26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27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27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Module_Meta" displayName="Module_Meta" ref="C6:D14" totalsRowShown="0">
  <autoFilter ref="C6:D14" xr:uid="{CD75D2A7-14B1-4ABD-B64D-6E875F9BC652}">
    <filterColumn colId="0" hiddenButton="1"/>
    <filterColumn colId="1" hiddenButton="1"/>
  </autoFilter>
  <tableColumns count="2">
    <tableColumn id="1" xr3:uid="{ACF32678-77E3-4DB8-8FD6-8F313C0082A9}" name="Module Data" dataDxfId="866"/>
    <tableColumn id="2" xr3:uid="{DD1FE0F1-BC22-47E6-B097-D50D8388821E}" name="Details" dataDxfId="865"/>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Module_LO" displayName="Module_LO" ref="C28:D33" totalsRowShown="0" headerRowDxfId="864">
  <autoFilter ref="C28:D33" xr:uid="{22316987-6BEB-4FAF-9619-BF9BE9909CFA}">
    <filterColumn colId="0" hiddenButton="1"/>
    <filterColumn colId="1" hiddenButton="1"/>
  </autoFilter>
  <tableColumns count="2">
    <tableColumn id="1" xr3:uid="{6CB2DC80-959E-4050-BA4D-48CD62403E05}" name="LO Number" dataDxfId="863"/>
    <tableColumn id="2" xr3:uid="{85688B06-9831-461B-B933-1E407D860BB8}" name="LO Description" dataDxfId="86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Module_Assess" displayName="Module_Assess" ref="C37:H41" totalsRowShown="0" headerRowDxfId="86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860"/>
    <tableColumn id="2" xr3:uid="{F4594AC5-B575-460A-8B6B-2EF3FCBAB24A}" name="Assessment Type" dataDxfId="859"/>
    <tableColumn id="7" xr3:uid="{AAABE4DC-4613-4F22-97E3-44DC05E3C8C2}" name="Assessment Specific" dataDxfId="858"/>
    <tableColumn id="3" xr3:uid="{C3DF3668-A1BF-4CA9-A035-72DE23145404}" name="Assessment Description" dataDxfId="857"/>
    <tableColumn id="4" xr3:uid="{3D9A7936-2757-4200-8A20-0CA5D42BA49F}" name="Weighting" dataDxfId="856"/>
    <tableColumn id="5" xr3:uid="{8EF3572C-5F74-4584-B936-B47EF6784AC5}" name="Due Week" dataDxfId="85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Module_Weekly" displayName="Modul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854"/>
    <tableColumn id="2" xr3:uid="{FBC07EB1-2635-4DBE-A175-763442B26942}" name="Week Number" dataDxfId="853"/>
    <tableColumn id="3" xr3:uid="{D5767446-3CE7-477F-86AC-430EDC126EA2}" name="Weekly Content 1" dataDxfId="852"/>
    <tableColumn id="4" xr3:uid="{9EAF880D-82C8-4C10-BC2E-5F1E7B2ED0C1}" name="Weekly Content 2" dataDxfId="851"/>
    <tableColumn id="5" xr3:uid="{322143D7-C33E-4E77-9B9F-4AFE42EC2AA6}" name="Weekly Content 3" dataDxfId="850"/>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Module_Hours" displayName="Module_Hours" ref="C18:D24" totalsRowShown="0">
  <autoFilter ref="C18:D24" xr:uid="{B71A3569-AA65-4A4E-98A2-885F5C38B46D}">
    <filterColumn colId="0" hiddenButton="1"/>
    <filterColumn colId="1" hiddenButton="1"/>
  </autoFilter>
  <tableColumns count="2">
    <tableColumn id="1" xr3:uid="{CF6425D2-EB8D-46CC-B2D7-B49E8963FCEB}" name="Component" dataDxfId="849"/>
    <tableColumn id="2" xr3:uid="{BD9901A8-2A59-4CEC-ADF1-EDBA06D8EC9A}" name="Contact Hours" dataDxfId="84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Module_Mapping" displayName="Module_Mapping" ref="C45:F66" totalsRowShown="0" headerRowDxfId="847" dataDxfId="846">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845"/>
    <tableColumn id="2" xr3:uid="{7A675E84-DDDC-4998-99E6-205908A58F57}" name="LO Number" dataDxfId="844"/>
    <tableColumn id="3" xr3:uid="{66CA6E22-8945-41E1-BB50-73156CC69517}" name="Graduate Skills Category" dataDxfId="843"/>
    <tableColumn id="4" xr3:uid="{325393C6-2FBF-4ABB-8CB2-DF104C6AB43E}" name="Graduate Skill" dataDxfId="842"/>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Module_Aims" displayName="Module_Aims" ref="F6:F8" totalsRowShown="0" dataDxfId="841">
  <autoFilter ref="F6:F8" xr:uid="{9552138F-2332-4BC4-A585-0E13162881A5}"/>
  <tableColumns count="1">
    <tableColumn id="1" xr3:uid="{67F975D0-E9AC-4452-A379-A1359EC2808C}" name="Aims" dataDxfId="840"/>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Module_Syllabus" displayName="Module_Syllabus" ref="F10:F13" totalsRowShown="0" dataDxfId="839">
  <autoFilter ref="F10:F13" xr:uid="{94F18F67-3F10-4F6E-A953-4FE3399B07F2}"/>
  <tableColumns count="1">
    <tableColumn id="1" xr3:uid="{BFF28868-E7E3-4275-B13E-588F6503F19C}" name="Outline Syllabus" dataDxfId="838"/>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Module_Overview" displayName="Module_Overview" ref="F15:F20" totalsRowShown="0" dataDxfId="837">
  <autoFilter ref="F15:F20" xr:uid="{1B2BCD7B-6C15-4B1C-86BC-48FF83D8F225}"/>
  <tableColumns count="1">
    <tableColumn id="1" xr3:uid="{AD6B21BA-8875-45A9-8932-F4F0FB08A980}" name="Module Overview" dataDxfId="836"/>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Module_Notes" displayName="Module_Notes" ref="F22:F33" totalsRowShown="0" dataDxfId="835">
  <autoFilter ref="F22:F33" xr:uid="{D5968C0A-6D7E-4221-87EE-78A85A4039B3}"/>
  <tableColumns count="1">
    <tableColumn id="1" xr3:uid="{91D0B8DA-30D1-4338-88D9-5A2355C1DF22}" name="Additional Information/Notes" dataDxfId="834"/>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4101SPS_Meta" displayName="_4101SPS_Meta" ref="C6:D14" totalsRowShown="0">
  <autoFilter ref="C6:D14" xr:uid="{CD75D2A7-14B1-4ABD-B64D-6E875F9BC652}">
    <filterColumn colId="0" hiddenButton="1"/>
    <filterColumn colId="1" hiddenButton="1"/>
  </autoFilter>
  <tableColumns count="2">
    <tableColumn id="1" xr3:uid="{DC5E8FB2-F1EF-4C76-ADAD-8DF1D4236058}" name="Module Data" dataDxfId="833"/>
    <tableColumn id="2" xr3:uid="{3CEC4644-C90E-484A-BB04-BC7E2522484B}" name="Details" dataDxfId="832"/>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4101SPS_LO" displayName="_4101SPS_LO" ref="C28:D33" totalsRowShown="0" headerRowDxfId="831">
  <autoFilter ref="C28:D33" xr:uid="{22316987-6BEB-4FAF-9619-BF9BE9909CFA}">
    <filterColumn colId="0" hiddenButton="1"/>
    <filterColumn colId="1" hiddenButton="1"/>
  </autoFilter>
  <tableColumns count="2">
    <tableColumn id="1" xr3:uid="{96E1C0A4-F310-4104-877A-16C95A9DF8F8}" name="LO Number" dataDxfId="830"/>
    <tableColumn id="2" xr3:uid="{5193B932-1BB4-4665-BB60-1094CB27D2FB}" name="LO Description" dataDxfId="82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4101SPS_Assess" displayName="_4101SPS_Assess" ref="C37:H41" totalsRowShown="0" headerRowDxfId="82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827"/>
    <tableColumn id="2" xr3:uid="{F6CC8F23-24C9-49E1-A7E1-F0C42C5E4062}" name="Assessment Type" dataDxfId="826"/>
    <tableColumn id="7" xr3:uid="{23445359-B102-481A-9626-644EC1147971}" name="Assessment Specific" dataDxfId="825"/>
    <tableColumn id="3" xr3:uid="{09F68760-DB1D-47DA-9C3B-991E85819122}" name="Assessment Description" dataDxfId="824"/>
    <tableColumn id="4" xr3:uid="{9C4EFAF0-0549-4906-AB40-C8046612A4D0}" name="Weighting" dataDxfId="823"/>
    <tableColumn id="5" xr3:uid="{6867F2EF-8B96-4C7F-A3F0-4AD115D6B611}" name="Due Week" dataDxfId="822"/>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4101SPS_Weekly" displayName="_41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821"/>
    <tableColumn id="2" xr3:uid="{3DC0D0B8-ED93-4FAA-ACD1-6A257B8D7D8B}" name="Week Number" dataDxfId="820"/>
    <tableColumn id="3" xr3:uid="{396A1CD9-0EA8-4576-AC19-41A37C40C78C}" name="Weekly Content 1" dataDxfId="819"/>
    <tableColumn id="4" xr3:uid="{27E6FFD2-4BB2-4380-B643-929F8059E10C}" name="Weekly Content 2" dataDxfId="818"/>
    <tableColumn id="5" xr3:uid="{5D410880-EC3B-476E-B727-61773B3F1720}" name="Weekly Content 3" dataDxfId="817"/>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4101SPS_Hours" displayName="_4101SPS_Hours" ref="C18:D24" totalsRowShown="0">
  <autoFilter ref="C18:D24" xr:uid="{B71A3569-AA65-4A4E-98A2-885F5C38B46D}">
    <filterColumn colId="0" hiddenButton="1"/>
    <filterColumn colId="1" hiddenButton="1"/>
  </autoFilter>
  <tableColumns count="2">
    <tableColumn id="1" xr3:uid="{50ADF208-83C1-48D5-9F5C-65E697F266B7}" name="Component" dataDxfId="816"/>
    <tableColumn id="2" xr3:uid="{1EADC3A3-1557-4323-A40A-C84AEA0F188A}" name="Contact Hours" dataDxfId="815"/>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4101SPS_Mapping" displayName="_4101SPS_Mapping" ref="C45:F66" totalsRowShown="0" headerRowDxfId="814" dataDxfId="813">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812"/>
    <tableColumn id="2" xr3:uid="{162D175A-F572-46B3-8399-9FF334864C28}" name="LO Number" dataDxfId="811"/>
    <tableColumn id="3" xr3:uid="{4B8F87D6-8076-4256-870F-FFB0D542729A}" name="Graduate Skills Category" dataDxfId="810"/>
    <tableColumn id="4" xr3:uid="{3DB5254F-E5B1-45EA-B3FC-772579673F08}" name="Graduate Skill" dataDxfId="809"/>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4101SPS_Aims" displayName="_4101SPS_Aims" ref="F6:F8" totalsRowShown="0" dataDxfId="808">
  <autoFilter ref="F6:F8" xr:uid="{9552138F-2332-4BC4-A585-0E13162881A5}"/>
  <tableColumns count="1">
    <tableColumn id="1" xr3:uid="{D5911F00-3A12-4884-94FA-2461F2E6A773}" name="Aims" dataDxfId="807"/>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4101SPS_Syllabus" displayName="_4101SPS_Syllabus" ref="F10:F13" totalsRowShown="0" dataDxfId="806">
  <autoFilter ref="F10:F13" xr:uid="{94F18F67-3F10-4F6E-A953-4FE3399B07F2}"/>
  <tableColumns count="1">
    <tableColumn id="1" xr3:uid="{1984609B-7A7C-44AA-A114-5466EF451351}" name="Outline Syllabus" dataDxfId="805"/>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4101SPS_Overview" displayName="_4101SPS_Overview" ref="F15:F20" totalsRowShown="0" dataDxfId="804">
  <autoFilter ref="F15:F20" xr:uid="{1B2BCD7B-6C15-4B1C-86BC-48FF83D8F225}"/>
  <tableColumns count="1">
    <tableColumn id="1" xr3:uid="{19A46962-3EFC-4EE2-ACCE-5363E30EDC4F}" name="Module Overview" dataDxfId="803"/>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4101SPS_Notes" displayName="_4101SPS_Notes" ref="F22:F33" totalsRowShown="0" dataDxfId="802">
  <autoFilter ref="F22:F33" xr:uid="{D5968C0A-6D7E-4221-87EE-78A85A4039B3}"/>
  <tableColumns count="1">
    <tableColumn id="1" xr3:uid="{EEDA3204-13C4-4B95-A550-B650C09B689D}" name="Additional Information/Notes" dataDxfId="801"/>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4" xr:uid="{75083FE9-FEE8-4F27-B169-A64C8DDF0D6F}" name="4102SPS_Meta" displayName="_4102SPS_Meta" ref="C6:D14" totalsRowShown="0">
  <autoFilter ref="C6:D14" xr:uid="{CD75D2A7-14B1-4ABD-B64D-6E875F9BC652}">
    <filterColumn colId="0" hiddenButton="1"/>
    <filterColumn colId="1" hiddenButton="1"/>
  </autoFilter>
  <tableColumns count="2">
    <tableColumn id="1" xr3:uid="{70210DD7-8693-47F9-9121-A95800E8A890}" name="Module Data" dataDxfId="800"/>
    <tableColumn id="2" xr3:uid="{30CA9DF0-4D82-4AAC-B5A4-5E23096210E4}" name="Details" dataDxfId="799"/>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AF59724A-3670-4399-BA93-39FEA8D87F5A}" name="4102SPS_LO" displayName="_4102SPS_LO" ref="C28:D33" totalsRowShown="0" headerRowDxfId="798">
  <autoFilter ref="C28:D33" xr:uid="{22316987-6BEB-4FAF-9619-BF9BE9909CFA}">
    <filterColumn colId="0" hiddenButton="1"/>
    <filterColumn colId="1" hiddenButton="1"/>
  </autoFilter>
  <tableColumns count="2">
    <tableColumn id="1" xr3:uid="{1ECDF0C7-AF26-464B-BCE9-2B009E72BD6C}" name="LO Number" dataDxfId="797"/>
    <tableColumn id="2" xr3:uid="{5D84BD32-1C18-49FB-8945-25164268A306}" name="LO Description" dataDxfId="79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A1E41A91-9FB7-4F18-A714-29B8ED4AB3ED}" name="4102SPS_Assess" displayName="_4102SPS_Assess" ref="C37:H41" totalsRowShown="0" headerRowDxfId="79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74414914-53A5-4154-89A0-8C792B2D38F5}" name="Assessment No" dataDxfId="794"/>
    <tableColumn id="2" xr3:uid="{EBA9F26A-003A-4A21-92B3-3846A60685B4}" name="Assessment Type" dataDxfId="793"/>
    <tableColumn id="7" xr3:uid="{1FA35D8A-ADF2-474B-870B-830A4424621D}" name="Assessment Specific" dataDxfId="792"/>
    <tableColumn id="3" xr3:uid="{778C1D37-8633-48FE-8CDE-43AF7CFB80F6}" name="Assessment Description" dataDxfId="791"/>
    <tableColumn id="4" xr3:uid="{88DDF55E-0393-47ED-8B52-A643AB84C782}" name="Weighting" dataDxfId="790"/>
    <tableColumn id="5" xr3:uid="{6A573A22-F1F9-4642-BB99-12D366C6574B}" name="Due Week" dataDxfId="789"/>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085665BF-2A25-482A-81FF-D1BE0192FF28}" name="4102SPS_Weekly" displayName="_41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0982B878-AABF-4362-9EB5-1CED66D2FF3A}" name="Semester " dataDxfId="788"/>
    <tableColumn id="2" xr3:uid="{C17B4C7C-BC0A-4B70-9112-0207C120A6F5}" name="Week Number" dataDxfId="787"/>
    <tableColumn id="3" xr3:uid="{10BC0F5B-D1A3-4EC0-B433-70F0D238CC5A}" name="Weekly Content 1" dataDxfId="786"/>
    <tableColumn id="4" xr3:uid="{1CD2C705-EB74-4B5E-A0A5-A3E89451D6CA}" name="Weekly Content 2" dataDxfId="785"/>
    <tableColumn id="5" xr3:uid="{5D8725BC-5C35-40EE-8D33-26FB3EA6913F}" name="Weekly Content 3" dataDxfId="784"/>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05C059EB-680C-4DD3-B7B3-05C171F4FDD6}" name="4102SPS_Hours" displayName="_4102SPS_Hours" ref="C18:D24" totalsRowShown="0">
  <autoFilter ref="C18:D24" xr:uid="{B71A3569-AA65-4A4E-98A2-885F5C38B46D}">
    <filterColumn colId="0" hiddenButton="1"/>
    <filterColumn colId="1" hiddenButton="1"/>
  </autoFilter>
  <tableColumns count="2">
    <tableColumn id="1" xr3:uid="{D165B1FC-543F-4341-B2A0-C0EB1A44C20C}" name="Component" dataDxfId="783"/>
    <tableColumn id="2" xr3:uid="{2C358000-6828-4206-BBB3-6BA3D7B77570}" name="Contact Hours" dataDxfId="782"/>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B5B9D10C-8A94-44FC-823D-6393365CD951}" name="4102SPS_Mapping" displayName="_4102SPS_Mapping" ref="C45:F66" totalsRowShown="0" headerRowDxfId="781" dataDxfId="780">
  <autoFilter ref="C45:F66" xr:uid="{E0A841BB-B6D5-4048-B5F2-18CF9F502EBA}">
    <filterColumn colId="0" hiddenButton="1"/>
    <filterColumn colId="1" hiddenButton="1"/>
    <filterColumn colId="2" hiddenButton="1"/>
    <filterColumn colId="3" hiddenButton="1"/>
  </autoFilter>
  <tableColumns count="4">
    <tableColumn id="1" xr3:uid="{7EB170E9-2FDD-4DCD-B519-E7F12E8D52C7}" name="Assessment No" dataDxfId="779"/>
    <tableColumn id="2" xr3:uid="{227EDB49-2E3A-4877-9C36-33C3F03CF48C}" name="LO Number" dataDxfId="778"/>
    <tableColumn id="3" xr3:uid="{715C2316-1A4A-491D-A809-299250606610}" name="Graduate Skills Category" dataDxfId="777"/>
    <tableColumn id="4" xr3:uid="{788AAA21-04C3-4566-B4BB-1857DF5CA6B2}" name="Graduate Skill" dataDxfId="776"/>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C8416254-915D-48C3-B376-7C389E90CD9D}" name="4102SPS_Aims" displayName="_4102SPS_Aims" ref="F6:F8" totalsRowShown="0" dataDxfId="775">
  <autoFilter ref="F6:F8" xr:uid="{9552138F-2332-4BC4-A585-0E13162881A5}"/>
  <tableColumns count="1">
    <tableColumn id="1" xr3:uid="{D78B9EBB-342F-434D-8A09-59BFF176D758}" name="Aims" dataDxfId="774"/>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665C7543-9A8F-45E3-94F9-FB56CA37B137}" name="4102SPS_Syllabus" displayName="_4102SPS_Syllabus" ref="F10:F13" totalsRowShown="0" dataDxfId="773">
  <autoFilter ref="F10:F13" xr:uid="{94F18F67-3F10-4F6E-A953-4FE3399B07F2}"/>
  <tableColumns count="1">
    <tableColumn id="1" xr3:uid="{7007DC8B-FE79-4463-BAE3-44C537876FE8}" name="Outline Syllabus" dataDxfId="772"/>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78676DAD-B831-40BA-9D1D-0DFD7B5CE7BC}" name="4102SPS_Overview" displayName="_4102SPS_Overview" ref="F15:F20" totalsRowShown="0" dataDxfId="771">
  <autoFilter ref="F15:F20" xr:uid="{1B2BCD7B-6C15-4B1C-86BC-48FF83D8F225}"/>
  <tableColumns count="1">
    <tableColumn id="1" xr3:uid="{FCC1C58C-CF4D-476E-9721-41272F3EA00A}" name="Module Overview" dataDxfId="770"/>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A1962770-F53C-43B4-8AF1-88F38EC66B1F}" name="4102SPS_Notes" displayName="_4102SPS_Notes" ref="F22:F33" totalsRowShown="0" dataDxfId="769">
  <autoFilter ref="F22:F33" xr:uid="{D5968C0A-6D7E-4221-87EE-78A85A4039B3}"/>
  <tableColumns count="1">
    <tableColumn id="1" xr3:uid="{9ABE691D-D9E9-4EB5-9717-89C3D9579FFC}" name="Additional Information/Notes" dataDxfId="768"/>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6C4896-A2E4-423D-8E90-EB5A2AB3245B}" name="4091SPS_Meta" displayName="_4091SPS_Meta" ref="C6:D14" totalsRowShown="0">
  <autoFilter ref="C6:D14" xr:uid="{CD75D2A7-14B1-4ABD-B64D-6E875F9BC652}">
    <filterColumn colId="0" hiddenButton="1"/>
    <filterColumn colId="1" hiddenButton="1"/>
  </autoFilter>
  <tableColumns count="2">
    <tableColumn id="1" xr3:uid="{5CAE6DCC-0B4E-4410-BC17-0966ECA43772}" name="Module Data" dataDxfId="767"/>
    <tableColumn id="2" xr3:uid="{970E26A5-A7F4-4321-B82B-D13FE1144137}" name="Details" dataDxfId="766"/>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492619-E6E6-43FB-A784-44619DDE64D8}" name="4091SPS_LO" displayName="_4091SPS_LO" ref="C28:D33" totalsRowShown="0" headerRowDxfId="765">
  <autoFilter ref="C28:D33" xr:uid="{22316987-6BEB-4FAF-9619-BF9BE9909CFA}">
    <filterColumn colId="0" hiddenButton="1"/>
    <filterColumn colId="1" hiddenButton="1"/>
  </autoFilter>
  <tableColumns count="2">
    <tableColumn id="1" xr3:uid="{0A11F82C-9CC6-4514-8C9C-A57873EAD2B2}" name="LO Number" dataDxfId="764"/>
    <tableColumn id="2" xr3:uid="{F31332DF-C392-41DF-953C-3A3C50595C13}" name="LO Description" dataDxfId="763"/>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14B2934-6843-4DAA-9409-7B27337223D4}" name="4091SPS_Assess" displayName="_4091SPS_Assess" ref="C37:H41" totalsRowShown="0" headerRowDxfId="76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A4325A3F-13DE-4FB0-8F03-817E79ACEBCC}" name="Assessment No" dataDxfId="761"/>
    <tableColumn id="2" xr3:uid="{6EDF5DE8-6C8F-4C2D-A6DF-AC6BEF22BC64}" name="Assessment Type" dataDxfId="760"/>
    <tableColumn id="7" xr3:uid="{AA3B32F1-6075-4714-A6BA-9731314D07D0}" name="Assessment Specific" dataDxfId="759"/>
    <tableColumn id="3" xr3:uid="{8E3A26D1-F578-415A-B678-167984B814DB}" name="Assessment Description" dataDxfId="758"/>
    <tableColumn id="4" xr3:uid="{9E6C966A-5630-4D4C-9627-7591122D0259}" name="Weighting" dataDxfId="757"/>
    <tableColumn id="5" xr3:uid="{C9B05E13-38F4-4E03-B0D3-D0EE3F95EB2B}" name="Due Week" dataDxfId="756"/>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DC7DF7E-3F13-43A7-BE1F-79B23F5E013B}" name="4091SPS_Weekly" displayName="_409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01447A2-AD62-4BA6-B372-760C4E77E787}" name="Semester " dataDxfId="755"/>
    <tableColumn id="2" xr3:uid="{FD7D723C-B230-47EC-A26D-C7473B04B404}" name="Week Number" dataDxfId="754"/>
    <tableColumn id="3" xr3:uid="{D9C76432-1B48-453C-894F-F7D3D2065F07}" name="Weekly Content 1" dataDxfId="753"/>
    <tableColumn id="4" xr3:uid="{D09AF3FF-5DB0-4227-A133-D20512EFAC6D}" name="Weekly Content 2" dataDxfId="752"/>
    <tableColumn id="5" xr3:uid="{FA0AC2DC-5772-4DA1-A019-C97829960860}" name="Weekly Content 3" dataDxfId="751"/>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B1BBEE2-212D-4512-BC80-E7FE68691DAA}" name="4091SPS_Hours" displayName="_4091SPS_Hours" ref="C18:D24" totalsRowShown="0">
  <autoFilter ref="C18:D24" xr:uid="{B71A3569-AA65-4A4E-98A2-885F5C38B46D}">
    <filterColumn colId="0" hiddenButton="1"/>
    <filterColumn colId="1" hiddenButton="1"/>
  </autoFilter>
  <tableColumns count="2">
    <tableColumn id="1" xr3:uid="{6802FBB4-907A-473D-8B88-8D88B0EEC271}" name="Component" dataDxfId="750"/>
    <tableColumn id="2" xr3:uid="{3E9DF78E-6E77-4BE5-A314-09B570297DA8}" name="Contact Hours" dataDxfId="749"/>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F10E51D-FB34-4798-B43F-9197E91048A2}" name="4091SPS_Mapping" displayName="_4091SPS_Mapping" ref="C45:F66" totalsRowShown="0" headerRowDxfId="748" dataDxfId="747">
  <autoFilter ref="C45:F66" xr:uid="{E0A841BB-B6D5-4048-B5F2-18CF9F502EBA}">
    <filterColumn colId="0" hiddenButton="1"/>
    <filterColumn colId="1" hiddenButton="1"/>
    <filterColumn colId="2" hiddenButton="1"/>
    <filterColumn colId="3" hiddenButton="1"/>
  </autoFilter>
  <tableColumns count="4">
    <tableColumn id="1" xr3:uid="{9B8D8B0F-B618-4B6D-A024-13D81EA1B6A8}" name="Assessment No" dataDxfId="746"/>
    <tableColumn id="2" xr3:uid="{D23DD564-B79B-4904-9554-72695B80AD45}" name="LO Number" dataDxfId="745"/>
    <tableColumn id="3" xr3:uid="{88C32D0A-874A-468F-A832-EEE52A351A07}" name="Graduate Skills Category" dataDxfId="744"/>
    <tableColumn id="4" xr3:uid="{1E14291E-5A6F-43C1-A360-D9FFACA1968A}" name="Graduate Skill" dataDxfId="743"/>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42F5B4C-7A89-4693-8B50-CE2823EB4531}" name="4091SPS_Aims" displayName="_4091SPS_Aims" ref="F6:F8" totalsRowShown="0" dataDxfId="742">
  <autoFilter ref="F6:F8" xr:uid="{9552138F-2332-4BC4-A585-0E13162881A5}"/>
  <tableColumns count="1">
    <tableColumn id="1" xr3:uid="{9FEDC839-8D77-4978-9FAB-CCC1EFD3F9DD}" name="Aims" dataDxfId="741"/>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6EE4159-81BE-4657-8E77-92CD77507775}" name="4091SPS_Syllabus" displayName="_4091SPS_Syllabus" ref="F10:F13" totalsRowShown="0" dataDxfId="740">
  <autoFilter ref="F10:F13" xr:uid="{94F18F67-3F10-4F6E-A953-4FE3399B07F2}"/>
  <tableColumns count="1">
    <tableColumn id="1" xr3:uid="{3FF080E0-4BCF-4535-9268-5A1BB69C31D2}" name="Outline Syllabus" dataDxfId="739"/>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00EC6A0-21E5-4A73-BB76-F2D1CC9A53CF}" name="4091SPS_Overview" displayName="_4091SPS_Overview" ref="F15:F20" totalsRowShown="0" dataDxfId="738">
  <autoFilter ref="F15:F20" xr:uid="{1B2BCD7B-6C15-4B1C-86BC-48FF83D8F225}"/>
  <tableColumns count="1">
    <tableColumn id="1" xr3:uid="{1EA79F76-A3E4-477D-AF9C-12FAD11B790E}" name="Module Overview" dataDxfId="737"/>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D53F410-3C16-49E4-9950-96B40C17C239}" name="4091SPS_Notes" displayName="_4091SPS_Notes" ref="F22:F33" totalsRowShown="0" dataDxfId="736">
  <autoFilter ref="F22:F33" xr:uid="{D5968C0A-6D7E-4221-87EE-78A85A4039B3}"/>
  <tableColumns count="1">
    <tableColumn id="1" xr3:uid="{31D7E7BF-E4C9-4356-AB1C-2456C826DF1D}" name="Additional Information/Notes" dataDxfId="735"/>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28372338-2E37-4191-80AB-7CDEB7097C85}" name="4092SPS_Meta" displayName="_4092SPS_Meta" ref="C6:D14" totalsRowShown="0">
  <autoFilter ref="C6:D14" xr:uid="{CD75D2A7-14B1-4ABD-B64D-6E875F9BC652}">
    <filterColumn colId="0" hiddenButton="1"/>
    <filterColumn colId="1" hiddenButton="1"/>
  </autoFilter>
  <tableColumns count="2">
    <tableColumn id="1" xr3:uid="{C794C41A-B3D4-4E3F-B5FB-FA944F9B274E}" name="Module Data" dataDxfId="734"/>
    <tableColumn id="2" xr3:uid="{E49520ED-A919-4952-A8A6-55CE0CAA2CD7}" name="Details" dataDxfId="733"/>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62048854-D31A-43BA-A061-6227835FFFFB}" name="4092SPS_LO" displayName="_4092SPS_LO" ref="C28:D33" totalsRowShown="0" headerRowDxfId="732">
  <autoFilter ref="C28:D33" xr:uid="{22316987-6BEB-4FAF-9619-BF9BE9909CFA}">
    <filterColumn colId="0" hiddenButton="1"/>
    <filterColumn colId="1" hiddenButton="1"/>
  </autoFilter>
  <tableColumns count="2">
    <tableColumn id="1" xr3:uid="{80C0D1F0-F1A8-4430-808B-47BCEEF20CE4}" name="LO Number" dataDxfId="731"/>
    <tableColumn id="2" xr3:uid="{18D491B4-A69E-4F4C-B75D-F831CDDE9B61}" name="LO Description" dataDxfId="730"/>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E62F148C-32C1-4823-8551-4E62CBC93400}" name="4092SPS_Assess" displayName="_4092SPS_Assess" ref="C37:H41" totalsRowShown="0" headerRowDxfId="72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E670D0D0-8BA0-4284-A342-868A64B5C97B}" name="Assessment No" dataDxfId="728"/>
    <tableColumn id="2" xr3:uid="{303588A5-09EF-4283-9F8D-0F1977EB4446}" name="Assessment Type" dataDxfId="727"/>
    <tableColumn id="7" xr3:uid="{38DE938A-79BC-4F55-9B11-8E225C93CFBC}" name="Assessment Specific" dataDxfId="726"/>
    <tableColumn id="3" xr3:uid="{09C8715D-B38A-42DD-AD3B-162E48F08BB1}" name="Assessment Description" dataDxfId="725"/>
    <tableColumn id="4" xr3:uid="{5F982B10-F8BC-4F37-9652-E995FCBDCC5C}" name="Weighting" dataDxfId="724"/>
    <tableColumn id="5" xr3:uid="{23DBA92E-BC2A-45A7-9C8F-206778783AC7}" name="Due Week" dataDxfId="723"/>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2BCBD85E-E61A-45D7-B351-DA973823C825}" name="4092SPS_Weekly" displayName="_409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B9E3293-90E7-4154-BA1A-31C1207E8B9A}" name="Semester " dataDxfId="722"/>
    <tableColumn id="2" xr3:uid="{DB652FCB-2B91-445C-9704-199CE040B8F2}" name="Week Number" dataDxfId="721"/>
    <tableColumn id="3" xr3:uid="{D97A9609-D887-4F4A-AD6D-4D81CFB13BF4}" name="Weekly Content 1" dataDxfId="720"/>
    <tableColumn id="4" xr3:uid="{BA12CC17-6A24-48D2-96FA-AE4A6A326331}" name="Weekly Content 2" dataDxfId="719"/>
    <tableColumn id="5" xr3:uid="{E745714E-A74C-41FD-998E-D63BB2086608}" name="Weekly Content 3" dataDxfId="718"/>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947C7909-EA40-4340-B6C7-193437AE54F2}" name="4092SPS_Hours" displayName="_4092SPS_Hours" ref="C18:D24" totalsRowShown="0">
  <autoFilter ref="C18:D24" xr:uid="{B71A3569-AA65-4A4E-98A2-885F5C38B46D}">
    <filterColumn colId="0" hiddenButton="1"/>
    <filterColumn colId="1" hiddenButton="1"/>
  </autoFilter>
  <tableColumns count="2">
    <tableColumn id="1" xr3:uid="{F5B85481-760E-46D7-B7FD-F25114B32834}" name="Component" dataDxfId="717"/>
    <tableColumn id="2" xr3:uid="{F11A4515-4BF8-45E6-A01E-E4B979E5F657}" name="Contact Hours" dataDxfId="716"/>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A1BFC9D3-5A8B-468D-B809-548205A5EBD2}" name="4092SPS_Mapping" displayName="_4092SPS_Mapping" ref="C45:F66" totalsRowShown="0" headerRowDxfId="715" dataDxfId="714">
  <autoFilter ref="C45:F66" xr:uid="{E0A841BB-B6D5-4048-B5F2-18CF9F502EBA}">
    <filterColumn colId="0" hiddenButton="1"/>
    <filterColumn colId="1" hiddenButton="1"/>
    <filterColumn colId="2" hiddenButton="1"/>
    <filterColumn colId="3" hiddenButton="1"/>
  </autoFilter>
  <tableColumns count="4">
    <tableColumn id="1" xr3:uid="{E77E9759-ABCD-4319-87F6-DB7A694E6AD1}" name="Assessment No" dataDxfId="713"/>
    <tableColumn id="2" xr3:uid="{83283E9D-E72D-4033-AEEC-CD3908E140C0}" name="LO Number" dataDxfId="712"/>
    <tableColumn id="3" xr3:uid="{41E9FCD1-0B07-4E05-AC6A-E51D0FEBF769}" name="Graduate Skills Category" dataDxfId="711"/>
    <tableColumn id="4" xr3:uid="{5E9350FF-E07F-4FD3-87B6-CD11C2FE35F0}" name="Graduate Skill" dataDxfId="710"/>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A309254B-0329-4E26-82FD-04396CECAA92}" name="4092SPS_Aims" displayName="_4092SPS_Aims" ref="F6:F8" totalsRowShown="0" dataDxfId="709">
  <autoFilter ref="F6:F8" xr:uid="{9552138F-2332-4BC4-A585-0E13162881A5}"/>
  <tableColumns count="1">
    <tableColumn id="1" xr3:uid="{9E01E8B7-2D84-4DC8-9BC2-41B080983931}" name="Aims" dataDxfId="708"/>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1" xr:uid="{FA1F02C6-79F7-461C-95EF-812C63A653E6}" name="4092SPS_Syllabus" displayName="_4092SPS_Syllabus" ref="F10:F13" totalsRowShown="0" dataDxfId="707">
  <autoFilter ref="F10:F13" xr:uid="{94F18F67-3F10-4F6E-A953-4FE3399B07F2}"/>
  <tableColumns count="1">
    <tableColumn id="1" xr3:uid="{A9B5A855-86AA-4588-89FD-51A2545B2BB8}" name="Outline Syllabus" dataDxfId="706"/>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2" xr:uid="{0F30B56E-C191-41FD-8640-ADF8F59860D5}" name="4092SPS_Overview" displayName="_4092SPS_Overview" ref="F15:F20" totalsRowShown="0" dataDxfId="705">
  <autoFilter ref="F15:F20" xr:uid="{1B2BCD7B-6C15-4B1C-86BC-48FF83D8F225}"/>
  <tableColumns count="1">
    <tableColumn id="1" xr3:uid="{ECDA9BFC-6E84-43FA-82B4-C3099170F9C1}" name="Module Overview" dataDxfId="704"/>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3" xr:uid="{1E22DC6B-4B6A-4E04-B552-B6DF48EDC3C9}" name="4092SPS_Notes" displayName="_4092SPS_Notes" ref="F22:F33" totalsRowShown="0" dataDxfId="703">
  <autoFilter ref="F22:F33" xr:uid="{D5968C0A-6D7E-4221-87EE-78A85A4039B3}"/>
  <tableColumns count="1">
    <tableColumn id="1" xr3:uid="{4864C879-18E7-4489-BD28-43030BE0548E}" name="Additional Information/Notes" dataDxfId="702"/>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094SPS_Meta" displayName="_4094SPS_Meta" ref="C6:D14" totalsRowShown="0">
  <autoFilter ref="C6:D14" xr:uid="{CD75D2A7-14B1-4ABD-B64D-6E875F9BC652}">
    <filterColumn colId="0" hiddenButton="1"/>
    <filterColumn colId="1" hiddenButton="1"/>
  </autoFilter>
  <tableColumns count="2">
    <tableColumn id="1" xr3:uid="{644E4444-F68A-4E74-BD5D-8748CD05A7D2}" name="Module Data" dataDxfId="701"/>
    <tableColumn id="2" xr3:uid="{AF6CCCE6-633B-4669-B570-EB4F893B50C4}" name="Details" dataDxfId="700"/>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094SPS_LO" displayName="_4094SPS_LO" ref="C28:D33" totalsRowShown="0" headerRowDxfId="699">
  <autoFilter ref="C28:D33" xr:uid="{22316987-6BEB-4FAF-9619-BF9BE9909CFA}">
    <filterColumn colId="0" hiddenButton="1"/>
    <filterColumn colId="1" hiddenButton="1"/>
  </autoFilter>
  <tableColumns count="2">
    <tableColumn id="1" xr3:uid="{589112ED-5C99-4CD7-912A-F216AEC245F3}" name="LO Number" dataDxfId="698"/>
    <tableColumn id="2" xr3:uid="{D42319CA-BEAF-49C8-8EC7-B45F24386E7A}" name="LO Description" dataDxfId="697"/>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094SPS_Assess" displayName="_4094SPS_Assess" ref="C37:H41" totalsRowShown="0" headerRowDxfId="69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695"/>
    <tableColumn id="2" xr3:uid="{0C168E40-BC62-40F7-8494-D9D585BBF5DD}" name="Assessment Type" dataDxfId="694"/>
    <tableColumn id="7" xr3:uid="{03042C7C-BE5A-4EDB-B18A-F162688CAFDA}" name="Assessment Specific" dataDxfId="693"/>
    <tableColumn id="3" xr3:uid="{B536E57C-91CB-491F-8850-5E1F4FFB6EC2}" name="Assessment Description" dataDxfId="692"/>
    <tableColumn id="4" xr3:uid="{CFEF4DCA-7026-4AB8-9930-965F672B21EC}" name="Weighting" dataDxfId="691"/>
    <tableColumn id="5" xr3:uid="{268A91DF-58B1-43BF-A340-0E1D33705BAA}" name="Due Week" dataDxfId="690"/>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094SPS_Weekly" displayName="_4094SPS_Weekly" ref="B81:F105" totalsRowShown="0">
  <autoFilter ref="B81:F105"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689"/>
    <tableColumn id="2" xr3:uid="{916AD303-2708-4E40-8E0C-DE9D347BA8EA}" name="Week Number" dataDxfId="688"/>
    <tableColumn id="3" xr3:uid="{66580F8A-FF82-4503-9EBF-1B44DD45F9F5}" name="Weekly Content 1" dataDxfId="687"/>
    <tableColumn id="4" xr3:uid="{5E6D35EA-634F-45B1-8A96-068CB99E3BA7}" name="Weekly Content 2" dataDxfId="686"/>
    <tableColumn id="5" xr3:uid="{25F8B45E-A68A-40F6-AADD-D3228D0F228B}" name="Weekly Content 3" dataDxfId="685"/>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094SPS_Hours" displayName="_4094SPS_Hours" ref="C18:D24" totalsRowShown="0">
  <autoFilter ref="C18:D24" xr:uid="{B71A3569-AA65-4A4E-98A2-885F5C38B46D}">
    <filterColumn colId="0" hiddenButton="1"/>
    <filterColumn colId="1" hiddenButton="1"/>
  </autoFilter>
  <tableColumns count="2">
    <tableColumn id="1" xr3:uid="{E6DA5AB3-0374-477C-BB37-91CD5B04A8A7}" name="Component" dataDxfId="684"/>
    <tableColumn id="2" xr3:uid="{25171EA2-F360-4480-9A69-30F0637E5E19}" name="Contact Hours" dataDxfId="683"/>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094SPS_Mapping" displayName="_4094SPS_Mapping" ref="C45:F75" totalsRowShown="0" headerRowDxfId="682" dataDxfId="681">
  <autoFilter ref="C45:F75"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680"/>
    <tableColumn id="2" xr3:uid="{220CCF7F-D01D-41B9-83FA-AB3772B56C47}" name="LO Number" dataDxfId="679"/>
    <tableColumn id="3" xr3:uid="{35876AFA-8C5D-4EB6-A40B-8013521A5A47}" name="Graduate Skills Category" dataDxfId="678"/>
    <tableColumn id="4" xr3:uid="{8CC8B0ED-B11D-43C6-AB11-C69764FE383C}" name="Graduate Skill" dataDxfId="677"/>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094SPS_Aims" displayName="_4094SPS_Aims" ref="F6:F8" totalsRowShown="0" dataDxfId="676">
  <autoFilter ref="F6:F8" xr:uid="{9552138F-2332-4BC4-A585-0E13162881A5}"/>
  <tableColumns count="1">
    <tableColumn id="1" xr3:uid="{17C9A3A3-D0C1-421C-8D52-32617D054C2E}" name="Aims" dataDxfId="675"/>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094SPS_Syllabus" displayName="_4094SPS_Syllabus" ref="F10:F13" totalsRowShown="0" dataDxfId="674">
  <autoFilter ref="F10:F13" xr:uid="{94F18F67-3F10-4F6E-A953-4FE3399B07F2}"/>
  <tableColumns count="1">
    <tableColumn id="1" xr3:uid="{D7FF23A0-D568-4D96-9868-A6319DCE887A}" name="Outline Syllabus" dataDxfId="673"/>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094SPS_Overview" displayName="_4094SPS_Overview" ref="F15:F20" totalsRowShown="0" dataDxfId="672">
  <autoFilter ref="F15:F20" xr:uid="{1B2BCD7B-6C15-4B1C-86BC-48FF83D8F225}"/>
  <tableColumns count="1">
    <tableColumn id="1" xr3:uid="{E558D902-00D8-4FEB-8431-38F38D3FD8C5}" name="Module Overview" dataDxfId="671"/>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094SPS_Notes" displayName="_4094SPS_Notes" ref="F22:F33" totalsRowShown="0" dataDxfId="670">
  <autoFilter ref="F22:F33" xr:uid="{D5968C0A-6D7E-4221-87EE-78A85A4039B3}"/>
  <tableColumns count="1">
    <tableColumn id="1" xr3:uid="{C6EF2F48-EFDC-40BF-8A10-F2C80BC78705}" name="Additional Information/Notes" dataDxfId="669"/>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EA3E6E8-D502-4D0D-BF9C-D667FFA58F64}" name="5091SPS_Meta" displayName="_5091SPS_Meta" ref="C6:D14" totalsRowShown="0">
  <autoFilter ref="C6:D14" xr:uid="{CD75D2A7-14B1-4ABD-B64D-6E875F9BC652}">
    <filterColumn colId="0" hiddenButton="1"/>
    <filterColumn colId="1" hiddenButton="1"/>
  </autoFilter>
  <tableColumns count="2">
    <tableColumn id="1" xr3:uid="{EB65BA05-1DE9-4FD7-BDBD-BDE47DF298A4}" name="Module Data" dataDxfId="668"/>
    <tableColumn id="2" xr3:uid="{310F2A93-D88D-4CC8-AC0C-C016B97380F6}" name="Details" dataDxfId="667"/>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39A1AF-3082-4708-961D-482478CCC574}" name="5091SPS_LO" displayName="_5091SPS_LO" ref="C28:D33" totalsRowShown="0" headerRowDxfId="666">
  <autoFilter ref="C28:D33" xr:uid="{22316987-6BEB-4FAF-9619-BF9BE9909CFA}">
    <filterColumn colId="0" hiddenButton="1"/>
    <filterColumn colId="1" hiddenButton="1"/>
  </autoFilter>
  <tableColumns count="2">
    <tableColumn id="1" xr3:uid="{2DA2E0DF-8487-4F48-AD57-6C8EF1F6A824}" name="LO Number" dataDxfId="665"/>
    <tableColumn id="2" xr3:uid="{5F671E3D-DB5F-4A86-A8E8-215D497F640F}" name="LO Description" dataDxfId="664"/>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623DB9F-1EDE-4183-9D4D-11543678EACB}" name="5091SPS_Assess" displayName="_5091SPS_Assess" ref="C37:H41" totalsRowShown="0" headerRowDxfId="66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662"/>
    <tableColumn id="2" xr3:uid="{99037CEE-E227-4DE7-AC0C-42C69784F090}" name="Assessment Type" dataDxfId="661"/>
    <tableColumn id="7" xr3:uid="{EE90A0B1-86AF-42EC-AB37-5E98D709E3E4}" name="Assessment Specific" dataDxfId="660"/>
    <tableColumn id="3" xr3:uid="{8B0C1721-2FDC-4C1A-AECE-975C6F1434A1}" name="Assessment Description" dataDxfId="659"/>
    <tableColumn id="4" xr3:uid="{876D72EC-520F-497B-8AC7-6AF0A5409783}" name="Weighting" dataDxfId="658"/>
    <tableColumn id="5" xr3:uid="{31A1A910-0DF5-428E-806F-6E026C606C3B}" name="Due Week" dataDxfId="657"/>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82A5281-A689-4EDE-A4B7-B6DB624A199D}" name="5091SPS_Weekly" displayName="_509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656"/>
    <tableColumn id="2" xr3:uid="{8C49AFEC-B460-42E3-B373-FC0AB260F379}" name="Week Number" dataDxfId="655"/>
    <tableColumn id="3" xr3:uid="{A81B53B3-7EE2-4FDF-9110-0A8C17CA27E0}" name="Weekly Content 1" dataDxfId="654"/>
    <tableColumn id="4" xr3:uid="{362C63E5-C442-416C-9DB4-4F34D3EDDEF3}" name="Weekly Content 2" dataDxfId="653"/>
    <tableColumn id="5" xr3:uid="{E3C14089-4743-4CA8-9480-E777866BAF64}" name="Weekly Content 3" dataDxfId="652"/>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A22E3FD-B14A-4F02-81BF-8A73E0C5EEDF}" name="5091SPS_Hours" displayName="_5091SPS_Hours" ref="C18:D24" totalsRowShown="0">
  <autoFilter ref="C18:D24" xr:uid="{B71A3569-AA65-4A4E-98A2-885F5C38B46D}">
    <filterColumn colId="0" hiddenButton="1"/>
    <filterColumn colId="1" hiddenButton="1"/>
  </autoFilter>
  <tableColumns count="2">
    <tableColumn id="1" xr3:uid="{7C918E81-2521-4CC2-B784-37E43EEC3CDD}" name="Component" dataDxfId="651"/>
    <tableColumn id="2" xr3:uid="{0D2A69D7-E2F7-4C5C-8E4D-714C66054E76}" name="Contact Hours" dataDxfId="650"/>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4C3D2CC-2E44-415A-BEA6-F4BD775A21DB}" name="5091SPS_Mapping" displayName="_5091SPS_Mapping" ref="C45:F66" totalsRowShown="0" headerRowDxfId="649" dataDxfId="648">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647"/>
    <tableColumn id="2" xr3:uid="{8D3D6147-F8A2-4D54-BC97-772B8CE44EA3}" name="LO Number" dataDxfId="646"/>
    <tableColumn id="3" xr3:uid="{C41D8ED0-797F-45E8-B847-5F5796F9B51E}" name="Graduate Skills Category" dataDxfId="645"/>
    <tableColumn id="4" xr3:uid="{28997C86-0364-497D-A258-1C7BA682BCAA}" name="Graduate Skill" dataDxfId="644"/>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941A0E6C-8F7D-4C35-BE99-1BB2D9E19D16}" name="5091SPS_Aims" displayName="_5091SPS_Aims" ref="F6:F8" totalsRowShown="0" dataDxfId="643">
  <autoFilter ref="F6:F8" xr:uid="{9552138F-2332-4BC4-A585-0E13162881A5}"/>
  <tableColumns count="1">
    <tableColumn id="1" xr3:uid="{3E728AAA-21E1-43D6-98EC-781D610D5B5C}" name="Aims" dataDxfId="642"/>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D0FC6B6-F450-489C-BD42-179CE6C51EC1}" name="5091SPS_Syllabus" displayName="_5091SPS_Syllabus" ref="F10:F13" totalsRowShown="0" dataDxfId="641">
  <autoFilter ref="F10:F13" xr:uid="{94F18F67-3F10-4F6E-A953-4FE3399B07F2}"/>
  <tableColumns count="1">
    <tableColumn id="1" xr3:uid="{CAFF733E-EEBF-4C10-ACD1-A6DDCD33C63A}" name="Outline Syllabus" dataDxfId="640"/>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020DC6C-A05E-4992-9A02-B70D3B7661B7}" name="5091SPS_Overview" displayName="_5091SPS_Overview" ref="F15:F20" totalsRowShown="0" dataDxfId="639">
  <autoFilter ref="F15:F20" xr:uid="{1B2BCD7B-6C15-4B1C-86BC-48FF83D8F225}"/>
  <tableColumns count="1">
    <tableColumn id="1" xr3:uid="{3D131B43-1A6C-42C4-B635-F81D00AEF103}" name="Module Overview" dataDxfId="638"/>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B3A6D94-9FD0-4E5B-ABB7-29067964AA80}" name="5091SPS_Notes" displayName="_5091SPS_Notes" ref="F22:F33" totalsRowShown="0" dataDxfId="637">
  <autoFilter ref="F22:F33" xr:uid="{D5968C0A-6D7E-4221-87EE-78A85A4039B3}"/>
  <tableColumns count="1">
    <tableColumn id="1" xr3:uid="{DBD01D3B-64A5-4A59-96FF-8858AB682507}" name="Additional Information/Notes" dataDxfId="636"/>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5092SPS_Meta" displayName="_5092SPS_Meta" ref="C6:D14" totalsRowShown="0">
  <autoFilter ref="C6:D14" xr:uid="{CD75D2A7-14B1-4ABD-B64D-6E875F9BC652}">
    <filterColumn colId="0" hiddenButton="1"/>
    <filterColumn colId="1" hiddenButton="1"/>
  </autoFilter>
  <tableColumns count="2">
    <tableColumn id="1" xr3:uid="{F75C39EB-FA62-46B2-BBD7-C15273288588}" name="Module Data" dataDxfId="635"/>
    <tableColumn id="2" xr3:uid="{AFAD978E-7AB7-41A9-B9E1-ABF4834D59E6}" name="Details" dataDxfId="634"/>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5092SPS_LO" displayName="_5092SPS_LO" ref="C28:D33" totalsRowShown="0" headerRowDxfId="633">
  <autoFilter ref="C28:D33" xr:uid="{22316987-6BEB-4FAF-9619-BF9BE9909CFA}">
    <filterColumn colId="0" hiddenButton="1"/>
    <filterColumn colId="1" hiddenButton="1"/>
  </autoFilter>
  <tableColumns count="2">
    <tableColumn id="1" xr3:uid="{03889838-3692-4CDB-B3C9-843AC2EB8510}" name="LO Number" dataDxfId="632"/>
    <tableColumn id="2" xr3:uid="{EBF4F997-F685-4171-8E33-10C81A9AA6BD}" name="LO Description" dataDxfId="631"/>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5092SPS_Assess" displayName="_5092SPS_Assess" ref="C37:H41" totalsRowShown="0" headerRowDxfId="63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629"/>
    <tableColumn id="2" xr3:uid="{154AA898-EB51-423F-971E-2D54E7AE168D}" name="Assessment Type" dataDxfId="628"/>
    <tableColumn id="7" xr3:uid="{9983984E-B1DF-4F0D-9268-C2C69B7257DE}" name="Assessment Specific" dataDxfId="627"/>
    <tableColumn id="3" xr3:uid="{7393D08E-D15D-482F-94F5-3955E2087F8B}" name="Assessment Description" dataDxfId="626"/>
    <tableColumn id="4" xr3:uid="{A7B8D88B-748B-437A-9A1C-F9ED211ABF56}" name="Weighting" dataDxfId="625"/>
    <tableColumn id="5" xr3:uid="{79ED1616-9922-40C9-8AED-68B6819817F9}" name="Due Week" dataDxfId="624"/>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5092SPS_Weekly" displayName="_509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623"/>
    <tableColumn id="2" xr3:uid="{FFEC1971-8BF4-44B8-BD5C-805779F987C9}" name="Week Number" dataDxfId="622"/>
    <tableColumn id="3" xr3:uid="{A9F5297B-ACA7-4D9D-842B-9A24FD16BA05}" name="Weekly Content 1" dataDxfId="621"/>
    <tableColumn id="4" xr3:uid="{B96BEEEA-7F39-4C28-9F20-2E7BAC5D76C4}" name="Weekly Content 2" dataDxfId="620"/>
    <tableColumn id="5" xr3:uid="{6D853DE2-8A0D-4998-B49D-5DECC81696CA}" name="Weekly Content 3" dataDxfId="619"/>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5092SPS_Hours" displayName="_5092SPS_Hours" ref="C18:D24" totalsRowShown="0">
  <autoFilter ref="C18:D24" xr:uid="{B71A3569-AA65-4A4E-98A2-885F5C38B46D}">
    <filterColumn colId="0" hiddenButton="1"/>
    <filterColumn colId="1" hiddenButton="1"/>
  </autoFilter>
  <tableColumns count="2">
    <tableColumn id="1" xr3:uid="{E1F6A0CE-A0D1-484E-806D-5F1EE294F6C5}" name="Component" dataDxfId="618"/>
    <tableColumn id="2" xr3:uid="{C29C0E16-5D02-4470-B9A3-F33C24B509D3}" name="Contact Hours" dataDxfId="617"/>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5092SPS_Mapping" displayName="_5092SPS_Mapping" ref="C45:F66" totalsRowShown="0" headerRowDxfId="616" dataDxfId="615">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614"/>
    <tableColumn id="2" xr3:uid="{9CB0238A-1328-4A0D-AAE2-50C376C7235C}" name="LO Number" dataDxfId="613"/>
    <tableColumn id="3" xr3:uid="{96B6D864-B246-4570-9A1C-3387C1ABD880}" name="Graduate Skills Category" dataDxfId="612"/>
    <tableColumn id="4" xr3:uid="{D00C4D9A-F418-40FC-AB6A-A84F0B2A9E4C}" name="Graduate Skill" dataDxfId="611"/>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5092SPS_Aims" displayName="_5092SPS_Aims" ref="F6:F8" totalsRowShown="0" dataDxfId="610">
  <autoFilter ref="F6:F8" xr:uid="{9552138F-2332-4BC4-A585-0E13162881A5}"/>
  <tableColumns count="1">
    <tableColumn id="1" xr3:uid="{31A9816E-6125-4BB1-B024-023BC57E4CF3}" name="Aims" dataDxfId="609"/>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5092SPS_Syllabus" displayName="_5092SPS_Syllabus" ref="F10:F13" totalsRowShown="0" dataDxfId="608">
  <autoFilter ref="F10:F13" xr:uid="{94F18F67-3F10-4F6E-A953-4FE3399B07F2}"/>
  <tableColumns count="1">
    <tableColumn id="1" xr3:uid="{6A2A3EA9-0D72-4A0E-A2B5-FF641EDBA034}" name="Outline Syllabus" dataDxfId="607"/>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5092SPS_Overview" displayName="_5092SPS_Overview" ref="F15:F20" totalsRowShown="0" dataDxfId="606">
  <autoFilter ref="F15:F20" xr:uid="{1B2BCD7B-6C15-4B1C-86BC-48FF83D8F225}"/>
  <tableColumns count="1">
    <tableColumn id="1" xr3:uid="{3ECD395E-FA33-4C57-93BB-6A0232B1FB84}" name="Module Overview" dataDxfId="605"/>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5092SPS_Notes" displayName="_5092SPS_Notes" ref="F22:F33" totalsRowShown="0" dataDxfId="604">
  <autoFilter ref="F22:F33" xr:uid="{D5968C0A-6D7E-4221-87EE-78A85A4039B3}"/>
  <tableColumns count="1">
    <tableColumn id="1" xr3:uid="{7082D249-848A-49C3-8DF4-B67EE67DF58C}" name="Additional Information/Notes" dataDxfId="603"/>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4D254B34-809D-4796-B53E-C3667C63A97A}" name="5101SPS_Meta" displayName="_5101SPS_Meta" ref="C6:D14" totalsRowShown="0">
  <autoFilter ref="C6:D14" xr:uid="{CD75D2A7-14B1-4ABD-B64D-6E875F9BC652}">
    <filterColumn colId="0" hiddenButton="1"/>
    <filterColumn colId="1" hiddenButton="1"/>
  </autoFilter>
  <tableColumns count="2">
    <tableColumn id="1" xr3:uid="{A93989B6-C5A6-451F-AE89-104E146E0EF0}" name="Module Data" dataDxfId="602"/>
    <tableColumn id="2" xr3:uid="{4717CF38-7FE1-4468-A6C2-052FB6958B0C}" name="Details" dataDxfId="601"/>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1A4B0E9-5E17-4D1C-A27E-0B18D60F1ED5}" name="5101SPS_LO" displayName="_5101SPS_LO" ref="C28:D33" totalsRowShown="0" headerRowDxfId="600">
  <autoFilter ref="C28:D33" xr:uid="{22316987-6BEB-4FAF-9619-BF9BE9909CFA}">
    <filterColumn colId="0" hiddenButton="1"/>
    <filterColumn colId="1" hiddenButton="1"/>
  </autoFilter>
  <tableColumns count="2">
    <tableColumn id="1" xr3:uid="{6330B93C-1643-4FCC-A51A-A60DFF28F508}" name="LO Number" dataDxfId="599"/>
    <tableColumn id="2" xr3:uid="{B8FEEBD8-E561-4EC1-821D-0E8D81AFB843}" name="LO Description" dataDxfId="598"/>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D8AC3DD-85DB-4039-839A-A666445858AB}" name="5101SPS_Assess" displayName="_5101SPS_Assess" ref="C37:H41" totalsRowShown="0" headerRowDxfId="59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5BC93529-97A7-42F5-81F2-8C4BA7B2B093}" name="Assessment No" dataDxfId="596"/>
    <tableColumn id="2" xr3:uid="{37DDB860-944C-49CE-BBAB-4C9965368CC2}" name="Assessment Type" dataDxfId="595"/>
    <tableColumn id="7" xr3:uid="{ED861CB4-2B63-4253-B5BE-DE88E4F73F2E}" name="Assessment Specific" dataDxfId="594"/>
    <tableColumn id="3" xr3:uid="{1DCB063F-9FB2-4041-BF76-A84A3B5663BB}" name="Assessment Description" dataDxfId="593"/>
    <tableColumn id="4" xr3:uid="{26C6EB23-C381-45B7-BCF2-AAF849B39CB2}" name="Weighting" dataDxfId="592"/>
    <tableColumn id="5" xr3:uid="{9E9E73E0-F346-4712-A521-E6CBD773E6DC}" name="Due Week" dataDxfId="591"/>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72C8C0C-B492-42EC-B8CF-8C6BB1826E54}" name="5101SPS_Weekly" displayName="_5101SPS_Weekly" ref="B71:F95" totalsRowShown="0">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9330817A-9E44-438D-A321-1CFEE5D8D0A7}" name="Semester " dataDxfId="590"/>
    <tableColumn id="2" xr3:uid="{9F2CA314-7251-40AD-875D-FDBE444AE8CC}" name="Week Number" dataDxfId="589"/>
    <tableColumn id="3" xr3:uid="{46103C64-EFA8-45A5-86D1-05E1F58CDC16}" name="Weekly Content 1" dataDxfId="588"/>
    <tableColumn id="4" xr3:uid="{CD53E2F5-AA95-424B-BF40-C872C1A02C0E}" name="Weekly Content 2" dataDxfId="587"/>
    <tableColumn id="5" xr3:uid="{975461FA-2E01-4A1F-9002-F6756C0E6D27}" name="Weekly Content 3" dataDxfId="586"/>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7C49CD3-B6BF-411D-8A9C-C1B0DC1D4B5E}" name="5101SPS_Hours" displayName="_5101SPS_Hours" ref="C18:D24" totalsRowShown="0">
  <autoFilter ref="C18:D24" xr:uid="{B71A3569-AA65-4A4E-98A2-885F5C38B46D}">
    <filterColumn colId="0" hiddenButton="1"/>
    <filterColumn colId="1" hiddenButton="1"/>
  </autoFilter>
  <tableColumns count="2">
    <tableColumn id="1" xr3:uid="{84D4DC95-B091-4EC4-BD9F-E1414E1ED663}" name="Component" dataDxfId="585"/>
    <tableColumn id="2" xr3:uid="{FDF142ED-DB38-4C6B-974B-85FCB5F78A66}" name="Contact Hours" dataDxfId="584"/>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87BED6D6-D9C6-4D16-B4F8-793228B3132C}" name="5101SPS_Mapping" displayName="_5101SPS_Mapping" ref="C45:F67" totalsRowShown="0" headerRowDxfId="583" dataDxfId="582">
  <autoFilter ref="C45:F67" xr:uid="{E0A841BB-B6D5-4048-B5F2-18CF9F502EBA}">
    <filterColumn colId="0" hiddenButton="1"/>
    <filterColumn colId="1" hiddenButton="1"/>
    <filterColumn colId="2" hiddenButton="1"/>
    <filterColumn colId="3" hiddenButton="1"/>
  </autoFilter>
  <tableColumns count="4">
    <tableColumn id="1" xr3:uid="{41EF2E9F-FE80-4EA5-AB6A-B0F17268715A}" name="Assessment No" dataDxfId="581"/>
    <tableColumn id="2" xr3:uid="{52365B2B-58FF-4272-83A0-0634C708D5DA}" name="LO Number" dataDxfId="580"/>
    <tableColumn id="3" xr3:uid="{365F3B95-BB30-4DC3-B449-C011CC935255}" name="Graduate Skills Category" dataDxfId="579"/>
    <tableColumn id="4" xr3:uid="{256AA9F3-5FDE-43AA-AF06-C9277EFAE7AA}" name="Graduate Skill" dataDxfId="578"/>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DADE969-2273-4007-B81E-6F2394E65365}" name="5101SPS_Aims" displayName="_5101SPS_Aims" ref="F6:F8" totalsRowShown="0" dataDxfId="577">
  <autoFilter ref="F6:F8" xr:uid="{9552138F-2332-4BC4-A585-0E13162881A5}"/>
  <tableColumns count="1">
    <tableColumn id="1" xr3:uid="{20ACFDED-B70B-4A37-8748-E2398DA2866E}" name="Aims" dataDxfId="576"/>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258CDB4B-F40E-4880-A10E-73999D87ED5C}" name="5101SPS_Syllabus" displayName="_5101SPS_Syllabus" ref="F10:F13" totalsRowShown="0" dataDxfId="575">
  <autoFilter ref="F10:F13" xr:uid="{94F18F67-3F10-4F6E-A953-4FE3399B07F2}"/>
  <tableColumns count="1">
    <tableColumn id="1" xr3:uid="{28548C89-3381-4F89-8618-132773B9AFDF}" name="Outline Syllabus" dataDxfId="574"/>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903467D8-18BB-4284-A4E9-A5C8DD5AD9A4}" name="5101SPS_Overview" displayName="_5101SPS_Overview" ref="F15:F20" totalsRowShown="0" dataDxfId="573">
  <autoFilter ref="F15:F20" xr:uid="{1B2BCD7B-6C15-4B1C-86BC-48FF83D8F225}"/>
  <tableColumns count="1">
    <tableColumn id="1" xr3:uid="{E8562468-335C-46B5-B44B-DD03585A4A33}" name="Module Overview" dataDxfId="572"/>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12C70509-540F-4249-B7FB-6FA92DD2AB46}" name="5101SPS_Notes" displayName="_5101SPS_Notes" ref="F22:F33" totalsRowShown="0" dataDxfId="571">
  <autoFilter ref="F22:F33" xr:uid="{D5968C0A-6D7E-4221-87EE-78A85A4039B3}"/>
  <tableColumns count="1">
    <tableColumn id="1" xr3:uid="{33EAFAF4-27B4-468B-AC97-74ABA5DAA992}" name="Additional Information/Notes" dataDxfId="570"/>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5102SPS_Meta" displayName="_5102SPS_Meta" ref="C6:D14" totalsRowShown="0">
  <autoFilter ref="C6:D14" xr:uid="{CD75D2A7-14B1-4ABD-B64D-6E875F9BC652}">
    <filterColumn colId="0" hiddenButton="1"/>
    <filterColumn colId="1" hiddenButton="1"/>
  </autoFilter>
  <tableColumns count="2">
    <tableColumn id="1" xr3:uid="{29D4E0BE-5C0F-4EF3-BF95-85E95BCEF890}" name="Module Data" dataDxfId="569"/>
    <tableColumn id="2" xr3:uid="{8CF62EB8-FFB4-436A-9EE3-575FDB15387F}" name="Details" dataDxfId="568"/>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5102SPS_LO" displayName="_5102SPS_LO" ref="C28:D33" totalsRowShown="0" headerRowDxfId="567">
  <autoFilter ref="C28:D33" xr:uid="{22316987-6BEB-4FAF-9619-BF9BE9909CFA}">
    <filterColumn colId="0" hiddenButton="1"/>
    <filterColumn colId="1" hiddenButton="1"/>
  </autoFilter>
  <tableColumns count="2">
    <tableColumn id="1" xr3:uid="{ABACB5F8-1C23-4668-B7BA-EF2517F6F237}" name="LO Number" dataDxfId="566"/>
    <tableColumn id="2" xr3:uid="{16EFEC94-FB26-48E6-A1CD-F272E329A036}" name="LO Description" dataDxfId="565"/>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5102SPS_Assess" displayName="_5102SPS_Assess" ref="C37:H41" totalsRowShown="0" headerRowDxfId="56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563"/>
    <tableColumn id="2" xr3:uid="{2BC12B11-B6CF-4E7C-B492-9E71A2A4DCFC}" name="Assessment Type" dataDxfId="562"/>
    <tableColumn id="7" xr3:uid="{F22466C0-E91B-4130-82AB-931BDD5DAFD5}" name="Assessment Specific" dataDxfId="561"/>
    <tableColumn id="3" xr3:uid="{A2D2688F-0CD2-442B-B2C4-399FA320B460}" name="Assessment Description" dataDxfId="560"/>
    <tableColumn id="4" xr3:uid="{9C3172F4-207C-490E-A1A4-3782CCE0F62E}" name="Weighting" dataDxfId="559"/>
    <tableColumn id="5" xr3:uid="{5D552087-F8C1-4DC6-AB58-461CAA57A675}" name="Due Week" dataDxfId="558"/>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5102SPS_Weekly" displayName="_5102SPS_Weekly" ref="B71:F95" totalsRowShown="0">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557"/>
    <tableColumn id="2" xr3:uid="{C3767A97-7DDC-4C9C-BAA0-36AD5C496EEE}" name="Week Number" dataDxfId="556"/>
    <tableColumn id="3" xr3:uid="{ECEBB099-0848-4BF9-A0F1-A91B05144BDE}" name="Weekly Content 1" dataDxfId="555"/>
    <tableColumn id="4" xr3:uid="{C2073020-3A29-4533-9629-7F40A8DD2B8B}" name="Weekly Content 2" dataDxfId="554"/>
    <tableColumn id="5" xr3:uid="{6345D17D-CE7F-4BE7-9354-5B3222EE1FDE}" name="Weekly Content 3" dataDxfId="553"/>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5102SPS_Hours" displayName="_5102SPS_Hours" ref="C18:D24" totalsRowShown="0">
  <autoFilter ref="C18:D24" xr:uid="{B71A3569-AA65-4A4E-98A2-885F5C38B46D}">
    <filterColumn colId="0" hiddenButton="1"/>
    <filterColumn colId="1" hiddenButton="1"/>
  </autoFilter>
  <tableColumns count="2">
    <tableColumn id="1" xr3:uid="{B46B0870-C95C-4D4E-B01A-05CA40485288}" name="Component" dataDxfId="552"/>
    <tableColumn id="2" xr3:uid="{A34E191B-0F4D-40A9-98C4-DFC5C0ED5B03}" name="Contact Hours" dataDxfId="551"/>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5102SPS_Mapping" displayName="_5102SPS_Mapping" ref="C45:F67" totalsRowShown="0" headerRowDxfId="550" dataDxfId="549">
  <autoFilter ref="C45:F67"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548"/>
    <tableColumn id="2" xr3:uid="{D948967E-B1D8-422E-BC05-E5DE64BFE116}" name="LO Number" dataDxfId="547"/>
    <tableColumn id="3" xr3:uid="{41BBFD1D-FBB9-4518-8884-EB40901F4694}" name="Graduate Skills Category" dataDxfId="546"/>
    <tableColumn id="4" xr3:uid="{913662D7-6EF1-491B-A990-50699C27238F}" name="Graduate Skill" dataDxfId="545"/>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5102SPS_Aims" displayName="_5102SPS_Aims" ref="F6:F8" totalsRowShown="0" dataDxfId="544">
  <autoFilter ref="F6:F8" xr:uid="{9552138F-2332-4BC4-A585-0E13162881A5}"/>
  <tableColumns count="1">
    <tableColumn id="1" xr3:uid="{2CF6523F-40A9-456F-8FAA-4363371E379D}" name="Aims" dataDxfId="543"/>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5102SPS_Syllabus" displayName="_5102SPS_Syllabus" ref="F10:F13" totalsRowShown="0" dataDxfId="542">
  <autoFilter ref="F10:F13" xr:uid="{94F18F67-3F10-4F6E-A953-4FE3399B07F2}"/>
  <tableColumns count="1">
    <tableColumn id="1" xr3:uid="{5BDD719A-56F8-4CFB-8C2B-B09D9EFEEBC9}" name="Outline Syllabus" dataDxfId="541"/>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5102SPS_Overview" displayName="_5102SPS_Overview" ref="F15:F20" totalsRowShown="0" dataDxfId="540">
  <autoFilter ref="F15:F20" xr:uid="{1B2BCD7B-6C15-4B1C-86BC-48FF83D8F225}"/>
  <tableColumns count="1">
    <tableColumn id="1" xr3:uid="{6FA2E212-5F86-4DAE-AF6E-5A52409DCB13}" name="Module Overview" dataDxfId="539"/>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5102SPS_Notes" displayName="_5102SPS_Notes" ref="F22:F33" totalsRowShown="0" dataDxfId="538">
  <autoFilter ref="F22:F33" xr:uid="{D5968C0A-6D7E-4221-87EE-78A85A4039B3}"/>
  <tableColumns count="1">
    <tableColumn id="1" xr3:uid="{8FE8F154-AB86-4DDE-9840-555725F99393}" name="Additional Information/Notes" dataDxfId="537"/>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5103SPS_Meta" displayName="_5103SPS_Meta" ref="C6:D14" totalsRowShown="0">
  <autoFilter ref="C6:D14" xr:uid="{CD75D2A7-14B1-4ABD-B64D-6E875F9BC652}">
    <filterColumn colId="0" hiddenButton="1"/>
    <filterColumn colId="1" hiddenButton="1"/>
  </autoFilter>
  <tableColumns count="2">
    <tableColumn id="1" xr3:uid="{8F10F388-99AB-4D28-B816-601553218F24}" name="Module Data" dataDxfId="536"/>
    <tableColumn id="2" xr3:uid="{AE7AA7A8-FBD0-4010-AD14-259A290F3DBF}" name="Details" dataDxfId="535"/>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5103SPS_LO" displayName="_5103SPS_LO" ref="C28:D33" totalsRowShown="0" headerRowDxfId="534">
  <autoFilter ref="C28:D33" xr:uid="{22316987-6BEB-4FAF-9619-BF9BE9909CFA}">
    <filterColumn colId="0" hiddenButton="1"/>
    <filterColumn colId="1" hiddenButton="1"/>
  </autoFilter>
  <tableColumns count="2">
    <tableColumn id="1" xr3:uid="{65874036-7B81-4E0E-AD1F-388C30468A0C}" name="LO Number" dataDxfId="533"/>
    <tableColumn id="2" xr3:uid="{AB5F4256-8EBE-42B2-864C-6175401C4B94}" name="LO Description" dataDxfId="532"/>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5103SPS_Assess" displayName="_5103SPS_Assess" ref="C37:H41" totalsRowShown="0" headerRowDxfId="53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530"/>
    <tableColumn id="2" xr3:uid="{A7D8377D-26A9-4C0C-89E5-2BBF15A2C53A}" name="Assessment Type" dataDxfId="529"/>
    <tableColumn id="7" xr3:uid="{902CD105-3E65-4D48-9EBC-28A512F14EA4}" name="Assessment Specific" dataDxfId="528"/>
    <tableColumn id="3" xr3:uid="{F0188AEF-B58B-42EE-B788-6BDBEC8A2666}" name="Assessment Description" dataDxfId="527"/>
    <tableColumn id="4" xr3:uid="{463AE76C-D818-4D0D-9C85-14C568E969CF}" name="Weighting" dataDxfId="526"/>
    <tableColumn id="5" xr3:uid="{F3A74D3A-9891-4785-8514-2F35F953399C}" name="Due Week" dataDxfId="525"/>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5103SPS_Weekly" displayName="_51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524"/>
    <tableColumn id="2" xr3:uid="{779570F9-536A-4051-99E1-6CF566D7A0D1}" name="Week Number" dataDxfId="523"/>
    <tableColumn id="3" xr3:uid="{B34499F2-A07D-444A-9F9C-30E044383158}" name="Weekly Content 1" dataDxfId="522"/>
    <tableColumn id="4" xr3:uid="{F39D2B5F-C444-4352-91E8-C0744DF26B06}" name="Weekly Content 2" dataDxfId="521"/>
    <tableColumn id="5" xr3:uid="{694E2C5F-AF9A-4034-8744-D2347A9BD5B9}" name="Weekly Content 3" dataDxfId="520"/>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5103SPS_Hours" displayName="_5103SPS_Hours" ref="C18:D24" totalsRowShown="0">
  <autoFilter ref="C18:D24" xr:uid="{B71A3569-AA65-4A4E-98A2-885F5C38B46D}">
    <filterColumn colId="0" hiddenButton="1"/>
    <filterColumn colId="1" hiddenButton="1"/>
  </autoFilter>
  <tableColumns count="2">
    <tableColumn id="1" xr3:uid="{AACE1E36-CD18-4943-8A94-8FD55C616649}" name="Component" dataDxfId="519"/>
    <tableColumn id="2" xr3:uid="{B1979956-177B-4D66-BF9C-2582ABBB4BF9}" name="Contact Hours" dataDxfId="518"/>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5103SPS_Mapping" displayName="_5103SPS_Mapping" ref="C45:F66" totalsRowShown="0" headerRowDxfId="517" dataDxfId="516">
  <autoFilter ref="C45:F6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515"/>
    <tableColumn id="2" xr3:uid="{BBF5102E-4D62-467D-89A8-6878CBB973B5}" name="LO Number" dataDxfId="514"/>
    <tableColumn id="3" xr3:uid="{19F9550F-E174-446A-8CD8-FB222F828FA2}" name="Graduate Skills Category" dataDxfId="513"/>
    <tableColumn id="4" xr3:uid="{22926E4B-AB40-45D5-A07C-199AB2307121}" name="Graduate Skill" dataDxfId="512"/>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5103SPS_Aims" displayName="_5103SPS_Aims" ref="F6:F8" totalsRowShown="0" dataDxfId="511">
  <autoFilter ref="F6:F8" xr:uid="{9552138F-2332-4BC4-A585-0E13162881A5}"/>
  <tableColumns count="1">
    <tableColumn id="1" xr3:uid="{75179496-A8E3-4C17-A2D2-8AF29C0BD18A}" name="Aims" dataDxfId="510"/>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5103SPS_Syllabus" displayName="_5103SPS_Syllabus" ref="F10:F13" totalsRowShown="0" dataDxfId="509">
  <autoFilter ref="F10:F13" xr:uid="{94F18F67-3F10-4F6E-A953-4FE3399B07F2}"/>
  <tableColumns count="1">
    <tableColumn id="1" xr3:uid="{C11B339B-A121-4F67-998C-0EB7843C79D2}" name="Outline Syllabus" dataDxfId="508"/>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5103SPS_Overview" displayName="_5103SPS_Overview" ref="F15:F20" totalsRowShown="0" dataDxfId="507">
  <autoFilter ref="F15:F20" xr:uid="{1B2BCD7B-6C15-4B1C-86BC-48FF83D8F225}"/>
  <tableColumns count="1">
    <tableColumn id="1" xr3:uid="{B644A5C6-F53D-4CAC-B23F-A22EE05D52F7}" name="Module Overview" dataDxfId="506"/>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5103SPS_Notes" displayName="_5103SPS_Notes" ref="F22:F33" totalsRowShown="0" dataDxfId="505">
  <autoFilter ref="F22:F33" xr:uid="{D5968C0A-6D7E-4221-87EE-78A85A4039B3}"/>
  <tableColumns count="1">
    <tableColumn id="1" xr3:uid="{17E3BB4C-BB7C-4827-AAED-6C9AECAD47FE}" name="Additional Information/Notes" dataDxfId="504"/>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D74122E-1B7A-499D-906B-5CC560923C45}" name="6101SPS_Meta" displayName="_6101SPS_Meta" ref="C6:D14" totalsRowShown="0">
  <autoFilter ref="C6:D14" xr:uid="{CD75D2A7-14B1-4ABD-B64D-6E875F9BC652}">
    <filterColumn colId="0" hiddenButton="1"/>
    <filterColumn colId="1" hiddenButton="1"/>
  </autoFilter>
  <tableColumns count="2">
    <tableColumn id="1" xr3:uid="{59632FD2-ADF3-4C82-8BD5-420F294E11C7}" name="Module Data" dataDxfId="503"/>
    <tableColumn id="2" xr3:uid="{8CCBAE8A-F2FE-41C4-ACC2-A97D717C0112}" name="Details" dataDxfId="502"/>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0485721-F385-4C04-84DE-34B88F81293E}" name="6101SPS_LO" displayName="_6101SPS_LO" ref="C28:D33" totalsRowShown="0" headerRowDxfId="501">
  <autoFilter ref="C28:D33" xr:uid="{22316987-6BEB-4FAF-9619-BF9BE9909CFA}">
    <filterColumn colId="0" hiddenButton="1"/>
    <filterColumn colId="1" hiddenButton="1"/>
  </autoFilter>
  <tableColumns count="2">
    <tableColumn id="1" xr3:uid="{4EF000E4-780E-462E-94B9-665B9C66E80A}" name="LO Number" dataDxfId="500"/>
    <tableColumn id="2" xr3:uid="{8DE7FF42-E93D-4882-90E1-F03BDCC7C663}" name="LO Description" dataDxfId="499"/>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E63FB89-C42F-4AD7-BB3B-FCF3CA739275}" name="6101SPS_Assess" displayName="_6101SPS_Assess" ref="C37:H41" totalsRowShown="0" headerRowDxfId="49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9A126F-DEC0-41E6-BFC4-E3B68EFE4090}" name="Assessment No" dataDxfId="497"/>
    <tableColumn id="2" xr3:uid="{E56CBD09-3E9D-4390-BC32-4320288ECF49}" name="Assessment Type" dataDxfId="496"/>
    <tableColumn id="7" xr3:uid="{2042A595-88BB-48AE-8DE9-08F9843A65F4}" name="Assessment Specific" dataDxfId="495"/>
    <tableColumn id="3" xr3:uid="{4E7A1FBA-AC92-4C49-968B-C1C40CDF45A5}" name="Assessment Description" dataDxfId="494"/>
    <tableColumn id="4" xr3:uid="{0A8E3B7A-41B3-4C6C-BD7C-F70005A5518B}" name="Weighting" dataDxfId="493"/>
    <tableColumn id="5" xr3:uid="{41BF57AA-9057-4D7D-B892-C99EED25778F}" name="Due Week" dataDxfId="492"/>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9057A16-900F-4819-9CE5-ACCA8322C193}" name="6101SPS_Weekly" displayName="_61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FAF03C6-C5B8-4CE3-BF5B-A6AF2E351492}" name="Semester " dataDxfId="491"/>
    <tableColumn id="2" xr3:uid="{592CAF7B-B3BC-484C-9EF6-A0DBEF72E67F}" name="Week Number" dataDxfId="490"/>
    <tableColumn id="3" xr3:uid="{C9C70C18-20BE-49C0-8CBE-BE6063301D8B}" name="Weekly Content 1" dataDxfId="489"/>
    <tableColumn id="4" xr3:uid="{F2059AD0-6761-42AB-90EB-C1B04E0C7353}" name="Weekly Content 2" dataDxfId="488"/>
    <tableColumn id="5" xr3:uid="{C5FF21DA-C072-4003-8733-39BDF19353FA}" name="Weekly Content 3" dataDxfId="487"/>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A153528-7480-476A-9D50-9B88A6E38F55}" name="6101SPS_Hours" displayName="_6101SPS_Hours" ref="C18:D24" totalsRowShown="0">
  <autoFilter ref="C18:D24" xr:uid="{B71A3569-AA65-4A4E-98A2-885F5C38B46D}">
    <filterColumn colId="0" hiddenButton="1"/>
    <filterColumn colId="1" hiddenButton="1"/>
  </autoFilter>
  <tableColumns count="2">
    <tableColumn id="1" xr3:uid="{E76F71CE-1496-4AF6-BD8E-AC4301E5C11C}" name="Component" dataDxfId="486"/>
    <tableColumn id="2" xr3:uid="{10A8B829-22E5-44FA-B898-C017E70406A4}" name="Contact Hours" dataDxfId="485"/>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80EE851-E0D2-4482-860E-C97FC3978DED}" name="6101SPS_Mapping" displayName="_6101SPS_Mapping" ref="C45:F66" totalsRowShown="0" headerRowDxfId="484" dataDxfId="483">
  <autoFilter ref="C45:F66" xr:uid="{E0A841BB-B6D5-4048-B5F2-18CF9F502EBA}">
    <filterColumn colId="0" hiddenButton="1"/>
    <filterColumn colId="1" hiddenButton="1"/>
    <filterColumn colId="2" hiddenButton="1"/>
    <filterColumn colId="3" hiddenButton="1"/>
  </autoFilter>
  <tableColumns count="4">
    <tableColumn id="1" xr3:uid="{BDA1BC20-9DA6-4D2D-BE66-628F0EC23ABD}" name="Assessment No" dataDxfId="482"/>
    <tableColumn id="2" xr3:uid="{EA5FDCD9-1E61-472D-81F9-2883B9641747}" name="LO Number" dataDxfId="481"/>
    <tableColumn id="3" xr3:uid="{CCCF5ADA-06E0-4A91-83AE-399B900464ED}" name="Graduate Skills Category" dataDxfId="480"/>
    <tableColumn id="4" xr3:uid="{D6FEAFFF-68F2-40EF-BDC4-92DC8AF60B0B}" name="Graduate Skill" dataDxfId="479"/>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CD466DF-B795-42C3-AE3B-281D11D9B2FD}" name="6101SPS_Aims" displayName="_6101SPS_Aims" ref="F6:F8" totalsRowShown="0" dataDxfId="478">
  <autoFilter ref="F6:F8" xr:uid="{9552138F-2332-4BC4-A585-0E13162881A5}"/>
  <tableColumns count="1">
    <tableColumn id="1" xr3:uid="{805616E4-B757-49C5-8AFD-679FD1C3035C}" name="Aims" dataDxfId="477"/>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672675B-2C0F-4782-AB89-559295DD13FF}" name="6101SPS_Syllabus" displayName="_6101SPS_Syllabus" ref="F10:F13" totalsRowShown="0" dataDxfId="476">
  <autoFilter ref="F10:F13" xr:uid="{94F18F67-3F10-4F6E-A953-4FE3399B07F2}"/>
  <tableColumns count="1">
    <tableColumn id="1" xr3:uid="{AC4E006D-D99C-4E50-B5D9-56154F4430AD}" name="Outline Syllabus" dataDxfId="475"/>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B5DFED8-0F85-4604-A480-EB21F372A2E2}" name="6101SPS_Overview" displayName="_6101SPS_Overview" ref="F15:F20" totalsRowShown="0" dataDxfId="474">
  <autoFilter ref="F15:F20" xr:uid="{1B2BCD7B-6C15-4B1C-86BC-48FF83D8F225}"/>
  <tableColumns count="1">
    <tableColumn id="1" xr3:uid="{D99038A9-7472-476F-8C90-5531054233FC}" name="Module Overview" dataDxfId="473"/>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00D51C3-316A-46F0-BC0E-1314FD91CA13}" name="6101SPS_Notes" displayName="_6101SPS_Notes" ref="F22:F33" totalsRowShown="0" dataDxfId="472">
  <autoFilter ref="F22:F33" xr:uid="{D5968C0A-6D7E-4221-87EE-78A85A4039B3}"/>
  <tableColumns count="1">
    <tableColumn id="1" xr3:uid="{3994805D-762E-401D-88C3-584C97999D0D}" name="Additional Information/Notes" dataDxfId="471"/>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102SPS_Meta" displayName="_6102SPS_Meta" ref="C6:D14" totalsRowShown="0">
  <autoFilter ref="C6:D14" xr:uid="{CD75D2A7-14B1-4ABD-B64D-6E875F9BC652}">
    <filterColumn colId="0" hiddenButton="1"/>
    <filterColumn colId="1" hiddenButton="1"/>
  </autoFilter>
  <tableColumns count="2">
    <tableColumn id="1" xr3:uid="{070BBF13-BA41-4DE1-A713-FB0E8630711C}" name="Module Data" dataDxfId="470"/>
    <tableColumn id="2" xr3:uid="{0E3F0926-B28A-4EA7-AAE9-E35BEC0A4DF5}" name="Details" dataDxfId="469"/>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102SPS_LO" displayName="_6102SPS_LO" ref="C28:D33" totalsRowShown="0" headerRowDxfId="468">
  <autoFilter ref="C28:D33" xr:uid="{22316987-6BEB-4FAF-9619-BF9BE9909CFA}">
    <filterColumn colId="0" hiddenButton="1"/>
    <filterColumn colId="1" hiddenButton="1"/>
  </autoFilter>
  <tableColumns count="2">
    <tableColumn id="1" xr3:uid="{6088F306-C9B4-4ED7-9EEC-A674129ECCC9}" name="LO Number" dataDxfId="467"/>
    <tableColumn id="2" xr3:uid="{43834854-BE01-444E-8E1C-AE64963B358A}" name="LO Description" dataDxfId="466"/>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102SPS_Assess" displayName="_6102SPS_Assess" ref="C37:H41" totalsRowShown="0" headerRowDxfId="46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464"/>
    <tableColumn id="2" xr3:uid="{E2407AF6-3C98-4FD1-B31B-CB85A955F2E3}" name="Assessment Type" dataDxfId="463"/>
    <tableColumn id="7" xr3:uid="{803004E8-4057-430E-BD7F-E6A122487416}" name="Assessment Specific" dataDxfId="462"/>
    <tableColumn id="3" xr3:uid="{E82EABFF-0858-4F25-A741-AD63FC636934}" name="Assessment Description" dataDxfId="461"/>
    <tableColumn id="4" xr3:uid="{C435B8B1-D65F-4F43-8C3B-45550CBDD4FC}" name="Weighting" dataDxfId="460"/>
    <tableColumn id="5" xr3:uid="{03FBD12C-63B3-45F3-8CCB-172C1C96BB7E}" name="Due Week" dataDxfId="459"/>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102SPS_Weekly" displayName="_61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458"/>
    <tableColumn id="2" xr3:uid="{0DEEBD8D-895D-4DB2-9CAB-767B56867428}" name="Week Number" dataDxfId="457"/>
    <tableColumn id="3" xr3:uid="{7E2D8092-2899-4612-BA2F-D50BF49F0F02}" name="Weekly Content 1" dataDxfId="456"/>
    <tableColumn id="4" xr3:uid="{543E0828-8F90-405C-8DC4-A27DEA150475}" name="Weekly Content 2" dataDxfId="455"/>
    <tableColumn id="5" xr3:uid="{CFCB0F41-D4BE-4456-B805-D7551BF9E83C}" name="Weekly Content 3" dataDxfId="454"/>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102SPS_Hours" displayName="_6102SPS_Hours" ref="C18:D24" totalsRowShown="0">
  <autoFilter ref="C18:D24" xr:uid="{B71A3569-AA65-4A4E-98A2-885F5C38B46D}">
    <filterColumn colId="0" hiddenButton="1"/>
    <filterColumn colId="1" hiddenButton="1"/>
  </autoFilter>
  <tableColumns count="2">
    <tableColumn id="1" xr3:uid="{A95790DB-8258-4803-8284-4A4A89FC1A81}" name="Component" dataDxfId="453"/>
    <tableColumn id="2" xr3:uid="{F8CDBB8B-28A2-40B8-8AB1-6707537C499B}" name="Contact Hours" dataDxfId="452"/>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102SPS_Mapping" displayName="_6102SPS_Mapping" ref="C45:F66" totalsRowShown="0" headerRowDxfId="451" dataDxfId="450">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449"/>
    <tableColumn id="2" xr3:uid="{0A9CFE48-B3C3-4D3C-9F56-3062488E96D8}" name="LO Number" dataDxfId="448"/>
    <tableColumn id="3" xr3:uid="{F14AC592-27AF-4E15-B730-92515D2D5861}" name="Graduate Skills Category" dataDxfId="447"/>
    <tableColumn id="4" xr3:uid="{33BA90E8-AAD8-435C-9AC1-A549EDBF7228}" name="Graduate Skill" dataDxfId="446"/>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102SPS_Aims" displayName="_6102SPS_Aims" ref="F6:F8" totalsRowShown="0" dataDxfId="445">
  <autoFilter ref="F6:F8" xr:uid="{9552138F-2332-4BC4-A585-0E13162881A5}"/>
  <tableColumns count="1">
    <tableColumn id="1" xr3:uid="{95B55738-9EA9-42EF-9542-C1E475114357}" name="Aims" dataDxfId="444"/>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102SPS_Syllabus" displayName="_6102SPS_Syllabus" ref="F10:F13" totalsRowShown="0" dataDxfId="443">
  <autoFilter ref="F10:F13" xr:uid="{94F18F67-3F10-4F6E-A953-4FE3399B07F2}"/>
  <tableColumns count="1">
    <tableColumn id="1" xr3:uid="{773F3BC1-153C-4CA9-9626-F7014E9C09FC}" name="Outline Syllabus" dataDxfId="442"/>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102SPS_Overview" displayName="_6102SPS_Overview" ref="F15:F20" totalsRowShown="0" dataDxfId="441">
  <autoFilter ref="F15:F20" xr:uid="{1B2BCD7B-6C15-4B1C-86BC-48FF83D8F225}"/>
  <tableColumns count="1">
    <tableColumn id="1" xr3:uid="{5AB497BE-0287-4B15-828E-068ECF632096}" name="Module Overview" dataDxfId="440"/>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102SPS_Notes" displayName="_6102SPS_Notes" ref="F22:F33" totalsRowShown="0" dataDxfId="439">
  <autoFilter ref="F22:F33" xr:uid="{D5968C0A-6D7E-4221-87EE-78A85A4039B3}"/>
  <tableColumns count="1">
    <tableColumn id="1" xr3:uid="{050403C8-321F-4DA4-B6C6-73EFBF9C2B3A}" name="Additional Information/Notes" dataDxfId="438"/>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38E0FBC-144F-4EEE-94A6-7B3ED9B43127}" name="6103SPS_Meta" displayName="_6103SPS_Meta" ref="C6:D14" totalsRowShown="0">
  <autoFilter ref="C6:D14" xr:uid="{CD75D2A7-14B1-4ABD-B64D-6E875F9BC652}">
    <filterColumn colId="0" hiddenButton="1"/>
    <filterColumn colId="1" hiddenButton="1"/>
  </autoFilter>
  <tableColumns count="2">
    <tableColumn id="1" xr3:uid="{1C097530-B4B2-49B5-9A38-694FB66998A6}" name="Module Data" dataDxfId="437"/>
    <tableColumn id="2" xr3:uid="{614B3911-F5ED-4B05-8A07-45A7AB4CFB52}" name="Details" dataDxfId="436"/>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0207BEA-4163-4330-92BD-85D7725D2A6A}" name="6103SPS_LO" displayName="_6103SPS_LO" ref="C28:D33" totalsRowShown="0" headerRowDxfId="435">
  <autoFilter ref="C28:D33" xr:uid="{22316987-6BEB-4FAF-9619-BF9BE9909CFA}">
    <filterColumn colId="0" hiddenButton="1"/>
    <filterColumn colId="1" hiddenButton="1"/>
  </autoFilter>
  <tableColumns count="2">
    <tableColumn id="1" xr3:uid="{35E5C1D8-FDBE-4821-B0A4-A27E42F34EF4}" name="LO Number" dataDxfId="434"/>
    <tableColumn id="2" xr3:uid="{73BDB3B5-85D4-4EC4-AD91-D458B8D1A13B}" name="LO Description" dataDxfId="433"/>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61084F8-276C-4CE8-AC1C-346F783040D4}" name="6103SPS_Assess" displayName="_6103SPS_Assess" ref="C37:H41" totalsRowShown="0" headerRowDxfId="43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E21A1FC-02CE-4566-9AE4-6A42BD9BC513}" name="Assessment No" dataDxfId="431"/>
    <tableColumn id="2" xr3:uid="{AF86F5B1-FF29-4F6F-A5B8-A38E3BC1D030}" name="Assessment Type" dataDxfId="430"/>
    <tableColumn id="7" xr3:uid="{268D098B-B2AC-48D1-8C93-1931D4DE6AB3}" name="Assessment Specific" dataDxfId="429"/>
    <tableColumn id="3" xr3:uid="{8CE69AB0-F52A-4FCB-ABAE-8BC40377EBFE}" name="Assessment Description" dataDxfId="428"/>
    <tableColumn id="4" xr3:uid="{D5BB5EE6-FB13-43AB-8E1C-E693D40E6BF0}" name="Weighting" dataDxfId="427"/>
    <tableColumn id="5" xr3:uid="{F2049C7E-C5BD-40CF-96F7-3CF3E251AA9C}" name="Due Week" dataDxfId="426"/>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50AAF580-B431-48A2-8BB5-B5DBED2E9A32}" name="6103SPS_Weekly" displayName="_61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1995BF8-91FB-4B9C-B90F-9C1F2EFA18B2}" name="Semester " dataDxfId="425"/>
    <tableColumn id="2" xr3:uid="{3E5B5951-E025-4950-A5CA-C0E79C3EEC69}" name="Week Number" dataDxfId="424"/>
    <tableColumn id="3" xr3:uid="{F9C32F04-0801-43F1-8091-DC40F8686858}" name="Weekly Content 1" dataDxfId="423"/>
    <tableColumn id="4" xr3:uid="{FA80DB17-0F80-4708-8DB2-144E6C81F8FA}" name="Weekly Content 2" dataDxfId="422"/>
    <tableColumn id="5" xr3:uid="{56A4E034-2385-43D6-A3E9-53F2A39959F5}" name="Weekly Content 3" dataDxfId="421"/>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7E1DD7B-F30D-48F1-BEB1-FA7FA5497992}" name="6103SPS_Hours" displayName="_6103SPS_Hours" ref="C18:D24" totalsRowShown="0">
  <autoFilter ref="C18:D24" xr:uid="{B71A3569-AA65-4A4E-98A2-885F5C38B46D}">
    <filterColumn colId="0" hiddenButton="1"/>
    <filterColumn colId="1" hiddenButton="1"/>
  </autoFilter>
  <tableColumns count="2">
    <tableColumn id="1" xr3:uid="{6C8E6598-2974-4356-A517-0C8CAEC4B9A6}" name="Component" dataDxfId="420"/>
    <tableColumn id="2" xr3:uid="{AC5AC74A-364C-4EEE-97C7-F5085AF8F46A}" name="Contact Hours" dataDxfId="419"/>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24E1607-810F-40F6-96DE-9BBFD23C52C4}" name="6103SPS_Mapping" displayName="_6103SPS_Mapping" ref="C45:F66" totalsRowShown="0" headerRowDxfId="418" dataDxfId="417">
  <autoFilter ref="C45:F66" xr:uid="{E0A841BB-B6D5-4048-B5F2-18CF9F502EBA}">
    <filterColumn colId="0" hiddenButton="1"/>
    <filterColumn colId="1" hiddenButton="1"/>
    <filterColumn colId="2" hiddenButton="1"/>
    <filterColumn colId="3" hiddenButton="1"/>
  </autoFilter>
  <tableColumns count="4">
    <tableColumn id="1" xr3:uid="{6D1F08E0-55BB-4DBA-BF37-6B7B9BE6A8DA}" name="Assessment No" dataDxfId="416"/>
    <tableColumn id="2" xr3:uid="{F343AF7C-C9D2-4A5E-A10A-9D229CB18D29}" name="LO Number" dataDxfId="415"/>
    <tableColumn id="3" xr3:uid="{64B910F9-13E3-4711-AA05-211E9CF37C70}" name="Graduate Skills Category" dataDxfId="414"/>
    <tableColumn id="4" xr3:uid="{2D114B02-AD52-4ABD-A1E0-DA14541743A0}" name="Graduate Skill" dataDxfId="413"/>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8E700F73-9AA2-445F-8E6B-089639B178EE}" name="6103SPS_Aims" displayName="_6103SPS_Aims" ref="F6:F8" totalsRowShown="0" dataDxfId="412">
  <autoFilter ref="F6:F8" xr:uid="{9552138F-2332-4BC4-A585-0E13162881A5}"/>
  <tableColumns count="1">
    <tableColumn id="1" xr3:uid="{72C0010A-7E65-4165-85B1-92F42C49D790}" name="Aims" dataDxfId="411"/>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5D97512-DB9E-4F4D-B110-D91E98EA8473}" name="6103SPS_Syllabus" displayName="_6103SPS_Syllabus" ref="F10:F13" totalsRowShown="0" dataDxfId="410">
  <autoFilter ref="F10:F13" xr:uid="{94F18F67-3F10-4F6E-A953-4FE3399B07F2}"/>
  <tableColumns count="1">
    <tableColumn id="1" xr3:uid="{40F38839-A844-4EAD-B354-606D615D253D}" name="Outline Syllabus" dataDxfId="409"/>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6DCD1081-4AF8-4170-A8C5-1AE48475C9BF}" name="6103SPS_Overview" displayName="_6103SPS_Overview" ref="F15:F20" totalsRowShown="0" dataDxfId="408">
  <autoFilter ref="F15:F20" xr:uid="{1B2BCD7B-6C15-4B1C-86BC-48FF83D8F225}"/>
  <tableColumns count="1">
    <tableColumn id="1" xr3:uid="{F0EA7A21-A240-4378-ABC5-4F4BC08223CF}" name="Module Overview" dataDxfId="407"/>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110D869-0C27-4050-B0EB-2117E07C5447}" name="6103SPS_Notes" displayName="_6103SPS_Notes" ref="F22:F33" totalsRowShown="0" dataDxfId="406">
  <autoFilter ref="F22:F33" xr:uid="{D5968C0A-6D7E-4221-87EE-78A85A4039B3}"/>
  <tableColumns count="1">
    <tableColumn id="1" xr3:uid="{29B53D27-6E02-4157-BA49-5A597182E735}" name="Additional Information/Notes" dataDxfId="405"/>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104SPS_Meta" displayName="_6104SPS_Meta" ref="C6:D14" totalsRowShown="0">
  <autoFilter ref="C6:D14" xr:uid="{CD75D2A7-14B1-4ABD-B64D-6E875F9BC652}">
    <filterColumn colId="0" hiddenButton="1"/>
    <filterColumn colId="1" hiddenButton="1"/>
  </autoFilter>
  <tableColumns count="2">
    <tableColumn id="1" xr3:uid="{259296C2-F94D-4D8E-8A48-375C8B32976A}" name="Module Data" dataDxfId="404"/>
    <tableColumn id="2" xr3:uid="{FBE26AB7-C871-483E-8BF5-3102A6CBA6A9}" name="Details" dataDxfId="403"/>
  </tableColumns>
  <tableStyleInfo name="TableStyleMedium6"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104SPS_LO" displayName="_6104SPS_LO" ref="C28:D33" totalsRowShown="0" headerRowDxfId="402">
  <autoFilter ref="C28:D33" xr:uid="{22316987-6BEB-4FAF-9619-BF9BE9909CFA}">
    <filterColumn colId="0" hiddenButton="1"/>
    <filterColumn colId="1" hiddenButton="1"/>
  </autoFilter>
  <tableColumns count="2">
    <tableColumn id="1" xr3:uid="{A4A042E5-B73A-4E95-83BE-374230EAEF75}" name="LO Number" dataDxfId="401"/>
    <tableColumn id="2" xr3:uid="{4CC50DE2-34DC-4FAA-BB54-72EB81C5A918}" name="LO Description" dataDxfId="400"/>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104SPS_Assess" displayName="_6104SPS_Assess" ref="C37:H41" totalsRowShown="0" headerRowDxfId="39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398"/>
    <tableColumn id="2" xr3:uid="{846FFE48-B8E8-4A55-98C3-5451769A8EB5}" name="Assessment Type" dataDxfId="397"/>
    <tableColumn id="7" xr3:uid="{82AE06D6-F94C-441D-B6C3-297200BD5794}" name="Assessment Specific" dataDxfId="396"/>
    <tableColumn id="3" xr3:uid="{FEAAD1E7-46DD-4E01-9EEE-AB9037A04A09}" name="Assessment Description" dataDxfId="395"/>
    <tableColumn id="4" xr3:uid="{C4BFD846-DFE3-41AB-966C-3EFB00B2A790}" name="Weighting" dataDxfId="394"/>
    <tableColumn id="5" xr3:uid="{476F5563-CB55-4B33-88F8-D363824819FD}" name="Due Week" dataDxfId="393"/>
  </tableColumns>
  <tableStyleInfo name="TableStyleMedium3"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104SPS_Weekly" displayName="_610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392"/>
    <tableColumn id="2" xr3:uid="{B9620A06-7C82-4FF4-995F-02655A14B62E}" name="Week Number" dataDxfId="391"/>
    <tableColumn id="3" xr3:uid="{90BEA63A-0B10-4F26-B07B-76B2D9A73B94}" name="Weekly Content 1" dataDxfId="390"/>
    <tableColumn id="4" xr3:uid="{BA0A787E-3BAF-4419-9436-D40693419273}" name="Weekly Content 2" dataDxfId="389"/>
    <tableColumn id="5" xr3:uid="{3E95C25D-5EE2-483B-B9C6-B69D6222BD63}" name="Weekly Content 3" dataDxfId="388"/>
  </tableColumns>
  <tableStyleInfo name="TableStyleMedium4"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104SPS_Hours" displayName="_6104SPS_Hours" ref="C18:D24" totalsRowShown="0">
  <autoFilter ref="C18:D24" xr:uid="{B71A3569-AA65-4A4E-98A2-885F5C38B46D}">
    <filterColumn colId="0" hiddenButton="1"/>
    <filterColumn colId="1" hiddenButton="1"/>
  </autoFilter>
  <tableColumns count="2">
    <tableColumn id="1" xr3:uid="{17D1F957-8C58-47BC-9BD8-09011C101FC1}" name="Component" dataDxfId="387"/>
    <tableColumn id="2" xr3:uid="{F76831A8-1692-44D6-9D6D-3D5E7EBE7CB7}" name="Contact Hours" dataDxfId="386"/>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104SPS_Mapping" displayName="_6104SPS_Mapping" ref="C45:F66" totalsRowShown="0" headerRowDxfId="385">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tableColumn id="2" xr3:uid="{AFA09957-495C-47A6-9409-B82CF20C9FEE}" name="LO Number"/>
    <tableColumn id="3" xr3:uid="{4A6EF506-39E0-4A77-AB9A-A419A13B11BA}" name="Graduate Skills Category"/>
    <tableColumn id="4" xr3:uid="{1CC8553E-650D-4CC9-BCBD-8A5C77CF26BC}" name="Graduate Skill"/>
  </tableColumns>
  <tableStyleInfo name="TableStyleMedium3"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104SPS_Aims" displayName="_6104SPS_Aims" ref="F6:F8" totalsRowShown="0" dataDxfId="384">
  <autoFilter ref="F6:F8" xr:uid="{9552138F-2332-4BC4-A585-0E13162881A5}"/>
  <tableColumns count="1">
    <tableColumn id="1" xr3:uid="{8B84DA76-C73A-484B-AB85-93CE53A85FF5}" name="Aims" dataDxfId="383"/>
  </tableColumns>
  <tableStyleInfo name="TableStyleMedium6"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104SPS_Syllabus" displayName="_6104SPS_Syllabus" ref="F10:F13" totalsRowShown="0" dataDxfId="382">
  <autoFilter ref="F10:F13" xr:uid="{94F18F67-3F10-4F6E-A953-4FE3399B07F2}"/>
  <tableColumns count="1">
    <tableColumn id="1" xr3:uid="{7BB23C35-AB5C-4E42-B2E9-C41B68F5AF1F}" name="Outline Syllabus" dataDxfId="381"/>
  </tableColumns>
  <tableStyleInfo name="TableStyleMedium6"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104SPS_Overview" displayName="_6104SPS_Overview" ref="F15:F20" totalsRowShown="0" dataDxfId="380">
  <autoFilter ref="F15:F20" xr:uid="{1B2BCD7B-6C15-4B1C-86BC-48FF83D8F225}"/>
  <tableColumns count="1">
    <tableColumn id="1" xr3:uid="{A7EAB096-E6DB-40BE-B37B-256679A7DD5C}" name="Module Overview" dataDxfId="379"/>
  </tableColumns>
  <tableStyleInfo name="TableStyleMedium6"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104SPS_Notes" displayName="_6104SPS_Notes" ref="F22:F33" totalsRowShown="0" dataDxfId="378">
  <autoFilter ref="F22:F33" xr:uid="{D5968C0A-6D7E-4221-87EE-78A85A4039B3}"/>
  <tableColumns count="1">
    <tableColumn id="1" xr3:uid="{C72ADE2C-BCB8-499B-B1B7-EDB3A3B2FE5B}" name="Additional Information/Notes" dataDxfId="377"/>
  </tableColumns>
  <tableStyleInfo name="TableStyleMedium6"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105SPS_Meta" displayName="_6105SPS_Meta" ref="C6:D14" totalsRowShown="0">
  <autoFilter ref="C6:D14" xr:uid="{CD75D2A7-14B1-4ABD-B64D-6E875F9BC652}">
    <filterColumn colId="0" hiddenButton="1"/>
    <filterColumn colId="1" hiddenButton="1"/>
  </autoFilter>
  <tableColumns count="2">
    <tableColumn id="1" xr3:uid="{294825A0-B000-4273-A73D-4BDF1B0EEF00}" name="Module Data" dataDxfId="376"/>
    <tableColumn id="2" xr3:uid="{BFFFACD7-D0A7-40F6-BF15-469686406C3F}" name="Details" dataDxfId="375"/>
  </tableColumns>
  <tableStyleInfo name="TableStyleMedium6"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105SPS_LO" displayName="_6105SPS_LO" ref="C28:D33" totalsRowShown="0" headerRowDxfId="374">
  <autoFilter ref="C28:D33" xr:uid="{22316987-6BEB-4FAF-9619-BF9BE9909CFA}">
    <filterColumn colId="0" hiddenButton="1"/>
    <filterColumn colId="1" hiddenButton="1"/>
  </autoFilter>
  <tableColumns count="2">
    <tableColumn id="1" xr3:uid="{EB0958A2-9E66-44D9-A8DF-610B48FE0AC6}" name="LO Number" dataDxfId="373"/>
    <tableColumn id="2" xr3:uid="{0F368925-4523-471B-A68D-184E05AABCF7}" name="LO Description" dataDxfId="372"/>
  </tableColumns>
  <tableStyleInfo name="TableStyleMedium2"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105SPS_Assess" displayName="_6105SPS_Assess" ref="C37:H41" totalsRowShown="0" headerRowDxfId="37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70"/>
    <tableColumn id="2" xr3:uid="{1FA5C130-1C0E-45D6-8735-EA79A0166F2D}" name="Assessment Type" dataDxfId="369"/>
    <tableColumn id="7" xr3:uid="{34024CC2-5A32-45FD-95BD-978953E7F41B}" name="Assessment Specific" dataDxfId="368"/>
    <tableColumn id="3" xr3:uid="{5DA2B338-CCFE-4568-ACFD-CC8F0B883170}" name="Assessment Description" dataDxfId="367"/>
    <tableColumn id="4" xr3:uid="{597ADF95-B9B9-411B-8079-7F615E89550C}" name="Weighting" dataDxfId="366"/>
    <tableColumn id="5" xr3:uid="{A0D1FD19-8DF8-4595-ADE8-675937B4A7F4}" name="Due Week" dataDxfId="365"/>
  </tableColumns>
  <tableStyleInfo name="TableStyleMedium3"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105SPS_Weekly" displayName="_6105SPS_Weekly" ref="B80:F104" totalsRowShown="0">
  <autoFilter ref="B80:F10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64"/>
    <tableColumn id="2" xr3:uid="{633971FF-9E7F-4A44-865E-D409908313D1}" name="Week Number" dataDxfId="363"/>
    <tableColumn id="3" xr3:uid="{77413702-BFB9-4DEA-BF99-C2A188E22509}" name="Weekly Content 1" dataDxfId="362"/>
    <tableColumn id="4" xr3:uid="{DD1B7D42-32B3-4CC2-9308-AD66B052F8DB}" name="Weekly Content 2" dataDxfId="361"/>
    <tableColumn id="5" xr3:uid="{504E9A1A-C43C-49D3-BB42-E4DD5A49EFCE}" name="Weekly Content 3" dataDxfId="360"/>
  </tableColumns>
  <tableStyleInfo name="TableStyleMedium4"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105SPS_Hours" displayName="_6105SPS_Hours" ref="C18:D24" totalsRowShown="0">
  <autoFilter ref="C18:D24" xr:uid="{B71A3569-AA65-4A4E-98A2-885F5C38B46D}">
    <filterColumn colId="0" hiddenButton="1"/>
    <filterColumn colId="1" hiddenButton="1"/>
  </autoFilter>
  <tableColumns count="2">
    <tableColumn id="1" xr3:uid="{5D165BDB-09FC-4AAA-91DB-E67A247DFF72}" name="Component" dataDxfId="359"/>
    <tableColumn id="2" xr3:uid="{E28A3B10-E692-47D9-A3AD-18128B6A4794}" name="Contact Hours" dataDxfId="358"/>
  </tableColumns>
  <tableStyleInfo name="TableStyleMedium2"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105SPS_Mapping" displayName="_6105SPS_Mapping" ref="C45:F77" totalsRowShown="0" headerRowDxfId="357" dataDxfId="356">
  <autoFilter ref="C45:F77"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55"/>
    <tableColumn id="2" xr3:uid="{A7D6827C-7020-4950-BD3E-00625169C68E}" name="LO Number" dataDxfId="354"/>
    <tableColumn id="3" xr3:uid="{1F68EB03-6C47-4955-9791-229A42D1A45A}" name="Graduate Skills Category" dataDxfId="353"/>
    <tableColumn id="4" xr3:uid="{1FD832D4-8E97-4B72-9B09-606CF407E6C7}" name="Graduate Skill" dataDxfId="352"/>
  </tableColumns>
  <tableStyleInfo name="TableStyleMedium3"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105SPS_Aims" displayName="_6105SPS_Aims" ref="F6:F8" totalsRowShown="0" dataDxfId="351">
  <autoFilter ref="F6:F8" xr:uid="{9552138F-2332-4BC4-A585-0E13162881A5}"/>
  <tableColumns count="1">
    <tableColumn id="1" xr3:uid="{2EE5D059-BB6B-4406-AF24-CB56C5C24856}" name="Aims" dataDxfId="350"/>
  </tableColumns>
  <tableStyleInfo name="TableStyleMedium6"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6105SPS_Syllabus" displayName="_6105SPS_Syllabus" ref="F10:F13" totalsRowShown="0" dataDxfId="349">
  <autoFilter ref="F10:F13" xr:uid="{94F18F67-3F10-4F6E-A953-4FE3399B07F2}"/>
  <tableColumns count="1">
    <tableColumn id="1" xr3:uid="{CF8ACDF4-0E48-466C-AF99-EC810B28E6AF}" name="Outline Syllabus" dataDxfId="348"/>
  </tableColumns>
  <tableStyleInfo name="TableStyleMedium6"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105SPS_Overview" displayName="_6105SPS_Overview" ref="F15:F20" totalsRowShown="0" dataDxfId="347">
  <autoFilter ref="F15:F20" xr:uid="{1B2BCD7B-6C15-4B1C-86BC-48FF83D8F225}"/>
  <tableColumns count="1">
    <tableColumn id="1" xr3:uid="{C16E0E90-DC44-4185-AB55-C39332B32B2D}" name="Module Overview" dataDxfId="346"/>
  </tableColumns>
  <tableStyleInfo name="TableStyleMedium6"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105SPS_Notes" displayName="_6105SPS_Notes" ref="F22:F33" totalsRowShown="0" dataDxfId="345">
  <autoFilter ref="F22:F33" xr:uid="{D5968C0A-6D7E-4221-87EE-78A85A4039B3}"/>
  <tableColumns count="1">
    <tableColumn id="1" xr3:uid="{719B4DA9-E67A-4094-A58E-921C645096BE}" name="Additional Information/Notes" dataDxfId="344"/>
  </tableColumns>
  <tableStyleInfo name="TableStyleMedium6"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6106SPS_Meta" displayName="_6106SPS_Meta" ref="C6:D14" totalsRowShown="0">
  <autoFilter ref="C6:D14" xr:uid="{CD75D2A7-14B1-4ABD-B64D-6E875F9BC652}">
    <filterColumn colId="0" hiddenButton="1"/>
    <filterColumn colId="1" hiddenButton="1"/>
  </autoFilter>
  <tableColumns count="2">
    <tableColumn id="1" xr3:uid="{B946128C-97AA-429A-BFB7-14DA62D23F93}" name="Module Data" dataDxfId="343"/>
    <tableColumn id="2" xr3:uid="{9E5B10EF-821C-4302-A35D-3F36AB2362C9}" name="Details" dataDxfId="342"/>
  </tableColumns>
  <tableStyleInfo name="TableStyleMedium6"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6106SPS_LO" displayName="_6106SPS_LO" ref="C28:D33" totalsRowShown="0" headerRowDxfId="341">
  <autoFilter ref="C28:D33" xr:uid="{22316987-6BEB-4FAF-9619-BF9BE9909CFA}">
    <filterColumn colId="0" hiddenButton="1"/>
    <filterColumn colId="1" hiddenButton="1"/>
  </autoFilter>
  <tableColumns count="2">
    <tableColumn id="1" xr3:uid="{3806001B-7A24-4470-B13B-816824C48A87}" name="LO Number" dataDxfId="340"/>
    <tableColumn id="2" xr3:uid="{D801C621-044F-4B79-AEEF-83CB123A3537}" name="LO Description" dataDxfId="339"/>
  </tableColumns>
  <tableStyleInfo name="TableStyleMedium2"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6106SPS_Assess" displayName="_6106SPS_Assess" ref="C37:H41" totalsRowShown="0" headerRowDxfId="33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337"/>
    <tableColumn id="2" xr3:uid="{64354A91-AE63-4D1E-BE94-8BE1D1CC7A59}" name="Assessment Type" dataDxfId="336"/>
    <tableColumn id="7" xr3:uid="{530A1FC8-EA43-41F4-BFFD-95021CCF673E}" name="Assessment Specific" dataDxfId="335"/>
    <tableColumn id="3" xr3:uid="{D7982B35-955C-4EF8-8FFF-272E5115BF74}" name="Assessment Description" dataDxfId="334"/>
    <tableColumn id="4" xr3:uid="{3D5D5D25-1897-4307-B2B9-AB9926C0783C}" name="Weighting" dataDxfId="333"/>
    <tableColumn id="5" xr3:uid="{41F93229-30BA-4DE4-BA85-1B8D0C842BE7}" name="Due Week" dataDxfId="332"/>
  </tableColumns>
  <tableStyleInfo name="TableStyleMedium3"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6106SPS_Weekly" displayName="_6106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331"/>
    <tableColumn id="2" xr3:uid="{6B27DC11-3985-495E-B86E-D8AEE2E81BAF}" name="Week Number" dataDxfId="330"/>
    <tableColumn id="3" xr3:uid="{B399D5B9-AB04-4B80-8627-ADE3E5852A07}" name="Weekly Content 1" dataDxfId="329"/>
    <tableColumn id="4" xr3:uid="{F9B22473-EB7D-423C-B21A-CD3C0CD2604C}" name="Weekly Content 2" dataDxfId="328"/>
    <tableColumn id="5" xr3:uid="{BDB725C3-96D9-443B-8128-47286ADCA89C}" name="Weekly Content 3" dataDxfId="327"/>
  </tableColumns>
  <tableStyleInfo name="TableStyleMedium4"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6106SPS_Hours" displayName="_6106SPS_Hours" ref="C18:D24" totalsRowShown="0">
  <autoFilter ref="C18:D24" xr:uid="{B71A3569-AA65-4A4E-98A2-885F5C38B46D}">
    <filterColumn colId="0" hiddenButton="1"/>
    <filterColumn colId="1" hiddenButton="1"/>
  </autoFilter>
  <tableColumns count="2">
    <tableColumn id="1" xr3:uid="{157B6D45-69F3-4709-8CC3-C24641471D5F}" name="Component" dataDxfId="326"/>
    <tableColumn id="2" xr3:uid="{99B73441-0316-4CCD-B0C7-06884A8A7754}" name="Contact Hours" dataDxfId="325"/>
  </tableColumns>
  <tableStyleInfo name="TableStyleMedium2"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6106SPS_Mapping" displayName="_6106SPS_Mapping" ref="C45:F66" totalsRowShown="0" headerRowDxfId="324" dataDxfId="323">
  <autoFilter ref="C45:F6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322"/>
    <tableColumn id="2" xr3:uid="{EF2FFCFD-E58D-4443-B708-BCE0D7EB93E1}" name="LO Number" dataDxfId="321"/>
    <tableColumn id="3" xr3:uid="{8E20D7DD-0908-49BF-87A5-AB3FCB98D85C}" name="Graduate Skills Category" dataDxfId="320"/>
    <tableColumn id="4" xr3:uid="{C5033368-6F6A-4D25-8F22-ECB65757E12D}" name="Graduate Skill" dataDxfId="319"/>
  </tableColumns>
  <tableStyleInfo name="TableStyleMedium3"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6106SPS_Aims" displayName="_6106SPS_Aims" ref="F6:F8" totalsRowShown="0" dataDxfId="318">
  <autoFilter ref="F6:F8" xr:uid="{9552138F-2332-4BC4-A585-0E13162881A5}"/>
  <tableColumns count="1">
    <tableColumn id="1" xr3:uid="{95683184-77D7-4D5F-B6CD-76493CDECA59}" name="Aims" dataDxfId="317"/>
  </tableColumns>
  <tableStyleInfo name="TableStyleMedium6"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6106SPS_Syllabus" displayName="_6106SPS_Syllabus" ref="F10:F13" totalsRowShown="0" dataDxfId="316">
  <autoFilter ref="F10:F13" xr:uid="{94F18F67-3F10-4F6E-A953-4FE3399B07F2}"/>
  <tableColumns count="1">
    <tableColumn id="1" xr3:uid="{5EEDAB62-FC71-46AD-86A7-2D7304C83206}" name="Outline Syllabus" dataDxfId="315"/>
  </tableColumns>
  <tableStyleInfo name="TableStyleMedium6"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6106SPS_Overview" displayName="_6106SPS_Overview" ref="F15:F20" totalsRowShown="0" dataDxfId="314">
  <autoFilter ref="F15:F20" xr:uid="{1B2BCD7B-6C15-4B1C-86BC-48FF83D8F225}"/>
  <tableColumns count="1">
    <tableColumn id="1" xr3:uid="{0DC5DF41-105A-41BF-AF39-34EA66DFB865}" name="Module Overview" dataDxfId="313"/>
  </tableColumns>
  <tableStyleInfo name="TableStyleMedium6"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6106SPS_Notes" displayName="_6106SPS_Notes" ref="F22:F33" totalsRowShown="0" dataDxfId="312">
  <autoFilter ref="F22:F33" xr:uid="{D5968C0A-6D7E-4221-87EE-78A85A4039B3}"/>
  <tableColumns count="1">
    <tableColumn id="1" xr3:uid="{38D613A6-4794-4339-B091-D4F707A1828F}" name="Additional Information/Notes" dataDxfId="311"/>
  </tableColumns>
  <tableStyleInfo name="TableStyleMedium6"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6AB17149-A37D-47BC-8A11-F7655DEB8656}" name="6107SPS_Meta" displayName="_6107SPS_Meta" ref="C6:D14" totalsRowShown="0">
  <autoFilter ref="C6:D14" xr:uid="{CD75D2A7-14B1-4ABD-B64D-6E875F9BC652}">
    <filterColumn colId="0" hiddenButton="1"/>
    <filterColumn colId="1" hiddenButton="1"/>
  </autoFilter>
  <tableColumns count="2">
    <tableColumn id="1" xr3:uid="{F8338C20-999E-4297-841F-9EE93A275BC1}" name="Module Data" dataDxfId="310"/>
    <tableColumn id="2" xr3:uid="{DD3D0DAB-0512-4653-894E-2A43CB80A14F}" name="Details" dataDxfId="309"/>
  </tableColumns>
  <tableStyleInfo name="TableStyleMedium6"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41E90C6-BDAF-49EC-93F4-ECDC663E6BBC}" name="6107SPS_LO" displayName="_6107SPS_LO" ref="C28:D33" totalsRowShown="0" headerRowDxfId="308">
  <autoFilter ref="C28:D33" xr:uid="{22316987-6BEB-4FAF-9619-BF9BE9909CFA}">
    <filterColumn colId="0" hiddenButton="1"/>
    <filterColumn colId="1" hiddenButton="1"/>
  </autoFilter>
  <tableColumns count="2">
    <tableColumn id="1" xr3:uid="{360A9A1C-A283-4342-B2CD-121409E92237}" name="LO Number" dataDxfId="307"/>
    <tableColumn id="2" xr3:uid="{D77336CC-4999-44E1-B85F-06159DECADC9}" name="LO Description" dataDxfId="306"/>
  </tableColumns>
  <tableStyleInfo name="TableStyleMedium2"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D9ABDFE3-AA27-4575-B2F2-657312B5FE58}" name="6107SPS_Assess" displayName="_6107SPS_Assess" ref="C37:H41" totalsRowShown="0" headerRowDxfId="30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0EC8BCA-9A9C-4DC6-96C4-15B3BA26835C}" name="Assessment No" dataDxfId="304"/>
    <tableColumn id="2" xr3:uid="{D102834D-EA77-4D8D-AF03-4D1253A95943}" name="Assessment Type" dataDxfId="303"/>
    <tableColumn id="7" xr3:uid="{6A820545-0789-4C0D-A647-FC3F67E4210C}" name="Assessment Specific" dataDxfId="302"/>
    <tableColumn id="3" xr3:uid="{5D59550A-157C-41E1-B08D-4B5CA96021E8}" name="Assessment Description" dataDxfId="301"/>
    <tableColumn id="4" xr3:uid="{08D7A47C-3DFE-49EE-A529-CCB01F0D916F}" name="Weighting" dataDxfId="300"/>
    <tableColumn id="5" xr3:uid="{A42FACF0-B475-435F-8764-79130DAAEBB9}" name="Due Week" dataDxfId="299"/>
  </tableColumns>
  <tableStyleInfo name="TableStyleMedium3"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75A3588-9122-4BE4-B3E1-5FA8CA853CC3}" name="6107SPS_Weekly" displayName="_6107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0B05C96-8427-4946-9F13-2364A3A0E57F}" name="Semester " dataDxfId="298"/>
    <tableColumn id="2" xr3:uid="{6C4F4CD8-E2EA-46BF-8EAC-7E670D3B07CA}" name="Week Number" dataDxfId="297"/>
    <tableColumn id="3" xr3:uid="{40BFBB60-729C-4EC6-A8F3-E2411EF0888B}" name="Weekly Content 1" dataDxfId="296"/>
    <tableColumn id="4" xr3:uid="{F65B9FF2-E151-4466-971C-B7438924C1A8}" name="Weekly Content 2" dataDxfId="295"/>
    <tableColumn id="5" xr3:uid="{6A2B2E4C-CB26-4F3D-B0E8-EB3063A556F7}" name="Weekly Content 3" dataDxfId="294"/>
  </tableColumns>
  <tableStyleInfo name="TableStyleMedium4"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4F4A2EE-F8A1-462B-AE49-27B39246DF5B}" name="6107SPS_Hours" displayName="_6107SPS_Hours" ref="C18:D24" totalsRowShown="0">
  <autoFilter ref="C18:D24" xr:uid="{B71A3569-AA65-4A4E-98A2-885F5C38B46D}">
    <filterColumn colId="0" hiddenButton="1"/>
    <filterColumn colId="1" hiddenButton="1"/>
  </autoFilter>
  <tableColumns count="2">
    <tableColumn id="1" xr3:uid="{BCDF52D9-CC8A-47BD-9C49-2D01E1059F91}" name="Component" dataDxfId="293"/>
    <tableColumn id="2" xr3:uid="{BD08259C-3B56-4A0B-B83D-6944A6CB2E8C}" name="Contact Hours" dataDxfId="292"/>
  </tableColumns>
  <tableStyleInfo name="TableStyleMedium2"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159BCC12-40F1-4160-81B2-18003B53E43E}" name="6107SPS_Mapping" displayName="_6107SPS_Mapping" ref="C45:F66" totalsRowShown="0" headerRowDxfId="291" dataDxfId="290">
  <autoFilter ref="C45:F66" xr:uid="{E0A841BB-B6D5-4048-B5F2-18CF9F502EBA}">
    <filterColumn colId="0" hiddenButton="1"/>
    <filterColumn colId="1" hiddenButton="1"/>
    <filterColumn colId="2" hiddenButton="1"/>
    <filterColumn colId="3" hiddenButton="1"/>
  </autoFilter>
  <tableColumns count="4">
    <tableColumn id="1" xr3:uid="{67625249-86C2-400E-89B4-213A09EF7ADE}" name="Assessment No" dataDxfId="289"/>
    <tableColumn id="2" xr3:uid="{6DFA238E-D9FA-4C1B-AC76-81F3134AF2FB}" name="LO Number" dataDxfId="288"/>
    <tableColumn id="3" xr3:uid="{AFADD497-E043-4C5A-9358-01FDAF376932}" name="Graduate Skills Category" dataDxfId="287"/>
    <tableColumn id="4" xr3:uid="{56BA5CBC-2213-453E-B8E7-13C7B1D96EF0}" name="Graduate Skill" dataDxfId="286"/>
  </tableColumns>
  <tableStyleInfo name="TableStyleMedium3" showFirstColumn="0" showLastColumn="0" showRowStripes="1" showColumnStripes="0"/>
</table>
</file>

<file path=xl/tables/table1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F9A82F14-3614-4473-ADFE-06BA385D8E5A}" name="6107SPS_Aims" displayName="_6107SPS_Aims" ref="F6:F8" totalsRowShown="0" dataDxfId="285">
  <autoFilter ref="F6:F8" xr:uid="{9552138F-2332-4BC4-A585-0E13162881A5}"/>
  <tableColumns count="1">
    <tableColumn id="1" xr3:uid="{A0267780-C0EB-4306-AD01-D2C059ADA9E4}" name="Aims" dataDxfId="284"/>
  </tableColumns>
  <tableStyleInfo name="TableStyleMedium6" showFirstColumn="0" showLastColumn="0" showRowStripes="1" showColumnStripes="0"/>
</table>
</file>

<file path=xl/tables/table1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9EEB99-490E-4D58-914C-A0F311E6F502}" name="6107SPS_Syllabus" displayName="_6107SPS_Syllabus" ref="F10:F13" totalsRowShown="0" dataDxfId="283">
  <autoFilter ref="F10:F13" xr:uid="{94F18F67-3F10-4F6E-A953-4FE3399B07F2}"/>
  <tableColumns count="1">
    <tableColumn id="1" xr3:uid="{BB1D3EF2-0CA6-4122-B8DF-C71EA5E06D8C}" name="Outline Syllabus" dataDxfId="282"/>
  </tableColumns>
  <tableStyleInfo name="TableStyleMedium6" showFirstColumn="0" showLastColumn="0" showRowStripes="1" showColumnStripes="0"/>
</table>
</file>

<file path=xl/tables/table1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3EBC7ACA-7097-41F4-850D-79E3A1D4FC23}" name="6107SPS_Overview" displayName="_6107SPS_Overview" ref="F15:F20" totalsRowShown="0" dataDxfId="281">
  <autoFilter ref="F15:F20" xr:uid="{1B2BCD7B-6C15-4B1C-86BC-48FF83D8F225}"/>
  <tableColumns count="1">
    <tableColumn id="1" xr3:uid="{0EBC70A1-3D05-4113-BF67-EAD2BD7D7FFF}" name="Module Overview" dataDxfId="280"/>
  </tableColumns>
  <tableStyleInfo name="TableStyleMedium6" showFirstColumn="0" showLastColumn="0" showRowStripes="1" showColumnStripes="0"/>
</table>
</file>

<file path=xl/tables/table1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4AAC450-D40A-4844-8156-646A53C73FFD}" name="6107SPS_Notes" displayName="_6107SPS_Notes" ref="F22:F33" totalsRowShown="0">
  <autoFilter ref="F22:F33" xr:uid="{D5968C0A-6D7E-4221-87EE-78A85A4039B3}"/>
  <tableColumns count="1">
    <tableColumn id="1" xr3:uid="{4DADF9D2-88EE-4868-9220-536D564B2285}" name="Additional Information/Notes"/>
  </tableColumns>
  <tableStyleInfo name="TableStyleMedium6" showFirstColumn="0" showLastColumn="0" showRowStripes="1" showColumnStripes="0"/>
</table>
</file>

<file path=xl/tables/table1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108SPS_Meta" displayName="_6108SPS_Meta" ref="C6:D14" totalsRowShown="0">
  <autoFilter ref="C6:D14" xr:uid="{CD75D2A7-14B1-4ABD-B64D-6E875F9BC652}">
    <filterColumn colId="0" hiddenButton="1"/>
    <filterColumn colId="1" hiddenButton="1"/>
  </autoFilter>
  <tableColumns count="2">
    <tableColumn id="1" xr3:uid="{4312B193-D095-44A4-B0FA-8864AE0BCBEF}" name="Module Data" dataDxfId="279"/>
    <tableColumn id="2" xr3:uid="{4F08D2F7-88F2-4061-857B-CBAD6623F570}" name="Details" dataDxfId="278"/>
  </tableColumns>
  <tableStyleInfo name="TableStyleMedium6" showFirstColumn="0" showLastColumn="0" showRowStripes="1" showColumnStripes="0"/>
</table>
</file>

<file path=xl/tables/table1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108SPS_LO" displayName="_6108SPS_LO" ref="C28:D33" totalsRowShown="0" headerRowDxfId="277">
  <autoFilter ref="C28:D33" xr:uid="{22316987-6BEB-4FAF-9619-BF9BE9909CFA}">
    <filterColumn colId="0" hiddenButton="1"/>
    <filterColumn colId="1" hiddenButton="1"/>
  </autoFilter>
  <tableColumns count="2">
    <tableColumn id="1" xr3:uid="{87282965-A2DA-4B4E-8D06-98090F28BEEF}" name="LO Number" dataDxfId="276"/>
    <tableColumn id="2" xr3:uid="{5860F21B-133F-4A88-A61B-07CF39BC7E21}" name="LO Description" dataDxfId="275"/>
  </tableColumns>
  <tableStyleInfo name="TableStyleMedium2" showFirstColumn="0" showLastColumn="0" showRowStripes="1" showColumnStripes="0"/>
</table>
</file>

<file path=xl/tables/table1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108SPS_Assess" displayName="_6108SPS_Assess" ref="C37:H41" totalsRowShown="0" headerRowDxfId="2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73"/>
    <tableColumn id="2" xr3:uid="{02E86080-DD71-4108-821B-E566F188DEA2}" name="Assessment Type" dataDxfId="272"/>
    <tableColumn id="7" xr3:uid="{47CA01EB-2FAC-4F47-BB5B-4ACF9B64B490}" name="Assessment Specific" dataDxfId="271"/>
    <tableColumn id="3" xr3:uid="{FBD48AF8-7B7F-4162-9266-C7CCFD60F0E7}" name="Assessment Description" dataDxfId="270"/>
    <tableColumn id="4" xr3:uid="{B1C6A884-1B35-475C-8890-451E2B62B45B}" name="Weighting" dataDxfId="269"/>
    <tableColumn id="5" xr3:uid="{52275FFC-C744-424D-9DA8-F4384F058801}" name="Due Week" dataDxfId="268"/>
  </tableColumns>
  <tableStyleInfo name="TableStyleMedium3" showFirstColumn="0" showLastColumn="0" showRowStripes="1" showColumnStripes="0"/>
</table>
</file>

<file path=xl/tables/table1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108SPS_Weekly" displayName="_6108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67"/>
    <tableColumn id="2" xr3:uid="{F2C231FA-6829-4DDE-AADC-3E8FA43A1138}" name="Week Number" dataDxfId="266"/>
    <tableColumn id="3" xr3:uid="{BF2905C5-0007-47A2-850C-6A3A59009B1B}" name="Weekly Content 1" dataDxfId="265"/>
    <tableColumn id="4" xr3:uid="{87E349A9-C7DB-4B62-AE2D-73DF6FE87FF2}" name="Weekly Content 2" dataDxfId="264"/>
    <tableColumn id="5" xr3:uid="{9335E186-D4FA-4BC9-96F6-48CA2E66C8B8}" name="Weekly Content 3" dataDxfId="263"/>
  </tableColumns>
  <tableStyleInfo name="TableStyleMedium4" showFirstColumn="0" showLastColumn="0" showRowStripes="1" showColumnStripes="0"/>
</table>
</file>

<file path=xl/tables/table1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108SPS_Hours" displayName="_6108SPS_Hours" ref="C18:D24" totalsRowShown="0">
  <autoFilter ref="C18:D24" xr:uid="{B71A3569-AA65-4A4E-98A2-885F5C38B46D}">
    <filterColumn colId="0" hiddenButton="1"/>
    <filterColumn colId="1" hiddenButton="1"/>
  </autoFilter>
  <tableColumns count="2">
    <tableColumn id="1" xr3:uid="{9CDDC04F-6E44-4B1D-B2F7-BCFB91288FF8}" name="Component" dataDxfId="262"/>
    <tableColumn id="2" xr3:uid="{0A78BA71-0A43-4908-AD5D-EAD433A8F0CB}" name="Contact Hours" dataDxfId="261"/>
  </tableColumns>
  <tableStyleInfo name="TableStyleMedium2" showFirstColumn="0" showLastColumn="0" showRowStripes="1" showColumnStripes="0"/>
</table>
</file>

<file path=xl/tables/table1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108SPS_Mapping" displayName="_6108SPS_Mapping" ref="C45:F66" totalsRowShown="0" headerRowDxfId="260" dataDxfId="259">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58"/>
    <tableColumn id="2" xr3:uid="{38F835BE-5EB1-4FFA-8259-BEB6E39C8FA1}" name="LO Number" dataDxfId="257"/>
    <tableColumn id="3" xr3:uid="{C6B979A3-0E5A-464F-B5CD-CBA3047E98BE}" name="Graduate Skills Category" dataDxfId="256"/>
    <tableColumn id="4" xr3:uid="{2D7AD4B8-14A9-4533-A3C6-5E7125BAACC7}" name="Graduate Skill" dataDxfId="255"/>
  </tableColumns>
  <tableStyleInfo name="TableStyleMedium3" showFirstColumn="0" showLastColumn="0" showRowStripes="1" showColumnStripes="0"/>
</table>
</file>

<file path=xl/tables/table1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108SPS_Aims" displayName="_6108SPS_Aims" ref="F6:F8" totalsRowShown="0" dataDxfId="254">
  <autoFilter ref="F6:F8" xr:uid="{9552138F-2332-4BC4-A585-0E13162881A5}"/>
  <tableColumns count="1">
    <tableColumn id="1" xr3:uid="{9E1F2909-CE11-40D2-90E4-0F2548AB10B2}" name="Aims" dataDxfId="253"/>
  </tableColumns>
  <tableStyleInfo name="TableStyleMedium6" showFirstColumn="0" showLastColumn="0" showRowStripes="1" showColumnStripes="0"/>
</table>
</file>

<file path=xl/tables/table1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108SPS_Syllabus" displayName="_6108SPS_Syllabus" ref="F10:F13" totalsRowShown="0" dataDxfId="252">
  <autoFilter ref="F10:F13" xr:uid="{94F18F67-3F10-4F6E-A953-4FE3399B07F2}"/>
  <tableColumns count="1">
    <tableColumn id="1" xr3:uid="{454BC257-77E7-4C9C-B231-D65E8EE20325}" name="Outline Syllabus" dataDxfId="251"/>
  </tableColumns>
  <tableStyleInfo name="TableStyleMedium6" showFirstColumn="0" showLastColumn="0" showRowStripes="1" showColumnStripes="0"/>
</table>
</file>

<file path=xl/tables/table1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108SPS_Overview" displayName="_6108SPS_Overview" ref="F15:F20" totalsRowShown="0" dataDxfId="250">
  <autoFilter ref="F15:F20" xr:uid="{1B2BCD7B-6C15-4B1C-86BC-48FF83D8F225}"/>
  <tableColumns count="1">
    <tableColumn id="1" xr3:uid="{D37E1C0D-C9AF-4C78-BCFF-8B2CE993F50A}" name="Module Overview" dataDxfId="249"/>
  </tableColumns>
  <tableStyleInfo name="TableStyleMedium6" showFirstColumn="0" showLastColumn="0" showRowStripes="1" showColumnStripes="0"/>
</table>
</file>

<file path=xl/tables/table1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108SPS_Notes" displayName="_6108SPS_Notes" ref="F22:F33" totalsRowShown="0" dataDxfId="248">
  <autoFilter ref="F22:F33" xr:uid="{D5968C0A-6D7E-4221-87EE-78A85A4039B3}"/>
  <tableColumns count="1">
    <tableColumn id="1" xr3:uid="{E8342C1A-2B62-4E1C-B80B-B12917066000}" name="Additional Information/Notes" dataDxfId="247"/>
  </tableColumns>
  <tableStyleInfo name="TableStyleMedium6" showFirstColumn="0" showLastColumn="0" showRowStripes="1" showColumnStripes="0"/>
</table>
</file>

<file path=xl/tables/table1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109SPS_Meta" displayName="_6109SPS_Meta" ref="C6:D14" totalsRowShown="0">
  <autoFilter ref="C6:D14" xr:uid="{CD75D2A7-14B1-4ABD-B64D-6E875F9BC652}">
    <filterColumn colId="0" hiddenButton="1"/>
    <filterColumn colId="1" hiddenButton="1"/>
  </autoFilter>
  <tableColumns count="2">
    <tableColumn id="1" xr3:uid="{5D38FCD1-7A3F-4025-AC69-E6A90C68A79E}" name="Module Data" dataDxfId="246"/>
    <tableColumn id="2" xr3:uid="{ACE861FD-0C1D-4D19-A0A8-AC83427FA81A}" name="Details" dataDxfId="245"/>
  </tableColumns>
  <tableStyleInfo name="TableStyleMedium6" showFirstColumn="0" showLastColumn="0" showRowStripes="1" showColumnStripes="0"/>
</table>
</file>

<file path=xl/tables/table1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109SPS_LO" displayName="_6109SPS_LO" ref="C28:D33" totalsRowShown="0" headerRowDxfId="244">
  <autoFilter ref="C28:D33" xr:uid="{22316987-6BEB-4FAF-9619-BF9BE9909CFA}">
    <filterColumn colId="0" hiddenButton="1"/>
    <filterColumn colId="1" hiddenButton="1"/>
  </autoFilter>
  <tableColumns count="2">
    <tableColumn id="1" xr3:uid="{92FDE3DF-EAC0-4CA6-A5B4-E15BAAC4A01D}" name="LO Number" dataDxfId="243"/>
    <tableColumn id="2" xr3:uid="{A384CFCB-55B0-46B7-AF9A-FAAC6022096A}" name="LO Description" dataDxfId="242"/>
  </tableColumns>
  <tableStyleInfo name="TableStyleMedium2" showFirstColumn="0" showLastColumn="0" showRowStripes="1" showColumnStripes="0"/>
</table>
</file>

<file path=xl/tables/table1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109SPS_Assess" displayName="_6109SPS_Assess" ref="C37:H41" totalsRowShown="0" headerRowDxfId="24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240"/>
    <tableColumn id="2" xr3:uid="{390EF809-FA62-405F-B84C-B2AD571CEBAA}" name="Assessment Type" dataDxfId="239"/>
    <tableColumn id="7" xr3:uid="{2B1618E6-AA98-4A15-AE0C-79993F1BAFB7}" name="Assessment Specific" dataDxfId="238"/>
    <tableColumn id="3" xr3:uid="{138C3352-0967-40A6-A5BE-4B32DEC01ACB}" name="Assessment Description" dataDxfId="237"/>
    <tableColumn id="4" xr3:uid="{F4B4B6BF-3460-42E3-849C-1BBE242E83C3}" name="Weighting" dataDxfId="236"/>
    <tableColumn id="5" xr3:uid="{E52307F9-F56A-42FC-9A76-6A630F2C5B71}" name="Due Week" dataDxfId="235"/>
  </tableColumns>
  <tableStyleInfo name="TableStyleMedium3" showFirstColumn="0" showLastColumn="0" showRowStripes="1" showColumnStripes="0"/>
</table>
</file>

<file path=xl/tables/table1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109SPS_Weekly" displayName="_6109SPS_Weekly" ref="B76:F100" totalsRowShown="0">
  <autoFilter ref="B76:F100"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234"/>
    <tableColumn id="2" xr3:uid="{1B7B234D-0DD9-4913-9C62-18CC4E0FD5D6}" name="Week Number" dataDxfId="233"/>
    <tableColumn id="3" xr3:uid="{FDA6287D-7D09-41DC-96F1-E9BCD4B11D2E}" name="Weekly Content 1" dataDxfId="232"/>
    <tableColumn id="4" xr3:uid="{C104D628-2E09-432B-BC7A-B7E29838D1BD}" name="Weekly Content 2" dataDxfId="231"/>
    <tableColumn id="5" xr3:uid="{6CD950CC-83A5-4FD3-93FC-B284F6F6350E}" name="Weekly Content 3" dataDxfId="230"/>
  </tableColumns>
  <tableStyleInfo name="TableStyleMedium4" showFirstColumn="0" showLastColumn="0" showRowStripes="1" showColumnStripes="0"/>
</table>
</file>

<file path=xl/tables/table1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109SPS_Hours" displayName="_6109SPS_Hours" ref="C18:D24" totalsRowShown="0">
  <autoFilter ref="C18:D24" xr:uid="{B71A3569-AA65-4A4E-98A2-885F5C38B46D}">
    <filterColumn colId="0" hiddenButton="1"/>
    <filterColumn colId="1" hiddenButton="1"/>
  </autoFilter>
  <tableColumns count="2">
    <tableColumn id="1" xr3:uid="{27F817B7-6395-4976-9120-60D5C9775BA5}" name="Component" dataDxfId="229"/>
    <tableColumn id="2" xr3:uid="{D9B68E50-AFDD-4B94-80F2-BAB157C2FF40}" name="Contact Hours" dataDxfId="228"/>
  </tableColumns>
  <tableStyleInfo name="TableStyleMedium2" showFirstColumn="0" showLastColumn="0" showRowStripes="1" showColumnStripes="0"/>
</table>
</file>

<file path=xl/tables/table1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109SPS_Mapping" displayName="_6109SPS_Mapping" ref="C45:F72" totalsRowShown="0" headerRowDxfId="227" dataDxfId="226">
  <autoFilter ref="C45:F72"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225"/>
    <tableColumn id="2" xr3:uid="{CF29F699-8C1A-4AC4-A563-FCBB128AC8F3}" name="LO Number" dataDxfId="224"/>
    <tableColumn id="3" xr3:uid="{B1082C18-E8C1-42F9-B74D-584EBA4A0A39}" name="Graduate Skills Category" dataDxfId="223"/>
    <tableColumn id="4" xr3:uid="{BD6D6488-ABFD-45B6-B06F-748690280986}" name="Graduate Skill" dataDxfId="222"/>
  </tableColumns>
  <tableStyleInfo name="TableStyleMedium3" showFirstColumn="0" showLastColumn="0" showRowStripes="1" showColumnStripes="0"/>
</table>
</file>

<file path=xl/tables/table1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109SPS_Aims" displayName="_6109SPS_Aims" ref="F6:F8" totalsRowShown="0" dataDxfId="221">
  <autoFilter ref="F6:F8" xr:uid="{9552138F-2332-4BC4-A585-0E13162881A5}"/>
  <tableColumns count="1">
    <tableColumn id="1" xr3:uid="{E2B338AF-53C9-469A-B45D-DF4BE4CCBDD0}" name="Aims" dataDxfId="220"/>
  </tableColumns>
  <tableStyleInfo name="TableStyleMedium6" showFirstColumn="0" showLastColumn="0" showRowStripes="1" showColumnStripes="0"/>
</table>
</file>

<file path=xl/tables/table1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109SPS_Syllabus" displayName="_6109SPS_Syllabus" ref="F10:F13" totalsRowShown="0" dataDxfId="219">
  <autoFilter ref="F10:F13" xr:uid="{94F18F67-3F10-4F6E-A953-4FE3399B07F2}"/>
  <tableColumns count="1">
    <tableColumn id="1" xr3:uid="{0B585185-EFA9-44AB-A953-91DF09E1C8F4}" name="Outline Syllabus" dataDxfId="218"/>
  </tableColumns>
  <tableStyleInfo name="TableStyleMedium6" showFirstColumn="0" showLastColumn="0" showRowStripes="1" showColumnStripes="0"/>
</table>
</file>

<file path=xl/tables/table1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109SPS_Overview" displayName="_6109SPS_Overview" ref="F15:F20" totalsRowShown="0" dataDxfId="217">
  <autoFilter ref="F15:F20" xr:uid="{1B2BCD7B-6C15-4B1C-86BC-48FF83D8F225}"/>
  <tableColumns count="1">
    <tableColumn id="1" xr3:uid="{8DA5C005-FC9F-4CBE-A281-B2B92A53526A}" name="Module Overview" dataDxfId="216"/>
  </tableColumns>
  <tableStyleInfo name="TableStyleMedium6" showFirstColumn="0" showLastColumn="0" showRowStripes="1" showColumnStripes="0"/>
</table>
</file>

<file path=xl/tables/table2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109SPS_Notes" displayName="_6109SPS_Notes" ref="F22:F33" totalsRowShown="0" dataDxfId="215">
  <autoFilter ref="F22:F33" xr:uid="{D5968C0A-6D7E-4221-87EE-78A85A4039B3}"/>
  <tableColumns count="1">
    <tableColumn id="1" xr3:uid="{D67854B5-D179-408B-A477-7F6E3033D84B}" name="Additional Information/Notes" dataDxfId="214"/>
  </tableColumns>
  <tableStyleInfo name="TableStyleMedium6" showFirstColumn="0" showLastColumn="0" showRowStripes="1" showColumnStripes="0"/>
</table>
</file>

<file path=xl/tables/table2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093SPS_Meta" displayName="_6093SPS_Meta" ref="C6:D14" totalsRowShown="0">
  <autoFilter ref="C6:D14" xr:uid="{CD75D2A7-14B1-4ABD-B64D-6E875F9BC652}">
    <filterColumn colId="0" hiddenButton="1"/>
    <filterColumn colId="1" hiddenButton="1"/>
  </autoFilter>
  <tableColumns count="2">
    <tableColumn id="1" xr3:uid="{7833E623-ED87-40CE-93D2-B78B6A7D7E94}" name="Module Data" dataDxfId="213"/>
    <tableColumn id="2" xr3:uid="{0659839B-A1DA-4204-9267-1A4CC295A6EF}" name="Details" dataDxfId="212"/>
  </tableColumns>
  <tableStyleInfo name="TableStyleMedium6" showFirstColumn="0" showLastColumn="0" showRowStripes="1" showColumnStripes="0"/>
</table>
</file>

<file path=xl/tables/table2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093SPS_LO" displayName="_6093SPS_LO" ref="C28:D33" totalsRowShown="0" headerRowDxfId="211">
  <autoFilter ref="C28:D33" xr:uid="{22316987-6BEB-4FAF-9619-BF9BE9909CFA}">
    <filterColumn colId="0" hiddenButton="1"/>
    <filterColumn colId="1" hiddenButton="1"/>
  </autoFilter>
  <tableColumns count="2">
    <tableColumn id="1" xr3:uid="{FEDC5FCD-23F6-4532-A565-C979DFEE6452}" name="LO Number" dataDxfId="210"/>
    <tableColumn id="2" xr3:uid="{1F64A8B9-B360-490C-BD12-64A29F9CF82F}" name="LO Description" dataDxfId="209"/>
  </tableColumns>
  <tableStyleInfo name="TableStyleMedium2" showFirstColumn="0" showLastColumn="0" showRowStripes="1" showColumnStripes="0"/>
</table>
</file>

<file path=xl/tables/table2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093SPS_Assess" displayName="_6093SPS_Assess" ref="C37:H41" totalsRowShown="0" headerRowDxfId="20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207"/>
    <tableColumn id="2" xr3:uid="{0FE47FA8-B999-4405-B49D-E106E82A7509}" name="Assessment Type" dataDxfId="206"/>
    <tableColumn id="7" xr3:uid="{61D6D411-EDDD-4962-A754-A4B5EEB96263}" name="Assessment Specific" dataDxfId="205"/>
    <tableColumn id="3" xr3:uid="{1A288D47-FFDF-4BA0-94F1-9B647BE04DCC}" name="Assessment Description" dataDxfId="204"/>
    <tableColumn id="4" xr3:uid="{ED08857B-A938-490D-9B30-962DE64252AB}" name="Weighting" dataDxfId="203"/>
    <tableColumn id="5" xr3:uid="{581E13F4-4545-426B-8995-08E09758F5CB}" name="Due Week" dataDxfId="202"/>
  </tableColumns>
  <tableStyleInfo name="TableStyleMedium3" showFirstColumn="0" showLastColumn="0" showRowStripes="1" showColumnStripes="0"/>
</table>
</file>

<file path=xl/tables/table2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093SPS_Weekly" displayName="_609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01"/>
    <tableColumn id="2" xr3:uid="{BED16F5A-D8C5-4300-A763-C0065F48E598}" name="Week Number" dataDxfId="200"/>
    <tableColumn id="3" xr3:uid="{1C3278D5-9F89-43C0-84A5-ACE6AE3BF8C8}" name="Weekly Content 1" dataDxfId="199"/>
    <tableColumn id="4" xr3:uid="{8ADEF497-35DC-4945-B42C-DCA4C8DB67C9}" name="Weekly Content 2" dataDxfId="198"/>
    <tableColumn id="5" xr3:uid="{E6B69E39-A78E-4994-8E8F-40C76F0002A1}" name="Weekly Content 3" dataDxfId="197"/>
  </tableColumns>
  <tableStyleInfo name="TableStyleMedium4" showFirstColumn="0" showLastColumn="0" showRowStripes="1" showColumnStripes="0"/>
</table>
</file>

<file path=xl/tables/table2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093SPS_Hours" displayName="_6093SPS_Hours" ref="C18:D24" totalsRowShown="0">
  <autoFilter ref="C18:D24" xr:uid="{B71A3569-AA65-4A4E-98A2-885F5C38B46D}">
    <filterColumn colId="0" hiddenButton="1"/>
    <filterColumn colId="1" hiddenButton="1"/>
  </autoFilter>
  <tableColumns count="2">
    <tableColumn id="1" xr3:uid="{2FFE33E1-E3D8-499A-B70C-70494FCFC11F}" name="Component" dataDxfId="196"/>
    <tableColumn id="2" xr3:uid="{D8D74B7C-DED1-4107-9D9B-A69709137AF1}" name="Contact Hours" dataDxfId="195"/>
  </tableColumns>
  <tableStyleInfo name="TableStyleMedium2" showFirstColumn="0" showLastColumn="0" showRowStripes="1" showColumnStripes="0"/>
</table>
</file>

<file path=xl/tables/table2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093SPS_Mapping" displayName="_6093SPS_Mapping" ref="C45:F66" totalsRowShown="0" headerRowDxfId="194" dataDxfId="193">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92"/>
    <tableColumn id="2" xr3:uid="{3DE98FE2-3138-46D6-BD99-F2FB47042775}" name="LO Number" dataDxfId="191"/>
    <tableColumn id="3" xr3:uid="{810A03D8-C153-4962-9C3C-D761D27C4A3F}" name="Graduate Skills Category" dataDxfId="190"/>
    <tableColumn id="4" xr3:uid="{C3B0D1F6-1274-4ED1-9705-01F40BB1E2F2}" name="Graduate Skill" dataDxfId="189"/>
  </tableColumns>
  <tableStyleInfo name="TableStyleMedium3" showFirstColumn="0" showLastColumn="0" showRowStripes="1" showColumnStripes="0"/>
</table>
</file>

<file path=xl/tables/table2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093SPS_Aims" displayName="_6093SPS_Aims" ref="F6:F8" totalsRowShown="0" dataDxfId="188">
  <autoFilter ref="F6:F8" xr:uid="{9552138F-2332-4BC4-A585-0E13162881A5}"/>
  <tableColumns count="1">
    <tableColumn id="1" xr3:uid="{C445F0C7-61B3-46CB-A56F-67D79AE54D5C}" name="Aims" dataDxfId="187"/>
  </tableColumns>
  <tableStyleInfo name="TableStyleMedium6" showFirstColumn="0" showLastColumn="0" showRowStripes="1" showColumnStripes="0"/>
</table>
</file>

<file path=xl/tables/table2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093SPS_Syllabus" displayName="_6093SPS_Syllabus" ref="F10:F13" totalsRowShown="0" dataDxfId="186">
  <autoFilter ref="F10:F13" xr:uid="{94F18F67-3F10-4F6E-A953-4FE3399B07F2}"/>
  <tableColumns count="1">
    <tableColumn id="1" xr3:uid="{CAABEA9D-6FBF-459A-AD97-585A17318A01}" name="Outline Syllabus" dataDxfId="185"/>
  </tableColumns>
  <tableStyleInfo name="TableStyleMedium6" showFirstColumn="0" showLastColumn="0" showRowStripes="1" showColumnStripes="0"/>
</table>
</file>

<file path=xl/tables/table2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093SPS_Overview" displayName="_6093SPS_Overview" ref="F15:F20" totalsRowShown="0" dataDxfId="184">
  <autoFilter ref="F15:F20" xr:uid="{1B2BCD7B-6C15-4B1C-86BC-48FF83D8F225}"/>
  <tableColumns count="1">
    <tableColumn id="1" xr3:uid="{A14625FC-0807-41B3-BEF3-09E7E979EFED}" name="Module Overview" dataDxfId="183"/>
  </tableColumns>
  <tableStyleInfo name="TableStyleMedium6" showFirstColumn="0" showLastColumn="0" showRowStripes="1" showColumnStripes="0"/>
</table>
</file>

<file path=xl/tables/table2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093SPS_Notes" displayName="_6093SPS_Notes" ref="F22:F33" totalsRowShown="0" dataDxfId="182">
  <autoFilter ref="F22:F33" xr:uid="{D5968C0A-6D7E-4221-87EE-78A85A4039B3}"/>
  <tableColumns count="1">
    <tableColumn id="1" xr3:uid="{0F69CA79-BA33-4E25-8FA9-233F7FC95036}" name="Additional Information/Notes" dataDxfId="181"/>
  </tableColumns>
  <tableStyleInfo name="TableStyleMedium6" showFirstColumn="0" showLastColumn="0" showRowStripes="1" showColumnStripes="0"/>
</table>
</file>

<file path=xl/tables/table2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4" xr:uid="{1742E01A-4016-4567-9344-B85EF957D1B4}" name="6094SPS_Meta" displayName="_6094SPS_Meta" ref="C6:D14" totalsRowShown="0">
  <autoFilter ref="C6:D14" xr:uid="{CD75D2A7-14B1-4ABD-B64D-6E875F9BC652}">
    <filterColumn colId="0" hiddenButton="1"/>
    <filterColumn colId="1" hiddenButton="1"/>
  </autoFilter>
  <tableColumns count="2">
    <tableColumn id="1" xr3:uid="{06BDFAA3-479A-4BBC-9915-8C7BAD6E936F}" name="Module Data" dataDxfId="180"/>
    <tableColumn id="2" xr3:uid="{88C1139F-D00E-41AC-AAA3-7F947DD3692E}" name="Details" dataDxfId="179"/>
  </tableColumns>
  <tableStyleInfo name="TableStyleMedium6" showFirstColumn="0" showLastColumn="0" showRowStripes="1" showColumnStripes="0"/>
</table>
</file>

<file path=xl/tables/table2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5" xr:uid="{9444F959-C929-476E-AC1C-CAF1511057B8}" name="6094SPS_LO" displayName="_6094SPS_LO" ref="C28:D33" totalsRowShown="0" headerRowDxfId="178">
  <autoFilter ref="C28:D33" xr:uid="{22316987-6BEB-4FAF-9619-BF9BE9909CFA}">
    <filterColumn colId="0" hiddenButton="1"/>
    <filterColumn colId="1" hiddenButton="1"/>
  </autoFilter>
  <tableColumns count="2">
    <tableColumn id="1" xr3:uid="{BD831C2D-873F-4998-A52A-F0B0FFD7968F}" name="LO Number" dataDxfId="177"/>
    <tableColumn id="2" xr3:uid="{1BA07E0C-CECD-4EA1-95B7-176525BCA192}" name="LO Description" dataDxfId="176"/>
  </tableColumns>
  <tableStyleInfo name="TableStyleMedium2" showFirstColumn="0" showLastColumn="0" showRowStripes="1" showColumnStripes="0"/>
</table>
</file>

<file path=xl/tables/table2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6" xr:uid="{1FD31010-90D0-4CE6-9C34-BFB80C458243}" name="6094SPS_Assess" displayName="_6094SPS_Assess" ref="C37:H41" totalsRowShown="0" headerRowDxfId="17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B228D9B-CC97-4858-8BFD-B1CBBB2545F7}" name="Assessment No" dataDxfId="174"/>
    <tableColumn id="2" xr3:uid="{073B1C1C-0D75-4D35-9FCA-2B312A5ED358}" name="Assessment Type" dataDxfId="173"/>
    <tableColumn id="7" xr3:uid="{071C21B2-890F-443A-86AA-C710C5744CED}" name="Assessment Specific" dataDxfId="172"/>
    <tableColumn id="3" xr3:uid="{A198D730-F6D1-47E9-A6FA-E8F8BA77CD85}" name="Assessment Description" dataDxfId="171"/>
    <tableColumn id="4" xr3:uid="{862B274B-375D-412B-941A-F96D77BAB655}" name="Weighting" dataDxfId="170"/>
    <tableColumn id="5" xr3:uid="{31C4237D-6059-4BF1-AD5B-5ED6BA8C43C2}" name="Due Week" dataDxfId="169"/>
  </tableColumns>
  <tableStyleInfo name="TableStyleMedium3" showFirstColumn="0" showLastColumn="0" showRowStripes="1" showColumnStripes="0"/>
</table>
</file>

<file path=xl/tables/table2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7" xr:uid="{681D6CBF-AB61-47D2-9228-3F0244489C7F}" name="6094SPS_Weekly" displayName="_609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3C4938FE-CF0E-4B27-A9C1-444C05E20B75}" name="Semester " dataDxfId="168"/>
    <tableColumn id="2" xr3:uid="{02F13E06-E65A-4AFE-8D67-E2133F40E94E}" name="Week Number" dataDxfId="167"/>
    <tableColumn id="3" xr3:uid="{622E2BE4-4ADC-49E4-80A5-92158A4B4565}" name="Weekly Content 1" dataDxfId="166"/>
    <tableColumn id="4" xr3:uid="{70F5763E-49CE-4BB6-AE7B-48EE4EFDF193}" name="Weekly Content 2" dataDxfId="165"/>
    <tableColumn id="5" xr3:uid="{19393265-A875-4C1F-ABDC-2C80B2BC8433}" name="Weekly Content 3" dataDxfId="164"/>
  </tableColumns>
  <tableStyleInfo name="TableStyleMedium4" showFirstColumn="0" showLastColumn="0" showRowStripes="1" showColumnStripes="0"/>
</table>
</file>

<file path=xl/tables/table2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8" xr:uid="{E6864FBC-F504-4A19-9427-5028B1703AAA}" name="6094SPS_Hours" displayName="_6094SPS_Hours" ref="C18:D24" totalsRowShown="0">
  <autoFilter ref="C18:D24" xr:uid="{B71A3569-AA65-4A4E-98A2-885F5C38B46D}">
    <filterColumn colId="0" hiddenButton="1"/>
    <filterColumn colId="1" hiddenButton="1"/>
  </autoFilter>
  <tableColumns count="2">
    <tableColumn id="1" xr3:uid="{3CB3CF83-F534-442B-BFBB-7069B2473590}" name="Component" dataDxfId="163"/>
    <tableColumn id="2" xr3:uid="{A6DA5467-53EE-43D7-9A23-DC36B887A605}" name="Contact Hours" dataDxfId="162"/>
  </tableColumns>
  <tableStyleInfo name="TableStyleMedium2" showFirstColumn="0" showLastColumn="0" showRowStripes="1" showColumnStripes="0"/>
</table>
</file>

<file path=xl/tables/table2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9" xr:uid="{3A438361-ADF9-4C82-9085-D26A66C67372}" name="6094SPS_Mapping" displayName="_6094SPS_Mapping" ref="C45:F66" totalsRowShown="0" headerRowDxfId="161" dataDxfId="160">
  <autoFilter ref="C45:F66" xr:uid="{E0A841BB-B6D5-4048-B5F2-18CF9F502EBA}">
    <filterColumn colId="0" hiddenButton="1"/>
    <filterColumn colId="1" hiddenButton="1"/>
    <filterColumn colId="2" hiddenButton="1"/>
    <filterColumn colId="3" hiddenButton="1"/>
  </autoFilter>
  <tableColumns count="4">
    <tableColumn id="1" xr3:uid="{9E24E800-2AF7-4FDC-96FE-BC44944158BC}" name="Assessment No" dataDxfId="159"/>
    <tableColumn id="2" xr3:uid="{36743B67-FBBC-4B9D-80DB-B5F4EE41B207}" name="LO Number" dataDxfId="158"/>
    <tableColumn id="3" xr3:uid="{0EA32A76-827B-4807-803F-742CBE030D84}" name="Graduate Skills Category" dataDxfId="157"/>
    <tableColumn id="4" xr3:uid="{BA130ADB-6060-40D2-9E79-B61C98C5C88F}" name="Graduate Skill" dataDxfId="156"/>
  </tableColumns>
  <tableStyleInfo name="TableStyleMedium3" showFirstColumn="0" showLastColumn="0" showRowStripes="1" showColumnStripes="0"/>
</table>
</file>

<file path=xl/tables/table2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0" xr:uid="{BFBEAC7D-3DD5-425D-90C9-4A4034B1D768}" name="6094SPS_Aims" displayName="_6094SPS_Aims" ref="F6:F8" totalsRowShown="0" dataDxfId="155">
  <autoFilter ref="F6:F8" xr:uid="{9552138F-2332-4BC4-A585-0E13162881A5}"/>
  <tableColumns count="1">
    <tableColumn id="1" xr3:uid="{07962947-B408-415F-8A82-F59CCF1578AB}" name="Aims" dataDxfId="154"/>
  </tableColumns>
  <tableStyleInfo name="TableStyleMedium6" showFirstColumn="0" showLastColumn="0" showRowStripes="1" showColumnStripes="0"/>
</table>
</file>

<file path=xl/tables/table2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1" xr:uid="{F637F415-58DC-4416-9EE8-E805417A1D8C}" name="6094SPS_Syllabus" displayName="_6094SPS_Syllabus" ref="F10:F13" totalsRowShown="0" dataDxfId="153">
  <autoFilter ref="F10:F13" xr:uid="{94F18F67-3F10-4F6E-A953-4FE3399B07F2}"/>
  <tableColumns count="1">
    <tableColumn id="1" xr3:uid="{25CBD8F4-D3C3-4881-AD03-3B068068E1B7}" name="Outline Syllabus" dataDxfId="152"/>
  </tableColumns>
  <tableStyleInfo name="TableStyleMedium6" showFirstColumn="0" showLastColumn="0" showRowStripes="1" showColumnStripes="0"/>
</table>
</file>

<file path=xl/tables/table2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2" xr:uid="{0F3C042F-3F79-4A8D-B2DE-C76C9776F2AF}" name="6094SPS_Overview" displayName="_6094SPS_Overview" ref="F15:F20" totalsRowShown="0" dataDxfId="151">
  <autoFilter ref="F15:F20" xr:uid="{1B2BCD7B-6C15-4B1C-86BC-48FF83D8F225}"/>
  <tableColumns count="1">
    <tableColumn id="1" xr3:uid="{6CAF4282-21AD-4117-8648-19B290673EF5}" name="Module Overview" dataDxfId="150"/>
  </tableColumns>
  <tableStyleInfo name="TableStyleMedium6" showFirstColumn="0" showLastColumn="0" showRowStripes="1" showColumnStripes="0"/>
</table>
</file>

<file path=xl/tables/table2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3" xr:uid="{7D239B4D-5261-4E3B-B7BD-38D3BF85BE83}" name="6094SPS_Notes" displayName="_6094SPS_Notes" ref="F22:F33" totalsRowShown="0" dataDxfId="149">
  <autoFilter ref="F22:F33" xr:uid="{D5968C0A-6D7E-4221-87EE-78A85A4039B3}"/>
  <tableColumns count="1">
    <tableColumn id="1" xr3:uid="{6C784C6F-DE98-4ADB-8DC3-84A9477FAE0C}" name="Additional Information/Notes" dataDxfId="148"/>
  </tableColumns>
  <tableStyleInfo name="TableStyleMedium6" showFirstColumn="0" showLastColumn="0" showRowStripes="1" showColumnStripes="0"/>
</table>
</file>

<file path=xl/tables/table2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0CD881A0-2268-4505-912E-C83A30A1D9F9}" name="6095SPS_Meta" displayName="_6095SPS_Meta" ref="C6:D14" totalsRowShown="0">
  <autoFilter ref="C6:D14" xr:uid="{CD75D2A7-14B1-4ABD-B64D-6E875F9BC652}">
    <filterColumn colId="0" hiddenButton="1"/>
    <filterColumn colId="1" hiddenButton="1"/>
  </autoFilter>
  <tableColumns count="2">
    <tableColumn id="1" xr3:uid="{003D85AB-DC18-4963-8429-2D172F516B3E}" name="Module Data" dataDxfId="147"/>
    <tableColumn id="2" xr3:uid="{85139526-41CF-4CCD-BD9C-741E3F4F2920}" name="Details" dataDxfId="146"/>
  </tableColumns>
  <tableStyleInfo name="TableStyleMedium6" showFirstColumn="0" showLastColumn="0" showRowStripes="1" showColumnStripes="0"/>
</table>
</file>

<file path=xl/tables/table2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8D1D8DC3-EF53-45AF-ACFC-D90428DAD8FE}" name="6095SPS_LO" displayName="_6095SPS_LO" ref="C28:D33" totalsRowShown="0" headerRowDxfId="145">
  <autoFilter ref="C28:D33" xr:uid="{22316987-6BEB-4FAF-9619-BF9BE9909CFA}">
    <filterColumn colId="0" hiddenButton="1"/>
    <filterColumn colId="1" hiddenButton="1"/>
  </autoFilter>
  <tableColumns count="2">
    <tableColumn id="1" xr3:uid="{1DC30917-B49D-4C7F-9E25-FBC5CAD9C400}" name="LO Number" dataDxfId="144"/>
    <tableColumn id="2" xr3:uid="{952C1089-C63F-468E-894F-7522AA998AC3}" name="LO Description" dataDxfId="143"/>
  </tableColumns>
  <tableStyleInfo name="TableStyleMedium2" showFirstColumn="0" showLastColumn="0" showRowStripes="1" showColumnStripes="0"/>
</table>
</file>

<file path=xl/tables/table2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54AE5102-D8BE-4DBD-AAA2-BF4D0483D285}" name="6095SPS_Assess" displayName="_6095SPS_Assess" ref="C37:H41" totalsRowShown="0" headerRowDxfId="14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9AF1C42-1F65-47F5-BE03-C62994CC7FB3}" name="Assessment No" dataDxfId="141"/>
    <tableColumn id="2" xr3:uid="{803C22E3-C384-4AB5-AE31-4D40460ED0A1}" name="Assessment Type" dataDxfId="140"/>
    <tableColumn id="7" xr3:uid="{C4A45769-5895-4AF4-9F31-44700B697BFD}" name="Assessment Specific" dataDxfId="139"/>
    <tableColumn id="3" xr3:uid="{FFF5B57D-0618-4003-B7E6-B03D7EC23527}" name="Assessment Description" dataDxfId="138"/>
    <tableColumn id="4" xr3:uid="{E428CF52-BDBE-4BAE-BE2E-A5A269E31391}" name="Weighting" dataDxfId="137"/>
    <tableColumn id="5" xr3:uid="{0456530C-E6FF-4AC9-BC78-1BCF9137ABEF}" name="Due Week" dataDxfId="136"/>
  </tableColumns>
  <tableStyleInfo name="TableStyleMedium3" showFirstColumn="0" showLastColumn="0" showRowStripes="1" showColumnStripes="0"/>
</table>
</file>

<file path=xl/tables/table2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72DC79D5-3ADC-424C-A382-373BE24C67DD}" name="6095SPS_Weekly" displayName="_609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CD4F0570-5393-4F18-BF18-0A2D7604C1ED}" name="Semester " dataDxfId="135"/>
    <tableColumn id="2" xr3:uid="{24B8FCA2-0ADD-409E-97AD-E7932ADBC4BA}" name="Week Number" dataDxfId="134"/>
    <tableColumn id="3" xr3:uid="{9A527A77-2946-4A22-B924-26F7ACB0268C}" name="Weekly Content 1" dataDxfId="133"/>
    <tableColumn id="4" xr3:uid="{11A1E556-85EB-4AE8-8856-5231CEE6EA87}" name="Weekly Content 2" dataDxfId="132"/>
    <tableColumn id="5" xr3:uid="{4E38731E-46FF-42DB-B350-4FE11BF2D6CC}" name="Weekly Content 3" dataDxfId="131"/>
  </tableColumns>
  <tableStyleInfo name="TableStyleMedium4" showFirstColumn="0" showLastColumn="0" showRowStripes="1" showColumnStripes="0"/>
</table>
</file>

<file path=xl/tables/table2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1FC60440-344F-441F-BF0F-C9E3EA32860E}" name="6095SPS_Hours" displayName="_6095SPS_Hours" ref="C18:D24" totalsRowShown="0">
  <autoFilter ref="C18:D24" xr:uid="{B71A3569-AA65-4A4E-98A2-885F5C38B46D}">
    <filterColumn colId="0" hiddenButton="1"/>
    <filterColumn colId="1" hiddenButton="1"/>
  </autoFilter>
  <tableColumns count="2">
    <tableColumn id="1" xr3:uid="{95CDC712-3B6D-4C16-B04E-549B61DA5022}" name="Component" dataDxfId="130"/>
    <tableColumn id="2" xr3:uid="{B695C860-F8BF-48B4-9F05-9E73F12A7156}" name="Contact Hours" dataDxfId="129"/>
  </tableColumns>
  <tableStyleInfo name="TableStyleMedium2" showFirstColumn="0" showLastColumn="0" showRowStripes="1" showColumnStripes="0"/>
</table>
</file>

<file path=xl/tables/table2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AEA4803D-D76D-4956-8FBE-DE9C3BE46189}" name="6095SPS_Mapping" displayName="_6095SPS_Mapping" ref="C45:F66" totalsRowShown="0" headerRowDxfId="128" dataDxfId="127">
  <autoFilter ref="C45:F66" xr:uid="{E0A841BB-B6D5-4048-B5F2-18CF9F502EBA}">
    <filterColumn colId="0" hiddenButton="1"/>
    <filterColumn colId="1" hiddenButton="1"/>
    <filterColumn colId="2" hiddenButton="1"/>
    <filterColumn colId="3" hiddenButton="1"/>
  </autoFilter>
  <tableColumns count="4">
    <tableColumn id="1" xr3:uid="{491EBCB7-B174-4F47-964C-124613DA615D}" name="Assessment No" dataDxfId="126"/>
    <tableColumn id="2" xr3:uid="{A2A784A6-AACE-4E36-91DF-72D5CE28095F}" name="LO Number" dataDxfId="125"/>
    <tableColumn id="3" xr3:uid="{F6F2DE07-0BDD-4A1A-941F-0DCAD01220D1}" name="Graduate Skills Category" dataDxfId="124"/>
    <tableColumn id="4" xr3:uid="{F9229346-8201-407C-9CE2-141C500E832D}" name="Graduate Skill" dataDxfId="123"/>
  </tableColumns>
  <tableStyleInfo name="TableStyleMedium3" showFirstColumn="0" showLastColumn="0" showRowStripes="1" showColumnStripes="0"/>
</table>
</file>

<file path=xl/tables/table2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F2B69E04-16E7-4A38-8621-4447824EA35C}" name="6095SPS_Aims" displayName="_6095SPS_Aims" ref="F6:F8" totalsRowShown="0" dataDxfId="122">
  <autoFilter ref="F6:F8" xr:uid="{9552138F-2332-4BC4-A585-0E13162881A5}"/>
  <tableColumns count="1">
    <tableColumn id="1" xr3:uid="{9CF71A0E-81E1-475E-97A1-21722534446B}" name="Aims" dataDxfId="121"/>
  </tableColumns>
  <tableStyleInfo name="TableStyleMedium6" showFirstColumn="0" showLastColumn="0" showRowStripes="1" showColumnStripes="0"/>
</table>
</file>

<file path=xl/tables/table2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AEF9C42F-A09F-47DA-BE7E-CA162C33EF35}" name="6095SPS_Syllabus" displayName="_6095SPS_Syllabus" ref="F10:F13" totalsRowShown="0" dataDxfId="120">
  <autoFilter ref="F10:F13" xr:uid="{94F18F67-3F10-4F6E-A953-4FE3399B07F2}"/>
  <tableColumns count="1">
    <tableColumn id="1" xr3:uid="{EAF9AC93-48F9-4BB8-A9A0-24E442041D11}" name="Outline Syllabus" dataDxfId="119"/>
  </tableColumns>
  <tableStyleInfo name="TableStyleMedium6" showFirstColumn="0" showLastColumn="0" showRowStripes="1" showColumnStripes="0"/>
</table>
</file>

<file path=xl/tables/table2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19785D06-0E58-4E0F-8AFF-9FC97CF62824}" name="6095SPS_Overview" displayName="_6095SPS_Overview" ref="F15:F20" totalsRowShown="0" dataDxfId="118">
  <autoFilter ref="F15:F20" xr:uid="{1B2BCD7B-6C15-4B1C-86BC-48FF83D8F225}"/>
  <tableColumns count="1">
    <tableColumn id="1" xr3:uid="{DDD0AB10-61E7-41E6-B8F1-8D720BC48395}" name="Module Overview" dataDxfId="117"/>
  </tableColumns>
  <tableStyleInfo name="TableStyleMedium6" showFirstColumn="0" showLastColumn="0" showRowStripes="1" showColumnStripes="0"/>
</table>
</file>

<file path=xl/tables/table2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23E99D32-C429-486D-8709-CE5B9F94DCD2}" name="6095SPS_Notes" displayName="_6095SPS_Notes" ref="F22:F33" totalsRowShown="0" dataDxfId="116">
  <autoFilter ref="F22:F33" xr:uid="{D5968C0A-6D7E-4221-87EE-78A85A4039B3}"/>
  <tableColumns count="1">
    <tableColumn id="1" xr3:uid="{3AE20833-E0CC-41C3-A178-FA35088F61A6}" name="Additional Information/Notes" dataDxfId="115"/>
  </tableColumns>
  <tableStyleInfo name="TableStyleMedium6" showFirstColumn="0" showLastColumn="0" showRowStripes="1" showColumnStripes="0"/>
</table>
</file>

<file path=xl/tables/table2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4" xr:uid="{6B022916-C94F-418A-96DF-CBA457C11D51}" name="Module (22)_Meta" displayName="Module__22__Meta" ref="C6:D14" totalsRowShown="0">
  <autoFilter ref="C6:D14" xr:uid="{CD75D2A7-14B1-4ABD-B64D-6E875F9BC652}">
    <filterColumn colId="0" hiddenButton="1"/>
    <filterColumn colId="1" hiddenButton="1"/>
  </autoFilter>
  <tableColumns count="2">
    <tableColumn id="1" xr3:uid="{8589D626-BD19-4A57-BC55-7BD93390B7E0}" name="Module Data" dataDxfId="114"/>
    <tableColumn id="2" xr3:uid="{32675E2E-11CE-466F-A203-8CBAD85B6106}" name="Details" dataDxfId="113"/>
  </tableColumns>
  <tableStyleInfo name="TableStyleMedium6" showFirstColumn="0" showLastColumn="0" showRowStripes="1" showColumnStripes="0"/>
</table>
</file>

<file path=xl/tables/table2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5" xr:uid="{0CF5979A-1250-4ABA-B04D-D211E7709252}" name="Module (22)_LO" displayName="Module__22__LO" ref="C28:D33" totalsRowShown="0" headerRowDxfId="112">
  <autoFilter ref="C28:D33" xr:uid="{22316987-6BEB-4FAF-9619-BF9BE9909CFA}">
    <filterColumn colId="0" hiddenButton="1"/>
    <filterColumn colId="1" hiddenButton="1"/>
  </autoFilter>
  <tableColumns count="2">
    <tableColumn id="1" xr3:uid="{406B4062-5346-4191-8E7D-3F30BE30CD89}" name="LO Number" dataDxfId="111"/>
    <tableColumn id="2" xr3:uid="{ECDF9592-E009-4317-AD78-8EDF29F5314D}" name="LO Description" dataDxfId="110"/>
  </tableColumns>
  <tableStyleInfo name="TableStyleMedium2" showFirstColumn="0" showLastColumn="0" showRowStripes="1" showColumnStripes="0"/>
</table>
</file>

<file path=xl/tables/table2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6" xr:uid="{19762499-B3C7-4CC1-A467-8E8F61A257A7}" name="Module (22)_Assess" displayName="Module__22__Assess" ref="C37:H41" totalsRowShown="0" headerRowDxfId="10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99E1591-7EEA-4184-90DA-560BFC5DE2A2}" name="Assessment No" dataDxfId="108"/>
    <tableColumn id="2" xr3:uid="{9D0C9230-12A2-4CE1-AB8A-41C89C86FD6D}" name="Assessment Type" dataDxfId="107"/>
    <tableColumn id="7" xr3:uid="{CC85B4C4-D7B8-480C-8D99-2924B268E3B7}" name="Assessment Specific" dataDxfId="106"/>
    <tableColumn id="3" xr3:uid="{80BCCA64-D2D0-4773-BD53-30A11175D3FF}" name="Assessment Description" dataDxfId="105"/>
    <tableColumn id="4" xr3:uid="{FF66551B-1874-4D01-BA52-4FB7B725A9C6}" name="Weighting" dataDxfId="104"/>
    <tableColumn id="5" xr3:uid="{5C36320D-1108-4E73-A6DD-2E99CDC6AA42}" name="Due Week" dataDxfId="103"/>
  </tableColumns>
  <tableStyleInfo name="TableStyleMedium3" showFirstColumn="0" showLastColumn="0" showRowStripes="1" showColumnStripes="0"/>
</table>
</file>

<file path=xl/tables/table2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7" xr:uid="{F2016E46-EDBD-41C7-A651-70967A34E949}" name="Module (22)_Weekly" displayName="Module__22_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1FBBBFC-126A-493C-B2C2-868700A4A4E2}" name="Semester " dataDxfId="102"/>
    <tableColumn id="2" xr3:uid="{ABF01243-32FF-4D9F-A5E6-C4E4A07A3919}" name="Week Number" dataDxfId="101"/>
    <tableColumn id="3" xr3:uid="{5B208949-9811-4F2D-B05F-33A20DED36C5}" name="Weekly Content 1" dataDxfId="100"/>
    <tableColumn id="4" xr3:uid="{26B1AC14-0649-47D5-8A21-246674936AB4}" name="Weekly Content 2" dataDxfId="99"/>
    <tableColumn id="5" xr3:uid="{5B9975D5-79A7-4F7E-84FE-882367A23783}" name="Weekly Content 3" dataDxfId="98"/>
  </tableColumns>
  <tableStyleInfo name="TableStyleMedium4" showFirstColumn="0" showLastColumn="0" showRowStripes="1" showColumnStripes="0"/>
</table>
</file>

<file path=xl/tables/table2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8" xr:uid="{E444FE88-A6FA-4312-91EA-5AF6F8702F8A}" name="Module (22)_Hours" displayName="Module__22__Hours" ref="C18:D24" totalsRowShown="0">
  <autoFilter ref="C18:D24" xr:uid="{B71A3569-AA65-4A4E-98A2-885F5C38B46D}">
    <filterColumn colId="0" hiddenButton="1"/>
    <filterColumn colId="1" hiddenButton="1"/>
  </autoFilter>
  <tableColumns count="2">
    <tableColumn id="1" xr3:uid="{0A0C2499-F29C-443F-B932-A19F5E4FF06D}" name="Component" dataDxfId="97"/>
    <tableColumn id="2" xr3:uid="{C657DF13-3A82-4B4D-AC3C-87AC7DBF2362}" name="Contact Hours" dataDxfId="96"/>
  </tableColumns>
  <tableStyleInfo name="TableStyleMedium2" showFirstColumn="0" showLastColumn="0" showRowStripes="1" showColumnStripes="0"/>
</table>
</file>

<file path=xl/tables/table2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9" xr:uid="{2B2AC139-63EF-43CB-BBBD-BA466848F37C}" name="Module (22)_Mapping" displayName="Module__22__Mapping" ref="C45:F66" totalsRowShown="0" headerRowDxfId="95" dataDxfId="94">
  <autoFilter ref="C45:F66" xr:uid="{E0A841BB-B6D5-4048-B5F2-18CF9F502EBA}">
    <filterColumn colId="0" hiddenButton="1"/>
    <filterColumn colId="1" hiddenButton="1"/>
    <filterColumn colId="2" hiddenButton="1"/>
    <filterColumn colId="3" hiddenButton="1"/>
  </autoFilter>
  <tableColumns count="4">
    <tableColumn id="1" xr3:uid="{2DE1F221-75DB-43CE-9F3B-39F1118A2B14}" name="Assessment No" dataDxfId="93"/>
    <tableColumn id="2" xr3:uid="{3CC09ACF-36D5-49FE-8A29-1074730BAF04}" name="LO Number" dataDxfId="92"/>
    <tableColumn id="3" xr3:uid="{523070E8-BAE6-434E-BD26-958EC10A182B}" name="Graduate Skills Category" dataDxfId="91"/>
    <tableColumn id="4" xr3:uid="{2572A7A7-898C-4A7E-8D9C-B1F6C0FBEE94}" name="Graduate Skill" dataDxfId="90"/>
  </tableColumns>
  <tableStyleInfo name="TableStyleMedium3" showFirstColumn="0" showLastColumn="0" showRowStripes="1" showColumnStripes="0"/>
</table>
</file>

<file path=xl/tables/table2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0" xr:uid="{97B05665-6ACF-4D35-BA38-71B7958844A1}" name="Module (22)_Aims" displayName="Module__22__Aims" ref="F6:F8" totalsRowShown="0" dataDxfId="89">
  <autoFilter ref="F6:F8" xr:uid="{9552138F-2332-4BC4-A585-0E13162881A5}"/>
  <tableColumns count="1">
    <tableColumn id="1" xr3:uid="{03C505AA-48A0-4A88-9F49-B7FF5C16BCAE}" name="Aims" dataDxfId="88"/>
  </tableColumns>
  <tableStyleInfo name="TableStyleMedium6" showFirstColumn="0" showLastColumn="0" showRowStripes="1" showColumnStripes="0"/>
</table>
</file>

<file path=xl/tables/table2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1" xr:uid="{D5BA3FF3-3E35-4CBB-B045-4F42DE077FE8}" name="Module (22)_Syllabus" displayName="Module__22__Syllabus" ref="F10:F13" totalsRowShown="0" dataDxfId="87">
  <autoFilter ref="F10:F13" xr:uid="{94F18F67-3F10-4F6E-A953-4FE3399B07F2}"/>
  <tableColumns count="1">
    <tableColumn id="1" xr3:uid="{D82AB61C-3BCC-45E5-A0F7-2A8249EBEA58}" name="Outline Syllabus" dataDxfId="86"/>
  </tableColumns>
  <tableStyleInfo name="TableStyleMedium6" showFirstColumn="0" showLastColumn="0" showRowStripes="1" showColumnStripes="0"/>
</table>
</file>

<file path=xl/tables/table2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2" xr:uid="{206EC6E6-7379-4207-BFEA-7454DEF8BEDC}" name="Module (22)_Overview" displayName="Module__22__Overview" ref="F15:F20" totalsRowShown="0" dataDxfId="85">
  <autoFilter ref="F15:F20" xr:uid="{1B2BCD7B-6C15-4B1C-86BC-48FF83D8F225}"/>
  <tableColumns count="1">
    <tableColumn id="1" xr3:uid="{A736E8CD-3F0B-4824-AA95-F9779192F7D4}" name="Module Overview" dataDxfId="84"/>
  </tableColumns>
  <tableStyleInfo name="TableStyleMedium6" showFirstColumn="0" showLastColumn="0" showRowStripes="1" showColumnStripes="0"/>
</table>
</file>

<file path=xl/tables/table2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3" xr:uid="{4DF8198E-11EB-4AA9-BADB-60106759E188}" name="Module (22)_Notes" displayName="Module__22__Notes" ref="F22:F33" totalsRowShown="0" dataDxfId="83">
  <autoFilter ref="F22:F33" xr:uid="{D5968C0A-6D7E-4221-87EE-78A85A4039B3}"/>
  <tableColumns count="1">
    <tableColumn id="1" xr3:uid="{85005615-7F38-4006-93CA-9CB054C3BDFF}" name="Additional Information/Notes" dataDxfId="82"/>
  </tableColumns>
  <tableStyleInfo name="TableStyleMedium6" showFirstColumn="0" showLastColumn="0" showRowStripes="1" showColumnStripes="0"/>
</table>
</file>

<file path=xl/tables/table2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81"/>
    <tableColumn id="2" xr3:uid="{7CDC44CD-A513-4579-ACC6-09E7304BB1BE}" name="Details" dataDxfId="80"/>
  </tableColumns>
  <tableStyleInfo name="TableStyleMedium6" showFirstColumn="0" showLastColumn="0" showRowStripes="1" showColumnStripes="0"/>
</table>
</file>

<file path=xl/tables/table2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79">
  <autoFilter ref="C28:D33" xr:uid="{22316987-6BEB-4FAF-9619-BF9BE9909CFA}">
    <filterColumn colId="0" hiddenButton="1"/>
    <filterColumn colId="1" hiddenButton="1"/>
  </autoFilter>
  <tableColumns count="2">
    <tableColumn id="1" xr3:uid="{A75FADC5-DEDB-4B6C-9F57-BD04056AC57B}" name="LO Number" dataDxfId="78"/>
    <tableColumn id="2" xr3:uid="{2529C995-9CF3-46B4-B1CE-40C8315EEAF2}" name="LO Description" dataDxfId="77"/>
  </tableColumns>
  <tableStyleInfo name="TableStyleMedium2" showFirstColumn="0" showLastColumn="0" showRowStripes="1" showColumnStripes="0"/>
</table>
</file>

<file path=xl/tables/table2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7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75"/>
    <tableColumn id="2" xr3:uid="{707D2CCB-425D-48C3-A5FF-A62091BB3A56}" name="Assessment Type" dataDxfId="74"/>
    <tableColumn id="7" xr3:uid="{EB4F45BA-D8C2-4768-9796-02D50E7330DF}" name="Assessment Specific" dataDxfId="73"/>
    <tableColumn id="3" xr3:uid="{5B969136-9DE0-4A71-AF46-BE9B9C988057}" name="Assessment Description" dataDxfId="72"/>
    <tableColumn id="4" xr3:uid="{C51F8C6E-75D1-4D2A-980F-3DFD604FDE94}" name="Weighting" dataDxfId="71"/>
    <tableColumn id="5" xr3:uid="{732B8B1F-0938-4D2E-A221-A6E8EC0CEA2A}" name="Due Week" dataDxfId="70"/>
  </tableColumns>
  <tableStyleInfo name="TableStyleMedium3" showFirstColumn="0" showLastColumn="0" showRowStripes="1" showColumnStripes="0"/>
</table>
</file>

<file path=xl/tables/table2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69"/>
    <tableColumn id="2" xr3:uid="{B5886C84-F0E2-476E-B7F8-D50AED341227}" name="Week Number" dataDxfId="68"/>
    <tableColumn id="3" xr3:uid="{E72094EC-2F0A-4C32-8DE0-3CB3CF696309}" name="Weekly Content 1" dataDxfId="67"/>
    <tableColumn id="4" xr3:uid="{15BE7A5A-AEE2-4BE3-9FDF-71CA774FE739}" name="Weekly Content 2" dataDxfId="66"/>
    <tableColumn id="5" xr3:uid="{C4CF9651-D5F8-4074-B5BD-359D74967851}" name="Weekly Content 3" dataDxfId="65"/>
  </tableColumns>
  <tableStyleInfo name="TableStyleMedium4" showFirstColumn="0" showLastColumn="0" showRowStripes="1" showColumnStripes="0"/>
</table>
</file>

<file path=xl/tables/table2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64"/>
    <tableColumn id="2" xr3:uid="{C0E95D7F-8DB9-4A30-B523-E4812C2D666C}" name="Contact Hours" dataDxfId="63"/>
  </tableColumns>
  <tableStyleInfo name="TableStyleMedium2" showFirstColumn="0" showLastColumn="0" showRowStripes="1" showColumnStripes="0"/>
</table>
</file>

<file path=xl/tables/table2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66" totalsRowShown="0" headerRowDxfId="62" dataDxfId="61">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60"/>
    <tableColumn id="2" xr3:uid="{2008E8A1-90F0-4A5C-A0CF-4F307DD2E2D8}" name="LO Number" dataDxfId="59"/>
    <tableColumn id="3" xr3:uid="{3A4DD78F-A393-4DAB-8994-3FEC28769F43}" name="Graduate Skills Category" dataDxfId="58"/>
    <tableColumn id="4" xr3:uid="{3CC06E09-AB6C-4DEE-8FEB-FEE7643702C5}" name="Graduate Skill" dataDxfId="57"/>
  </tableColumns>
  <tableStyleInfo name="TableStyleMedium3" showFirstColumn="0" showLastColumn="0" showRowStripes="1" showColumnStripes="0"/>
</table>
</file>

<file path=xl/tables/table2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56">
  <autoFilter ref="F6:F8" xr:uid="{9552138F-2332-4BC4-A585-0E13162881A5}"/>
  <tableColumns count="1">
    <tableColumn id="1" xr3:uid="{71044305-7275-4074-BD40-FFAF45A8E291}" name="Aims" dataDxfId="55"/>
  </tableColumns>
  <tableStyleInfo name="TableStyleMedium6" showFirstColumn="0" showLastColumn="0" showRowStripes="1" showColumnStripes="0"/>
</table>
</file>

<file path=xl/tables/table2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dataDxfId="54">
  <autoFilter ref="F10:F13" xr:uid="{94F18F67-3F10-4F6E-A953-4FE3399B07F2}"/>
  <tableColumns count="1">
    <tableColumn id="1" xr3:uid="{409A0DF2-4B7A-4C37-A61C-CA2805617B9D}" name="Outline Syllabus" dataDxfId="53"/>
  </tableColumns>
  <tableStyleInfo name="TableStyleMedium6" showFirstColumn="0" showLastColumn="0" showRowStripes="1" showColumnStripes="0"/>
</table>
</file>

<file path=xl/tables/table2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dataDxfId="52">
  <autoFilter ref="F15:F20" xr:uid="{1B2BCD7B-6C15-4B1C-86BC-48FF83D8F225}"/>
  <tableColumns count="1">
    <tableColumn id="1" xr3:uid="{5E6F0374-DB3C-4DCF-968A-D7EB3D575A6B}" name="Module Overview" dataDxfId="51"/>
  </tableColumns>
  <tableStyleInfo name="TableStyleMedium6" showFirstColumn="0" showLastColumn="0" showRowStripes="1" showColumnStripes="0"/>
</table>
</file>

<file path=xl/tables/table2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dataDxfId="50">
  <autoFilter ref="F22:F33" xr:uid="{D5968C0A-6D7E-4221-87EE-78A85A4039B3}"/>
  <tableColumns count="1">
    <tableColumn id="1" xr3:uid="{EBE60D7D-4BB5-4F06-A2E4-CFAAE9F14014}" name="Additional Information/Notes" dataDxfId="49"/>
  </tableColumns>
  <tableStyleInfo name="TableStyleMedium6" showFirstColumn="0" showLastColumn="0" showRowStripes="1" showColumnStripes="0"/>
</table>
</file>

<file path=xl/tables/table2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2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ables/table2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D6785227-D60F-4766-B278-5A6312774D6F}" name="SES_Hours_Wide" displayName="SES_Hours_Wide" ref="A1:L29" tableType="queryTable" totalsRowShown="0">
  <autoFilter ref="A1:L29" xr:uid="{D6785227-D60F-4766-B278-5A6312774D6F}"/>
  <tableColumns count="12">
    <tableColumn id="1" xr3:uid="{5E81213E-02E7-4E0A-8205-43825740BCF6}" uniqueName="1" name="SourceWorkbook" queryTableFieldId="1" dataDxfId="48"/>
    <tableColumn id="2" xr3:uid="{E91B9743-5C25-4A37-B6A7-7892A75F3DC1}" uniqueName="2" name="ModuleCode" queryTableFieldId="2"/>
    <tableColumn id="3" xr3:uid="{31850A1F-DC7C-4434-BE60-B044F1DC48DD}" uniqueName="3" name="ModuleTitle" queryTableFieldId="3" dataDxfId="47"/>
    <tableColumn id="4" xr3:uid="{4A4120D2-4B85-42E2-9CA2-90C32C09823A}" uniqueName="4" name="Programme" queryTableFieldId="4"/>
    <tableColumn id="5" xr3:uid="{EA3A31D8-EA49-40C7-AFA1-85577AE4B10D}" uniqueName="5" name="TableName" queryTableFieldId="5"/>
    <tableColumn id="6" xr3:uid="{BBB37545-1C37-410A-B9B9-EA90C1546F5E}" uniqueName="6" name="ProgCode" queryTableFieldId="6"/>
    <tableColumn id="7" xr3:uid="{C0EA9878-C47F-410F-AE2E-6B3EF4842A7C}" uniqueName="7" name="Lecture" queryTableFieldId="7"/>
    <tableColumn id="8" xr3:uid="{DB0369E9-40AF-47F4-8E71-AD9C3574F25A}" uniqueName="8" name="Seminar" queryTableFieldId="8"/>
    <tableColumn id="9" xr3:uid="{C9572734-6430-4AB1-B23C-8D3D18053234}" uniqueName="9" name="Practical" queryTableFieldId="9"/>
    <tableColumn id="10" xr3:uid="{EE25BDEF-11F4-422D-8832-8B290D98C1A8}" uniqueName="10" name="Workshop" queryTableFieldId="10"/>
    <tableColumn id="11" xr3:uid="{0C1B48BF-FBB0-40FE-84B1-860646E08CB3}" uniqueName="11" name="Online" queryTableFieldId="11"/>
    <tableColumn id="12" xr3:uid="{FD6093B6-FEBB-419B-BC48-B5D8B189DCA1}" uniqueName="12" name="Total" queryTableFieldId="12"/>
  </tableColumns>
  <tableStyleInfo name="TableStyleMedium7" showFirstColumn="0" showLastColumn="0" showRowStripes="1" showColumnStripes="0"/>
</table>
</file>

<file path=xl/tables/table2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8FDDDAE3-DC87-4DD4-AFF1-E425457EB99C}" name="SES_SkillsCoverage" displayName="SES_SkillsCoverage" ref="A1:E65" tableType="queryTable" totalsRowShown="0">
  <autoFilter ref="A1:E65" xr:uid="{8FDDDAE3-DC87-4DD4-AFF1-E425457EB99C}"/>
  <sortState xmlns:xlrd2="http://schemas.microsoft.com/office/spreadsheetml/2017/richdata2" ref="A2:E65">
    <sortCondition ref="A1:A65"/>
  </sortState>
  <tableColumns count="5">
    <tableColumn id="1" xr3:uid="{5AE411E0-8F77-4C34-B986-CE2224B85471}" uniqueName="1" name="Category" queryTableFieldId="1"/>
    <tableColumn id="2" xr3:uid="{17ABEB65-CBE4-4DB3-ADC9-305B6D312048}" uniqueName="2" name="Skill" queryTableFieldId="2"/>
    <tableColumn id="3" xr3:uid="{E8E5D18D-BAF4-4F9D-BCB7-30B36DC58600}" uniqueName="3" name="Modules Covering" queryTableFieldId="3" dataDxfId="46"/>
    <tableColumn id="4" xr3:uid="{78A0F983-2896-44D8-A55A-51B59951D5C9}" uniqueName="4" name="Module Count" queryTableFieldId="4"/>
    <tableColumn id="5" xr3:uid="{46599D7A-1402-482F-9EA0-42ED8603B187}" uniqueName="5" name="Covered" queryTableFieldId="5"/>
  </tableColumns>
  <tableStyleInfo name="TableStyleMedium7" showFirstColumn="0" showLastColumn="0" showRowStripes="1" showColumnStripes="0"/>
</table>
</file>

<file path=xl/tables/table2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6091SPS_Meta" displayName="_6091SPS_Meta" ref="C6:D14" totalsRowShown="0">
  <autoFilter ref="C6:D14" xr:uid="{CD75D2A7-14B1-4ABD-B64D-6E875F9BC652}">
    <filterColumn colId="0" hiddenButton="1"/>
    <filterColumn colId="1" hiddenButton="1"/>
  </autoFilter>
  <tableColumns count="2">
    <tableColumn id="1" xr3:uid="{EB65BA05-1DE9-4FD7-BDBD-BDE47DF298A4}" name="Module Data" dataDxfId="45"/>
    <tableColumn id="2" xr3:uid="{310F2A93-D88D-4CC8-AC0C-C016B97380F6}" name="Details" dataDxfId="44"/>
  </tableColumns>
  <tableStyleInfo name="TableStyleMedium6" showFirstColumn="0" showLastColumn="0" showRowStripes="1" showColumnStripes="0"/>
</table>
</file>

<file path=xl/tables/table2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6091SPS_LO" displayName="_6091SPS_LO" ref="C28:D33" totalsRowShown="0" headerRowDxfId="43">
  <autoFilter ref="C28:D33" xr:uid="{22316987-6BEB-4FAF-9619-BF9BE9909CFA}">
    <filterColumn colId="0" hiddenButton="1"/>
    <filterColumn colId="1" hiddenButton="1"/>
  </autoFilter>
  <tableColumns count="2">
    <tableColumn id="1" xr3:uid="{2DA2E0DF-8487-4F48-AD57-6C8EF1F6A824}" name="LO Number" dataDxfId="42"/>
    <tableColumn id="2" xr3:uid="{5F671E3D-DB5F-4A86-A8E8-215D497F640F}" name="LO Description" dataDxfId="41"/>
  </tableColumns>
  <tableStyleInfo name="TableStyleMedium2" showFirstColumn="0" showLastColumn="0" showRowStripes="1" showColumnStripes="0"/>
</table>
</file>

<file path=xl/tables/table2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6091SPS_Assess" displayName="_6091SPS_Assess" ref="C37:H41" totalsRowShown="0" headerRowDxfId="4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39"/>
    <tableColumn id="2" xr3:uid="{99037CEE-E227-4DE7-AC0C-42C69784F090}" name="Assessment Type" dataDxfId="38"/>
    <tableColumn id="7" xr3:uid="{EE90A0B1-86AF-42EC-AB37-5E98D709E3E4}" name="Assessment Specific" dataDxfId="37"/>
    <tableColumn id="3" xr3:uid="{8B0C1721-2FDC-4C1A-AECE-975C6F1434A1}" name="Assessment Description" dataDxfId="36"/>
    <tableColumn id="4" xr3:uid="{876D72EC-520F-497B-8AC7-6AF0A5409783}" name="Weighting" dataDxfId="35"/>
    <tableColumn id="5" xr3:uid="{31A1A910-0DF5-428E-806F-6E026C606C3B}" name="Due Week" dataDxfId="34"/>
  </tableColumns>
  <tableStyleInfo name="TableStyleMedium3" showFirstColumn="0" showLastColumn="0" showRowStripes="1" showColumnStripes="0"/>
</table>
</file>

<file path=xl/tables/table2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6091SPS_Weekly" displayName="_609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33"/>
    <tableColumn id="2" xr3:uid="{8C49AFEC-B460-42E3-B373-FC0AB260F379}" name="Week Number" dataDxfId="32"/>
    <tableColumn id="3" xr3:uid="{A81B53B3-7EE2-4FDF-9110-0A8C17CA27E0}" name="Weekly Content 1" dataDxfId="31"/>
    <tableColumn id="4" xr3:uid="{362C63E5-C442-416C-9DB4-4F34D3EDDEF3}" name="Weekly Content 2" dataDxfId="30"/>
    <tableColumn id="5" xr3:uid="{E3C14089-4743-4CA8-9480-E777866BAF64}" name="Weekly Content 3" dataDxfId="29"/>
  </tableColumns>
  <tableStyleInfo name="TableStyleMedium4" showFirstColumn="0" showLastColumn="0" showRowStripes="1" showColumnStripes="0"/>
</table>
</file>

<file path=xl/tables/table2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6091SPS_Hours" displayName="_6091SPS_Hours" ref="C18:D24" totalsRowShown="0">
  <autoFilter ref="C18:D24" xr:uid="{B71A3569-AA65-4A4E-98A2-885F5C38B46D}">
    <filterColumn colId="0" hiddenButton="1"/>
    <filterColumn colId="1" hiddenButton="1"/>
  </autoFilter>
  <tableColumns count="2">
    <tableColumn id="1" xr3:uid="{7C918E81-2521-4CC2-B784-37E43EEC3CDD}" name="Component" dataDxfId="28"/>
    <tableColumn id="2" xr3:uid="{0D2A69D7-E2F7-4C5C-8E4D-714C66054E76}" name="Contact Hours" dataDxfId="27"/>
  </tableColumns>
  <tableStyleInfo name="TableStyleMedium2" showFirstColumn="0" showLastColumn="0" showRowStripes="1" showColumnStripes="0"/>
</table>
</file>

<file path=xl/tables/table2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6091SPS_Mapping" displayName="_6091SPS_Mapping" ref="C45:F66" totalsRowShown="0" headerRowDxfId="26" dataDxfId="25">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24"/>
    <tableColumn id="2" xr3:uid="{8D3D6147-F8A2-4D54-BC97-772B8CE44EA3}" name="LO Number" dataDxfId="23"/>
    <tableColumn id="3" xr3:uid="{C41D8ED0-797F-45E8-B847-5F5796F9B51E}" name="Graduate Skills Category" dataDxfId="22"/>
    <tableColumn id="4" xr3:uid="{28997C86-0364-497D-A258-1C7BA682BCAA}" name="Graduate Skill" dataDxfId="21"/>
  </tableColumns>
  <tableStyleInfo name="TableStyleMedium3" showFirstColumn="0" showLastColumn="0" showRowStripes="1" showColumnStripes="0"/>
</table>
</file>

<file path=xl/tables/table2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6091SPS_Aims" displayName="_6091SPS_Aims" ref="F6:F8" totalsRowShown="0" dataDxfId="20">
  <autoFilter ref="F6:F8" xr:uid="{9552138F-2332-4BC4-A585-0E13162881A5}"/>
  <tableColumns count="1">
    <tableColumn id="1" xr3:uid="{3E728AAA-21E1-43D6-98EC-781D610D5B5C}" name="Aims" dataDxfId="19"/>
  </tableColumns>
  <tableStyleInfo name="TableStyleMedium6" showFirstColumn="0" showLastColumn="0" showRowStripes="1" showColumnStripes="0"/>
</table>
</file>

<file path=xl/tables/table2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6091SPS_Syllabus" displayName="_6091SPS_Syllabus" ref="F10:F13" totalsRowShown="0" dataDxfId="18">
  <autoFilter ref="F10:F13" xr:uid="{94F18F67-3F10-4F6E-A953-4FE3399B07F2}"/>
  <tableColumns count="1">
    <tableColumn id="1" xr3:uid="{CAFF733E-EEBF-4C10-ACD1-A6DDCD33C63A}" name="Outline Syllabus" dataDxfId="17"/>
  </tableColumns>
  <tableStyleInfo name="TableStyleMedium6" showFirstColumn="0" showLastColumn="0" showRowStripes="1" showColumnStripes="0"/>
</table>
</file>

<file path=xl/tables/table2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6091SPS_Overview" displayName="_6091SPS_Overview" ref="F15:F20" totalsRowShown="0" dataDxfId="16">
  <autoFilter ref="F15:F20" xr:uid="{1B2BCD7B-6C15-4B1C-86BC-48FF83D8F225}"/>
  <tableColumns count="1">
    <tableColumn id="1" xr3:uid="{3D131B43-1A6C-42C4-B635-F81D00AEF103}" name="Module Overview" dataDxfId="15"/>
  </tableColumns>
  <tableStyleInfo name="TableStyleMedium6" showFirstColumn="0" showLastColumn="0" showRowStripes="1" showColumnStripes="0"/>
</table>
</file>

<file path=xl/tables/table2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6091SPS_Notes" displayName="_6091SPS_Notes" ref="F22:F33" totalsRowShown="0" dataDxfId="14">
  <autoFilter ref="F22:F33" xr:uid="{D5968C0A-6D7E-4221-87EE-78A85A4039B3}"/>
  <tableColumns count="1">
    <tableColumn id="1" xr3:uid="{DBD01D3B-64A5-4A59-96FF-8858AB682507}" name="Additional Information/Notes" dataDxfId="13"/>
  </tableColumns>
  <tableStyleInfo name="TableStyleMedium6" showFirstColumn="0" showLastColumn="0" showRowStripes="1" showColumnStripes="0"/>
</table>
</file>

<file path=xl/tables/table2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5E66F18-FB4F-4FDC-9E52-A325B3FEE1F1}" name="SES_Module_Overview" displayName="SES_Module_Overview" ref="A1:I29" tableType="queryTable" totalsRowShown="0">
  <autoFilter ref="A1:I29" xr:uid="{F5E66F18-FB4F-4FDC-9E52-A325B3FEE1F1}"/>
  <sortState xmlns:xlrd2="http://schemas.microsoft.com/office/spreadsheetml/2017/richdata2" ref="A2:I29">
    <sortCondition ref="A1:A29"/>
  </sortState>
  <tableColumns count="9">
    <tableColumn id="1" xr3:uid="{D1CBA8CE-221E-4B3C-9FFA-777E45A76316}" uniqueName="1" name="ModuleCode" queryTableFieldId="1"/>
    <tableColumn id="2" xr3:uid="{7EDD0D29-06E7-4AF7-9D6B-3A0ED7210DB1}" uniqueName="2" name="ModuleTitle" queryTableFieldId="2" dataDxfId="12"/>
    <tableColumn id="3" xr3:uid="{ABFF4355-14FD-4EF2-879C-C03E0D2EB89D}" uniqueName="3" name="Level" queryTableFieldId="3"/>
    <tableColumn id="4" xr3:uid="{EB88786D-5952-425F-BF95-DD8B31024CCA}" uniqueName="4" name="Semester" queryTableFieldId="4"/>
    <tableColumn id="5" xr3:uid="{D8FE3694-61E3-4B5C-B8FD-BB2AE6C49FB1}" uniqueName="5" name="Credits" queryTableFieldId="5"/>
    <tableColumn id="6" xr3:uid="{6DC7F283-A5CC-4857-B226-74196F21D333}" uniqueName="6" name="Module Leader" queryTableFieldId="6"/>
    <tableColumn id="7" xr3:uid="{D04C6315-5F2E-4CD7-B5E9-84CD7A4E50F1}" uniqueName="7" name="Module Type" queryTableFieldId="7"/>
    <tableColumn id="8" xr3:uid="{AF58861A-7525-46D6-B1EA-F3F90E752BC6}" uniqueName="8" name="Total Contact Hours" queryTableFieldId="8"/>
    <tableColumn id="9" xr3:uid="{8B413035-46E5-4345-918A-7436D721F646}" uniqueName="9" name="Hours per Credit" queryTableFieldId="9"/>
  </tableColumns>
  <tableStyleInfo name="TableStyleMedium7" showFirstColumn="0" showLastColumn="0" showRowStripes="1" showColumnStripes="0"/>
</table>
</file>

<file path=xl/tables/table2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AA2F7CA6-41EF-4506-8B38-32EBD8F24EE3}" name="SES_Meta_Wide" displayName="SES_Meta_Wide" ref="A1:N29" tableType="queryTable" totalsRowShown="0">
  <autoFilter ref="A1:N29" xr:uid="{AA2F7CA6-41EF-4506-8B38-32EBD8F24EE3}"/>
  <tableColumns count="14">
    <tableColumn id="1" xr3:uid="{E0BE8BD3-A713-41EC-8CA7-9BCC6FDAB23B}" uniqueName="1" name="SourceWorkbook" queryTableFieldId="1" dataDxfId="11"/>
    <tableColumn id="2" xr3:uid="{11345748-D206-4427-997F-09D43349D608}" uniqueName="2" name="ModuleCode" queryTableFieldId="2"/>
    <tableColumn id="3" xr3:uid="{B9896065-CC87-43F2-B609-555D89B08EE8}" uniqueName="3" name="ModuleTitle" queryTableFieldId="3" dataDxfId="10"/>
    <tableColumn id="4" xr3:uid="{C18D1D58-B2AF-4481-9997-85503F3B9299}" uniqueName="4" name="Module Title" queryTableFieldId="4"/>
    <tableColumn id="5" xr3:uid="{1A99511B-9138-4E5C-8497-B954A1C402C9}" uniqueName="5" name="Credits" queryTableFieldId="5"/>
    <tableColumn id="6" xr3:uid="{616E8227-BADF-47CD-8B4B-EA75AA5D5DFC}" uniqueName="6" name="Semester" queryTableFieldId="6"/>
    <tableColumn id="7" xr3:uid="{6A748FFA-A25A-47A7-8879-CE818F73D4DB}" uniqueName="7" name="Level" queryTableFieldId="7"/>
    <tableColumn id="8" xr3:uid="{BF860947-A0DE-41D5-BC8C-087B8F556718}" uniqueName="8" name="Module Leader" queryTableFieldId="8"/>
    <tableColumn id="9" xr3:uid="{ECCF9095-1C33-450A-9C9E-2FB48C4883E0}" uniqueName="9" name="Module Type" queryTableFieldId="9"/>
    <tableColumn id="10" xr3:uid="{3D1626AA-C62F-48C9-8073-E4E933D4824F}" uniqueName="10" name="Programme(s)" queryTableFieldId="10"/>
    <tableColumn id="11" xr3:uid="{5FFF5A03-E8A1-4968-98E8-BD2803568281}" uniqueName="11" name="TableName" queryTableFieldId="11"/>
    <tableColumn id="12" xr3:uid="{74541E47-A9A4-40B3-80DC-2F7EB35A60A1}" uniqueName="12" name="ItemSuffix" queryTableFieldId="12"/>
    <tableColumn id="13" xr3:uid="{2E3CBA5D-CB5A-4D22-89EF-D8480BF093AB}" uniqueName="13" name="Programme" queryTableFieldId="13"/>
    <tableColumn id="14" xr3:uid="{F07882AD-E58D-45D5-B061-FE95CDE98811}" uniqueName="14" name="ProgCode" queryTableFieldId="14"/>
  </tableColumns>
  <tableStyleInfo name="TableStyleMedium7" showFirstColumn="0" showLastColumn="0" showRowStripes="1" showColumnStripes="0"/>
</table>
</file>

<file path=xl/tables/table2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70EF03B2-3323-448C-8F4A-15CE0435B0D0}" name="SES_Mapping" displayName="SES_Mapping" ref="A1:K286" tableType="queryTable" totalsRowShown="0">
  <autoFilter ref="A1:K286" xr:uid="{70EF03B2-3323-448C-8F4A-15CE0435B0D0}"/>
  <tableColumns count="11">
    <tableColumn id="1" xr3:uid="{7C769416-8F6C-494F-889A-E3EBED31CD48}" uniqueName="1" name="SourceWorkbook" queryTableFieldId="1" dataDxfId="9"/>
    <tableColumn id="2" xr3:uid="{BDC69B99-98CD-4D74-AADE-DCD89AD5B6A6}" uniqueName="2" name="TableName" queryTableFieldId="2"/>
    <tableColumn id="3" xr3:uid="{E443FEA5-956B-4E42-8AFC-5746D9ED7939}" uniqueName="3" name="Assessment No" queryTableFieldId="3"/>
    <tableColumn id="4" xr3:uid="{230F0490-A4A8-4FCD-8E52-7B4F3A98F521}" uniqueName="4" name="LO Number" queryTableFieldId="4"/>
    <tableColumn id="5" xr3:uid="{28672339-1235-4379-9079-5051D90362CF}" uniqueName="5" name="Graduate Skills Category" queryTableFieldId="5"/>
    <tableColumn id="6" xr3:uid="{431EB83C-DC59-43F3-87CC-53BC37D31B0C}" uniqueName="6" name="Graduate Skill" queryTableFieldId="6"/>
    <tableColumn id="7" xr3:uid="{30D67A1E-7AA2-4052-8074-8D0D8F06FD7A}" uniqueName="7" name="ModuleCode" queryTableFieldId="7"/>
    <tableColumn id="8" xr3:uid="{1C2948B3-39BE-4796-B39B-626689792004}" uniqueName="8" name="ItemSuffix" queryTableFieldId="8"/>
    <tableColumn id="9" xr3:uid="{41A9F0EF-48E2-4276-B713-C56EA4B2FD18}" uniqueName="9" name="Programme" queryTableFieldId="9"/>
    <tableColumn id="10" xr3:uid="{2FB3223F-BCA8-49C1-8BA3-3651B9B6D30D}" uniqueName="10" name="ProgCode" queryTableFieldId="10"/>
    <tableColumn id="11" xr3:uid="{1B50A280-F9EF-4522-BA8B-06BF06F97B78}" uniqueName="11" name="ModuleTitle" queryTableFieldId="11" dataDxfId="8"/>
  </tableColumns>
  <tableStyleInfo name="TableStyleMedium7" showFirstColumn="0" showLastColumn="0" showRowStripes="1" showColumnStripes="0"/>
</table>
</file>

<file path=xl/tables/table2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C60294A-E386-4BD2-9639-E17260AA2058}" name="SES_Hours" displayName="SES_Hours" ref="A1:I169" tableType="queryTable" totalsRowShown="0">
  <autoFilter ref="A1:I169" xr:uid="{CC60294A-E386-4BD2-9639-E17260AA2058}"/>
  <tableColumns count="9">
    <tableColumn id="1" xr3:uid="{1B75B73D-A5D5-4929-8012-6182F8224A85}" uniqueName="1" name="SourceWorkbook" queryTableFieldId="1" dataDxfId="7"/>
    <tableColumn id="2" xr3:uid="{00B48005-1D22-44E7-A84F-1FF8DBDC0189}" uniqueName="2" name="ModuleCode" queryTableFieldId="2"/>
    <tableColumn id="3" xr3:uid="{B24A4CC2-0578-4BFD-851C-9A3A6B970806}" uniqueName="3" name="ModuleTitle" queryTableFieldId="3" dataDxfId="6"/>
    <tableColumn id="4" xr3:uid="{66663B38-12CA-4BCF-98A5-359358E20EA1}" uniqueName="4" name="Component" queryTableFieldId="4"/>
    <tableColumn id="5" xr3:uid="{0BBCC954-9D9D-4A0E-B21F-E01B79629238}" uniqueName="5" name="Contact Hours" queryTableFieldId="5"/>
    <tableColumn id="6" xr3:uid="{5A643085-9E6B-4010-9C9E-B0A3FA7D53A5}" uniqueName="6" name="ItemSuffix" queryTableFieldId="6"/>
    <tableColumn id="7" xr3:uid="{3C12BE2F-E97A-4ED6-ADCF-4F983F8D8F26}" uniqueName="7" name="Programme" queryTableFieldId="7"/>
    <tableColumn id="8" xr3:uid="{BD346F61-F444-4F61-8D34-51B9B67C9158}" uniqueName="8" name="TableName" queryTableFieldId="8"/>
    <tableColumn id="9" xr3:uid="{E5A8865A-6F4B-4FEE-8DC5-75419476F45D}" uniqueName="9" name="ProgCode" queryTableFieldId="9"/>
  </tableColumns>
  <tableStyleInfo name="TableStyleMedium7" showFirstColumn="0" showLastColumn="0" showRowStripes="1" showColumnStripes="0"/>
</table>
</file>

<file path=xl/tables/table2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DD38DBAB-D585-475B-9CA1-67DE02D2D7C1}" name="SES_Assess" displayName="SES_Assess" ref="A1:M53" tableType="queryTable" totalsRowShown="0">
  <autoFilter ref="A1:M53" xr:uid="{DD38DBAB-D585-475B-9CA1-67DE02D2D7C1}"/>
  <tableColumns count="13">
    <tableColumn id="1" xr3:uid="{F6165DBE-9012-4E67-AC64-530DA0AED0E7}" uniqueName="1" name="SourceWorkbook" queryTableFieldId="1" dataDxfId="5"/>
    <tableColumn id="2" xr3:uid="{0629D98C-5D5D-423F-AEB9-B8B91DF726CB}" uniqueName="2" name="ModuleCode" queryTableFieldId="2"/>
    <tableColumn id="3" xr3:uid="{1745D6FF-EB96-48CB-B3D4-E578E83E25C0}" uniqueName="3" name="ModuleTitle" queryTableFieldId="3" dataDxfId="4"/>
    <tableColumn id="4" xr3:uid="{980597F4-0832-477F-A503-4C2851DC908C}" uniqueName="4" name="Assessment No" queryTableFieldId="4"/>
    <tableColumn id="5" xr3:uid="{532091D0-E5C3-4918-8857-C30E28C80035}" uniqueName="5" name="Assessment Type" queryTableFieldId="5"/>
    <tableColumn id="6" xr3:uid="{6C0B6905-5720-4D19-ABD6-5B38DCE35F68}" uniqueName="6" name="Assessment Specific" queryTableFieldId="6"/>
    <tableColumn id="7" xr3:uid="{9BF41F83-FB76-40A8-B8CA-0EAF521615A7}" uniqueName="7" name="Assessment Description" queryTableFieldId="7"/>
    <tableColumn id="8" xr3:uid="{20E46A77-2F7C-466C-82C3-522006D21CA2}" uniqueName="8" name="Weighting" queryTableFieldId="8"/>
    <tableColumn id="9" xr3:uid="{727ECD05-662F-4376-8E51-88D77EF02B04}" uniqueName="9" name="Due Week" queryTableFieldId="9"/>
    <tableColumn id="10" xr3:uid="{5E66AF3D-FD0B-4EB5-95DD-E7E7261AD105}" uniqueName="10" name="TableName" queryTableFieldId="10"/>
    <tableColumn id="11" xr3:uid="{88BFA8F2-EFFF-48F6-A8D4-47063D5F3361}" uniqueName="11" name="ItemSuffix" queryTableFieldId="11"/>
    <tableColumn id="12" xr3:uid="{3AC278C2-40D1-4F72-851A-8B5AE4687EE8}" uniqueName="12" name="Programme" queryTableFieldId="12"/>
    <tableColumn id="13" xr3:uid="{17610F6D-3B31-405C-98DF-282F0FAC2A85}" uniqueName="13" name="ProgCode" queryTableFieldId="13"/>
  </tableColumns>
  <tableStyleInfo name="TableStyleMedium7" showFirstColumn="0" showLastColumn="0" showRowStripes="1" showColumnStripes="0"/>
</table>
</file>

<file path=xl/tables/table2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9E50A83D-239A-4755-A176-04DE7B57A721}" name="SES_LO" displayName="SES_LO" ref="A1:I75" tableType="queryTable" totalsRowShown="0">
  <autoFilter ref="A1:I75" xr:uid="{9E50A83D-239A-4755-A176-04DE7B57A721}"/>
  <sortState xmlns:xlrd2="http://schemas.microsoft.com/office/spreadsheetml/2017/richdata2" ref="A2:I75">
    <sortCondition ref="C1:C75"/>
  </sortState>
  <tableColumns count="9">
    <tableColumn id="1" xr3:uid="{AD8361CE-9CFF-443F-8D3E-BEB0CE2ED17C}" uniqueName="1" name="SourceWorkbook" queryTableFieldId="1" dataDxfId="3"/>
    <tableColumn id="2" xr3:uid="{4C0AE08B-8404-405A-96A9-4CD70364850E}" uniqueName="2" name="Programme" queryTableFieldId="2"/>
    <tableColumn id="3" xr3:uid="{178F9A24-08B8-4D5B-8190-481359B814D1}" uniqueName="3" name="ModuleCode" queryTableFieldId="3"/>
    <tableColumn id="4" xr3:uid="{39177534-A188-41BA-9E18-E7AB1A047309}" uniqueName="4" name="ModuleTitle" queryTableFieldId="4" dataDxfId="2"/>
    <tableColumn id="5" xr3:uid="{C35E10C0-C320-417F-8AAC-E1C3AE4DBD2D}" uniqueName="5" name="LO Number" queryTableFieldId="5"/>
    <tableColumn id="6" xr3:uid="{B8BE1DA2-69BE-4588-BBA0-EE3B54B16615}" uniqueName="6" name="LO Description" queryTableFieldId="6"/>
    <tableColumn id="7" xr3:uid="{669EE8EF-B230-42EF-8A7E-066E612C7CA7}" uniqueName="7" name="TableName" queryTableFieldId="7"/>
    <tableColumn id="8" xr3:uid="{EEDCDD53-FA99-4D1C-A48D-7640BC2C8DB3}" uniqueName="8" name="ItemSuffix" queryTableFieldId="8"/>
    <tableColumn id="9" xr3:uid="{EBC287BA-8DB6-41BB-8763-EFD2A05299F4}" uniqueName="9" name="ProgCode" queryTableFieldId="9"/>
  </tableColumns>
  <tableStyleInfo name="TableStyleMedium7" showFirstColumn="0" showLastColumn="0" showRowStripes="1" showColumnStripes="0"/>
</table>
</file>

<file path=xl/tables/table2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35525DF9-E6DD-4EBC-8B04-44F5FCB60200}" name="SES_Meta" displayName="SES_Meta" ref="A1:I225" tableType="queryTable" totalsRowShown="0">
  <autoFilter ref="A1:I225" xr:uid="{35525DF9-E6DD-4EBC-8B04-44F5FCB60200}"/>
  <tableColumns count="9">
    <tableColumn id="1" xr3:uid="{C196002C-9013-415A-898C-2AE018F783AE}" uniqueName="1" name="SourceWorkbook" queryTableFieldId="1" dataDxfId="1"/>
    <tableColumn id="2" xr3:uid="{FD878126-0444-4A97-9E58-8CA95087B087}" uniqueName="2" name="TableName" queryTableFieldId="2"/>
    <tableColumn id="3" xr3:uid="{3B87AE51-CCBD-457D-8684-FC34904253DD}" uniqueName="3" name="Module Data" queryTableFieldId="3"/>
    <tableColumn id="4" xr3:uid="{E023D3A4-E24C-47BD-A617-B7EEDBB7E305}" uniqueName="4" name="Details" queryTableFieldId="4"/>
    <tableColumn id="5" xr3:uid="{0D41F6A2-86C8-4639-81CA-B48AB720E582}" uniqueName="5" name="ModuleCode" queryTableFieldId="5"/>
    <tableColumn id="6" xr3:uid="{32EC0B32-C2D1-4E49-8E85-790600FB4270}" uniqueName="6" name="ItemSuffix" queryTableFieldId="6"/>
    <tableColumn id="7" xr3:uid="{72F01C2C-451D-4DD7-B489-4AE9723138D2}" uniqueName="7" name="Programme" queryTableFieldId="7"/>
    <tableColumn id="8" xr3:uid="{8FC56DD0-8A8A-43E2-851E-33DEFB094026}" uniqueName="8" name="ProgCode" queryTableFieldId="8"/>
    <tableColumn id="9" xr3:uid="{787A3EA6-8EC3-4377-8646-B1B50AA780AB}" uniqueName="9" name="ModuleTitle" queryTableFieldId="9"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0" dT="2026-07-31T07:48:42.38" personId="{51414E2E-ADDB-4659-9E0D-35850923C808}" id="{3645A966-E75C-4267-9C38-FBA7FE00828B}">
    <text>Peer Review Seminar</text>
  </threadedComment>
  <threadedComment ref="D22" dT="2026-07-31T07:48:54.10" personId="{51414E2E-ADDB-4659-9E0D-35850923C808}" id="{F66AD8D5-B5C5-4755-B548-7270B05FF0CB}">
    <text>Data Analysis Computer Practical</text>
  </threadedComment>
  <threadedComment ref="D23" dT="2026-07-31T07:49:16.83" personId="{51414E2E-ADDB-4659-9E0D-35850923C808}" id="{3E8F4BD7-486E-4104-BC82-62579504483E}">
    <text>Synchronous</text>
  </threadedComment>
</ThreadedComments>
</file>

<file path=xl/threadedComments/threadedComment2.xml><?xml version="1.0" encoding="utf-8"?>
<ThreadedComments xmlns="http://schemas.microsoft.com/office/spreadsheetml/2018/threadedcomments" xmlns:x="http://schemas.openxmlformats.org/spreadsheetml/2006/main">
  <threadedComment ref="D23" dT="2026-07-28T09:32:33.58" personId="{DA93A651-29F7-4AAC-A835-71CACA86DFCA}" id="{F774FFA2-D32D-41DE-B3AB-B5AECE8B6F5D}">
    <text>asynchronous tasks</text>
  </threadedComment>
</ThreadedComments>
</file>

<file path=xl/threadedComments/threadedComment3.xml><?xml version="1.0" encoding="utf-8"?>
<ThreadedComments xmlns="http://schemas.microsoft.com/office/spreadsheetml/2018/threadedcomments" xmlns:x="http://schemas.openxmlformats.org/spreadsheetml/2006/main">
  <threadedComment ref="E38" dT="2026-07-27T12:59:14.78" personId="{14AE07FE-F738-4266-B42F-DFD851BB43E4}" id="{5C5F7A89-0EDA-48CB-819D-1968E0B25D3B}">
    <text>This is a portfolio made up of three mini essays.</text>
  </threadedComment>
</ThreadedComments>
</file>

<file path=xl/threadedComments/threadedComment4.xml><?xml version="1.0" encoding="utf-8"?>
<ThreadedComments xmlns="http://schemas.microsoft.com/office/spreadsheetml/2018/threadedcomments" xmlns:x="http://schemas.openxmlformats.org/spreadsheetml/2006/main">
  <threadedComment ref="E39" dT="2026-09-07T13:01:21.74" personId="{38634D3B-70C4-8F44-856B-2B4869DA4869}" id="{4E91AFC5-1741-4F40-9C85-8F128F5276C2}">
    <text>In person exam - cant edit this box sorry</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1.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8" Type="http://schemas.openxmlformats.org/officeDocument/2006/relationships/table" Target="../tables/table56.xml"/><Relationship Id="rId13" Type="http://schemas.openxmlformats.org/officeDocument/2006/relationships/comments" Target="../comments2.xml"/><Relationship Id="rId3" Type="http://schemas.openxmlformats.org/officeDocument/2006/relationships/table" Target="../tables/table51.xml"/><Relationship Id="rId7" Type="http://schemas.openxmlformats.org/officeDocument/2006/relationships/table" Target="../tables/table55.xml"/><Relationship Id="rId12" Type="http://schemas.openxmlformats.org/officeDocument/2006/relationships/table" Target="../tables/table60.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table" Target="../tables/table54.xml"/><Relationship Id="rId11" Type="http://schemas.openxmlformats.org/officeDocument/2006/relationships/table" Target="../tables/table59.xml"/><Relationship Id="rId5" Type="http://schemas.openxmlformats.org/officeDocument/2006/relationships/table" Target="../tables/table53.xml"/><Relationship Id="rId10" Type="http://schemas.openxmlformats.org/officeDocument/2006/relationships/table" Target="../tables/table58.xml"/><Relationship Id="rId4" Type="http://schemas.openxmlformats.org/officeDocument/2006/relationships/table" Target="../tables/table52.xml"/><Relationship Id="rId9" Type="http://schemas.openxmlformats.org/officeDocument/2006/relationships/table" Target="../tables/table57.xml"/><Relationship Id="rId1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26.xml"/><Relationship Id="rId13" Type="http://schemas.openxmlformats.org/officeDocument/2006/relationships/comments" Target="../comments3.xml"/><Relationship Id="rId3" Type="http://schemas.openxmlformats.org/officeDocument/2006/relationships/table" Target="../tables/table121.xml"/><Relationship Id="rId7" Type="http://schemas.openxmlformats.org/officeDocument/2006/relationships/table" Target="../tables/table125.xml"/><Relationship Id="rId12" Type="http://schemas.openxmlformats.org/officeDocument/2006/relationships/table" Target="../tables/table130.xml"/><Relationship Id="rId2" Type="http://schemas.openxmlformats.org/officeDocument/2006/relationships/vmlDrawing" Target="../drawings/vmlDrawing3.vml"/><Relationship Id="rId1" Type="http://schemas.openxmlformats.org/officeDocument/2006/relationships/printerSettings" Target="../printerSettings/printerSettings13.bin"/><Relationship Id="rId6" Type="http://schemas.openxmlformats.org/officeDocument/2006/relationships/table" Target="../tables/table124.xml"/><Relationship Id="rId11" Type="http://schemas.openxmlformats.org/officeDocument/2006/relationships/table" Target="../tables/table129.xml"/><Relationship Id="rId5" Type="http://schemas.openxmlformats.org/officeDocument/2006/relationships/table" Target="../tables/table123.xml"/><Relationship Id="rId10" Type="http://schemas.openxmlformats.org/officeDocument/2006/relationships/table" Target="../tables/table128.xml"/><Relationship Id="rId4" Type="http://schemas.openxmlformats.org/officeDocument/2006/relationships/table" Target="../tables/table122.xml"/><Relationship Id="rId9" Type="http://schemas.openxmlformats.org/officeDocument/2006/relationships/table" Target="../tables/table127.xml"/><Relationship Id="rId1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8" Type="http://schemas.openxmlformats.org/officeDocument/2006/relationships/table" Target="../tables/table136.xml"/><Relationship Id="rId13" Type="http://schemas.openxmlformats.org/officeDocument/2006/relationships/comments" Target="../comments4.xml"/><Relationship Id="rId3" Type="http://schemas.openxmlformats.org/officeDocument/2006/relationships/table" Target="../tables/table131.xml"/><Relationship Id="rId7" Type="http://schemas.openxmlformats.org/officeDocument/2006/relationships/table" Target="../tables/table135.xml"/><Relationship Id="rId12" Type="http://schemas.openxmlformats.org/officeDocument/2006/relationships/table" Target="../tables/table140.xml"/><Relationship Id="rId2" Type="http://schemas.openxmlformats.org/officeDocument/2006/relationships/vmlDrawing" Target="../drawings/vmlDrawing4.vml"/><Relationship Id="rId1" Type="http://schemas.openxmlformats.org/officeDocument/2006/relationships/printerSettings" Target="../printerSettings/printerSettings14.bin"/><Relationship Id="rId6" Type="http://schemas.openxmlformats.org/officeDocument/2006/relationships/table" Target="../tables/table134.xml"/><Relationship Id="rId11" Type="http://schemas.openxmlformats.org/officeDocument/2006/relationships/table" Target="../tables/table139.xml"/><Relationship Id="rId5" Type="http://schemas.openxmlformats.org/officeDocument/2006/relationships/table" Target="../tables/table133.xml"/><Relationship Id="rId10" Type="http://schemas.openxmlformats.org/officeDocument/2006/relationships/table" Target="../tables/table138.xml"/><Relationship Id="rId4" Type="http://schemas.openxmlformats.org/officeDocument/2006/relationships/table" Target="../tables/table132.xml"/><Relationship Id="rId9" Type="http://schemas.openxmlformats.org/officeDocument/2006/relationships/table" Target="../tables/table137.xml"/><Relationship Id="rId14" Type="http://schemas.microsoft.com/office/2017/10/relationships/threadedComment" Target="../threadedComments/threadedComment4.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2" Type="http://schemas.openxmlformats.org/officeDocument/2006/relationships/table" Target="../tables/table141.xml"/><Relationship Id="rId1" Type="http://schemas.openxmlformats.org/officeDocument/2006/relationships/printerSettings" Target="../printerSettings/printerSettings15.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157.xml"/><Relationship Id="rId3" Type="http://schemas.openxmlformats.org/officeDocument/2006/relationships/table" Target="../tables/table152.xml"/><Relationship Id="rId7" Type="http://schemas.openxmlformats.org/officeDocument/2006/relationships/table" Target="../tables/table156.xml"/><Relationship Id="rId2" Type="http://schemas.openxmlformats.org/officeDocument/2006/relationships/table" Target="../tables/table151.xml"/><Relationship Id="rId1" Type="http://schemas.openxmlformats.org/officeDocument/2006/relationships/printerSettings" Target="../printerSettings/printerSettings16.bin"/><Relationship Id="rId6" Type="http://schemas.openxmlformats.org/officeDocument/2006/relationships/table" Target="../tables/table155.xml"/><Relationship Id="rId11" Type="http://schemas.openxmlformats.org/officeDocument/2006/relationships/table" Target="../tables/table160.xml"/><Relationship Id="rId5" Type="http://schemas.openxmlformats.org/officeDocument/2006/relationships/table" Target="../tables/table154.xml"/><Relationship Id="rId10" Type="http://schemas.openxmlformats.org/officeDocument/2006/relationships/table" Target="../tables/table159.xml"/><Relationship Id="rId4" Type="http://schemas.openxmlformats.org/officeDocument/2006/relationships/table" Target="../tables/table153.xml"/><Relationship Id="rId9" Type="http://schemas.openxmlformats.org/officeDocument/2006/relationships/table" Target="../tables/table158.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167.xml"/><Relationship Id="rId3" Type="http://schemas.openxmlformats.org/officeDocument/2006/relationships/table" Target="../tables/table162.xml"/><Relationship Id="rId7" Type="http://schemas.openxmlformats.org/officeDocument/2006/relationships/table" Target="../tables/table166.xml"/><Relationship Id="rId2" Type="http://schemas.openxmlformats.org/officeDocument/2006/relationships/table" Target="../tables/table161.xml"/><Relationship Id="rId1" Type="http://schemas.openxmlformats.org/officeDocument/2006/relationships/printerSettings" Target="../printerSettings/printerSettings17.bin"/><Relationship Id="rId6" Type="http://schemas.openxmlformats.org/officeDocument/2006/relationships/table" Target="../tables/table165.xml"/><Relationship Id="rId11" Type="http://schemas.openxmlformats.org/officeDocument/2006/relationships/table" Target="../tables/table170.xml"/><Relationship Id="rId5" Type="http://schemas.openxmlformats.org/officeDocument/2006/relationships/table" Target="../tables/table164.xml"/><Relationship Id="rId10" Type="http://schemas.openxmlformats.org/officeDocument/2006/relationships/table" Target="../tables/table169.xml"/><Relationship Id="rId4" Type="http://schemas.openxmlformats.org/officeDocument/2006/relationships/table" Target="../tables/table163.xml"/><Relationship Id="rId9" Type="http://schemas.openxmlformats.org/officeDocument/2006/relationships/table" Target="../tables/table168.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177.xml"/><Relationship Id="rId3" Type="http://schemas.openxmlformats.org/officeDocument/2006/relationships/table" Target="../tables/table172.xml"/><Relationship Id="rId7" Type="http://schemas.openxmlformats.org/officeDocument/2006/relationships/table" Target="../tables/table176.xml"/><Relationship Id="rId2" Type="http://schemas.openxmlformats.org/officeDocument/2006/relationships/table" Target="../tables/table171.xml"/><Relationship Id="rId1" Type="http://schemas.openxmlformats.org/officeDocument/2006/relationships/printerSettings" Target="../printerSettings/printerSettings18.bin"/><Relationship Id="rId6" Type="http://schemas.openxmlformats.org/officeDocument/2006/relationships/table" Target="../tables/table175.xml"/><Relationship Id="rId11" Type="http://schemas.openxmlformats.org/officeDocument/2006/relationships/table" Target="../tables/table180.xml"/><Relationship Id="rId5" Type="http://schemas.openxmlformats.org/officeDocument/2006/relationships/table" Target="../tables/table174.xml"/><Relationship Id="rId10" Type="http://schemas.openxmlformats.org/officeDocument/2006/relationships/table" Target="../tables/table179.xml"/><Relationship Id="rId4" Type="http://schemas.openxmlformats.org/officeDocument/2006/relationships/table" Target="../tables/table173.xml"/><Relationship Id="rId9" Type="http://schemas.openxmlformats.org/officeDocument/2006/relationships/table" Target="../tables/table178.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187.xml"/><Relationship Id="rId3" Type="http://schemas.openxmlformats.org/officeDocument/2006/relationships/table" Target="../tables/table182.xml"/><Relationship Id="rId7" Type="http://schemas.openxmlformats.org/officeDocument/2006/relationships/table" Target="../tables/table186.xml"/><Relationship Id="rId2" Type="http://schemas.openxmlformats.org/officeDocument/2006/relationships/table" Target="../tables/table181.xml"/><Relationship Id="rId1" Type="http://schemas.openxmlformats.org/officeDocument/2006/relationships/printerSettings" Target="../printerSettings/printerSettings19.bin"/><Relationship Id="rId6" Type="http://schemas.openxmlformats.org/officeDocument/2006/relationships/table" Target="../tables/table185.xml"/><Relationship Id="rId11" Type="http://schemas.openxmlformats.org/officeDocument/2006/relationships/table" Target="../tables/table190.xml"/><Relationship Id="rId5" Type="http://schemas.openxmlformats.org/officeDocument/2006/relationships/table" Target="../tables/table184.xml"/><Relationship Id="rId10" Type="http://schemas.openxmlformats.org/officeDocument/2006/relationships/table" Target="../tables/table189.xml"/><Relationship Id="rId4" Type="http://schemas.openxmlformats.org/officeDocument/2006/relationships/table" Target="../tables/table183.xml"/><Relationship Id="rId9" Type="http://schemas.openxmlformats.org/officeDocument/2006/relationships/table" Target="../tables/table188.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197.xml"/><Relationship Id="rId3" Type="http://schemas.openxmlformats.org/officeDocument/2006/relationships/table" Target="../tables/table192.xml"/><Relationship Id="rId7" Type="http://schemas.openxmlformats.org/officeDocument/2006/relationships/table" Target="../tables/table196.xml"/><Relationship Id="rId2" Type="http://schemas.openxmlformats.org/officeDocument/2006/relationships/table" Target="../tables/table191.xml"/><Relationship Id="rId1" Type="http://schemas.openxmlformats.org/officeDocument/2006/relationships/printerSettings" Target="../printerSettings/printerSettings20.bin"/><Relationship Id="rId6" Type="http://schemas.openxmlformats.org/officeDocument/2006/relationships/table" Target="../tables/table195.xml"/><Relationship Id="rId11" Type="http://schemas.openxmlformats.org/officeDocument/2006/relationships/table" Target="../tables/table200.xml"/><Relationship Id="rId5" Type="http://schemas.openxmlformats.org/officeDocument/2006/relationships/table" Target="../tables/table194.xml"/><Relationship Id="rId10" Type="http://schemas.openxmlformats.org/officeDocument/2006/relationships/table" Target="../tables/table199.xml"/><Relationship Id="rId4" Type="http://schemas.openxmlformats.org/officeDocument/2006/relationships/table" Target="../tables/table193.xml"/><Relationship Id="rId9" Type="http://schemas.openxmlformats.org/officeDocument/2006/relationships/table" Target="../tables/table198.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207.xml"/><Relationship Id="rId3" Type="http://schemas.openxmlformats.org/officeDocument/2006/relationships/table" Target="../tables/table202.xml"/><Relationship Id="rId7" Type="http://schemas.openxmlformats.org/officeDocument/2006/relationships/table" Target="../tables/table206.xml"/><Relationship Id="rId2" Type="http://schemas.openxmlformats.org/officeDocument/2006/relationships/table" Target="../tables/table201.xml"/><Relationship Id="rId1" Type="http://schemas.openxmlformats.org/officeDocument/2006/relationships/printerSettings" Target="../printerSettings/printerSettings21.bin"/><Relationship Id="rId6" Type="http://schemas.openxmlformats.org/officeDocument/2006/relationships/table" Target="../tables/table205.xml"/><Relationship Id="rId11" Type="http://schemas.openxmlformats.org/officeDocument/2006/relationships/table" Target="../tables/table210.xml"/><Relationship Id="rId5" Type="http://schemas.openxmlformats.org/officeDocument/2006/relationships/table" Target="../tables/table204.xml"/><Relationship Id="rId10" Type="http://schemas.openxmlformats.org/officeDocument/2006/relationships/table" Target="../tables/table209.xml"/><Relationship Id="rId4" Type="http://schemas.openxmlformats.org/officeDocument/2006/relationships/table" Target="../tables/table203.xml"/><Relationship Id="rId9" Type="http://schemas.openxmlformats.org/officeDocument/2006/relationships/table" Target="../tables/table20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217.xml"/><Relationship Id="rId3" Type="http://schemas.openxmlformats.org/officeDocument/2006/relationships/table" Target="../tables/table212.xml"/><Relationship Id="rId7" Type="http://schemas.openxmlformats.org/officeDocument/2006/relationships/table" Target="../tables/table216.xml"/><Relationship Id="rId2" Type="http://schemas.openxmlformats.org/officeDocument/2006/relationships/table" Target="../tables/table211.xml"/><Relationship Id="rId1" Type="http://schemas.openxmlformats.org/officeDocument/2006/relationships/printerSettings" Target="../printerSettings/printerSettings22.bin"/><Relationship Id="rId6" Type="http://schemas.openxmlformats.org/officeDocument/2006/relationships/table" Target="../tables/table215.xml"/><Relationship Id="rId11" Type="http://schemas.openxmlformats.org/officeDocument/2006/relationships/table" Target="../tables/table220.xml"/><Relationship Id="rId5" Type="http://schemas.openxmlformats.org/officeDocument/2006/relationships/table" Target="../tables/table214.xml"/><Relationship Id="rId10" Type="http://schemas.openxmlformats.org/officeDocument/2006/relationships/table" Target="../tables/table219.xml"/><Relationship Id="rId4" Type="http://schemas.openxmlformats.org/officeDocument/2006/relationships/table" Target="../tables/table213.xml"/><Relationship Id="rId9" Type="http://schemas.openxmlformats.org/officeDocument/2006/relationships/table" Target="../tables/table218.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227.xml"/><Relationship Id="rId3" Type="http://schemas.openxmlformats.org/officeDocument/2006/relationships/table" Target="../tables/table222.xml"/><Relationship Id="rId7" Type="http://schemas.openxmlformats.org/officeDocument/2006/relationships/table" Target="../tables/table226.xml"/><Relationship Id="rId2" Type="http://schemas.openxmlformats.org/officeDocument/2006/relationships/table" Target="../tables/table221.xml"/><Relationship Id="rId1" Type="http://schemas.openxmlformats.org/officeDocument/2006/relationships/printerSettings" Target="../printerSettings/printerSettings23.bin"/><Relationship Id="rId6" Type="http://schemas.openxmlformats.org/officeDocument/2006/relationships/table" Target="../tables/table225.xml"/><Relationship Id="rId11" Type="http://schemas.openxmlformats.org/officeDocument/2006/relationships/table" Target="../tables/table230.xml"/><Relationship Id="rId5" Type="http://schemas.openxmlformats.org/officeDocument/2006/relationships/table" Target="../tables/table224.xml"/><Relationship Id="rId10" Type="http://schemas.openxmlformats.org/officeDocument/2006/relationships/table" Target="../tables/table229.xml"/><Relationship Id="rId4" Type="http://schemas.openxmlformats.org/officeDocument/2006/relationships/table" Target="../tables/table223.xml"/><Relationship Id="rId9" Type="http://schemas.openxmlformats.org/officeDocument/2006/relationships/table" Target="../tables/table228.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237.xml"/><Relationship Id="rId3" Type="http://schemas.openxmlformats.org/officeDocument/2006/relationships/table" Target="../tables/table232.xml"/><Relationship Id="rId7" Type="http://schemas.openxmlformats.org/officeDocument/2006/relationships/table" Target="../tables/table236.xml"/><Relationship Id="rId2" Type="http://schemas.openxmlformats.org/officeDocument/2006/relationships/table" Target="../tables/table231.xml"/><Relationship Id="rId1" Type="http://schemas.openxmlformats.org/officeDocument/2006/relationships/printerSettings" Target="../printerSettings/printerSettings24.bin"/><Relationship Id="rId6" Type="http://schemas.openxmlformats.org/officeDocument/2006/relationships/table" Target="../tables/table235.xml"/><Relationship Id="rId11" Type="http://schemas.openxmlformats.org/officeDocument/2006/relationships/table" Target="../tables/table240.xml"/><Relationship Id="rId5" Type="http://schemas.openxmlformats.org/officeDocument/2006/relationships/table" Target="../tables/table234.xml"/><Relationship Id="rId10" Type="http://schemas.openxmlformats.org/officeDocument/2006/relationships/table" Target="../tables/table239.xml"/><Relationship Id="rId4" Type="http://schemas.openxmlformats.org/officeDocument/2006/relationships/table" Target="../tables/table233.xml"/><Relationship Id="rId9" Type="http://schemas.openxmlformats.org/officeDocument/2006/relationships/table" Target="../tables/table238.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247.xml"/><Relationship Id="rId3" Type="http://schemas.openxmlformats.org/officeDocument/2006/relationships/table" Target="../tables/table242.xml"/><Relationship Id="rId7" Type="http://schemas.openxmlformats.org/officeDocument/2006/relationships/table" Target="../tables/table246.xml"/><Relationship Id="rId2" Type="http://schemas.openxmlformats.org/officeDocument/2006/relationships/table" Target="../tables/table241.xml"/><Relationship Id="rId1" Type="http://schemas.openxmlformats.org/officeDocument/2006/relationships/printerSettings" Target="../printerSettings/printerSettings25.bin"/><Relationship Id="rId6" Type="http://schemas.openxmlformats.org/officeDocument/2006/relationships/table" Target="../tables/table245.xml"/><Relationship Id="rId11" Type="http://schemas.openxmlformats.org/officeDocument/2006/relationships/table" Target="../tables/table250.xml"/><Relationship Id="rId5" Type="http://schemas.openxmlformats.org/officeDocument/2006/relationships/table" Target="../tables/table244.xml"/><Relationship Id="rId10" Type="http://schemas.openxmlformats.org/officeDocument/2006/relationships/table" Target="../tables/table249.xml"/><Relationship Id="rId4" Type="http://schemas.openxmlformats.org/officeDocument/2006/relationships/table" Target="../tables/table243.xml"/><Relationship Id="rId9" Type="http://schemas.openxmlformats.org/officeDocument/2006/relationships/table" Target="../tables/table248.xml"/></Relationships>
</file>

<file path=xl/worksheets/_rels/sheet28.xml.rels><?xml version="1.0" encoding="UTF-8" standalone="yes"?>
<Relationships xmlns="http://schemas.openxmlformats.org/package/2006/relationships"><Relationship Id="rId2" Type="http://schemas.openxmlformats.org/officeDocument/2006/relationships/table" Target="../tables/table252.xml"/><Relationship Id="rId1" Type="http://schemas.openxmlformats.org/officeDocument/2006/relationships/table" Target="../tables/table251.xml"/></Relationships>
</file>

<file path=xl/worksheets/_rels/sheet2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5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54.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261.xml"/><Relationship Id="rId3" Type="http://schemas.openxmlformats.org/officeDocument/2006/relationships/table" Target="../tables/table256.xml"/><Relationship Id="rId7" Type="http://schemas.openxmlformats.org/officeDocument/2006/relationships/table" Target="../tables/table260.xml"/><Relationship Id="rId2" Type="http://schemas.openxmlformats.org/officeDocument/2006/relationships/table" Target="../tables/table255.xml"/><Relationship Id="rId1" Type="http://schemas.openxmlformats.org/officeDocument/2006/relationships/printerSettings" Target="../printerSettings/printerSettings26.bin"/><Relationship Id="rId6" Type="http://schemas.openxmlformats.org/officeDocument/2006/relationships/table" Target="../tables/table259.xml"/><Relationship Id="rId11" Type="http://schemas.openxmlformats.org/officeDocument/2006/relationships/table" Target="../tables/table264.xml"/><Relationship Id="rId5" Type="http://schemas.openxmlformats.org/officeDocument/2006/relationships/table" Target="../tables/table258.xml"/><Relationship Id="rId10" Type="http://schemas.openxmlformats.org/officeDocument/2006/relationships/table" Target="../tables/table263.xml"/><Relationship Id="rId4" Type="http://schemas.openxmlformats.org/officeDocument/2006/relationships/table" Target="../tables/table257.xml"/><Relationship Id="rId9" Type="http://schemas.openxmlformats.org/officeDocument/2006/relationships/table" Target="../tables/table26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265.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266.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267.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268.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269.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270.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2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1"/>
  <dimension ref="B2:H94"/>
  <sheetViews>
    <sheetView showGridLines="0" topLeftCell="B1" zoomScale="85" zoomScaleNormal="85" workbookViewId="0">
      <selection activeCell="F54" sqref="F54"/>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SEM401</v>
      </c>
      <c r="D2" s="20" t="str">
        <f>D8</f>
        <v>Module Title</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v>
      </c>
      <c r="E7" s="4"/>
      <c r="F7" s="24"/>
    </row>
    <row r="8" spans="2:6">
      <c r="B8" s="2"/>
      <c r="C8" s="3" t="s">
        <v>6</v>
      </c>
      <c r="D8" s="21" t="s">
        <v>6</v>
      </c>
      <c r="E8" s="4"/>
      <c r="F8" s="24"/>
    </row>
    <row r="9" spans="2:6">
      <c r="C9" s="3" t="s">
        <v>7</v>
      </c>
      <c r="D9" s="21"/>
      <c r="E9" s="4"/>
    </row>
    <row r="10" spans="2:6">
      <c r="C10" s="3" t="s">
        <v>8</v>
      </c>
      <c r="D10" s="21"/>
      <c r="E10" s="4"/>
      <c r="F10" t="s">
        <v>9</v>
      </c>
    </row>
    <row r="11" spans="2:6">
      <c r="C11" s="3" t="s">
        <v>10</v>
      </c>
      <c r="D11" s="21"/>
      <c r="E11" s="4"/>
      <c r="F11" s="24"/>
    </row>
    <row r="12" spans="2:6">
      <c r="C12" s="3" t="s">
        <v>11</v>
      </c>
      <c r="D12" s="21"/>
      <c r="E12" s="4"/>
      <c r="F12" s="24"/>
    </row>
    <row r="13" spans="2:6">
      <c r="C13" s="3" t="s">
        <v>12</v>
      </c>
      <c r="D13" s="21"/>
      <c r="E13" s="4"/>
      <c r="F13" s="24"/>
    </row>
    <row r="14" spans="2:6">
      <c r="C14" s="3" t="s">
        <v>13</v>
      </c>
      <c r="D14" s="21"/>
      <c r="E14" s="4"/>
    </row>
    <row r="15" spans="2:6">
      <c r="C15" s="3"/>
      <c r="D15" s="4"/>
      <c r="E15" s="4"/>
      <c r="F15" t="s">
        <v>14</v>
      </c>
    </row>
    <row r="16" spans="2:6">
      <c r="C16" s="3"/>
      <c r="D16" s="4"/>
      <c r="E16" s="4"/>
      <c r="F16" s="24"/>
    </row>
    <row r="17" spans="3:6" ht="18.75">
      <c r="C17" s="5" t="s">
        <v>15</v>
      </c>
      <c r="D17" s="4"/>
      <c r="E17" s="4"/>
      <c r="F17" s="24"/>
    </row>
    <row r="18" spans="3:6">
      <c r="C18" s="3" t="s">
        <v>16</v>
      </c>
      <c r="D18" s="1" t="s">
        <v>15</v>
      </c>
      <c r="E18" s="4"/>
      <c r="F18" s="24"/>
    </row>
    <row r="19" spans="3:6">
      <c r="C19" s="3" t="s">
        <v>17</v>
      </c>
      <c r="D19" s="22"/>
      <c r="E19" s="4"/>
      <c r="F19" s="24"/>
    </row>
    <row r="20" spans="3:6">
      <c r="C20" s="3" t="s">
        <v>18</v>
      </c>
      <c r="D20" s="22"/>
      <c r="E20" s="4"/>
      <c r="F20" s="24"/>
    </row>
    <row r="21" spans="3:6">
      <c r="C21" s="3" t="s">
        <v>19</v>
      </c>
      <c r="D21" s="22"/>
      <c r="E21" s="4"/>
    </row>
    <row r="22" spans="3:6">
      <c r="C22" s="3" t="s">
        <v>20</v>
      </c>
      <c r="D22" s="22"/>
      <c r="E22" s="4"/>
      <c r="F22" t="s">
        <v>21</v>
      </c>
    </row>
    <row r="23" spans="3:6">
      <c r="C23" s="3" t="s">
        <v>22</v>
      </c>
      <c r="D23" s="22"/>
      <c r="E23" s="4"/>
      <c r="F23" s="24"/>
    </row>
    <row r="24" spans="3:6">
      <c r="C24" s="3" t="s">
        <v>23</v>
      </c>
      <c r="D24" s="1">
        <f>SUM(D19:D23)</f>
        <v>0</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21"/>
      <c r="E29" s="4"/>
      <c r="F29" s="24"/>
    </row>
    <row r="30" spans="3:6">
      <c r="C30" s="3" t="s">
        <v>29</v>
      </c>
      <c r="D30" s="21"/>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41</v>
      </c>
      <c r="E38" s="21" t="s">
        <v>42</v>
      </c>
      <c r="F38" s="21" t="s">
        <v>43</v>
      </c>
      <c r="G38" s="23">
        <v>0.5</v>
      </c>
      <c r="H38" s="21">
        <v>6</v>
      </c>
    </row>
    <row r="39" spans="3:8">
      <c r="C39" s="3" t="s">
        <v>44</v>
      </c>
      <c r="D39" s="21"/>
      <c r="E39" s="21"/>
      <c r="F39" s="21"/>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28</v>
      </c>
      <c r="E48" s="24" t="s">
        <v>53</v>
      </c>
      <c r="F48" s="24" t="s">
        <v>54</v>
      </c>
    </row>
    <row r="49" spans="3:6">
      <c r="C49" s="25" t="s">
        <v>44</v>
      </c>
      <c r="D49" s="24" t="s">
        <v>29</v>
      </c>
      <c r="E49" s="24" t="s">
        <v>55</v>
      </c>
      <c r="F49" s="24" t="s">
        <v>56</v>
      </c>
    </row>
    <row r="50" spans="3:6">
      <c r="C50" s="25" t="s">
        <v>44</v>
      </c>
      <c r="D50" s="24" t="s">
        <v>29</v>
      </c>
      <c r="E50" s="24" t="s">
        <v>57</v>
      </c>
      <c r="F50" s="24" t="s">
        <v>58</v>
      </c>
    </row>
    <row r="51" spans="3:6">
      <c r="C51" s="25" t="s">
        <v>44</v>
      </c>
      <c r="D51" s="24"/>
      <c r="E51" s="24"/>
      <c r="F51" s="24"/>
    </row>
    <row r="52" spans="3:6">
      <c r="C52" s="25" t="s">
        <v>45</v>
      </c>
      <c r="D52" s="24"/>
      <c r="E52" s="24"/>
      <c r="F52" s="24"/>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65</v>
      </c>
      <c r="E71" s="21"/>
      <c r="F71" s="21"/>
    </row>
    <row r="72" spans="2:6">
      <c r="B72" s="7">
        <v>1</v>
      </c>
      <c r="C72" s="1">
        <v>2</v>
      </c>
      <c r="D72" s="21" t="s">
        <v>66</v>
      </c>
      <c r="E72" s="21" t="s">
        <v>67</v>
      </c>
      <c r="F72" s="21" t="s">
        <v>18</v>
      </c>
    </row>
    <row r="73" spans="2:6">
      <c r="B73" s="7">
        <v>1</v>
      </c>
      <c r="C73" s="1">
        <v>3</v>
      </c>
      <c r="D73" s="21" t="s">
        <v>68</v>
      </c>
      <c r="E73" s="21"/>
      <c r="F73" s="21"/>
    </row>
    <row r="74" spans="2:6">
      <c r="B74" s="7">
        <v>1</v>
      </c>
      <c r="C74" s="1">
        <v>4</v>
      </c>
      <c r="D74" s="21" t="s">
        <v>69</v>
      </c>
      <c r="E74" s="21" t="s">
        <v>70</v>
      </c>
      <c r="F74" s="21" t="s">
        <v>18</v>
      </c>
    </row>
    <row r="75" spans="2:6">
      <c r="B75" s="7">
        <v>1</v>
      </c>
      <c r="C75" s="1">
        <v>5</v>
      </c>
      <c r="D75" s="21" t="s">
        <v>71</v>
      </c>
      <c r="E75" s="21"/>
      <c r="F75" s="21"/>
    </row>
    <row r="76" spans="2:6">
      <c r="B76" s="7">
        <v>1</v>
      </c>
      <c r="C76" s="1">
        <v>6</v>
      </c>
      <c r="D76" s="21" t="s">
        <v>72</v>
      </c>
      <c r="E76" s="21"/>
      <c r="F76" s="21" t="s">
        <v>18</v>
      </c>
    </row>
    <row r="77" spans="2:6">
      <c r="B77" s="7">
        <v>1</v>
      </c>
      <c r="C77" s="1">
        <v>7</v>
      </c>
      <c r="D77" s="21" t="s">
        <v>73</v>
      </c>
      <c r="E77" s="21"/>
      <c r="F77" s="21"/>
    </row>
    <row r="78" spans="2:6">
      <c r="B78" s="7">
        <v>1</v>
      </c>
      <c r="C78" s="1">
        <v>8</v>
      </c>
      <c r="D78" s="21" t="s">
        <v>74</v>
      </c>
      <c r="E78" s="21"/>
      <c r="F78" s="21" t="s">
        <v>18</v>
      </c>
    </row>
    <row r="79" spans="2:6">
      <c r="B79" s="7">
        <v>1</v>
      </c>
      <c r="C79" s="1">
        <v>9</v>
      </c>
      <c r="D79" s="21" t="s">
        <v>75</v>
      </c>
      <c r="E79" s="21"/>
      <c r="F79" s="21"/>
    </row>
    <row r="80" spans="2:6">
      <c r="B80" s="7">
        <v>1</v>
      </c>
      <c r="C80" s="1">
        <v>10</v>
      </c>
      <c r="D80" s="21" t="s">
        <v>76</v>
      </c>
      <c r="E80" s="21" t="s">
        <v>77</v>
      </c>
      <c r="F80" s="21" t="s">
        <v>18</v>
      </c>
    </row>
    <row r="81" spans="2:6">
      <c r="B81" s="7">
        <v>1</v>
      </c>
      <c r="C81" s="1">
        <v>11</v>
      </c>
      <c r="D81" s="21" t="s">
        <v>78</v>
      </c>
      <c r="E81" s="21"/>
      <c r="F81" s="21"/>
    </row>
    <row r="82" spans="2:6">
      <c r="B82" s="7">
        <v>1</v>
      </c>
      <c r="C82" s="1">
        <v>12</v>
      </c>
      <c r="D82" s="21" t="s">
        <v>79</v>
      </c>
      <c r="E82" s="21"/>
      <c r="F82" s="21" t="s">
        <v>18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EABA9475-595C-4986-ACB3-2B03E9611389}">
      <formula1>0</formula1>
      <formula2>80</formula2>
    </dataValidation>
    <dataValidation type="whole" showInputMessage="1" showErrorMessage="1" error="This is not a realistic number of contact hours please change" sqref="D19" xr:uid="{6DEAC130-25D7-46E1-9A78-571866E64E9D}">
      <formula1>0</formula1>
      <formula2>80</formula2>
    </dataValidation>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4"/>
  <dimension ref="B2:H94"/>
  <sheetViews>
    <sheetView showGridLines="0" topLeftCell="A11" zoomScale="60" zoomScaleNormal="85" workbookViewId="0">
      <selection activeCell="D13" sqref="D13"/>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SPS4101</v>
      </c>
      <c r="D2" s="20" t="str">
        <f>D8</f>
        <v xml:space="preserve">Professional Practice </v>
      </c>
    </row>
    <row r="3" spans="2:6">
      <c r="B3" s="1"/>
      <c r="C3" s="1"/>
    </row>
    <row r="4" spans="2:6">
      <c r="B4" s="2"/>
      <c r="C4" s="2"/>
    </row>
    <row r="5" spans="2:6" ht="18.75">
      <c r="B5" s="2"/>
      <c r="C5" s="5" t="s">
        <v>0</v>
      </c>
    </row>
    <row r="6" spans="2:6">
      <c r="B6" s="2"/>
      <c r="C6" s="3" t="s">
        <v>1</v>
      </c>
      <c r="D6" s="4" t="s">
        <v>2</v>
      </c>
      <c r="E6" s="4"/>
      <c r="F6" t="s">
        <v>3</v>
      </c>
    </row>
    <row r="7" spans="2:6" ht="105">
      <c r="B7" s="2"/>
      <c r="C7" s="3" t="s">
        <v>4</v>
      </c>
      <c r="D7" s="21" t="s">
        <v>80</v>
      </c>
      <c r="E7" s="4"/>
      <c r="F7" s="40" t="s">
        <v>81</v>
      </c>
    </row>
    <row r="8" spans="2:6">
      <c r="B8" s="2"/>
      <c r="C8" s="3" t="s">
        <v>6</v>
      </c>
      <c r="D8" s="21" t="s">
        <v>82</v>
      </c>
      <c r="E8" s="4"/>
      <c r="F8" s="24"/>
    </row>
    <row r="9" spans="2:6">
      <c r="C9" s="3" t="s">
        <v>7</v>
      </c>
      <c r="D9" s="21">
        <v>20</v>
      </c>
      <c r="E9" s="4"/>
    </row>
    <row r="10" spans="2:6">
      <c r="C10" s="3" t="s">
        <v>8</v>
      </c>
      <c r="D10" s="21">
        <v>1</v>
      </c>
      <c r="E10" s="4"/>
      <c r="F10" t="s">
        <v>9</v>
      </c>
    </row>
    <row r="11" spans="2:6" ht="180">
      <c r="C11" s="3" t="s">
        <v>10</v>
      </c>
      <c r="D11" s="21">
        <v>4</v>
      </c>
      <c r="E11" s="4"/>
      <c r="F11" s="32" t="s">
        <v>83</v>
      </c>
    </row>
    <row r="12" spans="2:6">
      <c r="C12" s="3" t="s">
        <v>11</v>
      </c>
      <c r="D12" s="21" t="s">
        <v>84</v>
      </c>
      <c r="E12" s="4"/>
      <c r="F12" s="24"/>
    </row>
    <row r="13" spans="2:6">
      <c r="C13" s="3" t="s">
        <v>12</v>
      </c>
      <c r="D13" s="21" t="s">
        <v>85</v>
      </c>
      <c r="E13" s="4"/>
      <c r="F13" s="24"/>
    </row>
    <row r="14" spans="2:6">
      <c r="C14" s="3" t="s">
        <v>13</v>
      </c>
      <c r="D14" s="21" t="s">
        <v>86</v>
      </c>
      <c r="E14" s="4"/>
    </row>
    <row r="15" spans="2:6">
      <c r="C15" s="3"/>
      <c r="D15" s="4"/>
      <c r="E15" s="4"/>
      <c r="F15" t="s">
        <v>14</v>
      </c>
    </row>
    <row r="16" spans="2:6" ht="90">
      <c r="C16" s="3"/>
      <c r="D16" s="4"/>
      <c r="E16" s="4"/>
      <c r="F16" s="40" t="s">
        <v>87</v>
      </c>
    </row>
    <row r="17" spans="3:6" ht="18.75">
      <c r="C17" s="5" t="s">
        <v>15</v>
      </c>
      <c r="D17" s="4"/>
      <c r="E17" s="4"/>
      <c r="F17" s="24"/>
    </row>
    <row r="18" spans="3:6">
      <c r="C18" s="3" t="s">
        <v>16</v>
      </c>
      <c r="D18" s="1" t="s">
        <v>15</v>
      </c>
      <c r="E18" s="4"/>
      <c r="F18" s="24"/>
    </row>
    <row r="19" spans="3:6">
      <c r="C19" s="3" t="s">
        <v>17</v>
      </c>
      <c r="D19" s="22">
        <v>22</v>
      </c>
      <c r="E19" s="4"/>
      <c r="F19" s="24"/>
    </row>
    <row r="20" spans="3:6">
      <c r="C20" s="3" t="s">
        <v>18</v>
      </c>
      <c r="D20" s="22">
        <v>5</v>
      </c>
      <c r="E20" s="4"/>
      <c r="F20" s="24"/>
    </row>
    <row r="21" spans="3:6">
      <c r="C21" s="3" t="s">
        <v>19</v>
      </c>
      <c r="D21" s="22">
        <v>3</v>
      </c>
      <c r="E21" s="4"/>
    </row>
    <row r="22" spans="3:6">
      <c r="C22" s="3" t="s">
        <v>20</v>
      </c>
      <c r="D22" s="22">
        <v>10</v>
      </c>
      <c r="E22" s="4"/>
      <c r="F22" t="s">
        <v>21</v>
      </c>
    </row>
    <row r="23" spans="3:6">
      <c r="C23" s="3" t="s">
        <v>22</v>
      </c>
      <c r="D23" s="22">
        <v>4</v>
      </c>
      <c r="E23" s="4"/>
      <c r="F23" t="s">
        <v>88</v>
      </c>
    </row>
    <row r="24" spans="3:6">
      <c r="C24" s="3" t="s">
        <v>23</v>
      </c>
      <c r="D24" s="1">
        <f>SUM(D19:D23)</f>
        <v>44</v>
      </c>
      <c r="E24" s="4"/>
      <c r="F24" t="s">
        <v>89</v>
      </c>
    </row>
    <row r="25" spans="3:6">
      <c r="F25" t="s">
        <v>90</v>
      </c>
    </row>
    <row r="26" spans="3:6">
      <c r="F26" s="24"/>
    </row>
    <row r="27" spans="3:6" ht="18.75">
      <c r="C27" s="5" t="s">
        <v>24</v>
      </c>
      <c r="D27" s="12" t="s">
        <v>25</v>
      </c>
      <c r="F27" s="24"/>
    </row>
    <row r="28" spans="3:6">
      <c r="C28" s="3" t="s">
        <v>26</v>
      </c>
      <c r="D28" s="3" t="s">
        <v>27</v>
      </c>
      <c r="E28" s="3"/>
      <c r="F28" s="24"/>
    </row>
    <row r="29" spans="3:6" ht="60">
      <c r="C29" s="3" t="s">
        <v>28</v>
      </c>
      <c r="D29" s="39" t="s">
        <v>91</v>
      </c>
      <c r="E29" s="4"/>
      <c r="F29" s="24"/>
    </row>
    <row r="30" spans="3:6" ht="45">
      <c r="C30" s="3" t="s">
        <v>29</v>
      </c>
      <c r="D30" s="39" t="s">
        <v>92</v>
      </c>
      <c r="E30" s="4"/>
      <c r="F30" s="24"/>
    </row>
    <row r="31" spans="3:6" ht="60">
      <c r="C31" s="3" t="s">
        <v>30</v>
      </c>
      <c r="D31" s="39" t="s">
        <v>93</v>
      </c>
      <c r="E31" s="4"/>
      <c r="F31" s="24"/>
    </row>
    <row r="32" spans="3:6">
      <c r="C32" s="3"/>
      <c r="D32" s="21"/>
      <c r="E32" s="4"/>
      <c r="F32" s="24"/>
    </row>
    <row r="33" spans="3:8">
      <c r="C33" s="3"/>
      <c r="D33" s="21"/>
      <c r="E33" s="4"/>
      <c r="F33" s="24"/>
    </row>
    <row r="36" spans="3:8" ht="18.75">
      <c r="C36" s="5" t="s">
        <v>33</v>
      </c>
    </row>
    <row r="37" spans="3:8">
      <c r="C37" s="3" t="s">
        <v>34</v>
      </c>
      <c r="D37" s="3" t="s">
        <v>35</v>
      </c>
      <c r="E37" s="3" t="s">
        <v>36</v>
      </c>
      <c r="F37" s="3" t="s">
        <v>37</v>
      </c>
      <c r="G37" s="3" t="s">
        <v>38</v>
      </c>
      <c r="H37" s="3" t="s">
        <v>39</v>
      </c>
    </row>
    <row r="38" spans="3:8" ht="60">
      <c r="C38" s="3" t="s">
        <v>40</v>
      </c>
      <c r="D38" s="21" t="s">
        <v>41</v>
      </c>
      <c r="E38" s="21" t="s">
        <v>94</v>
      </c>
      <c r="F38" s="21" t="s">
        <v>95</v>
      </c>
      <c r="G38" s="23">
        <v>0.4</v>
      </c>
      <c r="H38" s="21">
        <v>8</v>
      </c>
    </row>
    <row r="39" spans="3:8" ht="75">
      <c r="C39" s="3" t="s">
        <v>44</v>
      </c>
      <c r="D39" s="21" t="s">
        <v>96</v>
      </c>
      <c r="E39" s="21" t="s">
        <v>97</v>
      </c>
      <c r="F39" s="40" t="s">
        <v>98</v>
      </c>
      <c r="G39" s="23">
        <v>0.6</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99</v>
      </c>
      <c r="F46" s="24" t="s">
        <v>100</v>
      </c>
    </row>
    <row r="47" spans="3:8">
      <c r="C47" s="25" t="s">
        <v>40</v>
      </c>
      <c r="D47" s="24" t="s">
        <v>28</v>
      </c>
      <c r="E47" s="24" t="s">
        <v>101</v>
      </c>
      <c r="F47" s="24" t="s">
        <v>102</v>
      </c>
    </row>
    <row r="48" spans="3:8">
      <c r="C48" s="25" t="s">
        <v>40</v>
      </c>
      <c r="D48" s="24" t="s">
        <v>28</v>
      </c>
      <c r="E48" s="24" t="s">
        <v>55</v>
      </c>
      <c r="F48" s="24" t="s">
        <v>56</v>
      </c>
    </row>
    <row r="49" spans="3:6">
      <c r="C49" s="25"/>
      <c r="D49" s="24"/>
      <c r="E49" s="24"/>
      <c r="F49" s="24"/>
    </row>
    <row r="50" spans="3:6">
      <c r="C50" s="25" t="s">
        <v>44</v>
      </c>
      <c r="D50" s="24" t="s">
        <v>29</v>
      </c>
      <c r="E50" s="24" t="s">
        <v>55</v>
      </c>
      <c r="F50" s="24" t="s">
        <v>103</v>
      </c>
    </row>
    <row r="51" spans="3:6">
      <c r="C51" s="25" t="s">
        <v>44</v>
      </c>
      <c r="D51" s="24" t="s">
        <v>30</v>
      </c>
      <c r="E51" s="24" t="s">
        <v>99</v>
      </c>
      <c r="F51" s="24" t="s">
        <v>104</v>
      </c>
    </row>
    <row r="52" spans="3:6">
      <c r="C52" s="25" t="s">
        <v>44</v>
      </c>
      <c r="D52" s="24" t="s">
        <v>30</v>
      </c>
      <c r="E52" s="24" t="s">
        <v>105</v>
      </c>
      <c r="F52" s="24" t="s">
        <v>106</v>
      </c>
    </row>
    <row r="53" spans="3:6">
      <c r="C53" s="25"/>
      <c r="D53" s="24"/>
      <c r="E53" s="24"/>
      <c r="F53" s="24"/>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ht="75">
      <c r="B71" s="7">
        <v>1</v>
      </c>
      <c r="C71" s="1">
        <v>1</v>
      </c>
      <c r="D71" s="32" t="s">
        <v>107</v>
      </c>
      <c r="E71" s="38" t="s">
        <v>108</v>
      </c>
      <c r="F71" s="21" t="s">
        <v>109</v>
      </c>
    </row>
    <row r="72" spans="2:6" ht="75">
      <c r="B72" s="7">
        <v>1</v>
      </c>
      <c r="C72" s="1">
        <v>2</v>
      </c>
      <c r="D72" s="38" t="s">
        <v>110</v>
      </c>
      <c r="E72" s="32" t="s">
        <v>111</v>
      </c>
      <c r="F72" s="32" t="s">
        <v>112</v>
      </c>
    </row>
    <row r="73" spans="2:6" ht="45">
      <c r="B73" s="7">
        <v>1</v>
      </c>
      <c r="C73" s="1">
        <v>3</v>
      </c>
      <c r="D73" s="39" t="s">
        <v>113</v>
      </c>
      <c r="E73" s="39" t="s">
        <v>114</v>
      </c>
      <c r="F73" s="39" t="s">
        <v>115</v>
      </c>
    </row>
    <row r="74" spans="2:6" ht="45">
      <c r="B74" s="7">
        <v>1</v>
      </c>
      <c r="C74" s="1">
        <v>4</v>
      </c>
      <c r="D74" s="40" t="s">
        <v>116</v>
      </c>
      <c r="E74" s="37" t="s">
        <v>117</v>
      </c>
      <c r="F74" s="21" t="s">
        <v>118</v>
      </c>
    </row>
    <row r="75" spans="2:6" ht="45">
      <c r="B75" s="7">
        <v>1</v>
      </c>
      <c r="C75" s="1">
        <v>5</v>
      </c>
      <c r="D75" s="62" t="s">
        <v>119</v>
      </c>
      <c r="E75" s="21" t="s">
        <v>120</v>
      </c>
      <c r="F75" s="21" t="s">
        <v>121</v>
      </c>
    </row>
    <row r="76" spans="2:6" ht="45">
      <c r="B76" s="7">
        <v>1</v>
      </c>
      <c r="C76" s="1">
        <v>6</v>
      </c>
      <c r="D76" s="41" t="s">
        <v>122</v>
      </c>
      <c r="E76" s="21" t="s">
        <v>123</v>
      </c>
      <c r="F76" t="s">
        <v>124</v>
      </c>
    </row>
    <row r="77" spans="2:6">
      <c r="B77" s="7">
        <v>1</v>
      </c>
      <c r="C77" s="1">
        <v>7</v>
      </c>
      <c r="D77" s="21" t="s">
        <v>125</v>
      </c>
      <c r="E77" s="21"/>
      <c r="F77" s="21"/>
    </row>
    <row r="78" spans="2:6" ht="45">
      <c r="B78" s="7">
        <v>1</v>
      </c>
      <c r="C78" s="1">
        <v>8</v>
      </c>
      <c r="D78" s="40" t="s">
        <v>126</v>
      </c>
      <c r="E78" s="21" t="s">
        <v>127</v>
      </c>
      <c r="F78" s="21" t="s">
        <v>128</v>
      </c>
    </row>
    <row r="79" spans="2:6" ht="45">
      <c r="B79" s="7">
        <v>1</v>
      </c>
      <c r="C79" s="1">
        <v>9</v>
      </c>
      <c r="D79" s="32" t="s">
        <v>129</v>
      </c>
      <c r="E79" s="32" t="s">
        <v>130</v>
      </c>
      <c r="F79" s="32" t="s">
        <v>131</v>
      </c>
    </row>
    <row r="80" spans="2:6" ht="60">
      <c r="B80" s="7">
        <v>1</v>
      </c>
      <c r="C80" s="1">
        <v>10</v>
      </c>
      <c r="D80" s="21" t="s">
        <v>132</v>
      </c>
      <c r="E80" s="21" t="s">
        <v>133</v>
      </c>
      <c r="F80" s="21" t="s">
        <v>134</v>
      </c>
    </row>
    <row r="81" spans="2:6" ht="60">
      <c r="B81" s="7">
        <v>1</v>
      </c>
      <c r="C81" s="1">
        <v>11</v>
      </c>
      <c r="D81" s="21" t="s">
        <v>135</v>
      </c>
      <c r="E81" s="21" t="s">
        <v>136</v>
      </c>
      <c r="F81" s="21" t="s">
        <v>137</v>
      </c>
    </row>
    <row r="82" spans="2:6" ht="60">
      <c r="B82" s="7">
        <v>1</v>
      </c>
      <c r="C82" s="1">
        <v>12</v>
      </c>
      <c r="D82" s="32" t="s">
        <v>138</v>
      </c>
      <c r="E82" s="32"/>
      <c r="F82" s="32" t="s">
        <v>139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7D0FC-41A0-4C14-8EED-5C94ECF53341}">
  <sheetPr codeName="Sheet5"/>
  <dimension ref="B2:H94"/>
  <sheetViews>
    <sheetView showGridLines="0" topLeftCell="B1" zoomScale="85" zoomScaleNormal="85" workbookViewId="0">
      <selection activeCell="D77" sqref="D77"/>
    </sheetView>
  </sheetViews>
  <sheetFormatPr defaultColWidth="8.85546875" defaultRowHeight="15"/>
  <cols>
    <col min="3" max="3" width="33.28515625" customWidth="1"/>
    <col min="4" max="4" width="55.1406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4102SPS</v>
      </c>
      <c r="D2" s="20" t="str">
        <f>D8</f>
        <v>Understanding Physical Activity and Sedentary Behaviour</v>
      </c>
    </row>
    <row r="3" spans="2:6">
      <c r="B3" s="1"/>
      <c r="C3" s="1"/>
    </row>
    <row r="4" spans="2:6">
      <c r="B4" s="2"/>
      <c r="C4" s="2"/>
    </row>
    <row r="5" spans="2:6" ht="18.75">
      <c r="B5" s="2"/>
      <c r="C5" s="5" t="s">
        <v>0</v>
      </c>
    </row>
    <row r="6" spans="2:6">
      <c r="B6" s="2"/>
      <c r="C6" s="3" t="s">
        <v>1</v>
      </c>
      <c r="D6" s="4" t="s">
        <v>2</v>
      </c>
      <c r="E6" s="4"/>
      <c r="F6" t="s">
        <v>3</v>
      </c>
    </row>
    <row r="7" spans="2:6" ht="45">
      <c r="B7" s="2"/>
      <c r="C7" s="3" t="s">
        <v>4</v>
      </c>
      <c r="D7" s="21" t="s">
        <v>140</v>
      </c>
      <c r="E7" s="4"/>
      <c r="F7" s="32" t="s">
        <v>141</v>
      </c>
    </row>
    <row r="8" spans="2:6" ht="30">
      <c r="B8" s="2"/>
      <c r="C8" s="3" t="s">
        <v>6</v>
      </c>
      <c r="D8" s="21" t="s">
        <v>142</v>
      </c>
      <c r="E8" s="4"/>
      <c r="F8" s="32" t="s">
        <v>143</v>
      </c>
    </row>
    <row r="9" spans="2:6">
      <c r="C9" s="3" t="s">
        <v>7</v>
      </c>
      <c r="D9" s="21">
        <v>20</v>
      </c>
      <c r="E9" s="4"/>
    </row>
    <row r="10" spans="2:6">
      <c r="C10" s="3" t="s">
        <v>8</v>
      </c>
      <c r="D10" s="21">
        <v>2</v>
      </c>
      <c r="E10" s="4"/>
      <c r="F10" t="s">
        <v>9</v>
      </c>
    </row>
    <row r="11" spans="2:6" ht="90">
      <c r="C11" s="3" t="s">
        <v>10</v>
      </c>
      <c r="D11" s="21">
        <v>4</v>
      </c>
      <c r="E11" s="4"/>
      <c r="F11" s="54" t="s">
        <v>144</v>
      </c>
    </row>
    <row r="12" spans="2:6">
      <c r="C12" s="3" t="s">
        <v>11</v>
      </c>
      <c r="D12" s="21" t="s">
        <v>145</v>
      </c>
      <c r="E12" s="4"/>
      <c r="F12" s="24"/>
    </row>
    <row r="13" spans="2:6">
      <c r="C13" s="3" t="s">
        <v>12</v>
      </c>
      <c r="D13" s="21" t="s">
        <v>146</v>
      </c>
      <c r="E13" s="4"/>
      <c r="F13" s="24"/>
    </row>
    <row r="14" spans="2:6">
      <c r="C14" s="3" t="s">
        <v>13</v>
      </c>
      <c r="D14" s="21" t="s">
        <v>86</v>
      </c>
      <c r="E14" s="4"/>
    </row>
    <row r="15" spans="2:6">
      <c r="C15" s="3"/>
      <c r="D15" s="4"/>
      <c r="E15" s="4"/>
      <c r="F15" t="s">
        <v>14</v>
      </c>
    </row>
    <row r="16" spans="2:6" ht="75">
      <c r="C16" s="3"/>
      <c r="D16" s="4"/>
      <c r="E16" s="4"/>
      <c r="F16" s="54" t="s">
        <v>147</v>
      </c>
    </row>
    <row r="17" spans="3:6" ht="18.75">
      <c r="C17" s="5" t="s">
        <v>15</v>
      </c>
      <c r="D17" s="4"/>
      <c r="E17" s="4"/>
      <c r="F17" s="24"/>
    </row>
    <row r="18" spans="3:6">
      <c r="C18" s="3" t="s">
        <v>16</v>
      </c>
      <c r="D18" s="1" t="s">
        <v>15</v>
      </c>
      <c r="E18" s="4"/>
      <c r="F18" s="24"/>
    </row>
    <row r="19" spans="3:6">
      <c r="C19" s="3" t="s">
        <v>17</v>
      </c>
      <c r="D19" s="22">
        <v>23</v>
      </c>
      <c r="E19" s="4"/>
      <c r="F19" s="24"/>
    </row>
    <row r="20" spans="3:6">
      <c r="C20" s="3" t="s">
        <v>18</v>
      </c>
      <c r="D20" s="22"/>
      <c r="E20" s="4"/>
      <c r="F20" s="24"/>
    </row>
    <row r="21" spans="3:6">
      <c r="C21" s="3" t="s">
        <v>19</v>
      </c>
      <c r="D21" s="22"/>
      <c r="E21" s="4"/>
    </row>
    <row r="22" spans="3:6">
      <c r="C22" s="3" t="s">
        <v>20</v>
      </c>
      <c r="D22" s="22">
        <v>17</v>
      </c>
      <c r="E22" s="4"/>
      <c r="F22" t="s">
        <v>21</v>
      </c>
    </row>
    <row r="23" spans="3:6">
      <c r="C23" s="3" t="s">
        <v>22</v>
      </c>
      <c r="D23" s="22"/>
      <c r="E23" s="4"/>
      <c r="F23" s="24"/>
    </row>
    <row r="24" spans="3:6">
      <c r="C24" s="3" t="s">
        <v>23</v>
      </c>
      <c r="D24" s="1">
        <f>SUM(D19:D23)</f>
        <v>40</v>
      </c>
      <c r="E24" s="4"/>
      <c r="F24" s="24"/>
    </row>
    <row r="25" spans="3:6">
      <c r="F25" s="24"/>
    </row>
    <row r="26" spans="3:6">
      <c r="F26" s="24"/>
    </row>
    <row r="27" spans="3:6" ht="18.75">
      <c r="C27" s="5" t="s">
        <v>24</v>
      </c>
      <c r="D27" s="12" t="s">
        <v>25</v>
      </c>
      <c r="F27" s="24"/>
    </row>
    <row r="28" spans="3:6">
      <c r="C28" s="3" t="s">
        <v>26</v>
      </c>
      <c r="D28" s="3" t="s">
        <v>27</v>
      </c>
      <c r="E28" s="3"/>
      <c r="F28" s="24"/>
    </row>
    <row r="29" spans="3:6" ht="45">
      <c r="C29" s="3" t="s">
        <v>28</v>
      </c>
      <c r="D29" s="21" t="s">
        <v>148</v>
      </c>
      <c r="E29" s="4"/>
      <c r="F29" s="24"/>
    </row>
    <row r="30" spans="3:6" ht="30">
      <c r="C30" s="3" t="s">
        <v>29</v>
      </c>
      <c r="D30" s="21" t="s">
        <v>149</v>
      </c>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150</v>
      </c>
      <c r="E38" s="21" t="s">
        <v>151</v>
      </c>
      <c r="F38" s="21" t="s">
        <v>152</v>
      </c>
      <c r="G38" s="23">
        <v>0.5</v>
      </c>
      <c r="H38" s="21">
        <v>6</v>
      </c>
    </row>
    <row r="39" spans="3:8">
      <c r="C39" s="3" t="s">
        <v>44</v>
      </c>
      <c r="D39" s="21" t="s">
        <v>41</v>
      </c>
      <c r="E39" s="21" t="s">
        <v>42</v>
      </c>
      <c r="F39" s="21" t="s">
        <v>153</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29</v>
      </c>
      <c r="E48" s="24" t="s">
        <v>50</v>
      </c>
      <c r="F48" s="24" t="s">
        <v>51</v>
      </c>
    </row>
    <row r="49" spans="3:6">
      <c r="C49" s="25" t="s">
        <v>44</v>
      </c>
      <c r="D49" s="24" t="s">
        <v>29</v>
      </c>
      <c r="E49" s="24" t="s">
        <v>57</v>
      </c>
      <c r="F49" s="24" t="s">
        <v>56</v>
      </c>
    </row>
    <row r="50" spans="3:6">
      <c r="C50" s="25" t="s">
        <v>44</v>
      </c>
      <c r="D50" s="24" t="s">
        <v>29</v>
      </c>
      <c r="E50" s="24" t="s">
        <v>57</v>
      </c>
      <c r="F50" s="24" t="s">
        <v>58</v>
      </c>
    </row>
    <row r="51" spans="3:6">
      <c r="C51" s="25" t="s">
        <v>44</v>
      </c>
      <c r="D51" s="24" t="s">
        <v>29</v>
      </c>
      <c r="E51" s="24" t="s">
        <v>53</v>
      </c>
      <c r="F51" s="24" t="s">
        <v>154</v>
      </c>
    </row>
    <row r="52" spans="3:6">
      <c r="C52" s="25" t="s">
        <v>45</v>
      </c>
      <c r="D52" s="24" t="s">
        <v>29</v>
      </c>
      <c r="E52" s="24" t="s">
        <v>155</v>
      </c>
      <c r="F52" s="24" t="s">
        <v>156</v>
      </c>
    </row>
    <row r="53" spans="3:6">
      <c r="C53" s="25" t="s">
        <v>45</v>
      </c>
      <c r="D53" s="24" t="s">
        <v>29</v>
      </c>
      <c r="E53" s="24" t="s">
        <v>155</v>
      </c>
      <c r="F53" s="24" t="s">
        <v>157</v>
      </c>
    </row>
    <row r="54" spans="3:6">
      <c r="C54" s="25" t="s">
        <v>45</v>
      </c>
      <c r="D54" s="24" t="s">
        <v>29</v>
      </c>
      <c r="E54" s="24" t="s">
        <v>55</v>
      </c>
      <c r="F54" s="24" t="s">
        <v>56</v>
      </c>
    </row>
    <row r="55" spans="3:6">
      <c r="C55" s="25" t="s">
        <v>46</v>
      </c>
      <c r="D55" s="24" t="s">
        <v>29</v>
      </c>
      <c r="E55" s="24" t="s">
        <v>105</v>
      </c>
      <c r="F55" s="24"/>
    </row>
    <row r="56" spans="3:6">
      <c r="C56" s="25" t="s">
        <v>46</v>
      </c>
      <c r="D56" s="24" t="s">
        <v>29</v>
      </c>
      <c r="E56" s="24" t="s">
        <v>99</v>
      </c>
      <c r="F56" s="24" t="s">
        <v>100</v>
      </c>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ht="30">
      <c r="B83" s="7">
        <v>2</v>
      </c>
      <c r="C83" s="1">
        <v>1</v>
      </c>
      <c r="D83" s="21" t="s">
        <v>158</v>
      </c>
      <c r="E83" s="21"/>
      <c r="F83" s="21"/>
    </row>
    <row r="84" spans="2:6" ht="30">
      <c r="B84" s="7">
        <v>2</v>
      </c>
      <c r="C84" s="1">
        <v>2</v>
      </c>
      <c r="D84" s="21" t="s">
        <v>159</v>
      </c>
      <c r="E84" s="21"/>
      <c r="F84" s="21"/>
    </row>
    <row r="85" spans="2:6" ht="30">
      <c r="B85" s="7">
        <v>2</v>
      </c>
      <c r="C85" s="1">
        <v>3</v>
      </c>
      <c r="D85" s="21" t="s">
        <v>160</v>
      </c>
      <c r="E85" s="21"/>
      <c r="F85" s="21"/>
    </row>
    <row r="86" spans="2:6" ht="30">
      <c r="B86" s="7">
        <v>2</v>
      </c>
      <c r="C86" s="1">
        <v>4</v>
      </c>
      <c r="D86" s="21" t="s">
        <v>161</v>
      </c>
      <c r="E86" s="21"/>
      <c r="F86" s="21"/>
    </row>
    <row r="87" spans="2:6">
      <c r="B87" s="7">
        <v>2</v>
      </c>
      <c r="C87" s="1">
        <v>5</v>
      </c>
      <c r="D87" s="21" t="s">
        <v>162</v>
      </c>
      <c r="E87" s="21"/>
      <c r="F87" s="21"/>
    </row>
    <row r="88" spans="2:6">
      <c r="B88" s="7">
        <v>2</v>
      </c>
      <c r="C88" s="1">
        <v>6</v>
      </c>
      <c r="D88" s="21" t="s">
        <v>163</v>
      </c>
      <c r="E88" s="21"/>
      <c r="F88" s="21"/>
    </row>
    <row r="89" spans="2:6">
      <c r="B89" s="7">
        <v>2</v>
      </c>
      <c r="C89" s="1">
        <v>7</v>
      </c>
      <c r="D89" s="21" t="s">
        <v>164</v>
      </c>
      <c r="E89" s="21"/>
      <c r="F89" s="21"/>
    </row>
    <row r="90" spans="2:6">
      <c r="B90" s="7">
        <v>2</v>
      </c>
      <c r="C90" s="1">
        <v>8</v>
      </c>
      <c r="D90" s="21" t="s">
        <v>165</v>
      </c>
      <c r="E90" s="21"/>
      <c r="F90" s="21"/>
    </row>
    <row r="91" spans="2:6">
      <c r="B91" s="7">
        <v>2</v>
      </c>
      <c r="C91" s="1">
        <v>9</v>
      </c>
      <c r="D91" s="21" t="s">
        <v>166</v>
      </c>
      <c r="E91" s="21"/>
      <c r="F91" s="21"/>
    </row>
    <row r="92" spans="2:6">
      <c r="B92" s="7">
        <v>2</v>
      </c>
      <c r="C92" s="1">
        <v>10</v>
      </c>
      <c r="D92" s="21" t="s">
        <v>167</v>
      </c>
      <c r="E92" s="21"/>
      <c r="F92" s="21"/>
    </row>
    <row r="93" spans="2:6">
      <c r="B93" s="7">
        <v>2</v>
      </c>
      <c r="C93" s="1">
        <v>11</v>
      </c>
      <c r="D93" s="21" t="s">
        <v>168</v>
      </c>
      <c r="E93" s="21"/>
      <c r="F93" s="21"/>
    </row>
    <row r="94" spans="2:6">
      <c r="B94" s="7">
        <v>2</v>
      </c>
      <c r="C94" s="1">
        <v>12</v>
      </c>
      <c r="D94" s="21" t="s">
        <v>169</v>
      </c>
      <c r="E94" s="21"/>
      <c r="F94" s="21"/>
    </row>
  </sheetData>
  <sheetProtection selectLockedCells="1" sort="0" autoFilter="0" pivotTables="0"/>
  <dataValidations count="4">
    <dataValidation type="list" allowBlank="1" showInputMessage="1" showErrorMessage="1" sqref="F46:F66" xr:uid="{C06EC0DC-84DB-4580-AE71-02F67A1CBC95}">
      <formula1>INDIRECT(VLOOKUP($E46, SkillNameMap, 2, FALSE))</formula1>
    </dataValidation>
    <dataValidation type="list" allowBlank="1" showInputMessage="1" showErrorMessage="1" sqref="E38:E41" xr:uid="{BD46BEC1-7C55-4A8A-864A-AD134619B4A3}">
      <formula1>INDIRECT("LISTAssess[Assessment Specific]")</formula1>
    </dataValidation>
    <dataValidation type="whole" showInputMessage="1" showErrorMessage="1" error="This is not a realistic number of contact hours please change" sqref="D19" xr:uid="{E7ABA259-8DA3-41A7-BB6D-82C21A4EAE06}">
      <formula1>0</formula1>
      <formula2>80</formula2>
    </dataValidation>
    <dataValidation type="whole" showInputMessage="1" showErrorMessage="1" error="This is not a realistic number of contact hours please reduce" sqref="D20:D23" xr:uid="{6E26C418-98E2-4FE0-B12A-5527433D338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1236DE78-B5FD-4302-A12F-F65BCEC63906}">
          <x14:formula1>
            <xm:f>LISTS!$J$7:$J$16</xm:f>
          </x14:formula1>
          <xm:sqref>E46:E66</xm:sqref>
        </x14:dataValidation>
        <x14:dataValidation type="list" allowBlank="1" showInputMessage="1" showErrorMessage="1" xr:uid="{8DB1470E-FA87-4F86-BE0F-94516A5BA1C9}">
          <x14:formula1>
            <xm:f>LISTS!$E$7:$E$11</xm:f>
          </x14:formula1>
          <xm:sqref>D46:D66</xm:sqref>
        </x14:dataValidation>
        <x14:dataValidation type="list" allowBlank="1" showInputMessage="1" showErrorMessage="1" xr:uid="{961B6C72-D97F-4488-A8E8-8754E2286452}">
          <x14:formula1>
            <xm:f>LISTS!$G$7:$G$11</xm:f>
          </x14:formula1>
          <xm:sqref>D38:D42</xm:sqref>
        </x14:dataValidation>
        <x14:dataValidation type="list" allowBlank="1" showInputMessage="1" showErrorMessage="1" xr:uid="{21224853-3225-48E2-9FF3-51904413E37E}">
          <x14:formula1>
            <xm:f>LISTS!$C$11:$C$15</xm:f>
          </x14:formula1>
          <xm:sqref>D11</xm:sqref>
        </x14:dataValidation>
        <x14:dataValidation type="list" allowBlank="1" showInputMessage="1" showErrorMessage="1" xr:uid="{38B4EF42-5F9D-4CAF-8C22-04918A0DBDC3}">
          <x14:formula1>
            <xm:f>LISTS!$C$7:$C$9</xm:f>
          </x14:formula1>
          <xm:sqref>D10</xm:sqref>
        </x14:dataValidation>
        <x14:dataValidation type="list" allowBlank="1" showInputMessage="1" showErrorMessage="1" xr:uid="{5B1C2755-57A9-4B54-A3EC-2AA4BF385062}">
          <x14:formula1>
            <xm:f>LISTS!$C$17:$C$22</xm:f>
          </x14:formula1>
          <xm:sqref>D13</xm:sqref>
        </x14:dataValidation>
        <x14:dataValidation type="list" allowBlank="1" showInputMessage="1" showErrorMessage="1" xr:uid="{FD410FC7-16B2-4D6E-8AB5-5FA50CFFD946}">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7E7F-A4ED-4503-BDE5-90F15FF29757}">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735D4-64A2-4BF2-8B95-51EA18C80869}">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4201E-C1C9-4F7F-8205-AF7BE74FA433}">
  <sheetPr codeName="Sheet13"/>
  <dimension ref="B2:H94"/>
  <sheetViews>
    <sheetView showGridLines="0" zoomScale="85" zoomScaleNormal="85" workbookViewId="0">
      <selection activeCell="D38" sqref="D38:H39"/>
    </sheetView>
  </sheetViews>
  <sheetFormatPr defaultColWidth="8.85546875" defaultRowHeight="15"/>
  <cols>
    <col min="3" max="3" width="33.28515625" customWidth="1"/>
    <col min="4" max="4" width="55.1406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4091SPS</v>
      </c>
      <c r="D2" s="20" t="str">
        <f>D8</f>
        <v>Research Methods 1</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170</v>
      </c>
      <c r="E7" s="4"/>
      <c r="F7" s="32"/>
    </row>
    <row r="8" spans="2:6">
      <c r="B8" s="2"/>
      <c r="C8" s="3" t="s">
        <v>6</v>
      </c>
      <c r="D8" s="21" t="s">
        <v>171</v>
      </c>
      <c r="E8" s="4"/>
      <c r="F8" s="32"/>
    </row>
    <row r="9" spans="2:6">
      <c r="C9" s="3" t="s">
        <v>7</v>
      </c>
      <c r="D9" s="21"/>
      <c r="E9" s="4"/>
    </row>
    <row r="10" spans="2:6">
      <c r="C10" s="3" t="s">
        <v>8</v>
      </c>
      <c r="D10" s="21"/>
      <c r="E10" s="4"/>
      <c r="F10" t="s">
        <v>9</v>
      </c>
    </row>
    <row r="11" spans="2:6">
      <c r="C11" s="3" t="s">
        <v>10</v>
      </c>
      <c r="D11" s="21"/>
      <c r="E11" s="4"/>
      <c r="F11" s="54"/>
    </row>
    <row r="12" spans="2:6">
      <c r="C12" s="3" t="s">
        <v>11</v>
      </c>
      <c r="D12" s="21"/>
      <c r="E12" s="4"/>
      <c r="F12" s="24"/>
    </row>
    <row r="13" spans="2:6">
      <c r="C13" s="3" t="s">
        <v>12</v>
      </c>
      <c r="D13" s="21" t="s">
        <v>172</v>
      </c>
      <c r="E13" s="4"/>
      <c r="F13" s="24"/>
    </row>
    <row r="14" spans="2:6">
      <c r="C14" s="3" t="s">
        <v>13</v>
      </c>
      <c r="D14" s="21"/>
      <c r="E14" s="4"/>
    </row>
    <row r="15" spans="2:6">
      <c r="C15" s="3"/>
      <c r="D15" s="4"/>
      <c r="E15" s="4"/>
      <c r="F15" t="s">
        <v>14</v>
      </c>
    </row>
    <row r="16" spans="2:6">
      <c r="C16" s="3"/>
      <c r="D16" s="4"/>
      <c r="E16" s="4"/>
      <c r="F16" s="54"/>
    </row>
    <row r="17" spans="3:6" ht="18.75">
      <c r="C17" s="5" t="s">
        <v>15</v>
      </c>
      <c r="D17" s="4"/>
      <c r="E17" s="4"/>
      <c r="F17" s="24"/>
    </row>
    <row r="18" spans="3:6">
      <c r="C18" s="3" t="s">
        <v>16</v>
      </c>
      <c r="D18" s="1" t="s">
        <v>15</v>
      </c>
      <c r="E18" s="4"/>
      <c r="F18" s="24"/>
    </row>
    <row r="19" spans="3:6">
      <c r="C19" s="3" t="s">
        <v>17</v>
      </c>
      <c r="D19" s="22"/>
      <c r="E19" s="4"/>
      <c r="F19" s="24"/>
    </row>
    <row r="20" spans="3:6">
      <c r="C20" s="3" t="s">
        <v>18</v>
      </c>
      <c r="D20" s="22"/>
      <c r="E20" s="4"/>
      <c r="F20" s="24"/>
    </row>
    <row r="21" spans="3:6">
      <c r="C21" s="3" t="s">
        <v>19</v>
      </c>
      <c r="D21" s="22"/>
      <c r="E21" s="4"/>
    </row>
    <row r="22" spans="3:6">
      <c r="C22" s="3" t="s">
        <v>20</v>
      </c>
      <c r="D22" s="22"/>
      <c r="E22" s="4"/>
      <c r="F22" t="s">
        <v>21</v>
      </c>
    </row>
    <row r="23" spans="3:6">
      <c r="C23" s="3" t="s">
        <v>22</v>
      </c>
      <c r="D23" s="22"/>
      <c r="E23" s="4"/>
      <c r="F23" s="24"/>
    </row>
    <row r="24" spans="3:6">
      <c r="C24" s="3" t="s">
        <v>23</v>
      </c>
      <c r="D24" s="1">
        <f>SUM(D19:D23)</f>
        <v>0</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21"/>
      <c r="E29" s="4"/>
      <c r="F29" s="24"/>
    </row>
    <row r="30" spans="3:6">
      <c r="C30" s="3" t="s">
        <v>29</v>
      </c>
      <c r="D30" s="21"/>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c r="E38" s="21"/>
      <c r="F38" s="21"/>
      <c r="G38" s="23"/>
      <c r="H38" s="21"/>
    </row>
    <row r="39" spans="3:8">
      <c r="C39" s="3" t="s">
        <v>44</v>
      </c>
      <c r="D39" s="21"/>
      <c r="E39" s="21"/>
      <c r="F39" s="21"/>
      <c r="G39" s="23"/>
      <c r="H39" s="21"/>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29</v>
      </c>
      <c r="E48" s="24" t="s">
        <v>50</v>
      </c>
      <c r="F48" s="24" t="s">
        <v>51</v>
      </c>
    </row>
    <row r="49" spans="3:6">
      <c r="C49" s="25" t="s">
        <v>44</v>
      </c>
      <c r="D49" s="24" t="s">
        <v>29</v>
      </c>
      <c r="E49" s="24" t="s">
        <v>57</v>
      </c>
      <c r="F49" s="24" t="s">
        <v>56</v>
      </c>
    </row>
    <row r="50" spans="3:6">
      <c r="C50" s="25" t="s">
        <v>44</v>
      </c>
      <c r="D50" s="24" t="s">
        <v>29</v>
      </c>
      <c r="E50" s="24" t="s">
        <v>57</v>
      </c>
      <c r="F50" s="24" t="s">
        <v>58</v>
      </c>
    </row>
    <row r="51" spans="3:6">
      <c r="C51" s="25" t="s">
        <v>44</v>
      </c>
      <c r="D51" s="24" t="s">
        <v>29</v>
      </c>
      <c r="E51" s="24" t="s">
        <v>53</v>
      </c>
      <c r="F51" s="24" t="s">
        <v>154</v>
      </c>
    </row>
    <row r="52" spans="3:6">
      <c r="C52" s="25" t="s">
        <v>45</v>
      </c>
      <c r="D52" s="24" t="s">
        <v>29</v>
      </c>
      <c r="E52" s="24" t="s">
        <v>155</v>
      </c>
      <c r="F52" s="24" t="s">
        <v>156</v>
      </c>
    </row>
    <row r="53" spans="3:6">
      <c r="C53" s="25" t="s">
        <v>45</v>
      </c>
      <c r="D53" s="24" t="s">
        <v>29</v>
      </c>
      <c r="E53" s="24" t="s">
        <v>155</v>
      </c>
      <c r="F53" s="24" t="s">
        <v>157</v>
      </c>
    </row>
    <row r="54" spans="3:6">
      <c r="C54" s="25" t="s">
        <v>45</v>
      </c>
      <c r="D54" s="24" t="s">
        <v>29</v>
      </c>
      <c r="E54" s="24" t="s">
        <v>55</v>
      </c>
      <c r="F54" s="24" t="s">
        <v>56</v>
      </c>
    </row>
    <row r="55" spans="3:6">
      <c r="C55" s="25" t="s">
        <v>46</v>
      </c>
      <c r="D55" s="24" t="s">
        <v>29</v>
      </c>
      <c r="E55" s="24" t="s">
        <v>105</v>
      </c>
      <c r="F55" s="24"/>
    </row>
    <row r="56" spans="3:6">
      <c r="C56" s="25" t="s">
        <v>46</v>
      </c>
      <c r="D56" s="24" t="s">
        <v>29</v>
      </c>
      <c r="E56" s="24" t="s">
        <v>99</v>
      </c>
      <c r="F56" s="24" t="s">
        <v>100</v>
      </c>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D797E750-E182-4FD7-B87B-8BCA98B34C95}">
      <formula1>0</formula1>
      <formula2>80</formula2>
    </dataValidation>
    <dataValidation type="whole" showInputMessage="1" showErrorMessage="1" error="This is not a realistic number of contact hours please change" sqref="D19" xr:uid="{D5DB0AE1-4076-47C8-B6DE-8DD76FB65EE8}">
      <formula1>0</formula1>
      <formula2>80</formula2>
    </dataValidation>
    <dataValidation type="list" allowBlank="1" showInputMessage="1" showErrorMessage="1" sqref="E38:E41" xr:uid="{DD9CC5CE-494B-4C56-AF64-4B2426BC2656}">
      <formula1>INDIRECT("LISTAssess[Assessment Specific]")</formula1>
    </dataValidation>
    <dataValidation type="list" allowBlank="1" showInputMessage="1" showErrorMessage="1" sqref="F46:F66" xr:uid="{C9707995-2020-4DF5-93A9-9BA3C5DD0AB2}">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60CFDE6-68E7-4DBD-90B4-553E521F6320}">
          <x14:formula1>
            <xm:f>LISTS!$C$26:$C$37</xm:f>
          </x14:formula1>
          <xm:sqref>D14</xm:sqref>
        </x14:dataValidation>
        <x14:dataValidation type="list" allowBlank="1" showInputMessage="1" showErrorMessage="1" xr:uid="{E7E27F05-4B3F-4911-B6A4-BBB5F8A9A0C3}">
          <x14:formula1>
            <xm:f>LISTS!$C$17:$C$22</xm:f>
          </x14:formula1>
          <xm:sqref>D13</xm:sqref>
        </x14:dataValidation>
        <x14:dataValidation type="list" allowBlank="1" showInputMessage="1" showErrorMessage="1" xr:uid="{49E8CF06-C4B5-4353-97B4-38579B6F15E7}">
          <x14:formula1>
            <xm:f>LISTS!$C$7:$C$9</xm:f>
          </x14:formula1>
          <xm:sqref>D10</xm:sqref>
        </x14:dataValidation>
        <x14:dataValidation type="list" allowBlank="1" showInputMessage="1" showErrorMessage="1" xr:uid="{9DE00856-E09E-49E6-A87E-5501597D07E5}">
          <x14:formula1>
            <xm:f>LISTS!$C$11:$C$15</xm:f>
          </x14:formula1>
          <xm:sqref>D11</xm:sqref>
        </x14:dataValidation>
        <x14:dataValidation type="list" allowBlank="1" showInputMessage="1" showErrorMessage="1" xr:uid="{C5598C0A-5E51-465C-B2A1-E73F321DF045}">
          <x14:formula1>
            <xm:f>LISTS!$G$7:$G$11</xm:f>
          </x14:formula1>
          <xm:sqref>D38:D42</xm:sqref>
        </x14:dataValidation>
        <x14:dataValidation type="list" allowBlank="1" showInputMessage="1" showErrorMessage="1" xr:uid="{13F225B6-6DE7-4A57-BD8D-E6C16A3E5D7A}">
          <x14:formula1>
            <xm:f>LISTS!$E$7:$E$11</xm:f>
          </x14:formula1>
          <xm:sqref>D46:D66</xm:sqref>
        </x14:dataValidation>
        <x14:dataValidation type="list" allowBlank="1" showInputMessage="1" showErrorMessage="1" xr:uid="{3B0702EA-71A6-4767-BBE4-F0BCC8D665AF}">
          <x14:formula1>
            <xm:f>LISTS!$J$7:$J$16</xm:f>
          </x14:formula1>
          <xm:sqref>E46:E66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C00FC-8231-4109-A87E-EAF31E13D407}">
  <sheetPr codeName="Sheet2"/>
  <dimension ref="B2:H94"/>
  <sheetViews>
    <sheetView showGridLines="0" topLeftCell="A16" zoomScale="85" zoomScaleNormal="85" workbookViewId="0">
      <selection activeCell="D9" sqref="D9"/>
    </sheetView>
  </sheetViews>
  <sheetFormatPr defaultColWidth="8.85546875" defaultRowHeight="15"/>
  <cols>
    <col min="3" max="3" width="33.28515625" customWidth="1"/>
    <col min="4" max="4" width="51.42578125" customWidth="1"/>
    <col min="5" max="5" width="82.7109375" bestFit="1" customWidth="1"/>
    <col min="6" max="6" width="126.85546875" customWidth="1"/>
    <col min="7" max="7" width="12.42578125" customWidth="1"/>
    <col min="8" max="8" width="15.42578125" customWidth="1"/>
    <col min="9" max="9" width="14.7109375" customWidth="1"/>
  </cols>
  <sheetData>
    <row r="2" spans="2:6" ht="26.25">
      <c r="C2" s="20" t="str">
        <f>D7</f>
        <v>4092SPS</v>
      </c>
      <c r="D2" s="20" t="str">
        <f>D8</f>
        <v>xxx</v>
      </c>
    </row>
    <row r="3" spans="2:6">
      <c r="B3" s="1"/>
      <c r="C3" s="1"/>
    </row>
    <row r="4" spans="2:6">
      <c r="B4" s="2"/>
      <c r="C4" s="2"/>
    </row>
    <row r="5" spans="2:6" ht="18.75">
      <c r="B5" s="2"/>
      <c r="C5" s="5" t="s">
        <v>0</v>
      </c>
    </row>
    <row r="6" spans="2:6">
      <c r="B6" s="2"/>
      <c r="C6" s="3" t="s">
        <v>1</v>
      </c>
      <c r="D6" s="4" t="s">
        <v>2</v>
      </c>
      <c r="E6" s="4"/>
      <c r="F6" t="s">
        <v>3</v>
      </c>
    </row>
    <row r="7" spans="2:6" ht="45">
      <c r="B7" s="2"/>
      <c r="C7" s="3" t="s">
        <v>4</v>
      </c>
      <c r="D7" s="21" t="s">
        <v>173</v>
      </c>
      <c r="E7" s="4"/>
      <c r="F7" s="32" t="s">
        <v>174</v>
      </c>
    </row>
    <row r="8" spans="2:6" ht="30">
      <c r="B8" s="2"/>
      <c r="C8" s="3" t="s">
        <v>6</v>
      </c>
      <c r="D8" s="21" t="s">
        <v>175</v>
      </c>
      <c r="E8" s="4"/>
      <c r="F8" s="32" t="s">
        <v>176</v>
      </c>
    </row>
    <row r="9" spans="2:6">
      <c r="C9" s="3" t="s">
        <v>7</v>
      </c>
      <c r="D9" s="21">
        <v>20</v>
      </c>
      <c r="E9" s="4"/>
    </row>
    <row r="10" spans="2:6">
      <c r="C10" s="3" t="s">
        <v>8</v>
      </c>
      <c r="D10" s="21">
        <v>1</v>
      </c>
      <c r="E10" s="4"/>
      <c r="F10" t="s">
        <v>9</v>
      </c>
    </row>
    <row r="11" spans="2:6" ht="30">
      <c r="C11" s="3" t="s">
        <v>10</v>
      </c>
      <c r="D11" s="21">
        <v>4</v>
      </c>
      <c r="E11" s="4"/>
      <c r="F11" s="48" t="s">
        <v>177</v>
      </c>
    </row>
    <row r="12" spans="2:6" ht="45">
      <c r="C12" s="3" t="s">
        <v>11</v>
      </c>
      <c r="D12" s="21" t="s">
        <v>178</v>
      </c>
      <c r="E12" s="4"/>
      <c r="F12" s="48" t="s">
        <v>179</v>
      </c>
    </row>
    <row r="13" spans="2:6" ht="75">
      <c r="C13" s="3" t="s">
        <v>12</v>
      </c>
      <c r="D13" s="21" t="s">
        <v>146</v>
      </c>
      <c r="E13" s="4"/>
      <c r="F13" s="48" t="s">
        <v>180</v>
      </c>
    </row>
    <row r="14" spans="2:6">
      <c r="C14" s="3" t="s">
        <v>13</v>
      </c>
      <c r="D14" s="21" t="s">
        <v>181</v>
      </c>
      <c r="E14" s="4"/>
    </row>
    <row r="15" spans="2:6">
      <c r="C15" s="3"/>
      <c r="D15" s="4"/>
      <c r="E15" s="4"/>
      <c r="F15" t="s">
        <v>14</v>
      </c>
    </row>
    <row r="16" spans="2:6" ht="165">
      <c r="C16" s="3"/>
      <c r="D16" s="4"/>
      <c r="E16" s="4"/>
      <c r="F16" s="58" t="s">
        <v>182</v>
      </c>
    </row>
    <row r="17" spans="3:6" ht="18.75">
      <c r="C17" s="5" t="s">
        <v>15</v>
      </c>
      <c r="D17" s="4"/>
      <c r="E17" s="4"/>
      <c r="F17" s="24"/>
    </row>
    <row r="18" spans="3:6">
      <c r="C18" s="3" t="s">
        <v>16</v>
      </c>
      <c r="D18" s="1" t="s">
        <v>15</v>
      </c>
      <c r="E18" s="4"/>
      <c r="F18" s="24"/>
    </row>
    <row r="19" spans="3:6">
      <c r="C19" s="3" t="s">
        <v>17</v>
      </c>
      <c r="D19" s="22">
        <v>33</v>
      </c>
      <c r="E19" s="4"/>
      <c r="F19" s="24"/>
    </row>
    <row r="20" spans="3:6">
      <c r="C20" s="3" t="s">
        <v>18</v>
      </c>
      <c r="D20" s="22">
        <v>1</v>
      </c>
      <c r="E20" s="4"/>
      <c r="F20" s="24"/>
    </row>
    <row r="21" spans="3:6">
      <c r="C21" s="3" t="s">
        <v>19</v>
      </c>
      <c r="D21" s="22">
        <v>6</v>
      </c>
      <c r="E21" s="4"/>
    </row>
    <row r="22" spans="3:6">
      <c r="C22" s="3" t="s">
        <v>20</v>
      </c>
      <c r="D22" s="22">
        <v>1</v>
      </c>
      <c r="E22" s="4"/>
      <c r="F22" t="s">
        <v>21</v>
      </c>
    </row>
    <row r="23" spans="3:6">
      <c r="C23" s="3" t="s">
        <v>22</v>
      </c>
      <c r="D23" s="22">
        <v>3</v>
      </c>
      <c r="E23" s="4"/>
      <c r="F23" s="24"/>
    </row>
    <row r="24" spans="3:6">
      <c r="C24" s="3" t="s">
        <v>23</v>
      </c>
      <c r="D24" s="1">
        <f>SUM(D19:D23)</f>
        <v>44</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32" t="s">
        <v>183</v>
      </c>
      <c r="E29" s="4"/>
      <c r="F29" s="24"/>
    </row>
    <row r="30" spans="3:6" ht="30">
      <c r="C30" s="3" t="s">
        <v>29</v>
      </c>
      <c r="D30" s="32" t="s">
        <v>184</v>
      </c>
      <c r="E30" s="4"/>
      <c r="F30" s="24"/>
    </row>
    <row r="31" spans="3:6" ht="30">
      <c r="C31" s="3" t="s">
        <v>30</v>
      </c>
      <c r="D31" s="32" t="s">
        <v>185</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96</v>
      </c>
      <c r="E38" s="21" t="s">
        <v>186</v>
      </c>
      <c r="F38" s="21" t="s">
        <v>187</v>
      </c>
      <c r="G38" s="23">
        <v>0.5</v>
      </c>
      <c r="H38" s="21">
        <v>6</v>
      </c>
    </row>
    <row r="39" spans="3:8">
      <c r="C39" s="3" t="s">
        <v>44</v>
      </c>
      <c r="D39" s="21" t="s">
        <v>150</v>
      </c>
      <c r="E39" s="21" t="s">
        <v>151</v>
      </c>
      <c r="F39" s="21" t="s">
        <v>188</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52</v>
      </c>
    </row>
    <row r="47" spans="3:8">
      <c r="C47" s="25" t="s">
        <v>40</v>
      </c>
      <c r="D47" s="24" t="s">
        <v>28</v>
      </c>
      <c r="E47" s="24" t="s">
        <v>50</v>
      </c>
      <c r="F47" s="24" t="s">
        <v>189</v>
      </c>
    </row>
    <row r="48" spans="3:8">
      <c r="C48" s="25" t="s">
        <v>40</v>
      </c>
      <c r="D48" s="24" t="s">
        <v>29</v>
      </c>
      <c r="E48" s="24" t="s">
        <v>57</v>
      </c>
      <c r="F48" s="24" t="s">
        <v>190</v>
      </c>
    </row>
    <row r="49" spans="3:6">
      <c r="C49" s="25" t="s">
        <v>40</v>
      </c>
      <c r="D49" s="24" t="s">
        <v>29</v>
      </c>
      <c r="E49" s="24" t="s">
        <v>155</v>
      </c>
      <c r="F49" s="24" t="s">
        <v>157</v>
      </c>
    </row>
    <row r="50" spans="3:6">
      <c r="C50" s="25" t="s">
        <v>40</v>
      </c>
      <c r="D50" s="24" t="s">
        <v>29</v>
      </c>
      <c r="E50" s="24" t="s">
        <v>55</v>
      </c>
      <c r="F50" s="24" t="s">
        <v>191</v>
      </c>
    </row>
    <row r="51" spans="3:6">
      <c r="C51" s="25" t="s">
        <v>40</v>
      </c>
      <c r="D51" s="24" t="s">
        <v>30</v>
      </c>
      <c r="E51" s="24" t="s">
        <v>99</v>
      </c>
      <c r="F51" s="24" t="s">
        <v>100</v>
      </c>
    </row>
    <row r="52" spans="3:6">
      <c r="C52" s="25" t="s">
        <v>44</v>
      </c>
      <c r="D52" s="24" t="s">
        <v>28</v>
      </c>
      <c r="E52" s="24" t="s">
        <v>50</v>
      </c>
      <c r="F52" s="24" t="s">
        <v>52</v>
      </c>
    </row>
    <row r="53" spans="3:6">
      <c r="C53" s="25" t="s">
        <v>44</v>
      </c>
      <c r="D53" s="24" t="s">
        <v>29</v>
      </c>
      <c r="E53" s="24" t="s">
        <v>50</v>
      </c>
      <c r="F53" s="24" t="s">
        <v>52</v>
      </c>
    </row>
    <row r="54" spans="3:6">
      <c r="C54" s="25" t="s">
        <v>44</v>
      </c>
      <c r="D54" s="24" t="s">
        <v>29</v>
      </c>
      <c r="E54" s="24" t="s">
        <v>50</v>
      </c>
      <c r="F54" s="24" t="s">
        <v>189</v>
      </c>
    </row>
    <row r="55" spans="3:6">
      <c r="C55" s="25" t="s">
        <v>44</v>
      </c>
      <c r="D55" s="24" t="s">
        <v>30</v>
      </c>
      <c r="E55" s="24" t="s">
        <v>53</v>
      </c>
      <c r="F55" s="24" t="s">
        <v>192</v>
      </c>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ht="45">
      <c r="B71" s="7">
        <v>1</v>
      </c>
      <c r="C71" s="1">
        <v>1</v>
      </c>
      <c r="D71" s="56" t="s">
        <v>193</v>
      </c>
      <c r="E71" s="56" t="s">
        <v>194</v>
      </c>
      <c r="F71" s="58" t="s">
        <v>195</v>
      </c>
    </row>
    <row r="72" spans="2:6" ht="30">
      <c r="B72" s="7">
        <v>1</v>
      </c>
      <c r="C72" s="1">
        <v>2</v>
      </c>
      <c r="D72" s="55" t="s">
        <v>196</v>
      </c>
      <c r="E72" s="56" t="s">
        <v>197</v>
      </c>
      <c r="F72" s="57" t="s">
        <v>198</v>
      </c>
    </row>
    <row r="73" spans="2:6" ht="30">
      <c r="B73" s="7">
        <v>1</v>
      </c>
      <c r="C73" s="1">
        <v>3</v>
      </c>
      <c r="D73" s="55" t="s">
        <v>199</v>
      </c>
      <c r="E73" s="55" t="s">
        <v>200</v>
      </c>
      <c r="F73" s="59" t="s">
        <v>201</v>
      </c>
    </row>
    <row r="74" spans="2:6" ht="30">
      <c r="B74" s="7">
        <v>1</v>
      </c>
      <c r="C74" s="1">
        <v>4</v>
      </c>
      <c r="D74" s="55" t="s">
        <v>202</v>
      </c>
      <c r="E74" s="55" t="s">
        <v>203</v>
      </c>
      <c r="F74" s="21" t="s">
        <v>204</v>
      </c>
    </row>
    <row r="75" spans="2:6">
      <c r="B75" s="7">
        <v>1</v>
      </c>
      <c r="C75" s="1">
        <v>5</v>
      </c>
      <c r="D75" s="55" t="s">
        <v>205</v>
      </c>
      <c r="E75" s="55" t="s">
        <v>206</v>
      </c>
      <c r="F75" s="24" t="s">
        <v>207</v>
      </c>
    </row>
    <row r="76" spans="2:6" ht="30">
      <c r="B76" s="7">
        <v>1</v>
      </c>
      <c r="C76" s="1">
        <v>6</v>
      </c>
      <c r="D76" s="55" t="s">
        <v>208</v>
      </c>
      <c r="E76" s="55" t="s">
        <v>209</v>
      </c>
      <c r="F76" s="60" t="s">
        <v>210</v>
      </c>
    </row>
    <row r="77" spans="2:6">
      <c r="B77" s="7">
        <v>1</v>
      </c>
      <c r="C77" s="1">
        <v>7</v>
      </c>
      <c r="D77" s="55" t="s">
        <v>211</v>
      </c>
      <c r="E77" s="55" t="s">
        <v>212</v>
      </c>
      <c r="F77" s="21" t="s">
        <v>213</v>
      </c>
    </row>
    <row r="78" spans="2:6" ht="45">
      <c r="B78" s="7">
        <v>1</v>
      </c>
      <c r="C78" s="1">
        <v>8</v>
      </c>
      <c r="D78" s="55" t="s">
        <v>214</v>
      </c>
      <c r="E78" s="55" t="s">
        <v>215</v>
      </c>
      <c r="F78" s="21" t="s">
        <v>216</v>
      </c>
    </row>
    <row r="79" spans="2:6" ht="30">
      <c r="B79" s="7">
        <v>1</v>
      </c>
      <c r="C79" s="1">
        <v>9</v>
      </c>
      <c r="D79" s="55" t="s">
        <v>217</v>
      </c>
      <c r="E79" s="55" t="s">
        <v>218</v>
      </c>
      <c r="F79" s="61" t="s">
        <v>219</v>
      </c>
    </row>
    <row r="80" spans="2:6" ht="30">
      <c r="B80" s="7">
        <v>1</v>
      </c>
      <c r="C80" s="1">
        <v>10</v>
      </c>
      <c r="D80" s="55" t="s">
        <v>220</v>
      </c>
      <c r="E80" s="55" t="s">
        <v>221</v>
      </c>
      <c r="F80" s="21" t="s">
        <v>222</v>
      </c>
    </row>
    <row r="81" spans="2:6" ht="30">
      <c r="B81" s="7">
        <v>1</v>
      </c>
      <c r="C81" s="1">
        <v>11</v>
      </c>
      <c r="D81" s="55" t="s">
        <v>223</v>
      </c>
      <c r="E81" s="55" t="s">
        <v>224</v>
      </c>
      <c r="F81" s="21" t="s">
        <v>225</v>
      </c>
    </row>
    <row r="82" spans="2:6" ht="45">
      <c r="B82" s="7">
        <v>1</v>
      </c>
      <c r="C82" s="1">
        <v>12</v>
      </c>
      <c r="D82" s="32" t="s">
        <v>226</v>
      </c>
      <c r="E82" s="32" t="s">
        <v>227</v>
      </c>
      <c r="F82" s="21" t="s">
        <v>228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B7B2864D-75D1-4E60-B98B-96DFE08B851A}">
      <formula1>0</formula1>
      <formula2>80</formula2>
    </dataValidation>
    <dataValidation type="whole" showInputMessage="1" showErrorMessage="1" error="This is not a realistic number of contact hours please change" sqref="D19" xr:uid="{18353793-6C6F-4EAB-B14B-E1F7C115249C}">
      <formula1>0</formula1>
      <formula2>80</formula2>
    </dataValidation>
    <dataValidation type="list" allowBlank="1" showInputMessage="1" showErrorMessage="1" sqref="E38:E41" xr:uid="{E48AA713-552B-4105-B48D-5C23BD3FB028}">
      <formula1>INDIRECT("LISTAssess[Assessment Specific]")</formula1>
    </dataValidation>
    <dataValidation type="list" allowBlank="1" showInputMessage="1" showErrorMessage="1" sqref="F46:F66" xr:uid="{CF941901-AFF0-43A8-AC94-17835B2EA3F2}">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78B63D05-B215-4367-BE7A-CB2C39083BC6}">
          <x14:formula1>
            <xm:f>LISTS!$C$26:$C$37</xm:f>
          </x14:formula1>
          <xm:sqref>D14</xm:sqref>
        </x14:dataValidation>
        <x14:dataValidation type="list" allowBlank="1" showInputMessage="1" showErrorMessage="1" xr:uid="{5CAEC015-0179-4647-8196-7D4CDC9EF10B}">
          <x14:formula1>
            <xm:f>LISTS!$C$17:$C$22</xm:f>
          </x14:formula1>
          <xm:sqref>D13</xm:sqref>
        </x14:dataValidation>
        <x14:dataValidation type="list" allowBlank="1" showInputMessage="1" showErrorMessage="1" xr:uid="{32CB5521-4789-4A4F-B884-47DF1E8B92DF}">
          <x14:formula1>
            <xm:f>LISTS!$C$7:$C$9</xm:f>
          </x14:formula1>
          <xm:sqref>D10</xm:sqref>
        </x14:dataValidation>
        <x14:dataValidation type="list" allowBlank="1" showInputMessage="1" showErrorMessage="1" xr:uid="{3C7D0972-AABE-4BE2-A9AF-2A9F84C36EE5}">
          <x14:formula1>
            <xm:f>LISTS!$C$11:$C$15</xm:f>
          </x14:formula1>
          <xm:sqref>D11</xm:sqref>
        </x14:dataValidation>
        <x14:dataValidation type="list" allowBlank="1" showInputMessage="1" showErrorMessage="1" xr:uid="{F651B19D-C96B-45CD-AEB2-C0A9D79F5FC9}">
          <x14:formula1>
            <xm:f>LISTS!$G$7:$G$11</xm:f>
          </x14:formula1>
          <xm:sqref>D38:D42</xm:sqref>
        </x14:dataValidation>
        <x14:dataValidation type="list" allowBlank="1" showInputMessage="1" showErrorMessage="1" xr:uid="{CD263751-D63C-4730-9CCD-6E6FCB903867}">
          <x14:formula1>
            <xm:f>LISTS!$E$7:$E$11</xm:f>
          </x14:formula1>
          <xm:sqref>D46:D66</xm:sqref>
        </x14:dataValidation>
        <x14:dataValidation type="list" allowBlank="1" showInputMessage="1" showErrorMessage="1" xr:uid="{95157A6A-B091-4F3A-8EF6-A3BE869FBEBC}">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105"/>
  <sheetViews>
    <sheetView showGridLines="0" topLeftCell="B7" zoomScale="85" zoomScaleNormal="85" workbookViewId="0">
      <selection activeCell="E92" sqref="E92"/>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4094SPS</v>
      </c>
      <c r="D2" s="20" t="str">
        <f>D8</f>
        <v>Human Movement</v>
      </c>
    </row>
    <row r="3" spans="2:6">
      <c r="B3" s="1"/>
      <c r="C3" s="1"/>
    </row>
    <row r="4" spans="2:6">
      <c r="B4" s="2"/>
      <c r="C4" s="2"/>
    </row>
    <row r="5" spans="2:6" ht="18.75">
      <c r="B5" s="2"/>
      <c r="C5" s="5" t="s">
        <v>0</v>
      </c>
    </row>
    <row r="6" spans="2:6">
      <c r="B6" s="2"/>
      <c r="C6" s="3" t="s">
        <v>1</v>
      </c>
      <c r="D6" s="4" t="s">
        <v>2</v>
      </c>
      <c r="E6" s="4"/>
      <c r="F6" t="s">
        <v>3</v>
      </c>
    </row>
    <row r="7" spans="2:6" ht="64.5">
      <c r="B7" s="2"/>
      <c r="C7" s="3" t="s">
        <v>4</v>
      </c>
      <c r="D7" s="21" t="s">
        <v>229</v>
      </c>
      <c r="E7" s="4"/>
      <c r="F7" s="34" t="s">
        <v>230</v>
      </c>
    </row>
    <row r="8" spans="2:6">
      <c r="B8" s="2"/>
      <c r="C8" s="3" t="s">
        <v>6</v>
      </c>
      <c r="D8" s="21" t="s">
        <v>231</v>
      </c>
      <c r="E8" s="4"/>
      <c r="F8" s="24"/>
    </row>
    <row r="9" spans="2:6">
      <c r="C9" s="3" t="s">
        <v>7</v>
      </c>
      <c r="D9" s="21">
        <v>20</v>
      </c>
      <c r="E9" s="4"/>
    </row>
    <row r="10" spans="2:6">
      <c r="C10" s="3" t="s">
        <v>8</v>
      </c>
      <c r="D10" s="21">
        <v>2</v>
      </c>
      <c r="E10" s="4"/>
      <c r="F10" t="s">
        <v>9</v>
      </c>
    </row>
    <row r="11" spans="2:6">
      <c r="C11" s="3" t="s">
        <v>10</v>
      </c>
      <c r="D11" s="21">
        <v>4</v>
      </c>
      <c r="E11" s="4"/>
      <c r="F11" s="24" t="s">
        <v>232</v>
      </c>
    </row>
    <row r="12" spans="2:6">
      <c r="C12" s="3" t="s">
        <v>11</v>
      </c>
      <c r="D12" s="21" t="s">
        <v>233</v>
      </c>
      <c r="E12" s="4"/>
      <c r="F12" s="24" t="s">
        <v>234</v>
      </c>
    </row>
    <row r="13" spans="2:6">
      <c r="C13" s="3" t="s">
        <v>12</v>
      </c>
      <c r="D13" s="21" t="s">
        <v>146</v>
      </c>
      <c r="E13" s="4"/>
      <c r="F13" s="24" t="s">
        <v>235</v>
      </c>
    </row>
    <row r="14" spans="2:6">
      <c r="C14" s="3" t="s">
        <v>13</v>
      </c>
      <c r="D14" s="21" t="s">
        <v>236</v>
      </c>
      <c r="E14" s="4"/>
    </row>
    <row r="15" spans="2:6">
      <c r="C15" s="3"/>
      <c r="D15" s="4"/>
      <c r="E15" s="4"/>
      <c r="F15" t="s">
        <v>14</v>
      </c>
    </row>
    <row r="16" spans="2:6" ht="153.75">
      <c r="C16" s="3"/>
      <c r="D16" s="4"/>
      <c r="E16" s="4"/>
      <c r="F16" s="34" t="s">
        <v>237</v>
      </c>
    </row>
    <row r="17" spans="3:6" ht="18.75">
      <c r="C17" s="5" t="s">
        <v>15</v>
      </c>
      <c r="D17" s="4"/>
      <c r="E17" s="4"/>
      <c r="F17" s="24"/>
    </row>
    <row r="18" spans="3:6">
      <c r="C18" s="3" t="s">
        <v>16</v>
      </c>
      <c r="D18" s="1" t="s">
        <v>15</v>
      </c>
      <c r="E18" s="4"/>
      <c r="F18" s="24"/>
    </row>
    <row r="19" spans="3:6">
      <c r="C19" s="3" t="s">
        <v>17</v>
      </c>
      <c r="D19" s="22">
        <v>11</v>
      </c>
      <c r="E19" s="4"/>
      <c r="F19" s="24"/>
    </row>
    <row r="20" spans="3:6">
      <c r="C20" s="3" t="s">
        <v>18</v>
      </c>
      <c r="D20" s="22"/>
      <c r="E20" s="4"/>
      <c r="F20" s="24"/>
    </row>
    <row r="21" spans="3:6">
      <c r="C21" s="3" t="s">
        <v>19</v>
      </c>
      <c r="D21" s="22">
        <v>6</v>
      </c>
      <c r="E21" s="4"/>
    </row>
    <row r="22" spans="3:6">
      <c r="C22" s="3" t="s">
        <v>20</v>
      </c>
      <c r="D22" s="22">
        <v>11</v>
      </c>
      <c r="E22" s="4"/>
      <c r="F22" t="s">
        <v>21</v>
      </c>
    </row>
    <row r="23" spans="3:6" ht="60">
      <c r="C23" s="3" t="s">
        <v>22</v>
      </c>
      <c r="D23" s="22">
        <v>11</v>
      </c>
      <c r="E23" s="4"/>
      <c r="F23" s="32" t="s">
        <v>238</v>
      </c>
    </row>
    <row r="24" spans="3:6">
      <c r="C24" s="3" t="s">
        <v>23</v>
      </c>
      <c r="D24" s="1">
        <f>SUM(D19:D23)</f>
        <v>39</v>
      </c>
      <c r="E24" s="4"/>
      <c r="F24" s="24"/>
    </row>
    <row r="25" spans="3:6">
      <c r="F25" s="24"/>
    </row>
    <row r="26" spans="3:6">
      <c r="F26" s="24"/>
    </row>
    <row r="27" spans="3:6" ht="18.75">
      <c r="C27" s="5" t="s">
        <v>24</v>
      </c>
      <c r="D27" s="12" t="s">
        <v>25</v>
      </c>
      <c r="F27" s="24"/>
    </row>
    <row r="28" spans="3:6">
      <c r="C28" s="3" t="s">
        <v>26</v>
      </c>
      <c r="D28" s="3" t="s">
        <v>27</v>
      </c>
      <c r="E28" s="3"/>
      <c r="F28" s="24"/>
    </row>
    <row r="29" spans="3:6" ht="45">
      <c r="C29" s="3" t="s">
        <v>28</v>
      </c>
      <c r="D29" s="33" t="s">
        <v>239</v>
      </c>
      <c r="E29" s="4"/>
      <c r="F29" s="24"/>
    </row>
    <row r="30" spans="3:6" ht="30">
      <c r="C30" s="3" t="s">
        <v>29</v>
      </c>
      <c r="D30" s="33" t="s">
        <v>240</v>
      </c>
      <c r="E30" s="4"/>
      <c r="F30" s="24"/>
    </row>
    <row r="31" spans="3:6" ht="30">
      <c r="C31" s="3" t="s">
        <v>30</v>
      </c>
      <c r="D31" s="33" t="s">
        <v>241</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45">
      <c r="C38" s="3" t="s">
        <v>40</v>
      </c>
      <c r="D38" s="21" t="s">
        <v>150</v>
      </c>
      <c r="E38" s="21" t="s">
        <v>242</v>
      </c>
      <c r="F38" s="21" t="s">
        <v>243</v>
      </c>
      <c r="G38" s="23">
        <v>0.35</v>
      </c>
      <c r="H38" s="21">
        <v>6</v>
      </c>
    </row>
    <row r="39" spans="3:8" ht="105">
      <c r="C39" s="3" t="s">
        <v>44</v>
      </c>
      <c r="D39" s="21" t="s">
        <v>41</v>
      </c>
      <c r="E39" s="21" t="s">
        <v>244</v>
      </c>
      <c r="F39" s="21" t="s">
        <v>245</v>
      </c>
      <c r="G39" s="23">
        <v>0.65</v>
      </c>
      <c r="H39" s="21">
        <v>13</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53</v>
      </c>
      <c r="F47" s="24" t="s">
        <v>154</v>
      </c>
    </row>
    <row r="48" spans="3:8">
      <c r="C48" s="25" t="s">
        <v>44</v>
      </c>
      <c r="D48" s="24" t="s">
        <v>29</v>
      </c>
      <c r="E48" s="24" t="s">
        <v>50</v>
      </c>
      <c r="F48" s="24" t="s">
        <v>246</v>
      </c>
    </row>
    <row r="49" spans="3:6">
      <c r="C49" s="25" t="s">
        <v>44</v>
      </c>
      <c r="D49" s="24" t="s">
        <v>29</v>
      </c>
      <c r="E49" s="24" t="s">
        <v>55</v>
      </c>
      <c r="F49" s="24" t="s">
        <v>247</v>
      </c>
    </row>
    <row r="50" spans="3:6">
      <c r="C50" s="25" t="s">
        <v>44</v>
      </c>
      <c r="D50" s="24" t="s">
        <v>29</v>
      </c>
      <c r="E50" s="24" t="s">
        <v>57</v>
      </c>
      <c r="F50" s="24" t="s">
        <v>190</v>
      </c>
    </row>
    <row r="51" spans="3:6">
      <c r="C51" s="25" t="s">
        <v>44</v>
      </c>
      <c r="D51" s="24" t="s">
        <v>29</v>
      </c>
      <c r="E51" s="24" t="s">
        <v>53</v>
      </c>
      <c r="F51" s="24" t="s">
        <v>154</v>
      </c>
    </row>
    <row r="52" spans="3:6">
      <c r="C52" s="25" t="s">
        <v>44</v>
      </c>
      <c r="D52" s="24" t="s">
        <v>29</v>
      </c>
      <c r="E52" s="24" t="s">
        <v>105</v>
      </c>
      <c r="F52" s="24" t="s">
        <v>248</v>
      </c>
    </row>
    <row r="53" spans="3:6">
      <c r="C53" s="25" t="s">
        <v>44</v>
      </c>
      <c r="D53" s="24" t="s">
        <v>29</v>
      </c>
      <c r="E53" s="24" t="s">
        <v>105</v>
      </c>
      <c r="F53" s="24" t="s">
        <v>249</v>
      </c>
    </row>
    <row r="54" spans="3:6">
      <c r="C54" s="25" t="s">
        <v>44</v>
      </c>
      <c r="D54" s="24" t="s">
        <v>29</v>
      </c>
      <c r="E54" s="24" t="s">
        <v>105</v>
      </c>
      <c r="F54" s="24" t="s">
        <v>250</v>
      </c>
    </row>
    <row r="55" spans="3:6">
      <c r="C55" s="25" t="s">
        <v>44</v>
      </c>
      <c r="D55" s="24" t="s">
        <v>29</v>
      </c>
      <c r="E55" s="24" t="s">
        <v>105</v>
      </c>
      <c r="F55" s="24" t="s">
        <v>251</v>
      </c>
    </row>
    <row r="56" spans="3:6">
      <c r="C56" s="25" t="s">
        <v>44</v>
      </c>
      <c r="D56" s="24" t="s">
        <v>29</v>
      </c>
      <c r="E56" s="24" t="s">
        <v>252</v>
      </c>
      <c r="F56" s="24" t="s">
        <v>253</v>
      </c>
    </row>
    <row r="57" spans="3:6">
      <c r="C57" s="25" t="s">
        <v>44</v>
      </c>
      <c r="D57" s="24" t="s">
        <v>30</v>
      </c>
      <c r="E57" s="24" t="s">
        <v>50</v>
      </c>
      <c r="F57" s="24" t="s">
        <v>246</v>
      </c>
    </row>
    <row r="58" spans="3:6">
      <c r="C58" s="25" t="s">
        <v>44</v>
      </c>
      <c r="D58" s="24" t="s">
        <v>30</v>
      </c>
      <c r="E58" s="24" t="s">
        <v>55</v>
      </c>
      <c r="F58" s="24" t="s">
        <v>247</v>
      </c>
    </row>
    <row r="59" spans="3:6">
      <c r="C59" s="25" t="s">
        <v>44</v>
      </c>
      <c r="D59" s="24" t="s">
        <v>30</v>
      </c>
      <c r="E59" s="24" t="s">
        <v>57</v>
      </c>
      <c r="F59" s="24" t="s">
        <v>190</v>
      </c>
    </row>
    <row r="60" spans="3:6">
      <c r="C60" s="25" t="s">
        <v>44</v>
      </c>
      <c r="D60" s="24" t="s">
        <v>30</v>
      </c>
      <c r="E60" s="24" t="s">
        <v>53</v>
      </c>
      <c r="F60" s="24" t="s">
        <v>154</v>
      </c>
    </row>
    <row r="61" spans="3:6">
      <c r="C61" s="25" t="s">
        <v>44</v>
      </c>
      <c r="D61" s="24" t="s">
        <v>30</v>
      </c>
      <c r="E61" s="24" t="s">
        <v>105</v>
      </c>
      <c r="F61" s="24" t="s">
        <v>248</v>
      </c>
    </row>
    <row r="62" spans="3:6">
      <c r="C62" s="25" t="s">
        <v>44</v>
      </c>
      <c r="D62" s="24" t="s">
        <v>30</v>
      </c>
      <c r="E62" s="24" t="s">
        <v>105</v>
      </c>
      <c r="F62" s="24" t="s">
        <v>249</v>
      </c>
    </row>
    <row r="63" spans="3:6">
      <c r="C63" s="25" t="s">
        <v>44</v>
      </c>
      <c r="D63" s="24" t="s">
        <v>30</v>
      </c>
      <c r="E63" s="24" t="s">
        <v>105</v>
      </c>
      <c r="F63" s="24" t="s">
        <v>250</v>
      </c>
    </row>
    <row r="64" spans="3:6">
      <c r="C64" s="25" t="s">
        <v>44</v>
      </c>
      <c r="D64" s="24" t="s">
        <v>30</v>
      </c>
      <c r="E64" s="24" t="s">
        <v>105</v>
      </c>
      <c r="F64" s="24" t="s">
        <v>251</v>
      </c>
    </row>
    <row r="65" spans="3:6">
      <c r="C65" s="25" t="s">
        <v>44</v>
      </c>
      <c r="D65" s="24" t="s">
        <v>30</v>
      </c>
      <c r="E65" s="24" t="s">
        <v>252</v>
      </c>
      <c r="F65" s="24" t="s">
        <v>253</v>
      </c>
    </row>
    <row r="66" spans="3:6">
      <c r="C66" s="25"/>
      <c r="D66" s="24"/>
      <c r="E66" s="24"/>
      <c r="F66" s="24"/>
    </row>
    <row r="67" spans="3:6">
      <c r="C67" s="25"/>
      <c r="D67" s="24"/>
      <c r="E67" s="24"/>
      <c r="F67" s="24"/>
    </row>
    <row r="68" spans="3:6">
      <c r="C68" s="25"/>
      <c r="D68" s="24"/>
      <c r="E68" s="24"/>
      <c r="F68" s="24"/>
    </row>
    <row r="69" spans="3:6">
      <c r="C69" s="25"/>
      <c r="D69" s="24"/>
      <c r="E69" s="24"/>
      <c r="F69" s="24"/>
    </row>
    <row r="70" spans="3:6">
      <c r="C70" s="25"/>
      <c r="D70" s="24"/>
      <c r="E70" s="24"/>
      <c r="F70" s="24"/>
    </row>
    <row r="71" spans="3:6">
      <c r="C71" s="25"/>
      <c r="D71" s="24"/>
      <c r="E71" s="24"/>
      <c r="F71" s="24"/>
    </row>
    <row r="72" spans="3:6">
      <c r="C72" s="25"/>
      <c r="D72" s="24"/>
      <c r="E72" s="24"/>
      <c r="F72" s="24"/>
    </row>
    <row r="73" spans="3:6">
      <c r="C73" s="25"/>
      <c r="D73" s="24"/>
      <c r="E73" s="24"/>
      <c r="F73" s="24"/>
    </row>
    <row r="74" spans="3:6">
      <c r="C74" s="25"/>
      <c r="D74" s="24"/>
      <c r="E74" s="24"/>
      <c r="F74" s="24"/>
    </row>
    <row r="75" spans="3:6">
      <c r="C75" s="25"/>
      <c r="D75" s="24"/>
      <c r="E75" s="24"/>
      <c r="F75" s="24"/>
    </row>
    <row r="76" spans="3:6">
      <c r="C76" s="25"/>
      <c r="D76" s="24"/>
      <c r="E76" s="24"/>
      <c r="F76" s="24"/>
    </row>
    <row r="77" spans="3:6">
      <c r="C77" s="25"/>
      <c r="D77" s="24"/>
      <c r="E77" s="24"/>
      <c r="F77" s="24"/>
    </row>
    <row r="80" spans="3:6" ht="18.75">
      <c r="C80" s="5" t="s">
        <v>59</v>
      </c>
    </row>
    <row r="81" spans="2:6">
      <c r="B81" t="s">
        <v>60</v>
      </c>
      <c r="C81" s="1" t="s">
        <v>61</v>
      </c>
      <c r="D81" s="1" t="s">
        <v>62</v>
      </c>
      <c r="E81" s="1" t="s">
        <v>63</v>
      </c>
      <c r="F81" s="1" t="s">
        <v>64</v>
      </c>
    </row>
    <row r="82" spans="2:6">
      <c r="B82" s="7">
        <v>1</v>
      </c>
      <c r="C82" s="1">
        <v>1</v>
      </c>
      <c r="D82" s="21"/>
      <c r="E82" s="21"/>
      <c r="F82" s="21"/>
    </row>
    <row r="83" spans="2:6">
      <c r="B83" s="7">
        <v>1</v>
      </c>
      <c r="C83" s="1">
        <v>2</v>
      </c>
      <c r="D83" s="21"/>
      <c r="E83" s="21"/>
      <c r="F83" s="21"/>
    </row>
    <row r="84" spans="2:6">
      <c r="B84" s="7">
        <v>1</v>
      </c>
      <c r="C84" s="1">
        <v>3</v>
      </c>
      <c r="D84" s="21"/>
      <c r="E84" s="21"/>
      <c r="F84" s="21"/>
    </row>
    <row r="85" spans="2:6">
      <c r="B85" s="7">
        <v>1</v>
      </c>
      <c r="C85" s="1">
        <v>4</v>
      </c>
      <c r="D85" s="21"/>
      <c r="E85" s="21"/>
      <c r="F85" s="21"/>
    </row>
    <row r="86" spans="2:6">
      <c r="B86" s="7">
        <v>1</v>
      </c>
      <c r="C86" s="1">
        <v>5</v>
      </c>
      <c r="D86" s="21"/>
      <c r="E86" s="21"/>
      <c r="F86" s="21"/>
    </row>
    <row r="87" spans="2:6">
      <c r="B87" s="7">
        <v>1</v>
      </c>
      <c r="C87" s="1">
        <v>6</v>
      </c>
      <c r="D87" s="21"/>
      <c r="E87" s="21"/>
      <c r="F87" s="21"/>
    </row>
    <row r="88" spans="2:6">
      <c r="B88" s="7">
        <v>1</v>
      </c>
      <c r="C88" s="1">
        <v>7</v>
      </c>
      <c r="D88" s="21"/>
      <c r="E88" s="21"/>
      <c r="F88" s="21"/>
    </row>
    <row r="89" spans="2:6">
      <c r="B89" s="7">
        <v>1</v>
      </c>
      <c r="C89" s="1">
        <v>8</v>
      </c>
      <c r="D89" s="21"/>
      <c r="E89" s="21"/>
      <c r="F89" s="21"/>
    </row>
    <row r="90" spans="2:6">
      <c r="B90" s="7">
        <v>1</v>
      </c>
      <c r="C90" s="1">
        <v>9</v>
      </c>
      <c r="D90" s="21"/>
      <c r="E90" s="21"/>
      <c r="F90" s="21"/>
    </row>
    <row r="91" spans="2:6">
      <c r="B91" s="7">
        <v>1</v>
      </c>
      <c r="C91" s="1">
        <v>10</v>
      </c>
      <c r="D91" s="21"/>
      <c r="E91" s="21"/>
      <c r="F91" s="21"/>
    </row>
    <row r="92" spans="2:6">
      <c r="B92" s="7">
        <v>1</v>
      </c>
      <c r="C92" s="1">
        <v>11</v>
      </c>
      <c r="D92" s="21"/>
      <c r="E92" s="21"/>
      <c r="F92" s="21"/>
    </row>
    <row r="93" spans="2:6">
      <c r="B93" s="7">
        <v>1</v>
      </c>
      <c r="C93" s="1">
        <v>12</v>
      </c>
      <c r="D93" s="21"/>
      <c r="E93" s="21"/>
      <c r="F93" s="21"/>
    </row>
    <row r="94" spans="2:6" ht="30">
      <c r="B94" s="7">
        <v>2</v>
      </c>
      <c r="C94" s="1">
        <v>1</v>
      </c>
      <c r="D94" s="21" t="s">
        <v>254</v>
      </c>
      <c r="E94" s="21" t="s">
        <v>255</v>
      </c>
      <c r="F94" s="21" t="s">
        <v>256</v>
      </c>
    </row>
    <row r="95" spans="2:6" ht="45">
      <c r="B95" s="7">
        <v>2</v>
      </c>
      <c r="C95" s="1">
        <v>2</v>
      </c>
      <c r="D95" s="21" t="s">
        <v>257</v>
      </c>
      <c r="E95" s="21" t="s">
        <v>258</v>
      </c>
      <c r="F95" s="61" t="s">
        <v>256</v>
      </c>
    </row>
    <row r="96" spans="2:6" ht="45">
      <c r="B96" s="7">
        <v>2</v>
      </c>
      <c r="C96" s="1">
        <v>3</v>
      </c>
      <c r="D96" s="21" t="s">
        <v>259</v>
      </c>
      <c r="E96" s="21" t="s">
        <v>260</v>
      </c>
      <c r="F96" s="21" t="s">
        <v>261</v>
      </c>
    </row>
    <row r="97" spans="2:6" ht="30">
      <c r="B97" s="7">
        <v>2</v>
      </c>
      <c r="C97" s="1">
        <v>4</v>
      </c>
      <c r="D97" s="21" t="s">
        <v>262</v>
      </c>
      <c r="E97" s="21" t="s">
        <v>263</v>
      </c>
      <c r="F97" s="21" t="s">
        <v>261</v>
      </c>
    </row>
    <row r="98" spans="2:6" ht="30">
      <c r="B98" s="7">
        <v>2</v>
      </c>
      <c r="C98" s="1">
        <v>5</v>
      </c>
      <c r="D98" s="21" t="s">
        <v>264</v>
      </c>
      <c r="E98" s="21" t="s">
        <v>265</v>
      </c>
      <c r="F98" s="21" t="s">
        <v>261</v>
      </c>
    </row>
    <row r="99" spans="2:6" ht="30">
      <c r="B99" s="7">
        <v>2</v>
      </c>
      <c r="C99" s="1">
        <v>6</v>
      </c>
      <c r="D99" s="21" t="s">
        <v>266</v>
      </c>
      <c r="E99" s="48" t="s">
        <v>267</v>
      </c>
      <c r="F99" s="61" t="s">
        <v>256</v>
      </c>
    </row>
    <row r="100" spans="2:6" ht="30">
      <c r="B100" s="7">
        <v>2</v>
      </c>
      <c r="C100" s="1">
        <v>7</v>
      </c>
      <c r="D100" s="21" t="s">
        <v>268</v>
      </c>
      <c r="E100" s="21" t="s">
        <v>269</v>
      </c>
      <c r="F100" s="21" t="s">
        <v>261</v>
      </c>
    </row>
    <row r="101" spans="2:6" ht="30">
      <c r="B101" s="7">
        <v>2</v>
      </c>
      <c r="C101" s="1">
        <v>8</v>
      </c>
      <c r="D101" s="21" t="s">
        <v>270</v>
      </c>
      <c r="E101" s="48" t="s">
        <v>271</v>
      </c>
      <c r="F101" s="61" t="s">
        <v>256</v>
      </c>
    </row>
    <row r="102" spans="2:6" ht="45">
      <c r="B102" s="7">
        <v>2</v>
      </c>
      <c r="C102" s="1">
        <v>9</v>
      </c>
      <c r="D102" s="21" t="s">
        <v>272</v>
      </c>
      <c r="E102" s="21" t="s">
        <v>273</v>
      </c>
      <c r="F102" s="21" t="s">
        <v>261</v>
      </c>
    </row>
    <row r="103" spans="2:6" ht="30">
      <c r="B103" s="7">
        <v>2</v>
      </c>
      <c r="C103" s="1">
        <v>10</v>
      </c>
      <c r="D103" s="21" t="s">
        <v>274</v>
      </c>
      <c r="E103" s="48" t="s">
        <v>275</v>
      </c>
      <c r="F103" s="21" t="s">
        <v>261</v>
      </c>
    </row>
    <row r="104" spans="2:6">
      <c r="B104" s="7">
        <v>2</v>
      </c>
      <c r="C104" s="1">
        <v>11</v>
      </c>
      <c r="D104" s="21" t="s">
        <v>276</v>
      </c>
      <c r="E104" s="21" t="s">
        <v>277</v>
      </c>
      <c r="F104" s="21" t="s">
        <v>256</v>
      </c>
    </row>
    <row r="105" spans="2:6">
      <c r="B105" s="7">
        <v>2</v>
      </c>
      <c r="C105" s="1">
        <v>12</v>
      </c>
      <c r="D105" s="21"/>
      <c r="E105" s="21"/>
      <c r="F105" s="21"/>
    </row>
  </sheetData>
  <sheetProtection selectLockedCells="1" sort="0" autoFilter="0" pivotTables="0"/>
  <dataValidations count="4">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whole" showInputMessage="1" showErrorMessage="1" error="This is not a realistic number of contact hours please reduce" sqref="D21:D23" xr:uid="{06524273-2360-4C43-9154-4A480587EC5E}">
      <formula1>0</formula1>
      <formula2>80</formula2>
    </dataValidation>
    <dataValidation type="list" allowBlank="1" showInputMessage="1" showErrorMessage="1" sqref="F46:F77" xr:uid="{3D662EF6-94E1-4350-B3D5-9F339CA0FD80}">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D46:D77</xm:sqref>
        </x14:dataValidation>
        <x14:dataValidation type="list" allowBlank="1" showInputMessage="1" showErrorMessage="1" xr:uid="{C1ACB768-367A-4765-AEE3-B6D50718CC09}">
          <x14:formula1>
            <xm:f>LISTS!$J$7:$J$16</xm:f>
          </x14:formula1>
          <xm:sqref>E46:E77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79172-432E-44AC-9B75-64041E072D7A}">
  <sheetPr codeName="Sheet21"/>
  <dimension ref="B2:H94"/>
  <sheetViews>
    <sheetView showGridLines="0" tabSelected="1" zoomScale="85" zoomScaleNormal="85" workbookViewId="0">
      <selection activeCell="C96" sqref="C9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5091SPS</v>
      </c>
      <c r="D2" s="20" t="str">
        <f>D8</f>
        <v>Research Methods 2</v>
      </c>
    </row>
    <row r="3" spans="2:6">
      <c r="B3" s="1"/>
      <c r="C3" s="1"/>
    </row>
    <row r="4" spans="2:6">
      <c r="B4" s="2"/>
      <c r="C4" s="2"/>
    </row>
    <row r="5" spans="2:6" ht="18.75">
      <c r="B5" s="2"/>
      <c r="C5" s="5" t="s">
        <v>0</v>
      </c>
    </row>
    <row r="6" spans="2:6">
      <c r="B6" s="2"/>
      <c r="C6" s="3" t="s">
        <v>1</v>
      </c>
      <c r="D6" s="4" t="s">
        <v>2</v>
      </c>
      <c r="E6" s="4"/>
      <c r="F6" t="s">
        <v>3</v>
      </c>
    </row>
    <row r="7" spans="2:6">
      <c r="B7" s="2"/>
      <c r="C7" s="3" t="s">
        <v>4</v>
      </c>
      <c r="D7" s="21" t="s">
        <v>278</v>
      </c>
      <c r="E7" s="4"/>
      <c r="F7" s="24" t="s">
        <v>279</v>
      </c>
    </row>
    <row r="8" spans="2:6">
      <c r="B8" s="2"/>
      <c r="C8" s="3" t="s">
        <v>6</v>
      </c>
      <c r="D8" s="21" t="s">
        <v>280</v>
      </c>
      <c r="E8" s="4"/>
      <c r="F8" s="24"/>
    </row>
    <row r="9" spans="2:6">
      <c r="C9" s="3" t="s">
        <v>7</v>
      </c>
      <c r="D9" s="21">
        <v>20</v>
      </c>
      <c r="E9" s="4"/>
    </row>
    <row r="10" spans="2:6">
      <c r="C10" s="3" t="s">
        <v>8</v>
      </c>
      <c r="D10" s="21">
        <v>2</v>
      </c>
      <c r="E10" s="4"/>
      <c r="F10" t="s">
        <v>9</v>
      </c>
    </row>
    <row r="11" spans="2:6">
      <c r="C11" s="3" t="s">
        <v>10</v>
      </c>
      <c r="D11" s="21">
        <v>5</v>
      </c>
      <c r="E11" s="4"/>
      <c r="F11" s="24" t="s">
        <v>281</v>
      </c>
    </row>
    <row r="12" spans="2:6">
      <c r="C12" s="3" t="s">
        <v>11</v>
      </c>
      <c r="D12" s="21" t="s">
        <v>282</v>
      </c>
      <c r="E12" s="4"/>
      <c r="F12" s="24" t="s">
        <v>283</v>
      </c>
    </row>
    <row r="13" spans="2:6">
      <c r="C13" s="3" t="s">
        <v>12</v>
      </c>
      <c r="D13" s="21" t="s">
        <v>172</v>
      </c>
      <c r="E13" s="4"/>
      <c r="F13" s="24" t="s">
        <v>284</v>
      </c>
    </row>
    <row r="14" spans="2:6">
      <c r="C14" s="3" t="s">
        <v>13</v>
      </c>
      <c r="D14" s="21" t="s">
        <v>181</v>
      </c>
      <c r="E14" s="4"/>
    </row>
    <row r="15" spans="2:6">
      <c r="C15" s="3"/>
      <c r="D15" s="4"/>
      <c r="E15" s="4"/>
      <c r="F15" t="s">
        <v>14</v>
      </c>
    </row>
    <row r="16" spans="2:6">
      <c r="C16" s="3"/>
      <c r="D16" s="4"/>
      <c r="E16" s="4"/>
      <c r="F16" s="24" t="s">
        <v>285</v>
      </c>
    </row>
    <row r="17" spans="3:6" ht="18.75">
      <c r="C17" s="5" t="s">
        <v>15</v>
      </c>
      <c r="D17" s="4"/>
      <c r="E17" s="4"/>
      <c r="F17" s="24"/>
    </row>
    <row r="18" spans="3:6">
      <c r="C18" s="3" t="s">
        <v>16</v>
      </c>
      <c r="D18" s="1" t="s">
        <v>15</v>
      </c>
      <c r="E18" s="4"/>
      <c r="F18" s="24"/>
    </row>
    <row r="19" spans="3:6">
      <c r="C19" s="3" t="s">
        <v>17</v>
      </c>
      <c r="D19" s="22">
        <v>34</v>
      </c>
      <c r="E19" s="4"/>
      <c r="F19" s="24"/>
    </row>
    <row r="20" spans="3:6">
      <c r="C20" s="3" t="s">
        <v>18</v>
      </c>
      <c r="D20" s="22">
        <v>6</v>
      </c>
      <c r="E20" s="4"/>
      <c r="F20" s="24"/>
    </row>
    <row r="21" spans="3:6">
      <c r="C21" s="3" t="s">
        <v>19</v>
      </c>
      <c r="D21" s="22"/>
      <c r="E21" s="4"/>
    </row>
    <row r="22" spans="3:6">
      <c r="C22" s="3" t="s">
        <v>20</v>
      </c>
      <c r="D22" s="22">
        <v>2</v>
      </c>
      <c r="E22" s="4"/>
      <c r="F22" t="s">
        <v>21</v>
      </c>
    </row>
    <row r="23" spans="3:6">
      <c r="C23" s="3" t="s">
        <v>22</v>
      </c>
      <c r="D23" s="22"/>
      <c r="E23" s="4"/>
      <c r="F23" s="24"/>
    </row>
    <row r="24" spans="3:6">
      <c r="C24" s="3" t="s">
        <v>23</v>
      </c>
      <c r="D24" s="1">
        <f>SUM(D19:D23)</f>
        <v>42</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21" t="s">
        <v>286</v>
      </c>
      <c r="E29" s="4"/>
      <c r="F29" s="24"/>
    </row>
    <row r="30" spans="3:6" ht="45">
      <c r="C30" s="3" t="s">
        <v>29</v>
      </c>
      <c r="D30" s="21" t="s">
        <v>287</v>
      </c>
      <c r="E30" s="4"/>
      <c r="F30" s="24"/>
    </row>
    <row r="31" spans="3:6" ht="60">
      <c r="C31" s="3" t="s">
        <v>30</v>
      </c>
      <c r="D31" s="21" t="s">
        <v>288</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41</v>
      </c>
      <c r="E38" s="21" t="s">
        <v>42</v>
      </c>
      <c r="F38" s="21" t="s">
        <v>289</v>
      </c>
      <c r="G38" s="23">
        <v>0.5</v>
      </c>
      <c r="H38" s="21">
        <v>6</v>
      </c>
    </row>
    <row r="39" spans="3:8">
      <c r="C39" s="3" t="s">
        <v>44</v>
      </c>
      <c r="D39" s="21" t="s">
        <v>290</v>
      </c>
      <c r="E39" s="21" t="s">
        <v>291</v>
      </c>
      <c r="F39" s="21" t="s">
        <v>292</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28</v>
      </c>
      <c r="E48" s="24" t="s">
        <v>53</v>
      </c>
      <c r="F48" s="24" t="s">
        <v>54</v>
      </c>
    </row>
    <row r="49" spans="3:6">
      <c r="C49" s="25" t="s">
        <v>40</v>
      </c>
      <c r="D49" s="24" t="s">
        <v>29</v>
      </c>
      <c r="E49" s="24" t="s">
        <v>55</v>
      </c>
      <c r="F49" s="24" t="s">
        <v>56</v>
      </c>
    </row>
    <row r="50" spans="3:6">
      <c r="C50" s="25" t="s">
        <v>40</v>
      </c>
      <c r="D50" s="24" t="s">
        <v>29</v>
      </c>
      <c r="E50" s="24" t="s">
        <v>57</v>
      </c>
      <c r="F50" s="24" t="s">
        <v>58</v>
      </c>
    </row>
    <row r="51" spans="3:6">
      <c r="C51" s="25" t="s">
        <v>40</v>
      </c>
      <c r="D51" s="24" t="s">
        <v>30</v>
      </c>
      <c r="E51" s="24" t="s">
        <v>155</v>
      </c>
      <c r="F51" s="24" t="s">
        <v>157</v>
      </c>
    </row>
    <row r="52" spans="3:6">
      <c r="C52" s="25" t="s">
        <v>44</v>
      </c>
      <c r="D52" s="24" t="s">
        <v>29</v>
      </c>
      <c r="E52" s="24" t="s">
        <v>50</v>
      </c>
      <c r="F52" s="24" t="s">
        <v>52</v>
      </c>
    </row>
    <row r="53" spans="3:6">
      <c r="C53" s="25" t="s">
        <v>44</v>
      </c>
      <c r="D53" s="24" t="s">
        <v>29</v>
      </c>
      <c r="E53" s="24" t="s">
        <v>53</v>
      </c>
      <c r="F53" s="24" t="s">
        <v>54</v>
      </c>
    </row>
    <row r="54" spans="3:6">
      <c r="C54" s="25" t="s">
        <v>44</v>
      </c>
      <c r="D54" s="24" t="s">
        <v>30</v>
      </c>
      <c r="E54" s="24" t="s">
        <v>155</v>
      </c>
      <c r="F54" s="24" t="s">
        <v>156</v>
      </c>
    </row>
    <row r="55" spans="3:6">
      <c r="C55" s="25" t="s">
        <v>44</v>
      </c>
      <c r="D55" s="24" t="s">
        <v>30</v>
      </c>
      <c r="E55" s="24" t="s">
        <v>55</v>
      </c>
      <c r="F55" s="24" t="s">
        <v>293</v>
      </c>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294</v>
      </c>
      <c r="E71" s="21" t="s">
        <v>295</v>
      </c>
      <c r="F71" s="21"/>
    </row>
    <row r="72" spans="2:6">
      <c r="B72" s="7">
        <v>1</v>
      </c>
      <c r="C72" s="1">
        <v>2</v>
      </c>
      <c r="D72" s="21" t="s">
        <v>296</v>
      </c>
      <c r="E72" s="21" t="s">
        <v>297</v>
      </c>
      <c r="F72" s="21"/>
    </row>
    <row r="73" spans="2:6">
      <c r="B73" s="7">
        <v>1</v>
      </c>
      <c r="C73" s="1">
        <v>3</v>
      </c>
      <c r="D73" s="21" t="s">
        <v>298</v>
      </c>
      <c r="E73" s="21" t="s">
        <v>299</v>
      </c>
      <c r="F73" s="21"/>
    </row>
    <row r="74" spans="2:6">
      <c r="B74" s="7">
        <v>1</v>
      </c>
      <c r="C74" s="1">
        <v>4</v>
      </c>
      <c r="D74" s="21" t="s">
        <v>300</v>
      </c>
      <c r="E74" s="21" t="s">
        <v>301</v>
      </c>
      <c r="F74" s="21"/>
    </row>
    <row r="75" spans="2:6">
      <c r="B75" s="7">
        <v>1</v>
      </c>
      <c r="C75" s="1">
        <v>5</v>
      </c>
      <c r="D75" s="21" t="s">
        <v>302</v>
      </c>
      <c r="E75" s="21" t="s">
        <v>303</v>
      </c>
      <c r="F75" s="21"/>
    </row>
    <row r="76" spans="2:6">
      <c r="B76" s="7">
        <v>1</v>
      </c>
      <c r="C76" s="1">
        <v>6</v>
      </c>
      <c r="D76" s="21" t="s">
        <v>304</v>
      </c>
      <c r="E76" s="21" t="s">
        <v>305</v>
      </c>
      <c r="F76" s="21"/>
    </row>
    <row r="77" spans="2:6">
      <c r="B77" s="7">
        <v>1</v>
      </c>
      <c r="C77" s="1">
        <v>7</v>
      </c>
      <c r="D77" s="21"/>
      <c r="E77" s="21"/>
      <c r="F77" s="21"/>
    </row>
    <row r="78" spans="2:6">
      <c r="B78" s="7">
        <v>1</v>
      </c>
      <c r="C78" s="1">
        <v>8</v>
      </c>
      <c r="D78" s="21" t="s">
        <v>306</v>
      </c>
      <c r="E78" s="21"/>
      <c r="F78" s="21"/>
    </row>
    <row r="79" spans="2:6">
      <c r="B79" s="7">
        <v>1</v>
      </c>
      <c r="C79" s="1">
        <v>9</v>
      </c>
      <c r="D79" s="21" t="s">
        <v>307</v>
      </c>
      <c r="E79" s="21" t="s">
        <v>308</v>
      </c>
      <c r="F79" s="21"/>
    </row>
    <row r="80" spans="2:6">
      <c r="B80" s="7">
        <v>1</v>
      </c>
      <c r="C80" s="1">
        <v>10</v>
      </c>
      <c r="D80" s="21" t="s">
        <v>309</v>
      </c>
      <c r="E80" s="21" t="s">
        <v>308</v>
      </c>
      <c r="F80" s="21"/>
    </row>
    <row r="81" spans="2:6">
      <c r="B81" s="7">
        <v>1</v>
      </c>
      <c r="C81" s="1">
        <v>11</v>
      </c>
      <c r="D81" s="21" t="s">
        <v>310</v>
      </c>
      <c r="E81" s="21" t="s">
        <v>308</v>
      </c>
      <c r="F81" s="21"/>
    </row>
    <row r="82" spans="2:6">
      <c r="B82" s="7">
        <v>1</v>
      </c>
      <c r="C82" s="1">
        <v>12</v>
      </c>
      <c r="D82" s="21" t="s">
        <v>311</v>
      </c>
      <c r="E82" s="21" t="s">
        <v>308</v>
      </c>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phoneticPr fontId="2" type="noConversion"/>
  <dataValidations count="4">
    <dataValidation type="list" allowBlank="1" showInputMessage="1" showErrorMessage="1" sqref="F46:F66" xr:uid="{18E884D7-F12C-48DC-A53D-24BA4F0CF85C}">
      <formula1>INDIRECT(VLOOKUP($E46, SkillNameMap, 2, FALSE))</formula1>
    </dataValidation>
    <dataValidation type="list" allowBlank="1" showInputMessage="1" showErrorMessage="1" sqref="E38:E41" xr:uid="{A62A3AA1-D3B0-45A3-A998-2D56857427B0}">
      <formula1>INDIRECT("LISTAssess[Assessment Specific]")</formula1>
    </dataValidation>
    <dataValidation type="whole" showInputMessage="1" showErrorMessage="1" error="This is not a realistic number of contact hours please change" sqref="D19" xr:uid="{FBECA4FB-7A34-4FDD-80A9-474CB8B74418}">
      <formula1>0</formula1>
      <formula2>80</formula2>
    </dataValidation>
    <dataValidation type="whole" showInputMessage="1" showErrorMessage="1" error="This is not a realistic number of contact hours please reduce" sqref="D20:D23" xr:uid="{739D2576-B862-4853-8753-8DF65DD1B8E0}">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6"/>
  <dimension ref="B2:H94"/>
  <sheetViews>
    <sheetView showGridLines="0" topLeftCell="A13" zoomScale="85" zoomScaleNormal="85" workbookViewId="0">
      <selection activeCell="D7" sqref="D7"/>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5092SPS</v>
      </c>
      <c r="D2" s="20" t="str">
        <f>D8</f>
        <v>Physiological adaptations to exercise</v>
      </c>
    </row>
    <row r="3" spans="2:6">
      <c r="B3" s="1"/>
      <c r="C3" s="1"/>
    </row>
    <row r="4" spans="2:6">
      <c r="B4" s="2"/>
      <c r="C4" s="2"/>
    </row>
    <row r="5" spans="2:6" ht="18.75">
      <c r="B5" s="2"/>
      <c r="C5" s="5" t="s">
        <v>0</v>
      </c>
    </row>
    <row r="6" spans="2:6">
      <c r="B6" s="2"/>
      <c r="C6" s="3" t="s">
        <v>1</v>
      </c>
      <c r="D6" s="4" t="s">
        <v>2</v>
      </c>
      <c r="E6" s="4"/>
      <c r="F6" t="s">
        <v>3</v>
      </c>
    </row>
    <row r="7" spans="2:6">
      <c r="B7" s="2"/>
      <c r="C7" s="3" t="s">
        <v>4</v>
      </c>
      <c r="D7" s="21" t="s">
        <v>312</v>
      </c>
      <c r="E7" s="4"/>
      <c r="F7" s="24"/>
    </row>
    <row r="8" spans="2:6" ht="60">
      <c r="B8" s="2"/>
      <c r="C8" s="3" t="s">
        <v>6</v>
      </c>
      <c r="D8" s="21" t="s">
        <v>313</v>
      </c>
      <c r="E8" s="4"/>
      <c r="F8" s="48" t="s">
        <v>314</v>
      </c>
    </row>
    <row r="9" spans="2:6">
      <c r="C9" s="3" t="s">
        <v>7</v>
      </c>
      <c r="D9" s="21">
        <v>20</v>
      </c>
      <c r="E9" s="4"/>
    </row>
    <row r="10" spans="2:6">
      <c r="C10" s="3" t="s">
        <v>8</v>
      </c>
      <c r="D10" s="21">
        <v>2</v>
      </c>
      <c r="E10" s="4"/>
      <c r="F10" t="s">
        <v>9</v>
      </c>
    </row>
    <row r="11" spans="2:6" ht="45">
      <c r="C11" s="3" t="s">
        <v>10</v>
      </c>
      <c r="D11" s="21">
        <v>5</v>
      </c>
      <c r="E11" s="4"/>
      <c r="F11" s="32" t="s">
        <v>315</v>
      </c>
    </row>
    <row r="12" spans="2:6" ht="45">
      <c r="C12" s="3" t="s">
        <v>11</v>
      </c>
      <c r="D12" s="21" t="s">
        <v>316</v>
      </c>
      <c r="E12" s="4"/>
      <c r="F12" s="32" t="s">
        <v>317</v>
      </c>
    </row>
    <row r="13" spans="2:6" ht="30">
      <c r="C13" s="3" t="s">
        <v>12</v>
      </c>
      <c r="D13" s="21" t="s">
        <v>146</v>
      </c>
      <c r="E13" s="4"/>
      <c r="F13" s="32" t="s">
        <v>318</v>
      </c>
    </row>
    <row r="14" spans="2:6">
      <c r="C14" s="3" t="s">
        <v>13</v>
      </c>
      <c r="D14" s="21" t="s">
        <v>236</v>
      </c>
      <c r="E14" s="4"/>
    </row>
    <row r="15" spans="2:6">
      <c r="C15" s="3"/>
      <c r="D15" s="4"/>
      <c r="E15" s="4"/>
      <c r="F15" t="s">
        <v>14</v>
      </c>
    </row>
    <row r="16" spans="2:6" ht="180">
      <c r="C16" s="3"/>
      <c r="D16" s="4"/>
      <c r="E16" s="4"/>
      <c r="F16" s="32" t="s">
        <v>319</v>
      </c>
    </row>
    <row r="17" spans="3:6" ht="18.75">
      <c r="C17" s="5" t="s">
        <v>15</v>
      </c>
      <c r="D17" s="4"/>
      <c r="E17" s="4"/>
      <c r="F17" s="24"/>
    </row>
    <row r="18" spans="3:6">
      <c r="C18" s="3" t="s">
        <v>16</v>
      </c>
      <c r="D18" s="1" t="s">
        <v>15</v>
      </c>
      <c r="E18" s="4"/>
      <c r="F18" s="24"/>
    </row>
    <row r="19" spans="3:6">
      <c r="C19" s="3" t="s">
        <v>17</v>
      </c>
      <c r="D19" s="22">
        <v>16</v>
      </c>
      <c r="E19" s="4"/>
      <c r="F19" s="24"/>
    </row>
    <row r="20" spans="3:6">
      <c r="C20" s="3" t="s">
        <v>18</v>
      </c>
      <c r="D20" s="22">
        <v>5</v>
      </c>
      <c r="E20" s="4"/>
      <c r="F20" s="24"/>
    </row>
    <row r="21" spans="3:6">
      <c r="C21" s="3" t="s">
        <v>19</v>
      </c>
      <c r="D21" s="22">
        <v>6</v>
      </c>
      <c r="E21" s="4"/>
    </row>
    <row r="22" spans="3:6">
      <c r="C22" s="3" t="s">
        <v>20</v>
      </c>
      <c r="D22" s="22">
        <v>7</v>
      </c>
      <c r="E22" s="4"/>
      <c r="F22" t="s">
        <v>21</v>
      </c>
    </row>
    <row r="23" spans="3:6">
      <c r="C23" s="3" t="s">
        <v>22</v>
      </c>
      <c r="D23" s="22">
        <v>6</v>
      </c>
      <c r="E23" s="4"/>
      <c r="F23" s="24"/>
    </row>
    <row r="24" spans="3:6">
      <c r="C24" s="3" t="s">
        <v>23</v>
      </c>
      <c r="D24" s="1">
        <f>SUM(D19:D23)</f>
        <v>40</v>
      </c>
      <c r="E24" s="4"/>
      <c r="F24" s="24"/>
    </row>
    <row r="25" spans="3:6">
      <c r="F25" s="24"/>
    </row>
    <row r="26" spans="3:6">
      <c r="F26" s="24"/>
    </row>
    <row r="27" spans="3:6" ht="18.75">
      <c r="C27" s="5" t="s">
        <v>24</v>
      </c>
      <c r="D27" s="12" t="s">
        <v>25</v>
      </c>
      <c r="F27" s="24"/>
    </row>
    <row r="28" spans="3:6">
      <c r="C28" s="3" t="s">
        <v>26</v>
      </c>
      <c r="D28" s="3" t="s">
        <v>27</v>
      </c>
      <c r="E28" s="3"/>
      <c r="F28" s="24"/>
    </row>
    <row r="29" spans="3:6" ht="45">
      <c r="C29" s="3" t="s">
        <v>28</v>
      </c>
      <c r="D29" s="49" t="s">
        <v>320</v>
      </c>
      <c r="E29" s="4"/>
      <c r="F29" s="24"/>
    </row>
    <row r="30" spans="3:6" ht="60">
      <c r="C30" s="3" t="s">
        <v>29</v>
      </c>
      <c r="D30" s="48" t="s">
        <v>321</v>
      </c>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45">
      <c r="C38" s="3" t="s">
        <v>40</v>
      </c>
      <c r="D38" s="21" t="s">
        <v>290</v>
      </c>
      <c r="E38" s="21" t="s">
        <v>186</v>
      </c>
      <c r="F38" s="21" t="s">
        <v>322</v>
      </c>
      <c r="G38" s="23">
        <v>0.5</v>
      </c>
      <c r="H38" s="21">
        <v>8</v>
      </c>
    </row>
    <row r="39" spans="3:8" ht="45">
      <c r="C39" s="3" t="s">
        <v>44</v>
      </c>
      <c r="D39" s="21" t="s">
        <v>41</v>
      </c>
      <c r="E39" s="21" t="s">
        <v>42</v>
      </c>
      <c r="F39" s="21" t="s">
        <v>323</v>
      </c>
      <c r="G39" s="23">
        <v>0.5</v>
      </c>
      <c r="H39" s="21" t="s">
        <v>324</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52</v>
      </c>
    </row>
    <row r="47" spans="3:8">
      <c r="C47" s="25" t="s">
        <v>40</v>
      </c>
      <c r="D47" s="24" t="s">
        <v>28</v>
      </c>
      <c r="E47" s="24" t="s">
        <v>50</v>
      </c>
      <c r="F47" s="24" t="s">
        <v>189</v>
      </c>
    </row>
    <row r="48" spans="3:8">
      <c r="C48" s="25" t="s">
        <v>40</v>
      </c>
      <c r="D48" s="24" t="s">
        <v>28</v>
      </c>
      <c r="E48" s="24" t="s">
        <v>57</v>
      </c>
      <c r="F48" s="24" t="s">
        <v>78</v>
      </c>
    </row>
    <row r="49" spans="3:6">
      <c r="C49" s="25" t="s">
        <v>40</v>
      </c>
      <c r="D49" s="24" t="s">
        <v>28</v>
      </c>
      <c r="E49" s="24" t="s">
        <v>155</v>
      </c>
      <c r="F49" s="24" t="s">
        <v>157</v>
      </c>
    </row>
    <row r="50" spans="3:6">
      <c r="C50" s="25" t="s">
        <v>40</v>
      </c>
      <c r="D50" s="24" t="s">
        <v>28</v>
      </c>
      <c r="E50" s="24" t="s">
        <v>55</v>
      </c>
      <c r="F50" s="24" t="s">
        <v>293</v>
      </c>
    </row>
    <row r="51" spans="3:6">
      <c r="C51" s="25" t="s">
        <v>44</v>
      </c>
      <c r="D51" s="24" t="s">
        <v>29</v>
      </c>
      <c r="E51" s="24" t="s">
        <v>50</v>
      </c>
      <c r="F51" s="24" t="s">
        <v>325</v>
      </c>
    </row>
    <row r="52" spans="3:6">
      <c r="C52" s="25" t="s">
        <v>44</v>
      </c>
      <c r="D52" s="24" t="s">
        <v>29</v>
      </c>
      <c r="E52" s="24" t="s">
        <v>55</v>
      </c>
      <c r="F52" s="24" t="s">
        <v>56</v>
      </c>
    </row>
    <row r="53" spans="3:6">
      <c r="C53" s="25" t="s">
        <v>44</v>
      </c>
      <c r="D53" s="24" t="s">
        <v>29</v>
      </c>
      <c r="E53" s="24" t="s">
        <v>55</v>
      </c>
      <c r="F53" s="24" t="s">
        <v>326</v>
      </c>
    </row>
    <row r="54" spans="3:6">
      <c r="C54" s="25" t="s">
        <v>44</v>
      </c>
      <c r="D54" s="24" t="s">
        <v>29</v>
      </c>
      <c r="E54" s="24" t="s">
        <v>105</v>
      </c>
      <c r="F54" s="24" t="s">
        <v>248</v>
      </c>
    </row>
    <row r="55" spans="3:6">
      <c r="C55" s="25" t="s">
        <v>44</v>
      </c>
      <c r="D55" s="24" t="s">
        <v>29</v>
      </c>
      <c r="E55" s="24" t="s">
        <v>155</v>
      </c>
      <c r="F55" s="24" t="s">
        <v>327</v>
      </c>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t="s">
        <v>328</v>
      </c>
      <c r="E83" s="21" t="s">
        <v>329</v>
      </c>
      <c r="F83" s="61" t="s">
        <v>330</v>
      </c>
    </row>
    <row r="84" spans="2:6" ht="30">
      <c r="B84" s="7">
        <v>2</v>
      </c>
      <c r="C84" s="1">
        <v>2</v>
      </c>
      <c r="D84" s="21" t="s">
        <v>331</v>
      </c>
      <c r="E84" s="21" t="s">
        <v>332</v>
      </c>
      <c r="F84" s="61" t="s">
        <v>333</v>
      </c>
    </row>
    <row r="85" spans="2:6" ht="30">
      <c r="B85" s="7">
        <v>2</v>
      </c>
      <c r="C85" s="1">
        <v>3</v>
      </c>
      <c r="D85" s="21" t="s">
        <v>334</v>
      </c>
      <c r="E85" s="21" t="s">
        <v>335</v>
      </c>
      <c r="F85" s="61" t="s">
        <v>336</v>
      </c>
    </row>
    <row r="86" spans="2:6" ht="30">
      <c r="B86" s="7">
        <v>2</v>
      </c>
      <c r="C86" s="1">
        <v>4</v>
      </c>
      <c r="D86" s="21" t="s">
        <v>337</v>
      </c>
      <c r="E86" s="21" t="s">
        <v>338</v>
      </c>
      <c r="F86" s="21" t="s">
        <v>339</v>
      </c>
    </row>
    <row r="87" spans="2:6" ht="30">
      <c r="B87" s="7">
        <v>2</v>
      </c>
      <c r="C87" s="1">
        <v>5</v>
      </c>
      <c r="D87" s="21" t="s">
        <v>340</v>
      </c>
      <c r="E87" s="21" t="s">
        <v>341</v>
      </c>
      <c r="F87" s="21" t="s">
        <v>342</v>
      </c>
    </row>
    <row r="88" spans="2:6" ht="30">
      <c r="B88" s="7">
        <v>2</v>
      </c>
      <c r="C88" s="1">
        <v>6</v>
      </c>
      <c r="D88" s="21" t="s">
        <v>343</v>
      </c>
      <c r="E88" s="21" t="s">
        <v>344</v>
      </c>
      <c r="F88" s="21" t="s">
        <v>345</v>
      </c>
    </row>
    <row r="89" spans="2:6">
      <c r="B89" s="7">
        <v>2</v>
      </c>
      <c r="C89" s="1">
        <v>7</v>
      </c>
      <c r="D89" s="21" t="s">
        <v>346</v>
      </c>
      <c r="E89" s="21"/>
      <c r="F89" s="21"/>
    </row>
    <row r="90" spans="2:6" ht="30">
      <c r="B90" s="7">
        <v>2</v>
      </c>
      <c r="C90" s="1">
        <v>8</v>
      </c>
      <c r="D90" s="21" t="s">
        <v>347</v>
      </c>
      <c r="E90" s="21" t="s">
        <v>348</v>
      </c>
      <c r="F90" s="21"/>
    </row>
    <row r="91" spans="2:6" ht="30">
      <c r="B91" s="7">
        <v>2</v>
      </c>
      <c r="C91" s="1">
        <v>9</v>
      </c>
      <c r="D91" s="21" t="s">
        <v>349</v>
      </c>
      <c r="E91" s="21" t="s">
        <v>350</v>
      </c>
      <c r="F91" s="47" t="s">
        <v>351</v>
      </c>
    </row>
    <row r="92" spans="2:6" ht="30">
      <c r="B92" s="7">
        <v>2</v>
      </c>
      <c r="C92" s="1">
        <v>10</v>
      </c>
      <c r="D92" s="21" t="s">
        <v>352</v>
      </c>
      <c r="E92" s="21" t="s">
        <v>353</v>
      </c>
      <c r="F92" s="21" t="s">
        <v>354</v>
      </c>
    </row>
    <row r="93" spans="2:6" ht="45">
      <c r="B93" s="7">
        <v>2</v>
      </c>
      <c r="C93" s="1">
        <v>11</v>
      </c>
      <c r="D93" s="21" t="s">
        <v>355</v>
      </c>
      <c r="E93" s="21" t="s">
        <v>356</v>
      </c>
      <c r="F93" s="21"/>
    </row>
    <row r="94" spans="2:6" ht="30">
      <c r="B94" s="7">
        <v>2</v>
      </c>
      <c r="C94" s="1">
        <v>12</v>
      </c>
      <c r="D94" s="21" t="s">
        <v>357</v>
      </c>
      <c r="E94" s="21" t="s">
        <v>358</v>
      </c>
      <c r="F94" s="61" t="s">
        <v>359</v>
      </c>
    </row>
  </sheetData>
  <sheetProtection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9CE35-482D-49B2-A7F4-55CDB527A6FE}">
  <sheetPr codeName="Sheet23"/>
  <dimension ref="B2:H95"/>
  <sheetViews>
    <sheetView showGridLines="0" topLeftCell="A69" zoomScale="85" zoomScaleNormal="85" workbookViewId="0">
      <selection activeCell="F78" sqref="F78"/>
    </sheetView>
  </sheetViews>
  <sheetFormatPr defaultColWidth="8.85546875" defaultRowHeight="15"/>
  <cols>
    <col min="3" max="3" width="33.28515625" customWidth="1"/>
    <col min="4" max="4" width="55.140625" customWidth="1"/>
    <col min="5" max="5" width="67.28515625" customWidth="1"/>
    <col min="6" max="6" width="63.7109375" customWidth="1"/>
    <col min="7" max="7" width="12.42578125" customWidth="1"/>
    <col min="8" max="8" width="15.42578125" customWidth="1"/>
    <col min="9" max="9" width="14.7109375" customWidth="1"/>
  </cols>
  <sheetData>
    <row r="2" spans="2:6" ht="26.25">
      <c r="C2" s="20" t="str">
        <f>D7</f>
        <v>5101SPS</v>
      </c>
      <c r="D2" s="20" t="str">
        <f>D8</f>
        <v>Professional Practice in Sport and Exercise Science 2</v>
      </c>
    </row>
    <row r="3" spans="2:6">
      <c r="B3" s="1"/>
      <c r="C3" s="1"/>
    </row>
    <row r="4" spans="2:6">
      <c r="B4" s="2"/>
      <c r="C4" s="2"/>
    </row>
    <row r="5" spans="2:6" ht="18.75">
      <c r="B5" s="2"/>
      <c r="C5" s="5" t="s">
        <v>0</v>
      </c>
    </row>
    <row r="6" spans="2:6">
      <c r="B6" s="2"/>
      <c r="C6" s="3" t="s">
        <v>1</v>
      </c>
      <c r="D6" s="4" t="s">
        <v>2</v>
      </c>
      <c r="E6" s="4"/>
      <c r="F6" t="s">
        <v>3</v>
      </c>
    </row>
    <row r="7" spans="2:6" ht="87">
      <c r="B7" s="2"/>
      <c r="C7" s="3" t="s">
        <v>4</v>
      </c>
      <c r="D7" s="21" t="s">
        <v>360</v>
      </c>
      <c r="E7" s="4"/>
      <c r="F7" s="32" t="s">
        <v>361</v>
      </c>
    </row>
    <row r="8" spans="2:6">
      <c r="B8" s="2"/>
      <c r="C8" s="3" t="s">
        <v>6</v>
      </c>
      <c r="D8" s="21" t="s">
        <v>362</v>
      </c>
      <c r="E8" s="4"/>
      <c r="F8" s="24"/>
    </row>
    <row r="9" spans="2:6">
      <c r="C9" s="3" t="s">
        <v>7</v>
      </c>
      <c r="D9" s="21">
        <v>20</v>
      </c>
      <c r="E9" s="4"/>
    </row>
    <row r="10" spans="2:6">
      <c r="C10" s="3" t="s">
        <v>8</v>
      </c>
      <c r="D10" s="21">
        <v>1</v>
      </c>
      <c r="E10" s="4"/>
      <c r="F10" t="s">
        <v>9</v>
      </c>
    </row>
    <row r="11" spans="2:6">
      <c r="C11" s="3" t="s">
        <v>10</v>
      </c>
      <c r="D11" s="21">
        <v>5</v>
      </c>
      <c r="E11" s="4"/>
      <c r="F11" s="24" t="s">
        <v>363</v>
      </c>
    </row>
    <row r="12" spans="2:6">
      <c r="C12" s="3" t="s">
        <v>11</v>
      </c>
      <c r="D12" s="21"/>
      <c r="E12" s="4"/>
      <c r="F12" s="32" t="s">
        <v>364</v>
      </c>
    </row>
    <row r="13" spans="2:6">
      <c r="C13" s="3" t="s">
        <v>12</v>
      </c>
      <c r="D13" s="21" t="s">
        <v>85</v>
      </c>
      <c r="E13" s="4"/>
      <c r="F13" s="24" t="s">
        <v>365</v>
      </c>
    </row>
    <row r="14" spans="2:6">
      <c r="C14" s="3" t="s">
        <v>13</v>
      </c>
      <c r="D14" s="21" t="s">
        <v>86</v>
      </c>
      <c r="E14" s="4"/>
    </row>
    <row r="15" spans="2:6">
      <c r="C15" s="3"/>
      <c r="D15" s="4"/>
      <c r="E15" s="4"/>
      <c r="F15" t="s">
        <v>14</v>
      </c>
    </row>
    <row r="16" spans="2:6" ht="115.5">
      <c r="C16" s="3"/>
      <c r="D16" s="4"/>
      <c r="E16" s="4"/>
      <c r="F16" s="83" t="s">
        <v>366</v>
      </c>
    </row>
    <row r="17" spans="3:6" ht="18">
      <c r="C17" s="5" t="s">
        <v>15</v>
      </c>
      <c r="D17" s="4"/>
      <c r="E17" s="4"/>
      <c r="F17" s="32"/>
    </row>
    <row r="18" spans="3:6">
      <c r="C18" s="3" t="s">
        <v>16</v>
      </c>
      <c r="D18" s="1" t="s">
        <v>15</v>
      </c>
      <c r="E18" s="4"/>
      <c r="F18" s="32"/>
    </row>
    <row r="19" spans="3:6">
      <c r="C19" s="3" t="s">
        <v>17</v>
      </c>
      <c r="D19" s="22">
        <v>22</v>
      </c>
      <c r="E19" s="4"/>
      <c r="F19" s="32"/>
    </row>
    <row r="20" spans="3:6">
      <c r="C20" s="3" t="s">
        <v>18</v>
      </c>
      <c r="D20" s="22">
        <v>12</v>
      </c>
      <c r="E20" s="4"/>
      <c r="F20" s="32"/>
    </row>
    <row r="21" spans="3:6">
      <c r="C21" s="3" t="s">
        <v>19</v>
      </c>
      <c r="D21" s="22">
        <v>0</v>
      </c>
      <c r="E21" s="4"/>
    </row>
    <row r="22" spans="3:6">
      <c r="C22" s="3" t="s">
        <v>20</v>
      </c>
      <c r="D22" s="22">
        <v>0</v>
      </c>
      <c r="E22" s="4"/>
      <c r="F22" t="s">
        <v>21</v>
      </c>
    </row>
    <row r="23" spans="3:6">
      <c r="C23" s="3" t="s">
        <v>22</v>
      </c>
      <c r="D23" s="22">
        <v>0</v>
      </c>
      <c r="E23" s="4"/>
      <c r="F23" s="24"/>
    </row>
    <row r="24" spans="3:6">
      <c r="C24" s="3" t="s">
        <v>23</v>
      </c>
      <c r="D24" s="1">
        <f>SUM(D19:D23)</f>
        <v>34</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84" t="s">
        <v>367</v>
      </c>
      <c r="E29" s="4"/>
      <c r="F29" s="24"/>
    </row>
    <row r="30" spans="3:6">
      <c r="C30" s="3" t="s">
        <v>29</v>
      </c>
      <c r="D30" s="84" t="s">
        <v>368</v>
      </c>
      <c r="E30" s="4"/>
      <c r="F30" s="24"/>
    </row>
    <row r="31" spans="3:6" ht="41.25">
      <c r="C31" s="3" t="s">
        <v>30</v>
      </c>
      <c r="D31" s="85" t="s">
        <v>369</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29.25">
      <c r="C38" s="3" t="s">
        <v>40</v>
      </c>
      <c r="D38" s="21" t="s">
        <v>96</v>
      </c>
      <c r="E38" s="21"/>
      <c r="F38" s="21" t="s">
        <v>370</v>
      </c>
      <c r="G38" s="23">
        <v>0.6</v>
      </c>
      <c r="H38" s="21">
        <v>6</v>
      </c>
    </row>
    <row r="39" spans="3:8" ht="43.5">
      <c r="C39" s="3" t="s">
        <v>44</v>
      </c>
      <c r="D39" s="21" t="s">
        <v>41</v>
      </c>
      <c r="E39" s="21"/>
      <c r="F39" s="52" t="s">
        <v>371</v>
      </c>
      <c r="G39" s="23">
        <v>0.4</v>
      </c>
      <c r="H39" s="21">
        <v>12</v>
      </c>
    </row>
    <row r="40" spans="3:8">
      <c r="C40" s="3" t="s">
        <v>45</v>
      </c>
      <c r="D40" s="24"/>
      <c r="E40" s="24"/>
      <c r="F40" s="32"/>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189</v>
      </c>
    </row>
    <row r="47" spans="3:8">
      <c r="C47" s="25" t="s">
        <v>40</v>
      </c>
      <c r="D47" s="24" t="s">
        <v>28</v>
      </c>
      <c r="E47" s="24" t="s">
        <v>57</v>
      </c>
      <c r="F47" s="24" t="s">
        <v>78</v>
      </c>
    </row>
    <row r="48" spans="3:8">
      <c r="C48" s="25" t="s">
        <v>40</v>
      </c>
      <c r="D48" s="24" t="s">
        <v>29</v>
      </c>
      <c r="E48" s="24" t="s">
        <v>99</v>
      </c>
      <c r="F48" s="24" t="s">
        <v>100</v>
      </c>
    </row>
    <row r="49" spans="3:6">
      <c r="C49" s="25" t="s">
        <v>40</v>
      </c>
      <c r="D49" s="24" t="s">
        <v>29</v>
      </c>
      <c r="E49" s="24" t="s">
        <v>99</v>
      </c>
      <c r="F49" s="24" t="s">
        <v>372</v>
      </c>
    </row>
    <row r="50" spans="3:6">
      <c r="C50" s="25" t="s">
        <v>40</v>
      </c>
      <c r="D50" s="24" t="s">
        <v>30</v>
      </c>
      <c r="E50" s="24" t="s">
        <v>53</v>
      </c>
      <c r="F50" s="24" t="s">
        <v>54</v>
      </c>
    </row>
    <row r="51" spans="3:6">
      <c r="C51" s="25" t="s">
        <v>44</v>
      </c>
      <c r="D51" s="24" t="s">
        <v>30</v>
      </c>
      <c r="E51" s="24" t="s">
        <v>155</v>
      </c>
      <c r="F51" s="24" t="s">
        <v>373</v>
      </c>
    </row>
    <row r="52" spans="3:6">
      <c r="C52" s="25" t="s">
        <v>44</v>
      </c>
      <c r="D52" s="24" t="s">
        <v>28</v>
      </c>
      <c r="E52" s="24" t="s">
        <v>55</v>
      </c>
      <c r="F52" s="24" t="s">
        <v>56</v>
      </c>
    </row>
    <row r="53" spans="3:6">
      <c r="C53" s="25" t="s">
        <v>44</v>
      </c>
      <c r="D53" s="24" t="s">
        <v>30</v>
      </c>
      <c r="E53" s="24" t="s">
        <v>105</v>
      </c>
      <c r="F53" s="24" t="s">
        <v>251</v>
      </c>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7" spans="2:6">
      <c r="C67" s="25"/>
      <c r="D67" s="24"/>
      <c r="E67" s="24"/>
      <c r="F67" s="24"/>
    </row>
    <row r="70" spans="2:6" ht="18.75">
      <c r="C70" s="5" t="s">
        <v>59</v>
      </c>
    </row>
    <row r="71" spans="2:6">
      <c r="B71" t="s">
        <v>60</v>
      </c>
      <c r="C71" s="1" t="s">
        <v>61</v>
      </c>
      <c r="D71" s="1" t="s">
        <v>62</v>
      </c>
      <c r="E71" s="1" t="s">
        <v>63</v>
      </c>
      <c r="F71" s="1" t="s">
        <v>64</v>
      </c>
    </row>
    <row r="72" spans="2:6">
      <c r="B72" s="7">
        <v>1</v>
      </c>
      <c r="C72" s="1">
        <v>1</v>
      </c>
      <c r="D72" s="21" t="s">
        <v>374</v>
      </c>
      <c r="E72" s="21" t="s">
        <v>18</v>
      </c>
      <c r="F72" s="21" t="s">
        <v>375</v>
      </c>
    </row>
    <row r="73" spans="2:6">
      <c r="B73" s="7">
        <v>1</v>
      </c>
      <c r="C73" s="1">
        <v>2</v>
      </c>
      <c r="D73" s="21" t="s">
        <v>376</v>
      </c>
      <c r="E73" s="21" t="s">
        <v>18</v>
      </c>
      <c r="F73" s="21" t="s">
        <v>375</v>
      </c>
    </row>
    <row r="74" spans="2:6">
      <c r="B74" s="7">
        <v>1</v>
      </c>
      <c r="C74" s="1">
        <v>3</v>
      </c>
      <c r="D74" s="21" t="s">
        <v>377</v>
      </c>
      <c r="E74" s="21" t="s">
        <v>18</v>
      </c>
      <c r="F74" s="21" t="s">
        <v>375</v>
      </c>
    </row>
    <row r="75" spans="2:6">
      <c r="B75" s="7">
        <v>1</v>
      </c>
      <c r="C75" s="1">
        <v>4</v>
      </c>
      <c r="D75" s="21" t="s">
        <v>378</v>
      </c>
      <c r="E75" s="21" t="s">
        <v>18</v>
      </c>
      <c r="F75" s="21" t="s">
        <v>375</v>
      </c>
    </row>
    <row r="76" spans="2:6">
      <c r="B76" s="7">
        <v>1</v>
      </c>
      <c r="C76" s="1">
        <v>5</v>
      </c>
      <c r="D76" s="21" t="s">
        <v>379</v>
      </c>
      <c r="E76" s="21" t="s">
        <v>18</v>
      </c>
      <c r="F76" s="21" t="s">
        <v>375</v>
      </c>
    </row>
    <row r="77" spans="2:6">
      <c r="B77" s="7">
        <v>1</v>
      </c>
      <c r="C77" s="1">
        <v>6</v>
      </c>
      <c r="D77" s="21" t="s">
        <v>380</v>
      </c>
      <c r="E77" s="21" t="s">
        <v>18</v>
      </c>
      <c r="F77" s="21" t="s">
        <v>375</v>
      </c>
    </row>
    <row r="78" spans="2:6">
      <c r="B78" s="7">
        <v>1</v>
      </c>
      <c r="C78" s="1">
        <v>7</v>
      </c>
      <c r="D78" s="21" t="s">
        <v>381</v>
      </c>
      <c r="E78" s="21" t="s">
        <v>18</v>
      </c>
      <c r="F78" s="21" t="s">
        <v>375</v>
      </c>
    </row>
    <row r="79" spans="2:6">
      <c r="B79" s="7">
        <v>1</v>
      </c>
      <c r="C79" s="1">
        <v>8</v>
      </c>
      <c r="D79" s="21" t="s">
        <v>382</v>
      </c>
      <c r="E79" s="21" t="s">
        <v>18</v>
      </c>
      <c r="F79" s="21" t="s">
        <v>375</v>
      </c>
    </row>
    <row r="80" spans="2:6">
      <c r="B80" s="7">
        <v>1</v>
      </c>
      <c r="C80" s="1">
        <v>9</v>
      </c>
      <c r="D80" s="21" t="s">
        <v>383</v>
      </c>
      <c r="E80" s="21" t="s">
        <v>18</v>
      </c>
      <c r="F80" s="21" t="s">
        <v>375</v>
      </c>
    </row>
    <row r="81" spans="2:6">
      <c r="B81" s="7">
        <v>1</v>
      </c>
      <c r="C81" s="1">
        <v>10</v>
      </c>
      <c r="D81" s="21" t="s">
        <v>384</v>
      </c>
      <c r="E81" s="21" t="s">
        <v>18</v>
      </c>
      <c r="F81" s="21" t="s">
        <v>375</v>
      </c>
    </row>
    <row r="82" spans="2:6">
      <c r="B82" s="7">
        <v>1</v>
      </c>
      <c r="C82" s="1">
        <v>11</v>
      </c>
      <c r="D82" s="21" t="s">
        <v>385</v>
      </c>
      <c r="E82" s="21" t="s">
        <v>18</v>
      </c>
      <c r="F82" s="21" t="s">
        <v>375</v>
      </c>
    </row>
    <row r="83" spans="2:6">
      <c r="B83" s="7">
        <v>1</v>
      </c>
      <c r="C83" s="1">
        <v>12</v>
      </c>
      <c r="D83" s="21"/>
      <c r="E83" s="21"/>
      <c r="F83" s="21"/>
    </row>
    <row r="84" spans="2:6">
      <c r="B84" s="7">
        <v>2</v>
      </c>
      <c r="C84" s="1">
        <v>1</v>
      </c>
      <c r="D84" s="21"/>
      <c r="E84" s="21"/>
      <c r="F84" s="21"/>
    </row>
    <row r="85" spans="2:6">
      <c r="B85" s="7">
        <v>2</v>
      </c>
      <c r="C85" s="1">
        <v>2</v>
      </c>
      <c r="D85" s="21"/>
      <c r="E85" s="21"/>
      <c r="F85" s="21"/>
    </row>
    <row r="86" spans="2:6">
      <c r="B86" s="7">
        <v>2</v>
      </c>
      <c r="C86" s="1">
        <v>3</v>
      </c>
      <c r="D86" s="21"/>
      <c r="E86" s="21"/>
      <c r="F86" s="21"/>
    </row>
    <row r="87" spans="2:6">
      <c r="B87" s="7">
        <v>2</v>
      </c>
      <c r="C87" s="1">
        <v>4</v>
      </c>
      <c r="D87" s="21"/>
      <c r="E87" s="21"/>
      <c r="F87" s="21"/>
    </row>
    <row r="88" spans="2:6">
      <c r="B88" s="7">
        <v>2</v>
      </c>
      <c r="C88" s="1">
        <v>5</v>
      </c>
      <c r="D88" s="21"/>
      <c r="E88" s="21"/>
      <c r="F88" s="21"/>
    </row>
    <row r="89" spans="2:6">
      <c r="B89" s="7">
        <v>2</v>
      </c>
      <c r="C89" s="1">
        <v>6</v>
      </c>
      <c r="D89" s="21"/>
      <c r="E89" s="21"/>
      <c r="F89" s="21"/>
    </row>
    <row r="90" spans="2:6">
      <c r="B90" s="7">
        <v>2</v>
      </c>
      <c r="C90" s="1">
        <v>7</v>
      </c>
      <c r="D90" s="21"/>
      <c r="E90" s="21"/>
      <c r="F90" s="21"/>
    </row>
    <row r="91" spans="2:6">
      <c r="B91" s="7">
        <v>2</v>
      </c>
      <c r="C91" s="1">
        <v>8</v>
      </c>
      <c r="D91" s="21"/>
      <c r="E91" s="21"/>
      <c r="F91" s="21"/>
    </row>
    <row r="92" spans="2:6">
      <c r="B92" s="7">
        <v>2</v>
      </c>
      <c r="C92" s="1">
        <v>9</v>
      </c>
      <c r="D92" s="21"/>
      <c r="E92" s="21"/>
      <c r="F92" s="21"/>
    </row>
    <row r="93" spans="2:6">
      <c r="B93" s="7">
        <v>2</v>
      </c>
      <c r="C93" s="1">
        <v>10</v>
      </c>
      <c r="D93" s="21"/>
      <c r="E93" s="21"/>
      <c r="F93" s="21"/>
    </row>
    <row r="94" spans="2:6">
      <c r="B94" s="7">
        <v>2</v>
      </c>
      <c r="C94" s="1">
        <v>11</v>
      </c>
      <c r="D94" s="21"/>
      <c r="E94" s="21"/>
      <c r="F94" s="21"/>
    </row>
    <row r="95" spans="2:6">
      <c r="B95" s="7">
        <v>2</v>
      </c>
      <c r="C95" s="1">
        <v>12</v>
      </c>
      <c r="D95" s="21"/>
      <c r="E95" s="21"/>
      <c r="F95" s="21"/>
    </row>
  </sheetData>
  <sheetProtection selectLockedCells="1" sort="0" autoFilter="0" pivotTables="0"/>
  <dataValidations count="4">
    <dataValidation type="list" allowBlank="1" showInputMessage="1" showErrorMessage="1" sqref="F46:F53 F55:F67" xr:uid="{D4416982-58EB-444B-9A31-B27A6DF0EE1F}">
      <formula1>INDIRECT(VLOOKUP($E46, SkillNameMap, 2, FALSE))</formula1>
    </dataValidation>
    <dataValidation type="whole" showInputMessage="1" showErrorMessage="1" error="This is not a realistic number of contact hours please reduce" sqref="D20:D23" xr:uid="{4D23FC23-F098-43D4-A312-2FFADDC9A3E9}">
      <formula1>0</formula1>
      <formula2>80</formula2>
    </dataValidation>
    <dataValidation type="whole" showInputMessage="1" showErrorMessage="1" error="This is not a realistic number of contact hours please change" sqref="D19" xr:uid="{F8046F38-862C-449D-BBE8-394153A8B087}">
      <formula1>0</formula1>
      <formula2>80</formula2>
    </dataValidation>
    <dataValidation type="list" allowBlank="1" showInputMessage="1" showErrorMessage="1" sqref="E38:E41" xr:uid="{C47D745F-9DA8-4E01-9BD6-736F3AF2A926}">
      <formula1>INDIRECT("LISTAssess[Assessment Specific]")</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B7AD50D-D83F-4FF0-8A6E-08E1458944D4}">
          <x14:formula1>
            <xm:f>LISTS!$E$7:$E$11</xm:f>
          </x14:formula1>
          <xm:sqref>D46:D53 D55:D67</xm:sqref>
        </x14:dataValidation>
        <x14:dataValidation type="list" allowBlank="1" showInputMessage="1" showErrorMessage="1" xr:uid="{6C49387A-3B2B-4A59-8085-7E9548B36300}">
          <x14:formula1>
            <xm:f>LISTS!$J$7:$J$16</xm:f>
          </x14:formula1>
          <xm:sqref>E46:E53 E55:E67</xm:sqref>
        </x14:dataValidation>
        <x14:dataValidation type="list" allowBlank="1" showInputMessage="1" showErrorMessage="1" xr:uid="{2000BD89-1C43-42A6-A8B2-7D7CD86956FD}">
          <x14:formula1>
            <xm:f>LISTS!$C$26:$C$37</xm:f>
          </x14:formula1>
          <xm:sqref>D14</xm:sqref>
        </x14:dataValidation>
        <x14:dataValidation type="list" allowBlank="1" showInputMessage="1" showErrorMessage="1" xr:uid="{53701699-E8C8-4683-8EAF-DF721821E5E2}">
          <x14:formula1>
            <xm:f>LISTS!$C$17:$C$22</xm:f>
          </x14:formula1>
          <xm:sqref>D13</xm:sqref>
        </x14:dataValidation>
        <x14:dataValidation type="list" allowBlank="1" showInputMessage="1" showErrorMessage="1" xr:uid="{5669D6A7-73E8-4EFD-B322-CEF76264B1E0}">
          <x14:formula1>
            <xm:f>LISTS!$C$7:$C$9</xm:f>
          </x14:formula1>
          <xm:sqref>D10</xm:sqref>
        </x14:dataValidation>
        <x14:dataValidation type="list" allowBlank="1" showInputMessage="1" showErrorMessage="1" xr:uid="{CFC4CF1F-0352-40A1-A20A-1BF81A6E67C3}">
          <x14:formula1>
            <xm:f>LISTS!$C$11:$C$15</xm:f>
          </x14:formula1>
          <xm:sqref>D11</xm:sqref>
        </x14:dataValidation>
        <x14:dataValidation type="list" allowBlank="1" showInputMessage="1" showErrorMessage="1" xr:uid="{F5484114-D0FD-491C-8A2C-ED82876F7420}">
          <x14:formula1>
            <xm:f>LISTS!$G$7:$G$11</xm:f>
          </x14:formula1>
          <xm:sqref>D38:D42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7"/>
  <dimension ref="B2:H95"/>
  <sheetViews>
    <sheetView showGridLines="0" topLeftCell="A43" zoomScale="85" zoomScaleNormal="85" workbookViewId="0">
      <selection activeCell="F16" sqref="F16"/>
    </sheetView>
  </sheetViews>
  <sheetFormatPr defaultColWidth="8.85546875" defaultRowHeight="15"/>
  <cols>
    <col min="3" max="3" width="33.28515625" customWidth="1"/>
    <col min="4" max="4" width="55.140625" customWidth="1"/>
    <col min="5" max="5" width="67.28515625" customWidth="1"/>
    <col min="6" max="6" width="63.7109375" customWidth="1"/>
    <col min="7" max="7" width="12.42578125" customWidth="1"/>
    <col min="8" max="8" width="15.42578125" customWidth="1"/>
    <col min="9" max="9" width="14.7109375" customWidth="1"/>
  </cols>
  <sheetData>
    <row r="2" spans="2:6" ht="26.25">
      <c r="C2" s="20" t="str">
        <f>D7</f>
        <v>5102SPS</v>
      </c>
      <c r="D2" s="20" t="str">
        <f>D8</f>
        <v>Influences and Assessment of Physical Activity and Sedentary Behaviour</v>
      </c>
    </row>
    <row r="3" spans="2:6">
      <c r="B3" s="1"/>
      <c r="C3" s="1"/>
    </row>
    <row r="4" spans="2:6">
      <c r="B4" s="2"/>
      <c r="C4" s="2"/>
    </row>
    <row r="5" spans="2:6" ht="18.75">
      <c r="B5" s="2"/>
      <c r="C5" s="5" t="s">
        <v>0</v>
      </c>
    </row>
    <row r="6" spans="2:6">
      <c r="B6" s="2"/>
      <c r="C6" s="3" t="s">
        <v>1</v>
      </c>
      <c r="D6" s="4" t="s">
        <v>2</v>
      </c>
      <c r="E6" s="4"/>
      <c r="F6" t="s">
        <v>3</v>
      </c>
    </row>
    <row r="7" spans="2:6" ht="135">
      <c r="B7" s="2"/>
      <c r="C7" s="3" t="s">
        <v>4</v>
      </c>
      <c r="D7" s="21" t="s">
        <v>386</v>
      </c>
      <c r="E7" s="4"/>
      <c r="F7" s="32" t="s">
        <v>387</v>
      </c>
    </row>
    <row r="8" spans="2:6" ht="30">
      <c r="B8" s="2"/>
      <c r="C8" s="3" t="s">
        <v>6</v>
      </c>
      <c r="D8" s="21" t="s">
        <v>388</v>
      </c>
      <c r="E8" s="4"/>
      <c r="F8" s="24"/>
    </row>
    <row r="9" spans="2:6">
      <c r="C9" s="3" t="s">
        <v>7</v>
      </c>
      <c r="D9" s="21">
        <v>20</v>
      </c>
      <c r="E9" s="4"/>
    </row>
    <row r="10" spans="2:6">
      <c r="C10" s="3" t="s">
        <v>8</v>
      </c>
      <c r="D10" s="21">
        <v>1</v>
      </c>
      <c r="E10" s="4"/>
      <c r="F10" t="s">
        <v>9</v>
      </c>
    </row>
    <row r="11" spans="2:6">
      <c r="C11" s="3" t="s">
        <v>10</v>
      </c>
      <c r="D11" s="21">
        <v>5</v>
      </c>
      <c r="E11" s="4"/>
      <c r="F11" s="24" t="s">
        <v>389</v>
      </c>
    </row>
    <row r="12" spans="2:6" ht="45">
      <c r="C12" s="3" t="s">
        <v>11</v>
      </c>
      <c r="D12" s="21" t="s">
        <v>390</v>
      </c>
      <c r="E12" s="4"/>
      <c r="F12" s="32" t="s">
        <v>391</v>
      </c>
    </row>
    <row r="13" spans="2:6">
      <c r="C13" s="3" t="s">
        <v>12</v>
      </c>
      <c r="D13" s="21" t="s">
        <v>146</v>
      </c>
      <c r="E13" s="4"/>
      <c r="F13" s="24"/>
    </row>
    <row r="14" spans="2:6">
      <c r="C14" s="3" t="s">
        <v>13</v>
      </c>
      <c r="D14" s="21" t="s">
        <v>86</v>
      </c>
      <c r="E14" s="4"/>
    </row>
    <row r="15" spans="2:6">
      <c r="C15" s="3"/>
      <c r="D15" s="4"/>
      <c r="E15" s="4"/>
      <c r="F15" t="s">
        <v>14</v>
      </c>
    </row>
    <row r="16" spans="2:6" ht="115.5">
      <c r="C16" s="3"/>
      <c r="D16" s="4"/>
      <c r="E16" s="4"/>
      <c r="F16" s="32" t="s">
        <v>392</v>
      </c>
    </row>
    <row r="17" spans="3:6" ht="18.75">
      <c r="C17" s="5" t="s">
        <v>15</v>
      </c>
      <c r="D17" s="4"/>
      <c r="E17" s="4"/>
      <c r="F17" s="24"/>
    </row>
    <row r="18" spans="3:6">
      <c r="C18" s="3" t="s">
        <v>16</v>
      </c>
      <c r="D18" s="1" t="s">
        <v>15</v>
      </c>
      <c r="E18" s="4"/>
      <c r="F18" s="24"/>
    </row>
    <row r="19" spans="3:6">
      <c r="C19" s="3" t="s">
        <v>17</v>
      </c>
      <c r="D19" s="22">
        <v>22</v>
      </c>
      <c r="E19" s="4"/>
      <c r="F19" s="24"/>
    </row>
    <row r="20" spans="3:6">
      <c r="C20" s="3" t="s">
        <v>18</v>
      </c>
      <c r="D20" s="22">
        <v>14</v>
      </c>
      <c r="E20" s="4"/>
      <c r="F20" s="24"/>
    </row>
    <row r="21" spans="3:6">
      <c r="C21" s="3" t="s">
        <v>19</v>
      </c>
      <c r="D21" s="22">
        <v>2</v>
      </c>
      <c r="E21" s="4"/>
    </row>
    <row r="22" spans="3:6">
      <c r="C22" s="3" t="s">
        <v>20</v>
      </c>
      <c r="D22" s="22">
        <v>0</v>
      </c>
      <c r="E22" s="4"/>
      <c r="F22" t="s">
        <v>21</v>
      </c>
    </row>
    <row r="23" spans="3:6">
      <c r="C23" s="3" t="s">
        <v>22</v>
      </c>
      <c r="D23" s="22">
        <v>11</v>
      </c>
      <c r="E23" s="4"/>
      <c r="F23" s="24"/>
    </row>
    <row r="24" spans="3:6">
      <c r="C24" s="3" t="s">
        <v>23</v>
      </c>
      <c r="D24" s="1">
        <f>SUM(D19:D23)</f>
        <v>49</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21" t="s">
        <v>393</v>
      </c>
      <c r="E29" s="4"/>
      <c r="F29" s="24"/>
    </row>
    <row r="30" spans="3:6" ht="30">
      <c r="C30" s="3" t="s">
        <v>29</v>
      </c>
      <c r="D30" s="21" t="s">
        <v>394</v>
      </c>
      <c r="E30" s="4"/>
      <c r="F30" s="24"/>
    </row>
    <row r="31" spans="3:6" ht="30">
      <c r="C31" s="3" t="s">
        <v>30</v>
      </c>
      <c r="D31" s="21" t="s">
        <v>395</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60">
      <c r="C38" s="3" t="s">
        <v>40</v>
      </c>
      <c r="D38" s="21" t="s">
        <v>41</v>
      </c>
      <c r="E38" s="21" t="s">
        <v>42</v>
      </c>
      <c r="F38" s="21" t="s">
        <v>396</v>
      </c>
      <c r="G38" s="23">
        <v>0.5</v>
      </c>
      <c r="H38" s="21">
        <v>7</v>
      </c>
    </row>
    <row r="39" spans="3:8" ht="75">
      <c r="C39" s="3" t="s">
        <v>44</v>
      </c>
      <c r="D39" s="21" t="s">
        <v>96</v>
      </c>
      <c r="E39" s="21"/>
      <c r="F39" s="52" t="s">
        <v>397</v>
      </c>
      <c r="G39" s="23">
        <v>0.5</v>
      </c>
      <c r="H39" s="21" t="s">
        <v>398</v>
      </c>
    </row>
    <row r="40" spans="3:8">
      <c r="C40" s="3" t="s">
        <v>45</v>
      </c>
      <c r="D40" s="24"/>
      <c r="E40" s="24"/>
      <c r="F40" s="32"/>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155</v>
      </c>
      <c r="F47" s="24" t="s">
        <v>157</v>
      </c>
    </row>
    <row r="48" spans="3:8">
      <c r="C48" s="25" t="s">
        <v>40</v>
      </c>
      <c r="D48" s="24" t="s">
        <v>28</v>
      </c>
      <c r="E48" s="24" t="s">
        <v>155</v>
      </c>
      <c r="F48" s="24" t="s">
        <v>156</v>
      </c>
    </row>
    <row r="49" spans="3:6">
      <c r="C49" s="25" t="s">
        <v>40</v>
      </c>
      <c r="D49" s="24" t="s">
        <v>28</v>
      </c>
      <c r="E49" s="24" t="s">
        <v>55</v>
      </c>
      <c r="F49" s="24" t="s">
        <v>56</v>
      </c>
    </row>
    <row r="50" spans="3:6">
      <c r="C50" s="25" t="s">
        <v>40</v>
      </c>
      <c r="D50" s="24" t="s">
        <v>28</v>
      </c>
      <c r="E50" s="24" t="s">
        <v>399</v>
      </c>
      <c r="F50" s="24" t="s">
        <v>400</v>
      </c>
    </row>
    <row r="51" spans="3:6">
      <c r="C51" s="25" t="s">
        <v>44</v>
      </c>
      <c r="D51" s="24" t="s">
        <v>29</v>
      </c>
      <c r="E51" s="24" t="s">
        <v>53</v>
      </c>
      <c r="F51" s="24" t="s">
        <v>154</v>
      </c>
    </row>
    <row r="52" spans="3:6">
      <c r="C52" s="25" t="s">
        <v>44</v>
      </c>
      <c r="D52" s="24" t="s">
        <v>29</v>
      </c>
      <c r="E52" s="24" t="s">
        <v>57</v>
      </c>
      <c r="F52" s="24" t="s">
        <v>58</v>
      </c>
    </row>
    <row r="53" spans="3:6">
      <c r="C53" s="25" t="s">
        <v>44</v>
      </c>
      <c r="D53" s="24" t="s">
        <v>30</v>
      </c>
      <c r="E53" s="24" t="s">
        <v>55</v>
      </c>
      <c r="F53" s="24" t="s">
        <v>103</v>
      </c>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7" spans="2:6">
      <c r="C67" s="25"/>
      <c r="D67" s="24"/>
      <c r="E67" s="24"/>
      <c r="F67" s="24"/>
    </row>
    <row r="70" spans="2:6" ht="18.75">
      <c r="C70" s="5" t="s">
        <v>59</v>
      </c>
    </row>
    <row r="71" spans="2:6">
      <c r="B71" t="s">
        <v>60</v>
      </c>
      <c r="C71" s="1" t="s">
        <v>61</v>
      </c>
      <c r="D71" s="1" t="s">
        <v>62</v>
      </c>
      <c r="E71" s="1" t="s">
        <v>63</v>
      </c>
      <c r="F71" s="1" t="s">
        <v>64</v>
      </c>
    </row>
    <row r="72" spans="2:6" ht="30">
      <c r="B72" s="7">
        <v>1</v>
      </c>
      <c r="C72" s="1">
        <v>1</v>
      </c>
      <c r="D72" s="21" t="s">
        <v>401</v>
      </c>
      <c r="E72" s="21" t="s">
        <v>402</v>
      </c>
      <c r="F72" s="21"/>
    </row>
    <row r="73" spans="2:6">
      <c r="B73" s="7">
        <v>1</v>
      </c>
      <c r="C73" s="1">
        <v>2</v>
      </c>
      <c r="D73" s="21" t="s">
        <v>403</v>
      </c>
      <c r="E73" s="21" t="s">
        <v>404</v>
      </c>
      <c r="F73" s="21" t="s">
        <v>402</v>
      </c>
    </row>
    <row r="74" spans="2:6">
      <c r="B74" s="7">
        <v>1</v>
      </c>
      <c r="C74" s="1">
        <v>3</v>
      </c>
      <c r="D74" s="21" t="s">
        <v>405</v>
      </c>
      <c r="E74" s="21" t="s">
        <v>404</v>
      </c>
      <c r="F74" s="21" t="s">
        <v>402</v>
      </c>
    </row>
    <row r="75" spans="2:6">
      <c r="B75" s="7">
        <v>1</v>
      </c>
      <c r="C75" s="1">
        <v>4</v>
      </c>
      <c r="D75" s="21" t="s">
        <v>406</v>
      </c>
      <c r="E75" s="21" t="s">
        <v>404</v>
      </c>
      <c r="F75" s="21" t="s">
        <v>402</v>
      </c>
    </row>
    <row r="76" spans="2:6">
      <c r="B76" s="7">
        <v>1</v>
      </c>
      <c r="C76" s="1">
        <v>5</v>
      </c>
      <c r="D76" s="21" t="s">
        <v>407</v>
      </c>
      <c r="E76" s="21" t="s">
        <v>404</v>
      </c>
      <c r="F76" s="21" t="s">
        <v>402</v>
      </c>
    </row>
    <row r="77" spans="2:6">
      <c r="B77" s="7">
        <v>1</v>
      </c>
      <c r="C77" s="1">
        <v>6</v>
      </c>
      <c r="D77" s="21" t="s">
        <v>408</v>
      </c>
      <c r="E77" s="21" t="s">
        <v>402</v>
      </c>
      <c r="F77" s="21"/>
    </row>
    <row r="78" spans="2:6">
      <c r="B78" s="7">
        <v>1</v>
      </c>
      <c r="C78" s="1">
        <v>7</v>
      </c>
      <c r="D78" s="21"/>
      <c r="E78" s="21"/>
      <c r="F78" s="21"/>
    </row>
    <row r="79" spans="2:6">
      <c r="B79" s="7">
        <v>1</v>
      </c>
      <c r="C79" s="1">
        <v>8</v>
      </c>
      <c r="D79" s="21" t="s">
        <v>409</v>
      </c>
      <c r="E79" s="21" t="s">
        <v>410</v>
      </c>
      <c r="F79" s="21" t="s">
        <v>402</v>
      </c>
    </row>
    <row r="80" spans="2:6">
      <c r="B80" s="7">
        <v>1</v>
      </c>
      <c r="C80" s="1">
        <v>9</v>
      </c>
      <c r="D80" s="21" t="s">
        <v>411</v>
      </c>
      <c r="E80" s="21" t="s">
        <v>412</v>
      </c>
      <c r="F80" s="21" t="s">
        <v>402</v>
      </c>
    </row>
    <row r="81" spans="2:6">
      <c r="B81" s="7">
        <v>1</v>
      </c>
      <c r="C81" s="1">
        <v>10</v>
      </c>
      <c r="D81" s="21" t="s">
        <v>413</v>
      </c>
      <c r="E81" s="21" t="s">
        <v>414</v>
      </c>
      <c r="F81" s="21" t="s">
        <v>402</v>
      </c>
    </row>
    <row r="82" spans="2:6">
      <c r="B82" s="7">
        <v>1</v>
      </c>
      <c r="C82" s="1">
        <v>11</v>
      </c>
      <c r="D82" s="21" t="s">
        <v>415</v>
      </c>
      <c r="E82" s="21" t="s">
        <v>416</v>
      </c>
      <c r="F82" s="21" t="s">
        <v>402</v>
      </c>
    </row>
    <row r="83" spans="2:6">
      <c r="B83" s="7">
        <v>1</v>
      </c>
      <c r="C83" s="1">
        <v>12</v>
      </c>
      <c r="D83" s="21" t="s">
        <v>408</v>
      </c>
      <c r="E83" s="21" t="s">
        <v>402</v>
      </c>
      <c r="F83" s="21"/>
    </row>
    <row r="84" spans="2:6">
      <c r="B84" s="7">
        <v>2</v>
      </c>
      <c r="C84" s="1">
        <v>1</v>
      </c>
      <c r="D84" s="21"/>
      <c r="E84" s="21"/>
      <c r="F84" s="21"/>
    </row>
    <row r="85" spans="2:6">
      <c r="B85" s="7">
        <v>2</v>
      </c>
      <c r="C85" s="1">
        <v>2</v>
      </c>
      <c r="D85" s="21"/>
      <c r="E85" s="21"/>
      <c r="F85" s="21"/>
    </row>
    <row r="86" spans="2:6">
      <c r="B86" s="7">
        <v>2</v>
      </c>
      <c r="C86" s="1">
        <v>3</v>
      </c>
      <c r="D86" s="21"/>
      <c r="E86" s="21"/>
      <c r="F86" s="21"/>
    </row>
    <row r="87" spans="2:6">
      <c r="B87" s="7">
        <v>2</v>
      </c>
      <c r="C87" s="1">
        <v>4</v>
      </c>
      <c r="D87" s="21"/>
      <c r="E87" s="21"/>
      <c r="F87" s="21"/>
    </row>
    <row r="88" spans="2:6">
      <c r="B88" s="7">
        <v>2</v>
      </c>
      <c r="C88" s="1">
        <v>5</v>
      </c>
      <c r="D88" s="21"/>
      <c r="E88" s="21"/>
      <c r="F88" s="21"/>
    </row>
    <row r="89" spans="2:6">
      <c r="B89" s="7">
        <v>2</v>
      </c>
      <c r="C89" s="1">
        <v>6</v>
      </c>
      <c r="D89" s="21"/>
      <c r="E89" s="21"/>
      <c r="F89" s="21"/>
    </row>
    <row r="90" spans="2:6">
      <c r="B90" s="7">
        <v>2</v>
      </c>
      <c r="C90" s="1">
        <v>7</v>
      </c>
      <c r="D90" s="21"/>
      <c r="E90" s="21"/>
      <c r="F90" s="21"/>
    </row>
    <row r="91" spans="2:6">
      <c r="B91" s="7">
        <v>2</v>
      </c>
      <c r="C91" s="1">
        <v>8</v>
      </c>
      <c r="D91" s="21"/>
      <c r="E91" s="21"/>
      <c r="F91" s="21"/>
    </row>
    <row r="92" spans="2:6">
      <c r="B92" s="7">
        <v>2</v>
      </c>
      <c r="C92" s="1">
        <v>9</v>
      </c>
      <c r="D92" s="21"/>
      <c r="E92" s="21"/>
      <c r="F92" s="21"/>
    </row>
    <row r="93" spans="2:6">
      <c r="B93" s="7">
        <v>2</v>
      </c>
      <c r="C93" s="1">
        <v>10</v>
      </c>
      <c r="D93" s="21"/>
      <c r="E93" s="21"/>
      <c r="F93" s="21"/>
    </row>
    <row r="94" spans="2:6">
      <c r="B94" s="7">
        <v>2</v>
      </c>
      <c r="C94" s="1">
        <v>11</v>
      </c>
      <c r="D94" s="21"/>
      <c r="E94" s="21"/>
      <c r="F94" s="21"/>
    </row>
    <row r="95" spans="2:6">
      <c r="B95" s="7">
        <v>2</v>
      </c>
      <c r="C95" s="1">
        <v>12</v>
      </c>
      <c r="D95" s="21"/>
      <c r="E95" s="21"/>
      <c r="F95" s="21"/>
    </row>
  </sheetData>
  <sheetProtection selectLockedCells="1" sort="0" autoFilter="0" pivotTables="0"/>
  <dataValidations count="4">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 type="list" allowBlank="1" showInputMessage="1" showErrorMessage="1" sqref="F46:F53 F55:F67" xr:uid="{892CDF0E-15A0-43A8-BD6A-62EF4D03C7D2}">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 type="list" allowBlank="1" showInputMessage="1" showErrorMessage="1" xr:uid="{7B9F6B16-6FF5-4E56-841A-1AD40DF95F22}">
          <x14:formula1>
            <xm:f>LISTS!$J$7:$J$16</xm:f>
          </x14:formula1>
          <xm:sqref>E46:E53 E55:E67</xm:sqref>
        </x14:dataValidation>
        <x14:dataValidation type="list" allowBlank="1" showInputMessage="1" showErrorMessage="1" xr:uid="{4F387FE4-F215-4DCB-AA99-F2CB3B064FA3}">
          <x14:formula1>
            <xm:f>LISTS!$E$7:$E$11</xm:f>
          </x14:formula1>
          <xm:sqref>D46:D53 D55:D67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8"/>
  <dimension ref="B2:H94"/>
  <sheetViews>
    <sheetView showGridLines="0" topLeftCell="A38" zoomScale="116" zoomScaleNormal="85" workbookViewId="0">
      <selection activeCell="E82" sqref="E82"/>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5103SPS</v>
      </c>
      <c r="D2" s="20" t="str">
        <f>D8</f>
        <v xml:space="preserve">Biomechanics </v>
      </c>
    </row>
    <row r="3" spans="2:6">
      <c r="B3" s="1"/>
      <c r="C3" s="1"/>
    </row>
    <row r="4" spans="2:6">
      <c r="B4" s="2"/>
      <c r="C4" s="2"/>
    </row>
    <row r="5" spans="2:6" ht="18.75">
      <c r="B5" s="2"/>
      <c r="C5" s="5" t="s">
        <v>0</v>
      </c>
    </row>
    <row r="6" spans="2:6">
      <c r="B6" s="2"/>
      <c r="C6" s="3" t="s">
        <v>1</v>
      </c>
      <c r="D6" s="4" t="s">
        <v>2</v>
      </c>
      <c r="E6" s="4"/>
      <c r="F6" t="s">
        <v>3</v>
      </c>
    </row>
    <row r="7" spans="2:6">
      <c r="B7" s="2"/>
      <c r="C7" s="3" t="s">
        <v>4</v>
      </c>
      <c r="D7" s="21" t="s">
        <v>417</v>
      </c>
      <c r="E7" s="4"/>
      <c r="F7" s="24"/>
    </row>
    <row r="8" spans="2:6">
      <c r="B8" s="2"/>
      <c r="C8" s="3" t="s">
        <v>6</v>
      </c>
      <c r="D8" s="21" t="s">
        <v>418</v>
      </c>
      <c r="E8" s="4"/>
      <c r="F8" s="24"/>
    </row>
    <row r="9" spans="2:6">
      <c r="C9" s="3" t="s">
        <v>7</v>
      </c>
      <c r="D9" s="21"/>
      <c r="E9" s="4"/>
    </row>
    <row r="10" spans="2:6">
      <c r="C10" s="3" t="s">
        <v>8</v>
      </c>
      <c r="D10" s="21"/>
      <c r="E10" s="4"/>
      <c r="F10" t="s">
        <v>9</v>
      </c>
    </row>
    <row r="11" spans="2:6">
      <c r="C11" s="3" t="s">
        <v>10</v>
      </c>
      <c r="D11" s="21">
        <v>5</v>
      </c>
      <c r="E11" s="4"/>
      <c r="F11" s="24"/>
    </row>
    <row r="12" spans="2:6">
      <c r="C12" s="3" t="s">
        <v>11</v>
      </c>
      <c r="D12" s="21" t="s">
        <v>419</v>
      </c>
      <c r="E12" s="4"/>
      <c r="F12" s="24"/>
    </row>
    <row r="13" spans="2:6">
      <c r="C13" s="3" t="s">
        <v>12</v>
      </c>
      <c r="D13" s="21" t="s">
        <v>146</v>
      </c>
      <c r="E13" s="4"/>
      <c r="F13" s="24"/>
    </row>
    <row r="14" spans="2:6">
      <c r="C14" s="3" t="s">
        <v>13</v>
      </c>
      <c r="D14" s="21" t="s">
        <v>420</v>
      </c>
      <c r="E14" s="4"/>
    </row>
    <row r="15" spans="2:6">
      <c r="C15" s="3"/>
      <c r="D15" s="4"/>
      <c r="E15" s="4"/>
      <c r="F15" t="s">
        <v>14</v>
      </c>
    </row>
    <row r="16" spans="2:6">
      <c r="C16" s="3"/>
      <c r="D16" s="4"/>
      <c r="E16" s="4"/>
      <c r="F16" s="24"/>
    </row>
    <row r="17" spans="3:6" ht="18.75">
      <c r="C17" s="5" t="s">
        <v>15</v>
      </c>
      <c r="D17" s="4"/>
      <c r="E17" s="4"/>
      <c r="F17" s="24"/>
    </row>
    <row r="18" spans="3:6">
      <c r="C18" s="3" t="s">
        <v>16</v>
      </c>
      <c r="D18" s="1" t="s">
        <v>15</v>
      </c>
      <c r="E18" s="4"/>
      <c r="F18" s="24"/>
    </row>
    <row r="19" spans="3:6">
      <c r="C19" s="3" t="s">
        <v>17</v>
      </c>
      <c r="D19" s="22"/>
      <c r="E19" s="4"/>
      <c r="F19" s="24"/>
    </row>
    <row r="20" spans="3:6">
      <c r="C20" s="3" t="s">
        <v>18</v>
      </c>
      <c r="D20" s="22"/>
      <c r="E20" s="4"/>
      <c r="F20" s="24"/>
    </row>
    <row r="21" spans="3:6">
      <c r="C21" s="3" t="s">
        <v>19</v>
      </c>
      <c r="D21" s="22"/>
      <c r="E21" s="4"/>
    </row>
    <row r="22" spans="3:6">
      <c r="C22" s="3" t="s">
        <v>20</v>
      </c>
      <c r="D22" s="22"/>
      <c r="E22" s="4"/>
      <c r="F22" t="s">
        <v>21</v>
      </c>
    </row>
    <row r="23" spans="3:6">
      <c r="C23" s="3" t="s">
        <v>22</v>
      </c>
      <c r="D23" s="22"/>
      <c r="E23" s="4"/>
      <c r="F23" s="24"/>
    </row>
    <row r="24" spans="3:6">
      <c r="C24" s="3" t="s">
        <v>23</v>
      </c>
      <c r="D24" s="1">
        <f>SUM(D19:D23)</f>
        <v>0</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21" t="s">
        <v>421</v>
      </c>
      <c r="E29" s="4"/>
      <c r="F29" s="24"/>
    </row>
    <row r="30" spans="3:6" ht="30">
      <c r="C30" s="3" t="s">
        <v>29</v>
      </c>
      <c r="D30" s="21" t="s">
        <v>422</v>
      </c>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30">
      <c r="C38" s="3" t="s">
        <v>40</v>
      </c>
      <c r="D38" s="21" t="s">
        <v>96</v>
      </c>
      <c r="E38" s="21" t="s">
        <v>186</v>
      </c>
      <c r="F38" s="21" t="s">
        <v>423</v>
      </c>
      <c r="G38" s="23">
        <v>0.5</v>
      </c>
      <c r="H38" s="21">
        <v>9</v>
      </c>
    </row>
    <row r="39" spans="3:8" ht="30">
      <c r="C39" s="3" t="s">
        <v>44</v>
      </c>
      <c r="D39" s="21" t="s">
        <v>150</v>
      </c>
      <c r="E39" s="21" t="s">
        <v>151</v>
      </c>
      <c r="F39" s="21" t="s">
        <v>424</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c r="F46" s="24"/>
    </row>
    <row r="47" spans="3:8">
      <c r="C47" s="25" t="s">
        <v>40</v>
      </c>
      <c r="D47" s="24" t="s">
        <v>28</v>
      </c>
      <c r="E47" s="24"/>
      <c r="F47" s="24"/>
    </row>
    <row r="48" spans="3:8">
      <c r="C48" s="25" t="s">
        <v>40</v>
      </c>
      <c r="D48" s="24" t="s">
        <v>28</v>
      </c>
      <c r="E48" s="24"/>
      <c r="F48" s="24"/>
    </row>
    <row r="49" spans="3:6">
      <c r="C49" s="25" t="s">
        <v>44</v>
      </c>
      <c r="D49" s="24" t="s">
        <v>29</v>
      </c>
      <c r="E49" s="24"/>
      <c r="F49" s="24"/>
    </row>
    <row r="50" spans="3:6">
      <c r="C50" s="25" t="s">
        <v>44</v>
      </c>
      <c r="D50" s="24" t="s">
        <v>29</v>
      </c>
      <c r="E50" s="24"/>
      <c r="F50" s="24"/>
    </row>
    <row r="51" spans="3:6">
      <c r="C51" s="25" t="s">
        <v>44</v>
      </c>
      <c r="D51" s="24"/>
      <c r="E51" s="24"/>
      <c r="F51" s="24"/>
    </row>
    <row r="52" spans="3:6">
      <c r="C52" s="25" t="s">
        <v>45</v>
      </c>
      <c r="D52" s="24"/>
      <c r="E52" s="24"/>
      <c r="F52" s="24"/>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425</v>
      </c>
      <c r="E71" s="21" t="s">
        <v>426</v>
      </c>
      <c r="F71" s="21"/>
    </row>
    <row r="72" spans="2:6">
      <c r="B72" s="7">
        <v>1</v>
      </c>
      <c r="C72" s="1">
        <v>2</v>
      </c>
      <c r="D72" s="21" t="s">
        <v>427</v>
      </c>
      <c r="E72" s="21" t="s">
        <v>428</v>
      </c>
      <c r="F72" s="21"/>
    </row>
    <row r="73" spans="2:6">
      <c r="B73" s="7">
        <v>1</v>
      </c>
      <c r="C73" s="1">
        <v>3</v>
      </c>
      <c r="D73" s="21" t="s">
        <v>429</v>
      </c>
      <c r="E73" s="21" t="s">
        <v>430</v>
      </c>
      <c r="F73" s="21"/>
    </row>
    <row r="74" spans="2:6">
      <c r="B74" s="7">
        <v>1</v>
      </c>
      <c r="C74" s="1">
        <v>4</v>
      </c>
      <c r="D74" s="21" t="s">
        <v>431</v>
      </c>
      <c r="E74" s="21" t="s">
        <v>432</v>
      </c>
      <c r="F74" s="21"/>
    </row>
    <row r="75" spans="2:6">
      <c r="B75" s="7">
        <v>1</v>
      </c>
      <c r="C75" s="1">
        <v>5</v>
      </c>
      <c r="D75" s="21" t="s">
        <v>433</v>
      </c>
      <c r="E75" s="21" t="s">
        <v>434</v>
      </c>
      <c r="F75" s="21"/>
    </row>
    <row r="76" spans="2:6">
      <c r="B76" s="7">
        <v>1</v>
      </c>
      <c r="C76" s="1">
        <v>6</v>
      </c>
      <c r="D76" s="21" t="s">
        <v>435</v>
      </c>
      <c r="E76" s="21" t="s">
        <v>436</v>
      </c>
      <c r="F76" s="21"/>
    </row>
    <row r="77" spans="2:6">
      <c r="B77" s="7">
        <v>1</v>
      </c>
      <c r="C77" s="1">
        <v>7</v>
      </c>
      <c r="D77" s="21" t="s">
        <v>437</v>
      </c>
      <c r="E77" s="21" t="s">
        <v>438</v>
      </c>
      <c r="F77" s="21"/>
    </row>
    <row r="78" spans="2:6">
      <c r="B78" s="7">
        <v>1</v>
      </c>
      <c r="C78" s="1">
        <v>8</v>
      </c>
      <c r="D78" s="21"/>
      <c r="E78" s="21"/>
      <c r="F78" s="21"/>
    </row>
    <row r="79" spans="2:6">
      <c r="B79" s="7">
        <v>1</v>
      </c>
      <c r="C79" s="1">
        <v>9</v>
      </c>
      <c r="D79" s="21" t="s">
        <v>439</v>
      </c>
      <c r="E79" s="21" t="s">
        <v>440</v>
      </c>
      <c r="F79" s="21"/>
    </row>
    <row r="80" spans="2:6">
      <c r="B80" s="7">
        <v>1</v>
      </c>
      <c r="C80" s="1">
        <v>10</v>
      </c>
      <c r="D80" s="21" t="s">
        <v>441</v>
      </c>
      <c r="E80" s="21" t="s">
        <v>442</v>
      </c>
      <c r="F80" s="21"/>
    </row>
    <row r="81" spans="2:6">
      <c r="B81" s="7">
        <v>1</v>
      </c>
      <c r="C81" s="1">
        <v>11</v>
      </c>
      <c r="D81" s="21" t="s">
        <v>443</v>
      </c>
      <c r="E81" s="21" t="s">
        <v>444</v>
      </c>
      <c r="F81" s="21"/>
    </row>
    <row r="82" spans="2:6">
      <c r="B82" s="7">
        <v>1</v>
      </c>
      <c r="C82" s="1">
        <v>12</v>
      </c>
      <c r="D82" s="21" t="s">
        <v>445</v>
      </c>
      <c r="E82" s="21" t="s">
        <v>446</v>
      </c>
      <c r="F82" s="21" t="s">
        <v>447</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E384A8D8-2515-4FB4-9A11-39224E1C065B}">
      <formula1>INDIRECT(VLOOKUP($E46, SkillNameMap, 2, FALSE))</formula1>
    </dataValidation>
    <dataValidation type="list" allowBlank="1" showInputMessage="1" showErrorMessage="1" sqref="E38: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E46:E66</xm:sqref>
        </x14:dataValidation>
        <x14:dataValidation type="list" allowBlank="1" showInputMessage="1" showErrorMessage="1" xr:uid="{06465257-54DA-440C-A18F-A20A74E289A8}">
          <x14:formula1>
            <xm:f>LISTS!$E$7:$E$11</xm:f>
          </x14:formula1>
          <xm:sqref>D46:D66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43E8D-F412-44DE-A325-53EE89405F38}">
  <sheetPr codeName="Sheet14"/>
  <dimension ref="B2:H94"/>
  <sheetViews>
    <sheetView showGridLines="0" topLeftCell="A22" zoomScaleNormal="85" workbookViewId="0">
      <selection activeCell="D47" sqref="D47"/>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6101SPS</v>
      </c>
      <c r="D2" s="20" t="str">
        <f>D8</f>
        <v>Sport and Injury Biomechanics</v>
      </c>
    </row>
    <row r="3" spans="2:6">
      <c r="B3" s="1"/>
      <c r="C3" s="1"/>
    </row>
    <row r="4" spans="2:6">
      <c r="B4" s="2"/>
      <c r="C4" s="2"/>
    </row>
    <row r="5" spans="2:6" ht="18.75">
      <c r="B5" s="2"/>
      <c r="C5" s="5" t="s">
        <v>0</v>
      </c>
    </row>
    <row r="6" spans="2:6">
      <c r="B6" s="2"/>
      <c r="C6" s="3" t="s">
        <v>1</v>
      </c>
      <c r="D6" s="4" t="s">
        <v>2</v>
      </c>
      <c r="E6" s="4"/>
      <c r="F6" t="s">
        <v>3</v>
      </c>
    </row>
    <row r="7" spans="2:6">
      <c r="B7" s="2"/>
      <c r="C7" s="3" t="s">
        <v>4</v>
      </c>
      <c r="D7" s="21" t="s">
        <v>448</v>
      </c>
      <c r="E7" s="4"/>
      <c r="F7" s="24" t="s">
        <v>449</v>
      </c>
    </row>
    <row r="8" spans="2:6">
      <c r="B8" s="2"/>
      <c r="C8" s="3" t="s">
        <v>6</v>
      </c>
      <c r="D8" s="21" t="s">
        <v>450</v>
      </c>
      <c r="E8" s="4"/>
      <c r="F8" s="24"/>
    </row>
    <row r="9" spans="2:6">
      <c r="C9" s="3" t="s">
        <v>7</v>
      </c>
      <c r="D9" s="21">
        <v>20</v>
      </c>
      <c r="E9" s="4"/>
    </row>
    <row r="10" spans="2:6">
      <c r="C10" s="3" t="s">
        <v>8</v>
      </c>
      <c r="D10" s="21">
        <v>1</v>
      </c>
      <c r="E10" s="4"/>
      <c r="F10" t="s">
        <v>9</v>
      </c>
    </row>
    <row r="11" spans="2:6">
      <c r="C11" s="3" t="s">
        <v>10</v>
      </c>
      <c r="D11" s="21">
        <v>6</v>
      </c>
      <c r="E11" s="4"/>
      <c r="F11" s="24" t="s">
        <v>451</v>
      </c>
    </row>
    <row r="12" spans="2:6">
      <c r="C12" s="3" t="s">
        <v>11</v>
      </c>
      <c r="D12" s="21" t="s">
        <v>452</v>
      </c>
      <c r="E12" s="4"/>
      <c r="F12" s="24" t="s">
        <v>453</v>
      </c>
    </row>
    <row r="13" spans="2:6">
      <c r="C13" s="3" t="s">
        <v>12</v>
      </c>
      <c r="D13" s="21" t="s">
        <v>454</v>
      </c>
      <c r="E13" s="4"/>
      <c r="F13" s="24" t="s">
        <v>455</v>
      </c>
    </row>
    <row r="14" spans="2:6">
      <c r="C14" s="3" t="s">
        <v>13</v>
      </c>
      <c r="D14" s="21" t="s">
        <v>86</v>
      </c>
      <c r="E14" s="4"/>
    </row>
    <row r="15" spans="2:6">
      <c r="C15" s="3"/>
      <c r="D15" s="4"/>
      <c r="E15" s="4"/>
      <c r="F15" t="s">
        <v>14</v>
      </c>
    </row>
    <row r="16" spans="2:6">
      <c r="C16" s="3"/>
      <c r="D16" s="4"/>
      <c r="E16" s="4"/>
      <c r="F16" s="24"/>
    </row>
    <row r="17" spans="3:6" ht="18.75">
      <c r="C17" s="5" t="s">
        <v>15</v>
      </c>
      <c r="D17" s="4"/>
      <c r="E17" s="4"/>
      <c r="F17" s="24"/>
    </row>
    <row r="18" spans="3:6">
      <c r="C18" s="3" t="s">
        <v>16</v>
      </c>
      <c r="D18" s="1" t="s">
        <v>15</v>
      </c>
      <c r="E18" s="4"/>
      <c r="F18" s="24"/>
    </row>
    <row r="19" spans="3:6">
      <c r="C19" s="3" t="s">
        <v>17</v>
      </c>
      <c r="D19" s="22">
        <v>20</v>
      </c>
      <c r="E19" s="4"/>
      <c r="F19" s="24"/>
    </row>
    <row r="20" spans="3:6">
      <c r="C20" s="3" t="s">
        <v>18</v>
      </c>
      <c r="D20" s="22">
        <v>9</v>
      </c>
      <c r="E20" s="4"/>
      <c r="F20" s="24"/>
    </row>
    <row r="21" spans="3:6">
      <c r="C21" s="3" t="s">
        <v>19</v>
      </c>
      <c r="D21" s="22">
        <v>13</v>
      </c>
      <c r="E21" s="4"/>
    </row>
    <row r="22" spans="3:6">
      <c r="C22" s="3" t="s">
        <v>20</v>
      </c>
      <c r="D22" s="22">
        <v>0</v>
      </c>
      <c r="E22" s="4"/>
      <c r="F22" t="s">
        <v>21</v>
      </c>
    </row>
    <row r="23" spans="3:6">
      <c r="C23" s="3" t="s">
        <v>22</v>
      </c>
      <c r="D23" s="22">
        <v>0</v>
      </c>
      <c r="E23" s="4"/>
      <c r="F23" s="24"/>
    </row>
    <row r="24" spans="3:6">
      <c r="C24" s="3" t="s">
        <v>23</v>
      </c>
      <c r="D24" s="1">
        <f>SUM(D19:D23)</f>
        <v>42</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24" t="s">
        <v>456</v>
      </c>
      <c r="E29" s="4"/>
      <c r="F29" s="24"/>
    </row>
    <row r="30" spans="3:6">
      <c r="C30" s="3" t="s">
        <v>29</v>
      </c>
      <c r="D30" s="24" t="s">
        <v>457</v>
      </c>
      <c r="E30" s="4"/>
      <c r="F30" s="24"/>
    </row>
    <row r="31" spans="3:6">
      <c r="C31" s="3" t="s">
        <v>30</v>
      </c>
      <c r="D31" s="24" t="s">
        <v>458</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290</v>
      </c>
      <c r="E38" s="21" t="s">
        <v>459</v>
      </c>
      <c r="F38" s="21" t="s">
        <v>460</v>
      </c>
      <c r="G38" s="23">
        <v>0.5</v>
      </c>
      <c r="H38" s="21">
        <v>6</v>
      </c>
    </row>
    <row r="39" spans="3:8">
      <c r="C39" s="3" t="s">
        <v>44</v>
      </c>
      <c r="D39" s="21" t="s">
        <v>290</v>
      </c>
      <c r="E39" s="21" t="s">
        <v>461</v>
      </c>
      <c r="F39" s="21" t="s">
        <v>462</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28</v>
      </c>
      <c r="E48" s="24" t="s">
        <v>53</v>
      </c>
      <c r="F48" s="24" t="s">
        <v>54</v>
      </c>
    </row>
    <row r="49" spans="3:6">
      <c r="C49" s="25" t="s">
        <v>44</v>
      </c>
      <c r="D49" s="24" t="s">
        <v>29</v>
      </c>
      <c r="E49" s="24" t="s">
        <v>55</v>
      </c>
      <c r="F49" s="24" t="s">
        <v>56</v>
      </c>
    </row>
    <row r="50" spans="3:6">
      <c r="C50" s="25" t="s">
        <v>44</v>
      </c>
      <c r="D50" s="24" t="s">
        <v>29</v>
      </c>
      <c r="E50" s="24" t="s">
        <v>57</v>
      </c>
      <c r="F50" s="24" t="s">
        <v>58</v>
      </c>
    </row>
    <row r="51" spans="3:6">
      <c r="C51" s="25" t="s">
        <v>44</v>
      </c>
      <c r="D51" s="24"/>
      <c r="E51" s="24"/>
      <c r="F51" s="24"/>
    </row>
    <row r="52" spans="3:6">
      <c r="C52" s="25" t="s">
        <v>45</v>
      </c>
      <c r="D52" s="24"/>
      <c r="E52" s="24"/>
      <c r="F52" s="24"/>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65</v>
      </c>
      <c r="E71" s="21"/>
      <c r="F71" s="21"/>
    </row>
    <row r="72" spans="2:6">
      <c r="B72" s="7">
        <v>1</v>
      </c>
      <c r="C72" s="1">
        <v>2</v>
      </c>
      <c r="D72" s="21" t="s">
        <v>66</v>
      </c>
      <c r="E72" s="21" t="s">
        <v>67</v>
      </c>
      <c r="F72" s="21" t="s">
        <v>18</v>
      </c>
    </row>
    <row r="73" spans="2:6">
      <c r="B73" s="7">
        <v>1</v>
      </c>
      <c r="C73" s="1">
        <v>3</v>
      </c>
      <c r="D73" s="21" t="s">
        <v>68</v>
      </c>
      <c r="E73" s="21"/>
      <c r="F73" s="21"/>
    </row>
    <row r="74" spans="2:6">
      <c r="B74" s="7">
        <v>1</v>
      </c>
      <c r="C74" s="1">
        <v>4</v>
      </c>
      <c r="D74" s="21" t="s">
        <v>69</v>
      </c>
      <c r="E74" s="21" t="s">
        <v>70</v>
      </c>
      <c r="F74" s="21" t="s">
        <v>18</v>
      </c>
    </row>
    <row r="75" spans="2:6">
      <c r="B75" s="7">
        <v>1</v>
      </c>
      <c r="C75" s="1">
        <v>5</v>
      </c>
      <c r="D75" s="21" t="s">
        <v>71</v>
      </c>
      <c r="E75" s="21"/>
      <c r="F75" s="21"/>
    </row>
    <row r="76" spans="2:6">
      <c r="B76" s="7">
        <v>1</v>
      </c>
      <c r="C76" s="1">
        <v>6</v>
      </c>
      <c r="D76" s="21" t="s">
        <v>72</v>
      </c>
      <c r="E76" s="21"/>
      <c r="F76" s="21" t="s">
        <v>18</v>
      </c>
    </row>
    <row r="77" spans="2:6">
      <c r="B77" s="7">
        <v>1</v>
      </c>
      <c r="C77" s="1">
        <v>7</v>
      </c>
      <c r="D77" s="21" t="s">
        <v>73</v>
      </c>
      <c r="E77" s="21"/>
      <c r="F77" s="21"/>
    </row>
    <row r="78" spans="2:6">
      <c r="B78" s="7">
        <v>1</v>
      </c>
      <c r="C78" s="1">
        <v>8</v>
      </c>
      <c r="D78" s="21" t="s">
        <v>74</v>
      </c>
      <c r="E78" s="21"/>
      <c r="F78" s="21" t="s">
        <v>18</v>
      </c>
    </row>
    <row r="79" spans="2:6">
      <c r="B79" s="7">
        <v>1</v>
      </c>
      <c r="C79" s="1">
        <v>9</v>
      </c>
      <c r="D79" s="21" t="s">
        <v>75</v>
      </c>
      <c r="E79" s="21"/>
      <c r="F79" s="21"/>
    </row>
    <row r="80" spans="2:6">
      <c r="B80" s="7">
        <v>1</v>
      </c>
      <c r="C80" s="1">
        <v>10</v>
      </c>
      <c r="D80" s="21" t="s">
        <v>76</v>
      </c>
      <c r="E80" s="21" t="s">
        <v>77</v>
      </c>
      <c r="F80" s="21" t="s">
        <v>18</v>
      </c>
    </row>
    <row r="81" spans="2:6">
      <c r="B81" s="7">
        <v>1</v>
      </c>
      <c r="C81" s="1">
        <v>11</v>
      </c>
      <c r="D81" s="21" t="s">
        <v>78</v>
      </c>
      <c r="E81" s="21"/>
      <c r="F81" s="21"/>
    </row>
    <row r="82" spans="2:6">
      <c r="B82" s="7">
        <v>1</v>
      </c>
      <c r="C82" s="1">
        <v>12</v>
      </c>
      <c r="D82" s="21" t="s">
        <v>79</v>
      </c>
      <c r="E82" s="21"/>
      <c r="F82" s="21" t="s">
        <v>18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FB8A7DFE-7170-44AE-A913-6B0E7E2E34F3}">
      <formula1>0</formula1>
      <formula2>80</formula2>
    </dataValidation>
    <dataValidation type="whole" showInputMessage="1" showErrorMessage="1" error="This is not a realistic number of contact hours please change" sqref="D19" xr:uid="{C9D27B5D-07F6-4E23-A315-71AFAD4C892F}">
      <formula1>0</formula1>
      <formula2>80</formula2>
    </dataValidation>
    <dataValidation type="list" allowBlank="1" showInputMessage="1" showErrorMessage="1" sqref="E38:E41" xr:uid="{A1F2A5AF-6BE1-45E0-9856-B8AF9AA4CEE3}">
      <formula1>INDIRECT("LISTAssess[Assessment Specific]")</formula1>
    </dataValidation>
    <dataValidation type="list" allowBlank="1" showInputMessage="1" showErrorMessage="1" sqref="F46:F66" xr:uid="{D3193D47-8E41-4ECA-A93B-A34DD3B6EE5F}">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5"/>
  <dimension ref="B2:H94"/>
  <sheetViews>
    <sheetView showGridLines="0" topLeftCell="E4" zoomScale="158" zoomScaleNormal="85" workbookViewId="0">
      <selection activeCell="F16" sqref="F1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6102SPS</v>
      </c>
      <c r="D2" s="20" t="str">
        <f>D8</f>
        <v>Physical activity and sedentary behaviour across the life course</v>
      </c>
    </row>
    <row r="3" spans="2:6">
      <c r="B3" s="1"/>
      <c r="C3" s="1"/>
    </row>
    <row r="4" spans="2:6">
      <c r="B4" s="2"/>
      <c r="C4" s="2"/>
    </row>
    <row r="5" spans="2:6" ht="18.75">
      <c r="B5" s="2"/>
      <c r="C5" s="5" t="s">
        <v>0</v>
      </c>
    </row>
    <row r="6" spans="2:6">
      <c r="B6" s="2"/>
      <c r="C6" s="3" t="s">
        <v>1</v>
      </c>
      <c r="D6" s="4" t="s">
        <v>2</v>
      </c>
      <c r="E6" s="4"/>
      <c r="F6" t="s">
        <v>3</v>
      </c>
    </row>
    <row r="7" spans="2:6">
      <c r="B7" s="2"/>
      <c r="C7" s="3" t="s">
        <v>4</v>
      </c>
      <c r="D7" s="21" t="s">
        <v>463</v>
      </c>
      <c r="E7" s="4"/>
      <c r="F7" s="24"/>
    </row>
    <row r="8" spans="2:6" ht="90">
      <c r="B8" s="2"/>
      <c r="C8" s="3" t="s">
        <v>6</v>
      </c>
      <c r="D8" s="21" t="s">
        <v>464</v>
      </c>
      <c r="E8" s="4"/>
      <c r="F8" s="47" t="s">
        <v>465</v>
      </c>
    </row>
    <row r="9" spans="2:6">
      <c r="C9" s="3" t="s">
        <v>7</v>
      </c>
      <c r="D9" s="21">
        <v>20</v>
      </c>
      <c r="E9" s="4"/>
    </row>
    <row r="10" spans="2:6">
      <c r="C10" s="3" t="s">
        <v>8</v>
      </c>
      <c r="D10" s="21">
        <v>1</v>
      </c>
      <c r="E10" s="4"/>
      <c r="F10" t="s">
        <v>9</v>
      </c>
    </row>
    <row r="11" spans="2:6">
      <c r="C11" s="3" t="s">
        <v>10</v>
      </c>
      <c r="D11" s="21">
        <v>6</v>
      </c>
      <c r="E11" s="4"/>
      <c r="F11" s="24" t="s">
        <v>466</v>
      </c>
    </row>
    <row r="12" spans="2:6">
      <c r="C12" s="3" t="s">
        <v>11</v>
      </c>
      <c r="D12" s="21" t="s">
        <v>467</v>
      </c>
      <c r="E12" s="4"/>
      <c r="F12" s="24" t="s">
        <v>468</v>
      </c>
    </row>
    <row r="13" spans="2:6">
      <c r="C13" s="3" t="s">
        <v>12</v>
      </c>
      <c r="D13" s="21" t="s">
        <v>454</v>
      </c>
      <c r="E13" s="4"/>
      <c r="F13" s="24"/>
    </row>
    <row r="14" spans="2:6">
      <c r="C14" s="3" t="s">
        <v>13</v>
      </c>
      <c r="D14" s="21" t="s">
        <v>86</v>
      </c>
      <c r="E14" s="4"/>
    </row>
    <row r="15" spans="2:6">
      <c r="C15" s="3"/>
      <c r="D15" s="4"/>
      <c r="E15" s="4"/>
      <c r="F15" t="s">
        <v>14</v>
      </c>
    </row>
    <row r="16" spans="2:6">
      <c r="C16" s="3"/>
      <c r="D16" s="4"/>
      <c r="E16" s="4"/>
      <c r="F16" s="24" t="s">
        <v>469</v>
      </c>
    </row>
    <row r="17" spans="3:6" ht="18.75">
      <c r="C17" s="5" t="s">
        <v>15</v>
      </c>
      <c r="D17" s="4"/>
      <c r="E17" s="4"/>
      <c r="F17" s="24"/>
    </row>
    <row r="18" spans="3:6">
      <c r="C18" s="3" t="s">
        <v>16</v>
      </c>
      <c r="D18" s="1" t="s">
        <v>15</v>
      </c>
      <c r="E18" s="4"/>
      <c r="F18" s="24"/>
    </row>
    <row r="19" spans="3:6">
      <c r="C19" s="3" t="s">
        <v>17</v>
      </c>
      <c r="D19" s="22">
        <v>20</v>
      </c>
      <c r="E19" s="4"/>
      <c r="F19" s="24"/>
    </row>
    <row r="20" spans="3:6">
      <c r="C20" s="3" t="s">
        <v>18</v>
      </c>
      <c r="D20" s="22">
        <v>16</v>
      </c>
      <c r="E20" s="4"/>
      <c r="F20" s="24"/>
    </row>
    <row r="21" spans="3:6">
      <c r="C21" s="3" t="s">
        <v>19</v>
      </c>
      <c r="D21" s="22">
        <v>4</v>
      </c>
      <c r="E21" s="4"/>
    </row>
    <row r="22" spans="3:6">
      <c r="C22" s="3" t="s">
        <v>20</v>
      </c>
      <c r="D22" s="22"/>
      <c r="E22" s="4"/>
      <c r="F22" t="s">
        <v>21</v>
      </c>
    </row>
    <row r="23" spans="3:6">
      <c r="C23" s="3" t="s">
        <v>22</v>
      </c>
      <c r="D23" s="22"/>
      <c r="E23" s="4"/>
      <c r="F23" s="24"/>
    </row>
    <row r="24" spans="3:6">
      <c r="C24" s="3" t="s">
        <v>23</v>
      </c>
      <c r="D24" s="1">
        <f>SUM(D19:D23)</f>
        <v>40</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46" t="s">
        <v>470</v>
      </c>
      <c r="E29" s="4"/>
      <c r="F29" s="24"/>
    </row>
    <row r="30" spans="3:6" ht="45">
      <c r="C30" s="3" t="s">
        <v>29</v>
      </c>
      <c r="D30" s="21" t="s">
        <v>470</v>
      </c>
      <c r="E30" s="4"/>
      <c r="F30" s="24"/>
    </row>
    <row r="31" spans="3:6" ht="60">
      <c r="C31" s="3" t="s">
        <v>30</v>
      </c>
      <c r="D31" s="21" t="s">
        <v>471</v>
      </c>
      <c r="E31" s="4"/>
      <c r="F31" s="24"/>
    </row>
    <row r="32" spans="3:6" ht="45">
      <c r="C32" s="3" t="s">
        <v>31</v>
      </c>
      <c r="D32" s="21" t="s">
        <v>472</v>
      </c>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96</v>
      </c>
      <c r="E38" s="21" t="s">
        <v>291</v>
      </c>
      <c r="F38" s="21" t="s">
        <v>473</v>
      </c>
      <c r="G38" s="23">
        <v>0.5</v>
      </c>
      <c r="H38" s="21">
        <v>7</v>
      </c>
    </row>
    <row r="39" spans="3:8" ht="30">
      <c r="C39" s="3" t="s">
        <v>44</v>
      </c>
      <c r="D39" s="21" t="s">
        <v>41</v>
      </c>
      <c r="E39" s="21" t="s">
        <v>94</v>
      </c>
      <c r="F39" s="21" t="s">
        <v>474</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246</v>
      </c>
    </row>
    <row r="47" spans="3:8">
      <c r="C47" s="25" t="s">
        <v>40</v>
      </c>
      <c r="D47" s="24" t="s">
        <v>29</v>
      </c>
      <c r="E47" s="24" t="s">
        <v>155</v>
      </c>
      <c r="F47" s="24" t="s">
        <v>327</v>
      </c>
    </row>
    <row r="48" spans="3:8">
      <c r="C48" s="25" t="s">
        <v>40</v>
      </c>
      <c r="D48" s="24" t="s">
        <v>31</v>
      </c>
      <c r="E48" s="24" t="s">
        <v>50</v>
      </c>
      <c r="F48" s="24" t="s">
        <v>246</v>
      </c>
    </row>
    <row r="49" spans="3:6">
      <c r="C49" s="25" t="s">
        <v>44</v>
      </c>
      <c r="D49" s="24" t="s">
        <v>29</v>
      </c>
      <c r="E49" s="24" t="s">
        <v>155</v>
      </c>
      <c r="F49" s="24" t="s">
        <v>327</v>
      </c>
    </row>
    <row r="50" spans="3:6">
      <c r="C50" s="25" t="s">
        <v>44</v>
      </c>
      <c r="D50" s="24" t="s">
        <v>30</v>
      </c>
      <c r="E50" s="24" t="s">
        <v>50</v>
      </c>
      <c r="F50" s="24" t="s">
        <v>475</v>
      </c>
    </row>
    <row r="51" spans="3:6">
      <c r="C51" s="25" t="s">
        <v>44</v>
      </c>
      <c r="D51" s="24"/>
      <c r="E51" s="24"/>
      <c r="F51" s="24"/>
    </row>
    <row r="52" spans="3:6">
      <c r="C52" s="25" t="s">
        <v>45</v>
      </c>
      <c r="D52" s="24"/>
      <c r="E52" s="24"/>
      <c r="F52" s="24"/>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476</v>
      </c>
      <c r="E71" s="21" t="s">
        <v>477</v>
      </c>
      <c r="F71" s="21" t="s">
        <v>478</v>
      </c>
    </row>
    <row r="72" spans="2:6">
      <c r="B72" s="7">
        <v>1</v>
      </c>
      <c r="C72" s="1">
        <v>2</v>
      </c>
      <c r="D72" s="21" t="s">
        <v>479</v>
      </c>
      <c r="E72" s="21" t="s">
        <v>480</v>
      </c>
      <c r="F72" s="21" t="s">
        <v>481</v>
      </c>
    </row>
    <row r="73" spans="2:6">
      <c r="B73" s="7">
        <v>1</v>
      </c>
      <c r="C73" s="1">
        <v>3</v>
      </c>
      <c r="D73" s="21" t="s">
        <v>482</v>
      </c>
      <c r="E73" s="21" t="s">
        <v>483</v>
      </c>
      <c r="F73" s="21" t="s">
        <v>484</v>
      </c>
    </row>
    <row r="74" spans="2:6">
      <c r="B74" s="7">
        <v>1</v>
      </c>
      <c r="C74" s="1">
        <v>4</v>
      </c>
      <c r="D74" s="21" t="s">
        <v>485</v>
      </c>
      <c r="E74" s="21" t="s">
        <v>486</v>
      </c>
      <c r="F74" s="21" t="s">
        <v>487</v>
      </c>
    </row>
    <row r="75" spans="2:6">
      <c r="B75" s="7">
        <v>1</v>
      </c>
      <c r="C75" s="1">
        <v>5</v>
      </c>
      <c r="D75" s="21" t="s">
        <v>488</v>
      </c>
      <c r="E75" s="21" t="s">
        <v>489</v>
      </c>
      <c r="F75" s="21" t="s">
        <v>490</v>
      </c>
    </row>
    <row r="76" spans="2:6">
      <c r="B76" s="7">
        <v>1</v>
      </c>
      <c r="C76" s="1">
        <v>6</v>
      </c>
      <c r="D76" s="21" t="s">
        <v>491</v>
      </c>
      <c r="E76" s="21" t="s">
        <v>492</v>
      </c>
      <c r="F76" s="21" t="s">
        <v>493</v>
      </c>
    </row>
    <row r="77" spans="2:6">
      <c r="B77" s="7">
        <v>1</v>
      </c>
      <c r="C77" s="1">
        <v>7</v>
      </c>
      <c r="D77" s="21" t="s">
        <v>164</v>
      </c>
      <c r="E77" s="21" t="s">
        <v>494</v>
      </c>
      <c r="F77" s="21"/>
    </row>
    <row r="78" spans="2:6">
      <c r="B78" s="7">
        <v>1</v>
      </c>
      <c r="C78" s="1">
        <v>8</v>
      </c>
      <c r="D78" s="21" t="s">
        <v>495</v>
      </c>
      <c r="E78" s="21" t="s">
        <v>496</v>
      </c>
      <c r="F78" s="21" t="s">
        <v>497</v>
      </c>
    </row>
    <row r="79" spans="2:6">
      <c r="B79" s="7">
        <v>1</v>
      </c>
      <c r="C79" s="1">
        <v>9</v>
      </c>
      <c r="D79" s="21" t="s">
        <v>498</v>
      </c>
      <c r="E79" s="21" t="s">
        <v>499</v>
      </c>
      <c r="F79" s="21" t="s">
        <v>500</v>
      </c>
    </row>
    <row r="80" spans="2:6">
      <c r="B80" s="7">
        <v>1</v>
      </c>
      <c r="C80" s="1">
        <v>10</v>
      </c>
      <c r="D80" s="21" t="s">
        <v>501</v>
      </c>
      <c r="E80" s="21" t="s">
        <v>502</v>
      </c>
      <c r="F80" s="21" t="s">
        <v>503</v>
      </c>
    </row>
    <row r="81" spans="2:6">
      <c r="B81" s="7">
        <v>1</v>
      </c>
      <c r="C81" s="1">
        <v>11</v>
      </c>
      <c r="D81" s="21" t="s">
        <v>504</v>
      </c>
      <c r="E81" s="21" t="s">
        <v>505</v>
      </c>
      <c r="F81" s="21" t="s">
        <v>506</v>
      </c>
    </row>
    <row r="82" spans="2:6">
      <c r="B82" s="7">
        <v>1</v>
      </c>
      <c r="C82" s="1">
        <v>12</v>
      </c>
      <c r="D82" s="21" t="s">
        <v>507</v>
      </c>
      <c r="E82" s="21" t="s">
        <v>507</v>
      </c>
      <c r="F82" s="21" t="s">
        <v>18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BE32B-C13E-43E7-B873-E387D17625D7}">
  <sheetPr codeName="Sheet24"/>
  <dimension ref="B2:H94"/>
  <sheetViews>
    <sheetView showGridLines="0" zoomScale="62" zoomScaleNormal="85" workbookViewId="0">
      <selection activeCell="E38" sqref="E38"/>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6103SPS</v>
      </c>
      <c r="D2" s="20" t="str">
        <f>D8</f>
        <v>Exercise Metabolism</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508</v>
      </c>
      <c r="E7" s="4"/>
      <c r="F7" s="24" t="s">
        <v>509</v>
      </c>
    </row>
    <row r="8" spans="2:6">
      <c r="B8" s="2"/>
      <c r="C8" s="3" t="s">
        <v>6</v>
      </c>
      <c r="D8" s="21" t="s">
        <v>510</v>
      </c>
      <c r="E8" s="4"/>
      <c r="F8" s="47"/>
    </row>
    <row r="9" spans="2:6">
      <c r="C9" s="3" t="s">
        <v>7</v>
      </c>
      <c r="D9" s="21">
        <v>20</v>
      </c>
      <c r="E9" s="4"/>
    </row>
    <row r="10" spans="2:6">
      <c r="C10" s="3" t="s">
        <v>8</v>
      </c>
      <c r="D10" s="21">
        <v>1</v>
      </c>
      <c r="E10" s="4"/>
      <c r="F10" t="s">
        <v>9</v>
      </c>
    </row>
    <row r="11" spans="2:6">
      <c r="C11" s="3" t="s">
        <v>10</v>
      </c>
      <c r="D11" s="21">
        <v>6</v>
      </c>
      <c r="E11" s="4"/>
      <c r="F11" s="24" t="s">
        <v>511</v>
      </c>
    </row>
    <row r="12" spans="2:6">
      <c r="C12" s="3" t="s">
        <v>11</v>
      </c>
      <c r="D12" s="21" t="s">
        <v>512</v>
      </c>
      <c r="E12" s="4"/>
      <c r="F12" s="24" t="s">
        <v>513</v>
      </c>
    </row>
    <row r="13" spans="2:6">
      <c r="C13" s="3" t="s">
        <v>12</v>
      </c>
      <c r="D13" s="21" t="s">
        <v>454</v>
      </c>
      <c r="E13" s="4"/>
      <c r="F13" s="24" t="s">
        <v>514</v>
      </c>
    </row>
    <row r="14" spans="2:6">
      <c r="C14" s="3" t="s">
        <v>13</v>
      </c>
      <c r="D14" s="21" t="s">
        <v>86</v>
      </c>
      <c r="E14" s="4"/>
    </row>
    <row r="15" spans="2:6">
      <c r="C15" s="3"/>
      <c r="D15" s="4"/>
      <c r="E15" s="4"/>
      <c r="F15" t="s">
        <v>14</v>
      </c>
    </row>
    <row r="16" spans="2:6">
      <c r="C16" s="3"/>
      <c r="D16" s="4"/>
      <c r="E16" s="4"/>
      <c r="F16" s="24" t="s">
        <v>515</v>
      </c>
    </row>
    <row r="17" spans="3:6" ht="18.75">
      <c r="C17" s="5" t="s">
        <v>15</v>
      </c>
      <c r="D17" s="4"/>
      <c r="E17" s="4"/>
      <c r="F17" s="24"/>
    </row>
    <row r="18" spans="3:6">
      <c r="C18" s="3" t="s">
        <v>16</v>
      </c>
      <c r="D18" s="1" t="s">
        <v>15</v>
      </c>
      <c r="E18" s="4"/>
      <c r="F18" s="24"/>
    </row>
    <row r="19" spans="3:6">
      <c r="C19" s="3" t="s">
        <v>17</v>
      </c>
      <c r="D19" s="22">
        <v>22</v>
      </c>
      <c r="E19" s="4"/>
      <c r="F19" s="24"/>
    </row>
    <row r="20" spans="3:6">
      <c r="C20" s="3" t="s">
        <v>18</v>
      </c>
      <c r="D20" s="22">
        <v>18</v>
      </c>
      <c r="E20" s="4"/>
      <c r="F20" s="24"/>
    </row>
    <row r="21" spans="3:6">
      <c r="C21" s="3" t="s">
        <v>19</v>
      </c>
      <c r="D21" s="22">
        <v>4</v>
      </c>
      <c r="E21" s="4"/>
    </row>
    <row r="22" spans="3:6">
      <c r="C22" s="3" t="s">
        <v>20</v>
      </c>
      <c r="D22" s="22"/>
      <c r="E22" s="4"/>
      <c r="F22" t="s">
        <v>21</v>
      </c>
    </row>
    <row r="23" spans="3:6">
      <c r="C23" s="3" t="s">
        <v>22</v>
      </c>
      <c r="D23" s="22"/>
      <c r="E23" s="4"/>
      <c r="F23" s="24"/>
    </row>
    <row r="24" spans="3:6">
      <c r="C24" s="3" t="s">
        <v>23</v>
      </c>
      <c r="D24" s="1">
        <f>SUM(D19:D23)</f>
        <v>44</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46" t="s">
        <v>516</v>
      </c>
      <c r="E29" s="4"/>
      <c r="F29" s="24"/>
    </row>
    <row r="30" spans="3:6" ht="45">
      <c r="C30" s="3" t="s">
        <v>29</v>
      </c>
      <c r="D30" s="21" t="s">
        <v>517</v>
      </c>
      <c r="E30" s="4"/>
      <c r="F30" s="24"/>
    </row>
    <row r="31" spans="3:6" ht="45">
      <c r="C31" s="3" t="s">
        <v>30</v>
      </c>
      <c r="D31" s="21" t="s">
        <v>518</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45">
      <c r="C38" s="3" t="s">
        <v>40</v>
      </c>
      <c r="D38" s="21" t="s">
        <v>290</v>
      </c>
      <c r="E38" s="24" t="s">
        <v>519</v>
      </c>
      <c r="F38" s="21" t="s">
        <v>520</v>
      </c>
      <c r="G38" s="23">
        <v>0.5</v>
      </c>
      <c r="H38" s="21">
        <v>6</v>
      </c>
    </row>
    <row r="39" spans="3:8">
      <c r="C39" s="3" t="s">
        <v>44</v>
      </c>
      <c r="D39" s="21" t="s">
        <v>150</v>
      </c>
      <c r="E39" s="24"/>
      <c r="F39" s="21" t="s">
        <v>521</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189</v>
      </c>
    </row>
    <row r="47" spans="3:8">
      <c r="C47" s="25" t="s">
        <v>40</v>
      </c>
      <c r="D47" s="24" t="s">
        <v>28</v>
      </c>
      <c r="E47" s="24" t="s">
        <v>155</v>
      </c>
      <c r="F47" s="24" t="s">
        <v>327</v>
      </c>
    </row>
    <row r="48" spans="3:8">
      <c r="C48" s="25" t="s">
        <v>40</v>
      </c>
      <c r="D48" s="24" t="s">
        <v>30</v>
      </c>
      <c r="E48" s="24" t="s">
        <v>155</v>
      </c>
      <c r="F48" s="24" t="s">
        <v>157</v>
      </c>
    </row>
    <row r="49" spans="3:6">
      <c r="C49" s="25" t="s">
        <v>40</v>
      </c>
      <c r="D49" s="24" t="s">
        <v>30</v>
      </c>
      <c r="E49" s="24" t="s">
        <v>50</v>
      </c>
      <c r="F49" s="24" t="s">
        <v>475</v>
      </c>
    </row>
    <row r="50" spans="3:6">
      <c r="C50" s="25" t="s">
        <v>44</v>
      </c>
      <c r="D50" s="24" t="s">
        <v>28</v>
      </c>
      <c r="E50" s="24" t="s">
        <v>50</v>
      </c>
      <c r="F50" s="24" t="s">
        <v>246</v>
      </c>
    </row>
    <row r="51" spans="3:6">
      <c r="C51" s="25" t="s">
        <v>44</v>
      </c>
      <c r="D51" s="24" t="s">
        <v>29</v>
      </c>
      <c r="E51" s="24" t="s">
        <v>155</v>
      </c>
      <c r="F51" s="24" t="s">
        <v>522</v>
      </c>
    </row>
    <row r="52" spans="3:6">
      <c r="C52" s="25" t="s">
        <v>44</v>
      </c>
      <c r="D52" s="24" t="s">
        <v>30</v>
      </c>
      <c r="E52" s="24" t="s">
        <v>50</v>
      </c>
      <c r="F52" s="24" t="s">
        <v>52</v>
      </c>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ht="30">
      <c r="B71" s="7">
        <v>1</v>
      </c>
      <c r="C71" s="1">
        <v>1</v>
      </c>
      <c r="D71" s="21" t="s">
        <v>523</v>
      </c>
      <c r="E71" s="21"/>
      <c r="F71" s="21"/>
    </row>
    <row r="72" spans="2:6" ht="30">
      <c r="B72" s="7">
        <v>1</v>
      </c>
      <c r="C72" s="1">
        <v>2</v>
      </c>
      <c r="D72" s="21" t="s">
        <v>524</v>
      </c>
      <c r="E72" s="21" t="s">
        <v>525</v>
      </c>
      <c r="F72" s="21" t="s">
        <v>526</v>
      </c>
    </row>
    <row r="73" spans="2:6">
      <c r="B73" s="7">
        <v>1</v>
      </c>
      <c r="C73" s="1">
        <v>3</v>
      </c>
      <c r="D73" s="21" t="s">
        <v>527</v>
      </c>
      <c r="E73" s="21" t="s">
        <v>528</v>
      </c>
      <c r="F73" s="21" t="s">
        <v>526</v>
      </c>
    </row>
    <row r="74" spans="2:6">
      <c r="B74" s="7">
        <v>1</v>
      </c>
      <c r="C74" s="1">
        <v>4</v>
      </c>
      <c r="D74" s="21" t="s">
        <v>529</v>
      </c>
      <c r="E74" s="21" t="s">
        <v>530</v>
      </c>
      <c r="F74" s="21" t="s">
        <v>526</v>
      </c>
    </row>
    <row r="75" spans="2:6">
      <c r="B75" s="7">
        <v>1</v>
      </c>
      <c r="C75" s="1">
        <v>5</v>
      </c>
      <c r="D75" s="21" t="s">
        <v>531</v>
      </c>
      <c r="E75" s="21" t="s">
        <v>532</v>
      </c>
      <c r="F75" s="21" t="s">
        <v>533</v>
      </c>
    </row>
    <row r="76" spans="2:6">
      <c r="B76" s="7">
        <v>1</v>
      </c>
      <c r="C76" s="1">
        <v>6</v>
      </c>
      <c r="D76" s="21" t="s">
        <v>534</v>
      </c>
      <c r="E76" s="21" t="s">
        <v>535</v>
      </c>
      <c r="F76" s="21" t="s">
        <v>533</v>
      </c>
    </row>
    <row r="77" spans="2:6">
      <c r="B77" s="7">
        <v>1</v>
      </c>
      <c r="C77" s="1">
        <v>7</v>
      </c>
      <c r="D77" s="21"/>
      <c r="E77" s="21"/>
      <c r="F77" s="21"/>
    </row>
    <row r="78" spans="2:6">
      <c r="B78" s="7">
        <v>1</v>
      </c>
      <c r="C78" s="1">
        <v>8</v>
      </c>
      <c r="D78" s="21" t="s">
        <v>536</v>
      </c>
      <c r="E78" s="21" t="s">
        <v>537</v>
      </c>
      <c r="F78" s="21" t="s">
        <v>533</v>
      </c>
    </row>
    <row r="79" spans="2:6">
      <c r="B79" s="7">
        <v>1</v>
      </c>
      <c r="C79" s="1">
        <v>9</v>
      </c>
      <c r="D79" s="21" t="s">
        <v>538</v>
      </c>
      <c r="E79" s="21" t="s">
        <v>539</v>
      </c>
      <c r="F79" s="21" t="s">
        <v>533</v>
      </c>
    </row>
    <row r="80" spans="2:6">
      <c r="B80" s="7">
        <v>1</v>
      </c>
      <c r="C80" s="1">
        <v>10</v>
      </c>
      <c r="D80" s="21" t="s">
        <v>540</v>
      </c>
      <c r="E80" s="21" t="s">
        <v>541</v>
      </c>
      <c r="F80" s="21" t="s">
        <v>542</v>
      </c>
    </row>
    <row r="81" spans="2:6" ht="30">
      <c r="B81" s="7">
        <v>1</v>
      </c>
      <c r="C81" s="1">
        <v>11</v>
      </c>
      <c r="D81" s="21" t="s">
        <v>543</v>
      </c>
      <c r="E81" s="21" t="s">
        <v>544</v>
      </c>
      <c r="F81" s="21" t="s">
        <v>542</v>
      </c>
    </row>
    <row r="82" spans="2:6">
      <c r="B82" s="7">
        <v>1</v>
      </c>
      <c r="C82" s="1">
        <v>12</v>
      </c>
      <c r="D82" s="21" t="s">
        <v>545</v>
      </c>
      <c r="E82" s="21" t="s">
        <v>546</v>
      </c>
      <c r="F82" s="21" t="s">
        <v>547</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3486FC8B-8A92-4E2B-B905-1BA3EF0508BE}">
      <formula1>0</formula1>
      <formula2>80</formula2>
    </dataValidation>
    <dataValidation type="whole" showInputMessage="1" showErrorMessage="1" error="This is not a realistic number of contact hours please change" sqref="D19" xr:uid="{BA94A3D8-CF5C-4BF1-9B00-15AD136B2A41}">
      <formula1>0</formula1>
      <formula2>80</formula2>
    </dataValidation>
    <dataValidation type="list" allowBlank="1" showInputMessage="1" showErrorMessage="1" sqref="F46:F66" xr:uid="{3C579B9B-EFA1-4369-AAE0-F4DE0D5D3082}">
      <formula1>INDIRECT(VLOOKUP($E46, SkillNameMap, 2, FALSE))</formula1>
    </dataValidation>
    <dataValidation type="list" allowBlank="1" showInputMessage="1" showErrorMessage="1" sqref="E41 E39" xr:uid="{F70CFF68-430D-4C69-8888-63611FF54652}">
      <formula1>INDIRECT("LISTAssess[Assessment Specific]")</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AA28AD4F-9AC0-4331-AD9A-D2D6A4C1AF0C}">
          <x14:formula1>
            <xm:f>LISTS!$C$26:$C$37</xm:f>
          </x14:formula1>
          <xm:sqref>D14</xm:sqref>
        </x14:dataValidation>
        <x14:dataValidation type="list" allowBlank="1" showInputMessage="1" showErrorMessage="1" xr:uid="{214D7BA0-B7B9-443D-8174-C52E0B5FDCEF}">
          <x14:formula1>
            <xm:f>LISTS!$C$17:$C$22</xm:f>
          </x14:formula1>
          <xm:sqref>D13</xm:sqref>
        </x14:dataValidation>
        <x14:dataValidation type="list" allowBlank="1" showInputMessage="1" showErrorMessage="1" xr:uid="{AB8D69B5-AB75-4417-8B79-E014DDC7098A}">
          <x14:formula1>
            <xm:f>LISTS!$C$7:$C$9</xm:f>
          </x14:formula1>
          <xm:sqref>D10</xm:sqref>
        </x14:dataValidation>
        <x14:dataValidation type="list" allowBlank="1" showInputMessage="1" showErrorMessage="1" xr:uid="{F1CC1A27-0155-4269-A192-ADEC80B557D1}">
          <x14:formula1>
            <xm:f>LISTS!$C$11:$C$15</xm:f>
          </x14:formula1>
          <xm:sqref>D11</xm:sqref>
        </x14:dataValidation>
        <x14:dataValidation type="list" allowBlank="1" showInputMessage="1" showErrorMessage="1" xr:uid="{90529BE8-F495-439A-A20F-7AECE27D394E}">
          <x14:formula1>
            <xm:f>LISTS!$G$7:$G$11</xm:f>
          </x14:formula1>
          <xm:sqref>D38:D42</xm:sqref>
        </x14:dataValidation>
        <x14:dataValidation type="list" allowBlank="1" showInputMessage="1" showErrorMessage="1" xr:uid="{523B183E-E1B3-4729-8DDB-BC7550523583}">
          <x14:formula1>
            <xm:f>LISTS!$E$7:$E$11</xm:f>
          </x14:formula1>
          <xm:sqref>D46:D66</xm:sqref>
        </x14:dataValidation>
        <x14:dataValidation type="list" allowBlank="1" showInputMessage="1" showErrorMessage="1" xr:uid="{D8A55508-8652-4F73-9662-266E699057AC}">
          <x14:formula1>
            <xm:f>LISTS!$J$7:$J$16</xm:f>
          </x14:formula1>
          <xm:sqref>E46:E66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6"/>
  <dimension ref="B2:H94"/>
  <sheetViews>
    <sheetView showGridLines="0" topLeftCell="A42" zoomScale="85" zoomScaleNormal="85" workbookViewId="0">
      <selection activeCell="D67" sqref="D67"/>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6104SPS</v>
      </c>
      <c r="D2" s="20" t="str">
        <f>D8</f>
        <v>Cardiovascular Physiology</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548</v>
      </c>
      <c r="E7" s="4"/>
      <c r="F7" s="24"/>
    </row>
    <row r="8" spans="2:6">
      <c r="B8" s="2"/>
      <c r="C8" s="3" t="s">
        <v>6</v>
      </c>
      <c r="D8" s="21" t="s">
        <v>549</v>
      </c>
      <c r="E8" s="4"/>
      <c r="F8" s="24"/>
    </row>
    <row r="9" spans="2:6">
      <c r="C9" s="3" t="s">
        <v>7</v>
      </c>
      <c r="D9" s="21">
        <v>20</v>
      </c>
      <c r="E9" s="4"/>
    </row>
    <row r="10" spans="2:6">
      <c r="C10" s="3" t="s">
        <v>8</v>
      </c>
      <c r="D10" s="21">
        <v>1</v>
      </c>
      <c r="E10" s="4"/>
      <c r="F10" t="s">
        <v>9</v>
      </c>
    </row>
    <row r="11" spans="2:6">
      <c r="C11" s="3" t="s">
        <v>10</v>
      </c>
      <c r="D11" s="21">
        <v>6</v>
      </c>
      <c r="E11" s="4"/>
      <c r="F11" s="24"/>
    </row>
    <row r="12" spans="2:6">
      <c r="C12" s="3" t="s">
        <v>11</v>
      </c>
      <c r="D12" s="21" t="s">
        <v>550</v>
      </c>
      <c r="E12" s="4"/>
      <c r="F12" s="24"/>
    </row>
    <row r="13" spans="2:6">
      <c r="C13" s="3" t="s">
        <v>12</v>
      </c>
      <c r="D13" s="21" t="s">
        <v>454</v>
      </c>
      <c r="E13" s="4"/>
      <c r="F13" s="24"/>
    </row>
    <row r="14" spans="2:6">
      <c r="C14" s="3" t="s">
        <v>13</v>
      </c>
      <c r="D14" s="21" t="s">
        <v>86</v>
      </c>
      <c r="E14" s="4"/>
    </row>
    <row r="15" spans="2:6">
      <c r="C15" s="3"/>
      <c r="D15" s="4"/>
      <c r="E15" s="4"/>
      <c r="F15" t="s">
        <v>14</v>
      </c>
    </row>
    <row r="16" spans="2:6">
      <c r="C16" s="3"/>
      <c r="D16" s="4"/>
      <c r="E16" s="4"/>
      <c r="F16" s="24"/>
    </row>
    <row r="17" spans="3:6" ht="18.75">
      <c r="C17" s="5" t="s">
        <v>15</v>
      </c>
      <c r="D17" s="4"/>
      <c r="E17" s="4"/>
      <c r="F17" s="24"/>
    </row>
    <row r="18" spans="3:6">
      <c r="C18" s="3" t="s">
        <v>16</v>
      </c>
      <c r="D18" s="1" t="s">
        <v>15</v>
      </c>
      <c r="E18" s="4"/>
      <c r="F18" s="24"/>
    </row>
    <row r="19" spans="3:6">
      <c r="C19" s="3" t="s">
        <v>17</v>
      </c>
      <c r="D19" s="22">
        <v>18</v>
      </c>
      <c r="E19" s="4"/>
      <c r="F19" s="24"/>
    </row>
    <row r="20" spans="3:6">
      <c r="C20" s="3" t="s">
        <v>18</v>
      </c>
      <c r="D20" s="22">
        <v>4</v>
      </c>
      <c r="E20" s="4"/>
      <c r="F20" s="24"/>
    </row>
    <row r="21" spans="3:6">
      <c r="C21" s="3" t="s">
        <v>19</v>
      </c>
      <c r="D21" s="22">
        <v>16</v>
      </c>
      <c r="E21" s="4"/>
    </row>
    <row r="22" spans="3:6">
      <c r="C22" s="3" t="s">
        <v>20</v>
      </c>
      <c r="D22" s="22"/>
      <c r="E22" s="4"/>
      <c r="F22" t="s">
        <v>21</v>
      </c>
    </row>
    <row r="23" spans="3:6">
      <c r="C23" s="3" t="s">
        <v>22</v>
      </c>
      <c r="D23" s="22"/>
      <c r="E23" s="4"/>
      <c r="F23" s="24"/>
    </row>
    <row r="24" spans="3:6">
      <c r="C24" s="3" t="s">
        <v>23</v>
      </c>
      <c r="D24" s="1">
        <f>SUM(D19:D23)</f>
        <v>38</v>
      </c>
      <c r="E24" s="4"/>
      <c r="F24" s="24"/>
    </row>
    <row r="25" spans="3:6">
      <c r="F25" s="24"/>
    </row>
    <row r="26" spans="3:6">
      <c r="F26" s="24"/>
    </row>
    <row r="27" spans="3:6" ht="18.75">
      <c r="C27" s="5" t="s">
        <v>24</v>
      </c>
      <c r="D27" s="12" t="s">
        <v>25</v>
      </c>
      <c r="F27" s="24"/>
    </row>
    <row r="28" spans="3:6">
      <c r="C28" s="3" t="s">
        <v>26</v>
      </c>
      <c r="D28" s="3" t="s">
        <v>27</v>
      </c>
      <c r="E28" s="3"/>
      <c r="F28" s="24"/>
    </row>
    <row r="29" spans="3:6" ht="60">
      <c r="C29" s="3" t="s">
        <v>28</v>
      </c>
      <c r="D29" s="21" t="s">
        <v>551</v>
      </c>
      <c r="E29" s="4"/>
      <c r="F29" s="24"/>
    </row>
    <row r="30" spans="3:6" ht="30">
      <c r="C30" s="3" t="s">
        <v>29</v>
      </c>
      <c r="D30" s="21" t="s">
        <v>552</v>
      </c>
      <c r="E30" s="4"/>
      <c r="F30" s="24"/>
    </row>
    <row r="31" spans="3:6" ht="60">
      <c r="C31" s="3" t="s">
        <v>30</v>
      </c>
      <c r="D31" s="21" t="s">
        <v>553</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30">
      <c r="C38" s="3" t="s">
        <v>40</v>
      </c>
      <c r="D38" s="21" t="s">
        <v>41</v>
      </c>
      <c r="E38" s="21" t="s">
        <v>94</v>
      </c>
      <c r="F38" s="21" t="s">
        <v>554</v>
      </c>
      <c r="G38" s="23">
        <v>0.5</v>
      </c>
      <c r="H38" s="21">
        <v>8</v>
      </c>
    </row>
    <row r="39" spans="3:8">
      <c r="C39" s="3" t="s">
        <v>44</v>
      </c>
      <c r="D39" s="21" t="s">
        <v>150</v>
      </c>
      <c r="E39" s="21" t="s">
        <v>151</v>
      </c>
      <c r="F39" s="21" t="s">
        <v>555</v>
      </c>
      <c r="G39" s="23">
        <v>0.5</v>
      </c>
      <c r="H39" s="21">
        <v>18</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ht="15.75">
      <c r="C46" s="42" t="s">
        <v>40</v>
      </c>
      <c r="D46" s="42" t="s">
        <v>28</v>
      </c>
      <c r="E46" s="42" t="s">
        <v>57</v>
      </c>
      <c r="F46" s="42" t="s">
        <v>556</v>
      </c>
    </row>
    <row r="47" spans="3:8" ht="15.75">
      <c r="C47" s="42" t="s">
        <v>40</v>
      </c>
      <c r="D47" s="42" t="s">
        <v>28</v>
      </c>
      <c r="E47" s="42" t="s">
        <v>55</v>
      </c>
      <c r="F47" s="42" t="s">
        <v>56</v>
      </c>
    </row>
    <row r="48" spans="3:8" ht="15.75">
      <c r="C48" s="42" t="s">
        <v>40</v>
      </c>
      <c r="D48" s="42" t="s">
        <v>29</v>
      </c>
      <c r="E48" s="42" t="s">
        <v>50</v>
      </c>
      <c r="F48" s="42" t="s">
        <v>557</v>
      </c>
    </row>
    <row r="49" spans="3:6" ht="15.75">
      <c r="C49" s="42" t="s">
        <v>40</v>
      </c>
      <c r="D49" s="42" t="s">
        <v>29</v>
      </c>
      <c r="E49" s="42" t="s">
        <v>50</v>
      </c>
      <c r="F49" s="42" t="s">
        <v>189</v>
      </c>
    </row>
    <row r="50" spans="3:6" ht="15.75">
      <c r="C50" s="42" t="s">
        <v>40</v>
      </c>
      <c r="D50" s="42" t="s">
        <v>30</v>
      </c>
      <c r="E50" s="42" t="s">
        <v>50</v>
      </c>
      <c r="F50" s="42" t="s">
        <v>246</v>
      </c>
    </row>
    <row r="51" spans="3:6" ht="15.75">
      <c r="C51" s="42" t="s">
        <v>40</v>
      </c>
      <c r="D51" s="42" t="s">
        <v>30</v>
      </c>
      <c r="E51" s="42" t="s">
        <v>53</v>
      </c>
      <c r="F51" s="42" t="s">
        <v>557</v>
      </c>
    </row>
    <row r="52" spans="3:6" ht="15.75">
      <c r="C52" s="42" t="s">
        <v>44</v>
      </c>
      <c r="D52" s="42" t="s">
        <v>28</v>
      </c>
      <c r="E52" s="42" t="s">
        <v>50</v>
      </c>
      <c r="F52" s="42" t="s">
        <v>325</v>
      </c>
    </row>
    <row r="53" spans="3:6" ht="15.75">
      <c r="C53" s="42" t="s">
        <v>44</v>
      </c>
      <c r="D53" s="42" t="s">
        <v>28</v>
      </c>
      <c r="E53" s="42" t="s">
        <v>50</v>
      </c>
      <c r="F53" s="42" t="s">
        <v>52</v>
      </c>
    </row>
    <row r="54" spans="3:6" ht="15.75">
      <c r="C54" s="42" t="s">
        <v>44</v>
      </c>
      <c r="D54" s="42" t="s">
        <v>29</v>
      </c>
      <c r="E54" s="42" t="s">
        <v>50</v>
      </c>
      <c r="F54" s="42" t="s">
        <v>189</v>
      </c>
    </row>
    <row r="55" spans="3:6" ht="15.75">
      <c r="C55" s="42" t="s">
        <v>44</v>
      </c>
      <c r="D55" s="42" t="s">
        <v>30</v>
      </c>
      <c r="E55" s="42" t="s">
        <v>50</v>
      </c>
      <c r="F55" s="42" t="s">
        <v>246</v>
      </c>
    </row>
    <row r="56" spans="3:6" ht="15.75">
      <c r="C56" s="42" t="s">
        <v>44</v>
      </c>
      <c r="D56" s="42" t="s">
        <v>30</v>
      </c>
      <c r="E56" s="42" t="s">
        <v>53</v>
      </c>
      <c r="F56" s="42" t="s">
        <v>557</v>
      </c>
    </row>
    <row r="57" spans="3:6" ht="15.75">
      <c r="C57" s="42"/>
      <c r="D57" s="42"/>
      <c r="E57" s="42"/>
      <c r="F57" s="42"/>
    </row>
    <row r="58" spans="3:6" ht="15.75">
      <c r="C58" s="42"/>
      <c r="D58" s="42"/>
      <c r="E58" s="42"/>
      <c r="F58" s="42"/>
    </row>
    <row r="59" spans="3:6" ht="15.75">
      <c r="C59" s="42"/>
      <c r="D59" s="42"/>
      <c r="E59" s="42"/>
      <c r="F59" s="42"/>
    </row>
    <row r="60" spans="3:6" ht="15.75">
      <c r="C60" s="42"/>
      <c r="D60" s="42"/>
      <c r="E60" s="42"/>
      <c r="F60" s="42"/>
    </row>
    <row r="61" spans="3:6" ht="15.75">
      <c r="C61" s="42"/>
      <c r="D61" s="42"/>
      <c r="E61" s="42"/>
      <c r="F61" s="42"/>
    </row>
    <row r="62" spans="3:6" ht="15.75">
      <c r="C62" s="42"/>
      <c r="D62" s="42"/>
      <c r="E62" s="42"/>
      <c r="F62" s="42"/>
    </row>
    <row r="63" spans="3:6" ht="15.75">
      <c r="C63" s="42"/>
      <c r="D63" s="42"/>
      <c r="E63" s="42"/>
      <c r="F63" s="42"/>
    </row>
    <row r="64" spans="3:6" ht="15.75">
      <c r="C64" s="42"/>
      <c r="D64" s="42"/>
      <c r="E64" s="42"/>
      <c r="F64" s="42"/>
    </row>
    <row r="65" spans="2:6" ht="15.75">
      <c r="C65" s="42"/>
      <c r="D65" s="42"/>
      <c r="E65" s="42"/>
      <c r="F65" s="42"/>
    </row>
    <row r="66" spans="2:6" ht="15.75">
      <c r="C66" s="42"/>
      <c r="D66" s="42"/>
      <c r="E66" s="42"/>
      <c r="F66" s="42"/>
    </row>
    <row r="69" spans="2:6" ht="18.75">
      <c r="C69" s="5" t="s">
        <v>59</v>
      </c>
    </row>
    <row r="70" spans="2:6">
      <c r="B70" t="s">
        <v>60</v>
      </c>
      <c r="C70" s="1" t="s">
        <v>61</v>
      </c>
      <c r="D70" s="1" t="s">
        <v>62</v>
      </c>
      <c r="E70" s="1" t="s">
        <v>63</v>
      </c>
      <c r="F70" s="1" t="s">
        <v>64</v>
      </c>
    </row>
    <row r="71" spans="2:6" ht="15.75">
      <c r="B71" s="7">
        <v>1</v>
      </c>
      <c r="C71" s="1">
        <v>1</v>
      </c>
      <c r="D71" s="42" t="s">
        <v>558</v>
      </c>
      <c r="E71" s="42" t="s">
        <v>559</v>
      </c>
      <c r="F71" s="21"/>
    </row>
    <row r="72" spans="2:6" ht="15.75">
      <c r="B72" s="7">
        <v>1</v>
      </c>
      <c r="C72" s="1">
        <v>2</v>
      </c>
      <c r="D72" s="42" t="s">
        <v>560</v>
      </c>
      <c r="E72" s="42" t="s">
        <v>559</v>
      </c>
      <c r="F72" s="21"/>
    </row>
    <row r="73" spans="2:6" ht="15.75">
      <c r="B73" s="7">
        <v>1</v>
      </c>
      <c r="C73" s="1">
        <v>3</v>
      </c>
      <c r="D73" s="42" t="s">
        <v>561</v>
      </c>
      <c r="E73" s="42" t="s">
        <v>562</v>
      </c>
      <c r="F73" s="21"/>
    </row>
    <row r="74" spans="2:6" ht="15.75">
      <c r="B74" s="7">
        <v>1</v>
      </c>
      <c r="C74" s="1">
        <v>4</v>
      </c>
      <c r="D74" s="42" t="s">
        <v>563</v>
      </c>
      <c r="E74" s="42" t="s">
        <v>564</v>
      </c>
      <c r="F74" s="21"/>
    </row>
    <row r="75" spans="2:6" ht="15.75">
      <c r="B75" s="7">
        <v>1</v>
      </c>
      <c r="C75" s="1">
        <v>5</v>
      </c>
      <c r="D75" s="42" t="s">
        <v>565</v>
      </c>
      <c r="E75" s="42" t="s">
        <v>566</v>
      </c>
      <c r="F75" s="21"/>
    </row>
    <row r="76" spans="2:6" ht="15.75">
      <c r="B76" s="7">
        <v>1</v>
      </c>
      <c r="C76" s="1">
        <v>6</v>
      </c>
      <c r="D76" s="42" t="s">
        <v>567</v>
      </c>
      <c r="E76" s="42" t="s">
        <v>568</v>
      </c>
      <c r="F76" s="21"/>
    </row>
    <row r="77" spans="2:6" ht="15.75">
      <c r="B77" s="7">
        <v>1</v>
      </c>
      <c r="C77" s="1">
        <v>7</v>
      </c>
      <c r="D77" s="42" t="s">
        <v>569</v>
      </c>
      <c r="E77" s="40"/>
      <c r="F77" s="21"/>
    </row>
    <row r="78" spans="2:6" ht="15.75">
      <c r="B78" s="7">
        <v>1</v>
      </c>
      <c r="C78" s="1">
        <v>8</v>
      </c>
      <c r="D78" s="42" t="s">
        <v>570</v>
      </c>
      <c r="E78" s="40"/>
      <c r="F78" s="21"/>
    </row>
    <row r="79" spans="2:6" ht="15.75">
      <c r="B79" s="7">
        <v>1</v>
      </c>
      <c r="C79" s="1">
        <v>9</v>
      </c>
      <c r="D79" s="42" t="s">
        <v>571</v>
      </c>
      <c r="E79" s="42" t="s">
        <v>572</v>
      </c>
      <c r="F79" s="21"/>
    </row>
    <row r="80" spans="2:6" ht="15.75">
      <c r="B80" s="7">
        <v>1</v>
      </c>
      <c r="C80" s="1">
        <v>10</v>
      </c>
      <c r="D80" s="42" t="s">
        <v>573</v>
      </c>
      <c r="E80" s="42" t="s">
        <v>574</v>
      </c>
      <c r="F80" s="21"/>
    </row>
    <row r="81" spans="2:6" ht="15.75">
      <c r="B81" s="7">
        <v>1</v>
      </c>
      <c r="C81" s="1">
        <v>11</v>
      </c>
      <c r="D81" s="42" t="s">
        <v>575</v>
      </c>
      <c r="E81" s="42" t="s">
        <v>576</v>
      </c>
      <c r="F81" s="21"/>
    </row>
    <row r="82" spans="2:6" ht="15.75">
      <c r="B82" s="7">
        <v>1</v>
      </c>
      <c r="C82" s="1">
        <v>12</v>
      </c>
      <c r="D82" s="42" t="s">
        <v>577</v>
      </c>
      <c r="E82" s="42" t="s">
        <v>578</v>
      </c>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3">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7"/>
  <dimension ref="B2:H104"/>
  <sheetViews>
    <sheetView showGridLines="0" topLeftCell="A30" zoomScale="80" zoomScaleNormal="80" workbookViewId="0">
      <selection activeCell="C66" sqref="C6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6105SPS</v>
      </c>
      <c r="D2" s="20" t="str">
        <f>D8</f>
        <v>Clinical Biomechanics</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579</v>
      </c>
      <c r="E7" s="4"/>
      <c r="F7" s="24" t="s">
        <v>580</v>
      </c>
    </row>
    <row r="8" spans="2:6">
      <c r="B8" s="2"/>
      <c r="C8" s="3" t="s">
        <v>6</v>
      </c>
      <c r="D8" s="21" t="s">
        <v>581</v>
      </c>
      <c r="E8" s="4"/>
      <c r="F8" s="24" t="s">
        <v>582</v>
      </c>
    </row>
    <row r="9" spans="2:6">
      <c r="C9" s="3" t="s">
        <v>7</v>
      </c>
      <c r="D9" s="21">
        <v>20</v>
      </c>
      <c r="E9" s="4"/>
    </row>
    <row r="10" spans="2:6">
      <c r="C10" s="3" t="s">
        <v>8</v>
      </c>
      <c r="D10" s="21">
        <v>2</v>
      </c>
      <c r="E10" s="4"/>
      <c r="F10" t="s">
        <v>9</v>
      </c>
    </row>
    <row r="11" spans="2:6">
      <c r="C11" s="3" t="s">
        <v>10</v>
      </c>
      <c r="D11" s="21">
        <v>6</v>
      </c>
      <c r="E11" s="4"/>
      <c r="F11" s="24" t="s">
        <v>583</v>
      </c>
    </row>
    <row r="12" spans="2:6">
      <c r="C12" s="3" t="s">
        <v>11</v>
      </c>
      <c r="D12" s="21" t="s">
        <v>584</v>
      </c>
      <c r="E12" s="4"/>
      <c r="F12" s="24"/>
    </row>
    <row r="13" spans="2:6">
      <c r="C13" s="3" t="s">
        <v>12</v>
      </c>
      <c r="D13" s="21" t="s">
        <v>454</v>
      </c>
      <c r="E13" s="4"/>
      <c r="F13" s="24"/>
    </row>
    <row r="14" spans="2:6">
      <c r="C14" s="3" t="s">
        <v>13</v>
      </c>
      <c r="D14" s="21" t="s">
        <v>420</v>
      </c>
      <c r="E14" s="4"/>
    </row>
    <row r="15" spans="2:6">
      <c r="C15" s="3"/>
      <c r="D15" s="4"/>
      <c r="E15" s="4"/>
      <c r="F15" t="s">
        <v>14</v>
      </c>
    </row>
    <row r="16" spans="2:6">
      <c r="C16" s="3"/>
      <c r="D16" s="4"/>
      <c r="E16" s="4"/>
      <c r="F16" s="24" t="s">
        <v>585</v>
      </c>
    </row>
    <row r="17" spans="3:6" ht="18.75">
      <c r="C17" s="5" t="s">
        <v>15</v>
      </c>
      <c r="D17" s="4"/>
      <c r="E17" s="4"/>
      <c r="F17" s="24"/>
    </row>
    <row r="18" spans="3:6">
      <c r="C18" s="3" t="s">
        <v>16</v>
      </c>
      <c r="D18" s="1" t="s">
        <v>15</v>
      </c>
      <c r="E18" s="4"/>
      <c r="F18" s="24"/>
    </row>
    <row r="19" spans="3:6">
      <c r="C19" s="3" t="s">
        <v>17</v>
      </c>
      <c r="D19" s="22">
        <v>18</v>
      </c>
      <c r="E19" s="4"/>
      <c r="F19" s="24"/>
    </row>
    <row r="20" spans="3:6">
      <c r="C20" s="3" t="s">
        <v>18</v>
      </c>
      <c r="D20" s="22">
        <v>4</v>
      </c>
      <c r="E20" s="4"/>
      <c r="F20" s="24"/>
    </row>
    <row r="21" spans="3:6">
      <c r="C21" s="3" t="s">
        <v>19</v>
      </c>
      <c r="D21" s="22">
        <v>8</v>
      </c>
      <c r="E21" s="4"/>
    </row>
    <row r="22" spans="3:6">
      <c r="C22" s="3" t="s">
        <v>20</v>
      </c>
      <c r="D22" s="22">
        <v>4</v>
      </c>
      <c r="E22" s="4"/>
      <c r="F22" t="s">
        <v>21</v>
      </c>
    </row>
    <row r="23" spans="3:6">
      <c r="C23" s="3" t="s">
        <v>22</v>
      </c>
      <c r="D23" s="22">
        <v>4</v>
      </c>
      <c r="E23" s="4"/>
      <c r="F23" s="24" t="s">
        <v>586</v>
      </c>
    </row>
    <row r="24" spans="3:6">
      <c r="C24" s="3" t="s">
        <v>23</v>
      </c>
      <c r="D24" s="1">
        <f>SUM(D19:D23)</f>
        <v>38</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21" t="s">
        <v>587</v>
      </c>
      <c r="E29" s="4"/>
      <c r="F29" s="24"/>
    </row>
    <row r="30" spans="3:6" ht="30">
      <c r="C30" s="3" t="s">
        <v>29</v>
      </c>
      <c r="D30" s="21" t="s">
        <v>588</v>
      </c>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290</v>
      </c>
      <c r="E38" s="21" t="s">
        <v>459</v>
      </c>
      <c r="F38" s="21" t="s">
        <v>589</v>
      </c>
      <c r="G38" s="23">
        <v>0.5</v>
      </c>
      <c r="H38" s="21">
        <v>7</v>
      </c>
    </row>
    <row r="39" spans="3:8" ht="30">
      <c r="C39" s="3" t="s">
        <v>44</v>
      </c>
      <c r="D39" s="21" t="s">
        <v>150</v>
      </c>
      <c r="E39" s="21" t="s">
        <v>291</v>
      </c>
      <c r="F39" s="21" t="s">
        <v>590</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189</v>
      </c>
    </row>
    <row r="47" spans="3:8">
      <c r="C47" s="25" t="s">
        <v>40</v>
      </c>
      <c r="D47" s="24" t="s">
        <v>28</v>
      </c>
      <c r="E47" s="24" t="s">
        <v>50</v>
      </c>
      <c r="F47" s="24" t="s">
        <v>52</v>
      </c>
    </row>
    <row r="48" spans="3:8">
      <c r="C48" s="25" t="s">
        <v>40</v>
      </c>
      <c r="D48" s="24" t="s">
        <v>28</v>
      </c>
      <c r="E48" s="24" t="s">
        <v>50</v>
      </c>
      <c r="F48" s="24" t="s">
        <v>51</v>
      </c>
    </row>
    <row r="49" spans="3:6">
      <c r="C49" s="25" t="s">
        <v>40</v>
      </c>
      <c r="D49" s="24" t="s">
        <v>28</v>
      </c>
      <c r="E49" s="24" t="s">
        <v>50</v>
      </c>
      <c r="F49" s="24" t="s">
        <v>246</v>
      </c>
    </row>
    <row r="50" spans="3:6">
      <c r="C50" s="25" t="s">
        <v>40</v>
      </c>
      <c r="D50" s="24" t="s">
        <v>28</v>
      </c>
      <c r="E50" s="24" t="s">
        <v>57</v>
      </c>
      <c r="F50" s="24" t="s">
        <v>556</v>
      </c>
    </row>
    <row r="51" spans="3:6">
      <c r="C51" s="25" t="s">
        <v>40</v>
      </c>
      <c r="D51" s="24" t="s">
        <v>28</v>
      </c>
      <c r="E51" s="24" t="s">
        <v>57</v>
      </c>
      <c r="F51" s="24" t="s">
        <v>190</v>
      </c>
    </row>
    <row r="52" spans="3:6">
      <c r="C52" s="25" t="s">
        <v>40</v>
      </c>
      <c r="D52" s="24" t="s">
        <v>28</v>
      </c>
      <c r="E52" s="24" t="s">
        <v>57</v>
      </c>
      <c r="F52" s="24" t="s">
        <v>78</v>
      </c>
    </row>
    <row r="53" spans="3:6">
      <c r="C53" s="25" t="s">
        <v>40</v>
      </c>
      <c r="D53" s="24" t="s">
        <v>28</v>
      </c>
      <c r="E53" s="24" t="s">
        <v>57</v>
      </c>
      <c r="F53" s="24" t="s">
        <v>591</v>
      </c>
    </row>
    <row r="54" spans="3:6">
      <c r="C54" s="25" t="s">
        <v>40</v>
      </c>
      <c r="D54" s="24" t="s">
        <v>28</v>
      </c>
      <c r="E54" s="24" t="s">
        <v>57</v>
      </c>
      <c r="F54" s="24" t="s">
        <v>58</v>
      </c>
    </row>
    <row r="55" spans="3:6">
      <c r="C55" s="25" t="s">
        <v>40</v>
      </c>
      <c r="D55" s="24" t="s">
        <v>28</v>
      </c>
      <c r="E55" s="24" t="s">
        <v>57</v>
      </c>
      <c r="F55" s="24" t="s">
        <v>592</v>
      </c>
    </row>
    <row r="56" spans="3:6">
      <c r="C56" s="25" t="s">
        <v>40</v>
      </c>
      <c r="D56" s="24" t="s">
        <v>28</v>
      </c>
      <c r="E56" s="24" t="s">
        <v>53</v>
      </c>
      <c r="F56" s="24" t="s">
        <v>54</v>
      </c>
    </row>
    <row r="57" spans="3:6">
      <c r="C57" s="25" t="s">
        <v>40</v>
      </c>
      <c r="D57" s="24" t="s">
        <v>28</v>
      </c>
      <c r="E57" s="24" t="s">
        <v>53</v>
      </c>
      <c r="F57" s="24" t="s">
        <v>192</v>
      </c>
    </row>
    <row r="58" spans="3:6">
      <c r="C58" s="25" t="s">
        <v>40</v>
      </c>
      <c r="D58" s="24" t="s">
        <v>28</v>
      </c>
      <c r="E58" s="24" t="s">
        <v>155</v>
      </c>
      <c r="F58" s="24" t="s">
        <v>156</v>
      </c>
    </row>
    <row r="59" spans="3:6">
      <c r="C59" s="25" t="s">
        <v>40</v>
      </c>
      <c r="D59" s="24" t="s">
        <v>28</v>
      </c>
      <c r="E59" s="24" t="s">
        <v>155</v>
      </c>
      <c r="F59" s="24" t="s">
        <v>327</v>
      </c>
    </row>
    <row r="60" spans="3:6">
      <c r="C60" s="25" t="s">
        <v>40</v>
      </c>
      <c r="D60" s="24" t="s">
        <v>28</v>
      </c>
      <c r="E60" s="24" t="s">
        <v>155</v>
      </c>
      <c r="F60" s="24" t="s">
        <v>157</v>
      </c>
    </row>
    <row r="61" spans="3:6">
      <c r="C61" s="25" t="s">
        <v>40</v>
      </c>
      <c r="D61" s="24" t="s">
        <v>28</v>
      </c>
      <c r="E61" s="24" t="s">
        <v>155</v>
      </c>
      <c r="F61" s="24" t="s">
        <v>373</v>
      </c>
    </row>
    <row r="62" spans="3:6">
      <c r="C62" s="25" t="s">
        <v>40</v>
      </c>
      <c r="D62" s="24" t="s">
        <v>28</v>
      </c>
      <c r="E62" s="24" t="s">
        <v>155</v>
      </c>
      <c r="F62" s="24" t="s">
        <v>593</v>
      </c>
    </row>
    <row r="63" spans="3:6">
      <c r="C63" s="25" t="s">
        <v>40</v>
      </c>
      <c r="D63" s="24" t="s">
        <v>28</v>
      </c>
      <c r="E63" s="24" t="s">
        <v>55</v>
      </c>
      <c r="F63" s="24" t="s">
        <v>191</v>
      </c>
    </row>
    <row r="64" spans="3:6">
      <c r="C64" s="25" t="s">
        <v>40</v>
      </c>
      <c r="D64" s="24" t="s">
        <v>28</v>
      </c>
      <c r="E64" s="24" t="s">
        <v>55</v>
      </c>
      <c r="F64" s="24" t="s">
        <v>293</v>
      </c>
    </row>
    <row r="65" spans="2:6">
      <c r="C65" s="25" t="s">
        <v>40</v>
      </c>
      <c r="D65" s="24" t="s">
        <v>28</v>
      </c>
      <c r="E65" s="24" t="s">
        <v>252</v>
      </c>
      <c r="F65" s="24" t="s">
        <v>594</v>
      </c>
    </row>
    <row r="66" spans="2:6">
      <c r="C66" s="25" t="s">
        <v>595</v>
      </c>
      <c r="D66" s="24"/>
      <c r="E66" s="24"/>
      <c r="F66" s="24"/>
    </row>
    <row r="67" spans="2:6">
      <c r="C67" s="25" t="s">
        <v>596</v>
      </c>
      <c r="D67" s="24"/>
      <c r="E67" s="24"/>
      <c r="F67" s="24"/>
    </row>
    <row r="68" spans="2:6">
      <c r="C68" s="25"/>
      <c r="D68" s="24"/>
      <c r="E68" s="24"/>
      <c r="F68" s="24"/>
    </row>
    <row r="69" spans="2:6">
      <c r="C69" s="25"/>
      <c r="D69" s="24"/>
      <c r="E69" s="24"/>
      <c r="F69" s="24"/>
    </row>
    <row r="70" spans="2:6">
      <c r="C70" s="25"/>
      <c r="D70" s="24"/>
      <c r="E70" s="24"/>
      <c r="F70" s="24"/>
    </row>
    <row r="71" spans="2:6">
      <c r="C71" s="25"/>
      <c r="D71" s="24"/>
      <c r="E71" s="24"/>
      <c r="F71" s="24"/>
    </row>
    <row r="72" spans="2:6">
      <c r="C72" s="25"/>
      <c r="D72" s="24"/>
      <c r="E72" s="24"/>
      <c r="F72" s="24"/>
    </row>
    <row r="73" spans="2:6">
      <c r="C73" s="25"/>
      <c r="D73" s="24"/>
      <c r="E73" s="24"/>
      <c r="F73" s="24"/>
    </row>
    <row r="74" spans="2:6">
      <c r="C74" s="25"/>
      <c r="D74" s="24"/>
      <c r="E74" s="24"/>
      <c r="F74" s="24"/>
    </row>
    <row r="75" spans="2:6">
      <c r="C75" s="25"/>
      <c r="D75" s="24"/>
      <c r="E75" s="24"/>
      <c r="F75" s="24"/>
    </row>
    <row r="76" spans="2:6">
      <c r="C76" s="25"/>
      <c r="D76" s="24"/>
      <c r="E76" s="24"/>
      <c r="F76" s="24"/>
    </row>
    <row r="77" spans="2:6">
      <c r="C77" s="25"/>
      <c r="D77" s="24"/>
      <c r="E77" s="24"/>
      <c r="F77" s="24"/>
    </row>
    <row r="79" spans="2:6" ht="18.75">
      <c r="C79" s="5" t="s">
        <v>59</v>
      </c>
    </row>
    <row r="80" spans="2:6">
      <c r="B80" t="s">
        <v>60</v>
      </c>
      <c r="C80" s="1" t="s">
        <v>61</v>
      </c>
      <c r="D80" s="1" t="s">
        <v>62</v>
      </c>
      <c r="E80" s="1" t="s">
        <v>63</v>
      </c>
      <c r="F80" s="1" t="s">
        <v>64</v>
      </c>
    </row>
    <row r="81" spans="2:6">
      <c r="B81" s="7">
        <v>1</v>
      </c>
      <c r="C81" s="1">
        <v>1</v>
      </c>
      <c r="D81" s="21"/>
      <c r="E81" s="21"/>
      <c r="F81" s="21"/>
    </row>
    <row r="82" spans="2:6">
      <c r="B82" s="7">
        <v>1</v>
      </c>
      <c r="C82" s="1">
        <v>2</v>
      </c>
      <c r="D82" s="21"/>
      <c r="E82" s="21"/>
      <c r="F82" s="21"/>
    </row>
    <row r="83" spans="2:6">
      <c r="B83" s="7">
        <v>1</v>
      </c>
      <c r="C83" s="1">
        <v>3</v>
      </c>
      <c r="D83" s="21"/>
      <c r="E83" s="21"/>
      <c r="F83" s="21"/>
    </row>
    <row r="84" spans="2:6">
      <c r="B84" s="7">
        <v>1</v>
      </c>
      <c r="C84" s="1">
        <v>4</v>
      </c>
      <c r="D84" s="21"/>
      <c r="E84" s="21"/>
      <c r="F84" s="21"/>
    </row>
    <row r="85" spans="2:6">
      <c r="B85" s="7">
        <v>1</v>
      </c>
      <c r="C85" s="1">
        <v>5</v>
      </c>
      <c r="D85" s="21"/>
      <c r="E85" s="21"/>
      <c r="F85" s="21"/>
    </row>
    <row r="86" spans="2:6">
      <c r="B86" s="7">
        <v>1</v>
      </c>
      <c r="C86" s="1">
        <v>6</v>
      </c>
      <c r="D86" s="21"/>
      <c r="E86" s="21"/>
      <c r="F86" s="21"/>
    </row>
    <row r="87" spans="2:6">
      <c r="B87" s="7">
        <v>1</v>
      </c>
      <c r="C87" s="1">
        <v>7</v>
      </c>
      <c r="D87" s="21"/>
      <c r="E87" s="21"/>
      <c r="F87" s="21"/>
    </row>
    <row r="88" spans="2:6">
      <c r="B88" s="7">
        <v>1</v>
      </c>
      <c r="C88" s="1">
        <v>8</v>
      </c>
      <c r="D88" s="21"/>
      <c r="E88" s="21"/>
      <c r="F88" s="21"/>
    </row>
    <row r="89" spans="2:6">
      <c r="B89" s="7">
        <v>1</v>
      </c>
      <c r="C89" s="1">
        <v>9</v>
      </c>
      <c r="D89" s="21"/>
      <c r="E89" s="21"/>
      <c r="F89" s="21"/>
    </row>
    <row r="90" spans="2:6">
      <c r="B90" s="7">
        <v>1</v>
      </c>
      <c r="C90" s="1">
        <v>10</v>
      </c>
      <c r="D90" s="21"/>
      <c r="E90" s="21"/>
      <c r="F90" s="21"/>
    </row>
    <row r="91" spans="2:6">
      <c r="B91" s="7">
        <v>1</v>
      </c>
      <c r="C91" s="1">
        <v>11</v>
      </c>
      <c r="D91" s="21"/>
      <c r="E91" s="21"/>
      <c r="F91" s="21"/>
    </row>
    <row r="92" spans="2:6">
      <c r="B92" s="7">
        <v>1</v>
      </c>
      <c r="C92" s="1">
        <v>12</v>
      </c>
      <c r="D92" s="21"/>
      <c r="E92" s="21"/>
      <c r="F92" s="21"/>
    </row>
    <row r="93" spans="2:6" ht="30">
      <c r="B93" s="7">
        <v>2</v>
      </c>
      <c r="C93" s="1">
        <v>1</v>
      </c>
      <c r="D93" s="21" t="s">
        <v>597</v>
      </c>
      <c r="E93" s="21" t="s">
        <v>598</v>
      </c>
      <c r="F93" s="21"/>
    </row>
    <row r="94" spans="2:6" ht="30">
      <c r="B94" s="7">
        <v>2</v>
      </c>
      <c r="C94" s="1">
        <v>2</v>
      </c>
      <c r="D94" s="21" t="s">
        <v>599</v>
      </c>
      <c r="E94" s="21" t="s">
        <v>600</v>
      </c>
      <c r="F94" s="21"/>
    </row>
    <row r="95" spans="2:6" ht="45">
      <c r="B95" s="7">
        <v>2</v>
      </c>
      <c r="C95" s="1">
        <v>3</v>
      </c>
      <c r="D95" s="21" t="s">
        <v>601</v>
      </c>
      <c r="E95" s="21" t="s">
        <v>602</v>
      </c>
      <c r="F95" s="21"/>
    </row>
    <row r="96" spans="2:6">
      <c r="B96" s="7">
        <v>2</v>
      </c>
      <c r="C96" s="1">
        <v>4</v>
      </c>
      <c r="D96" s="21" t="s">
        <v>603</v>
      </c>
      <c r="E96" s="21" t="s">
        <v>604</v>
      </c>
      <c r="F96" s="21"/>
    </row>
    <row r="97" spans="2:6">
      <c r="B97" s="7">
        <v>2</v>
      </c>
      <c r="C97" s="1">
        <v>5</v>
      </c>
      <c r="D97" s="21" t="s">
        <v>605</v>
      </c>
      <c r="E97" s="21" t="s">
        <v>606</v>
      </c>
      <c r="F97" s="21"/>
    </row>
    <row r="98" spans="2:6" ht="30">
      <c r="B98" s="7">
        <v>2</v>
      </c>
      <c r="C98" s="1">
        <v>6</v>
      </c>
      <c r="D98" s="21" t="s">
        <v>607</v>
      </c>
      <c r="E98" s="21" t="s">
        <v>608</v>
      </c>
      <c r="F98" s="21"/>
    </row>
    <row r="99" spans="2:6">
      <c r="B99" s="7">
        <v>2</v>
      </c>
      <c r="C99" s="1">
        <v>7</v>
      </c>
      <c r="D99" s="21" t="s">
        <v>609</v>
      </c>
      <c r="E99" s="21"/>
      <c r="F99" s="21"/>
    </row>
    <row r="100" spans="2:6">
      <c r="B100" s="7">
        <v>2</v>
      </c>
      <c r="C100" s="1">
        <v>8</v>
      </c>
      <c r="D100" s="21" t="s">
        <v>610</v>
      </c>
      <c r="E100" s="21" t="s">
        <v>611</v>
      </c>
      <c r="F100" s="21"/>
    </row>
    <row r="101" spans="2:6" ht="30">
      <c r="B101" s="7">
        <v>2</v>
      </c>
      <c r="C101" s="1">
        <v>9</v>
      </c>
      <c r="D101" s="21" t="s">
        <v>612</v>
      </c>
      <c r="E101" s="21" t="s">
        <v>613</v>
      </c>
      <c r="F101" s="21"/>
    </row>
    <row r="102" spans="2:6" ht="30">
      <c r="B102" s="7">
        <v>2</v>
      </c>
      <c r="C102" s="1">
        <v>10</v>
      </c>
      <c r="D102" s="21" t="s">
        <v>614</v>
      </c>
      <c r="E102" s="21" t="s">
        <v>615</v>
      </c>
      <c r="F102" s="21"/>
    </row>
    <row r="103" spans="2:6">
      <c r="B103" s="7">
        <v>2</v>
      </c>
      <c r="C103" s="1">
        <v>11</v>
      </c>
      <c r="D103" s="21" t="s">
        <v>616</v>
      </c>
      <c r="E103" s="21" t="s">
        <v>617</v>
      </c>
      <c r="F103" s="21"/>
    </row>
    <row r="104" spans="2:6">
      <c r="B104" s="7">
        <v>2</v>
      </c>
      <c r="C104" s="1">
        <v>12</v>
      </c>
      <c r="D104" s="21" t="s">
        <v>618</v>
      </c>
      <c r="E104" s="21"/>
      <c r="F104" s="21"/>
    </row>
  </sheetData>
  <sheetProtection selectLockedCells="1" sort="0" autoFilter="0" pivotTables="0"/>
  <phoneticPr fontId="2" type="noConversion"/>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18"/>
  <dimension ref="B2:H94"/>
  <sheetViews>
    <sheetView showGridLines="0" topLeftCell="B7" zoomScale="85" zoomScaleNormal="85" workbookViewId="0">
      <selection activeCell="D9" sqref="D9:D14"/>
    </sheetView>
  </sheetViews>
  <sheetFormatPr defaultColWidth="8.85546875" defaultRowHeight="15"/>
  <cols>
    <col min="3" max="3" width="33.28515625" customWidth="1"/>
    <col min="4" max="4" width="51.42578125" customWidth="1"/>
    <col min="5" max="5" width="42.42578125" customWidth="1"/>
    <col min="6" max="6" width="71" customWidth="1"/>
    <col min="7" max="7" width="12.42578125" customWidth="1"/>
    <col min="8" max="8" width="15.42578125" customWidth="1"/>
    <col min="9" max="9" width="14.7109375" customWidth="1"/>
  </cols>
  <sheetData>
    <row r="2" spans="2:6" ht="26.25">
      <c r="C2" s="20" t="str">
        <f>D7</f>
        <v>6106SPS</v>
      </c>
      <c r="D2" s="20" t="str">
        <f>D8</f>
        <v>Module Title</v>
      </c>
    </row>
    <row r="3" spans="2:6">
      <c r="B3" s="1"/>
      <c r="C3" s="1"/>
    </row>
    <row r="4" spans="2:6">
      <c r="B4" s="2"/>
      <c r="C4" s="2"/>
    </row>
    <row r="5" spans="2:6" ht="18.75">
      <c r="B5" s="2"/>
      <c r="C5" s="5" t="s">
        <v>0</v>
      </c>
    </row>
    <row r="6" spans="2:6">
      <c r="B6" s="2"/>
      <c r="C6" s="3" t="s">
        <v>1</v>
      </c>
      <c r="D6" s="4" t="s">
        <v>2</v>
      </c>
      <c r="E6" s="4"/>
      <c r="F6" t="s">
        <v>3</v>
      </c>
    </row>
    <row r="7" spans="2:6" ht="165">
      <c r="B7" s="2"/>
      <c r="C7" s="3" t="s">
        <v>4</v>
      </c>
      <c r="D7" s="21" t="s">
        <v>619</v>
      </c>
      <c r="E7" s="4"/>
      <c r="F7" s="32" t="s">
        <v>620</v>
      </c>
    </row>
    <row r="8" spans="2:6">
      <c r="B8" s="2"/>
      <c r="C8" s="3" t="s">
        <v>6</v>
      </c>
      <c r="D8" s="21" t="s">
        <v>6</v>
      </c>
      <c r="E8" s="4"/>
      <c r="F8" s="24"/>
    </row>
    <row r="9" spans="2:6">
      <c r="C9" s="3" t="s">
        <v>7</v>
      </c>
      <c r="D9" s="21">
        <v>20</v>
      </c>
      <c r="E9" s="4"/>
    </row>
    <row r="10" spans="2:6">
      <c r="C10" s="3" t="s">
        <v>8</v>
      </c>
      <c r="D10" s="21">
        <v>2</v>
      </c>
      <c r="E10" s="4"/>
      <c r="F10" t="s">
        <v>9</v>
      </c>
    </row>
    <row r="11" spans="2:6" ht="75">
      <c r="C11" s="3" t="s">
        <v>10</v>
      </c>
      <c r="D11" s="21">
        <v>6</v>
      </c>
      <c r="E11" s="4"/>
      <c r="F11" s="32" t="s">
        <v>621</v>
      </c>
    </row>
    <row r="12" spans="2:6" ht="60">
      <c r="C12" s="3" t="s">
        <v>11</v>
      </c>
      <c r="D12" s="21" t="s">
        <v>622</v>
      </c>
      <c r="E12" s="4"/>
      <c r="F12" s="32" t="s">
        <v>623</v>
      </c>
    </row>
    <row r="13" spans="2:6" ht="75">
      <c r="C13" s="3" t="s">
        <v>12</v>
      </c>
      <c r="D13" s="21" t="s">
        <v>454</v>
      </c>
      <c r="E13" s="4"/>
      <c r="F13" s="32" t="s">
        <v>624</v>
      </c>
    </row>
    <row r="14" spans="2:6">
      <c r="C14" s="3" t="s">
        <v>13</v>
      </c>
      <c r="D14" s="21" t="s">
        <v>86</v>
      </c>
      <c r="E14" s="4"/>
    </row>
    <row r="15" spans="2:6">
      <c r="C15" s="3"/>
      <c r="D15" s="4"/>
      <c r="E15" s="4"/>
      <c r="F15" t="s">
        <v>14</v>
      </c>
    </row>
    <row r="16" spans="2:6" ht="90">
      <c r="C16" s="3"/>
      <c r="D16" s="4"/>
      <c r="E16" s="4"/>
      <c r="F16" s="32" t="s">
        <v>625</v>
      </c>
    </row>
    <row r="17" spans="3:6" ht="90">
      <c r="C17" s="5" t="s">
        <v>15</v>
      </c>
      <c r="D17" s="4"/>
      <c r="E17" s="4"/>
      <c r="F17" s="32" t="s">
        <v>626</v>
      </c>
    </row>
    <row r="18" spans="3:6" ht="60">
      <c r="C18" s="3" t="s">
        <v>16</v>
      </c>
      <c r="D18" s="1" t="s">
        <v>15</v>
      </c>
      <c r="E18" s="4"/>
      <c r="F18" s="32" t="s">
        <v>627</v>
      </c>
    </row>
    <row r="19" spans="3:6">
      <c r="C19" s="3" t="s">
        <v>17</v>
      </c>
      <c r="D19" s="22">
        <v>22</v>
      </c>
      <c r="E19" s="4"/>
      <c r="F19" s="24"/>
    </row>
    <row r="20" spans="3:6">
      <c r="C20" s="3" t="s">
        <v>18</v>
      </c>
      <c r="D20" s="22">
        <v>16</v>
      </c>
      <c r="E20" s="4"/>
      <c r="F20" s="24"/>
    </row>
    <row r="21" spans="3:6">
      <c r="C21" s="3" t="s">
        <v>19</v>
      </c>
      <c r="D21" s="22"/>
      <c r="E21" s="4"/>
    </row>
    <row r="22" spans="3:6">
      <c r="C22" s="3" t="s">
        <v>20</v>
      </c>
      <c r="D22" s="22">
        <v>8</v>
      </c>
      <c r="E22" s="4"/>
      <c r="F22" t="s">
        <v>21</v>
      </c>
    </row>
    <row r="23" spans="3:6">
      <c r="C23" s="3" t="s">
        <v>22</v>
      </c>
      <c r="D23" s="22"/>
      <c r="E23" s="4"/>
      <c r="F23" s="24"/>
    </row>
    <row r="24" spans="3:6">
      <c r="C24" s="3" t="s">
        <v>23</v>
      </c>
      <c r="D24" s="1">
        <f>SUM(D19:D23)</f>
        <v>46</v>
      </c>
      <c r="E24" s="4"/>
      <c r="F24" s="24"/>
    </row>
    <row r="25" spans="3:6">
      <c r="F25" s="24"/>
    </row>
    <row r="26" spans="3:6">
      <c r="F26" s="24"/>
    </row>
    <row r="27" spans="3:6" ht="18.75">
      <c r="C27" s="5" t="s">
        <v>24</v>
      </c>
      <c r="D27" s="12" t="s">
        <v>25</v>
      </c>
      <c r="F27" s="24"/>
    </row>
    <row r="28" spans="3:6">
      <c r="C28" s="3" t="s">
        <v>26</v>
      </c>
      <c r="D28" s="3" t="s">
        <v>27</v>
      </c>
      <c r="E28" s="3"/>
      <c r="F28" s="24"/>
    </row>
    <row r="29" spans="3:6" ht="75">
      <c r="C29" s="3" t="s">
        <v>28</v>
      </c>
      <c r="D29" s="32" t="s">
        <v>628</v>
      </c>
      <c r="E29" s="4"/>
      <c r="F29" s="24"/>
    </row>
    <row r="30" spans="3:6" ht="75">
      <c r="C30" s="3" t="s">
        <v>29</v>
      </c>
      <c r="D30" s="32" t="s">
        <v>629</v>
      </c>
      <c r="E30" s="4"/>
      <c r="F30" s="24"/>
    </row>
    <row r="31" spans="3:6" ht="60">
      <c r="C31" s="3" t="s">
        <v>30</v>
      </c>
      <c r="D31" s="32" t="s">
        <v>630</v>
      </c>
      <c r="E31" s="4"/>
      <c r="F31" s="24"/>
    </row>
    <row r="32" spans="3:6" ht="60">
      <c r="C32" s="3" t="s">
        <v>31</v>
      </c>
      <c r="D32" s="32" t="s">
        <v>631</v>
      </c>
      <c r="E32" s="4"/>
      <c r="F32" s="24"/>
    </row>
    <row r="33" spans="3:8" ht="60">
      <c r="C33" s="3" t="s">
        <v>32</v>
      </c>
      <c r="D33" s="32" t="s">
        <v>632</v>
      </c>
      <c r="E33" s="4"/>
      <c r="F33" s="24"/>
    </row>
    <row r="36" spans="3:8" ht="18.75">
      <c r="C36" s="5" t="s">
        <v>33</v>
      </c>
    </row>
    <row r="37" spans="3:8">
      <c r="C37" s="3" t="s">
        <v>34</v>
      </c>
      <c r="D37" s="3" t="s">
        <v>35</v>
      </c>
      <c r="E37" s="3" t="s">
        <v>36</v>
      </c>
      <c r="F37" s="3" t="s">
        <v>37</v>
      </c>
      <c r="G37" s="3" t="s">
        <v>38</v>
      </c>
      <c r="H37" s="3" t="s">
        <v>39</v>
      </c>
    </row>
    <row r="38" spans="3:8">
      <c r="C38" s="3" t="s">
        <v>40</v>
      </c>
      <c r="D38" s="21" t="s">
        <v>290</v>
      </c>
      <c r="E38" s="21" t="s">
        <v>291</v>
      </c>
      <c r="F38" s="53" t="s">
        <v>633</v>
      </c>
      <c r="G38" s="23">
        <v>0.4</v>
      </c>
      <c r="H38" s="21">
        <v>24</v>
      </c>
    </row>
    <row r="39" spans="3:8">
      <c r="C39" s="3" t="s">
        <v>44</v>
      </c>
      <c r="D39" s="21" t="s">
        <v>41</v>
      </c>
      <c r="E39" s="21" t="s">
        <v>94</v>
      </c>
      <c r="F39" s="21" t="s">
        <v>634</v>
      </c>
      <c r="G39" s="23">
        <v>0.6</v>
      </c>
      <c r="H39" s="21">
        <v>33</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246</v>
      </c>
    </row>
    <row r="47" spans="3:8">
      <c r="C47" s="25" t="s">
        <v>40</v>
      </c>
      <c r="D47" s="24" t="s">
        <v>29</v>
      </c>
      <c r="E47" s="24" t="s">
        <v>155</v>
      </c>
      <c r="F47" s="24" t="s">
        <v>327</v>
      </c>
    </row>
    <row r="48" spans="3:8">
      <c r="C48" s="25" t="s">
        <v>40</v>
      </c>
      <c r="D48" s="24" t="s">
        <v>30</v>
      </c>
      <c r="E48" s="24" t="s">
        <v>53</v>
      </c>
      <c r="F48" s="24" t="s">
        <v>154</v>
      </c>
    </row>
    <row r="49" spans="3:6">
      <c r="C49" s="25" t="s">
        <v>40</v>
      </c>
      <c r="D49" s="24" t="s">
        <v>31</v>
      </c>
      <c r="E49" s="24" t="s">
        <v>101</v>
      </c>
      <c r="F49" s="24" t="s">
        <v>635</v>
      </c>
    </row>
    <row r="50" spans="3:6">
      <c r="C50" s="25" t="s">
        <v>40</v>
      </c>
      <c r="D50" s="24" t="s">
        <v>32</v>
      </c>
      <c r="E50" s="24" t="s">
        <v>55</v>
      </c>
      <c r="F50" s="24" t="s">
        <v>191</v>
      </c>
    </row>
    <row r="51" spans="3:6">
      <c r="C51" s="25" t="s">
        <v>44</v>
      </c>
      <c r="D51" s="24" t="s">
        <v>28</v>
      </c>
      <c r="E51" s="24" t="s">
        <v>252</v>
      </c>
      <c r="F51" s="24" t="s">
        <v>636</v>
      </c>
    </row>
    <row r="52" spans="3:6">
      <c r="C52" s="25" t="s">
        <v>44</v>
      </c>
      <c r="D52" s="24" t="s">
        <v>29</v>
      </c>
      <c r="E52" s="24" t="s">
        <v>155</v>
      </c>
      <c r="F52" s="24" t="s">
        <v>156</v>
      </c>
    </row>
    <row r="53" spans="3:6">
      <c r="C53" s="25" t="s">
        <v>44</v>
      </c>
      <c r="D53" s="24" t="s">
        <v>30</v>
      </c>
      <c r="E53" s="24" t="s">
        <v>50</v>
      </c>
      <c r="F53" s="24" t="s">
        <v>189</v>
      </c>
    </row>
    <row r="54" spans="3:6">
      <c r="C54" s="25" t="s">
        <v>44</v>
      </c>
      <c r="D54" s="24" t="s">
        <v>31</v>
      </c>
      <c r="E54" s="24" t="s">
        <v>252</v>
      </c>
      <c r="F54" s="24" t="s">
        <v>636</v>
      </c>
    </row>
    <row r="55" spans="3:6">
      <c r="C55" s="25" t="s">
        <v>44</v>
      </c>
      <c r="D55" s="24" t="s">
        <v>32</v>
      </c>
      <c r="E55" s="24" t="s">
        <v>55</v>
      </c>
      <c r="F55" s="24" t="s">
        <v>56</v>
      </c>
    </row>
    <row r="56" spans="3:6">
      <c r="C56" s="25" t="s">
        <v>637</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t="s">
        <v>254</v>
      </c>
      <c r="E83" s="21" t="s">
        <v>18</v>
      </c>
      <c r="F83" s="21" t="s">
        <v>638</v>
      </c>
    </row>
    <row r="84" spans="2:6">
      <c r="B84" s="7">
        <v>2</v>
      </c>
      <c r="C84" s="1">
        <v>2</v>
      </c>
      <c r="D84" s="21" t="s">
        <v>639</v>
      </c>
      <c r="E84" s="21" t="s">
        <v>18</v>
      </c>
      <c r="F84" s="21" t="s">
        <v>638</v>
      </c>
    </row>
    <row r="85" spans="2:6">
      <c r="B85" s="7">
        <v>2</v>
      </c>
      <c r="C85" s="1">
        <v>3</v>
      </c>
      <c r="D85" s="21" t="s">
        <v>640</v>
      </c>
      <c r="E85" s="21" t="s">
        <v>18</v>
      </c>
      <c r="F85" s="21" t="s">
        <v>638</v>
      </c>
    </row>
    <row r="86" spans="2:6">
      <c r="B86" s="7">
        <v>2</v>
      </c>
      <c r="C86" s="1">
        <v>4</v>
      </c>
      <c r="D86" s="21" t="s">
        <v>641</v>
      </c>
      <c r="E86" s="21" t="s">
        <v>18</v>
      </c>
      <c r="F86" s="21" t="s">
        <v>638</v>
      </c>
    </row>
    <row r="87" spans="2:6" ht="30">
      <c r="B87" s="7">
        <v>2</v>
      </c>
      <c r="C87" s="1">
        <v>5</v>
      </c>
      <c r="D87" s="21" t="s">
        <v>642</v>
      </c>
      <c r="E87" s="21" t="s">
        <v>18</v>
      </c>
      <c r="F87" s="21" t="s">
        <v>638</v>
      </c>
    </row>
    <row r="88" spans="2:6">
      <c r="B88" s="7">
        <v>2</v>
      </c>
      <c r="C88" s="1">
        <v>6</v>
      </c>
      <c r="D88" s="21" t="s">
        <v>643</v>
      </c>
      <c r="E88" s="21" t="s">
        <v>20</v>
      </c>
      <c r="F88" s="21" t="s">
        <v>638</v>
      </c>
    </row>
    <row r="89" spans="2:6">
      <c r="B89" s="7">
        <v>2</v>
      </c>
      <c r="C89" s="1">
        <v>7</v>
      </c>
      <c r="D89" s="21" t="s">
        <v>609</v>
      </c>
      <c r="E89" s="21" t="s">
        <v>609</v>
      </c>
      <c r="F89" s="21" t="s">
        <v>638</v>
      </c>
    </row>
    <row r="90" spans="2:6">
      <c r="B90" s="7">
        <v>2</v>
      </c>
      <c r="C90" s="1">
        <v>8</v>
      </c>
      <c r="D90" s="21" t="s">
        <v>644</v>
      </c>
      <c r="E90" s="21" t="s">
        <v>20</v>
      </c>
      <c r="F90" s="21" t="s">
        <v>638</v>
      </c>
    </row>
    <row r="91" spans="2:6">
      <c r="B91" s="7">
        <v>2</v>
      </c>
      <c r="C91" s="1">
        <v>9</v>
      </c>
      <c r="D91" s="21" t="s">
        <v>645</v>
      </c>
      <c r="E91" s="21" t="s">
        <v>20</v>
      </c>
      <c r="F91" s="21" t="s">
        <v>638</v>
      </c>
    </row>
    <row r="92" spans="2:6">
      <c r="B92" s="7">
        <v>2</v>
      </c>
      <c r="C92" s="1">
        <v>10</v>
      </c>
      <c r="D92" s="21" t="s">
        <v>646</v>
      </c>
      <c r="E92" s="21" t="s">
        <v>20</v>
      </c>
      <c r="F92" s="21" t="s">
        <v>638</v>
      </c>
    </row>
    <row r="93" spans="2:6" ht="30">
      <c r="B93" s="7">
        <v>2</v>
      </c>
      <c r="C93" s="1">
        <v>11</v>
      </c>
      <c r="D93" s="21" t="s">
        <v>647</v>
      </c>
      <c r="E93" s="21" t="s">
        <v>18</v>
      </c>
      <c r="F93" s="21" t="s">
        <v>638</v>
      </c>
    </row>
    <row r="94" spans="2:6">
      <c r="B94" s="7">
        <v>2</v>
      </c>
      <c r="C94" s="1">
        <v>12</v>
      </c>
      <c r="D94" s="21" t="s">
        <v>648</v>
      </c>
      <c r="E94" s="21" t="s">
        <v>276</v>
      </c>
      <c r="F94" s="21" t="s">
        <v>638</v>
      </c>
    </row>
  </sheetData>
  <sheetProtection selectLockedCells="1" sort="0" autoFilter="0" pivotTables="0"/>
  <dataValidations count="4">
    <dataValidation type="list" allowBlank="1" showInputMessage="1" showErrorMessage="1" sqref="F46:F6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E46:E66</xm:sqref>
        </x14:dataValidation>
        <x14:dataValidation type="list" allowBlank="1" showInputMessage="1" showErrorMessage="1" xr:uid="{D5185C3B-86B1-46E5-8604-328E877B51BB}">
          <x14:formula1>
            <xm:f>LISTS!$E$7:$E$11</xm:f>
          </x14:formula1>
          <xm:sqref>D46:D66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A70A0-B8B6-4B8B-82DB-2AB9DA826B6D}">
  <sheetPr codeName="Sheet25"/>
  <dimension ref="B2:H94"/>
  <sheetViews>
    <sheetView showGridLines="0" topLeftCell="A8" zoomScale="85" zoomScaleNormal="85" workbookViewId="0">
      <selection activeCell="E16" sqref="E16"/>
    </sheetView>
  </sheetViews>
  <sheetFormatPr defaultColWidth="8.85546875" defaultRowHeight="15"/>
  <cols>
    <col min="3" max="3" width="33.28515625" customWidth="1"/>
    <col min="4" max="4" width="51.42578125" customWidth="1"/>
    <col min="5" max="5" width="42.42578125" customWidth="1"/>
    <col min="6" max="6" width="71" customWidth="1"/>
    <col min="7" max="7" width="12.42578125" customWidth="1"/>
    <col min="8" max="8" width="15.42578125" customWidth="1"/>
    <col min="9" max="9" width="14.7109375" customWidth="1"/>
  </cols>
  <sheetData>
    <row r="2" spans="2:6" ht="26.25">
      <c r="C2" s="20" t="str">
        <f>D7</f>
        <v>6107SPS</v>
      </c>
      <c r="D2" s="20" t="str">
        <f>D8</f>
        <v>Environmental Physiology</v>
      </c>
    </row>
    <row r="3" spans="2:6">
      <c r="B3" s="1"/>
      <c r="C3" s="1"/>
    </row>
    <row r="4" spans="2:6">
      <c r="B4" s="2"/>
      <c r="C4" s="2"/>
    </row>
    <row r="5" spans="2:6" ht="18.75">
      <c r="B5" s="2"/>
      <c r="C5" s="5" t="s">
        <v>0</v>
      </c>
    </row>
    <row r="6" spans="2:6">
      <c r="B6" s="2"/>
      <c r="C6" s="3" t="s">
        <v>1</v>
      </c>
      <c r="D6" s="4" t="s">
        <v>2</v>
      </c>
      <c r="E6" s="4"/>
      <c r="F6" t="s">
        <v>3</v>
      </c>
    </row>
    <row r="7" spans="2:6">
      <c r="B7" s="2"/>
      <c r="C7" s="3" t="s">
        <v>4</v>
      </c>
      <c r="D7" s="21" t="s">
        <v>649</v>
      </c>
      <c r="E7" s="4"/>
      <c r="F7" s="32"/>
    </row>
    <row r="8" spans="2:6" ht="105">
      <c r="B8" s="2"/>
      <c r="C8" s="3" t="s">
        <v>6</v>
      </c>
      <c r="D8" s="21" t="s">
        <v>650</v>
      </c>
      <c r="E8" s="4"/>
      <c r="F8" s="32" t="s">
        <v>651</v>
      </c>
    </row>
    <row r="9" spans="2:6">
      <c r="C9" s="3" t="s">
        <v>7</v>
      </c>
      <c r="D9" s="21">
        <v>20</v>
      </c>
      <c r="E9" s="4"/>
    </row>
    <row r="10" spans="2:6">
      <c r="C10" s="3" t="s">
        <v>8</v>
      </c>
      <c r="D10" s="21">
        <v>2</v>
      </c>
      <c r="E10" s="4"/>
      <c r="F10" t="s">
        <v>9</v>
      </c>
    </row>
    <row r="11" spans="2:6" ht="135">
      <c r="C11" s="3" t="s">
        <v>10</v>
      </c>
      <c r="D11" s="21">
        <v>6</v>
      </c>
      <c r="E11" s="4"/>
      <c r="F11" s="32" t="s">
        <v>652</v>
      </c>
    </row>
    <row r="12" spans="2:6">
      <c r="C12" s="3" t="s">
        <v>11</v>
      </c>
      <c r="D12" s="21" t="s">
        <v>653</v>
      </c>
      <c r="E12" s="4"/>
      <c r="F12" s="32"/>
    </row>
    <row r="13" spans="2:6">
      <c r="C13" s="3" t="s">
        <v>12</v>
      </c>
      <c r="D13" s="21" t="s">
        <v>454</v>
      </c>
      <c r="E13" s="4"/>
      <c r="F13" s="32"/>
    </row>
    <row r="14" spans="2:6">
      <c r="C14" s="3" t="s">
        <v>13</v>
      </c>
      <c r="D14" s="21" t="s">
        <v>86</v>
      </c>
      <c r="E14" s="4"/>
    </row>
    <row r="15" spans="2:6">
      <c r="C15" s="3"/>
      <c r="D15" s="4"/>
      <c r="E15" s="4"/>
      <c r="F15" t="s">
        <v>14</v>
      </c>
    </row>
    <row r="16" spans="2:6" ht="300">
      <c r="C16" s="3"/>
      <c r="D16" s="4"/>
      <c r="E16" s="4"/>
      <c r="F16" s="32" t="s">
        <v>654</v>
      </c>
    </row>
    <row r="17" spans="3:6" ht="18.75">
      <c r="C17" s="5" t="s">
        <v>15</v>
      </c>
      <c r="D17" s="4"/>
      <c r="E17" s="4"/>
      <c r="F17" s="32"/>
    </row>
    <row r="18" spans="3:6">
      <c r="C18" s="3" t="s">
        <v>16</v>
      </c>
      <c r="D18" s="1" t="s">
        <v>15</v>
      </c>
      <c r="E18" s="4"/>
      <c r="F18" s="32"/>
    </row>
    <row r="19" spans="3:6">
      <c r="C19" s="3" t="s">
        <v>17</v>
      </c>
      <c r="D19" s="22">
        <v>34</v>
      </c>
      <c r="E19" s="4"/>
      <c r="F19" s="24"/>
    </row>
    <row r="20" spans="3:6">
      <c r="C20" s="3" t="s">
        <v>18</v>
      </c>
      <c r="D20" s="22">
        <v>2</v>
      </c>
      <c r="E20" s="4"/>
      <c r="F20" s="24"/>
    </row>
    <row r="21" spans="3:6">
      <c r="C21" s="3" t="s">
        <v>19</v>
      </c>
      <c r="D21" s="22">
        <v>4</v>
      </c>
      <c r="E21" s="4"/>
    </row>
    <row r="22" spans="3:6">
      <c r="C22" s="3" t="s">
        <v>20</v>
      </c>
      <c r="D22" s="22"/>
      <c r="E22" s="4"/>
      <c r="F22" t="s">
        <v>21</v>
      </c>
    </row>
    <row r="23" spans="3:6" ht="15.75">
      <c r="C23" s="3" t="s">
        <v>22</v>
      </c>
      <c r="D23" s="22"/>
      <c r="E23" s="4"/>
      <c r="F23" s="81" t="s">
        <v>655</v>
      </c>
    </row>
    <row r="24" spans="3:6" ht="15.75">
      <c r="C24" s="3" t="s">
        <v>23</v>
      </c>
      <c r="D24" s="1">
        <f>SUM(D19:D23)</f>
        <v>40</v>
      </c>
      <c r="E24" s="4"/>
      <c r="F24" s="82" t="s">
        <v>656</v>
      </c>
    </row>
    <row r="25" spans="3:6" ht="15.75">
      <c r="F25" s="82" t="s">
        <v>657</v>
      </c>
    </row>
    <row r="26" spans="3:6" ht="15.75">
      <c r="F26" s="82" t="s">
        <v>658</v>
      </c>
    </row>
    <row r="27" spans="3:6" ht="18.75">
      <c r="C27" s="5" t="s">
        <v>24</v>
      </c>
      <c r="D27" s="12" t="s">
        <v>25</v>
      </c>
      <c r="F27" s="82" t="s">
        <v>659</v>
      </c>
    </row>
    <row r="28" spans="3:6" ht="15.75">
      <c r="C28" s="3" t="s">
        <v>26</v>
      </c>
      <c r="D28" s="3" t="s">
        <v>27</v>
      </c>
      <c r="E28" s="3"/>
      <c r="F28" s="82" t="s">
        <v>660</v>
      </c>
    </row>
    <row r="29" spans="3:6" ht="31.5">
      <c r="C29" s="3" t="s">
        <v>28</v>
      </c>
      <c r="D29" s="76" t="s">
        <v>661</v>
      </c>
      <c r="E29" s="4"/>
      <c r="F29" s="82" t="s">
        <v>662</v>
      </c>
    </row>
    <row r="30" spans="3:6" ht="63">
      <c r="C30" s="3" t="s">
        <v>29</v>
      </c>
      <c r="D30" s="76" t="s">
        <v>663</v>
      </c>
      <c r="E30" s="4"/>
      <c r="F30" s="82" t="s">
        <v>664</v>
      </c>
    </row>
    <row r="31" spans="3:6" ht="15.75">
      <c r="C31" s="3" t="s">
        <v>30</v>
      </c>
      <c r="D31" s="32"/>
      <c r="E31" s="4"/>
      <c r="F31" s="82" t="s">
        <v>665</v>
      </c>
    </row>
    <row r="32" spans="3:6" ht="15.75">
      <c r="C32" s="3" t="s">
        <v>31</v>
      </c>
      <c r="D32" s="32"/>
      <c r="E32" s="4"/>
      <c r="F32" s="82" t="s">
        <v>666</v>
      </c>
    </row>
    <row r="33" spans="3:8" ht="15.75">
      <c r="C33" s="3" t="s">
        <v>32</v>
      </c>
      <c r="D33" s="32"/>
      <c r="E33" s="4"/>
      <c r="F33" s="82" t="s">
        <v>667</v>
      </c>
    </row>
    <row r="36" spans="3:8" ht="18.75">
      <c r="C36" s="5" t="s">
        <v>33</v>
      </c>
    </row>
    <row r="37" spans="3:8">
      <c r="C37" s="3" t="s">
        <v>34</v>
      </c>
      <c r="D37" s="3" t="s">
        <v>35</v>
      </c>
      <c r="E37" s="3" t="s">
        <v>36</v>
      </c>
      <c r="F37" s="3" t="s">
        <v>37</v>
      </c>
      <c r="G37" s="3" t="s">
        <v>38</v>
      </c>
      <c r="H37" s="3" t="s">
        <v>39</v>
      </c>
    </row>
    <row r="38" spans="3:8" ht="31.5">
      <c r="C38" s="3" t="s">
        <v>40</v>
      </c>
      <c r="D38" s="77" t="s">
        <v>668</v>
      </c>
      <c r="E38" s="80" t="s">
        <v>669</v>
      </c>
      <c r="F38" s="53" t="s">
        <v>670</v>
      </c>
      <c r="G38" s="23">
        <v>0.5</v>
      </c>
      <c r="H38" s="21"/>
    </row>
    <row r="39" spans="3:8" ht="15.75">
      <c r="C39" s="3" t="s">
        <v>44</v>
      </c>
      <c r="D39" s="78" t="s">
        <v>671</v>
      </c>
      <c r="E39" s="79" t="s">
        <v>672</v>
      </c>
      <c r="F39" s="79" t="s">
        <v>673</v>
      </c>
      <c r="G39" s="23">
        <v>0.5</v>
      </c>
      <c r="H39" s="21"/>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c r="E46" s="24"/>
      <c r="F46" s="24"/>
    </row>
    <row r="47" spans="3:8">
      <c r="C47" s="25" t="s">
        <v>40</v>
      </c>
      <c r="D47" s="24"/>
      <c r="E47" s="24"/>
      <c r="F47" s="24"/>
    </row>
    <row r="48" spans="3:8">
      <c r="C48" s="25" t="s">
        <v>40</v>
      </c>
      <c r="D48" s="24"/>
      <c r="E48" s="24"/>
      <c r="F48" s="24"/>
    </row>
    <row r="49" spans="3:6">
      <c r="C49" s="25" t="s">
        <v>40</v>
      </c>
      <c r="D49" s="24"/>
      <c r="E49" s="24"/>
      <c r="F49" s="24"/>
    </row>
    <row r="50" spans="3:6">
      <c r="C50" s="25" t="s">
        <v>40</v>
      </c>
      <c r="D50" s="24"/>
      <c r="E50" s="24"/>
      <c r="F50" s="24"/>
    </row>
    <row r="51" spans="3:6">
      <c r="C51" s="25" t="s">
        <v>44</v>
      </c>
      <c r="D51" s="24"/>
      <c r="E51" s="24"/>
      <c r="F51" s="24"/>
    </row>
    <row r="52" spans="3:6">
      <c r="C52" s="25" t="s">
        <v>44</v>
      </c>
      <c r="D52" s="24"/>
      <c r="E52" s="24"/>
      <c r="F52" s="24"/>
    </row>
    <row r="53" spans="3:6">
      <c r="C53" s="25" t="s">
        <v>44</v>
      </c>
      <c r="D53" s="24"/>
      <c r="E53" s="24"/>
      <c r="F53" s="24"/>
    </row>
    <row r="54" spans="3:6">
      <c r="C54" s="25" t="s">
        <v>44</v>
      </c>
      <c r="D54" s="24"/>
      <c r="E54" s="24"/>
      <c r="F54" s="24"/>
    </row>
    <row r="55" spans="3:6">
      <c r="C55" s="25" t="s">
        <v>44</v>
      </c>
      <c r="D55" s="24"/>
      <c r="E55" s="24"/>
      <c r="F55" s="24"/>
    </row>
    <row r="56" spans="3:6">
      <c r="C56" s="25" t="s">
        <v>44</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t="s">
        <v>674</v>
      </c>
      <c r="E83" s="21"/>
      <c r="F83" s="21"/>
    </row>
    <row r="84" spans="2:6">
      <c r="B84" s="7">
        <v>2</v>
      </c>
      <c r="C84" s="1">
        <v>2</v>
      </c>
      <c r="D84" s="21" t="s">
        <v>675</v>
      </c>
      <c r="E84" s="21"/>
      <c r="F84" s="21"/>
    </row>
    <row r="85" spans="2:6">
      <c r="B85" s="7">
        <v>2</v>
      </c>
      <c r="C85" s="1">
        <v>3</v>
      </c>
      <c r="D85" s="21" t="s">
        <v>676</v>
      </c>
      <c r="E85" s="21"/>
      <c r="F85" s="21"/>
    </row>
    <row r="86" spans="2:6">
      <c r="B86" s="7">
        <v>2</v>
      </c>
      <c r="C86" s="1">
        <v>4</v>
      </c>
      <c r="D86" s="21" t="s">
        <v>677</v>
      </c>
      <c r="E86" s="21"/>
      <c r="F86" s="21"/>
    </row>
    <row r="87" spans="2:6">
      <c r="B87" s="7">
        <v>2</v>
      </c>
      <c r="C87" s="1">
        <v>5</v>
      </c>
      <c r="D87" s="21" t="s">
        <v>678</v>
      </c>
      <c r="E87" s="21"/>
      <c r="F87" s="21"/>
    </row>
    <row r="88" spans="2:6">
      <c r="B88" s="7">
        <v>2</v>
      </c>
      <c r="C88" s="1">
        <v>6</v>
      </c>
      <c r="D88" s="21" t="s">
        <v>679</v>
      </c>
      <c r="E88" s="21"/>
      <c r="F88" s="21"/>
    </row>
    <row r="89" spans="2:6">
      <c r="B89" s="7">
        <v>2</v>
      </c>
      <c r="C89" s="1">
        <v>7</v>
      </c>
      <c r="D89" s="21" t="s">
        <v>680</v>
      </c>
      <c r="E89" s="21"/>
      <c r="F89" s="21"/>
    </row>
    <row r="90" spans="2:6">
      <c r="B90" s="7">
        <v>2</v>
      </c>
      <c r="C90" s="1">
        <v>8</v>
      </c>
      <c r="D90" s="21" t="s">
        <v>681</v>
      </c>
      <c r="E90" s="21"/>
      <c r="F90" s="21"/>
    </row>
    <row r="91" spans="2:6">
      <c r="B91" s="7">
        <v>2</v>
      </c>
      <c r="C91" s="1">
        <v>9</v>
      </c>
      <c r="D91" s="21" t="s">
        <v>682</v>
      </c>
      <c r="E91" s="21"/>
      <c r="F91" s="21"/>
    </row>
    <row r="92" spans="2:6">
      <c r="B92" s="7">
        <v>2</v>
      </c>
      <c r="C92" s="1">
        <v>10</v>
      </c>
      <c r="D92" s="21" t="s">
        <v>683</v>
      </c>
      <c r="E92" s="21"/>
      <c r="F92" s="21"/>
    </row>
    <row r="93" spans="2:6">
      <c r="B93" s="7">
        <v>2</v>
      </c>
      <c r="C93" s="1">
        <v>11</v>
      </c>
      <c r="D93" s="21" t="s">
        <v>684</v>
      </c>
      <c r="E93" s="21"/>
      <c r="F93" s="21"/>
    </row>
    <row r="94" spans="2:6">
      <c r="B94" s="7">
        <v>2</v>
      </c>
      <c r="C94" s="1">
        <v>12</v>
      </c>
      <c r="D94" s="21" t="s">
        <v>685</v>
      </c>
      <c r="E94" s="21"/>
      <c r="F94" s="21"/>
    </row>
  </sheetData>
  <sheetProtection selectLockedCells="1" sort="0" autoFilter="0" pivotTables="0"/>
  <dataValidations count="4">
    <dataValidation type="whole" showInputMessage="1" showErrorMessage="1" error="This is not a realistic number of contact hours please reduce" sqref="D20:D23" xr:uid="{8CBCDEC8-6F68-45B0-93C5-4B30DFD3059E}">
      <formula1>0</formula1>
      <formula2>80</formula2>
    </dataValidation>
    <dataValidation type="whole" showInputMessage="1" showErrorMessage="1" error="This is not a realistic number of contact hours please change" sqref="D19" xr:uid="{A3E3042D-C6D6-4659-9EB6-3A0A4CCE562C}">
      <formula1>0</formula1>
      <formula2>80</formula2>
    </dataValidation>
    <dataValidation type="list" allowBlank="1" showInputMessage="1" showErrorMessage="1" sqref="E40:E41" xr:uid="{27ED70AE-0BE6-4926-B89E-CAE1153E545F}">
      <formula1>INDIRECT("LISTAssess[Assessment Specific]")</formula1>
    </dataValidation>
    <dataValidation type="list" allowBlank="1" showInputMessage="1" showErrorMessage="1" sqref="F46:F66" xr:uid="{20FD852B-56EB-41E9-B5E0-D11475773C9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01E0B599-7CBE-42B9-BBAB-34400D753FCD}">
          <x14:formula1>
            <xm:f>LISTS!$C$26:$C$37</xm:f>
          </x14:formula1>
          <xm:sqref>D14</xm:sqref>
        </x14:dataValidation>
        <x14:dataValidation type="list" allowBlank="1" showInputMessage="1" showErrorMessage="1" xr:uid="{4ABF9485-26C6-494E-A1FC-338076509AF5}">
          <x14:formula1>
            <xm:f>LISTS!$C$17:$C$22</xm:f>
          </x14:formula1>
          <xm:sqref>D13</xm:sqref>
        </x14:dataValidation>
        <x14:dataValidation type="list" allowBlank="1" showInputMessage="1" showErrorMessage="1" xr:uid="{5B7033AE-F406-4703-A36A-8F82A754CD98}">
          <x14:formula1>
            <xm:f>LISTS!$C$7:$C$9</xm:f>
          </x14:formula1>
          <xm:sqref>D10</xm:sqref>
        </x14:dataValidation>
        <x14:dataValidation type="list" allowBlank="1" showInputMessage="1" showErrorMessage="1" xr:uid="{94490993-6F1E-4EC4-B660-EDD238DD7DF0}">
          <x14:formula1>
            <xm:f>LISTS!$C$11:$C$15</xm:f>
          </x14:formula1>
          <xm:sqref>D11</xm:sqref>
        </x14:dataValidation>
        <x14:dataValidation type="list" allowBlank="1" showInputMessage="1" showErrorMessage="1" xr:uid="{957CB1A9-C852-440B-BBDE-8D1E3D09EDF7}">
          <x14:formula1>
            <xm:f>LISTS!$G$7:$G$11</xm:f>
          </x14:formula1>
          <xm:sqref>D40:D42</xm:sqref>
        </x14:dataValidation>
        <x14:dataValidation type="list" allowBlank="1" showInputMessage="1" showErrorMessage="1" xr:uid="{8CF8A831-3DC0-40E1-B8B5-362E5214EA0F}">
          <x14:formula1>
            <xm:f>LISTS!$E$7:$E$11</xm:f>
          </x14:formula1>
          <xm:sqref>D46:D66</xm:sqref>
        </x14:dataValidation>
        <x14:dataValidation type="list" allowBlank="1" showInputMessage="1" showErrorMessage="1" xr:uid="{DFCAE399-00E2-4B92-9C9E-43D9858796CB}">
          <x14:formula1>
            <xm:f>LISTS!$J$7:$J$16</xm:f>
          </x14:formula1>
          <xm:sqref>E46:E66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19"/>
  <dimension ref="B2:H94"/>
  <sheetViews>
    <sheetView showGridLines="0" zoomScale="85" zoomScaleNormal="85" workbookViewId="0">
      <selection activeCell="I35" sqref="I35"/>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6108SPS</v>
      </c>
      <c r="D2" s="20" t="str">
        <f>D8</f>
        <v>Health and Performance Nutrition</v>
      </c>
    </row>
    <row r="3" spans="2:6">
      <c r="B3" s="1"/>
      <c r="C3" s="1"/>
    </row>
    <row r="4" spans="2:6">
      <c r="B4" s="2"/>
      <c r="C4" s="2"/>
    </row>
    <row r="5" spans="2:6" ht="18.75">
      <c r="B5" s="2"/>
      <c r="C5" s="5" t="s">
        <v>0</v>
      </c>
    </row>
    <row r="6" spans="2:6">
      <c r="B6" s="2"/>
      <c r="C6" s="3" t="s">
        <v>1</v>
      </c>
      <c r="D6" s="4" t="s">
        <v>2</v>
      </c>
      <c r="E6" s="4"/>
      <c r="F6" t="s">
        <v>3</v>
      </c>
    </row>
    <row r="7" spans="2:6">
      <c r="B7" s="2"/>
      <c r="C7" s="3" t="s">
        <v>4</v>
      </c>
      <c r="D7" s="21" t="s">
        <v>686</v>
      </c>
      <c r="E7" s="4"/>
      <c r="F7" s="24" t="s">
        <v>687</v>
      </c>
    </row>
    <row r="8" spans="2:6">
      <c r="B8" s="2"/>
      <c r="C8" s="3" t="s">
        <v>6</v>
      </c>
      <c r="D8" s="21" t="s">
        <v>688</v>
      </c>
      <c r="E8" s="4"/>
      <c r="F8" s="24" t="s">
        <v>689</v>
      </c>
    </row>
    <row r="9" spans="2:6">
      <c r="C9" s="3" t="s">
        <v>7</v>
      </c>
      <c r="D9" s="21">
        <v>20</v>
      </c>
      <c r="E9" s="4"/>
    </row>
    <row r="10" spans="2:6">
      <c r="C10" s="3" t="s">
        <v>8</v>
      </c>
      <c r="D10" s="21">
        <v>1</v>
      </c>
      <c r="E10" s="4"/>
      <c r="F10" t="s">
        <v>9</v>
      </c>
    </row>
    <row r="11" spans="2:6">
      <c r="C11" s="3" t="s">
        <v>10</v>
      </c>
      <c r="D11" s="21">
        <v>6</v>
      </c>
      <c r="E11" s="4"/>
      <c r="F11" s="24" t="s">
        <v>690</v>
      </c>
    </row>
    <row r="12" spans="2:6" ht="87">
      <c r="C12" s="3" t="s">
        <v>11</v>
      </c>
      <c r="D12" s="21" t="s">
        <v>691</v>
      </c>
      <c r="E12" s="4"/>
      <c r="F12" s="32" t="s">
        <v>692</v>
      </c>
    </row>
    <row r="13" spans="2:6" ht="60">
      <c r="C13" s="3" t="s">
        <v>12</v>
      </c>
      <c r="D13" s="21" t="s">
        <v>454</v>
      </c>
      <c r="E13" s="4"/>
      <c r="F13" s="32" t="s">
        <v>693</v>
      </c>
    </row>
    <row r="14" spans="2:6">
      <c r="C14" s="3" t="s">
        <v>13</v>
      </c>
      <c r="D14" s="21" t="s">
        <v>86</v>
      </c>
      <c r="E14" s="4"/>
    </row>
    <row r="15" spans="2:6">
      <c r="C15" s="3"/>
      <c r="D15" s="4"/>
      <c r="E15" s="4"/>
      <c r="F15" t="s">
        <v>14</v>
      </c>
    </row>
    <row r="16" spans="2:6">
      <c r="C16" s="3"/>
      <c r="D16" s="4"/>
      <c r="E16" s="4"/>
      <c r="F16" s="24" t="s">
        <v>694</v>
      </c>
    </row>
    <row r="17" spans="3:6" ht="18.75">
      <c r="C17" s="5" t="s">
        <v>15</v>
      </c>
      <c r="D17" s="4"/>
      <c r="E17" s="4"/>
      <c r="F17" s="24"/>
    </row>
    <row r="18" spans="3:6">
      <c r="C18" s="3" t="s">
        <v>16</v>
      </c>
      <c r="D18" s="1" t="s">
        <v>15</v>
      </c>
      <c r="E18" s="4"/>
      <c r="F18" s="24"/>
    </row>
    <row r="19" spans="3:6">
      <c r="C19" s="3" t="s">
        <v>17</v>
      </c>
      <c r="D19" s="22">
        <v>18</v>
      </c>
      <c r="E19" s="4"/>
      <c r="F19" s="24"/>
    </row>
    <row r="20" spans="3:6">
      <c r="C20" s="3" t="s">
        <v>18</v>
      </c>
      <c r="D20" s="22">
        <v>14</v>
      </c>
      <c r="E20" s="4"/>
      <c r="F20" s="24"/>
    </row>
    <row r="21" spans="3:6">
      <c r="C21" s="3" t="s">
        <v>19</v>
      </c>
      <c r="D21" s="22">
        <v>2</v>
      </c>
      <c r="E21" s="4"/>
    </row>
    <row r="22" spans="3:6">
      <c r="C22" s="3" t="s">
        <v>20</v>
      </c>
      <c r="D22" s="22">
        <v>2</v>
      </c>
      <c r="E22" s="4"/>
      <c r="F22" t="s">
        <v>21</v>
      </c>
    </row>
    <row r="23" spans="3:6">
      <c r="C23" s="3" t="s">
        <v>22</v>
      </c>
      <c r="D23" s="22"/>
      <c r="E23" s="4"/>
      <c r="F23" s="24"/>
    </row>
    <row r="24" spans="3:6">
      <c r="C24" s="3" t="s">
        <v>23</v>
      </c>
      <c r="D24" s="1">
        <f>SUM(D19:D23)</f>
        <v>36</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21" t="s">
        <v>695</v>
      </c>
      <c r="E29" s="4"/>
      <c r="F29" s="24"/>
    </row>
    <row r="30" spans="3:6" ht="45">
      <c r="C30" s="3" t="s">
        <v>29</v>
      </c>
      <c r="D30" s="21" t="s">
        <v>696</v>
      </c>
      <c r="E30" s="4"/>
      <c r="F30" s="24"/>
    </row>
    <row r="31" spans="3:6" ht="30">
      <c r="C31" s="3" t="s">
        <v>30</v>
      </c>
      <c r="D31" s="21" t="s">
        <v>697</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29.25">
      <c r="C38" s="3" t="s">
        <v>40</v>
      </c>
      <c r="D38" s="21" t="s">
        <v>41</v>
      </c>
      <c r="E38" s="21" t="s">
        <v>42</v>
      </c>
      <c r="F38" s="21" t="s">
        <v>698</v>
      </c>
      <c r="G38" s="23">
        <v>0.3</v>
      </c>
      <c r="H38" s="21">
        <v>9</v>
      </c>
    </row>
    <row r="39" spans="3:8">
      <c r="C39" s="3" t="s">
        <v>44</v>
      </c>
      <c r="D39" s="21" t="s">
        <v>96</v>
      </c>
      <c r="E39" s="21" t="s">
        <v>461</v>
      </c>
      <c r="F39" s="21" t="s">
        <v>699</v>
      </c>
      <c r="G39" s="23">
        <v>0.7</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ht="15.75">
      <c r="C46" s="43" t="s">
        <v>40</v>
      </c>
      <c r="D46" s="42" t="s">
        <v>28</v>
      </c>
      <c r="E46" s="42" t="s">
        <v>57</v>
      </c>
      <c r="F46" s="42" t="s">
        <v>556</v>
      </c>
    </row>
    <row r="47" spans="3:8" ht="15.75">
      <c r="C47" s="44" t="s">
        <v>40</v>
      </c>
      <c r="D47" s="42" t="s">
        <v>28</v>
      </c>
      <c r="E47" s="42" t="s">
        <v>55</v>
      </c>
      <c r="F47" s="42" t="s">
        <v>56</v>
      </c>
    </row>
    <row r="48" spans="3:8" ht="15.75">
      <c r="C48" s="43" t="s">
        <v>40</v>
      </c>
      <c r="D48" s="42" t="s">
        <v>29</v>
      </c>
      <c r="E48" s="42" t="s">
        <v>50</v>
      </c>
      <c r="F48" s="42" t="s">
        <v>557</v>
      </c>
    </row>
    <row r="49" spans="3:6" ht="15.75">
      <c r="C49" s="44" t="s">
        <v>40</v>
      </c>
      <c r="D49" s="42" t="s">
        <v>29</v>
      </c>
      <c r="E49" s="42" t="s">
        <v>50</v>
      </c>
      <c r="F49" s="42" t="s">
        <v>189</v>
      </c>
    </row>
    <row r="50" spans="3:6" ht="15.75">
      <c r="C50" s="43" t="s">
        <v>40</v>
      </c>
      <c r="D50" s="42" t="s">
        <v>30</v>
      </c>
      <c r="E50" s="42" t="s">
        <v>50</v>
      </c>
      <c r="F50" s="42" t="s">
        <v>246</v>
      </c>
    </row>
    <row r="51" spans="3:6" ht="15.75">
      <c r="C51" s="44" t="s">
        <v>44</v>
      </c>
      <c r="D51" s="42" t="s">
        <v>30</v>
      </c>
      <c r="E51" s="42" t="s">
        <v>53</v>
      </c>
      <c r="F51" s="42" t="s">
        <v>557</v>
      </c>
    </row>
    <row r="52" spans="3:6" ht="15.75">
      <c r="C52" s="43" t="s">
        <v>44</v>
      </c>
      <c r="D52" s="42" t="s">
        <v>28</v>
      </c>
      <c r="E52" s="42" t="s">
        <v>50</v>
      </c>
      <c r="F52" s="42" t="s">
        <v>325</v>
      </c>
    </row>
    <row r="53" spans="3:6" ht="15.75">
      <c r="C53" s="44" t="s">
        <v>44</v>
      </c>
      <c r="D53" s="42" t="s">
        <v>28</v>
      </c>
      <c r="E53" s="42" t="s">
        <v>50</v>
      </c>
      <c r="F53" s="42" t="s">
        <v>52</v>
      </c>
    </row>
    <row r="54" spans="3:6" ht="15.75">
      <c r="C54" s="43" t="s">
        <v>44</v>
      </c>
      <c r="D54" s="42" t="s">
        <v>29</v>
      </c>
      <c r="E54" s="42" t="s">
        <v>50</v>
      </c>
      <c r="F54" s="42" t="s">
        <v>189</v>
      </c>
    </row>
    <row r="55" spans="3:6" ht="15.75">
      <c r="C55" s="25" t="s">
        <v>44</v>
      </c>
      <c r="D55" s="42" t="s">
        <v>30</v>
      </c>
      <c r="E55" s="42" t="s">
        <v>50</v>
      </c>
      <c r="F55" s="42" t="s">
        <v>246</v>
      </c>
    </row>
    <row r="56" spans="3:6" ht="15.75">
      <c r="C56" s="25" t="s">
        <v>44</v>
      </c>
      <c r="D56" s="42" t="s">
        <v>30</v>
      </c>
      <c r="E56" s="42" t="s">
        <v>53</v>
      </c>
      <c r="F56" s="42" t="s">
        <v>557</v>
      </c>
    </row>
    <row r="57" spans="3:6" ht="15.75">
      <c r="C57" s="25"/>
      <c r="D57" s="42"/>
      <c r="E57" s="42"/>
      <c r="F57" s="42"/>
    </row>
    <row r="58" spans="3:6" ht="15.75">
      <c r="C58" s="25"/>
      <c r="D58" s="42"/>
      <c r="E58" s="42"/>
      <c r="F58" s="42"/>
    </row>
    <row r="59" spans="3:6" ht="15.75">
      <c r="C59" s="25"/>
      <c r="D59" s="42"/>
      <c r="E59" s="42"/>
      <c r="F59" s="42"/>
    </row>
    <row r="60" spans="3:6" ht="15.75">
      <c r="C60" s="25"/>
      <c r="D60" s="42"/>
      <c r="E60" s="42"/>
      <c r="F60" s="42"/>
    </row>
    <row r="61" spans="3:6" ht="15.75">
      <c r="C61" s="25"/>
      <c r="D61" s="42"/>
      <c r="E61" s="42"/>
      <c r="F61" s="42"/>
    </row>
    <row r="62" spans="3:6" ht="15.75">
      <c r="C62" s="25"/>
      <c r="D62" s="42"/>
      <c r="E62" s="42"/>
      <c r="F62" s="42"/>
    </row>
    <row r="63" spans="3:6" ht="15.75">
      <c r="C63" s="25"/>
      <c r="D63" s="42"/>
      <c r="E63" s="42"/>
      <c r="F63" s="42"/>
    </row>
    <row r="64" spans="3:6" ht="15.75">
      <c r="C64" s="25"/>
      <c r="D64" s="42"/>
      <c r="E64" s="42"/>
      <c r="F64" s="42"/>
    </row>
    <row r="65" spans="2:6" ht="15.75">
      <c r="C65" s="25"/>
      <c r="D65" s="42"/>
      <c r="E65" s="42"/>
      <c r="F65" s="42"/>
    </row>
    <row r="66" spans="2:6" ht="15.75">
      <c r="C66" s="25"/>
      <c r="D66" s="42"/>
      <c r="E66" s="42"/>
      <c r="F66" s="42"/>
    </row>
    <row r="69" spans="2:6" ht="18.75">
      <c r="C69" s="5" t="s">
        <v>59</v>
      </c>
    </row>
    <row r="70" spans="2:6">
      <c r="B70" t="s">
        <v>60</v>
      </c>
      <c r="C70" s="1" t="s">
        <v>61</v>
      </c>
      <c r="D70" s="1" t="s">
        <v>62</v>
      </c>
      <c r="E70" s="1" t="s">
        <v>63</v>
      </c>
      <c r="F70" s="1" t="s">
        <v>64</v>
      </c>
    </row>
    <row r="71" spans="2:6" ht="30">
      <c r="B71" s="7">
        <v>1</v>
      </c>
      <c r="C71" s="1">
        <v>1</v>
      </c>
      <c r="D71" s="21" t="s">
        <v>700</v>
      </c>
      <c r="E71" s="21"/>
      <c r="F71" s="21"/>
    </row>
    <row r="72" spans="2:6">
      <c r="B72" s="7">
        <v>1</v>
      </c>
      <c r="C72" s="1">
        <v>2</v>
      </c>
      <c r="D72" s="21" t="s">
        <v>701</v>
      </c>
      <c r="E72" s="21" t="s">
        <v>702</v>
      </c>
      <c r="F72" s="21"/>
    </row>
    <row r="73" spans="2:6">
      <c r="B73" s="7">
        <v>1</v>
      </c>
      <c r="C73" s="1">
        <v>3</v>
      </c>
      <c r="D73" s="21" t="s">
        <v>703</v>
      </c>
      <c r="E73" s="21" t="s">
        <v>704</v>
      </c>
      <c r="F73" s="21"/>
    </row>
    <row r="74" spans="2:6">
      <c r="B74" s="7">
        <v>1</v>
      </c>
      <c r="C74" s="1">
        <v>4</v>
      </c>
      <c r="D74" s="21" t="s">
        <v>705</v>
      </c>
      <c r="E74" s="21" t="s">
        <v>706</v>
      </c>
      <c r="F74" s="21" t="s">
        <v>707</v>
      </c>
    </row>
    <row r="75" spans="2:6">
      <c r="B75" s="7">
        <v>1</v>
      </c>
      <c r="C75" s="1">
        <v>5</v>
      </c>
      <c r="D75" s="21" t="s">
        <v>708</v>
      </c>
      <c r="E75" s="21" t="s">
        <v>709</v>
      </c>
      <c r="F75" s="21" t="s">
        <v>710</v>
      </c>
    </row>
    <row r="76" spans="2:6">
      <c r="B76" s="7">
        <v>1</v>
      </c>
      <c r="C76" s="1">
        <v>6</v>
      </c>
      <c r="D76" s="21" t="s">
        <v>711</v>
      </c>
      <c r="E76" s="21" t="s">
        <v>712</v>
      </c>
      <c r="F76" s="21" t="s">
        <v>713</v>
      </c>
    </row>
    <row r="77" spans="2:6" ht="18">
      <c r="B77" s="7">
        <v>1</v>
      </c>
      <c r="C77" s="1">
        <v>7</v>
      </c>
      <c r="D77" s="45" t="s">
        <v>569</v>
      </c>
      <c r="E77" s="21"/>
      <c r="F77" s="21"/>
    </row>
    <row r="78" spans="2:6">
      <c r="B78" s="7">
        <v>1</v>
      </c>
      <c r="C78" s="1">
        <v>8</v>
      </c>
      <c r="D78" s="21" t="s">
        <v>714</v>
      </c>
      <c r="E78" s="21" t="s">
        <v>715</v>
      </c>
      <c r="F78" s="21" t="s">
        <v>716</v>
      </c>
    </row>
    <row r="79" spans="2:6">
      <c r="B79" s="7">
        <v>1</v>
      </c>
      <c r="C79" s="1">
        <v>9</v>
      </c>
      <c r="D79" s="21" t="s">
        <v>717</v>
      </c>
      <c r="E79" s="21" t="s">
        <v>718</v>
      </c>
      <c r="F79" s="21"/>
    </row>
    <row r="80" spans="2:6">
      <c r="B80" s="7">
        <v>1</v>
      </c>
      <c r="C80" s="1">
        <v>10</v>
      </c>
      <c r="D80" s="21" t="s">
        <v>719</v>
      </c>
      <c r="E80" s="21"/>
      <c r="F80" s="21"/>
    </row>
    <row r="81" spans="2:6">
      <c r="B81" s="7">
        <v>1</v>
      </c>
      <c r="C81" s="1">
        <v>11</v>
      </c>
      <c r="D81" s="21"/>
      <c r="E81" s="21"/>
      <c r="F81" s="21"/>
    </row>
    <row r="82" spans="2:6">
      <c r="B82" s="7">
        <v>1</v>
      </c>
      <c r="C82" s="1">
        <v>12</v>
      </c>
      <c r="D82" s="21"/>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20"/>
  <dimension ref="B2:H100"/>
  <sheetViews>
    <sheetView showGridLines="0" zoomScale="85" zoomScaleNormal="85" workbookViewId="0">
      <selection activeCell="D30" sqref="D30"/>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6109SPS</v>
      </c>
      <c r="D2" s="20" t="str">
        <f>D8</f>
        <v>Applied Professional Practice </v>
      </c>
    </row>
    <row r="3" spans="2:6">
      <c r="B3" s="1"/>
      <c r="C3" s="1"/>
    </row>
    <row r="4" spans="2:6">
      <c r="B4" s="2"/>
      <c r="C4" s="2"/>
    </row>
    <row r="5" spans="2:6" ht="18.75">
      <c r="B5" s="2"/>
      <c r="C5" s="5" t="s">
        <v>0</v>
      </c>
    </row>
    <row r="6" spans="2:6">
      <c r="B6" s="2"/>
      <c r="C6" s="3" t="s">
        <v>1</v>
      </c>
      <c r="D6" s="4" t="s">
        <v>2</v>
      </c>
      <c r="E6" s="4"/>
      <c r="F6" t="s">
        <v>3</v>
      </c>
    </row>
    <row r="7" spans="2:6" ht="60">
      <c r="B7" s="2"/>
      <c r="C7" s="3" t="s">
        <v>4</v>
      </c>
      <c r="D7" s="21" t="s">
        <v>720</v>
      </c>
      <c r="E7" s="4"/>
      <c r="F7" s="32" t="s">
        <v>721</v>
      </c>
    </row>
    <row r="8" spans="2:6" ht="15.75">
      <c r="B8" s="2"/>
      <c r="C8" s="3" t="s">
        <v>6</v>
      </c>
      <c r="D8" s="26" t="s">
        <v>722</v>
      </c>
      <c r="E8" s="4"/>
      <c r="F8" s="24"/>
    </row>
    <row r="9" spans="2:6">
      <c r="C9" s="3" t="s">
        <v>7</v>
      </c>
      <c r="D9" s="21">
        <v>20</v>
      </c>
      <c r="E9" s="4"/>
    </row>
    <row r="10" spans="2:6">
      <c r="C10" s="3" t="s">
        <v>8</v>
      </c>
      <c r="D10" s="21" t="s">
        <v>723</v>
      </c>
      <c r="E10" s="4"/>
      <c r="F10" t="s">
        <v>9</v>
      </c>
    </row>
    <row r="11" spans="2:6" ht="30">
      <c r="C11" s="3" t="s">
        <v>10</v>
      </c>
      <c r="D11" s="21">
        <v>6</v>
      </c>
      <c r="E11" s="4"/>
      <c r="F11" s="32" t="s">
        <v>724</v>
      </c>
    </row>
    <row r="12" spans="2:6">
      <c r="C12" s="3" t="s">
        <v>11</v>
      </c>
      <c r="D12" s="21" t="s">
        <v>725</v>
      </c>
      <c r="E12" s="4"/>
      <c r="F12" s="24"/>
    </row>
    <row r="13" spans="2:6">
      <c r="C13" s="3" t="s">
        <v>12</v>
      </c>
      <c r="D13" s="21" t="s">
        <v>85</v>
      </c>
      <c r="E13" s="4"/>
      <c r="F13" s="24"/>
    </row>
    <row r="14" spans="2:6">
      <c r="C14" s="3" t="s">
        <v>13</v>
      </c>
      <c r="D14" s="21" t="s">
        <v>86</v>
      </c>
      <c r="E14" s="4"/>
    </row>
    <row r="15" spans="2:6">
      <c r="C15" s="3"/>
      <c r="D15" s="4"/>
      <c r="E15" s="4"/>
      <c r="F15" t="s">
        <v>14</v>
      </c>
    </row>
    <row r="16" spans="2:6" ht="135">
      <c r="C16" s="3"/>
      <c r="D16" s="4"/>
      <c r="E16" s="4"/>
      <c r="F16" s="32" t="s">
        <v>726</v>
      </c>
    </row>
    <row r="17" spans="3:6" ht="18.75">
      <c r="C17" s="5" t="s">
        <v>15</v>
      </c>
      <c r="D17" s="4"/>
      <c r="E17" s="4"/>
      <c r="F17" s="24"/>
    </row>
    <row r="18" spans="3:6">
      <c r="C18" s="3" t="s">
        <v>16</v>
      </c>
      <c r="D18" s="1" t="s">
        <v>15</v>
      </c>
      <c r="E18" s="4"/>
      <c r="F18" s="24"/>
    </row>
    <row r="19" spans="3:6">
      <c r="C19" s="3" t="s">
        <v>17</v>
      </c>
      <c r="D19" s="22">
        <v>10</v>
      </c>
      <c r="E19" s="4"/>
      <c r="F19" s="24"/>
    </row>
    <row r="20" spans="3:6">
      <c r="C20" s="3" t="s">
        <v>18</v>
      </c>
      <c r="D20" s="22"/>
      <c r="E20" s="4"/>
      <c r="F20" s="24"/>
    </row>
    <row r="21" spans="3:6">
      <c r="C21" s="3" t="s">
        <v>19</v>
      </c>
      <c r="D21" s="22">
        <v>40</v>
      </c>
      <c r="E21" s="4"/>
    </row>
    <row r="22" spans="3:6">
      <c r="C22" s="3" t="s">
        <v>20</v>
      </c>
      <c r="D22" s="22"/>
      <c r="E22" s="4"/>
      <c r="F22" t="s">
        <v>21</v>
      </c>
    </row>
    <row r="23" spans="3:6">
      <c r="C23" s="3" t="s">
        <v>22</v>
      </c>
      <c r="D23" s="22"/>
      <c r="E23" s="4"/>
      <c r="F23" s="24"/>
    </row>
    <row r="24" spans="3:6">
      <c r="C24" s="3" t="s">
        <v>23</v>
      </c>
      <c r="D24" s="1">
        <f>SUM(D19:D23)</f>
        <v>50</v>
      </c>
      <c r="E24" s="4"/>
      <c r="F24" s="24"/>
    </row>
    <row r="25" spans="3:6">
      <c r="F25" s="24"/>
    </row>
    <row r="26" spans="3:6">
      <c r="F26" s="24"/>
    </row>
    <row r="27" spans="3:6" ht="18.75">
      <c r="C27" s="5" t="s">
        <v>24</v>
      </c>
      <c r="D27" s="12" t="s">
        <v>25</v>
      </c>
      <c r="F27" s="24"/>
    </row>
    <row r="28" spans="3:6">
      <c r="C28" s="3" t="s">
        <v>26</v>
      </c>
      <c r="D28" s="3" t="s">
        <v>27</v>
      </c>
      <c r="E28" s="3"/>
      <c r="F28" s="24"/>
    </row>
    <row r="29" spans="3:6" ht="47.25">
      <c r="C29" s="3" t="s">
        <v>28</v>
      </c>
      <c r="D29" s="27" t="s">
        <v>727</v>
      </c>
      <c r="E29" s="4"/>
      <c r="F29" s="24"/>
    </row>
    <row r="30" spans="3:6" ht="31.5">
      <c r="C30" s="3" t="s">
        <v>29</v>
      </c>
      <c r="D30" s="27" t="s">
        <v>728</v>
      </c>
      <c r="E30" s="4"/>
      <c r="F30" s="24"/>
    </row>
    <row r="31" spans="3:6" ht="31.5">
      <c r="C31" s="3" t="s">
        <v>30</v>
      </c>
      <c r="D31" s="28" t="s">
        <v>729</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30">
      <c r="C38" s="3" t="s">
        <v>40</v>
      </c>
      <c r="D38" s="29" t="s">
        <v>96</v>
      </c>
      <c r="E38" s="21" t="s">
        <v>461</v>
      </c>
      <c r="F38" s="21" t="s">
        <v>730</v>
      </c>
      <c r="G38" s="23">
        <v>0.5</v>
      </c>
      <c r="H38" s="21">
        <v>26</v>
      </c>
    </row>
    <row r="39" spans="3:8" ht="90.75">
      <c r="C39" s="3" t="s">
        <v>44</v>
      </c>
      <c r="D39" s="21" t="s">
        <v>41</v>
      </c>
      <c r="E39" s="21" t="s">
        <v>94</v>
      </c>
      <c r="F39" s="30" t="s">
        <v>731</v>
      </c>
      <c r="G39" s="23">
        <v>0.5</v>
      </c>
      <c r="H39" s="21">
        <v>26</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189</v>
      </c>
    </row>
    <row r="47" spans="3:8">
      <c r="C47" s="25" t="s">
        <v>44</v>
      </c>
      <c r="D47" s="24" t="s">
        <v>28</v>
      </c>
      <c r="E47" s="24" t="s">
        <v>50</v>
      </c>
      <c r="F47" s="24" t="s">
        <v>475</v>
      </c>
    </row>
    <row r="48" spans="3:8">
      <c r="C48" s="25" t="s">
        <v>40</v>
      </c>
      <c r="D48" s="24" t="s">
        <v>30</v>
      </c>
      <c r="E48" s="24" t="s">
        <v>57</v>
      </c>
      <c r="F48" s="24" t="s">
        <v>78</v>
      </c>
    </row>
    <row r="49" spans="3:6">
      <c r="C49" s="25" t="s">
        <v>40</v>
      </c>
      <c r="D49" s="24" t="s">
        <v>30</v>
      </c>
      <c r="E49" s="24" t="s">
        <v>53</v>
      </c>
      <c r="F49" s="24" t="s">
        <v>192</v>
      </c>
    </row>
    <row r="50" spans="3:6">
      <c r="C50" s="25" t="s">
        <v>40</v>
      </c>
      <c r="D50" s="24" t="s">
        <v>30</v>
      </c>
      <c r="E50" s="24" t="s">
        <v>155</v>
      </c>
      <c r="F50" s="24" t="s">
        <v>157</v>
      </c>
    </row>
    <row r="51" spans="3:6">
      <c r="C51" s="25" t="s">
        <v>44</v>
      </c>
      <c r="D51" s="24" t="s">
        <v>30</v>
      </c>
      <c r="E51" s="24" t="s">
        <v>99</v>
      </c>
      <c r="F51" s="24" t="s">
        <v>100</v>
      </c>
    </row>
    <row r="52" spans="3:6">
      <c r="C52" s="25" t="s">
        <v>44</v>
      </c>
      <c r="D52" s="24" t="s">
        <v>29</v>
      </c>
      <c r="E52" s="24" t="s">
        <v>55</v>
      </c>
      <c r="F52" s="24" t="s">
        <v>56</v>
      </c>
    </row>
    <row r="53" spans="3:6">
      <c r="C53" s="25" t="s">
        <v>44</v>
      </c>
      <c r="D53" s="24" t="s">
        <v>29</v>
      </c>
      <c r="E53" s="24" t="s">
        <v>252</v>
      </c>
      <c r="F53" s="24" t="s">
        <v>636</v>
      </c>
    </row>
    <row r="54" spans="3:6">
      <c r="C54" s="25" t="s">
        <v>44</v>
      </c>
      <c r="D54" s="24" t="s">
        <v>30</v>
      </c>
      <c r="E54" s="24" t="s">
        <v>105</v>
      </c>
      <c r="F54" s="24" t="s">
        <v>106</v>
      </c>
    </row>
    <row r="55" spans="3:6">
      <c r="C55" s="25" t="s">
        <v>44</v>
      </c>
      <c r="D55" s="24" t="s">
        <v>30</v>
      </c>
      <c r="E55" s="24" t="s">
        <v>105</v>
      </c>
      <c r="F55" s="24" t="s">
        <v>248</v>
      </c>
    </row>
    <row r="56" spans="3:6">
      <c r="C56" s="25" t="s">
        <v>44</v>
      </c>
      <c r="D56" s="24" t="s">
        <v>30</v>
      </c>
      <c r="E56" s="24" t="s">
        <v>101</v>
      </c>
      <c r="F56" s="24" t="s">
        <v>732</v>
      </c>
    </row>
    <row r="57" spans="3:6">
      <c r="C57" s="25" t="s">
        <v>44</v>
      </c>
      <c r="D57" s="24" t="s">
        <v>28</v>
      </c>
      <c r="E57" s="24" t="s">
        <v>101</v>
      </c>
      <c r="F57" s="24" t="s">
        <v>102</v>
      </c>
    </row>
    <row r="58" spans="3:6">
      <c r="C58" s="25" t="s">
        <v>44</v>
      </c>
      <c r="D58" s="24" t="s">
        <v>29</v>
      </c>
      <c r="E58" s="24" t="s">
        <v>399</v>
      </c>
      <c r="F58" s="24" t="s">
        <v>400</v>
      </c>
    </row>
    <row r="59" spans="3:6">
      <c r="C59" s="25" t="s">
        <v>44</v>
      </c>
      <c r="D59" s="24" t="s">
        <v>29</v>
      </c>
      <c r="E59" s="24" t="s">
        <v>399</v>
      </c>
      <c r="F59" s="24" t="s">
        <v>733</v>
      </c>
    </row>
    <row r="60" spans="3:6">
      <c r="C60" s="25" t="s">
        <v>44</v>
      </c>
      <c r="D60" s="24" t="s">
        <v>29</v>
      </c>
      <c r="E60" s="24" t="s">
        <v>399</v>
      </c>
      <c r="F60" s="24" t="s">
        <v>734</v>
      </c>
    </row>
    <row r="61" spans="3:6">
      <c r="C61" s="25" t="s">
        <v>44</v>
      </c>
      <c r="D61" s="24" t="s">
        <v>29</v>
      </c>
      <c r="E61" s="24" t="s">
        <v>399</v>
      </c>
      <c r="F61" s="24" t="s">
        <v>735</v>
      </c>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7" spans="2:6">
      <c r="C67" s="25"/>
      <c r="D67" s="24"/>
      <c r="E67" s="24"/>
      <c r="F67" s="24"/>
    </row>
    <row r="68" spans="2:6">
      <c r="C68" s="25"/>
      <c r="D68" s="24"/>
      <c r="E68" s="24"/>
      <c r="F68" s="24"/>
    </row>
    <row r="69" spans="2:6">
      <c r="C69" s="25"/>
      <c r="D69" s="24"/>
      <c r="E69" s="24"/>
      <c r="F69" s="24"/>
    </row>
    <row r="70" spans="2:6">
      <c r="C70" s="25"/>
      <c r="D70" s="24"/>
      <c r="E70" s="24"/>
      <c r="F70" s="24"/>
    </row>
    <row r="71" spans="2:6">
      <c r="C71" s="25"/>
      <c r="D71" s="24"/>
      <c r="E71" s="24"/>
      <c r="F71" s="24"/>
    </row>
    <row r="72" spans="2:6">
      <c r="C72" s="25"/>
      <c r="D72" s="24"/>
      <c r="E72" s="24"/>
      <c r="F72" s="24"/>
    </row>
    <row r="75" spans="2:6" ht="18.75">
      <c r="C75" s="5" t="s">
        <v>59</v>
      </c>
    </row>
    <row r="76" spans="2:6">
      <c r="B76" t="s">
        <v>60</v>
      </c>
      <c r="C76" s="1" t="s">
        <v>61</v>
      </c>
      <c r="D76" s="1" t="s">
        <v>62</v>
      </c>
      <c r="E76" s="1" t="s">
        <v>63</v>
      </c>
      <c r="F76" s="1" t="s">
        <v>64</v>
      </c>
    </row>
    <row r="77" spans="2:6">
      <c r="B77" s="7">
        <v>1</v>
      </c>
      <c r="C77" s="1">
        <v>1</v>
      </c>
      <c r="D77" s="31" t="s">
        <v>736</v>
      </c>
      <c r="E77" s="21"/>
      <c r="F77" s="21" t="s">
        <v>17</v>
      </c>
    </row>
    <row r="78" spans="2:6">
      <c r="B78" s="7">
        <v>1</v>
      </c>
      <c r="C78" s="1">
        <v>2</v>
      </c>
      <c r="D78" s="31" t="s">
        <v>737</v>
      </c>
      <c r="E78" s="21"/>
      <c r="F78" s="21" t="s">
        <v>17</v>
      </c>
    </row>
    <row r="79" spans="2:6">
      <c r="B79" s="7">
        <v>1</v>
      </c>
      <c r="C79" s="1">
        <v>3</v>
      </c>
      <c r="D79" s="31" t="s">
        <v>738</v>
      </c>
      <c r="E79" s="21"/>
      <c r="F79" s="21" t="s">
        <v>17</v>
      </c>
    </row>
    <row r="80" spans="2:6">
      <c r="B80" s="7">
        <v>1</v>
      </c>
      <c r="C80" s="1">
        <v>4</v>
      </c>
      <c r="D80" s="31" t="s">
        <v>739</v>
      </c>
      <c r="E80" s="21"/>
      <c r="F80" s="21" t="s">
        <v>17</v>
      </c>
    </row>
    <row r="81" spans="2:6">
      <c r="B81" s="7">
        <v>1</v>
      </c>
      <c r="C81" s="1">
        <v>5</v>
      </c>
      <c r="D81" s="31" t="s">
        <v>740</v>
      </c>
      <c r="E81" s="21"/>
      <c r="F81" s="21" t="s">
        <v>17</v>
      </c>
    </row>
    <row r="82" spans="2:6">
      <c r="B82" s="7">
        <v>1</v>
      </c>
      <c r="C82" s="1">
        <v>6</v>
      </c>
      <c r="D82" s="31" t="s">
        <v>741</v>
      </c>
      <c r="E82" s="21"/>
      <c r="F82" s="21" t="s">
        <v>17</v>
      </c>
    </row>
    <row r="83" spans="2:6">
      <c r="B83" s="7">
        <v>1</v>
      </c>
      <c r="C83" s="1">
        <v>7</v>
      </c>
      <c r="D83" s="21"/>
      <c r="E83" s="21"/>
      <c r="F83" s="21"/>
    </row>
    <row r="84" spans="2:6">
      <c r="B84" s="7">
        <v>1</v>
      </c>
      <c r="C84" s="1">
        <v>8</v>
      </c>
      <c r="D84" s="21"/>
      <c r="E84" s="21"/>
      <c r="F84" s="21"/>
    </row>
    <row r="85" spans="2:6">
      <c r="B85" s="7">
        <v>1</v>
      </c>
      <c r="C85" s="1">
        <v>9</v>
      </c>
      <c r="D85" s="21"/>
      <c r="E85" s="21"/>
      <c r="F85" s="21"/>
    </row>
    <row r="86" spans="2:6">
      <c r="B86" s="7">
        <v>1</v>
      </c>
      <c r="C86" s="1">
        <v>10</v>
      </c>
      <c r="D86" s="21"/>
      <c r="E86" s="21"/>
      <c r="F86" s="21"/>
    </row>
    <row r="87" spans="2:6">
      <c r="B87" s="7">
        <v>1</v>
      </c>
      <c r="C87" s="1">
        <v>11</v>
      </c>
      <c r="D87" s="21"/>
      <c r="E87" s="21"/>
      <c r="F87" s="21"/>
    </row>
    <row r="88" spans="2:6">
      <c r="B88" s="7">
        <v>1</v>
      </c>
      <c r="C88" s="1">
        <v>12</v>
      </c>
      <c r="D88" s="21"/>
      <c r="E88" s="21"/>
      <c r="F88" s="21"/>
    </row>
    <row r="89" spans="2:6">
      <c r="B89" s="7">
        <v>2</v>
      </c>
      <c r="C89" s="1">
        <v>1</v>
      </c>
      <c r="D89" s="21"/>
      <c r="E89" s="21"/>
      <c r="F89" s="21"/>
    </row>
    <row r="90" spans="2:6">
      <c r="B90" s="7">
        <v>2</v>
      </c>
      <c r="C90" s="1">
        <v>2</v>
      </c>
      <c r="D90" s="21"/>
      <c r="E90" s="21"/>
      <c r="F90" s="21"/>
    </row>
    <row r="91" spans="2:6">
      <c r="B91" s="7">
        <v>2</v>
      </c>
      <c r="C91" s="1">
        <v>3</v>
      </c>
      <c r="D91" s="21"/>
      <c r="E91" s="21"/>
      <c r="F91" s="21"/>
    </row>
    <row r="92" spans="2:6">
      <c r="B92" s="7">
        <v>2</v>
      </c>
      <c r="C92" s="1">
        <v>4</v>
      </c>
      <c r="D92" s="21"/>
      <c r="E92" s="21"/>
      <c r="F92" s="21"/>
    </row>
    <row r="93" spans="2:6">
      <c r="B93" s="7">
        <v>2</v>
      </c>
      <c r="C93" s="1">
        <v>5</v>
      </c>
      <c r="D93" s="21"/>
      <c r="E93" s="21"/>
      <c r="F93" s="21"/>
    </row>
    <row r="94" spans="2:6">
      <c r="B94" s="7">
        <v>2</v>
      </c>
      <c r="C94" s="1">
        <v>6</v>
      </c>
      <c r="D94" s="21"/>
      <c r="E94" s="21"/>
      <c r="F94" s="21"/>
    </row>
    <row r="95" spans="2:6">
      <c r="B95" s="7">
        <v>2</v>
      </c>
      <c r="C95" s="1">
        <v>7</v>
      </c>
      <c r="D95" s="21"/>
      <c r="E95" s="21"/>
      <c r="F95" s="21"/>
    </row>
    <row r="96" spans="2:6">
      <c r="B96" s="7">
        <v>2</v>
      </c>
      <c r="C96" s="1">
        <v>8</v>
      </c>
      <c r="D96" s="21"/>
      <c r="E96" s="21"/>
      <c r="F96" s="21"/>
    </row>
    <row r="97" spans="2:6">
      <c r="B97" s="7">
        <v>2</v>
      </c>
      <c r="C97" s="1">
        <v>9</v>
      </c>
      <c r="D97" s="21"/>
      <c r="E97" s="21"/>
      <c r="F97" s="21"/>
    </row>
    <row r="98" spans="2:6">
      <c r="B98" s="7">
        <v>2</v>
      </c>
      <c r="C98" s="1">
        <v>10</v>
      </c>
      <c r="D98" s="21"/>
      <c r="E98" s="21"/>
      <c r="F98" s="21"/>
    </row>
    <row r="99" spans="2:6">
      <c r="B99" s="7">
        <v>2</v>
      </c>
      <c r="C99" s="1">
        <v>11</v>
      </c>
      <c r="D99" s="21"/>
      <c r="E99" s="21"/>
      <c r="F99" s="21"/>
    </row>
    <row r="100" spans="2:6">
      <c r="B100" s="7">
        <v>2</v>
      </c>
      <c r="C100" s="1">
        <v>12</v>
      </c>
      <c r="D100" s="21"/>
      <c r="E100" s="21"/>
      <c r="F100" s="21"/>
    </row>
  </sheetData>
  <sheetProtection selectLockedCells="1" sort="0" autoFilter="0" pivotTables="0"/>
  <dataValidations count="4">
    <dataValidation type="list" allowBlank="1" showInputMessage="1" showErrorMessage="1" sqref="F46:F72"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E46:E72</xm:sqref>
        </x14:dataValidation>
        <x14:dataValidation type="list" allowBlank="1" showInputMessage="1" showErrorMessage="1" xr:uid="{13524674-6569-4444-A927-B70E751D7616}">
          <x14:formula1>
            <xm:f>LISTS!$E$7:$E$11</xm:f>
          </x14:formula1>
          <xm:sqref>D46:D72</xm:sqref>
        </x14:dataValidation>
        <x14:dataValidation type="list" allowBlank="1" showInputMessage="1" showErrorMessage="1" xr:uid="{BD1D28E8-E44D-43D6-AB31-6906AFB76CC7}">
          <x14:formula1>
            <xm:f>LISTS!$G$7:$G$11</xm:f>
          </x14:formula1>
          <xm:sqref>D39:D42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10"/>
  <dimension ref="B2:H94"/>
  <sheetViews>
    <sheetView showGridLines="0" topLeftCell="A42" zoomScale="85" zoomScaleNormal="85" workbookViewId="0">
      <selection activeCell="G72" sqref="G72"/>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6093SPS</v>
      </c>
      <c r="D2" s="20" t="str">
        <f>D8</f>
        <v>Strength and Conditioning</v>
      </c>
    </row>
    <row r="3" spans="2:6">
      <c r="B3" s="1"/>
      <c r="C3" s="1"/>
    </row>
    <row r="4" spans="2:6">
      <c r="B4" s="2"/>
      <c r="C4" s="2"/>
    </row>
    <row r="5" spans="2:6" ht="18.75">
      <c r="B5" s="2"/>
      <c r="C5" s="5" t="s">
        <v>0</v>
      </c>
    </row>
    <row r="6" spans="2:6">
      <c r="B6" s="2"/>
      <c r="C6" s="3" t="s">
        <v>1</v>
      </c>
      <c r="D6" s="4" t="s">
        <v>2</v>
      </c>
      <c r="E6" s="4"/>
      <c r="F6" t="s">
        <v>3</v>
      </c>
    </row>
    <row r="7" spans="2:6">
      <c r="B7" s="2"/>
      <c r="C7" s="3" t="s">
        <v>4</v>
      </c>
      <c r="D7" s="21" t="s">
        <v>742</v>
      </c>
      <c r="E7" s="4"/>
      <c r="F7" s="36" t="s">
        <v>743</v>
      </c>
    </row>
    <row r="8" spans="2:6">
      <c r="B8" s="2"/>
      <c r="C8" s="3" t="s">
        <v>6</v>
      </c>
      <c r="D8" s="21" t="s">
        <v>744</v>
      </c>
      <c r="E8" s="4"/>
      <c r="F8" s="32"/>
    </row>
    <row r="9" spans="2:6">
      <c r="C9" s="3" t="s">
        <v>7</v>
      </c>
      <c r="D9" s="21">
        <v>20</v>
      </c>
      <c r="E9" s="4"/>
    </row>
    <row r="10" spans="2:6">
      <c r="C10" s="3" t="s">
        <v>8</v>
      </c>
      <c r="D10" s="21">
        <v>1</v>
      </c>
      <c r="E10" s="4"/>
      <c r="F10" t="s">
        <v>9</v>
      </c>
    </row>
    <row r="11" spans="2:6">
      <c r="C11" s="3" t="s">
        <v>10</v>
      </c>
      <c r="D11" s="21">
        <v>6</v>
      </c>
      <c r="E11" s="4"/>
      <c r="F11" s="36" t="s">
        <v>745</v>
      </c>
    </row>
    <row r="12" spans="2:6">
      <c r="C12" s="3" t="s">
        <v>11</v>
      </c>
      <c r="D12" s="21" t="s">
        <v>746</v>
      </c>
      <c r="E12" s="4"/>
      <c r="F12" s="24"/>
    </row>
    <row r="13" spans="2:6">
      <c r="C13" s="3" t="s">
        <v>12</v>
      </c>
      <c r="D13" s="21" t="s">
        <v>454</v>
      </c>
      <c r="E13" s="4"/>
      <c r="F13" s="24"/>
    </row>
    <row r="14" spans="2:6">
      <c r="C14" s="3" t="s">
        <v>13</v>
      </c>
      <c r="D14" s="21" t="s">
        <v>747</v>
      </c>
      <c r="E14" s="4"/>
    </row>
    <row r="15" spans="2:6">
      <c r="C15" s="3"/>
      <c r="D15" s="4"/>
      <c r="E15" s="4"/>
      <c r="F15" t="s">
        <v>14</v>
      </c>
    </row>
    <row r="16" spans="2:6">
      <c r="C16" s="3"/>
      <c r="D16" s="4"/>
      <c r="E16" s="4"/>
      <c r="F16" s="36" t="s">
        <v>748</v>
      </c>
    </row>
    <row r="17" spans="3:6" ht="18.75">
      <c r="C17" s="5" t="s">
        <v>15</v>
      </c>
      <c r="D17" s="4"/>
      <c r="E17" s="4"/>
      <c r="F17" s="24"/>
    </row>
    <row r="18" spans="3:6">
      <c r="C18" s="3" t="s">
        <v>16</v>
      </c>
      <c r="D18" s="1" t="s">
        <v>15</v>
      </c>
      <c r="E18" s="4"/>
      <c r="F18" s="24"/>
    </row>
    <row r="19" spans="3:6">
      <c r="C19" s="3" t="s">
        <v>17</v>
      </c>
      <c r="D19" s="22">
        <v>22</v>
      </c>
      <c r="E19" s="4"/>
      <c r="F19" s="24"/>
    </row>
    <row r="20" spans="3:6">
      <c r="C20" s="3" t="s">
        <v>18</v>
      </c>
      <c r="D20" s="22">
        <v>6</v>
      </c>
      <c r="E20" s="4"/>
      <c r="F20" s="24"/>
    </row>
    <row r="21" spans="3:6">
      <c r="C21" s="3" t="s">
        <v>19</v>
      </c>
      <c r="D21" s="22">
        <v>12</v>
      </c>
      <c r="E21" s="4"/>
    </row>
    <row r="22" spans="3:6">
      <c r="C22" s="3" t="s">
        <v>20</v>
      </c>
      <c r="D22" s="22"/>
      <c r="E22" s="4"/>
      <c r="F22" t="s">
        <v>21</v>
      </c>
    </row>
    <row r="23" spans="3:6">
      <c r="C23" s="3" t="s">
        <v>22</v>
      </c>
      <c r="D23" s="22"/>
      <c r="E23" s="4"/>
      <c r="F23" s="24"/>
    </row>
    <row r="24" spans="3:6">
      <c r="C24" s="3" t="s">
        <v>23</v>
      </c>
      <c r="D24" s="1">
        <f>SUM(D19:D23)</f>
        <v>40</v>
      </c>
      <c r="E24" s="4"/>
      <c r="F24" s="24"/>
    </row>
    <row r="25" spans="3:6">
      <c r="F25" s="24"/>
    </row>
    <row r="26" spans="3:6">
      <c r="F26" s="24"/>
    </row>
    <row r="27" spans="3:6" ht="18.75">
      <c r="C27" s="5" t="s">
        <v>24</v>
      </c>
      <c r="D27" s="12" t="s">
        <v>25</v>
      </c>
      <c r="F27" s="24"/>
    </row>
    <row r="28" spans="3:6">
      <c r="C28" s="3" t="s">
        <v>26</v>
      </c>
      <c r="D28" s="3" t="s">
        <v>27</v>
      </c>
      <c r="E28" s="3"/>
      <c r="F28" s="24"/>
    </row>
    <row r="29" spans="3:6" ht="29.25">
      <c r="C29" s="3" t="s">
        <v>28</v>
      </c>
      <c r="D29" s="35" t="s">
        <v>749</v>
      </c>
      <c r="E29" s="4"/>
      <c r="F29" s="24"/>
    </row>
    <row r="30" spans="3:6" ht="43.5">
      <c r="C30" s="3" t="s">
        <v>29</v>
      </c>
      <c r="D30" s="35" t="s">
        <v>750</v>
      </c>
      <c r="E30" s="4"/>
      <c r="F30" s="24"/>
    </row>
    <row r="31" spans="3:6" ht="29.25">
      <c r="C31" s="3" t="s">
        <v>30</v>
      </c>
      <c r="D31" s="35" t="s">
        <v>751</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41</v>
      </c>
      <c r="E38" s="21" t="s">
        <v>94</v>
      </c>
      <c r="F38" s="21" t="s">
        <v>752</v>
      </c>
      <c r="G38" s="23">
        <v>0.5</v>
      </c>
      <c r="H38" s="21">
        <v>6</v>
      </c>
    </row>
    <row r="39" spans="3:8">
      <c r="C39" s="3" t="s">
        <v>44</v>
      </c>
      <c r="D39" s="21" t="s">
        <v>96</v>
      </c>
      <c r="E39" s="21" t="s">
        <v>753</v>
      </c>
      <c r="F39" s="21" t="s">
        <v>754</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28</v>
      </c>
      <c r="E48" s="24" t="s">
        <v>155</v>
      </c>
      <c r="F48" s="24" t="s">
        <v>157</v>
      </c>
    </row>
    <row r="49" spans="3:6">
      <c r="C49" s="25" t="s">
        <v>40</v>
      </c>
      <c r="D49" s="24" t="s">
        <v>28</v>
      </c>
      <c r="E49" s="24" t="s">
        <v>55</v>
      </c>
      <c r="F49" s="24" t="s">
        <v>56</v>
      </c>
    </row>
    <row r="50" spans="3:6">
      <c r="C50" s="25" t="s">
        <v>44</v>
      </c>
      <c r="D50" s="24" t="s">
        <v>29</v>
      </c>
      <c r="E50" s="24" t="s">
        <v>50</v>
      </c>
      <c r="F50" s="24" t="s">
        <v>475</v>
      </c>
    </row>
    <row r="51" spans="3:6">
      <c r="C51" s="25" t="s">
        <v>44</v>
      </c>
      <c r="D51" s="24" t="s">
        <v>29</v>
      </c>
      <c r="E51" s="24" t="s">
        <v>53</v>
      </c>
      <c r="F51" s="24" t="s">
        <v>54</v>
      </c>
    </row>
    <row r="52" spans="3:6">
      <c r="C52" s="25" t="s">
        <v>44</v>
      </c>
      <c r="D52" s="24" t="s">
        <v>29</v>
      </c>
      <c r="E52" s="24" t="s">
        <v>50</v>
      </c>
      <c r="F52" s="24" t="s">
        <v>189</v>
      </c>
    </row>
    <row r="53" spans="3:6">
      <c r="C53" s="25" t="s">
        <v>44</v>
      </c>
      <c r="D53" s="24" t="s">
        <v>30</v>
      </c>
      <c r="E53" s="24" t="s">
        <v>50</v>
      </c>
      <c r="F53" s="24" t="s">
        <v>475</v>
      </c>
    </row>
    <row r="54" spans="3:6">
      <c r="C54" s="25" t="s">
        <v>44</v>
      </c>
      <c r="D54" s="24" t="s">
        <v>30</v>
      </c>
      <c r="E54" s="24" t="s">
        <v>53</v>
      </c>
      <c r="F54" s="24" t="s">
        <v>154</v>
      </c>
    </row>
    <row r="55" spans="3:6">
      <c r="C55" s="25" t="s">
        <v>46</v>
      </c>
      <c r="D55" s="24" t="s">
        <v>30</v>
      </c>
      <c r="E55" s="24" t="s">
        <v>53</v>
      </c>
      <c r="F55" s="24" t="s">
        <v>755</v>
      </c>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ht="30">
      <c r="B71" s="7">
        <v>1</v>
      </c>
      <c r="C71" s="1">
        <v>1</v>
      </c>
      <c r="D71" s="21" t="s">
        <v>756</v>
      </c>
      <c r="E71" s="21" t="s">
        <v>757</v>
      </c>
      <c r="F71" s="21"/>
    </row>
    <row r="72" spans="2:6">
      <c r="B72" s="7">
        <v>1</v>
      </c>
      <c r="C72" s="1">
        <v>2</v>
      </c>
      <c r="D72" s="21" t="s">
        <v>758</v>
      </c>
      <c r="E72" s="21" t="s">
        <v>759</v>
      </c>
      <c r="F72" s="21"/>
    </row>
    <row r="73" spans="2:6">
      <c r="B73" s="7">
        <v>1</v>
      </c>
      <c r="C73" s="1">
        <v>3</v>
      </c>
      <c r="D73" s="21" t="s">
        <v>760</v>
      </c>
      <c r="E73" s="21" t="s">
        <v>761</v>
      </c>
      <c r="F73" s="21"/>
    </row>
    <row r="74" spans="2:6">
      <c r="B74" s="7">
        <v>1</v>
      </c>
      <c r="C74" s="1">
        <v>4</v>
      </c>
      <c r="D74" s="21" t="s">
        <v>762</v>
      </c>
      <c r="E74" s="21" t="s">
        <v>763</v>
      </c>
      <c r="F74" s="21"/>
    </row>
    <row r="75" spans="2:6">
      <c r="B75" s="7">
        <v>1</v>
      </c>
      <c r="C75" s="1">
        <v>5</v>
      </c>
      <c r="D75" s="21" t="s">
        <v>764</v>
      </c>
      <c r="E75" s="21" t="s">
        <v>765</v>
      </c>
      <c r="F75" s="21"/>
    </row>
    <row r="76" spans="2:6">
      <c r="B76" s="7">
        <v>1</v>
      </c>
      <c r="C76" s="1">
        <v>6</v>
      </c>
      <c r="D76" s="21" t="s">
        <v>766</v>
      </c>
      <c r="E76" s="21" t="s">
        <v>767</v>
      </c>
      <c r="F76" s="21"/>
    </row>
    <row r="77" spans="2:6">
      <c r="B77" s="7">
        <v>1</v>
      </c>
      <c r="C77" s="1">
        <v>7</v>
      </c>
      <c r="D77" s="21"/>
      <c r="E77" s="21"/>
      <c r="F77" s="21"/>
    </row>
    <row r="78" spans="2:6">
      <c r="B78" s="7">
        <v>1</v>
      </c>
      <c r="C78" s="1">
        <v>8</v>
      </c>
      <c r="D78" s="21" t="s">
        <v>768</v>
      </c>
      <c r="E78" s="21" t="s">
        <v>769</v>
      </c>
      <c r="F78" s="21"/>
    </row>
    <row r="79" spans="2:6">
      <c r="B79" s="7">
        <v>1</v>
      </c>
      <c r="C79" s="1">
        <v>9</v>
      </c>
      <c r="D79" s="21" t="s">
        <v>770</v>
      </c>
      <c r="E79" s="21" t="s">
        <v>771</v>
      </c>
      <c r="F79" s="21"/>
    </row>
    <row r="80" spans="2:6" ht="30">
      <c r="B80" s="7">
        <v>1</v>
      </c>
      <c r="C80" s="1">
        <v>10</v>
      </c>
      <c r="D80" s="21" t="s">
        <v>772</v>
      </c>
      <c r="E80" s="21" t="s">
        <v>773</v>
      </c>
      <c r="F80" s="21"/>
    </row>
    <row r="81" spans="2:6">
      <c r="B81" s="7">
        <v>1</v>
      </c>
      <c r="C81" s="1">
        <v>11</v>
      </c>
      <c r="D81" s="21" t="s">
        <v>774</v>
      </c>
      <c r="E81" s="21" t="s">
        <v>775</v>
      </c>
      <c r="F81" s="21"/>
    </row>
    <row r="82" spans="2:6">
      <c r="B82" s="7">
        <v>1</v>
      </c>
      <c r="C82" s="1">
        <v>12</v>
      </c>
      <c r="D82" s="21" t="s">
        <v>776</v>
      </c>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E85C3-B744-432B-B564-EC74E74BB62B}">
  <sheetPr codeName="Sheet11"/>
  <dimension ref="B2:H94"/>
  <sheetViews>
    <sheetView showGridLines="0" topLeftCell="A36" zoomScale="85" zoomScaleNormal="85" workbookViewId="0">
      <selection activeCell="F39" sqref="F39"/>
    </sheetView>
  </sheetViews>
  <sheetFormatPr defaultColWidth="8.85546875" defaultRowHeight="15"/>
  <cols>
    <col min="3" max="3" width="33.28515625" customWidth="1"/>
    <col min="4" max="4" width="55.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6094SPS</v>
      </c>
      <c r="D2" s="20" t="str">
        <f>D8</f>
        <v>Behaviour Change</v>
      </c>
    </row>
    <row r="3" spans="2:6">
      <c r="B3" s="1"/>
      <c r="C3" s="1"/>
    </row>
    <row r="4" spans="2:6">
      <c r="B4" s="2"/>
      <c r="C4" s="2"/>
    </row>
    <row r="5" spans="2:6" ht="18.75">
      <c r="B5" s="2"/>
      <c r="C5" s="5" t="s">
        <v>0</v>
      </c>
    </row>
    <row r="6" spans="2:6">
      <c r="B6" s="2"/>
      <c r="C6" s="3" t="s">
        <v>1</v>
      </c>
      <c r="D6" s="4" t="s">
        <v>2</v>
      </c>
      <c r="E6" s="4"/>
      <c r="F6" t="s">
        <v>3</v>
      </c>
    </row>
    <row r="7" spans="2:6" ht="75">
      <c r="B7" s="2"/>
      <c r="C7" s="3" t="s">
        <v>4</v>
      </c>
      <c r="D7" s="21" t="s">
        <v>777</v>
      </c>
      <c r="E7" s="4"/>
      <c r="F7" s="32" t="s">
        <v>778</v>
      </c>
    </row>
    <row r="8" spans="2:6">
      <c r="B8" s="2"/>
      <c r="C8" s="3" t="s">
        <v>6</v>
      </c>
      <c r="D8" s="21" t="s">
        <v>779</v>
      </c>
      <c r="E8" s="4"/>
      <c r="F8" s="24"/>
    </row>
    <row r="9" spans="2:6">
      <c r="C9" s="3" t="s">
        <v>7</v>
      </c>
      <c r="D9" s="21">
        <v>20</v>
      </c>
      <c r="E9" s="4"/>
    </row>
    <row r="10" spans="2:6">
      <c r="C10" s="3" t="s">
        <v>8</v>
      </c>
      <c r="D10" s="21">
        <v>1</v>
      </c>
      <c r="E10" s="4"/>
      <c r="F10" t="s">
        <v>9</v>
      </c>
    </row>
    <row r="11" spans="2:6" ht="135">
      <c r="C11" s="3" t="s">
        <v>10</v>
      </c>
      <c r="D11" s="21">
        <v>6</v>
      </c>
      <c r="E11" s="4"/>
      <c r="F11" s="32" t="s">
        <v>780</v>
      </c>
    </row>
    <row r="12" spans="2:6">
      <c r="C12" s="3" t="s">
        <v>11</v>
      </c>
      <c r="D12" s="21" t="s">
        <v>781</v>
      </c>
      <c r="E12" s="4"/>
      <c r="F12" s="24"/>
    </row>
    <row r="13" spans="2:6">
      <c r="C13" s="3" t="s">
        <v>12</v>
      </c>
      <c r="D13" s="21" t="s">
        <v>454</v>
      </c>
      <c r="E13" s="4"/>
      <c r="F13" s="24"/>
    </row>
    <row r="14" spans="2:6">
      <c r="C14" s="3" t="s">
        <v>13</v>
      </c>
      <c r="D14" s="21" t="s">
        <v>747</v>
      </c>
      <c r="E14" s="4"/>
    </row>
    <row r="15" spans="2:6">
      <c r="C15" s="3"/>
      <c r="D15" s="4"/>
      <c r="E15" s="4"/>
      <c r="F15" t="s">
        <v>14</v>
      </c>
    </row>
    <row r="16" spans="2:6" ht="90">
      <c r="C16" s="3"/>
      <c r="D16" s="4"/>
      <c r="E16" s="4"/>
      <c r="F16" s="32" t="s">
        <v>782</v>
      </c>
    </row>
    <row r="17" spans="3:6" ht="18.75">
      <c r="C17" s="5" t="s">
        <v>15</v>
      </c>
      <c r="D17" s="4"/>
      <c r="E17" s="4"/>
      <c r="F17" s="24"/>
    </row>
    <row r="18" spans="3:6">
      <c r="C18" s="3" t="s">
        <v>16</v>
      </c>
      <c r="D18" s="1" t="s">
        <v>15</v>
      </c>
      <c r="E18" s="4"/>
      <c r="F18" s="24"/>
    </row>
    <row r="19" spans="3:6">
      <c r="C19" s="3" t="s">
        <v>17</v>
      </c>
      <c r="D19" s="22"/>
      <c r="E19" s="4"/>
      <c r="F19" s="24"/>
    </row>
    <row r="20" spans="3:6">
      <c r="C20" s="3" t="s">
        <v>18</v>
      </c>
      <c r="D20" s="22">
        <v>6</v>
      </c>
      <c r="E20" s="4"/>
      <c r="F20" s="24"/>
    </row>
    <row r="21" spans="3:6">
      <c r="C21" s="3" t="s">
        <v>19</v>
      </c>
      <c r="D21" s="22"/>
      <c r="E21" s="4"/>
    </row>
    <row r="22" spans="3:6">
      <c r="C22" s="3" t="s">
        <v>20</v>
      </c>
      <c r="D22" s="22">
        <v>27</v>
      </c>
      <c r="E22" s="4"/>
      <c r="F22" t="s">
        <v>21</v>
      </c>
    </row>
    <row r="23" spans="3:6">
      <c r="C23" s="3" t="s">
        <v>22</v>
      </c>
      <c r="D23" s="22">
        <v>4</v>
      </c>
      <c r="E23" s="4"/>
      <c r="F23" s="24" t="s">
        <v>783</v>
      </c>
    </row>
    <row r="24" spans="3:6">
      <c r="C24" s="3" t="s">
        <v>23</v>
      </c>
      <c r="D24" s="1">
        <f>SUM(D19:D23)</f>
        <v>37</v>
      </c>
      <c r="E24" s="4"/>
      <c r="F24" s="24" t="s">
        <v>784</v>
      </c>
    </row>
    <row r="25" spans="3:6" ht="30">
      <c r="F25" s="32" t="s">
        <v>785</v>
      </c>
    </row>
    <row r="26" spans="3:6">
      <c r="F26" s="24" t="s">
        <v>786</v>
      </c>
    </row>
    <row r="27" spans="3:6" ht="18.75">
      <c r="C27" s="5" t="s">
        <v>24</v>
      </c>
      <c r="D27" s="12" t="s">
        <v>25</v>
      </c>
      <c r="F27" s="24" t="s">
        <v>787</v>
      </c>
    </row>
    <row r="28" spans="3:6">
      <c r="C28" s="3" t="s">
        <v>26</v>
      </c>
      <c r="D28" s="3" t="s">
        <v>27</v>
      </c>
      <c r="E28" s="3"/>
      <c r="F28" s="24"/>
    </row>
    <row r="29" spans="3:6">
      <c r="C29" s="3" t="s">
        <v>28</v>
      </c>
      <c r="D29" s="21" t="s">
        <v>788</v>
      </c>
      <c r="E29" s="4"/>
      <c r="F29" s="24"/>
    </row>
    <row r="30" spans="3:6">
      <c r="C30" s="3" t="s">
        <v>29</v>
      </c>
      <c r="D30" s="21" t="s">
        <v>789</v>
      </c>
      <c r="E30" s="4"/>
      <c r="F30" s="24"/>
    </row>
    <row r="31" spans="3:6" ht="30">
      <c r="C31" s="3" t="s">
        <v>30</v>
      </c>
      <c r="D31" s="21" t="s">
        <v>790</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30">
      <c r="C38" s="3" t="s">
        <v>40</v>
      </c>
      <c r="D38" s="21" t="s">
        <v>41</v>
      </c>
      <c r="E38" s="21" t="s">
        <v>94</v>
      </c>
      <c r="F38" s="21" t="s">
        <v>791</v>
      </c>
      <c r="G38" s="23">
        <v>0.5</v>
      </c>
      <c r="H38" s="21">
        <v>8</v>
      </c>
    </row>
    <row r="39" spans="3:8" ht="60">
      <c r="C39" s="3" t="s">
        <v>44</v>
      </c>
      <c r="D39" s="21" t="s">
        <v>19</v>
      </c>
      <c r="E39" s="21"/>
      <c r="F39" s="21" t="s">
        <v>792</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189</v>
      </c>
    </row>
    <row r="47" spans="3:8">
      <c r="C47" s="25" t="s">
        <v>40</v>
      </c>
      <c r="D47" s="24" t="s">
        <v>28</v>
      </c>
      <c r="E47" s="24" t="s">
        <v>50</v>
      </c>
      <c r="F47" s="24" t="s">
        <v>475</v>
      </c>
    </row>
    <row r="48" spans="3:8">
      <c r="C48" s="25" t="s">
        <v>40</v>
      </c>
      <c r="D48" s="24" t="s">
        <v>28</v>
      </c>
      <c r="E48" s="24" t="s">
        <v>53</v>
      </c>
      <c r="F48" s="24" t="s">
        <v>154</v>
      </c>
    </row>
    <row r="49" spans="3:6">
      <c r="C49" s="25" t="s">
        <v>44</v>
      </c>
      <c r="D49" s="24" t="s">
        <v>28</v>
      </c>
      <c r="E49" s="24" t="s">
        <v>55</v>
      </c>
      <c r="F49" s="24" t="s">
        <v>56</v>
      </c>
    </row>
    <row r="50" spans="3:6">
      <c r="C50" s="25" t="s">
        <v>44</v>
      </c>
      <c r="D50" s="24" t="s">
        <v>29</v>
      </c>
      <c r="E50" s="24" t="s">
        <v>57</v>
      </c>
      <c r="F50" s="24" t="s">
        <v>592</v>
      </c>
    </row>
    <row r="51" spans="3:6">
      <c r="C51" s="25" t="s">
        <v>44</v>
      </c>
      <c r="D51" s="24" t="s">
        <v>29</v>
      </c>
      <c r="E51" s="24" t="s">
        <v>399</v>
      </c>
      <c r="F51" s="24" t="s">
        <v>734</v>
      </c>
    </row>
    <row r="52" spans="3:6">
      <c r="C52" s="25" t="s">
        <v>44</v>
      </c>
      <c r="D52" s="24" t="s">
        <v>29</v>
      </c>
      <c r="E52" s="24" t="s">
        <v>53</v>
      </c>
      <c r="F52" s="24" t="s">
        <v>154</v>
      </c>
    </row>
    <row r="53" spans="3:6">
      <c r="C53" s="25" t="s">
        <v>44</v>
      </c>
      <c r="D53" s="24" t="s">
        <v>29</v>
      </c>
      <c r="E53" s="24" t="s">
        <v>105</v>
      </c>
      <c r="F53" s="24" t="s">
        <v>793</v>
      </c>
    </row>
    <row r="54" spans="3:6">
      <c r="C54" s="25" t="s">
        <v>44</v>
      </c>
      <c r="D54" s="24" t="s">
        <v>29</v>
      </c>
      <c r="E54" s="24" t="s">
        <v>55</v>
      </c>
      <c r="F54" s="24" t="s">
        <v>103</v>
      </c>
    </row>
    <row r="55" spans="3:6">
      <c r="C55" s="25" t="s">
        <v>44</v>
      </c>
      <c r="D55" s="24" t="s">
        <v>30</v>
      </c>
      <c r="E55" s="24" t="s">
        <v>99</v>
      </c>
      <c r="F55" s="24" t="s">
        <v>100</v>
      </c>
    </row>
    <row r="56" spans="3:6">
      <c r="C56" s="25" t="s">
        <v>44</v>
      </c>
      <c r="D56" s="24" t="s">
        <v>30</v>
      </c>
      <c r="E56" s="24" t="s">
        <v>99</v>
      </c>
      <c r="F56" s="24" t="s">
        <v>372</v>
      </c>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ht="30">
      <c r="B71" s="7">
        <v>1</v>
      </c>
      <c r="C71" s="1">
        <v>1</v>
      </c>
      <c r="D71" s="21" t="s">
        <v>794</v>
      </c>
      <c r="E71" s="21"/>
      <c r="F71" s="21"/>
    </row>
    <row r="72" spans="2:6">
      <c r="B72" s="7">
        <v>1</v>
      </c>
      <c r="C72" s="1">
        <v>2</v>
      </c>
      <c r="D72" s="21" t="s">
        <v>795</v>
      </c>
      <c r="E72" s="21"/>
      <c r="F72" s="21"/>
    </row>
    <row r="73" spans="2:6" ht="30">
      <c r="B73" s="7">
        <v>1</v>
      </c>
      <c r="C73" s="1">
        <v>3</v>
      </c>
      <c r="D73" s="21" t="s">
        <v>796</v>
      </c>
      <c r="E73" s="21"/>
      <c r="F73" s="21"/>
    </row>
    <row r="74" spans="2:6">
      <c r="B74" s="7">
        <v>1</v>
      </c>
      <c r="C74" s="1">
        <v>4</v>
      </c>
      <c r="D74" s="21" t="s">
        <v>797</v>
      </c>
      <c r="E74" s="21"/>
      <c r="F74" s="21"/>
    </row>
    <row r="75" spans="2:6">
      <c r="B75" s="7">
        <v>1</v>
      </c>
      <c r="C75" s="1">
        <v>5</v>
      </c>
      <c r="D75" s="21" t="s">
        <v>797</v>
      </c>
      <c r="E75" s="21"/>
      <c r="F75" s="21"/>
    </row>
    <row r="76" spans="2:6">
      <c r="B76" s="7">
        <v>1</v>
      </c>
      <c r="C76" s="1">
        <v>6</v>
      </c>
      <c r="D76" s="21" t="s">
        <v>798</v>
      </c>
      <c r="E76" s="21"/>
      <c r="F76" s="21"/>
    </row>
    <row r="77" spans="2:6">
      <c r="B77" s="7">
        <v>1</v>
      </c>
      <c r="C77" s="1">
        <v>7</v>
      </c>
      <c r="D77" s="21" t="s">
        <v>799</v>
      </c>
      <c r="E77" s="21"/>
      <c r="F77" s="21"/>
    </row>
    <row r="78" spans="2:6">
      <c r="B78" s="7">
        <v>1</v>
      </c>
      <c r="C78" s="1">
        <v>8</v>
      </c>
      <c r="D78" s="21" t="s">
        <v>800</v>
      </c>
      <c r="E78" s="21"/>
      <c r="F78" s="21"/>
    </row>
    <row r="79" spans="2:6">
      <c r="B79" s="7">
        <v>1</v>
      </c>
      <c r="C79" s="1">
        <v>9</v>
      </c>
      <c r="D79" s="21" t="s">
        <v>801</v>
      </c>
      <c r="E79" s="21"/>
      <c r="F79" s="21"/>
    </row>
    <row r="80" spans="2:6">
      <c r="B80" s="7">
        <v>1</v>
      </c>
      <c r="C80" s="1">
        <v>10</v>
      </c>
      <c r="D80" s="21" t="s">
        <v>802</v>
      </c>
      <c r="E80" s="21"/>
      <c r="F80" s="21"/>
    </row>
    <row r="81" spans="2:6">
      <c r="B81" s="7">
        <v>1</v>
      </c>
      <c r="C81" s="1">
        <v>11</v>
      </c>
      <c r="D81" s="21" t="s">
        <v>803</v>
      </c>
      <c r="E81" s="21"/>
      <c r="F81" s="21"/>
    </row>
    <row r="82" spans="2:6">
      <c r="B82" s="7">
        <v>1</v>
      </c>
      <c r="C82" s="1">
        <v>12</v>
      </c>
      <c r="D82" s="21" t="s">
        <v>798</v>
      </c>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271CB6C7-3BC1-4C43-998B-89827B6CCA80}">
      <formula1>0</formula1>
      <formula2>80</formula2>
    </dataValidation>
    <dataValidation type="whole" showInputMessage="1" showErrorMessage="1" error="This is not a realistic number of contact hours please change" sqref="D19" xr:uid="{83BED4DB-E4D5-4DC8-A0D3-EEE30236838D}">
      <formula1>0</formula1>
      <formula2>80</formula2>
    </dataValidation>
    <dataValidation type="list" allowBlank="1" showInputMessage="1" showErrorMessage="1" sqref="E38:E41" xr:uid="{4E54F737-1477-4A68-A59C-5BD83F55B175}">
      <formula1>INDIRECT("LISTAssess[Assessment Specific]")</formula1>
    </dataValidation>
    <dataValidation type="list" allowBlank="1" showInputMessage="1" showErrorMessage="1" sqref="F46:F66" xr:uid="{0145079F-818B-4E11-9C3A-6778BDBDFDA6}">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461D027-7487-48F6-8B00-E640F8FE42FD}">
          <x14:formula1>
            <xm:f>LISTS!$C$26:$C$37</xm:f>
          </x14:formula1>
          <xm:sqref>D14</xm:sqref>
        </x14:dataValidation>
        <x14:dataValidation type="list" allowBlank="1" showInputMessage="1" showErrorMessage="1" xr:uid="{F4875CEE-FA0F-4861-8783-00A30C23B8D3}">
          <x14:formula1>
            <xm:f>LISTS!$C$17:$C$22</xm:f>
          </x14:formula1>
          <xm:sqref>D13</xm:sqref>
        </x14:dataValidation>
        <x14:dataValidation type="list" allowBlank="1" showInputMessage="1" showErrorMessage="1" xr:uid="{6E84C81F-3636-47A8-8220-9DC2552C253B}">
          <x14:formula1>
            <xm:f>LISTS!$C$7:$C$9</xm:f>
          </x14:formula1>
          <xm:sqref>D10</xm:sqref>
        </x14:dataValidation>
        <x14:dataValidation type="list" allowBlank="1" showInputMessage="1" showErrorMessage="1" xr:uid="{5E7CC4F1-8F54-4138-A0B7-3871480AD3CD}">
          <x14:formula1>
            <xm:f>LISTS!$C$11:$C$15</xm:f>
          </x14:formula1>
          <xm:sqref>D11</xm:sqref>
        </x14:dataValidation>
        <x14:dataValidation type="list" allowBlank="1" showInputMessage="1" showErrorMessage="1" xr:uid="{F260A89A-6987-4528-B979-080766746BEA}">
          <x14:formula1>
            <xm:f>LISTS!$G$7:$G$11</xm:f>
          </x14:formula1>
          <xm:sqref>D38:D42</xm:sqref>
        </x14:dataValidation>
        <x14:dataValidation type="list" allowBlank="1" showInputMessage="1" showErrorMessage="1" xr:uid="{93789AA2-C81E-4C5B-A625-B60720450EA6}">
          <x14:formula1>
            <xm:f>LISTS!$E$7:$E$11</xm:f>
          </x14:formula1>
          <xm:sqref>D46:D66</xm:sqref>
        </x14:dataValidation>
        <x14:dataValidation type="list" allowBlank="1" showInputMessage="1" showErrorMessage="1" xr:uid="{DECD246D-AAE1-4FC3-93DF-E0C783C29528}">
          <x14:formula1>
            <xm:f>LISTS!$J$7:$J$16</xm:f>
          </x14:formula1>
          <xm:sqref>E46:E66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38CC3-E0AD-4B9C-847A-037A12A399CE}">
  <sheetPr codeName="Sheet12"/>
  <dimension ref="B2:H94"/>
  <sheetViews>
    <sheetView showGridLines="0" topLeftCell="A16" zoomScale="85" zoomScaleNormal="85" workbookViewId="0">
      <selection activeCell="F39" sqref="F39"/>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6095SPS</v>
      </c>
      <c r="D2" s="20" t="str">
        <f>D8</f>
        <v>Performance Analysis in Sport</v>
      </c>
    </row>
    <row r="3" spans="2:6">
      <c r="B3" s="1"/>
      <c r="C3" s="1"/>
    </row>
    <row r="4" spans="2:6">
      <c r="B4" s="2"/>
      <c r="C4" s="2"/>
    </row>
    <row r="5" spans="2:6" ht="18.75">
      <c r="B5" s="2"/>
      <c r="C5" s="5" t="s">
        <v>0</v>
      </c>
    </row>
    <row r="6" spans="2:6">
      <c r="B6" s="2"/>
      <c r="C6" s="3" t="s">
        <v>1</v>
      </c>
      <c r="D6" s="4" t="s">
        <v>2</v>
      </c>
      <c r="E6" s="4"/>
      <c r="F6" t="s">
        <v>3</v>
      </c>
    </row>
    <row r="7" spans="2:6">
      <c r="B7" s="2"/>
      <c r="C7" s="3" t="s">
        <v>4</v>
      </c>
      <c r="D7" s="21" t="s">
        <v>804</v>
      </c>
      <c r="E7" s="4"/>
      <c r="F7" s="50" t="s">
        <v>805</v>
      </c>
    </row>
    <row r="8" spans="2:6">
      <c r="B8" s="2"/>
      <c r="C8" s="3" t="s">
        <v>6</v>
      </c>
      <c r="D8" s="21" t="s">
        <v>806</v>
      </c>
      <c r="E8" s="4"/>
      <c r="F8" s="24"/>
    </row>
    <row r="9" spans="2:6">
      <c r="C9" s="3" t="s">
        <v>7</v>
      </c>
      <c r="D9" s="21">
        <v>20</v>
      </c>
      <c r="E9" s="4"/>
    </row>
    <row r="10" spans="2:6">
      <c r="C10" s="3" t="s">
        <v>8</v>
      </c>
      <c r="D10" s="21">
        <v>1</v>
      </c>
      <c r="E10" s="4"/>
      <c r="F10" t="s">
        <v>9</v>
      </c>
    </row>
    <row r="11" spans="2:6" ht="60">
      <c r="C11" s="3" t="s">
        <v>10</v>
      </c>
      <c r="D11" s="21">
        <v>6</v>
      </c>
      <c r="E11" s="4"/>
      <c r="F11" s="51" t="s">
        <v>807</v>
      </c>
    </row>
    <row r="12" spans="2:6">
      <c r="C12" s="3" t="s">
        <v>11</v>
      </c>
      <c r="D12" s="21" t="s">
        <v>808</v>
      </c>
      <c r="E12" s="4"/>
      <c r="F12" s="24"/>
    </row>
    <row r="13" spans="2:6">
      <c r="C13" s="3" t="s">
        <v>12</v>
      </c>
      <c r="D13" s="21" t="s">
        <v>454</v>
      </c>
      <c r="E13" s="4"/>
      <c r="F13" s="24"/>
    </row>
    <row r="14" spans="2:6">
      <c r="C14" s="3" t="s">
        <v>13</v>
      </c>
      <c r="D14" s="21" t="s">
        <v>747</v>
      </c>
      <c r="E14" s="4"/>
    </row>
    <row r="15" spans="2:6">
      <c r="C15" s="3"/>
      <c r="D15" s="4"/>
      <c r="E15" s="4"/>
      <c r="F15" t="s">
        <v>14</v>
      </c>
    </row>
    <row r="16" spans="2:6" ht="60">
      <c r="C16" s="3"/>
      <c r="D16" s="4"/>
      <c r="E16" s="4"/>
      <c r="F16" s="51" t="s">
        <v>809</v>
      </c>
    </row>
    <row r="17" spans="3:6" ht="75">
      <c r="C17" s="5" t="s">
        <v>15</v>
      </c>
      <c r="D17" s="4"/>
      <c r="E17" s="4"/>
      <c r="F17" s="51" t="s">
        <v>810</v>
      </c>
    </row>
    <row r="18" spans="3:6">
      <c r="C18" s="3" t="s">
        <v>16</v>
      </c>
      <c r="D18" s="1" t="s">
        <v>15</v>
      </c>
      <c r="E18" s="4"/>
      <c r="F18" s="24"/>
    </row>
    <row r="19" spans="3:6">
      <c r="C19" s="3" t="s">
        <v>17</v>
      </c>
      <c r="D19" s="22">
        <v>22</v>
      </c>
      <c r="E19" s="4"/>
      <c r="F19" s="24"/>
    </row>
    <row r="20" spans="3:6">
      <c r="C20" s="3" t="s">
        <v>18</v>
      </c>
      <c r="D20" s="22"/>
      <c r="E20" s="4"/>
      <c r="F20" s="24"/>
    </row>
    <row r="21" spans="3:6">
      <c r="C21" s="3" t="s">
        <v>19</v>
      </c>
      <c r="D21" s="22">
        <v>16</v>
      </c>
      <c r="E21" s="4"/>
    </row>
    <row r="22" spans="3:6">
      <c r="C22" s="3" t="s">
        <v>20</v>
      </c>
      <c r="D22" s="22">
        <v>6</v>
      </c>
      <c r="E22" s="4"/>
      <c r="F22" t="s">
        <v>21</v>
      </c>
    </row>
    <row r="23" spans="3:6">
      <c r="C23" s="3" t="s">
        <v>22</v>
      </c>
      <c r="D23" s="22"/>
      <c r="E23" s="4"/>
      <c r="F23" s="50" t="s">
        <v>811</v>
      </c>
    </row>
    <row r="24" spans="3:6">
      <c r="C24" s="3" t="s">
        <v>23</v>
      </c>
      <c r="D24" s="1">
        <f>SUM(D19:D23)</f>
        <v>44</v>
      </c>
      <c r="E24" s="4"/>
      <c r="F24" s="24"/>
    </row>
    <row r="25" spans="3:6">
      <c r="F25" s="24"/>
    </row>
    <row r="26" spans="3:6">
      <c r="F26" s="24"/>
    </row>
    <row r="27" spans="3:6" ht="18.75">
      <c r="C27" s="5" t="s">
        <v>24</v>
      </c>
      <c r="D27" s="12" t="s">
        <v>25</v>
      </c>
      <c r="F27" s="24"/>
    </row>
    <row r="28" spans="3:6">
      <c r="C28" s="3" t="s">
        <v>26</v>
      </c>
      <c r="D28" s="3" t="s">
        <v>27</v>
      </c>
      <c r="E28" s="3"/>
      <c r="F28" s="24"/>
    </row>
    <row r="29" spans="3:6" ht="45">
      <c r="C29" s="3" t="s">
        <v>28</v>
      </c>
      <c r="D29" s="51" t="s">
        <v>812</v>
      </c>
      <c r="E29" s="4"/>
      <c r="F29" s="24"/>
    </row>
    <row r="30" spans="3:6" ht="60">
      <c r="C30" s="3" t="s">
        <v>29</v>
      </c>
      <c r="D30" s="51" t="s">
        <v>813</v>
      </c>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60">
      <c r="C38" s="3" t="s">
        <v>40</v>
      </c>
      <c r="D38" s="21" t="s">
        <v>96</v>
      </c>
      <c r="E38" s="21" t="s">
        <v>459</v>
      </c>
      <c r="F38" s="21" t="s">
        <v>814</v>
      </c>
      <c r="G38" s="23">
        <v>0.6</v>
      </c>
      <c r="H38" s="21">
        <v>12</v>
      </c>
    </row>
    <row r="39" spans="3:8">
      <c r="C39" s="3" t="s">
        <v>44</v>
      </c>
      <c r="D39" s="21" t="s">
        <v>41</v>
      </c>
      <c r="E39" s="21" t="s">
        <v>42</v>
      </c>
      <c r="F39" s="50" t="s">
        <v>815</v>
      </c>
      <c r="G39" s="23">
        <v>0.4</v>
      </c>
      <c r="H39" s="21" t="s">
        <v>816</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475</v>
      </c>
    </row>
    <row r="47" spans="3:8">
      <c r="C47" s="25" t="s">
        <v>40</v>
      </c>
      <c r="D47" s="24" t="s">
        <v>28</v>
      </c>
      <c r="E47" s="24" t="s">
        <v>57</v>
      </c>
      <c r="F47" s="24" t="s">
        <v>78</v>
      </c>
    </row>
    <row r="48" spans="3:8">
      <c r="C48" s="25" t="s">
        <v>40</v>
      </c>
      <c r="D48" s="24" t="s">
        <v>28</v>
      </c>
      <c r="E48" s="24" t="s">
        <v>155</v>
      </c>
      <c r="F48" s="24" t="s">
        <v>157</v>
      </c>
    </row>
    <row r="49" spans="3:6">
      <c r="C49" s="25" t="s">
        <v>40</v>
      </c>
      <c r="D49" s="24" t="s">
        <v>28</v>
      </c>
      <c r="E49" s="24" t="s">
        <v>252</v>
      </c>
      <c r="F49" s="24" t="s">
        <v>253</v>
      </c>
    </row>
    <row r="50" spans="3:6">
      <c r="C50" s="25" t="s">
        <v>40</v>
      </c>
      <c r="D50" s="24" t="s">
        <v>29</v>
      </c>
      <c r="E50" s="24" t="s">
        <v>53</v>
      </c>
      <c r="F50" s="24" t="s">
        <v>58</v>
      </c>
    </row>
    <row r="51" spans="3:6">
      <c r="C51" s="25" t="s">
        <v>44</v>
      </c>
      <c r="D51" s="24" t="s">
        <v>28</v>
      </c>
      <c r="E51" s="24" t="s">
        <v>53</v>
      </c>
      <c r="F51" s="24" t="s">
        <v>54</v>
      </c>
    </row>
    <row r="52" spans="3:6">
      <c r="C52" s="25" t="s">
        <v>44</v>
      </c>
      <c r="D52" s="24" t="s">
        <v>29</v>
      </c>
      <c r="E52" s="24" t="s">
        <v>55</v>
      </c>
      <c r="F52" s="24" t="s">
        <v>56</v>
      </c>
    </row>
    <row r="53" spans="3:6">
      <c r="C53" s="25" t="s">
        <v>44</v>
      </c>
      <c r="D53" s="24" t="s">
        <v>29</v>
      </c>
      <c r="E53" s="24" t="s">
        <v>105</v>
      </c>
      <c r="F53" s="24" t="s">
        <v>248</v>
      </c>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47" t="s">
        <v>817</v>
      </c>
      <c r="E71" s="47" t="s">
        <v>818</v>
      </c>
      <c r="F71" s="21"/>
    </row>
    <row r="72" spans="2:6">
      <c r="B72" s="7">
        <v>1</v>
      </c>
      <c r="C72" s="1">
        <v>2</v>
      </c>
      <c r="D72" s="47" t="s">
        <v>819</v>
      </c>
      <c r="E72" s="47" t="s">
        <v>820</v>
      </c>
      <c r="F72" s="21"/>
    </row>
    <row r="73" spans="2:6">
      <c r="B73" s="7">
        <v>1</v>
      </c>
      <c r="C73" s="1">
        <v>3</v>
      </c>
      <c r="D73" s="47" t="s">
        <v>821</v>
      </c>
      <c r="E73" s="47" t="s">
        <v>822</v>
      </c>
      <c r="F73" s="21"/>
    </row>
    <row r="74" spans="2:6">
      <c r="B74" s="7">
        <v>1</v>
      </c>
      <c r="C74" s="1">
        <v>4</v>
      </c>
      <c r="D74" s="47" t="s">
        <v>823</v>
      </c>
      <c r="E74" s="47" t="s">
        <v>822</v>
      </c>
      <c r="F74" s="21"/>
    </row>
    <row r="75" spans="2:6">
      <c r="B75" s="7">
        <v>1</v>
      </c>
      <c r="C75" s="1">
        <v>5</v>
      </c>
      <c r="D75" s="47" t="s">
        <v>824</v>
      </c>
      <c r="E75" s="47" t="s">
        <v>825</v>
      </c>
      <c r="F75" s="21"/>
    </row>
    <row r="76" spans="2:6" ht="30">
      <c r="B76" s="7">
        <v>1</v>
      </c>
      <c r="C76" s="1">
        <v>6</v>
      </c>
      <c r="D76" s="47" t="s">
        <v>826</v>
      </c>
      <c r="E76" s="47" t="s">
        <v>827</v>
      </c>
      <c r="F76" s="21"/>
    </row>
    <row r="77" spans="2:6">
      <c r="B77" s="7">
        <v>1</v>
      </c>
      <c r="C77" s="1">
        <v>7</v>
      </c>
      <c r="D77" s="50" t="s">
        <v>828</v>
      </c>
      <c r="E77" s="52"/>
      <c r="F77" s="21"/>
    </row>
    <row r="78" spans="2:6">
      <c r="B78" s="7">
        <v>1</v>
      </c>
      <c r="C78" s="1">
        <v>8</v>
      </c>
      <c r="D78" s="47" t="s">
        <v>829</v>
      </c>
      <c r="E78" s="47" t="s">
        <v>830</v>
      </c>
      <c r="F78" s="21"/>
    </row>
    <row r="79" spans="2:6">
      <c r="B79" s="7">
        <v>1</v>
      </c>
      <c r="C79" s="1">
        <v>9</v>
      </c>
      <c r="D79" s="47" t="s">
        <v>831</v>
      </c>
      <c r="E79" s="47" t="s">
        <v>832</v>
      </c>
      <c r="F79" s="21"/>
    </row>
    <row r="80" spans="2:6">
      <c r="B80" s="7">
        <v>1</v>
      </c>
      <c r="C80" s="1">
        <v>10</v>
      </c>
      <c r="D80" s="47" t="s">
        <v>833</v>
      </c>
      <c r="E80" s="47" t="s">
        <v>834</v>
      </c>
      <c r="F80" s="21"/>
    </row>
    <row r="81" spans="2:6">
      <c r="B81" s="7">
        <v>1</v>
      </c>
      <c r="C81" s="1">
        <v>11</v>
      </c>
      <c r="D81" s="47" t="s">
        <v>835</v>
      </c>
      <c r="E81" s="47" t="s">
        <v>834</v>
      </c>
      <c r="F81" s="21"/>
    </row>
    <row r="82" spans="2:6">
      <c r="B82" s="7">
        <v>1</v>
      </c>
      <c r="C82" s="1">
        <v>12</v>
      </c>
      <c r="D82" s="47" t="s">
        <v>836</v>
      </c>
      <c r="E82" s="47" t="s">
        <v>837</v>
      </c>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6EF0EC3B-28AE-4534-9A35-879F96167220}">
      <formula1>0</formula1>
      <formula2>80</formula2>
    </dataValidation>
    <dataValidation type="whole" showInputMessage="1" showErrorMessage="1" error="This is not a realistic number of contact hours please change" sqref="D19" xr:uid="{65E4390B-23DC-4D62-A7D3-00C723B0591C}">
      <formula1>0</formula1>
      <formula2>80</formula2>
    </dataValidation>
    <dataValidation type="list" allowBlank="1" showInputMessage="1" showErrorMessage="1" sqref="E38:E41" xr:uid="{E69AB558-57D4-46FA-8609-281D1D5403C7}">
      <formula1>INDIRECT("LISTAssess[Assessment Specific]")</formula1>
    </dataValidation>
    <dataValidation type="list" allowBlank="1" showInputMessage="1" showErrorMessage="1" sqref="F46:F66" xr:uid="{E493D753-C949-4BDB-8D86-C2941DF1214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99DF008-F95A-4A19-881C-013B9E2B7EC1}">
          <x14:formula1>
            <xm:f>LISTS!$C$26:$C$37</xm:f>
          </x14:formula1>
          <xm:sqref>D14</xm:sqref>
        </x14:dataValidation>
        <x14:dataValidation type="list" allowBlank="1" showInputMessage="1" showErrorMessage="1" xr:uid="{15F37E27-11F5-4CBC-8332-F6146564318B}">
          <x14:formula1>
            <xm:f>LISTS!$C$17:$C$22</xm:f>
          </x14:formula1>
          <xm:sqref>D13</xm:sqref>
        </x14:dataValidation>
        <x14:dataValidation type="list" allowBlank="1" showInputMessage="1" showErrorMessage="1" xr:uid="{CA23FE9C-6308-4AC9-9D45-A70C0905DB1C}">
          <x14:formula1>
            <xm:f>LISTS!$C$7:$C$9</xm:f>
          </x14:formula1>
          <xm:sqref>D10</xm:sqref>
        </x14:dataValidation>
        <x14:dataValidation type="list" allowBlank="1" showInputMessage="1" showErrorMessage="1" xr:uid="{2445B6AF-04B2-48A0-8CBD-9D738AC74DE7}">
          <x14:formula1>
            <xm:f>LISTS!$C$11:$C$15</xm:f>
          </x14:formula1>
          <xm:sqref>D11</xm:sqref>
        </x14:dataValidation>
        <x14:dataValidation type="list" allowBlank="1" showInputMessage="1" showErrorMessage="1" xr:uid="{2C06CD6F-F95B-44DD-BDF5-78C501E275C0}">
          <x14:formula1>
            <xm:f>LISTS!$G$7:$G$11</xm:f>
          </x14:formula1>
          <xm:sqref>D38:D42</xm:sqref>
        </x14:dataValidation>
        <x14:dataValidation type="list" allowBlank="1" showInputMessage="1" showErrorMessage="1" xr:uid="{0D10DC0D-3FC5-4448-A56D-EEB8234A4C0B}">
          <x14:formula1>
            <xm:f>LISTS!$E$7:$E$11</xm:f>
          </x14:formula1>
          <xm:sqref>D46:D66</xm:sqref>
        </x14:dataValidation>
        <x14:dataValidation type="list" allowBlank="1" showInputMessage="1" showErrorMessage="1" xr:uid="{3FF3E335-6CDA-4C7D-A2EC-D67506BB8937}">
          <x14:formula1>
            <xm:f>LISTS!$J$7:$J$16</xm:f>
          </x14:formula1>
          <xm:sqref>E46:E66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E31D0-C386-4748-BCCD-2C13C929FDA0}">
  <sheetPr codeName="Sheet22"/>
  <dimension ref="B2:H94"/>
  <sheetViews>
    <sheetView showGridLines="0" topLeftCell="B1" zoomScale="85" zoomScaleNormal="85" workbookViewId="0">
      <selection activeCell="F54" sqref="F54"/>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SEM401</v>
      </c>
      <c r="D2" s="20" t="str">
        <f>D8</f>
        <v>Module Title</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v>
      </c>
      <c r="E7" s="4"/>
      <c r="F7" s="24"/>
    </row>
    <row r="8" spans="2:6">
      <c r="B8" s="2"/>
      <c r="C8" s="3" t="s">
        <v>6</v>
      </c>
      <c r="D8" s="21" t="s">
        <v>6</v>
      </c>
      <c r="E8" s="4"/>
      <c r="F8" s="24"/>
    </row>
    <row r="9" spans="2:6">
      <c r="C9" s="3" t="s">
        <v>7</v>
      </c>
      <c r="D9" s="21"/>
      <c r="E9" s="4"/>
    </row>
    <row r="10" spans="2:6">
      <c r="C10" s="3" t="s">
        <v>8</v>
      </c>
      <c r="D10" s="21"/>
      <c r="E10" s="4"/>
      <c r="F10" t="s">
        <v>9</v>
      </c>
    </row>
    <row r="11" spans="2:6">
      <c r="C11" s="3" t="s">
        <v>10</v>
      </c>
      <c r="D11" s="21"/>
      <c r="E11" s="4"/>
      <c r="F11" s="24"/>
    </row>
    <row r="12" spans="2:6">
      <c r="C12" s="3" t="s">
        <v>11</v>
      </c>
      <c r="D12" s="21"/>
      <c r="E12" s="4"/>
      <c r="F12" s="24"/>
    </row>
    <row r="13" spans="2:6">
      <c r="C13" s="3" t="s">
        <v>12</v>
      </c>
      <c r="D13" s="21"/>
      <c r="E13" s="4"/>
      <c r="F13" s="24"/>
    </row>
    <row r="14" spans="2:6">
      <c r="C14" s="3" t="s">
        <v>13</v>
      </c>
      <c r="D14" s="21"/>
      <c r="E14" s="4"/>
    </row>
    <row r="15" spans="2:6">
      <c r="C15" s="3"/>
      <c r="D15" s="4"/>
      <c r="E15" s="4"/>
      <c r="F15" t="s">
        <v>14</v>
      </c>
    </row>
    <row r="16" spans="2:6">
      <c r="C16" s="3"/>
      <c r="D16" s="4"/>
      <c r="E16" s="4"/>
      <c r="F16" s="24"/>
    </row>
    <row r="17" spans="3:6" ht="18.75">
      <c r="C17" s="5" t="s">
        <v>15</v>
      </c>
      <c r="D17" s="4"/>
      <c r="E17" s="4"/>
      <c r="F17" s="24"/>
    </row>
    <row r="18" spans="3:6">
      <c r="C18" s="3" t="s">
        <v>16</v>
      </c>
      <c r="D18" s="1" t="s">
        <v>15</v>
      </c>
      <c r="E18" s="4"/>
      <c r="F18" s="24"/>
    </row>
    <row r="19" spans="3:6">
      <c r="C19" s="3" t="s">
        <v>17</v>
      </c>
      <c r="D19" s="22"/>
      <c r="E19" s="4"/>
      <c r="F19" s="24"/>
    </row>
    <row r="20" spans="3:6">
      <c r="C20" s="3" t="s">
        <v>18</v>
      </c>
      <c r="D20" s="22"/>
      <c r="E20" s="4"/>
      <c r="F20" s="24"/>
    </row>
    <row r="21" spans="3:6">
      <c r="C21" s="3" t="s">
        <v>19</v>
      </c>
      <c r="D21" s="22"/>
      <c r="E21" s="4"/>
    </row>
    <row r="22" spans="3:6">
      <c r="C22" s="3" t="s">
        <v>20</v>
      </c>
      <c r="D22" s="22"/>
      <c r="E22" s="4"/>
      <c r="F22" t="s">
        <v>21</v>
      </c>
    </row>
    <row r="23" spans="3:6">
      <c r="C23" s="3" t="s">
        <v>22</v>
      </c>
      <c r="D23" s="22"/>
      <c r="E23" s="4"/>
      <c r="F23" s="24"/>
    </row>
    <row r="24" spans="3:6">
      <c r="C24" s="3" t="s">
        <v>23</v>
      </c>
      <c r="D24" s="1">
        <f>SUM(D19:D23)</f>
        <v>0</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21"/>
      <c r="E29" s="4"/>
      <c r="F29" s="24"/>
    </row>
    <row r="30" spans="3:6">
      <c r="C30" s="3" t="s">
        <v>29</v>
      </c>
      <c r="D30" s="21"/>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41</v>
      </c>
      <c r="E38" s="21" t="s">
        <v>42</v>
      </c>
      <c r="F38" s="21" t="s">
        <v>43</v>
      </c>
      <c r="G38" s="23">
        <v>0.5</v>
      </c>
      <c r="H38" s="21">
        <v>6</v>
      </c>
    </row>
    <row r="39" spans="3:8">
      <c r="C39" s="3" t="s">
        <v>44</v>
      </c>
      <c r="D39" s="21"/>
      <c r="E39" s="21"/>
      <c r="F39" s="21"/>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28</v>
      </c>
      <c r="E48" s="24" t="s">
        <v>53</v>
      </c>
      <c r="F48" s="24" t="s">
        <v>54</v>
      </c>
    </row>
    <row r="49" spans="3:6">
      <c r="C49" s="25" t="s">
        <v>44</v>
      </c>
      <c r="D49" s="24" t="s">
        <v>29</v>
      </c>
      <c r="E49" s="24" t="s">
        <v>55</v>
      </c>
      <c r="F49" s="24" t="s">
        <v>56</v>
      </c>
    </row>
    <row r="50" spans="3:6">
      <c r="C50" s="25" t="s">
        <v>44</v>
      </c>
      <c r="D50" s="24" t="s">
        <v>29</v>
      </c>
      <c r="E50" s="24" t="s">
        <v>57</v>
      </c>
      <c r="F50" s="24" t="s">
        <v>58</v>
      </c>
    </row>
    <row r="51" spans="3:6">
      <c r="C51" s="25" t="s">
        <v>44</v>
      </c>
      <c r="D51" s="24"/>
      <c r="E51" s="24"/>
      <c r="F51" s="24"/>
    </row>
    <row r="52" spans="3:6">
      <c r="C52" s="25" t="s">
        <v>45</v>
      </c>
      <c r="D52" s="24"/>
      <c r="E52" s="24"/>
      <c r="F52" s="24"/>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65</v>
      </c>
      <c r="E71" s="21"/>
      <c r="F71" s="21"/>
    </row>
    <row r="72" spans="2:6">
      <c r="B72" s="7">
        <v>1</v>
      </c>
      <c r="C72" s="1">
        <v>2</v>
      </c>
      <c r="D72" s="21" t="s">
        <v>66</v>
      </c>
      <c r="E72" s="21" t="s">
        <v>67</v>
      </c>
      <c r="F72" s="21" t="s">
        <v>18</v>
      </c>
    </row>
    <row r="73" spans="2:6">
      <c r="B73" s="7">
        <v>1</v>
      </c>
      <c r="C73" s="1">
        <v>3</v>
      </c>
      <c r="D73" s="21" t="s">
        <v>68</v>
      </c>
      <c r="E73" s="21"/>
      <c r="F73" s="21"/>
    </row>
    <row r="74" spans="2:6">
      <c r="B74" s="7">
        <v>1</v>
      </c>
      <c r="C74" s="1">
        <v>4</v>
      </c>
      <c r="D74" s="21" t="s">
        <v>69</v>
      </c>
      <c r="E74" s="21" t="s">
        <v>70</v>
      </c>
      <c r="F74" s="21" t="s">
        <v>18</v>
      </c>
    </row>
    <row r="75" spans="2:6">
      <c r="B75" s="7">
        <v>1</v>
      </c>
      <c r="C75" s="1">
        <v>5</v>
      </c>
      <c r="D75" s="21" t="s">
        <v>71</v>
      </c>
      <c r="E75" s="21"/>
      <c r="F75" s="21"/>
    </row>
    <row r="76" spans="2:6">
      <c r="B76" s="7">
        <v>1</v>
      </c>
      <c r="C76" s="1">
        <v>6</v>
      </c>
      <c r="D76" s="21" t="s">
        <v>72</v>
      </c>
      <c r="E76" s="21"/>
      <c r="F76" s="21" t="s">
        <v>18</v>
      </c>
    </row>
    <row r="77" spans="2:6">
      <c r="B77" s="7">
        <v>1</v>
      </c>
      <c r="C77" s="1">
        <v>7</v>
      </c>
      <c r="D77" s="21" t="s">
        <v>73</v>
      </c>
      <c r="E77" s="21"/>
      <c r="F77" s="21"/>
    </row>
    <row r="78" spans="2:6">
      <c r="B78" s="7">
        <v>1</v>
      </c>
      <c r="C78" s="1">
        <v>8</v>
      </c>
      <c r="D78" s="21" t="s">
        <v>74</v>
      </c>
      <c r="E78" s="21"/>
      <c r="F78" s="21" t="s">
        <v>18</v>
      </c>
    </row>
    <row r="79" spans="2:6">
      <c r="B79" s="7">
        <v>1</v>
      </c>
      <c r="C79" s="1">
        <v>9</v>
      </c>
      <c r="D79" s="21" t="s">
        <v>75</v>
      </c>
      <c r="E79" s="21"/>
      <c r="F79" s="21"/>
    </row>
    <row r="80" spans="2:6">
      <c r="B80" s="7">
        <v>1</v>
      </c>
      <c r="C80" s="1">
        <v>10</v>
      </c>
      <c r="D80" s="21" t="s">
        <v>76</v>
      </c>
      <c r="E80" s="21" t="s">
        <v>77</v>
      </c>
      <c r="F80" s="21" t="s">
        <v>18</v>
      </c>
    </row>
    <row r="81" spans="2:6">
      <c r="B81" s="7">
        <v>1</v>
      </c>
      <c r="C81" s="1">
        <v>11</v>
      </c>
      <c r="D81" s="21" t="s">
        <v>78</v>
      </c>
      <c r="E81" s="21"/>
      <c r="F81" s="21"/>
    </row>
    <row r="82" spans="2:6">
      <c r="B82" s="7">
        <v>1</v>
      </c>
      <c r="C82" s="1">
        <v>12</v>
      </c>
      <c r="D82" s="21" t="s">
        <v>79</v>
      </c>
      <c r="E82" s="21"/>
      <c r="F82" s="21" t="s">
        <v>18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27C92115-5C5E-4A13-987E-0B79D13A7A15}">
      <formula1>INDIRECT(VLOOKUP($E46, SkillNameMap, 2, FALSE))</formula1>
    </dataValidation>
    <dataValidation type="list" allowBlank="1" showInputMessage="1" showErrorMessage="1" sqref="E38:E41" xr:uid="{0F0ED128-C084-4F9B-B814-E87A44C6EF2E}">
      <formula1>INDIRECT("LISTAssess[Assessment Specific]")</formula1>
    </dataValidation>
    <dataValidation type="whole" showInputMessage="1" showErrorMessage="1" error="This is not a realistic number of contact hours please change" sqref="D19" xr:uid="{18B8F1E6-C2EA-43E5-89E8-62BD3CAFC164}">
      <formula1>0</formula1>
      <formula2>80</formula2>
    </dataValidation>
    <dataValidation type="whole" showInputMessage="1" showErrorMessage="1" error="This is not a realistic number of contact hours please reduce" sqref="D20:D23" xr:uid="{CD6390B9-7DFA-4244-AF23-E74F3EC0D04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5F4B8C4-9CE3-4071-9F6E-D86A779DBEE9}">
          <x14:formula1>
            <xm:f>LISTS!$J$7:$J$16</xm:f>
          </x14:formula1>
          <xm:sqref>E46:E66</xm:sqref>
        </x14:dataValidation>
        <x14:dataValidation type="list" allowBlank="1" showInputMessage="1" showErrorMessage="1" xr:uid="{EF051E7F-6115-4109-B4BA-E4BFB9CEC040}">
          <x14:formula1>
            <xm:f>LISTS!$E$7:$E$11</xm:f>
          </x14:formula1>
          <xm:sqref>D46:D66</xm:sqref>
        </x14:dataValidation>
        <x14:dataValidation type="list" allowBlank="1" showInputMessage="1" showErrorMessage="1" xr:uid="{9DC372BB-FD67-4EC8-BA4F-E34B292E01FF}">
          <x14:formula1>
            <xm:f>LISTS!$G$7:$G$11</xm:f>
          </x14:formula1>
          <xm:sqref>D38:D42</xm:sqref>
        </x14:dataValidation>
        <x14:dataValidation type="list" allowBlank="1" showInputMessage="1" showErrorMessage="1" xr:uid="{0C70FCBD-CEC8-4B9E-A70B-5949F9158F6A}">
          <x14:formula1>
            <xm:f>LISTS!$C$11:$C$15</xm:f>
          </x14:formula1>
          <xm:sqref>D11</xm:sqref>
        </x14:dataValidation>
        <x14:dataValidation type="list" allowBlank="1" showInputMessage="1" showErrorMessage="1" xr:uid="{15E63B33-6515-4A83-BE33-70F4A2DD0907}">
          <x14:formula1>
            <xm:f>LISTS!$C$7:$C$9</xm:f>
          </x14:formula1>
          <xm:sqref>D10</xm:sqref>
        </x14:dataValidation>
        <x14:dataValidation type="list" allowBlank="1" showInputMessage="1" showErrorMessage="1" xr:uid="{39E1EB85-CB1D-499F-A46C-553BE1538AB8}">
          <x14:formula1>
            <xm:f>LISTS!$C$17:$C$22</xm:f>
          </x14:formula1>
          <xm:sqref>D13</xm:sqref>
        </x14:dataValidation>
        <x14:dataValidation type="list" allowBlank="1" showInputMessage="1" showErrorMessage="1" xr:uid="{ED1E3A44-90C3-40D7-AC53-9CC22783DC80}">
          <x14:formula1>
            <xm:f>LISTS!$C$26:$C$37</xm:f>
          </x14:formula1>
          <xm:sqref>D14</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94"/>
  <sheetViews>
    <sheetView showGridLines="0" topLeftCell="B1" zoomScale="85" zoomScaleNormal="85" workbookViewId="0">
      <selection activeCell="E83" sqref="E83"/>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SEM401</v>
      </c>
      <c r="D2" s="20" t="str">
        <f>D8</f>
        <v>Applied Biomechanics</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v>
      </c>
      <c r="E7" s="4"/>
      <c r="F7" s="24"/>
    </row>
    <row r="8" spans="2:6">
      <c r="B8" s="2"/>
      <c r="C8" s="3" t="s">
        <v>6</v>
      </c>
      <c r="D8" s="21" t="s">
        <v>838</v>
      </c>
      <c r="E8" s="4"/>
      <c r="F8" s="24"/>
    </row>
    <row r="9" spans="2:6">
      <c r="C9" s="3" t="s">
        <v>7</v>
      </c>
      <c r="D9" s="21">
        <v>20</v>
      </c>
      <c r="E9" s="4"/>
    </row>
    <row r="10" spans="2:6">
      <c r="C10" s="3" t="s">
        <v>8</v>
      </c>
      <c r="D10" s="21">
        <v>1</v>
      </c>
      <c r="E10" s="4"/>
      <c r="F10" t="s">
        <v>9</v>
      </c>
    </row>
    <row r="11" spans="2:6">
      <c r="C11" s="3" t="s">
        <v>10</v>
      </c>
      <c r="D11" s="21">
        <v>4</v>
      </c>
      <c r="E11" s="4"/>
      <c r="F11" s="24"/>
    </row>
    <row r="12" spans="2:6">
      <c r="C12" s="3" t="s">
        <v>11</v>
      </c>
      <c r="D12" s="21" t="s">
        <v>839</v>
      </c>
      <c r="E12" s="4"/>
      <c r="F12" s="24"/>
    </row>
    <row r="13" spans="2:6">
      <c r="C13" s="3" t="s">
        <v>12</v>
      </c>
      <c r="D13" s="21" t="s">
        <v>146</v>
      </c>
      <c r="E13" s="4"/>
      <c r="F13" s="24"/>
    </row>
    <row r="14" spans="2:6">
      <c r="C14" s="3" t="s">
        <v>13</v>
      </c>
      <c r="D14" s="21"/>
      <c r="E14" s="4"/>
    </row>
    <row r="15" spans="2:6">
      <c r="C15" s="3"/>
      <c r="D15" s="4"/>
      <c r="E15" s="4"/>
      <c r="F15" t="s">
        <v>14</v>
      </c>
    </row>
    <row r="16" spans="2:6">
      <c r="C16" s="3"/>
      <c r="D16" s="4"/>
      <c r="E16" s="4"/>
      <c r="F16" s="24"/>
    </row>
    <row r="17" spans="3:6" ht="18.75">
      <c r="C17" s="5" t="s">
        <v>15</v>
      </c>
      <c r="D17" s="4"/>
      <c r="E17" s="4"/>
      <c r="F17" s="24"/>
    </row>
    <row r="18" spans="3:6">
      <c r="C18" s="3" t="s">
        <v>16</v>
      </c>
      <c r="D18" s="1" t="s">
        <v>15</v>
      </c>
      <c r="E18" s="4"/>
      <c r="F18" s="24"/>
    </row>
    <row r="19" spans="3:6">
      <c r="C19" s="3" t="s">
        <v>17</v>
      </c>
      <c r="D19" s="22">
        <v>22</v>
      </c>
      <c r="E19" s="4"/>
      <c r="F19" s="24"/>
    </row>
    <row r="20" spans="3:6">
      <c r="C20" s="3" t="s">
        <v>18</v>
      </c>
      <c r="D20" s="22">
        <v>12</v>
      </c>
      <c r="E20" s="4"/>
      <c r="F20" s="24"/>
    </row>
    <row r="21" spans="3:6">
      <c r="C21" s="3" t="s">
        <v>19</v>
      </c>
      <c r="D21" s="22">
        <v>6</v>
      </c>
      <c r="E21" s="4"/>
    </row>
    <row r="22" spans="3:6">
      <c r="C22" s="3" t="s">
        <v>20</v>
      </c>
      <c r="D22" s="22">
        <v>6</v>
      </c>
      <c r="E22" s="4"/>
      <c r="F22" t="s">
        <v>21</v>
      </c>
    </row>
    <row r="23" spans="3:6">
      <c r="C23" s="3" t="s">
        <v>22</v>
      </c>
      <c r="D23" s="22">
        <v>0</v>
      </c>
      <c r="E23" s="4"/>
      <c r="F23" s="24"/>
    </row>
    <row r="24" spans="3:6">
      <c r="C24" s="3" t="s">
        <v>23</v>
      </c>
      <c r="D24" s="1">
        <f>SUM(D19:D23)</f>
        <v>46</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21" t="s">
        <v>840</v>
      </c>
      <c r="E29" s="4"/>
      <c r="F29" s="24"/>
    </row>
    <row r="30" spans="3:6">
      <c r="C30" s="3" t="s">
        <v>29</v>
      </c>
      <c r="D30" s="21" t="s">
        <v>841</v>
      </c>
      <c r="E30" s="4"/>
      <c r="F30" s="24"/>
    </row>
    <row r="31" spans="3:6">
      <c r="C31" s="3" t="s">
        <v>30</v>
      </c>
      <c r="D31" s="21" t="s">
        <v>842</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41</v>
      </c>
      <c r="E38" s="21" t="s">
        <v>42</v>
      </c>
      <c r="F38" s="21" t="s">
        <v>43</v>
      </c>
      <c r="G38" s="23">
        <v>0.5</v>
      </c>
      <c r="H38" s="21">
        <v>6</v>
      </c>
    </row>
    <row r="39" spans="3:8">
      <c r="C39" s="3" t="s">
        <v>44</v>
      </c>
      <c r="D39" s="21" t="s">
        <v>150</v>
      </c>
      <c r="E39" s="21" t="s">
        <v>151</v>
      </c>
      <c r="F39" s="21"/>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28</v>
      </c>
      <c r="E48" s="24" t="s">
        <v>53</v>
      </c>
      <c r="F48" s="24" t="s">
        <v>54</v>
      </c>
    </row>
    <row r="49" spans="3:6">
      <c r="C49" s="25" t="s">
        <v>44</v>
      </c>
      <c r="D49" s="24" t="s">
        <v>29</v>
      </c>
      <c r="E49" s="24" t="s">
        <v>55</v>
      </c>
      <c r="F49" s="24" t="s">
        <v>56</v>
      </c>
    </row>
    <row r="50" spans="3:6">
      <c r="C50" s="25" t="s">
        <v>44</v>
      </c>
      <c r="D50" s="24" t="s">
        <v>29</v>
      </c>
      <c r="E50" s="24" t="s">
        <v>57</v>
      </c>
      <c r="F50" s="24" t="s">
        <v>58</v>
      </c>
    </row>
    <row r="51" spans="3:6">
      <c r="C51" s="25" t="s">
        <v>44</v>
      </c>
      <c r="D51" s="24"/>
      <c r="E51" s="24" t="s">
        <v>55</v>
      </c>
      <c r="F51" s="24"/>
    </row>
    <row r="52" spans="3:6">
      <c r="C52" s="25" t="s">
        <v>45</v>
      </c>
      <c r="D52" s="24"/>
      <c r="E52" s="24"/>
      <c r="F52" s="24"/>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65</v>
      </c>
      <c r="E71" s="21"/>
      <c r="F71" s="21"/>
    </row>
    <row r="72" spans="2:6">
      <c r="B72" s="7">
        <v>1</v>
      </c>
      <c r="C72" s="1">
        <v>2</v>
      </c>
      <c r="D72" s="21" t="s">
        <v>66</v>
      </c>
      <c r="E72" s="21" t="s">
        <v>67</v>
      </c>
      <c r="F72" s="21" t="s">
        <v>18</v>
      </c>
    </row>
    <row r="73" spans="2:6">
      <c r="B73" s="7">
        <v>1</v>
      </c>
      <c r="C73" s="1">
        <v>3</v>
      </c>
      <c r="D73" s="21" t="s">
        <v>68</v>
      </c>
      <c r="E73" s="21"/>
      <c r="F73" s="21"/>
    </row>
    <row r="74" spans="2:6">
      <c r="B74" s="7">
        <v>1</v>
      </c>
      <c r="C74" s="1">
        <v>4</v>
      </c>
      <c r="D74" s="21" t="s">
        <v>69</v>
      </c>
      <c r="E74" s="21" t="s">
        <v>70</v>
      </c>
      <c r="F74" s="21" t="s">
        <v>18</v>
      </c>
    </row>
    <row r="75" spans="2:6">
      <c r="B75" s="7">
        <v>1</v>
      </c>
      <c r="C75" s="1">
        <v>5</v>
      </c>
      <c r="D75" s="21" t="s">
        <v>71</v>
      </c>
      <c r="E75" s="21"/>
      <c r="F75" s="21"/>
    </row>
    <row r="76" spans="2:6">
      <c r="B76" s="7">
        <v>1</v>
      </c>
      <c r="C76" s="1">
        <v>6</v>
      </c>
      <c r="D76" s="21" t="s">
        <v>72</v>
      </c>
      <c r="E76" s="21"/>
      <c r="F76" s="21" t="s">
        <v>18</v>
      </c>
    </row>
    <row r="77" spans="2:6">
      <c r="B77" s="7">
        <v>1</v>
      </c>
      <c r="C77" s="1">
        <v>7</v>
      </c>
      <c r="D77" s="21" t="s">
        <v>73</v>
      </c>
      <c r="E77" s="21"/>
      <c r="F77" s="21"/>
    </row>
    <row r="78" spans="2:6">
      <c r="B78" s="7">
        <v>1</v>
      </c>
      <c r="C78" s="1">
        <v>8</v>
      </c>
      <c r="D78" s="21" t="s">
        <v>74</v>
      </c>
      <c r="E78" s="21"/>
      <c r="F78" s="21" t="s">
        <v>18</v>
      </c>
    </row>
    <row r="79" spans="2:6">
      <c r="B79" s="7">
        <v>1</v>
      </c>
      <c r="C79" s="1">
        <v>9</v>
      </c>
      <c r="D79" s="21" t="s">
        <v>75</v>
      </c>
      <c r="E79" s="21"/>
      <c r="F79" s="21"/>
    </row>
    <row r="80" spans="2:6">
      <c r="B80" s="7">
        <v>1</v>
      </c>
      <c r="C80" s="1">
        <v>10</v>
      </c>
      <c r="D80" s="21" t="s">
        <v>76</v>
      </c>
      <c r="E80" s="21" t="s">
        <v>77</v>
      </c>
      <c r="F80" s="21" t="s">
        <v>18</v>
      </c>
    </row>
    <row r="81" spans="2:6">
      <c r="B81" s="7">
        <v>1</v>
      </c>
      <c r="C81" s="1">
        <v>11</v>
      </c>
      <c r="D81" s="21" t="s">
        <v>78</v>
      </c>
      <c r="E81" s="21"/>
      <c r="F81" s="21"/>
    </row>
    <row r="82" spans="2:6">
      <c r="B82" s="7">
        <v>1</v>
      </c>
      <c r="C82" s="1">
        <v>12</v>
      </c>
      <c r="D82" s="21" t="s">
        <v>79</v>
      </c>
      <c r="E82" s="21"/>
      <c r="F82" s="21" t="s">
        <v>18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workbookViewId="0">
      <selection activeCell="P9" sqref="P9"/>
    </sheetView>
  </sheetViews>
  <sheetFormatPr defaultColWidth="8.85546875" defaultRowHeight="15"/>
  <cols>
    <col min="7" max="7" width="11.28515625" customWidth="1"/>
    <col min="10" max="10" width="19.28515625" bestFit="1" customWidth="1"/>
    <col min="19" max="19" width="28.28515625" customWidth="1"/>
    <col min="20" max="20" width="16.140625" customWidth="1"/>
  </cols>
  <sheetData>
    <row r="4" spans="3:10">
      <c r="C4" t="s">
        <v>843</v>
      </c>
      <c r="E4" t="s">
        <v>844</v>
      </c>
      <c r="G4" t="s">
        <v>844</v>
      </c>
      <c r="J4" t="s">
        <v>845</v>
      </c>
    </row>
    <row r="7" spans="3:10" ht="15.75" customHeight="1">
      <c r="C7" s="7">
        <v>1</v>
      </c>
      <c r="E7" t="s">
        <v>28</v>
      </c>
      <c r="G7" t="s">
        <v>290</v>
      </c>
      <c r="J7" t="s">
        <v>50</v>
      </c>
    </row>
    <row r="8" spans="3:10">
      <c r="C8" s="7">
        <v>2</v>
      </c>
      <c r="E8" t="s">
        <v>29</v>
      </c>
      <c r="G8" t="s">
        <v>150</v>
      </c>
      <c r="J8" t="s">
        <v>57</v>
      </c>
    </row>
    <row r="9" spans="3:10">
      <c r="C9" s="7" t="s">
        <v>723</v>
      </c>
      <c r="E9" t="s">
        <v>30</v>
      </c>
      <c r="G9" t="s">
        <v>41</v>
      </c>
      <c r="J9" t="s">
        <v>53</v>
      </c>
    </row>
    <row r="10" spans="3:10">
      <c r="E10" t="s">
        <v>31</v>
      </c>
      <c r="G10" t="s">
        <v>19</v>
      </c>
      <c r="J10" t="s">
        <v>155</v>
      </c>
    </row>
    <row r="11" spans="3:10">
      <c r="C11" s="7">
        <v>3</v>
      </c>
      <c r="E11" t="s">
        <v>32</v>
      </c>
      <c r="G11" t="s">
        <v>96</v>
      </c>
      <c r="J11" t="s">
        <v>99</v>
      </c>
    </row>
    <row r="12" spans="3:10">
      <c r="C12" s="7">
        <v>4</v>
      </c>
      <c r="J12" t="s">
        <v>55</v>
      </c>
    </row>
    <row r="13" spans="3:10">
      <c r="C13" s="7">
        <v>5</v>
      </c>
      <c r="J13" t="s">
        <v>252</v>
      </c>
    </row>
    <row r="14" spans="3:10">
      <c r="C14" s="7">
        <v>6</v>
      </c>
      <c r="G14" t="s">
        <v>36</v>
      </c>
      <c r="J14" t="s">
        <v>105</v>
      </c>
    </row>
    <row r="15" spans="3:10">
      <c r="C15" s="7">
        <v>7</v>
      </c>
      <c r="G15" t="s">
        <v>186</v>
      </c>
      <c r="J15" t="s">
        <v>101</v>
      </c>
    </row>
    <row r="16" spans="3:10">
      <c r="G16" t="s">
        <v>753</v>
      </c>
      <c r="J16" t="s">
        <v>399</v>
      </c>
    </row>
    <row r="17" spans="3:20">
      <c r="C17" t="s">
        <v>85</v>
      </c>
      <c r="G17" t="s">
        <v>846</v>
      </c>
    </row>
    <row r="18" spans="3:20">
      <c r="C18" t="s">
        <v>172</v>
      </c>
      <c r="G18" t="s">
        <v>291</v>
      </c>
    </row>
    <row r="19" spans="3:20">
      <c r="C19" t="s">
        <v>847</v>
      </c>
      <c r="G19" t="s">
        <v>42</v>
      </c>
      <c r="J19" t="s">
        <v>848</v>
      </c>
      <c r="K19" t="s">
        <v>849</v>
      </c>
    </row>
    <row r="20" spans="3:20">
      <c r="C20" t="s">
        <v>850</v>
      </c>
      <c r="G20" t="s">
        <v>94</v>
      </c>
      <c r="J20" t="s">
        <v>50</v>
      </c>
      <c r="K20" t="s">
        <v>189</v>
      </c>
      <c r="O20" s="9" t="s">
        <v>851</v>
      </c>
      <c r="S20" s="14" t="s">
        <v>852</v>
      </c>
      <c r="T20" s="15" t="s">
        <v>853</v>
      </c>
    </row>
    <row r="21" spans="3:20">
      <c r="C21" t="s">
        <v>454</v>
      </c>
      <c r="G21" t="s">
        <v>461</v>
      </c>
      <c r="J21" t="s">
        <v>50</v>
      </c>
      <c r="K21" t="s">
        <v>52</v>
      </c>
      <c r="O21" t="str" cm="1">
        <f t="array" ref="O21:O26">_xlfn._xlws.FILTER(LISTS_Table[Skill],LISTS_Table[Category]="Scientific Knowledge")</f>
        <v>Critical thinking</v>
      </c>
      <c r="S21" s="16" t="s">
        <v>50</v>
      </c>
      <c r="T21" s="17" t="s">
        <v>854</v>
      </c>
    </row>
    <row r="22" spans="3:20">
      <c r="C22" t="s">
        <v>146</v>
      </c>
      <c r="G22" t="s">
        <v>459</v>
      </c>
      <c r="J22" t="s">
        <v>50</v>
      </c>
      <c r="K22" t="s">
        <v>51</v>
      </c>
      <c r="O22" t="str">
        <v>Scientific literacy</v>
      </c>
      <c r="S22" s="18" t="s">
        <v>57</v>
      </c>
      <c r="T22" s="19" t="s">
        <v>855</v>
      </c>
    </row>
    <row r="23" spans="3:20">
      <c r="G23" t="s">
        <v>244</v>
      </c>
      <c r="J23" t="s">
        <v>50</v>
      </c>
      <c r="K23" t="s">
        <v>246</v>
      </c>
      <c r="O23" t="str">
        <v>Information retrieval</v>
      </c>
      <c r="S23" s="16" t="s">
        <v>53</v>
      </c>
      <c r="T23" s="17" t="s">
        <v>856</v>
      </c>
    </row>
    <row r="24" spans="3:20">
      <c r="G24" t="s">
        <v>857</v>
      </c>
      <c r="J24" t="s">
        <v>50</v>
      </c>
      <c r="K24" t="s">
        <v>475</v>
      </c>
      <c r="O24" t="str">
        <v>Knowledge synthesis</v>
      </c>
      <c r="S24" s="18" t="s">
        <v>155</v>
      </c>
      <c r="T24" s="19" t="s">
        <v>858</v>
      </c>
    </row>
    <row r="25" spans="3:20">
      <c r="G25" t="s">
        <v>97</v>
      </c>
      <c r="J25" t="s">
        <v>50</v>
      </c>
      <c r="K25" t="s">
        <v>325</v>
      </c>
      <c r="O25" t="str">
        <v>Domian-specfic analytical skills</v>
      </c>
      <c r="S25" s="16" t="s">
        <v>99</v>
      </c>
      <c r="T25" s="17" t="s">
        <v>859</v>
      </c>
    </row>
    <row r="26" spans="3:20">
      <c r="C26" t="s">
        <v>860</v>
      </c>
      <c r="G26" t="s">
        <v>861</v>
      </c>
      <c r="J26" t="s">
        <v>57</v>
      </c>
      <c r="K26" t="s">
        <v>556</v>
      </c>
      <c r="O26" t="str">
        <v>Evidence evaluation</v>
      </c>
      <c r="S26" s="18" t="s">
        <v>55</v>
      </c>
      <c r="T26" s="19" t="s">
        <v>55</v>
      </c>
    </row>
    <row r="27" spans="3:20">
      <c r="C27" t="s">
        <v>862</v>
      </c>
      <c r="G27" t="s">
        <v>242</v>
      </c>
      <c r="J27" t="s">
        <v>57</v>
      </c>
      <c r="K27" t="s">
        <v>190</v>
      </c>
      <c r="S27" s="16" t="s">
        <v>252</v>
      </c>
      <c r="T27" s="17" t="s">
        <v>863</v>
      </c>
    </row>
    <row r="28" spans="3:20">
      <c r="C28" t="s">
        <v>86</v>
      </c>
      <c r="G28" t="s">
        <v>151</v>
      </c>
      <c r="J28" t="s">
        <v>57</v>
      </c>
      <c r="K28" t="s">
        <v>78</v>
      </c>
      <c r="O28" s="6" t="s">
        <v>864</v>
      </c>
      <c r="S28" s="18" t="s">
        <v>105</v>
      </c>
      <c r="T28" s="19" t="s">
        <v>865</v>
      </c>
    </row>
    <row r="29" spans="3:20">
      <c r="C29" t="s">
        <v>866</v>
      </c>
      <c r="J29" t="s">
        <v>57</v>
      </c>
      <c r="K29" t="s">
        <v>591</v>
      </c>
      <c r="O29" t="str" cm="1">
        <f t="array" ref="O29:O34">_xlfn._xlws.FILTER(LISTS_Table[Skill],LISTS_Table[Category]="Technical Skills")</f>
        <v>Laboratory/clinical techniques</v>
      </c>
      <c r="S29" s="16" t="s">
        <v>101</v>
      </c>
      <c r="T29" s="17" t="s">
        <v>867</v>
      </c>
    </row>
    <row r="30" spans="3:20">
      <c r="C30" t="s">
        <v>868</v>
      </c>
      <c r="J30" t="s">
        <v>57</v>
      </c>
      <c r="K30" t="s">
        <v>58</v>
      </c>
      <c r="O30" t="str">
        <v>Data collection</v>
      </c>
      <c r="S30" s="13" t="s">
        <v>399</v>
      </c>
      <c r="T30" s="11" t="s">
        <v>869</v>
      </c>
    </row>
    <row r="31" spans="3:20">
      <c r="C31" t="s">
        <v>870</v>
      </c>
      <c r="J31" t="s">
        <v>57</v>
      </c>
      <c r="K31" t="s">
        <v>592</v>
      </c>
      <c r="O31" t="str">
        <v>Data analysis</v>
      </c>
    </row>
    <row r="32" spans="3:20">
      <c r="C32" t="s">
        <v>181</v>
      </c>
      <c r="J32" t="s">
        <v>53</v>
      </c>
      <c r="K32" t="s">
        <v>54</v>
      </c>
      <c r="O32" t="str">
        <v>Digital literacy</v>
      </c>
    </row>
    <row r="33" spans="3:15">
      <c r="C33" t="s">
        <v>420</v>
      </c>
      <c r="J33" t="s">
        <v>53</v>
      </c>
      <c r="K33" t="s">
        <v>871</v>
      </c>
      <c r="O33" t="str">
        <v>Equipment and technology utilisation</v>
      </c>
    </row>
    <row r="34" spans="3:15">
      <c r="C34" t="s">
        <v>747</v>
      </c>
      <c r="J34" t="s">
        <v>53</v>
      </c>
      <c r="K34" t="s">
        <v>154</v>
      </c>
      <c r="O34" t="str">
        <v>Technical proficiency</v>
      </c>
    </row>
    <row r="35" spans="3:15">
      <c r="C35" t="s">
        <v>872</v>
      </c>
      <c r="J35" t="s">
        <v>53</v>
      </c>
      <c r="K35" t="s">
        <v>192</v>
      </c>
    </row>
    <row r="36" spans="3:15">
      <c r="C36" t="s">
        <v>873</v>
      </c>
      <c r="J36" t="s">
        <v>53</v>
      </c>
      <c r="K36" t="s">
        <v>755</v>
      </c>
      <c r="O36" s="9" t="s">
        <v>874</v>
      </c>
    </row>
    <row r="37" spans="3:15">
      <c r="C37" t="s">
        <v>236</v>
      </c>
      <c r="J37" t="s">
        <v>53</v>
      </c>
      <c r="K37" t="s">
        <v>875</v>
      </c>
      <c r="O37" t="str" cm="1">
        <f t="array" ref="O37:O42">_xlfn._xlws.FILTER(LISTS_Table[Skill],LISTS_Table[Category]="Application of Knowledge and skills")</f>
        <v>Decision-making</v>
      </c>
    </row>
    <row r="38" spans="3:15">
      <c r="J38" t="s">
        <v>155</v>
      </c>
      <c r="K38" t="s">
        <v>522</v>
      </c>
      <c r="O38" t="str">
        <v>Translational practice</v>
      </c>
    </row>
    <row r="39" spans="3:15">
      <c r="J39" t="s">
        <v>155</v>
      </c>
      <c r="K39" t="s">
        <v>156</v>
      </c>
      <c r="O39" t="str">
        <v>Contextual application</v>
      </c>
    </row>
    <row r="40" spans="3:15">
      <c r="J40" t="s">
        <v>155</v>
      </c>
      <c r="K40" t="s">
        <v>327</v>
      </c>
      <c r="O40" t="str">
        <v>Professional judgement</v>
      </c>
    </row>
    <row r="41" spans="3:15">
      <c r="J41" t="s">
        <v>155</v>
      </c>
      <c r="K41" t="s">
        <v>157</v>
      </c>
      <c r="O41" t="str">
        <v>Adaptability</v>
      </c>
    </row>
    <row r="42" spans="3:15">
      <c r="J42" t="s">
        <v>155</v>
      </c>
      <c r="K42" t="s">
        <v>373</v>
      </c>
      <c r="O42" t="str">
        <v>Risk assessment</v>
      </c>
    </row>
    <row r="43" spans="3:15">
      <c r="J43" t="s">
        <v>155</v>
      </c>
      <c r="K43" t="s">
        <v>593</v>
      </c>
    </row>
    <row r="44" spans="3:15">
      <c r="J44" t="s">
        <v>99</v>
      </c>
      <c r="K44" t="s">
        <v>100</v>
      </c>
      <c r="O44" s="8" t="s">
        <v>155</v>
      </c>
    </row>
    <row r="45" spans="3:15">
      <c r="J45" t="s">
        <v>99</v>
      </c>
      <c r="K45" t="s">
        <v>372</v>
      </c>
      <c r="O45" t="str" cm="1">
        <f t="array" ref="O45:O50">_xlfn._xlws.FILTER(LISTS_Table[Skill],LISTS_Table[Category]="Understanding and use of research")</f>
        <v>Reserch literacy</v>
      </c>
    </row>
    <row r="46" spans="3:15">
      <c r="J46" t="s">
        <v>99</v>
      </c>
      <c r="K46" t="s">
        <v>876</v>
      </c>
      <c r="O46" t="str">
        <v>Literature searching</v>
      </c>
    </row>
    <row r="47" spans="3:15">
      <c r="J47" t="s">
        <v>99</v>
      </c>
      <c r="K47" t="s">
        <v>104</v>
      </c>
      <c r="O47" t="str">
        <v>Critical appraisal</v>
      </c>
    </row>
    <row r="48" spans="3:15">
      <c r="J48" t="s">
        <v>99</v>
      </c>
      <c r="K48" t="s">
        <v>877</v>
      </c>
      <c r="O48" t="str">
        <v>Data interpretation</v>
      </c>
    </row>
    <row r="49" spans="10:15">
      <c r="J49" t="s">
        <v>99</v>
      </c>
      <c r="K49" t="s">
        <v>878</v>
      </c>
      <c r="O49" t="str">
        <v>Evidne-based practice</v>
      </c>
    </row>
    <row r="50" spans="10:15">
      <c r="J50" t="s">
        <v>99</v>
      </c>
      <c r="K50" t="s">
        <v>879</v>
      </c>
      <c r="O50" t="str">
        <v>Research communication</v>
      </c>
    </row>
    <row r="51" spans="10:15">
      <c r="J51" t="s">
        <v>55</v>
      </c>
      <c r="K51" t="s">
        <v>191</v>
      </c>
    </row>
    <row r="52" spans="10:15">
      <c r="J52" t="s">
        <v>55</v>
      </c>
      <c r="K52" t="s">
        <v>56</v>
      </c>
      <c r="O52" s="8" t="s">
        <v>99</v>
      </c>
    </row>
    <row r="53" spans="10:15">
      <c r="J53" t="s">
        <v>55</v>
      </c>
      <c r="K53" t="s">
        <v>326</v>
      </c>
      <c r="O53" t="str" cm="1">
        <f t="array" ref="O53:O59">_xlfn._xlws.FILTER(LISTS_Table[Skill],LISTS_Table[Category]="Self-evaluation and professional development")</f>
        <v>Reflective practice</v>
      </c>
    </row>
    <row r="54" spans="10:15">
      <c r="J54" t="s">
        <v>55</v>
      </c>
      <c r="K54" t="s">
        <v>293</v>
      </c>
      <c r="O54" t="str">
        <v>Self-awareness</v>
      </c>
    </row>
    <row r="55" spans="10:15">
      <c r="J55" t="s">
        <v>55</v>
      </c>
      <c r="K55" t="s">
        <v>103</v>
      </c>
      <c r="O55" t="str">
        <v>Lifelong learning</v>
      </c>
    </row>
    <row r="56" spans="10:15">
      <c r="J56" t="s">
        <v>55</v>
      </c>
      <c r="K56" t="s">
        <v>247</v>
      </c>
      <c r="O56" t="str">
        <v>Personal development planning</v>
      </c>
    </row>
    <row r="57" spans="10:15">
      <c r="J57" t="s">
        <v>252</v>
      </c>
      <c r="K57" t="s">
        <v>594</v>
      </c>
      <c r="O57" t="str">
        <v>Resilience</v>
      </c>
    </row>
    <row r="58" spans="10:15">
      <c r="J58" t="s">
        <v>252</v>
      </c>
      <c r="K58" t="s">
        <v>880</v>
      </c>
      <c r="O58" t="str">
        <v>Initiative</v>
      </c>
    </row>
    <row r="59" spans="10:15">
      <c r="J59" t="s">
        <v>252</v>
      </c>
      <c r="K59" t="s">
        <v>881</v>
      </c>
      <c r="O59" t="str">
        <v>Accountability</v>
      </c>
    </row>
    <row r="60" spans="10:15">
      <c r="J60" t="s">
        <v>252</v>
      </c>
      <c r="K60" t="s">
        <v>636</v>
      </c>
    </row>
    <row r="61" spans="10:15">
      <c r="J61" t="s">
        <v>252</v>
      </c>
      <c r="K61" t="s">
        <v>882</v>
      </c>
      <c r="O61" s="10" t="s">
        <v>55</v>
      </c>
    </row>
    <row r="62" spans="10:15">
      <c r="J62" t="s">
        <v>252</v>
      </c>
      <c r="K62" t="s">
        <v>253</v>
      </c>
      <c r="O62" t="str" cm="1">
        <f t="array" ref="O62:O67">_xlfn._xlws.FILTER(LISTS_Table[Skill],LISTS_Table[Category]="Communication")</f>
        <v>Written communication</v>
      </c>
    </row>
    <row r="63" spans="10:15">
      <c r="J63" t="s">
        <v>105</v>
      </c>
      <c r="K63" t="s">
        <v>249</v>
      </c>
      <c r="O63" t="str">
        <v>Oral presentation</v>
      </c>
    </row>
    <row r="64" spans="10:15">
      <c r="J64" t="s">
        <v>105</v>
      </c>
      <c r="K64" t="s">
        <v>793</v>
      </c>
      <c r="O64" t="str">
        <v>Active listening</v>
      </c>
    </row>
    <row r="65" spans="10:15">
      <c r="J65" t="s">
        <v>105</v>
      </c>
      <c r="K65" t="s">
        <v>106</v>
      </c>
      <c r="O65" t="str">
        <v>Scientific writing</v>
      </c>
    </row>
    <row r="66" spans="10:15">
      <c r="J66" t="s">
        <v>105</v>
      </c>
      <c r="K66" t="s">
        <v>248</v>
      </c>
      <c r="O66" t="str">
        <v>Interpesronal communication</v>
      </c>
    </row>
    <row r="67" spans="10:15">
      <c r="J67" t="s">
        <v>105</v>
      </c>
      <c r="K67" t="s">
        <v>250</v>
      </c>
      <c r="O67" t="str">
        <v>Digital communication</v>
      </c>
    </row>
    <row r="68" spans="10:15">
      <c r="J68" t="s">
        <v>105</v>
      </c>
      <c r="K68" t="s">
        <v>251</v>
      </c>
    </row>
    <row r="69" spans="10:15">
      <c r="J69" t="s">
        <v>105</v>
      </c>
      <c r="K69" t="s">
        <v>883</v>
      </c>
      <c r="O69" s="10" t="s">
        <v>252</v>
      </c>
    </row>
    <row r="70" spans="10:15">
      <c r="J70" t="s">
        <v>105</v>
      </c>
      <c r="K70" t="s">
        <v>884</v>
      </c>
      <c r="O70" t="str" cm="1">
        <f t="array" ref="O70:O75">_xlfn._xlws.FILTER(LISTS_Table[Skill],LISTS_Table[Category]="Problem solving and impact")</f>
        <v>Analytical thinking</v>
      </c>
    </row>
    <row r="71" spans="10:15">
      <c r="J71" t="s">
        <v>105</v>
      </c>
      <c r="K71" t="s">
        <v>885</v>
      </c>
      <c r="O71" t="str">
        <v>problem identification</v>
      </c>
    </row>
    <row r="72" spans="10:15">
      <c r="J72" t="s">
        <v>101</v>
      </c>
      <c r="K72" t="s">
        <v>886</v>
      </c>
      <c r="O72" t="str">
        <v>Creative thinking</v>
      </c>
    </row>
    <row r="73" spans="10:15">
      <c r="J73" t="s">
        <v>101</v>
      </c>
      <c r="K73" t="s">
        <v>887</v>
      </c>
      <c r="O73" t="str">
        <v>Evidence-based decision making</v>
      </c>
    </row>
    <row r="74" spans="10:15">
      <c r="J74" t="s">
        <v>101</v>
      </c>
      <c r="K74" t="s">
        <v>732</v>
      </c>
      <c r="O74" t="str">
        <v>Innovation</v>
      </c>
    </row>
    <row r="75" spans="10:15">
      <c r="J75" t="s">
        <v>101</v>
      </c>
      <c r="K75" t="s">
        <v>635</v>
      </c>
      <c r="O75" t="str">
        <v>Evaluation of outcomes</v>
      </c>
    </row>
    <row r="76" spans="10:15">
      <c r="J76" t="s">
        <v>101</v>
      </c>
      <c r="K76" t="s">
        <v>102</v>
      </c>
    </row>
    <row r="77" spans="10:15">
      <c r="J77" t="s">
        <v>399</v>
      </c>
      <c r="K77" t="s">
        <v>888</v>
      </c>
      <c r="O77" s="10" t="s">
        <v>105</v>
      </c>
    </row>
    <row r="78" spans="10:15">
      <c r="J78" t="s">
        <v>399</v>
      </c>
      <c r="K78" t="s">
        <v>400</v>
      </c>
      <c r="O78" t="str" cm="1">
        <f t="array" ref="O78:O86">_xlfn._xlws.FILTER(LISTS_Table[Skill],LISTS_Table[Category]="Management of self and others")</f>
        <v>Leadership</v>
      </c>
    </row>
    <row r="79" spans="10:15">
      <c r="J79" t="s">
        <v>399</v>
      </c>
      <c r="K79" t="s">
        <v>733</v>
      </c>
      <c r="O79" t="str">
        <v>Coaching and mentoring</v>
      </c>
    </row>
    <row r="80" spans="10:15">
      <c r="J80" t="s">
        <v>399</v>
      </c>
      <c r="K80" t="s">
        <v>734</v>
      </c>
      <c r="O80" t="str">
        <v>Time management</v>
      </c>
    </row>
    <row r="81" spans="10:15">
      <c r="J81" t="s">
        <v>399</v>
      </c>
      <c r="K81" t="s">
        <v>735</v>
      </c>
      <c r="O81" t="str">
        <v>Organisation</v>
      </c>
    </row>
    <row r="82" spans="10:15">
      <c r="J82" t="s">
        <v>399</v>
      </c>
      <c r="K82" t="s">
        <v>889</v>
      </c>
      <c r="O82" t="str">
        <v>Delegation</v>
      </c>
    </row>
    <row r="83" spans="10:15">
      <c r="J83" t="s">
        <v>399</v>
      </c>
      <c r="K83" t="s">
        <v>890</v>
      </c>
      <c r="O83" t="str">
        <v>Conflict resolution</v>
      </c>
    </row>
    <row r="84" spans="10:15">
      <c r="O84" t="str">
        <v>Empathy</v>
      </c>
    </row>
    <row r="85" spans="10:15">
      <c r="O85" t="str">
        <v>Multi-tasking</v>
      </c>
    </row>
    <row r="86" spans="10:15">
      <c r="O86" t="str">
        <v>Resource management</v>
      </c>
    </row>
    <row r="88" spans="10:15">
      <c r="O88" s="8" t="s">
        <v>101</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10" t="s">
        <v>891</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25232-2496-E546-9604-2F97282EED57}">
  <sheetPr codeName="Sheet26"/>
  <dimension ref="A2:R42"/>
  <sheetViews>
    <sheetView topLeftCell="A29" workbookViewId="0">
      <selection activeCell="C40" sqref="C40"/>
    </sheetView>
  </sheetViews>
  <sheetFormatPr defaultColWidth="11.42578125" defaultRowHeight="15"/>
  <cols>
    <col min="1" max="1" width="13.42578125" bestFit="1" customWidth="1"/>
    <col min="2" max="2" width="23.7109375" bestFit="1" customWidth="1"/>
    <col min="3" max="3" width="32" bestFit="1" customWidth="1"/>
    <col min="4" max="4" width="27.7109375" bestFit="1" customWidth="1"/>
    <col min="5" max="5" width="21.140625" customWidth="1"/>
    <col min="6" max="6" width="24.7109375" bestFit="1" customWidth="1"/>
    <col min="7" max="7" width="32" bestFit="1" customWidth="1"/>
    <col min="11" max="11" width="21" bestFit="1" customWidth="1"/>
    <col min="12" max="12" width="16.85546875" bestFit="1" customWidth="1"/>
    <col min="13" max="13" width="7" bestFit="1" customWidth="1"/>
    <col min="14" max="14" width="8.7109375" bestFit="1" customWidth="1"/>
    <col min="15" max="15" width="8.42578125" bestFit="1" customWidth="1"/>
    <col min="16" max="16" width="5.42578125" bestFit="1" customWidth="1"/>
    <col min="17" max="17" width="10.140625" bestFit="1" customWidth="1"/>
    <col min="18" max="18" width="11.28515625" bestFit="1" customWidth="1"/>
  </cols>
  <sheetData>
    <row r="2" spans="1:18">
      <c r="A2" s="63" t="s">
        <v>892</v>
      </c>
    </row>
    <row r="3" spans="1:18">
      <c r="A3" s="64" t="s">
        <v>893</v>
      </c>
      <c r="B3" s="65" t="s">
        <v>894</v>
      </c>
      <c r="C3" s="65" t="s">
        <v>10</v>
      </c>
      <c r="D3" s="65" t="s">
        <v>8</v>
      </c>
      <c r="E3" s="65" t="s">
        <v>7</v>
      </c>
      <c r="F3" s="65" t="s">
        <v>11</v>
      </c>
      <c r="G3" s="65" t="s">
        <v>12</v>
      </c>
      <c r="H3" s="65" t="s">
        <v>895</v>
      </c>
      <c r="I3" s="66" t="s">
        <v>896</v>
      </c>
      <c r="K3" s="73" t="s">
        <v>897</v>
      </c>
      <c r="L3" s="73" t="s">
        <v>898</v>
      </c>
    </row>
    <row r="4" spans="1:18">
      <c r="A4" s="67" t="s">
        <v>899</v>
      </c>
      <c r="B4" s="68" t="s">
        <v>900</v>
      </c>
      <c r="C4" s="68">
        <v>4</v>
      </c>
      <c r="D4" s="68">
        <v>1</v>
      </c>
      <c r="E4" s="68">
        <v>20</v>
      </c>
      <c r="F4" s="68" t="s">
        <v>901</v>
      </c>
      <c r="G4" s="68" t="s">
        <v>146</v>
      </c>
      <c r="H4" s="68">
        <v>44</v>
      </c>
      <c r="I4" s="69">
        <v>2.2000000000000002</v>
      </c>
      <c r="K4" s="73" t="s">
        <v>902</v>
      </c>
      <c r="L4" t="s">
        <v>17</v>
      </c>
      <c r="M4" t="s">
        <v>22</v>
      </c>
      <c r="N4" t="s">
        <v>19</v>
      </c>
      <c r="O4" t="s">
        <v>18</v>
      </c>
      <c r="P4" t="s">
        <v>23</v>
      </c>
      <c r="Q4" t="s">
        <v>20</v>
      </c>
      <c r="R4" t="s">
        <v>903</v>
      </c>
    </row>
    <row r="5" spans="1:18">
      <c r="A5" s="67" t="s">
        <v>173</v>
      </c>
      <c r="B5" s="68" t="s">
        <v>904</v>
      </c>
      <c r="C5" s="68">
        <v>4</v>
      </c>
      <c r="D5" s="68">
        <v>1</v>
      </c>
      <c r="E5" s="68">
        <v>20</v>
      </c>
      <c r="F5" s="68" t="s">
        <v>178</v>
      </c>
      <c r="G5" s="68" t="s">
        <v>146</v>
      </c>
      <c r="H5" s="68">
        <v>44</v>
      </c>
      <c r="I5" s="69">
        <v>2.2000000000000002</v>
      </c>
      <c r="K5" s="74" t="s">
        <v>170</v>
      </c>
      <c r="P5">
        <v>0</v>
      </c>
      <c r="R5">
        <v>0</v>
      </c>
    </row>
    <row r="6" spans="1:18">
      <c r="A6" s="70" t="s">
        <v>229</v>
      </c>
      <c r="B6" s="71" t="s">
        <v>231</v>
      </c>
      <c r="C6" s="71">
        <v>4</v>
      </c>
      <c r="D6" s="71">
        <v>2</v>
      </c>
      <c r="E6" s="71">
        <v>20</v>
      </c>
      <c r="F6" s="71" t="s">
        <v>233</v>
      </c>
      <c r="G6" s="71" t="s">
        <v>146</v>
      </c>
      <c r="H6" s="71">
        <v>39</v>
      </c>
      <c r="I6" s="72">
        <v>1.95</v>
      </c>
      <c r="K6" s="74" t="s">
        <v>173</v>
      </c>
      <c r="L6">
        <v>33</v>
      </c>
      <c r="M6">
        <v>3</v>
      </c>
      <c r="N6">
        <v>6</v>
      </c>
      <c r="O6">
        <v>1</v>
      </c>
      <c r="P6">
        <v>44</v>
      </c>
      <c r="Q6">
        <v>1</v>
      </c>
      <c r="R6">
        <v>88</v>
      </c>
    </row>
    <row r="7" spans="1:18">
      <c r="A7" s="67" t="s">
        <v>905</v>
      </c>
      <c r="B7" s="68" t="s">
        <v>906</v>
      </c>
      <c r="C7" s="68">
        <v>4</v>
      </c>
      <c r="D7" s="68">
        <v>1</v>
      </c>
      <c r="E7" s="68">
        <v>20</v>
      </c>
      <c r="F7" s="68" t="s">
        <v>84</v>
      </c>
      <c r="G7" s="68" t="s">
        <v>85</v>
      </c>
      <c r="H7" s="68">
        <v>44</v>
      </c>
      <c r="I7" s="69">
        <v>2.2000000000000002</v>
      </c>
      <c r="K7" s="74" t="s">
        <v>899</v>
      </c>
      <c r="L7">
        <v>22</v>
      </c>
      <c r="M7">
        <v>22</v>
      </c>
      <c r="P7">
        <v>44</v>
      </c>
      <c r="R7">
        <v>88</v>
      </c>
    </row>
    <row r="8" spans="1:18">
      <c r="A8" s="70" t="s">
        <v>140</v>
      </c>
      <c r="B8" s="71" t="s">
        <v>142</v>
      </c>
      <c r="C8" s="71">
        <v>4</v>
      </c>
      <c r="D8" s="71">
        <v>2</v>
      </c>
      <c r="E8" s="71">
        <v>20</v>
      </c>
      <c r="F8" s="71" t="s">
        <v>145</v>
      </c>
      <c r="G8" s="71" t="s">
        <v>146</v>
      </c>
      <c r="H8" s="71">
        <v>40</v>
      </c>
      <c r="I8" s="72">
        <v>2</v>
      </c>
      <c r="K8" s="74" t="s">
        <v>229</v>
      </c>
      <c r="L8">
        <v>11</v>
      </c>
      <c r="M8">
        <v>11</v>
      </c>
      <c r="N8">
        <v>6</v>
      </c>
      <c r="P8">
        <v>39</v>
      </c>
      <c r="Q8">
        <v>11</v>
      </c>
      <c r="R8">
        <v>78</v>
      </c>
    </row>
    <row r="9" spans="1:18">
      <c r="A9" s="70" t="s">
        <v>907</v>
      </c>
      <c r="B9" s="71" t="s">
        <v>908</v>
      </c>
      <c r="C9" s="71">
        <v>5</v>
      </c>
      <c r="D9" s="71">
        <v>2</v>
      </c>
      <c r="E9" s="71">
        <v>20</v>
      </c>
      <c r="F9" s="71" t="s">
        <v>909</v>
      </c>
      <c r="G9" s="71" t="s">
        <v>146</v>
      </c>
      <c r="H9" s="71">
        <v>44</v>
      </c>
      <c r="I9" s="72">
        <v>2.2000000000000002</v>
      </c>
      <c r="K9" s="74" t="s">
        <v>905</v>
      </c>
      <c r="L9">
        <v>22</v>
      </c>
      <c r="M9">
        <v>4</v>
      </c>
      <c r="N9">
        <v>3</v>
      </c>
      <c r="O9">
        <v>5</v>
      </c>
      <c r="P9">
        <v>44</v>
      </c>
      <c r="Q9">
        <v>10</v>
      </c>
      <c r="R9">
        <v>88</v>
      </c>
    </row>
    <row r="10" spans="1:18">
      <c r="A10" s="67" t="s">
        <v>278</v>
      </c>
      <c r="B10" s="68" t="s">
        <v>280</v>
      </c>
      <c r="C10" s="68">
        <v>5</v>
      </c>
      <c r="D10" s="68">
        <v>2</v>
      </c>
      <c r="E10" s="68">
        <v>20</v>
      </c>
      <c r="F10" s="68" t="s">
        <v>282</v>
      </c>
      <c r="G10" s="68" t="s">
        <v>172</v>
      </c>
      <c r="H10" s="68">
        <v>42</v>
      </c>
      <c r="I10" s="69">
        <v>2.1</v>
      </c>
      <c r="K10" s="74" t="s">
        <v>140</v>
      </c>
      <c r="L10">
        <v>23</v>
      </c>
      <c r="P10">
        <v>40</v>
      </c>
      <c r="Q10">
        <v>17</v>
      </c>
      <c r="R10">
        <v>80</v>
      </c>
    </row>
    <row r="11" spans="1:18">
      <c r="A11" s="70" t="s">
        <v>312</v>
      </c>
      <c r="B11" s="71" t="s">
        <v>313</v>
      </c>
      <c r="C11" s="71">
        <v>5</v>
      </c>
      <c r="D11" s="71">
        <v>2</v>
      </c>
      <c r="E11" s="71">
        <v>20</v>
      </c>
      <c r="F11" s="71" t="s">
        <v>316</v>
      </c>
      <c r="G11" s="71" t="s">
        <v>146</v>
      </c>
      <c r="H11" s="71">
        <v>40</v>
      </c>
      <c r="I11" s="72">
        <v>2</v>
      </c>
      <c r="K11" s="74" t="s">
        <v>278</v>
      </c>
      <c r="L11">
        <v>34</v>
      </c>
      <c r="O11">
        <v>6</v>
      </c>
      <c r="P11">
        <v>42</v>
      </c>
      <c r="Q11">
        <v>2</v>
      </c>
      <c r="R11">
        <v>84</v>
      </c>
    </row>
    <row r="12" spans="1:18">
      <c r="A12" s="67" t="s">
        <v>360</v>
      </c>
      <c r="B12" s="68" t="s">
        <v>362</v>
      </c>
      <c r="C12" s="68">
        <v>5</v>
      </c>
      <c r="D12" s="68">
        <v>1</v>
      </c>
      <c r="E12" s="68">
        <v>20</v>
      </c>
      <c r="F12" s="68"/>
      <c r="G12" s="68" t="s">
        <v>85</v>
      </c>
      <c r="H12" s="68">
        <v>0</v>
      </c>
      <c r="I12" s="69">
        <v>0</v>
      </c>
      <c r="K12" s="74" t="s">
        <v>312</v>
      </c>
      <c r="L12">
        <v>16</v>
      </c>
      <c r="M12">
        <v>6</v>
      </c>
      <c r="N12">
        <v>6</v>
      </c>
      <c r="O12">
        <v>5</v>
      </c>
      <c r="P12">
        <v>40</v>
      </c>
      <c r="Q12">
        <v>7</v>
      </c>
      <c r="R12">
        <v>80</v>
      </c>
    </row>
    <row r="13" spans="1:18">
      <c r="A13" s="70" t="s">
        <v>386</v>
      </c>
      <c r="B13" s="71" t="s">
        <v>388</v>
      </c>
      <c r="C13" s="71">
        <v>5</v>
      </c>
      <c r="D13" s="71">
        <v>1</v>
      </c>
      <c r="E13" s="71">
        <v>20</v>
      </c>
      <c r="F13" s="71" t="s">
        <v>390</v>
      </c>
      <c r="G13" s="71" t="s">
        <v>146</v>
      </c>
      <c r="H13" s="71">
        <v>49</v>
      </c>
      <c r="I13" s="72">
        <v>2.4500000000000002</v>
      </c>
      <c r="K13" s="74" t="s">
        <v>907</v>
      </c>
      <c r="L13">
        <v>38</v>
      </c>
      <c r="M13">
        <v>0</v>
      </c>
      <c r="N13">
        <v>0</v>
      </c>
      <c r="O13">
        <v>6</v>
      </c>
      <c r="P13">
        <v>44</v>
      </c>
      <c r="Q13">
        <v>0</v>
      </c>
      <c r="R13">
        <v>88</v>
      </c>
    </row>
    <row r="14" spans="1:18">
      <c r="A14" s="67" t="s">
        <v>417</v>
      </c>
      <c r="B14" s="68" t="s">
        <v>910</v>
      </c>
      <c r="C14" s="68">
        <v>5</v>
      </c>
      <c r="D14" s="68"/>
      <c r="E14" s="68"/>
      <c r="F14" s="68" t="s">
        <v>419</v>
      </c>
      <c r="G14" s="68" t="s">
        <v>146</v>
      </c>
      <c r="H14" s="68">
        <v>0</v>
      </c>
      <c r="I14" s="69"/>
      <c r="K14" s="74" t="s">
        <v>360</v>
      </c>
      <c r="P14">
        <v>0</v>
      </c>
      <c r="R14">
        <v>0</v>
      </c>
    </row>
    <row r="15" spans="1:18">
      <c r="A15" s="67" t="s">
        <v>911</v>
      </c>
      <c r="B15" s="68" t="s">
        <v>912</v>
      </c>
      <c r="C15" s="68">
        <v>6</v>
      </c>
      <c r="D15" s="68">
        <v>1</v>
      </c>
      <c r="E15" s="68">
        <v>20</v>
      </c>
      <c r="F15" s="68" t="s">
        <v>913</v>
      </c>
      <c r="G15" s="68" t="s">
        <v>454</v>
      </c>
      <c r="H15" s="68">
        <v>40</v>
      </c>
      <c r="I15" s="69">
        <v>2</v>
      </c>
      <c r="K15" s="74" t="s">
        <v>386</v>
      </c>
      <c r="L15">
        <v>22</v>
      </c>
      <c r="M15">
        <v>11</v>
      </c>
      <c r="N15">
        <v>2</v>
      </c>
      <c r="O15">
        <v>14</v>
      </c>
      <c r="P15">
        <v>49</v>
      </c>
      <c r="Q15">
        <v>0</v>
      </c>
      <c r="R15">
        <v>98</v>
      </c>
    </row>
    <row r="16" spans="1:18">
      <c r="A16" s="67" t="s">
        <v>914</v>
      </c>
      <c r="B16" s="68" t="s">
        <v>915</v>
      </c>
      <c r="C16" s="68">
        <v>6</v>
      </c>
      <c r="D16" s="68">
        <v>1</v>
      </c>
      <c r="E16" s="68">
        <v>20</v>
      </c>
      <c r="F16" s="68" t="s">
        <v>916</v>
      </c>
      <c r="G16" s="68" t="s">
        <v>146</v>
      </c>
      <c r="H16" s="68">
        <v>44</v>
      </c>
      <c r="I16" s="69">
        <v>2.2000000000000002</v>
      </c>
      <c r="K16" s="74" t="s">
        <v>417</v>
      </c>
      <c r="P16">
        <v>0</v>
      </c>
      <c r="R16">
        <v>0</v>
      </c>
    </row>
    <row r="17" spans="1:18">
      <c r="A17" s="70" t="s">
        <v>917</v>
      </c>
      <c r="B17" s="71" t="s">
        <v>918</v>
      </c>
      <c r="C17" s="71">
        <v>6</v>
      </c>
      <c r="D17" s="71"/>
      <c r="E17" s="71">
        <v>40</v>
      </c>
      <c r="F17" s="71"/>
      <c r="G17" s="71" t="s">
        <v>847</v>
      </c>
      <c r="H17" s="71">
        <v>36</v>
      </c>
      <c r="I17" s="72">
        <v>0.9</v>
      </c>
      <c r="K17" s="74" t="s">
        <v>914</v>
      </c>
      <c r="L17">
        <v>22</v>
      </c>
      <c r="N17">
        <v>8</v>
      </c>
      <c r="P17">
        <v>44</v>
      </c>
      <c r="Q17">
        <v>14</v>
      </c>
      <c r="R17">
        <v>88</v>
      </c>
    </row>
    <row r="18" spans="1:18">
      <c r="A18" s="67" t="s">
        <v>742</v>
      </c>
      <c r="B18" s="68" t="s">
        <v>744</v>
      </c>
      <c r="C18" s="68">
        <v>6</v>
      </c>
      <c r="D18" s="68">
        <v>1</v>
      </c>
      <c r="E18" s="68">
        <v>20</v>
      </c>
      <c r="F18" s="68" t="s">
        <v>746</v>
      </c>
      <c r="G18" s="68" t="s">
        <v>454</v>
      </c>
      <c r="H18" s="68">
        <v>40</v>
      </c>
      <c r="I18" s="69">
        <v>2</v>
      </c>
      <c r="K18" s="74" t="s">
        <v>917</v>
      </c>
      <c r="L18">
        <v>10</v>
      </c>
      <c r="O18">
        <v>26</v>
      </c>
      <c r="P18">
        <v>36</v>
      </c>
      <c r="R18">
        <v>72</v>
      </c>
    </row>
    <row r="19" spans="1:18">
      <c r="A19" s="70" t="s">
        <v>777</v>
      </c>
      <c r="B19" s="71" t="s">
        <v>779</v>
      </c>
      <c r="C19" s="71">
        <v>6</v>
      </c>
      <c r="D19" s="71">
        <v>1</v>
      </c>
      <c r="E19" s="71">
        <v>20</v>
      </c>
      <c r="F19" s="71" t="s">
        <v>781</v>
      </c>
      <c r="G19" s="71" t="s">
        <v>454</v>
      </c>
      <c r="H19" s="71">
        <v>37</v>
      </c>
      <c r="I19" s="72">
        <v>1.85</v>
      </c>
      <c r="K19" s="74" t="s">
        <v>742</v>
      </c>
      <c r="L19">
        <v>22</v>
      </c>
      <c r="N19">
        <v>12</v>
      </c>
      <c r="O19">
        <v>6</v>
      </c>
      <c r="P19">
        <v>40</v>
      </c>
      <c r="R19">
        <v>80</v>
      </c>
    </row>
    <row r="20" spans="1:18">
      <c r="A20" s="67" t="s">
        <v>804</v>
      </c>
      <c r="B20" s="68" t="s">
        <v>806</v>
      </c>
      <c r="C20" s="68">
        <v>6</v>
      </c>
      <c r="D20" s="68">
        <v>1</v>
      </c>
      <c r="E20" s="68">
        <v>20</v>
      </c>
      <c r="F20" s="68" t="s">
        <v>808</v>
      </c>
      <c r="G20" s="68" t="s">
        <v>454</v>
      </c>
      <c r="H20" s="68">
        <v>44</v>
      </c>
      <c r="I20" s="69">
        <v>2.2000000000000002</v>
      </c>
      <c r="K20" s="74" t="s">
        <v>777</v>
      </c>
      <c r="M20">
        <v>4</v>
      </c>
      <c r="O20">
        <v>6</v>
      </c>
      <c r="P20">
        <v>37</v>
      </c>
      <c r="Q20">
        <v>27</v>
      </c>
      <c r="R20">
        <v>74</v>
      </c>
    </row>
    <row r="21" spans="1:18">
      <c r="A21" s="70" t="s">
        <v>448</v>
      </c>
      <c r="B21" s="71" t="s">
        <v>450</v>
      </c>
      <c r="C21" s="71">
        <v>6</v>
      </c>
      <c r="D21" s="71">
        <v>1</v>
      </c>
      <c r="E21" s="71">
        <v>20</v>
      </c>
      <c r="F21" s="71" t="s">
        <v>452</v>
      </c>
      <c r="G21" s="71" t="s">
        <v>454</v>
      </c>
      <c r="H21" s="71">
        <v>42</v>
      </c>
      <c r="I21" s="72">
        <v>2.1</v>
      </c>
      <c r="K21" s="74" t="s">
        <v>804</v>
      </c>
      <c r="L21">
        <v>22</v>
      </c>
      <c r="N21">
        <v>16</v>
      </c>
      <c r="P21">
        <v>44</v>
      </c>
      <c r="Q21">
        <v>6</v>
      </c>
      <c r="R21">
        <v>88</v>
      </c>
    </row>
    <row r="22" spans="1:18">
      <c r="A22" s="67" t="s">
        <v>463</v>
      </c>
      <c r="B22" s="68" t="s">
        <v>464</v>
      </c>
      <c r="C22" s="68">
        <v>6</v>
      </c>
      <c r="D22" s="68">
        <v>1</v>
      </c>
      <c r="E22" s="68">
        <v>20</v>
      </c>
      <c r="F22" s="68" t="s">
        <v>467</v>
      </c>
      <c r="G22" s="68" t="s">
        <v>454</v>
      </c>
      <c r="H22" s="68">
        <v>40</v>
      </c>
      <c r="I22" s="69">
        <v>2</v>
      </c>
      <c r="K22" s="74" t="s">
        <v>911</v>
      </c>
      <c r="L22">
        <v>9</v>
      </c>
      <c r="M22">
        <v>6</v>
      </c>
      <c r="N22">
        <v>16</v>
      </c>
      <c r="O22">
        <v>3</v>
      </c>
      <c r="P22">
        <v>40</v>
      </c>
      <c r="Q22">
        <v>6</v>
      </c>
      <c r="R22">
        <v>80</v>
      </c>
    </row>
    <row r="23" spans="1:18">
      <c r="A23" s="67" t="s">
        <v>548</v>
      </c>
      <c r="B23" s="68" t="s">
        <v>549</v>
      </c>
      <c r="C23" s="68">
        <v>6</v>
      </c>
      <c r="D23" s="68">
        <v>1</v>
      </c>
      <c r="E23" s="68">
        <v>20</v>
      </c>
      <c r="F23" s="68" t="s">
        <v>550</v>
      </c>
      <c r="G23" s="68" t="s">
        <v>454</v>
      </c>
      <c r="H23" s="68">
        <v>38</v>
      </c>
      <c r="I23" s="69">
        <v>1.9</v>
      </c>
      <c r="K23" s="74" t="s">
        <v>919</v>
      </c>
      <c r="P23">
        <v>0</v>
      </c>
      <c r="R23">
        <v>0</v>
      </c>
    </row>
    <row r="24" spans="1:18">
      <c r="A24" s="70" t="s">
        <v>579</v>
      </c>
      <c r="B24" s="71" t="s">
        <v>581</v>
      </c>
      <c r="C24" s="71">
        <v>6</v>
      </c>
      <c r="D24" s="71">
        <v>2</v>
      </c>
      <c r="E24" s="71">
        <v>20</v>
      </c>
      <c r="F24" s="71" t="s">
        <v>584</v>
      </c>
      <c r="G24" s="71" t="s">
        <v>454</v>
      </c>
      <c r="H24" s="71">
        <v>38</v>
      </c>
      <c r="I24" s="72">
        <v>1.9</v>
      </c>
      <c r="K24" s="74" t="s">
        <v>448</v>
      </c>
      <c r="L24">
        <v>20</v>
      </c>
      <c r="M24">
        <v>0</v>
      </c>
      <c r="N24">
        <v>13</v>
      </c>
      <c r="O24">
        <v>9</v>
      </c>
      <c r="P24">
        <v>42</v>
      </c>
      <c r="Q24">
        <v>0</v>
      </c>
      <c r="R24">
        <v>84</v>
      </c>
    </row>
    <row r="25" spans="1:18">
      <c r="A25" s="67" t="s">
        <v>619</v>
      </c>
      <c r="B25" s="68" t="s">
        <v>6</v>
      </c>
      <c r="C25" s="68">
        <v>6</v>
      </c>
      <c r="D25" s="68">
        <v>2</v>
      </c>
      <c r="E25" s="68">
        <v>20</v>
      </c>
      <c r="F25" s="68" t="s">
        <v>622</v>
      </c>
      <c r="G25" s="68" t="s">
        <v>454</v>
      </c>
      <c r="H25" s="68">
        <v>46</v>
      </c>
      <c r="I25" s="69">
        <v>2.2999999999999998</v>
      </c>
      <c r="K25" s="74" t="s">
        <v>463</v>
      </c>
      <c r="L25">
        <v>20</v>
      </c>
      <c r="N25">
        <v>4</v>
      </c>
      <c r="O25">
        <v>16</v>
      </c>
      <c r="P25">
        <v>40</v>
      </c>
      <c r="R25">
        <v>80</v>
      </c>
    </row>
    <row r="26" spans="1:18">
      <c r="A26" s="70" t="s">
        <v>720</v>
      </c>
      <c r="B26" s="71" t="s">
        <v>920</v>
      </c>
      <c r="C26" s="71">
        <v>6</v>
      </c>
      <c r="D26" s="71"/>
      <c r="E26" s="71">
        <v>20</v>
      </c>
      <c r="F26" s="71" t="s">
        <v>725</v>
      </c>
      <c r="G26" s="71" t="s">
        <v>85</v>
      </c>
      <c r="H26" s="71">
        <v>50</v>
      </c>
      <c r="I26" s="72">
        <v>2.5</v>
      </c>
      <c r="K26" s="74" t="s">
        <v>508</v>
      </c>
      <c r="P26">
        <v>0</v>
      </c>
      <c r="R26">
        <v>0</v>
      </c>
    </row>
    <row r="27" spans="1:18">
      <c r="A27" s="70" t="s">
        <v>919</v>
      </c>
      <c r="B27" s="71" t="s">
        <v>921</v>
      </c>
      <c r="C27" s="71"/>
      <c r="D27" s="71"/>
      <c r="E27" s="71"/>
      <c r="F27" s="71"/>
      <c r="G27" s="71"/>
      <c r="H27" s="71">
        <v>0</v>
      </c>
      <c r="I27" s="72"/>
      <c r="K27" s="74" t="s">
        <v>548</v>
      </c>
      <c r="L27">
        <v>18</v>
      </c>
      <c r="N27">
        <v>16</v>
      </c>
      <c r="O27">
        <v>4</v>
      </c>
      <c r="P27">
        <v>38</v>
      </c>
      <c r="R27">
        <v>76</v>
      </c>
    </row>
    <row r="28" spans="1:18">
      <c r="A28" s="70" t="s">
        <v>170</v>
      </c>
      <c r="B28" s="71" t="s">
        <v>171</v>
      </c>
      <c r="C28" s="71"/>
      <c r="D28" s="71"/>
      <c r="E28" s="71"/>
      <c r="F28" s="71"/>
      <c r="G28" s="71" t="s">
        <v>172</v>
      </c>
      <c r="H28" s="71">
        <v>0</v>
      </c>
      <c r="I28" s="72"/>
      <c r="K28" s="74" t="s">
        <v>579</v>
      </c>
      <c r="L28">
        <v>18</v>
      </c>
      <c r="M28">
        <v>4</v>
      </c>
      <c r="N28">
        <v>8</v>
      </c>
      <c r="O28">
        <v>4</v>
      </c>
      <c r="P28">
        <v>38</v>
      </c>
      <c r="Q28">
        <v>4</v>
      </c>
      <c r="R28">
        <v>76</v>
      </c>
    </row>
    <row r="29" spans="1:18">
      <c r="A29" s="70" t="s">
        <v>508</v>
      </c>
      <c r="B29" s="71" t="s">
        <v>510</v>
      </c>
      <c r="C29" s="71"/>
      <c r="D29" s="71"/>
      <c r="E29" s="71"/>
      <c r="F29" s="71"/>
      <c r="G29" s="71"/>
      <c r="H29" s="71">
        <v>0</v>
      </c>
      <c r="I29" s="72"/>
      <c r="K29" s="74" t="s">
        <v>619</v>
      </c>
      <c r="L29">
        <v>22</v>
      </c>
      <c r="O29">
        <v>16</v>
      </c>
      <c r="P29">
        <v>46</v>
      </c>
      <c r="Q29">
        <v>8</v>
      </c>
      <c r="R29">
        <v>92</v>
      </c>
    </row>
    <row r="30" spans="1:18">
      <c r="A30" s="70" t="s">
        <v>649</v>
      </c>
      <c r="B30" s="71" t="s">
        <v>650</v>
      </c>
      <c r="C30" s="71"/>
      <c r="D30" s="71"/>
      <c r="E30" s="71"/>
      <c r="F30" s="71"/>
      <c r="G30" s="71"/>
      <c r="H30" s="71">
        <v>0</v>
      </c>
      <c r="I30" s="72"/>
      <c r="K30" s="74" t="s">
        <v>649</v>
      </c>
      <c r="P30">
        <v>0</v>
      </c>
      <c r="R30">
        <v>0</v>
      </c>
    </row>
    <row r="31" spans="1:18">
      <c r="A31" s="67" t="s">
        <v>686</v>
      </c>
      <c r="B31" s="68" t="s">
        <v>688</v>
      </c>
      <c r="C31" s="68"/>
      <c r="D31" s="68"/>
      <c r="E31" s="68"/>
      <c r="F31" s="68"/>
      <c r="G31" s="68" t="s">
        <v>454</v>
      </c>
      <c r="H31" s="68">
        <v>36</v>
      </c>
      <c r="I31" s="69"/>
      <c r="K31" s="74" t="s">
        <v>686</v>
      </c>
      <c r="L31">
        <v>18</v>
      </c>
      <c r="N31">
        <v>2</v>
      </c>
      <c r="O31">
        <v>14</v>
      </c>
      <c r="P31">
        <v>36</v>
      </c>
      <c r="Q31">
        <v>2</v>
      </c>
      <c r="R31">
        <v>72</v>
      </c>
    </row>
    <row r="32" spans="1:18">
      <c r="K32" s="74" t="s">
        <v>720</v>
      </c>
      <c r="L32">
        <v>10</v>
      </c>
      <c r="N32">
        <v>40</v>
      </c>
      <c r="P32">
        <v>50</v>
      </c>
      <c r="R32">
        <v>100</v>
      </c>
    </row>
    <row r="33" spans="1:18">
      <c r="K33" s="74" t="s">
        <v>903</v>
      </c>
      <c r="L33">
        <v>432</v>
      </c>
      <c r="M33">
        <v>71</v>
      </c>
      <c r="N33">
        <v>158</v>
      </c>
      <c r="O33">
        <v>141</v>
      </c>
      <c r="P33">
        <v>917</v>
      </c>
      <c r="Q33">
        <v>115</v>
      </c>
      <c r="R33">
        <v>1834</v>
      </c>
    </row>
    <row r="38" spans="1:18">
      <c r="A38" s="73" t="s">
        <v>902</v>
      </c>
      <c r="B38" t="s">
        <v>922</v>
      </c>
      <c r="C38" t="s">
        <v>923</v>
      </c>
    </row>
    <row r="39" spans="1:18">
      <c r="A39" s="74" t="s">
        <v>173</v>
      </c>
      <c r="B39">
        <v>2</v>
      </c>
      <c r="C39">
        <v>2</v>
      </c>
    </row>
    <row r="40" spans="1:18">
      <c r="A40" s="75" t="s">
        <v>150</v>
      </c>
      <c r="B40">
        <v>1</v>
      </c>
      <c r="C40">
        <v>1</v>
      </c>
    </row>
    <row r="41" spans="1:18">
      <c r="A41" s="75" t="s">
        <v>96</v>
      </c>
      <c r="B41">
        <v>1</v>
      </c>
      <c r="C41">
        <v>1</v>
      </c>
    </row>
    <row r="42" spans="1:18">
      <c r="A42" s="74" t="s">
        <v>903</v>
      </c>
      <c r="B42">
        <v>2</v>
      </c>
      <c r="C42">
        <v>2</v>
      </c>
    </row>
  </sheetData>
  <autoFilter ref="A3:I31" xr:uid="{8F325232-2496-E546-9604-2F97282EED57}"/>
  <sortState xmlns:xlrd2="http://schemas.microsoft.com/office/spreadsheetml/2017/richdata2" ref="A4:I31">
    <sortCondition ref="C3:C31"/>
  </sortState>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72E9F-D97F-4514-B957-FB4B23932CC5}">
  <sheetPr codeName="Sheet27"/>
  <dimension ref="A1:L29"/>
  <sheetViews>
    <sheetView workbookViewId="0">
      <selection sqref="A1:L29"/>
    </sheetView>
  </sheetViews>
  <sheetFormatPr defaultColWidth="8.85546875" defaultRowHeight="15"/>
  <cols>
    <col min="1" max="1" width="49" bestFit="1" customWidth="1"/>
    <col min="2" max="2" width="14.85546875" bestFit="1" customWidth="1"/>
    <col min="3" max="3" width="65.5703125" bestFit="1" customWidth="1"/>
    <col min="4" max="4" width="24.5703125" bestFit="1" customWidth="1"/>
    <col min="5" max="5" width="14.42578125" bestFit="1" customWidth="1"/>
    <col min="6" max="6" width="12.140625" bestFit="1" customWidth="1"/>
    <col min="7" max="7" width="10.140625" bestFit="1" customWidth="1"/>
    <col min="8" max="8" width="10.7109375" bestFit="1" customWidth="1"/>
    <col min="9" max="9" width="11" bestFit="1" customWidth="1"/>
    <col min="10" max="10" width="12.42578125" bestFit="1" customWidth="1"/>
    <col min="11" max="11" width="9.28515625" bestFit="1" customWidth="1"/>
    <col min="12" max="12" width="7.7109375" bestFit="1" customWidth="1"/>
  </cols>
  <sheetData>
    <row r="1" spans="1:12">
      <c r="A1" t="s">
        <v>924</v>
      </c>
      <c r="B1" t="s">
        <v>893</v>
      </c>
      <c r="C1" t="s">
        <v>894</v>
      </c>
      <c r="D1" t="s">
        <v>925</v>
      </c>
      <c r="E1" t="s">
        <v>926</v>
      </c>
      <c r="F1" t="s">
        <v>927</v>
      </c>
      <c r="G1" t="s">
        <v>17</v>
      </c>
      <c r="H1" t="s">
        <v>18</v>
      </c>
      <c r="I1" t="s">
        <v>19</v>
      </c>
      <c r="J1" t="s">
        <v>20</v>
      </c>
      <c r="K1" t="s">
        <v>22</v>
      </c>
      <c r="L1" t="s">
        <v>23</v>
      </c>
    </row>
    <row r="2" spans="1:12">
      <c r="A2" t="s">
        <v>928</v>
      </c>
      <c r="B2" t="s">
        <v>911</v>
      </c>
      <c r="C2" t="s">
        <v>912</v>
      </c>
      <c r="D2" t="s">
        <v>86</v>
      </c>
      <c r="E2" t="s">
        <v>929</v>
      </c>
      <c r="F2" t="s">
        <v>930</v>
      </c>
      <c r="G2">
        <v>9</v>
      </c>
      <c r="H2">
        <v>3</v>
      </c>
      <c r="I2">
        <v>16</v>
      </c>
      <c r="J2">
        <v>6</v>
      </c>
      <c r="K2">
        <v>6</v>
      </c>
      <c r="L2">
        <v>40</v>
      </c>
    </row>
    <row r="3" spans="1:12">
      <c r="A3" t="s">
        <v>931</v>
      </c>
      <c r="B3" t="s">
        <v>919</v>
      </c>
      <c r="C3" t="s">
        <v>921</v>
      </c>
      <c r="D3" t="s">
        <v>86</v>
      </c>
      <c r="E3" t="s">
        <v>932</v>
      </c>
      <c r="F3" t="s">
        <v>930</v>
      </c>
      <c r="G3">
        <v>20</v>
      </c>
      <c r="H3">
        <v>2</v>
      </c>
      <c r="I3">
        <v>8</v>
      </c>
      <c r="J3">
        <v>10</v>
      </c>
      <c r="L3">
        <v>40</v>
      </c>
    </row>
    <row r="4" spans="1:12">
      <c r="A4" t="s">
        <v>933</v>
      </c>
      <c r="B4" t="s">
        <v>899</v>
      </c>
      <c r="C4" t="s">
        <v>900</v>
      </c>
      <c r="D4" t="s">
        <v>86</v>
      </c>
      <c r="E4" t="s">
        <v>934</v>
      </c>
      <c r="F4" t="s">
        <v>930</v>
      </c>
      <c r="G4">
        <v>22</v>
      </c>
      <c r="K4">
        <v>22</v>
      </c>
      <c r="L4">
        <v>44</v>
      </c>
    </row>
    <row r="5" spans="1:12">
      <c r="A5" t="s">
        <v>933</v>
      </c>
      <c r="B5" t="s">
        <v>907</v>
      </c>
      <c r="C5" t="s">
        <v>935</v>
      </c>
      <c r="D5" t="s">
        <v>86</v>
      </c>
      <c r="E5" t="s">
        <v>936</v>
      </c>
      <c r="F5" t="s">
        <v>930</v>
      </c>
      <c r="G5">
        <v>38</v>
      </c>
      <c r="H5">
        <v>6</v>
      </c>
      <c r="I5">
        <v>0</v>
      </c>
      <c r="J5">
        <v>0</v>
      </c>
      <c r="K5">
        <v>0</v>
      </c>
      <c r="L5">
        <v>44</v>
      </c>
    </row>
    <row r="6" spans="1:12">
      <c r="A6" t="s">
        <v>933</v>
      </c>
      <c r="B6" t="s">
        <v>914</v>
      </c>
      <c r="C6" t="s">
        <v>915</v>
      </c>
      <c r="D6" t="s">
        <v>86</v>
      </c>
      <c r="E6" t="s">
        <v>937</v>
      </c>
      <c r="F6" t="s">
        <v>930</v>
      </c>
      <c r="G6">
        <v>22</v>
      </c>
      <c r="I6">
        <v>8</v>
      </c>
      <c r="J6">
        <v>14</v>
      </c>
      <c r="L6">
        <v>44</v>
      </c>
    </row>
    <row r="7" spans="1:12">
      <c r="A7" t="s">
        <v>938</v>
      </c>
      <c r="B7" t="s">
        <v>170</v>
      </c>
      <c r="C7" t="s">
        <v>171</v>
      </c>
      <c r="D7" t="s">
        <v>86</v>
      </c>
      <c r="E7" t="s">
        <v>939</v>
      </c>
      <c r="F7" t="s">
        <v>930</v>
      </c>
      <c r="L7">
        <v>0</v>
      </c>
    </row>
    <row r="8" spans="1:12">
      <c r="A8" t="s">
        <v>938</v>
      </c>
      <c r="B8" t="s">
        <v>173</v>
      </c>
      <c r="C8" t="s">
        <v>904</v>
      </c>
      <c r="D8" t="s">
        <v>86</v>
      </c>
      <c r="E8" t="s">
        <v>940</v>
      </c>
      <c r="F8" t="s">
        <v>930</v>
      </c>
      <c r="G8">
        <v>33</v>
      </c>
      <c r="H8">
        <v>1</v>
      </c>
      <c r="I8">
        <v>6</v>
      </c>
      <c r="J8">
        <v>1</v>
      </c>
      <c r="K8">
        <v>3</v>
      </c>
      <c r="L8">
        <v>44</v>
      </c>
    </row>
    <row r="9" spans="1:12">
      <c r="A9" t="s">
        <v>938</v>
      </c>
      <c r="B9" t="s">
        <v>229</v>
      </c>
      <c r="C9" t="s">
        <v>231</v>
      </c>
      <c r="D9" t="s">
        <v>86</v>
      </c>
      <c r="E9" t="s">
        <v>941</v>
      </c>
      <c r="F9" t="s">
        <v>930</v>
      </c>
      <c r="G9">
        <v>11</v>
      </c>
      <c r="I9">
        <v>6</v>
      </c>
      <c r="J9">
        <v>11</v>
      </c>
      <c r="K9">
        <v>11</v>
      </c>
      <c r="L9">
        <v>39</v>
      </c>
    </row>
    <row r="10" spans="1:12">
      <c r="A10" t="s">
        <v>938</v>
      </c>
      <c r="B10" t="s">
        <v>905</v>
      </c>
      <c r="C10" t="s">
        <v>906</v>
      </c>
      <c r="D10" t="s">
        <v>86</v>
      </c>
      <c r="E10" t="s">
        <v>942</v>
      </c>
      <c r="F10" t="s">
        <v>930</v>
      </c>
      <c r="G10">
        <v>22</v>
      </c>
      <c r="H10">
        <v>5</v>
      </c>
      <c r="I10">
        <v>3</v>
      </c>
      <c r="J10">
        <v>10</v>
      </c>
      <c r="K10">
        <v>4</v>
      </c>
      <c r="L10">
        <v>44</v>
      </c>
    </row>
    <row r="11" spans="1:12">
      <c r="A11" t="s">
        <v>938</v>
      </c>
      <c r="B11" t="s">
        <v>140</v>
      </c>
      <c r="C11" t="s">
        <v>142</v>
      </c>
      <c r="D11" t="s">
        <v>86</v>
      </c>
      <c r="E11" t="s">
        <v>943</v>
      </c>
      <c r="F11" t="s">
        <v>930</v>
      </c>
      <c r="G11">
        <v>23</v>
      </c>
      <c r="J11">
        <v>17</v>
      </c>
      <c r="L11">
        <v>40</v>
      </c>
    </row>
    <row r="12" spans="1:12">
      <c r="A12" t="s">
        <v>938</v>
      </c>
      <c r="B12" t="s">
        <v>278</v>
      </c>
      <c r="C12" t="s">
        <v>280</v>
      </c>
      <c r="D12" t="s">
        <v>86</v>
      </c>
      <c r="E12" t="s">
        <v>944</v>
      </c>
      <c r="F12" t="s">
        <v>930</v>
      </c>
      <c r="G12">
        <v>34</v>
      </c>
      <c r="H12">
        <v>6</v>
      </c>
      <c r="J12">
        <v>2</v>
      </c>
      <c r="L12">
        <v>42</v>
      </c>
    </row>
    <row r="13" spans="1:12">
      <c r="A13" t="s">
        <v>938</v>
      </c>
      <c r="B13" t="s">
        <v>312</v>
      </c>
      <c r="C13" t="s">
        <v>313</v>
      </c>
      <c r="D13" t="s">
        <v>86</v>
      </c>
      <c r="E13" t="s">
        <v>945</v>
      </c>
      <c r="F13" t="s">
        <v>930</v>
      </c>
      <c r="G13">
        <v>16</v>
      </c>
      <c r="H13">
        <v>5</v>
      </c>
      <c r="I13">
        <v>6</v>
      </c>
      <c r="J13">
        <v>7</v>
      </c>
      <c r="K13">
        <v>6</v>
      </c>
      <c r="L13">
        <v>40</v>
      </c>
    </row>
    <row r="14" spans="1:12">
      <c r="A14" t="s">
        <v>938</v>
      </c>
      <c r="B14" t="s">
        <v>360</v>
      </c>
      <c r="C14" t="s">
        <v>362</v>
      </c>
      <c r="D14" t="s">
        <v>86</v>
      </c>
      <c r="E14" t="s">
        <v>946</v>
      </c>
      <c r="F14" t="s">
        <v>930</v>
      </c>
      <c r="L14">
        <v>0</v>
      </c>
    </row>
    <row r="15" spans="1:12">
      <c r="A15" t="s">
        <v>938</v>
      </c>
      <c r="B15" t="s">
        <v>386</v>
      </c>
      <c r="C15" t="s">
        <v>388</v>
      </c>
      <c r="D15" t="s">
        <v>86</v>
      </c>
      <c r="E15" t="s">
        <v>947</v>
      </c>
      <c r="F15" t="s">
        <v>930</v>
      </c>
      <c r="G15">
        <v>22</v>
      </c>
      <c r="H15">
        <v>14</v>
      </c>
      <c r="I15">
        <v>2</v>
      </c>
      <c r="J15">
        <v>0</v>
      </c>
      <c r="K15">
        <v>11</v>
      </c>
      <c r="L15">
        <v>49</v>
      </c>
    </row>
    <row r="16" spans="1:12">
      <c r="A16" t="s">
        <v>938</v>
      </c>
      <c r="B16" t="s">
        <v>417</v>
      </c>
      <c r="C16" t="s">
        <v>910</v>
      </c>
      <c r="D16" t="s">
        <v>86</v>
      </c>
      <c r="E16" t="s">
        <v>948</v>
      </c>
      <c r="F16" t="s">
        <v>930</v>
      </c>
      <c r="L16">
        <v>0</v>
      </c>
    </row>
    <row r="17" spans="1:12">
      <c r="A17" t="s">
        <v>938</v>
      </c>
      <c r="B17" t="s">
        <v>917</v>
      </c>
      <c r="C17" t="s">
        <v>918</v>
      </c>
      <c r="D17" t="s">
        <v>86</v>
      </c>
      <c r="E17" t="s">
        <v>949</v>
      </c>
      <c r="F17" t="s">
        <v>930</v>
      </c>
      <c r="G17">
        <v>10</v>
      </c>
      <c r="H17">
        <v>26</v>
      </c>
      <c r="L17">
        <v>36</v>
      </c>
    </row>
    <row r="18" spans="1:12">
      <c r="A18" t="s">
        <v>938</v>
      </c>
      <c r="B18" t="s">
        <v>742</v>
      </c>
      <c r="C18" t="s">
        <v>744</v>
      </c>
      <c r="D18" t="s">
        <v>86</v>
      </c>
      <c r="E18" t="s">
        <v>950</v>
      </c>
      <c r="F18" t="s">
        <v>930</v>
      </c>
      <c r="G18">
        <v>22</v>
      </c>
      <c r="H18">
        <v>6</v>
      </c>
      <c r="I18">
        <v>12</v>
      </c>
      <c r="L18">
        <v>40</v>
      </c>
    </row>
    <row r="19" spans="1:12">
      <c r="A19" t="s">
        <v>938</v>
      </c>
      <c r="B19" t="s">
        <v>777</v>
      </c>
      <c r="C19" t="s">
        <v>779</v>
      </c>
      <c r="D19" t="s">
        <v>86</v>
      </c>
      <c r="E19" t="s">
        <v>951</v>
      </c>
      <c r="F19" t="s">
        <v>930</v>
      </c>
      <c r="H19">
        <v>6</v>
      </c>
      <c r="J19">
        <v>27</v>
      </c>
      <c r="K19">
        <v>4</v>
      </c>
      <c r="L19">
        <v>37</v>
      </c>
    </row>
    <row r="20" spans="1:12">
      <c r="A20" t="s">
        <v>938</v>
      </c>
      <c r="B20" t="s">
        <v>804</v>
      </c>
      <c r="C20" t="s">
        <v>806</v>
      </c>
      <c r="D20" t="s">
        <v>86</v>
      </c>
      <c r="E20" t="s">
        <v>952</v>
      </c>
      <c r="F20" t="s">
        <v>930</v>
      </c>
      <c r="G20">
        <v>22</v>
      </c>
      <c r="I20">
        <v>16</v>
      </c>
      <c r="J20">
        <v>6</v>
      </c>
      <c r="L20">
        <v>44</v>
      </c>
    </row>
    <row r="21" spans="1:12">
      <c r="A21" t="s">
        <v>938</v>
      </c>
      <c r="B21" t="s">
        <v>448</v>
      </c>
      <c r="C21" t="s">
        <v>450</v>
      </c>
      <c r="D21" t="s">
        <v>86</v>
      </c>
      <c r="E21" t="s">
        <v>953</v>
      </c>
      <c r="F21" t="s">
        <v>930</v>
      </c>
      <c r="G21">
        <v>20</v>
      </c>
      <c r="H21">
        <v>9</v>
      </c>
      <c r="I21">
        <v>13</v>
      </c>
      <c r="J21">
        <v>0</v>
      </c>
      <c r="K21">
        <v>0</v>
      </c>
      <c r="L21">
        <v>42</v>
      </c>
    </row>
    <row r="22" spans="1:12">
      <c r="A22" t="s">
        <v>938</v>
      </c>
      <c r="B22" t="s">
        <v>463</v>
      </c>
      <c r="C22" t="s">
        <v>464</v>
      </c>
      <c r="D22" t="s">
        <v>86</v>
      </c>
      <c r="E22" t="s">
        <v>954</v>
      </c>
      <c r="F22" t="s">
        <v>930</v>
      </c>
      <c r="G22">
        <v>20</v>
      </c>
      <c r="H22">
        <v>16</v>
      </c>
      <c r="I22">
        <v>4</v>
      </c>
      <c r="L22">
        <v>40</v>
      </c>
    </row>
    <row r="23" spans="1:12">
      <c r="A23" t="s">
        <v>938</v>
      </c>
      <c r="B23" t="s">
        <v>508</v>
      </c>
      <c r="C23" t="s">
        <v>510</v>
      </c>
      <c r="D23" t="s">
        <v>86</v>
      </c>
      <c r="E23" t="s">
        <v>955</v>
      </c>
      <c r="F23" t="s">
        <v>930</v>
      </c>
      <c r="G23">
        <v>22</v>
      </c>
      <c r="H23">
        <v>18</v>
      </c>
      <c r="I23">
        <v>4</v>
      </c>
      <c r="L23">
        <v>44</v>
      </c>
    </row>
    <row r="24" spans="1:12">
      <c r="A24" t="s">
        <v>938</v>
      </c>
      <c r="B24" t="s">
        <v>548</v>
      </c>
      <c r="C24" t="s">
        <v>549</v>
      </c>
      <c r="D24" t="s">
        <v>86</v>
      </c>
      <c r="E24" t="s">
        <v>956</v>
      </c>
      <c r="F24" t="s">
        <v>930</v>
      </c>
      <c r="G24">
        <v>18</v>
      </c>
      <c r="H24">
        <v>4</v>
      </c>
      <c r="I24">
        <v>16</v>
      </c>
      <c r="L24">
        <v>38</v>
      </c>
    </row>
    <row r="25" spans="1:12">
      <c r="A25" t="s">
        <v>938</v>
      </c>
      <c r="B25" t="s">
        <v>579</v>
      </c>
      <c r="C25" t="s">
        <v>581</v>
      </c>
      <c r="D25" t="s">
        <v>86</v>
      </c>
      <c r="E25" t="s">
        <v>957</v>
      </c>
      <c r="F25" t="s">
        <v>930</v>
      </c>
      <c r="G25">
        <v>18</v>
      </c>
      <c r="H25">
        <v>4</v>
      </c>
      <c r="I25">
        <v>8</v>
      </c>
      <c r="J25">
        <v>4</v>
      </c>
      <c r="K25">
        <v>4</v>
      </c>
      <c r="L25">
        <v>38</v>
      </c>
    </row>
    <row r="26" spans="1:12">
      <c r="A26" t="s">
        <v>938</v>
      </c>
      <c r="B26" t="s">
        <v>619</v>
      </c>
      <c r="C26" t="s">
        <v>6</v>
      </c>
      <c r="D26" t="s">
        <v>86</v>
      </c>
      <c r="E26" t="s">
        <v>958</v>
      </c>
      <c r="F26" t="s">
        <v>930</v>
      </c>
      <c r="G26">
        <v>22</v>
      </c>
      <c r="H26">
        <v>16</v>
      </c>
      <c r="J26">
        <v>8</v>
      </c>
      <c r="L26">
        <v>46</v>
      </c>
    </row>
    <row r="27" spans="1:12">
      <c r="A27" t="s">
        <v>938</v>
      </c>
      <c r="B27" t="s">
        <v>649</v>
      </c>
      <c r="C27" t="s">
        <v>650</v>
      </c>
      <c r="D27" t="s">
        <v>86</v>
      </c>
      <c r="E27" t="s">
        <v>959</v>
      </c>
      <c r="F27" t="s">
        <v>930</v>
      </c>
      <c r="G27">
        <v>34</v>
      </c>
      <c r="H27">
        <v>2</v>
      </c>
      <c r="I27">
        <v>4</v>
      </c>
      <c r="L27">
        <v>40</v>
      </c>
    </row>
    <row r="28" spans="1:12">
      <c r="A28" t="s">
        <v>938</v>
      </c>
      <c r="B28" t="s">
        <v>686</v>
      </c>
      <c r="C28" t="s">
        <v>688</v>
      </c>
      <c r="D28" t="s">
        <v>86</v>
      </c>
      <c r="E28" t="s">
        <v>960</v>
      </c>
      <c r="F28" t="s">
        <v>930</v>
      </c>
      <c r="G28">
        <v>18</v>
      </c>
      <c r="H28">
        <v>14</v>
      </c>
      <c r="I28">
        <v>2</v>
      </c>
      <c r="J28">
        <v>2</v>
      </c>
      <c r="L28">
        <v>36</v>
      </c>
    </row>
    <row r="29" spans="1:12">
      <c r="A29" t="s">
        <v>938</v>
      </c>
      <c r="B29" t="s">
        <v>720</v>
      </c>
      <c r="C29" t="s">
        <v>920</v>
      </c>
      <c r="D29" t="s">
        <v>86</v>
      </c>
      <c r="E29" t="s">
        <v>961</v>
      </c>
      <c r="F29" t="s">
        <v>930</v>
      </c>
      <c r="G29">
        <v>10</v>
      </c>
      <c r="I29">
        <v>40</v>
      </c>
      <c r="L29">
        <v>50</v>
      </c>
    </row>
  </sheetData>
  <pageMargins left="0.7" right="0.7" top="0.75" bottom="0.75"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6C1B7-5EA4-44E1-97D5-BF4961B7B7F4}">
  <sheetPr codeName="Sheet28"/>
  <dimension ref="A1:E65"/>
  <sheetViews>
    <sheetView workbookViewId="0">
      <selection activeCell="B23" sqref="B23"/>
    </sheetView>
  </sheetViews>
  <sheetFormatPr defaultColWidth="8.85546875" defaultRowHeight="15"/>
  <cols>
    <col min="1" max="1" width="42.42578125" bestFit="1" customWidth="1"/>
    <col min="2" max="2" width="38" bestFit="1" customWidth="1"/>
    <col min="3" max="3" width="81.140625" bestFit="1" customWidth="1"/>
    <col min="4" max="4" width="16.140625" bestFit="1" customWidth="1"/>
    <col min="5" max="5" width="11" bestFit="1" customWidth="1"/>
  </cols>
  <sheetData>
    <row r="1" spans="1:5">
      <c r="A1" t="s">
        <v>848</v>
      </c>
      <c r="B1" t="s">
        <v>849</v>
      </c>
      <c r="C1" t="s">
        <v>962</v>
      </c>
      <c r="D1" t="s">
        <v>963</v>
      </c>
      <c r="E1" t="s">
        <v>964</v>
      </c>
    </row>
    <row r="2" spans="1:5">
      <c r="A2" t="s">
        <v>53</v>
      </c>
      <c r="B2" t="s">
        <v>154</v>
      </c>
      <c r="C2" t="s">
        <v>965</v>
      </c>
      <c r="D2">
        <v>10</v>
      </c>
      <c r="E2" t="b">
        <v>1</v>
      </c>
    </row>
    <row r="3" spans="1:5">
      <c r="A3" t="s">
        <v>53</v>
      </c>
      <c r="B3" t="s">
        <v>54</v>
      </c>
      <c r="C3" t="s">
        <v>966</v>
      </c>
      <c r="D3">
        <v>6</v>
      </c>
      <c r="E3" t="b">
        <v>1</v>
      </c>
    </row>
    <row r="4" spans="1:5">
      <c r="A4" t="s">
        <v>53</v>
      </c>
      <c r="B4" t="s">
        <v>871</v>
      </c>
      <c r="D4">
        <v>0</v>
      </c>
      <c r="E4" t="b">
        <v>0</v>
      </c>
    </row>
    <row r="5" spans="1:5">
      <c r="A5" t="s">
        <v>53</v>
      </c>
      <c r="B5" t="s">
        <v>192</v>
      </c>
      <c r="C5" t="s">
        <v>967</v>
      </c>
      <c r="D5">
        <v>6</v>
      </c>
      <c r="E5" t="b">
        <v>1</v>
      </c>
    </row>
    <row r="6" spans="1:5">
      <c r="A6" t="s">
        <v>53</v>
      </c>
      <c r="B6" t="s">
        <v>755</v>
      </c>
      <c r="C6" t="s">
        <v>968</v>
      </c>
      <c r="D6">
        <v>2</v>
      </c>
      <c r="E6" t="b">
        <v>1</v>
      </c>
    </row>
    <row r="7" spans="1:5">
      <c r="A7" t="s">
        <v>53</v>
      </c>
      <c r="B7" t="s">
        <v>875</v>
      </c>
      <c r="C7" t="s">
        <v>969</v>
      </c>
      <c r="D7">
        <v>2</v>
      </c>
      <c r="E7" t="b">
        <v>1</v>
      </c>
    </row>
    <row r="8" spans="1:5">
      <c r="A8" t="s">
        <v>55</v>
      </c>
      <c r="B8" t="s">
        <v>56</v>
      </c>
      <c r="C8" t="s">
        <v>970</v>
      </c>
      <c r="D8">
        <v>18</v>
      </c>
      <c r="E8" t="b">
        <v>1</v>
      </c>
    </row>
    <row r="9" spans="1:5">
      <c r="A9" t="s">
        <v>55</v>
      </c>
      <c r="B9" t="s">
        <v>103</v>
      </c>
      <c r="C9" t="s">
        <v>971</v>
      </c>
      <c r="D9">
        <v>4</v>
      </c>
      <c r="E9" t="b">
        <v>1</v>
      </c>
    </row>
    <row r="10" spans="1:5">
      <c r="A10" t="s">
        <v>55</v>
      </c>
      <c r="B10" t="s">
        <v>191</v>
      </c>
      <c r="C10" t="s">
        <v>972</v>
      </c>
      <c r="D10">
        <v>3</v>
      </c>
      <c r="E10" t="b">
        <v>1</v>
      </c>
    </row>
    <row r="11" spans="1:5">
      <c r="A11" t="s">
        <v>55</v>
      </c>
      <c r="B11" t="s">
        <v>247</v>
      </c>
      <c r="C11" t="s">
        <v>231</v>
      </c>
      <c r="D11">
        <v>1</v>
      </c>
      <c r="E11" t="b">
        <v>1</v>
      </c>
    </row>
    <row r="12" spans="1:5">
      <c r="A12" t="s">
        <v>55</v>
      </c>
      <c r="B12" t="s">
        <v>293</v>
      </c>
      <c r="C12" t="s">
        <v>973</v>
      </c>
      <c r="D12">
        <v>5</v>
      </c>
      <c r="E12" t="b">
        <v>1</v>
      </c>
    </row>
    <row r="13" spans="1:5">
      <c r="A13" t="s">
        <v>55</v>
      </c>
      <c r="B13" t="s">
        <v>326</v>
      </c>
      <c r="C13" t="s">
        <v>974</v>
      </c>
      <c r="D13">
        <v>2</v>
      </c>
      <c r="E13" t="b">
        <v>1</v>
      </c>
    </row>
    <row r="14" spans="1:5">
      <c r="A14" t="s">
        <v>105</v>
      </c>
      <c r="B14" t="s">
        <v>106</v>
      </c>
      <c r="C14" t="s">
        <v>975</v>
      </c>
      <c r="D14">
        <v>3</v>
      </c>
      <c r="E14" t="b">
        <v>1</v>
      </c>
    </row>
    <row r="15" spans="1:5">
      <c r="A15" t="s">
        <v>105</v>
      </c>
      <c r="B15" t="s">
        <v>248</v>
      </c>
      <c r="C15" t="s">
        <v>976</v>
      </c>
      <c r="D15">
        <v>7</v>
      </c>
      <c r="E15" t="b">
        <v>1</v>
      </c>
    </row>
    <row r="16" spans="1:5">
      <c r="A16" t="s">
        <v>105</v>
      </c>
      <c r="B16" t="s">
        <v>249</v>
      </c>
      <c r="C16" t="s">
        <v>977</v>
      </c>
      <c r="D16">
        <v>2</v>
      </c>
      <c r="E16" t="b">
        <v>1</v>
      </c>
    </row>
    <row r="17" spans="1:5">
      <c r="A17" t="s">
        <v>105</v>
      </c>
      <c r="B17" t="s">
        <v>250</v>
      </c>
      <c r="C17" t="s">
        <v>231</v>
      </c>
      <c r="D17">
        <v>1</v>
      </c>
      <c r="E17" t="b">
        <v>1</v>
      </c>
    </row>
    <row r="18" spans="1:5">
      <c r="A18" t="s">
        <v>105</v>
      </c>
      <c r="B18" t="s">
        <v>251</v>
      </c>
      <c r="C18" t="s">
        <v>977</v>
      </c>
      <c r="D18">
        <v>2</v>
      </c>
      <c r="E18" t="b">
        <v>1</v>
      </c>
    </row>
    <row r="19" spans="1:5">
      <c r="A19" t="s">
        <v>105</v>
      </c>
      <c r="B19" t="s">
        <v>883</v>
      </c>
      <c r="C19" t="s">
        <v>912</v>
      </c>
      <c r="D19">
        <v>1</v>
      </c>
      <c r="E19" t="b">
        <v>1</v>
      </c>
    </row>
    <row r="20" spans="1:5">
      <c r="A20" t="s">
        <v>105</v>
      </c>
      <c r="B20" t="s">
        <v>884</v>
      </c>
      <c r="C20" t="s">
        <v>912</v>
      </c>
      <c r="D20">
        <v>1</v>
      </c>
      <c r="E20" t="b">
        <v>1</v>
      </c>
    </row>
    <row r="21" spans="1:5">
      <c r="A21" t="s">
        <v>105</v>
      </c>
      <c r="B21" t="s">
        <v>885</v>
      </c>
      <c r="C21" t="s">
        <v>912</v>
      </c>
      <c r="D21">
        <v>1</v>
      </c>
      <c r="E21" t="b">
        <v>1</v>
      </c>
    </row>
    <row r="22" spans="1:5">
      <c r="A22" t="s">
        <v>105</v>
      </c>
      <c r="B22" t="s">
        <v>793</v>
      </c>
      <c r="C22" t="s">
        <v>779</v>
      </c>
      <c r="D22">
        <v>1</v>
      </c>
      <c r="E22" t="b">
        <v>1</v>
      </c>
    </row>
    <row r="23" spans="1:5">
      <c r="A23" t="s">
        <v>252</v>
      </c>
      <c r="B23" t="s">
        <v>253</v>
      </c>
      <c r="C23" t="s">
        <v>978</v>
      </c>
      <c r="D23">
        <v>2</v>
      </c>
      <c r="E23" t="b">
        <v>1</v>
      </c>
    </row>
    <row r="24" spans="1:5">
      <c r="A24" t="s">
        <v>252</v>
      </c>
      <c r="B24" t="s">
        <v>594</v>
      </c>
      <c r="C24" t="s">
        <v>581</v>
      </c>
      <c r="D24">
        <v>1</v>
      </c>
      <c r="E24" t="b">
        <v>1</v>
      </c>
    </row>
    <row r="25" spans="1:5">
      <c r="A25" t="s">
        <v>252</v>
      </c>
      <c r="B25" t="s">
        <v>880</v>
      </c>
      <c r="C25" t="s">
        <v>979</v>
      </c>
      <c r="D25">
        <v>2</v>
      </c>
      <c r="E25" t="b">
        <v>1</v>
      </c>
    </row>
    <row r="26" spans="1:5">
      <c r="A26" t="s">
        <v>252</v>
      </c>
      <c r="B26" t="s">
        <v>881</v>
      </c>
      <c r="C26" t="s">
        <v>912</v>
      </c>
      <c r="D26">
        <v>1</v>
      </c>
      <c r="E26" t="b">
        <v>1</v>
      </c>
    </row>
    <row r="27" spans="1:5">
      <c r="A27" t="s">
        <v>252</v>
      </c>
      <c r="B27" t="s">
        <v>636</v>
      </c>
      <c r="C27" t="s">
        <v>980</v>
      </c>
      <c r="D27">
        <v>5</v>
      </c>
      <c r="E27" t="b">
        <v>1</v>
      </c>
    </row>
    <row r="28" spans="1:5">
      <c r="A28" t="s">
        <v>252</v>
      </c>
      <c r="B28" t="s">
        <v>882</v>
      </c>
      <c r="D28">
        <v>0</v>
      </c>
      <c r="E28" t="b">
        <v>0</v>
      </c>
    </row>
    <row r="29" spans="1:5">
      <c r="A29" t="s">
        <v>399</v>
      </c>
      <c r="B29" t="s">
        <v>400</v>
      </c>
      <c r="C29" t="s">
        <v>981</v>
      </c>
      <c r="D29">
        <v>2</v>
      </c>
      <c r="E29" t="b">
        <v>1</v>
      </c>
    </row>
    <row r="30" spans="1:5">
      <c r="A30" t="s">
        <v>399</v>
      </c>
      <c r="B30" t="s">
        <v>888</v>
      </c>
      <c r="C30" t="s">
        <v>912</v>
      </c>
      <c r="D30">
        <v>1</v>
      </c>
      <c r="E30" t="b">
        <v>1</v>
      </c>
    </row>
    <row r="31" spans="1:5">
      <c r="A31" t="s">
        <v>399</v>
      </c>
      <c r="B31" t="s">
        <v>733</v>
      </c>
      <c r="C31" t="s">
        <v>982</v>
      </c>
      <c r="D31">
        <v>2</v>
      </c>
      <c r="E31" t="b">
        <v>1</v>
      </c>
    </row>
    <row r="32" spans="1:5">
      <c r="A32" t="s">
        <v>399</v>
      </c>
      <c r="B32" t="s">
        <v>734</v>
      </c>
      <c r="C32" t="s">
        <v>983</v>
      </c>
      <c r="D32">
        <v>3</v>
      </c>
      <c r="E32" t="b">
        <v>1</v>
      </c>
    </row>
    <row r="33" spans="1:5">
      <c r="A33" t="s">
        <v>399</v>
      </c>
      <c r="B33" t="s">
        <v>735</v>
      </c>
      <c r="C33" t="s">
        <v>982</v>
      </c>
      <c r="D33">
        <v>2</v>
      </c>
      <c r="E33" t="b">
        <v>1</v>
      </c>
    </row>
    <row r="34" spans="1:5">
      <c r="A34" t="s">
        <v>399</v>
      </c>
      <c r="B34" t="s">
        <v>890</v>
      </c>
      <c r="C34" t="s">
        <v>912</v>
      </c>
      <c r="D34">
        <v>1</v>
      </c>
      <c r="E34" t="b">
        <v>1</v>
      </c>
    </row>
    <row r="35" spans="1:5">
      <c r="A35" t="s">
        <v>399</v>
      </c>
      <c r="B35" t="s">
        <v>889</v>
      </c>
      <c r="D35">
        <v>0</v>
      </c>
      <c r="E35" t="b">
        <v>0</v>
      </c>
    </row>
    <row r="36" spans="1:5">
      <c r="A36" t="s">
        <v>50</v>
      </c>
      <c r="B36" t="s">
        <v>189</v>
      </c>
      <c r="C36" t="s">
        <v>984</v>
      </c>
      <c r="D36">
        <v>12</v>
      </c>
      <c r="E36" t="b">
        <v>1</v>
      </c>
    </row>
    <row r="37" spans="1:5">
      <c r="A37" t="s">
        <v>50</v>
      </c>
      <c r="B37" t="s">
        <v>52</v>
      </c>
      <c r="C37" t="s">
        <v>985</v>
      </c>
      <c r="D37">
        <v>13</v>
      </c>
      <c r="E37" t="b">
        <v>1</v>
      </c>
    </row>
    <row r="38" spans="1:5">
      <c r="A38" t="s">
        <v>50</v>
      </c>
      <c r="B38" t="s">
        <v>51</v>
      </c>
      <c r="C38" t="s">
        <v>986</v>
      </c>
      <c r="D38">
        <v>10</v>
      </c>
      <c r="E38" t="b">
        <v>1</v>
      </c>
    </row>
    <row r="39" spans="1:5">
      <c r="A39" t="s">
        <v>50</v>
      </c>
      <c r="B39" t="s">
        <v>246</v>
      </c>
      <c r="C39" t="s">
        <v>987</v>
      </c>
      <c r="D39">
        <v>8</v>
      </c>
      <c r="E39" t="b">
        <v>1</v>
      </c>
    </row>
    <row r="40" spans="1:5">
      <c r="A40" t="s">
        <v>50</v>
      </c>
      <c r="B40" t="s">
        <v>475</v>
      </c>
      <c r="C40" t="s">
        <v>988</v>
      </c>
      <c r="D40">
        <v>6</v>
      </c>
      <c r="E40" t="b">
        <v>1</v>
      </c>
    </row>
    <row r="41" spans="1:5">
      <c r="A41" t="s">
        <v>50</v>
      </c>
      <c r="B41" t="s">
        <v>325</v>
      </c>
      <c r="C41" t="s">
        <v>989</v>
      </c>
      <c r="D41">
        <v>4</v>
      </c>
      <c r="E41" t="b">
        <v>1</v>
      </c>
    </row>
    <row r="42" spans="1:5">
      <c r="A42" t="s">
        <v>99</v>
      </c>
      <c r="B42" t="s">
        <v>100</v>
      </c>
      <c r="C42" t="s">
        <v>990</v>
      </c>
      <c r="D42">
        <v>6</v>
      </c>
      <c r="E42" t="b">
        <v>1</v>
      </c>
    </row>
    <row r="43" spans="1:5">
      <c r="A43" t="s">
        <v>99</v>
      </c>
      <c r="B43" t="s">
        <v>104</v>
      </c>
      <c r="C43" t="s">
        <v>906</v>
      </c>
      <c r="D43">
        <v>1</v>
      </c>
      <c r="E43" t="b">
        <v>1</v>
      </c>
    </row>
    <row r="44" spans="1:5">
      <c r="A44" t="s">
        <v>99</v>
      </c>
      <c r="B44" t="s">
        <v>372</v>
      </c>
      <c r="C44" t="s">
        <v>779</v>
      </c>
      <c r="D44">
        <v>1</v>
      </c>
      <c r="E44" t="b">
        <v>1</v>
      </c>
    </row>
    <row r="45" spans="1:5">
      <c r="A45" t="s">
        <v>99</v>
      </c>
      <c r="B45" t="s">
        <v>876</v>
      </c>
      <c r="D45">
        <v>0</v>
      </c>
      <c r="E45" t="b">
        <v>0</v>
      </c>
    </row>
    <row r="46" spans="1:5">
      <c r="A46" t="s">
        <v>99</v>
      </c>
      <c r="B46" t="s">
        <v>877</v>
      </c>
      <c r="D46">
        <v>0</v>
      </c>
      <c r="E46" t="b">
        <v>0</v>
      </c>
    </row>
    <row r="47" spans="1:5">
      <c r="A47" t="s">
        <v>99</v>
      </c>
      <c r="B47" t="s">
        <v>878</v>
      </c>
      <c r="D47">
        <v>0</v>
      </c>
      <c r="E47" t="b">
        <v>0</v>
      </c>
    </row>
    <row r="48" spans="1:5">
      <c r="A48" t="s">
        <v>99</v>
      </c>
      <c r="B48" t="s">
        <v>879</v>
      </c>
      <c r="D48">
        <v>0</v>
      </c>
      <c r="E48" t="b">
        <v>0</v>
      </c>
    </row>
    <row r="49" spans="1:5">
      <c r="A49" t="s">
        <v>57</v>
      </c>
      <c r="B49" t="s">
        <v>556</v>
      </c>
      <c r="C49" t="s">
        <v>991</v>
      </c>
      <c r="D49">
        <v>3</v>
      </c>
      <c r="E49" t="b">
        <v>1</v>
      </c>
    </row>
    <row r="50" spans="1:5">
      <c r="A50" t="s">
        <v>57</v>
      </c>
      <c r="B50" t="s">
        <v>190</v>
      </c>
      <c r="C50" t="s">
        <v>992</v>
      </c>
      <c r="D50">
        <v>4</v>
      </c>
      <c r="E50" t="b">
        <v>1</v>
      </c>
    </row>
    <row r="51" spans="1:5">
      <c r="A51" t="s">
        <v>57</v>
      </c>
      <c r="B51" t="s">
        <v>78</v>
      </c>
      <c r="C51" t="s">
        <v>993</v>
      </c>
      <c r="D51">
        <v>4</v>
      </c>
      <c r="E51" t="b">
        <v>1</v>
      </c>
    </row>
    <row r="52" spans="1:5">
      <c r="A52" t="s">
        <v>57</v>
      </c>
      <c r="B52" t="s">
        <v>591</v>
      </c>
      <c r="C52" t="s">
        <v>581</v>
      </c>
      <c r="D52">
        <v>1</v>
      </c>
      <c r="E52" t="b">
        <v>1</v>
      </c>
    </row>
    <row r="53" spans="1:5">
      <c r="A53" t="s">
        <v>57</v>
      </c>
      <c r="B53" t="s">
        <v>58</v>
      </c>
      <c r="C53" t="s">
        <v>994</v>
      </c>
      <c r="D53">
        <v>6</v>
      </c>
      <c r="E53" t="b">
        <v>1</v>
      </c>
    </row>
    <row r="54" spans="1:5">
      <c r="A54" t="s">
        <v>57</v>
      </c>
      <c r="B54" t="s">
        <v>592</v>
      </c>
      <c r="C54" t="s">
        <v>995</v>
      </c>
      <c r="D54">
        <v>3</v>
      </c>
      <c r="E54" t="b">
        <v>1</v>
      </c>
    </row>
    <row r="55" spans="1:5">
      <c r="A55" t="s">
        <v>155</v>
      </c>
      <c r="B55" t="s">
        <v>156</v>
      </c>
      <c r="C55" t="s">
        <v>996</v>
      </c>
      <c r="D55">
        <v>7</v>
      </c>
      <c r="E55" t="b">
        <v>1</v>
      </c>
    </row>
    <row r="56" spans="1:5">
      <c r="A56" t="s">
        <v>155</v>
      </c>
      <c r="B56" t="s">
        <v>157</v>
      </c>
      <c r="C56" t="s">
        <v>997</v>
      </c>
      <c r="D56">
        <v>15</v>
      </c>
      <c r="E56" t="b">
        <v>1</v>
      </c>
    </row>
    <row r="57" spans="1:5">
      <c r="A57" t="s">
        <v>155</v>
      </c>
      <c r="B57" t="s">
        <v>522</v>
      </c>
      <c r="C57" t="s">
        <v>510</v>
      </c>
      <c r="D57">
        <v>1</v>
      </c>
      <c r="E57" t="b">
        <v>1</v>
      </c>
    </row>
    <row r="58" spans="1:5">
      <c r="A58" t="s">
        <v>155</v>
      </c>
      <c r="B58" t="s">
        <v>327</v>
      </c>
      <c r="C58" t="s">
        <v>998</v>
      </c>
      <c r="D58">
        <v>7</v>
      </c>
      <c r="E58" t="b">
        <v>1</v>
      </c>
    </row>
    <row r="59" spans="1:5">
      <c r="A59" t="s">
        <v>155</v>
      </c>
      <c r="B59" t="s">
        <v>373</v>
      </c>
      <c r="C59" t="s">
        <v>999</v>
      </c>
      <c r="D59">
        <v>3</v>
      </c>
      <c r="E59" t="b">
        <v>1</v>
      </c>
    </row>
    <row r="60" spans="1:5">
      <c r="A60" t="s">
        <v>155</v>
      </c>
      <c r="B60" t="s">
        <v>593</v>
      </c>
      <c r="C60" t="s">
        <v>581</v>
      </c>
      <c r="D60">
        <v>1</v>
      </c>
      <c r="E60" t="b">
        <v>1</v>
      </c>
    </row>
    <row r="61" spans="1:5">
      <c r="A61" t="s">
        <v>101</v>
      </c>
      <c r="B61" t="s">
        <v>102</v>
      </c>
      <c r="C61" t="s">
        <v>975</v>
      </c>
      <c r="D61">
        <v>3</v>
      </c>
      <c r="E61" t="b">
        <v>1</v>
      </c>
    </row>
    <row r="62" spans="1:5">
      <c r="A62" t="s">
        <v>101</v>
      </c>
      <c r="B62" t="s">
        <v>635</v>
      </c>
      <c r="C62" t="s">
        <v>1000</v>
      </c>
      <c r="D62">
        <v>2</v>
      </c>
      <c r="E62" t="b">
        <v>1</v>
      </c>
    </row>
    <row r="63" spans="1:5">
      <c r="A63" t="s">
        <v>101</v>
      </c>
      <c r="B63" t="s">
        <v>886</v>
      </c>
      <c r="C63" t="s">
        <v>912</v>
      </c>
      <c r="D63">
        <v>1</v>
      </c>
      <c r="E63" t="b">
        <v>1</v>
      </c>
    </row>
    <row r="64" spans="1:5">
      <c r="A64" t="s">
        <v>101</v>
      </c>
      <c r="B64" t="s">
        <v>887</v>
      </c>
      <c r="C64" t="s">
        <v>912</v>
      </c>
      <c r="D64">
        <v>1</v>
      </c>
      <c r="E64" t="b">
        <v>1</v>
      </c>
    </row>
    <row r="65" spans="1:5">
      <c r="A65" t="s">
        <v>101</v>
      </c>
      <c r="B65" t="s">
        <v>732</v>
      </c>
      <c r="C65" t="s">
        <v>982</v>
      </c>
      <c r="D65">
        <v>2</v>
      </c>
      <c r="E65" t="b">
        <v>1</v>
      </c>
    </row>
  </sheetData>
  <pageMargins left="0.7" right="0.7" top="0.75" bottom="0.75"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94"/>
  <sheetViews>
    <sheetView showGridLines="0" zoomScale="85" zoomScaleNormal="85" workbookViewId="0">
      <selection activeCell="D12" sqref="D12"/>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6091SPS</v>
      </c>
      <c r="D2" s="20" t="str">
        <f>D8</f>
        <v>Major Project</v>
      </c>
    </row>
    <row r="3" spans="2:6">
      <c r="B3" s="1"/>
      <c r="C3" s="1"/>
    </row>
    <row r="4" spans="2:6">
      <c r="B4" s="2"/>
      <c r="C4" s="2"/>
    </row>
    <row r="5" spans="2:6" ht="18.75">
      <c r="B5" s="2"/>
      <c r="C5" s="5" t="s">
        <v>0</v>
      </c>
    </row>
    <row r="6" spans="2:6">
      <c r="B6" s="2"/>
      <c r="C6" s="3" t="s">
        <v>1</v>
      </c>
      <c r="D6" s="4" t="s">
        <v>2</v>
      </c>
      <c r="E6" s="4"/>
      <c r="F6" t="s">
        <v>3</v>
      </c>
    </row>
    <row r="7" spans="2:6">
      <c r="B7" s="2"/>
      <c r="C7" s="3" t="s">
        <v>4</v>
      </c>
      <c r="D7" s="21" t="s">
        <v>917</v>
      </c>
      <c r="E7" s="4"/>
      <c r="F7" s="24" t="s">
        <v>1001</v>
      </c>
    </row>
    <row r="8" spans="2:6">
      <c r="B8" s="2"/>
      <c r="C8" s="3" t="s">
        <v>6</v>
      </c>
      <c r="D8" s="21" t="s">
        <v>918</v>
      </c>
      <c r="E8" s="4"/>
      <c r="F8" s="24"/>
    </row>
    <row r="9" spans="2:6">
      <c r="C9" s="3" t="s">
        <v>7</v>
      </c>
      <c r="D9" s="21">
        <v>40</v>
      </c>
      <c r="E9" s="4"/>
    </row>
    <row r="10" spans="2:6">
      <c r="C10" s="3" t="s">
        <v>8</v>
      </c>
      <c r="D10" s="21" t="s">
        <v>723</v>
      </c>
      <c r="E10" s="4"/>
      <c r="F10" t="s">
        <v>9</v>
      </c>
    </row>
    <row r="11" spans="2:6">
      <c r="C11" s="3" t="s">
        <v>10</v>
      </c>
      <c r="D11" s="21">
        <v>6</v>
      </c>
      <c r="E11" s="4"/>
      <c r="F11" s="24" t="s">
        <v>1002</v>
      </c>
    </row>
    <row r="12" spans="2:6">
      <c r="C12" s="3" t="s">
        <v>11</v>
      </c>
      <c r="D12" s="21"/>
      <c r="E12" s="4"/>
      <c r="F12" s="24" t="s">
        <v>1003</v>
      </c>
    </row>
    <row r="13" spans="2:6">
      <c r="C13" s="3" t="s">
        <v>12</v>
      </c>
      <c r="D13" s="21" t="s">
        <v>847</v>
      </c>
      <c r="E13" s="4"/>
      <c r="F13" s="24" t="s">
        <v>1004</v>
      </c>
    </row>
    <row r="14" spans="2:6">
      <c r="C14" s="3" t="s">
        <v>13</v>
      </c>
      <c r="D14" s="21" t="s">
        <v>181</v>
      </c>
      <c r="E14" s="4"/>
    </row>
    <row r="15" spans="2:6">
      <c r="C15" s="3"/>
      <c r="D15" s="4"/>
      <c r="E15" s="4"/>
      <c r="F15" t="s">
        <v>14</v>
      </c>
    </row>
    <row r="16" spans="2:6">
      <c r="C16" s="3"/>
      <c r="D16" s="4"/>
      <c r="E16" s="4"/>
      <c r="F16" s="24" t="s">
        <v>1005</v>
      </c>
    </row>
    <row r="17" spans="3:6" ht="18.75">
      <c r="C17" s="5" t="s">
        <v>15</v>
      </c>
      <c r="D17" s="4"/>
      <c r="E17" s="4"/>
      <c r="F17" s="24" t="s">
        <v>1006</v>
      </c>
    </row>
    <row r="18" spans="3:6">
      <c r="C18" s="3" t="s">
        <v>16</v>
      </c>
      <c r="D18" s="1" t="s">
        <v>15</v>
      </c>
      <c r="E18" s="4"/>
      <c r="F18" s="24" t="s">
        <v>1007</v>
      </c>
    </row>
    <row r="19" spans="3:6">
      <c r="C19" s="3" t="s">
        <v>17</v>
      </c>
      <c r="D19" s="22">
        <v>10</v>
      </c>
      <c r="E19" s="4"/>
      <c r="F19" s="24" t="s">
        <v>1008</v>
      </c>
    </row>
    <row r="20" spans="3:6">
      <c r="C20" s="3" t="s">
        <v>18</v>
      </c>
      <c r="D20" s="22">
        <v>26</v>
      </c>
      <c r="E20" s="4"/>
      <c r="F20" s="24" t="s">
        <v>1009</v>
      </c>
    </row>
    <row r="21" spans="3:6">
      <c r="C21" s="3" t="s">
        <v>19</v>
      </c>
      <c r="D21" s="22"/>
      <c r="E21" s="4"/>
    </row>
    <row r="22" spans="3:6">
      <c r="C22" s="3" t="s">
        <v>20</v>
      </c>
      <c r="D22" s="22"/>
      <c r="E22" s="4"/>
      <c r="F22" t="s">
        <v>21</v>
      </c>
    </row>
    <row r="23" spans="3:6">
      <c r="C23" s="3" t="s">
        <v>22</v>
      </c>
      <c r="D23" s="22"/>
      <c r="E23" s="4"/>
      <c r="F23" s="24"/>
    </row>
    <row r="24" spans="3:6">
      <c r="C24" s="3" t="s">
        <v>23</v>
      </c>
      <c r="D24" s="1">
        <f>SUM(D19:D23)</f>
        <v>36</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21" t="s">
        <v>1010</v>
      </c>
      <c r="E29" s="4"/>
      <c r="F29" s="24"/>
    </row>
    <row r="30" spans="3:6" ht="30">
      <c r="C30" s="3" t="s">
        <v>29</v>
      </c>
      <c r="D30" s="21" t="s">
        <v>1011</v>
      </c>
      <c r="E30" s="4"/>
      <c r="F30" s="24"/>
    </row>
    <row r="31" spans="3:6" ht="30">
      <c r="C31" s="3" t="s">
        <v>30</v>
      </c>
      <c r="D31" s="21" t="s">
        <v>1012</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45">
      <c r="C38" s="3" t="s">
        <v>40</v>
      </c>
      <c r="D38" s="21" t="s">
        <v>290</v>
      </c>
      <c r="E38" s="21" t="s">
        <v>846</v>
      </c>
      <c r="F38" s="21" t="s">
        <v>1013</v>
      </c>
      <c r="G38" s="23">
        <v>0.6</v>
      </c>
      <c r="H38" s="21">
        <v>28</v>
      </c>
    </row>
    <row r="39" spans="3:8" ht="30">
      <c r="C39" s="3" t="s">
        <v>44</v>
      </c>
      <c r="D39" s="21" t="s">
        <v>41</v>
      </c>
      <c r="E39" s="21" t="s">
        <v>94</v>
      </c>
      <c r="F39" s="21" t="s">
        <v>1014</v>
      </c>
      <c r="G39" s="23">
        <v>0.4</v>
      </c>
      <c r="H39" s="21">
        <v>28</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57</v>
      </c>
      <c r="F46" s="24" t="s">
        <v>190</v>
      </c>
    </row>
    <row r="47" spans="3:8">
      <c r="C47" s="25" t="s">
        <v>40</v>
      </c>
      <c r="D47" s="24" t="s">
        <v>28</v>
      </c>
      <c r="E47" s="24" t="s">
        <v>57</v>
      </c>
      <c r="F47" s="24" t="s">
        <v>592</v>
      </c>
    </row>
    <row r="48" spans="3:8">
      <c r="C48" s="25" t="s">
        <v>40</v>
      </c>
      <c r="D48" s="24" t="s">
        <v>28</v>
      </c>
      <c r="E48" s="24" t="s">
        <v>53</v>
      </c>
      <c r="F48" s="24" t="s">
        <v>875</v>
      </c>
    </row>
    <row r="49" spans="3:6">
      <c r="C49" s="25" t="s">
        <v>44</v>
      </c>
      <c r="D49" s="24" t="s">
        <v>28</v>
      </c>
      <c r="E49" s="24" t="s">
        <v>53</v>
      </c>
      <c r="F49" s="24" t="s">
        <v>192</v>
      </c>
    </row>
    <row r="50" spans="3:6">
      <c r="C50" s="25" t="s">
        <v>44</v>
      </c>
      <c r="D50" s="24" t="s">
        <v>29</v>
      </c>
      <c r="E50" s="24" t="s">
        <v>50</v>
      </c>
      <c r="F50" s="24" t="s">
        <v>52</v>
      </c>
    </row>
    <row r="51" spans="3:6">
      <c r="C51" s="25" t="s">
        <v>44</v>
      </c>
      <c r="D51" s="24" t="s">
        <v>29</v>
      </c>
      <c r="E51" s="24" t="s">
        <v>50</v>
      </c>
      <c r="F51" s="24" t="s">
        <v>189</v>
      </c>
    </row>
    <row r="52" spans="3:6">
      <c r="C52" s="25" t="s">
        <v>45</v>
      </c>
      <c r="D52" s="24" t="s">
        <v>29</v>
      </c>
      <c r="E52" s="24" t="s">
        <v>50</v>
      </c>
      <c r="F52" s="24" t="s">
        <v>246</v>
      </c>
    </row>
    <row r="53" spans="3:6">
      <c r="C53" s="25" t="s">
        <v>45</v>
      </c>
      <c r="D53" s="24" t="s">
        <v>29</v>
      </c>
      <c r="E53" s="24" t="s">
        <v>55</v>
      </c>
      <c r="F53" s="24" t="s">
        <v>293</v>
      </c>
    </row>
    <row r="54" spans="3:6">
      <c r="C54" s="25" t="s">
        <v>45</v>
      </c>
      <c r="D54" s="24" t="s">
        <v>30</v>
      </c>
      <c r="E54" s="24" t="s">
        <v>155</v>
      </c>
      <c r="F54" s="24" t="s">
        <v>157</v>
      </c>
    </row>
    <row r="55" spans="3:6">
      <c r="C55" s="25" t="s">
        <v>46</v>
      </c>
      <c r="D55" s="24" t="s">
        <v>30</v>
      </c>
      <c r="E55" s="24" t="s">
        <v>55</v>
      </c>
      <c r="F55" s="24" t="s">
        <v>56</v>
      </c>
    </row>
    <row r="56" spans="3:6">
      <c r="C56" s="25" t="s">
        <v>46</v>
      </c>
      <c r="D56" s="24" t="s">
        <v>30</v>
      </c>
      <c r="E56" s="24" t="s">
        <v>105</v>
      </c>
      <c r="F56" s="24" t="s">
        <v>248</v>
      </c>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6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D46:D66</xm:sqref>
        </x14:dataValidation>
        <x14:dataValidation type="list" allowBlank="1" showInputMessage="1" showErrorMessage="1" xr:uid="{2751552D-9CB1-43E7-81A0-A1705BDEC705}">
          <x14:formula1>
            <xm:f>LISTS!$J$7:$J$16</xm:f>
          </x14:formula1>
          <xm:sqref>E46:E66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CCD64-499A-485A-94F7-F3D87C41451B}">
  <sheetPr codeName="Sheet29"/>
  <dimension ref="A1:I29"/>
  <sheetViews>
    <sheetView workbookViewId="0">
      <selection sqref="A1:I29"/>
    </sheetView>
  </sheetViews>
  <sheetFormatPr defaultColWidth="8.85546875" defaultRowHeight="15"/>
  <cols>
    <col min="1" max="1" width="14.85546875" bestFit="1" customWidth="1"/>
    <col min="2" max="2" width="65.5703125" bestFit="1" customWidth="1"/>
    <col min="3" max="3" width="8.140625" bestFit="1" customWidth="1"/>
    <col min="4" max="4" width="12" bestFit="1" customWidth="1"/>
    <col min="5" max="5" width="10" bestFit="1" customWidth="1"/>
    <col min="6" max="6" width="23.42578125" bestFit="1" customWidth="1"/>
    <col min="7" max="7" width="18.5703125" bestFit="1" customWidth="1"/>
    <col min="8" max="8" width="21.42578125" bestFit="1" customWidth="1"/>
    <col min="9" max="9" width="18.42578125" bestFit="1" customWidth="1"/>
  </cols>
  <sheetData>
    <row r="1" spans="1:9">
      <c r="A1" t="s">
        <v>893</v>
      </c>
      <c r="B1" t="s">
        <v>894</v>
      </c>
      <c r="C1" t="s">
        <v>10</v>
      </c>
      <c r="D1" t="s">
        <v>8</v>
      </c>
      <c r="E1" t="s">
        <v>7</v>
      </c>
      <c r="F1" t="s">
        <v>11</v>
      </c>
      <c r="G1" t="s">
        <v>12</v>
      </c>
      <c r="H1" t="s">
        <v>895</v>
      </c>
      <c r="I1" t="s">
        <v>896</v>
      </c>
    </row>
    <row r="2" spans="1:9">
      <c r="A2" t="s">
        <v>170</v>
      </c>
      <c r="B2" t="s">
        <v>171</v>
      </c>
      <c r="G2" t="s">
        <v>172</v>
      </c>
      <c r="H2">
        <v>0</v>
      </c>
    </row>
    <row r="3" spans="1:9">
      <c r="A3" t="s">
        <v>173</v>
      </c>
      <c r="B3" t="s">
        <v>904</v>
      </c>
      <c r="C3">
        <v>4</v>
      </c>
      <c r="D3">
        <v>1</v>
      </c>
      <c r="E3">
        <v>20</v>
      </c>
      <c r="F3" t="s">
        <v>178</v>
      </c>
      <c r="G3" t="s">
        <v>146</v>
      </c>
      <c r="H3">
        <v>44</v>
      </c>
      <c r="I3">
        <v>2.2000000000000002</v>
      </c>
    </row>
    <row r="4" spans="1:9">
      <c r="A4" t="s">
        <v>899</v>
      </c>
      <c r="B4" t="s">
        <v>900</v>
      </c>
      <c r="C4">
        <v>4</v>
      </c>
      <c r="D4">
        <v>1</v>
      </c>
      <c r="E4">
        <v>20</v>
      </c>
      <c r="F4" t="s">
        <v>901</v>
      </c>
      <c r="G4" t="s">
        <v>146</v>
      </c>
      <c r="H4">
        <v>44</v>
      </c>
      <c r="I4">
        <v>2.2000000000000002</v>
      </c>
    </row>
    <row r="5" spans="1:9">
      <c r="A5" t="s">
        <v>229</v>
      </c>
      <c r="B5" t="s">
        <v>231</v>
      </c>
      <c r="C5">
        <v>4</v>
      </c>
      <c r="D5">
        <v>2</v>
      </c>
      <c r="E5">
        <v>20</v>
      </c>
      <c r="F5" t="s">
        <v>233</v>
      </c>
      <c r="G5" t="s">
        <v>146</v>
      </c>
      <c r="H5">
        <v>39</v>
      </c>
      <c r="I5">
        <v>1.95</v>
      </c>
    </row>
    <row r="6" spans="1:9">
      <c r="A6" t="s">
        <v>905</v>
      </c>
      <c r="B6" t="s">
        <v>906</v>
      </c>
      <c r="C6">
        <v>4</v>
      </c>
      <c r="D6">
        <v>1</v>
      </c>
      <c r="E6">
        <v>20</v>
      </c>
      <c r="F6" t="s">
        <v>84</v>
      </c>
      <c r="G6" t="s">
        <v>85</v>
      </c>
      <c r="H6">
        <v>44</v>
      </c>
      <c r="I6">
        <v>2.2000000000000002</v>
      </c>
    </row>
    <row r="7" spans="1:9">
      <c r="A7" t="s">
        <v>140</v>
      </c>
      <c r="B7" t="s">
        <v>142</v>
      </c>
      <c r="C7">
        <v>4</v>
      </c>
      <c r="D7">
        <v>2</v>
      </c>
      <c r="E7">
        <v>20</v>
      </c>
      <c r="F7" t="s">
        <v>145</v>
      </c>
      <c r="G7" t="s">
        <v>146</v>
      </c>
      <c r="H7">
        <v>40</v>
      </c>
      <c r="I7">
        <v>2</v>
      </c>
    </row>
    <row r="8" spans="1:9">
      <c r="A8" t="s">
        <v>278</v>
      </c>
      <c r="B8" t="s">
        <v>280</v>
      </c>
      <c r="C8">
        <v>5</v>
      </c>
      <c r="D8">
        <v>2</v>
      </c>
      <c r="E8">
        <v>20</v>
      </c>
      <c r="F8" t="s">
        <v>282</v>
      </c>
      <c r="G8" t="s">
        <v>172</v>
      </c>
      <c r="H8">
        <v>42</v>
      </c>
      <c r="I8">
        <v>2.1</v>
      </c>
    </row>
    <row r="9" spans="1:9">
      <c r="A9" t="s">
        <v>312</v>
      </c>
      <c r="B9" t="s">
        <v>313</v>
      </c>
      <c r="C9">
        <v>5</v>
      </c>
      <c r="D9">
        <v>2</v>
      </c>
      <c r="E9">
        <v>20</v>
      </c>
      <c r="F9" t="s">
        <v>316</v>
      </c>
      <c r="G9" t="s">
        <v>146</v>
      </c>
      <c r="H9">
        <v>40</v>
      </c>
      <c r="I9">
        <v>2</v>
      </c>
    </row>
    <row r="10" spans="1:9">
      <c r="A10" t="s">
        <v>907</v>
      </c>
      <c r="B10" t="s">
        <v>935</v>
      </c>
      <c r="C10">
        <v>5</v>
      </c>
      <c r="D10">
        <v>2</v>
      </c>
      <c r="E10">
        <v>20</v>
      </c>
      <c r="F10" t="s">
        <v>909</v>
      </c>
      <c r="G10" t="s">
        <v>146</v>
      </c>
      <c r="H10">
        <v>44</v>
      </c>
      <c r="I10">
        <v>2.2000000000000002</v>
      </c>
    </row>
    <row r="11" spans="1:9">
      <c r="A11" t="s">
        <v>360</v>
      </c>
      <c r="B11" t="s">
        <v>362</v>
      </c>
      <c r="C11">
        <v>5</v>
      </c>
      <c r="D11">
        <v>1</v>
      </c>
      <c r="E11">
        <v>20</v>
      </c>
      <c r="G11" t="s">
        <v>85</v>
      </c>
      <c r="H11">
        <v>0</v>
      </c>
      <c r="I11">
        <v>0</v>
      </c>
    </row>
    <row r="12" spans="1:9">
      <c r="A12" t="s">
        <v>386</v>
      </c>
      <c r="B12" t="s">
        <v>388</v>
      </c>
      <c r="C12">
        <v>5</v>
      </c>
      <c r="D12">
        <v>1</v>
      </c>
      <c r="E12">
        <v>20</v>
      </c>
      <c r="F12" t="s">
        <v>390</v>
      </c>
      <c r="G12" t="s">
        <v>146</v>
      </c>
      <c r="H12">
        <v>49</v>
      </c>
      <c r="I12">
        <v>2.4500000000000002</v>
      </c>
    </row>
    <row r="13" spans="1:9">
      <c r="A13" t="s">
        <v>417</v>
      </c>
      <c r="B13" t="s">
        <v>910</v>
      </c>
      <c r="C13">
        <v>5</v>
      </c>
      <c r="F13" t="s">
        <v>419</v>
      </c>
      <c r="G13" t="s">
        <v>146</v>
      </c>
      <c r="H13">
        <v>0</v>
      </c>
    </row>
    <row r="14" spans="1:9">
      <c r="A14" t="s">
        <v>914</v>
      </c>
      <c r="B14" t="s">
        <v>915</v>
      </c>
      <c r="C14">
        <v>6</v>
      </c>
      <c r="D14">
        <v>1</v>
      </c>
      <c r="E14">
        <v>20</v>
      </c>
      <c r="F14" t="s">
        <v>916</v>
      </c>
      <c r="G14" t="s">
        <v>146</v>
      </c>
      <c r="H14">
        <v>44</v>
      </c>
      <c r="I14">
        <v>2.2000000000000002</v>
      </c>
    </row>
    <row r="15" spans="1:9">
      <c r="A15" t="s">
        <v>917</v>
      </c>
      <c r="B15" t="s">
        <v>918</v>
      </c>
      <c r="C15">
        <v>6</v>
      </c>
      <c r="E15">
        <v>40</v>
      </c>
      <c r="G15" t="s">
        <v>847</v>
      </c>
      <c r="H15">
        <v>36</v>
      </c>
      <c r="I15">
        <v>0.9</v>
      </c>
    </row>
    <row r="16" spans="1:9">
      <c r="A16" t="s">
        <v>742</v>
      </c>
      <c r="B16" t="s">
        <v>744</v>
      </c>
      <c r="C16">
        <v>6</v>
      </c>
      <c r="D16">
        <v>1</v>
      </c>
      <c r="E16">
        <v>20</v>
      </c>
      <c r="F16" t="s">
        <v>746</v>
      </c>
      <c r="G16" t="s">
        <v>454</v>
      </c>
      <c r="H16">
        <v>40</v>
      </c>
      <c r="I16">
        <v>2</v>
      </c>
    </row>
    <row r="17" spans="1:9">
      <c r="A17" t="s">
        <v>777</v>
      </c>
      <c r="B17" t="s">
        <v>779</v>
      </c>
      <c r="C17">
        <v>6</v>
      </c>
      <c r="D17">
        <v>1</v>
      </c>
      <c r="E17">
        <v>20</v>
      </c>
      <c r="F17" t="s">
        <v>781</v>
      </c>
      <c r="G17" t="s">
        <v>454</v>
      </c>
      <c r="H17">
        <v>37</v>
      </c>
      <c r="I17">
        <v>1.85</v>
      </c>
    </row>
    <row r="18" spans="1:9">
      <c r="A18" t="s">
        <v>804</v>
      </c>
      <c r="B18" t="s">
        <v>806</v>
      </c>
      <c r="C18">
        <v>6</v>
      </c>
      <c r="D18">
        <v>1</v>
      </c>
      <c r="E18">
        <v>20</v>
      </c>
      <c r="F18" t="s">
        <v>808</v>
      </c>
      <c r="G18" t="s">
        <v>454</v>
      </c>
      <c r="H18">
        <v>44</v>
      </c>
      <c r="I18">
        <v>2.2000000000000002</v>
      </c>
    </row>
    <row r="19" spans="1:9">
      <c r="A19" t="s">
        <v>911</v>
      </c>
      <c r="B19" t="s">
        <v>912</v>
      </c>
      <c r="C19">
        <v>6</v>
      </c>
      <c r="D19">
        <v>1</v>
      </c>
      <c r="E19">
        <v>20</v>
      </c>
      <c r="F19" t="s">
        <v>913</v>
      </c>
      <c r="G19" t="s">
        <v>454</v>
      </c>
      <c r="H19">
        <v>40</v>
      </c>
      <c r="I19">
        <v>2</v>
      </c>
    </row>
    <row r="20" spans="1:9">
      <c r="A20" t="s">
        <v>919</v>
      </c>
      <c r="B20" t="s">
        <v>921</v>
      </c>
      <c r="C20">
        <v>6</v>
      </c>
      <c r="D20">
        <v>1</v>
      </c>
      <c r="E20">
        <v>20</v>
      </c>
      <c r="F20" t="s">
        <v>1015</v>
      </c>
      <c r="G20" t="s">
        <v>454</v>
      </c>
      <c r="H20">
        <v>40</v>
      </c>
      <c r="I20">
        <v>2</v>
      </c>
    </row>
    <row r="21" spans="1:9">
      <c r="A21" t="s">
        <v>448</v>
      </c>
      <c r="B21" t="s">
        <v>450</v>
      </c>
      <c r="C21">
        <v>6</v>
      </c>
      <c r="D21">
        <v>1</v>
      </c>
      <c r="E21">
        <v>20</v>
      </c>
      <c r="F21" t="s">
        <v>452</v>
      </c>
      <c r="G21" t="s">
        <v>454</v>
      </c>
      <c r="H21">
        <v>42</v>
      </c>
      <c r="I21">
        <v>2.1</v>
      </c>
    </row>
    <row r="22" spans="1:9">
      <c r="A22" t="s">
        <v>463</v>
      </c>
      <c r="B22" t="s">
        <v>464</v>
      </c>
      <c r="C22">
        <v>6</v>
      </c>
      <c r="D22">
        <v>1</v>
      </c>
      <c r="E22">
        <v>20</v>
      </c>
      <c r="F22" t="s">
        <v>467</v>
      </c>
      <c r="G22" t="s">
        <v>454</v>
      </c>
      <c r="H22">
        <v>40</v>
      </c>
      <c r="I22">
        <v>2</v>
      </c>
    </row>
    <row r="23" spans="1:9">
      <c r="A23" t="s">
        <v>508</v>
      </c>
      <c r="B23" t="s">
        <v>510</v>
      </c>
      <c r="C23">
        <v>6</v>
      </c>
      <c r="D23">
        <v>1</v>
      </c>
      <c r="E23">
        <v>20</v>
      </c>
      <c r="F23" t="s">
        <v>512</v>
      </c>
      <c r="G23" t="s">
        <v>454</v>
      </c>
      <c r="H23">
        <v>44</v>
      </c>
      <c r="I23">
        <v>2.2000000000000002</v>
      </c>
    </row>
    <row r="24" spans="1:9">
      <c r="A24" t="s">
        <v>548</v>
      </c>
      <c r="B24" t="s">
        <v>549</v>
      </c>
      <c r="C24">
        <v>6</v>
      </c>
      <c r="D24">
        <v>1</v>
      </c>
      <c r="E24">
        <v>20</v>
      </c>
      <c r="F24" t="s">
        <v>550</v>
      </c>
      <c r="G24" t="s">
        <v>454</v>
      </c>
      <c r="H24">
        <v>38</v>
      </c>
      <c r="I24">
        <v>1.9</v>
      </c>
    </row>
    <row r="25" spans="1:9">
      <c r="A25" t="s">
        <v>579</v>
      </c>
      <c r="B25" t="s">
        <v>581</v>
      </c>
      <c r="C25">
        <v>6</v>
      </c>
      <c r="D25">
        <v>2</v>
      </c>
      <c r="E25">
        <v>20</v>
      </c>
      <c r="F25" t="s">
        <v>584</v>
      </c>
      <c r="G25" t="s">
        <v>454</v>
      </c>
      <c r="H25">
        <v>38</v>
      </c>
      <c r="I25">
        <v>1.9</v>
      </c>
    </row>
    <row r="26" spans="1:9">
      <c r="A26" t="s">
        <v>619</v>
      </c>
      <c r="B26" t="s">
        <v>6</v>
      </c>
      <c r="C26">
        <v>6</v>
      </c>
      <c r="D26">
        <v>2</v>
      </c>
      <c r="E26">
        <v>20</v>
      </c>
      <c r="F26" t="s">
        <v>622</v>
      </c>
      <c r="G26" t="s">
        <v>454</v>
      </c>
      <c r="H26">
        <v>46</v>
      </c>
      <c r="I26">
        <v>2.2999999999999998</v>
      </c>
    </row>
    <row r="27" spans="1:9">
      <c r="A27" t="s">
        <v>649</v>
      </c>
      <c r="B27" t="s">
        <v>650</v>
      </c>
      <c r="C27">
        <v>6</v>
      </c>
      <c r="D27">
        <v>2</v>
      </c>
      <c r="E27">
        <v>20</v>
      </c>
      <c r="F27" t="s">
        <v>653</v>
      </c>
      <c r="G27" t="s">
        <v>454</v>
      </c>
      <c r="H27">
        <v>40</v>
      </c>
      <c r="I27">
        <v>2</v>
      </c>
    </row>
    <row r="28" spans="1:9">
      <c r="A28" t="s">
        <v>686</v>
      </c>
      <c r="B28" t="s">
        <v>688</v>
      </c>
      <c r="G28" t="s">
        <v>454</v>
      </c>
      <c r="H28">
        <v>36</v>
      </c>
    </row>
    <row r="29" spans="1:9">
      <c r="A29" t="s">
        <v>720</v>
      </c>
      <c r="B29" t="s">
        <v>920</v>
      </c>
      <c r="C29">
        <v>6</v>
      </c>
      <c r="E29">
        <v>20</v>
      </c>
      <c r="F29" t="s">
        <v>725</v>
      </c>
      <c r="G29" t="s">
        <v>85</v>
      </c>
      <c r="H29">
        <v>50</v>
      </c>
      <c r="I29">
        <v>2.5</v>
      </c>
    </row>
  </sheetData>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A730-01D0-478C-8727-CC964BB498E7}">
  <sheetPr codeName="Sheet30"/>
  <dimension ref="A1:N29"/>
  <sheetViews>
    <sheetView workbookViewId="0">
      <selection sqref="A1:N29"/>
    </sheetView>
  </sheetViews>
  <sheetFormatPr defaultColWidth="8.85546875" defaultRowHeight="15"/>
  <cols>
    <col min="1" max="1" width="49" bestFit="1" customWidth="1"/>
    <col min="2" max="2" width="14.85546875" bestFit="1" customWidth="1"/>
    <col min="3" max="4" width="65.5703125" bestFit="1" customWidth="1"/>
    <col min="5" max="5" width="10" bestFit="1" customWidth="1"/>
    <col min="6" max="6" width="12" bestFit="1" customWidth="1"/>
    <col min="7" max="7" width="8.140625" bestFit="1" customWidth="1"/>
    <col min="8" max="8" width="23.42578125" bestFit="1" customWidth="1"/>
    <col min="9" max="9" width="18.5703125" bestFit="1" customWidth="1"/>
    <col min="10" max="10" width="24.5703125" bestFit="1" customWidth="1"/>
    <col min="11" max="11" width="13.42578125" bestFit="1" customWidth="1"/>
    <col min="12" max="12" width="12.7109375" bestFit="1" customWidth="1"/>
    <col min="13" max="13" width="24.5703125" bestFit="1" customWidth="1"/>
    <col min="14" max="14" width="12.140625" bestFit="1" customWidth="1"/>
  </cols>
  <sheetData>
    <row r="1" spans="1:14">
      <c r="A1" t="s">
        <v>924</v>
      </c>
      <c r="B1" t="s">
        <v>893</v>
      </c>
      <c r="C1" t="s">
        <v>894</v>
      </c>
      <c r="D1" t="s">
        <v>6</v>
      </c>
      <c r="E1" t="s">
        <v>7</v>
      </c>
      <c r="F1" t="s">
        <v>8</v>
      </c>
      <c r="G1" t="s">
        <v>10</v>
      </c>
      <c r="H1" t="s">
        <v>11</v>
      </c>
      <c r="I1" t="s">
        <v>12</v>
      </c>
      <c r="J1" t="s">
        <v>13</v>
      </c>
      <c r="K1" t="s">
        <v>926</v>
      </c>
      <c r="L1" t="s">
        <v>1016</v>
      </c>
      <c r="M1" t="s">
        <v>925</v>
      </c>
      <c r="N1" t="s">
        <v>927</v>
      </c>
    </row>
    <row r="2" spans="1:14">
      <c r="A2" t="s">
        <v>928</v>
      </c>
      <c r="B2" t="s">
        <v>911</v>
      </c>
      <c r="C2" t="s">
        <v>912</v>
      </c>
      <c r="D2" t="s">
        <v>912</v>
      </c>
      <c r="E2">
        <v>20</v>
      </c>
      <c r="F2">
        <v>1</v>
      </c>
      <c r="G2">
        <v>6</v>
      </c>
      <c r="H2" t="s">
        <v>913</v>
      </c>
      <c r="I2" t="s">
        <v>454</v>
      </c>
      <c r="J2" t="s">
        <v>747</v>
      </c>
      <c r="K2" t="s">
        <v>1017</v>
      </c>
      <c r="L2" t="s">
        <v>1018</v>
      </c>
      <c r="M2" t="s">
        <v>86</v>
      </c>
      <c r="N2" t="s">
        <v>930</v>
      </c>
    </row>
    <row r="3" spans="1:14">
      <c r="A3" t="s">
        <v>931</v>
      </c>
      <c r="B3" t="s">
        <v>919</v>
      </c>
      <c r="C3" t="s">
        <v>921</v>
      </c>
      <c r="D3" t="s">
        <v>921</v>
      </c>
      <c r="E3">
        <v>20</v>
      </c>
      <c r="F3">
        <v>1</v>
      </c>
      <c r="G3">
        <v>6</v>
      </c>
      <c r="H3" t="s">
        <v>1015</v>
      </c>
      <c r="I3" t="s">
        <v>454</v>
      </c>
      <c r="J3" t="s">
        <v>181</v>
      </c>
      <c r="K3" t="s">
        <v>1019</v>
      </c>
      <c r="L3" t="s">
        <v>1018</v>
      </c>
      <c r="M3" t="s">
        <v>86</v>
      </c>
      <c r="N3" t="s">
        <v>930</v>
      </c>
    </row>
    <row r="4" spans="1:14">
      <c r="A4" t="s">
        <v>933</v>
      </c>
      <c r="B4" t="s">
        <v>899</v>
      </c>
      <c r="C4" t="s">
        <v>900</v>
      </c>
      <c r="D4" t="s">
        <v>900</v>
      </c>
      <c r="E4">
        <v>20</v>
      </c>
      <c r="F4">
        <v>1</v>
      </c>
      <c r="G4">
        <v>4</v>
      </c>
      <c r="H4" t="s">
        <v>901</v>
      </c>
      <c r="I4" t="s">
        <v>146</v>
      </c>
      <c r="J4" t="s">
        <v>236</v>
      </c>
      <c r="K4" t="s">
        <v>1020</v>
      </c>
      <c r="L4" t="s">
        <v>1018</v>
      </c>
      <c r="M4" t="s">
        <v>86</v>
      </c>
      <c r="N4" t="s">
        <v>930</v>
      </c>
    </row>
    <row r="5" spans="1:14">
      <c r="A5" t="s">
        <v>933</v>
      </c>
      <c r="B5" t="s">
        <v>907</v>
      </c>
      <c r="C5" t="s">
        <v>935</v>
      </c>
      <c r="D5" t="s">
        <v>935</v>
      </c>
      <c r="E5">
        <v>20</v>
      </c>
      <c r="F5">
        <v>2</v>
      </c>
      <c r="G5">
        <v>5</v>
      </c>
      <c r="H5" t="s">
        <v>909</v>
      </c>
      <c r="I5" t="s">
        <v>146</v>
      </c>
      <c r="J5" t="s">
        <v>181</v>
      </c>
      <c r="K5" t="s">
        <v>1021</v>
      </c>
      <c r="L5" t="s">
        <v>1018</v>
      </c>
      <c r="M5" t="s">
        <v>86</v>
      </c>
      <c r="N5" t="s">
        <v>930</v>
      </c>
    </row>
    <row r="6" spans="1:14">
      <c r="A6" t="s">
        <v>933</v>
      </c>
      <c r="B6" t="s">
        <v>914</v>
      </c>
      <c r="C6" t="s">
        <v>915</v>
      </c>
      <c r="D6" t="s">
        <v>915</v>
      </c>
      <c r="E6">
        <v>20</v>
      </c>
      <c r="F6">
        <v>1</v>
      </c>
      <c r="G6">
        <v>6</v>
      </c>
      <c r="H6" t="s">
        <v>916</v>
      </c>
      <c r="I6" t="s">
        <v>146</v>
      </c>
      <c r="J6" t="s">
        <v>870</v>
      </c>
      <c r="K6" t="s">
        <v>1022</v>
      </c>
      <c r="L6" t="s">
        <v>1018</v>
      </c>
      <c r="M6" t="s">
        <v>86</v>
      </c>
      <c r="N6" t="s">
        <v>930</v>
      </c>
    </row>
    <row r="7" spans="1:14">
      <c r="A7" t="s">
        <v>938</v>
      </c>
      <c r="B7" t="s">
        <v>170</v>
      </c>
      <c r="C7" t="s">
        <v>171</v>
      </c>
      <c r="D7" t="s">
        <v>171</v>
      </c>
      <c r="I7" t="s">
        <v>172</v>
      </c>
      <c r="K7" t="s">
        <v>1023</v>
      </c>
      <c r="L7" t="s">
        <v>1018</v>
      </c>
      <c r="M7" t="s">
        <v>86</v>
      </c>
      <c r="N7" t="s">
        <v>930</v>
      </c>
    </row>
    <row r="8" spans="1:14">
      <c r="A8" t="s">
        <v>938</v>
      </c>
      <c r="B8" t="s">
        <v>173</v>
      </c>
      <c r="C8" t="s">
        <v>904</v>
      </c>
      <c r="D8" t="s">
        <v>175</v>
      </c>
      <c r="E8">
        <v>20</v>
      </c>
      <c r="F8">
        <v>1</v>
      </c>
      <c r="G8">
        <v>4</v>
      </c>
      <c r="H8" t="s">
        <v>178</v>
      </c>
      <c r="I8" t="s">
        <v>146</v>
      </c>
      <c r="J8" t="s">
        <v>181</v>
      </c>
      <c r="K8" t="s">
        <v>1024</v>
      </c>
      <c r="L8" t="s">
        <v>1018</v>
      </c>
      <c r="M8" t="s">
        <v>86</v>
      </c>
      <c r="N8" t="s">
        <v>930</v>
      </c>
    </row>
    <row r="9" spans="1:14">
      <c r="A9" t="s">
        <v>938</v>
      </c>
      <c r="B9" t="s">
        <v>229</v>
      </c>
      <c r="C9" t="s">
        <v>231</v>
      </c>
      <c r="D9" t="s">
        <v>231</v>
      </c>
      <c r="E9">
        <v>20</v>
      </c>
      <c r="F9">
        <v>2</v>
      </c>
      <c r="G9">
        <v>4</v>
      </c>
      <c r="H9" t="s">
        <v>233</v>
      </c>
      <c r="I9" t="s">
        <v>146</v>
      </c>
      <c r="J9" t="s">
        <v>236</v>
      </c>
      <c r="K9" t="s">
        <v>1025</v>
      </c>
      <c r="L9" t="s">
        <v>1018</v>
      </c>
      <c r="M9" t="s">
        <v>86</v>
      </c>
      <c r="N9" t="s">
        <v>930</v>
      </c>
    </row>
    <row r="10" spans="1:14">
      <c r="A10" t="s">
        <v>938</v>
      </c>
      <c r="B10" t="s">
        <v>905</v>
      </c>
      <c r="C10" t="s">
        <v>906</v>
      </c>
      <c r="D10" t="s">
        <v>82</v>
      </c>
      <c r="E10">
        <v>20</v>
      </c>
      <c r="F10">
        <v>1</v>
      </c>
      <c r="G10">
        <v>4</v>
      </c>
      <c r="H10" t="s">
        <v>84</v>
      </c>
      <c r="I10" t="s">
        <v>85</v>
      </c>
      <c r="J10" t="s">
        <v>86</v>
      </c>
      <c r="K10" t="s">
        <v>1026</v>
      </c>
      <c r="L10" t="s">
        <v>1018</v>
      </c>
      <c r="M10" t="s">
        <v>86</v>
      </c>
      <c r="N10" t="s">
        <v>930</v>
      </c>
    </row>
    <row r="11" spans="1:14">
      <c r="A11" t="s">
        <v>938</v>
      </c>
      <c r="B11" t="s">
        <v>140</v>
      </c>
      <c r="C11" t="s">
        <v>142</v>
      </c>
      <c r="D11" t="s">
        <v>142</v>
      </c>
      <c r="E11">
        <v>20</v>
      </c>
      <c r="F11">
        <v>2</v>
      </c>
      <c r="G11">
        <v>4</v>
      </c>
      <c r="H11" t="s">
        <v>145</v>
      </c>
      <c r="I11" t="s">
        <v>146</v>
      </c>
      <c r="J11" t="s">
        <v>86</v>
      </c>
      <c r="K11" t="s">
        <v>1027</v>
      </c>
      <c r="L11" t="s">
        <v>1018</v>
      </c>
      <c r="M11" t="s">
        <v>86</v>
      </c>
      <c r="N11" t="s">
        <v>930</v>
      </c>
    </row>
    <row r="12" spans="1:14">
      <c r="A12" t="s">
        <v>938</v>
      </c>
      <c r="B12" t="s">
        <v>278</v>
      </c>
      <c r="C12" t="s">
        <v>280</v>
      </c>
      <c r="D12" t="s">
        <v>280</v>
      </c>
      <c r="E12">
        <v>20</v>
      </c>
      <c r="F12">
        <v>2</v>
      </c>
      <c r="G12">
        <v>5</v>
      </c>
      <c r="H12" t="s">
        <v>282</v>
      </c>
      <c r="I12" t="s">
        <v>172</v>
      </c>
      <c r="J12" t="s">
        <v>181</v>
      </c>
      <c r="K12" t="s">
        <v>1028</v>
      </c>
      <c r="L12" t="s">
        <v>1018</v>
      </c>
      <c r="M12" t="s">
        <v>86</v>
      </c>
      <c r="N12" t="s">
        <v>930</v>
      </c>
    </row>
    <row r="13" spans="1:14">
      <c r="A13" t="s">
        <v>938</v>
      </c>
      <c r="B13" t="s">
        <v>312</v>
      </c>
      <c r="C13" t="s">
        <v>313</v>
      </c>
      <c r="D13" t="s">
        <v>313</v>
      </c>
      <c r="E13">
        <v>20</v>
      </c>
      <c r="F13">
        <v>2</v>
      </c>
      <c r="G13">
        <v>5</v>
      </c>
      <c r="H13" t="s">
        <v>316</v>
      </c>
      <c r="I13" t="s">
        <v>146</v>
      </c>
      <c r="J13" t="s">
        <v>236</v>
      </c>
      <c r="K13" t="s">
        <v>1029</v>
      </c>
      <c r="L13" t="s">
        <v>1018</v>
      </c>
      <c r="M13" t="s">
        <v>86</v>
      </c>
      <c r="N13" t="s">
        <v>930</v>
      </c>
    </row>
    <row r="14" spans="1:14">
      <c r="A14" t="s">
        <v>938</v>
      </c>
      <c r="B14" t="s">
        <v>360</v>
      </c>
      <c r="C14" t="s">
        <v>362</v>
      </c>
      <c r="D14" t="s">
        <v>362</v>
      </c>
      <c r="E14">
        <v>20</v>
      </c>
      <c r="F14">
        <v>1</v>
      </c>
      <c r="G14">
        <v>5</v>
      </c>
      <c r="I14" t="s">
        <v>85</v>
      </c>
      <c r="J14" t="s">
        <v>86</v>
      </c>
      <c r="K14" t="s">
        <v>1030</v>
      </c>
      <c r="L14" t="s">
        <v>1018</v>
      </c>
      <c r="M14" t="s">
        <v>86</v>
      </c>
      <c r="N14" t="s">
        <v>930</v>
      </c>
    </row>
    <row r="15" spans="1:14">
      <c r="A15" t="s">
        <v>938</v>
      </c>
      <c r="B15" t="s">
        <v>386</v>
      </c>
      <c r="C15" t="s">
        <v>388</v>
      </c>
      <c r="D15" t="s">
        <v>388</v>
      </c>
      <c r="E15">
        <v>20</v>
      </c>
      <c r="F15">
        <v>1</v>
      </c>
      <c r="G15">
        <v>5</v>
      </c>
      <c r="H15" t="s">
        <v>390</v>
      </c>
      <c r="I15" t="s">
        <v>146</v>
      </c>
      <c r="J15" t="s">
        <v>86</v>
      </c>
      <c r="K15" t="s">
        <v>1031</v>
      </c>
      <c r="L15" t="s">
        <v>1018</v>
      </c>
      <c r="M15" t="s">
        <v>86</v>
      </c>
      <c r="N15" t="s">
        <v>930</v>
      </c>
    </row>
    <row r="16" spans="1:14">
      <c r="A16" t="s">
        <v>938</v>
      </c>
      <c r="B16" t="s">
        <v>417</v>
      </c>
      <c r="C16" t="s">
        <v>910</v>
      </c>
      <c r="D16" t="s">
        <v>418</v>
      </c>
      <c r="G16">
        <v>5</v>
      </c>
      <c r="H16" t="s">
        <v>419</v>
      </c>
      <c r="I16" t="s">
        <v>146</v>
      </c>
      <c r="J16" t="s">
        <v>420</v>
      </c>
      <c r="K16" t="s">
        <v>1032</v>
      </c>
      <c r="L16" t="s">
        <v>1018</v>
      </c>
      <c r="M16" t="s">
        <v>86</v>
      </c>
      <c r="N16" t="s">
        <v>930</v>
      </c>
    </row>
    <row r="17" spans="1:14">
      <c r="A17" t="s">
        <v>938</v>
      </c>
      <c r="B17" t="s">
        <v>917</v>
      </c>
      <c r="C17" t="s">
        <v>918</v>
      </c>
      <c r="D17" t="s">
        <v>918</v>
      </c>
      <c r="E17">
        <v>40</v>
      </c>
      <c r="F17" t="s">
        <v>723</v>
      </c>
      <c r="G17">
        <v>6</v>
      </c>
      <c r="I17" t="s">
        <v>847</v>
      </c>
      <c r="J17" t="s">
        <v>181</v>
      </c>
      <c r="K17" t="s">
        <v>1033</v>
      </c>
      <c r="L17" t="s">
        <v>1018</v>
      </c>
      <c r="M17" t="s">
        <v>86</v>
      </c>
      <c r="N17" t="s">
        <v>930</v>
      </c>
    </row>
    <row r="18" spans="1:14">
      <c r="A18" t="s">
        <v>938</v>
      </c>
      <c r="B18" t="s">
        <v>742</v>
      </c>
      <c r="C18" t="s">
        <v>744</v>
      </c>
      <c r="D18" t="s">
        <v>744</v>
      </c>
      <c r="E18">
        <v>20</v>
      </c>
      <c r="F18">
        <v>1</v>
      </c>
      <c r="G18">
        <v>6</v>
      </c>
      <c r="H18" t="s">
        <v>746</v>
      </c>
      <c r="I18" t="s">
        <v>454</v>
      </c>
      <c r="J18" t="s">
        <v>747</v>
      </c>
      <c r="K18" t="s">
        <v>1034</v>
      </c>
      <c r="L18" t="s">
        <v>1018</v>
      </c>
      <c r="M18" t="s">
        <v>86</v>
      </c>
      <c r="N18" t="s">
        <v>930</v>
      </c>
    </row>
    <row r="19" spans="1:14">
      <c r="A19" t="s">
        <v>938</v>
      </c>
      <c r="B19" t="s">
        <v>777</v>
      </c>
      <c r="C19" t="s">
        <v>779</v>
      </c>
      <c r="D19" t="s">
        <v>779</v>
      </c>
      <c r="E19">
        <v>20</v>
      </c>
      <c r="F19">
        <v>1</v>
      </c>
      <c r="G19">
        <v>6</v>
      </c>
      <c r="H19" t="s">
        <v>781</v>
      </c>
      <c r="I19" t="s">
        <v>454</v>
      </c>
      <c r="J19" t="s">
        <v>747</v>
      </c>
      <c r="K19" t="s">
        <v>1035</v>
      </c>
      <c r="L19" t="s">
        <v>1018</v>
      </c>
      <c r="M19" t="s">
        <v>86</v>
      </c>
      <c r="N19" t="s">
        <v>930</v>
      </c>
    </row>
    <row r="20" spans="1:14">
      <c r="A20" t="s">
        <v>938</v>
      </c>
      <c r="B20" t="s">
        <v>804</v>
      </c>
      <c r="C20" t="s">
        <v>806</v>
      </c>
      <c r="D20" t="s">
        <v>806</v>
      </c>
      <c r="E20">
        <v>20</v>
      </c>
      <c r="F20">
        <v>1</v>
      </c>
      <c r="G20">
        <v>6</v>
      </c>
      <c r="H20" t="s">
        <v>808</v>
      </c>
      <c r="I20" t="s">
        <v>454</v>
      </c>
      <c r="J20" t="s">
        <v>747</v>
      </c>
      <c r="K20" t="s">
        <v>1036</v>
      </c>
      <c r="L20" t="s">
        <v>1018</v>
      </c>
      <c r="M20" t="s">
        <v>86</v>
      </c>
      <c r="N20" t="s">
        <v>930</v>
      </c>
    </row>
    <row r="21" spans="1:14">
      <c r="A21" t="s">
        <v>938</v>
      </c>
      <c r="B21" t="s">
        <v>448</v>
      </c>
      <c r="C21" t="s">
        <v>450</v>
      </c>
      <c r="D21" t="s">
        <v>450</v>
      </c>
      <c r="E21">
        <v>20</v>
      </c>
      <c r="F21">
        <v>1</v>
      </c>
      <c r="G21">
        <v>6</v>
      </c>
      <c r="H21" t="s">
        <v>452</v>
      </c>
      <c r="I21" t="s">
        <v>454</v>
      </c>
      <c r="J21" t="s">
        <v>86</v>
      </c>
      <c r="K21" t="s">
        <v>1037</v>
      </c>
      <c r="L21" t="s">
        <v>1018</v>
      </c>
      <c r="M21" t="s">
        <v>86</v>
      </c>
      <c r="N21" t="s">
        <v>930</v>
      </c>
    </row>
    <row r="22" spans="1:14">
      <c r="A22" t="s">
        <v>938</v>
      </c>
      <c r="B22" t="s">
        <v>463</v>
      </c>
      <c r="C22" t="s">
        <v>464</v>
      </c>
      <c r="D22" t="s">
        <v>464</v>
      </c>
      <c r="E22">
        <v>20</v>
      </c>
      <c r="F22">
        <v>1</v>
      </c>
      <c r="G22">
        <v>6</v>
      </c>
      <c r="H22" t="s">
        <v>467</v>
      </c>
      <c r="I22" t="s">
        <v>454</v>
      </c>
      <c r="J22" t="s">
        <v>86</v>
      </c>
      <c r="K22" t="s">
        <v>1038</v>
      </c>
      <c r="L22" t="s">
        <v>1018</v>
      </c>
      <c r="M22" t="s">
        <v>86</v>
      </c>
      <c r="N22" t="s">
        <v>930</v>
      </c>
    </row>
    <row r="23" spans="1:14">
      <c r="A23" t="s">
        <v>938</v>
      </c>
      <c r="B23" t="s">
        <v>508</v>
      </c>
      <c r="C23" t="s">
        <v>510</v>
      </c>
      <c r="D23" t="s">
        <v>510</v>
      </c>
      <c r="E23">
        <v>20</v>
      </c>
      <c r="F23">
        <v>1</v>
      </c>
      <c r="G23">
        <v>6</v>
      </c>
      <c r="H23" t="s">
        <v>512</v>
      </c>
      <c r="I23" t="s">
        <v>454</v>
      </c>
      <c r="J23" t="s">
        <v>86</v>
      </c>
      <c r="K23" t="s">
        <v>1039</v>
      </c>
      <c r="L23" t="s">
        <v>1018</v>
      </c>
      <c r="M23" t="s">
        <v>86</v>
      </c>
      <c r="N23" t="s">
        <v>930</v>
      </c>
    </row>
    <row r="24" spans="1:14">
      <c r="A24" t="s">
        <v>938</v>
      </c>
      <c r="B24" t="s">
        <v>548</v>
      </c>
      <c r="C24" t="s">
        <v>549</v>
      </c>
      <c r="D24" t="s">
        <v>549</v>
      </c>
      <c r="E24">
        <v>20</v>
      </c>
      <c r="F24">
        <v>1</v>
      </c>
      <c r="G24">
        <v>6</v>
      </c>
      <c r="H24" t="s">
        <v>550</v>
      </c>
      <c r="I24" t="s">
        <v>454</v>
      </c>
      <c r="J24" t="s">
        <v>86</v>
      </c>
      <c r="K24" t="s">
        <v>1040</v>
      </c>
      <c r="L24" t="s">
        <v>1018</v>
      </c>
      <c r="M24" t="s">
        <v>86</v>
      </c>
      <c r="N24" t="s">
        <v>930</v>
      </c>
    </row>
    <row r="25" spans="1:14">
      <c r="A25" t="s">
        <v>938</v>
      </c>
      <c r="B25" t="s">
        <v>579</v>
      </c>
      <c r="C25" t="s">
        <v>581</v>
      </c>
      <c r="D25" t="s">
        <v>581</v>
      </c>
      <c r="E25">
        <v>20</v>
      </c>
      <c r="F25">
        <v>2</v>
      </c>
      <c r="G25">
        <v>6</v>
      </c>
      <c r="H25" t="s">
        <v>584</v>
      </c>
      <c r="I25" t="s">
        <v>454</v>
      </c>
      <c r="J25" t="s">
        <v>420</v>
      </c>
      <c r="K25" t="s">
        <v>1041</v>
      </c>
      <c r="L25" t="s">
        <v>1018</v>
      </c>
      <c r="M25" t="s">
        <v>86</v>
      </c>
      <c r="N25" t="s">
        <v>930</v>
      </c>
    </row>
    <row r="26" spans="1:14">
      <c r="A26" t="s">
        <v>938</v>
      </c>
      <c r="B26" t="s">
        <v>619</v>
      </c>
      <c r="C26" t="s">
        <v>6</v>
      </c>
      <c r="D26" t="s">
        <v>6</v>
      </c>
      <c r="E26">
        <v>20</v>
      </c>
      <c r="F26">
        <v>2</v>
      </c>
      <c r="G26">
        <v>6</v>
      </c>
      <c r="H26" t="s">
        <v>622</v>
      </c>
      <c r="I26" t="s">
        <v>454</v>
      </c>
      <c r="J26" t="s">
        <v>86</v>
      </c>
      <c r="K26" t="s">
        <v>1042</v>
      </c>
      <c r="L26" t="s">
        <v>1018</v>
      </c>
      <c r="M26" t="s">
        <v>86</v>
      </c>
      <c r="N26" t="s">
        <v>930</v>
      </c>
    </row>
    <row r="27" spans="1:14">
      <c r="A27" t="s">
        <v>938</v>
      </c>
      <c r="B27" t="s">
        <v>649</v>
      </c>
      <c r="C27" t="s">
        <v>650</v>
      </c>
      <c r="D27" t="s">
        <v>650</v>
      </c>
      <c r="E27">
        <v>20</v>
      </c>
      <c r="F27">
        <v>2</v>
      </c>
      <c r="G27">
        <v>6</v>
      </c>
      <c r="H27" t="s">
        <v>653</v>
      </c>
      <c r="I27" t="s">
        <v>454</v>
      </c>
      <c r="J27" t="s">
        <v>86</v>
      </c>
      <c r="K27" t="s">
        <v>1043</v>
      </c>
      <c r="L27" t="s">
        <v>1018</v>
      </c>
      <c r="M27" t="s">
        <v>86</v>
      </c>
      <c r="N27" t="s">
        <v>930</v>
      </c>
    </row>
    <row r="28" spans="1:14">
      <c r="A28" t="s">
        <v>938</v>
      </c>
      <c r="B28" t="s">
        <v>686</v>
      </c>
      <c r="C28" t="s">
        <v>688</v>
      </c>
      <c r="D28" t="s">
        <v>688</v>
      </c>
      <c r="I28" t="s">
        <v>454</v>
      </c>
      <c r="K28" t="s">
        <v>1044</v>
      </c>
      <c r="L28" t="s">
        <v>1018</v>
      </c>
      <c r="M28" t="s">
        <v>86</v>
      </c>
      <c r="N28" t="s">
        <v>930</v>
      </c>
    </row>
    <row r="29" spans="1:14">
      <c r="A29" t="s">
        <v>938</v>
      </c>
      <c r="B29" t="s">
        <v>720</v>
      </c>
      <c r="C29" t="s">
        <v>920</v>
      </c>
      <c r="D29" t="s">
        <v>722</v>
      </c>
      <c r="E29">
        <v>20</v>
      </c>
      <c r="F29" t="s">
        <v>723</v>
      </c>
      <c r="G29">
        <v>6</v>
      </c>
      <c r="H29" t="s">
        <v>725</v>
      </c>
      <c r="I29" t="s">
        <v>85</v>
      </c>
      <c r="J29" t="s">
        <v>86</v>
      </c>
      <c r="K29" t="s">
        <v>1045</v>
      </c>
      <c r="L29" t="s">
        <v>1018</v>
      </c>
      <c r="M29" t="s">
        <v>86</v>
      </c>
      <c r="N29" t="s">
        <v>930</v>
      </c>
    </row>
  </sheetData>
  <pageMargins left="0.7" right="0.7" top="0.75" bottom="0.75" header="0.3" footer="0.3"/>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D1138-D14A-45A0-8E10-7F4B452464FD}">
  <sheetPr codeName="Sheet33"/>
  <dimension ref="A1:K286"/>
  <sheetViews>
    <sheetView workbookViewId="0">
      <selection sqref="A1:K286"/>
    </sheetView>
  </sheetViews>
  <sheetFormatPr defaultColWidth="8.85546875" defaultRowHeight="15"/>
  <cols>
    <col min="1" max="1" width="49" bestFit="1" customWidth="1"/>
    <col min="2" max="2" width="16.85546875" bestFit="1" customWidth="1"/>
    <col min="3" max="3" width="17.42578125" bestFit="1" customWidth="1"/>
    <col min="4" max="4" width="13.42578125" bestFit="1" customWidth="1"/>
    <col min="5" max="5" width="42.42578125" bestFit="1" customWidth="1"/>
    <col min="6" max="6" width="38" bestFit="1" customWidth="1"/>
    <col min="7" max="7" width="14.85546875" bestFit="1" customWidth="1"/>
    <col min="8" max="8" width="12.7109375" bestFit="1" customWidth="1"/>
    <col min="9" max="9" width="24.5703125" bestFit="1" customWidth="1"/>
    <col min="10" max="10" width="12.140625" bestFit="1" customWidth="1"/>
    <col min="11" max="11" width="65.5703125" bestFit="1" customWidth="1"/>
  </cols>
  <sheetData>
    <row r="1" spans="1:11">
      <c r="A1" t="s">
        <v>924</v>
      </c>
      <c r="B1" t="s">
        <v>926</v>
      </c>
      <c r="C1" t="s">
        <v>34</v>
      </c>
      <c r="D1" t="s">
        <v>26</v>
      </c>
      <c r="E1" t="s">
        <v>48</v>
      </c>
      <c r="F1" t="s">
        <v>49</v>
      </c>
      <c r="G1" t="s">
        <v>893</v>
      </c>
      <c r="H1" t="s">
        <v>1016</v>
      </c>
      <c r="I1" t="s">
        <v>925</v>
      </c>
      <c r="J1" t="s">
        <v>927</v>
      </c>
      <c r="K1" t="s">
        <v>894</v>
      </c>
    </row>
    <row r="2" spans="1:11">
      <c r="A2" t="s">
        <v>938</v>
      </c>
      <c r="B2" t="s">
        <v>1046</v>
      </c>
      <c r="C2" t="s">
        <v>40</v>
      </c>
      <c r="D2" t="s">
        <v>28</v>
      </c>
      <c r="E2" t="s">
        <v>99</v>
      </c>
      <c r="F2" t="s">
        <v>100</v>
      </c>
      <c r="G2" t="s">
        <v>905</v>
      </c>
      <c r="H2" t="s">
        <v>1047</v>
      </c>
      <c r="I2" t="s">
        <v>86</v>
      </c>
      <c r="J2" t="s">
        <v>930</v>
      </c>
      <c r="K2" t="s">
        <v>906</v>
      </c>
    </row>
    <row r="3" spans="1:11">
      <c r="A3" t="s">
        <v>938</v>
      </c>
      <c r="B3" t="s">
        <v>1046</v>
      </c>
      <c r="C3" t="s">
        <v>40</v>
      </c>
      <c r="D3" t="s">
        <v>28</v>
      </c>
      <c r="E3" t="s">
        <v>101</v>
      </c>
      <c r="F3" t="s">
        <v>102</v>
      </c>
      <c r="G3" t="s">
        <v>905</v>
      </c>
      <c r="H3" t="s">
        <v>1047</v>
      </c>
      <c r="I3" t="s">
        <v>86</v>
      </c>
      <c r="J3" t="s">
        <v>930</v>
      </c>
      <c r="K3" t="s">
        <v>906</v>
      </c>
    </row>
    <row r="4" spans="1:11">
      <c r="A4" t="s">
        <v>938</v>
      </c>
      <c r="B4" t="s">
        <v>1046</v>
      </c>
      <c r="C4" t="s">
        <v>40</v>
      </c>
      <c r="D4" t="s">
        <v>28</v>
      </c>
      <c r="E4" t="s">
        <v>55</v>
      </c>
      <c r="F4" t="s">
        <v>56</v>
      </c>
      <c r="G4" t="s">
        <v>905</v>
      </c>
      <c r="H4" t="s">
        <v>1047</v>
      </c>
      <c r="I4" t="s">
        <v>86</v>
      </c>
      <c r="J4" t="s">
        <v>930</v>
      </c>
      <c r="K4" t="s">
        <v>906</v>
      </c>
    </row>
    <row r="5" spans="1:11">
      <c r="A5" t="s">
        <v>938</v>
      </c>
      <c r="B5" t="s">
        <v>1046</v>
      </c>
      <c r="C5" t="s">
        <v>44</v>
      </c>
      <c r="D5" t="s">
        <v>29</v>
      </c>
      <c r="E5" t="s">
        <v>55</v>
      </c>
      <c r="F5" t="s">
        <v>103</v>
      </c>
      <c r="G5" t="s">
        <v>905</v>
      </c>
      <c r="H5" t="s">
        <v>1047</v>
      </c>
      <c r="I5" t="s">
        <v>86</v>
      </c>
      <c r="J5" t="s">
        <v>930</v>
      </c>
      <c r="K5" t="s">
        <v>906</v>
      </c>
    </row>
    <row r="6" spans="1:11">
      <c r="A6" t="s">
        <v>938</v>
      </c>
      <c r="B6" t="s">
        <v>1046</v>
      </c>
      <c r="C6" t="s">
        <v>44</v>
      </c>
      <c r="D6" t="s">
        <v>30</v>
      </c>
      <c r="E6" t="s">
        <v>99</v>
      </c>
      <c r="F6" t="s">
        <v>104</v>
      </c>
      <c r="G6" t="s">
        <v>905</v>
      </c>
      <c r="H6" t="s">
        <v>1047</v>
      </c>
      <c r="I6" t="s">
        <v>86</v>
      </c>
      <c r="J6" t="s">
        <v>930</v>
      </c>
      <c r="K6" t="s">
        <v>906</v>
      </c>
    </row>
    <row r="7" spans="1:11">
      <c r="A7" t="s">
        <v>938</v>
      </c>
      <c r="B7" t="s">
        <v>1046</v>
      </c>
      <c r="C7" t="s">
        <v>44</v>
      </c>
      <c r="D7" t="s">
        <v>30</v>
      </c>
      <c r="E7" t="s">
        <v>105</v>
      </c>
      <c r="F7" t="s">
        <v>106</v>
      </c>
      <c r="G7" t="s">
        <v>905</v>
      </c>
      <c r="H7" t="s">
        <v>1047</v>
      </c>
      <c r="I7" t="s">
        <v>86</v>
      </c>
      <c r="J7" t="s">
        <v>930</v>
      </c>
      <c r="K7" t="s">
        <v>906</v>
      </c>
    </row>
    <row r="8" spans="1:11">
      <c r="A8" t="s">
        <v>938</v>
      </c>
      <c r="B8" t="s">
        <v>1048</v>
      </c>
      <c r="C8" t="s">
        <v>40</v>
      </c>
      <c r="D8" t="s">
        <v>28</v>
      </c>
      <c r="E8" t="s">
        <v>50</v>
      </c>
      <c r="F8" t="s">
        <v>51</v>
      </c>
      <c r="G8" t="s">
        <v>140</v>
      </c>
      <c r="H8" t="s">
        <v>1047</v>
      </c>
      <c r="I8" t="s">
        <v>86</v>
      </c>
      <c r="J8" t="s">
        <v>930</v>
      </c>
      <c r="K8" t="s">
        <v>142</v>
      </c>
    </row>
    <row r="9" spans="1:11">
      <c r="A9" t="s">
        <v>938</v>
      </c>
      <c r="B9" t="s">
        <v>1048</v>
      </c>
      <c r="C9" t="s">
        <v>40</v>
      </c>
      <c r="D9" t="s">
        <v>28</v>
      </c>
      <c r="E9" t="s">
        <v>50</v>
      </c>
      <c r="F9" t="s">
        <v>52</v>
      </c>
      <c r="G9" t="s">
        <v>140</v>
      </c>
      <c r="H9" t="s">
        <v>1047</v>
      </c>
      <c r="I9" t="s">
        <v>86</v>
      </c>
      <c r="J9" t="s">
        <v>930</v>
      </c>
      <c r="K9" t="s">
        <v>142</v>
      </c>
    </row>
    <row r="10" spans="1:11">
      <c r="A10" t="s">
        <v>938</v>
      </c>
      <c r="B10" t="s">
        <v>1048</v>
      </c>
      <c r="C10" t="s">
        <v>40</v>
      </c>
      <c r="D10" t="s">
        <v>29</v>
      </c>
      <c r="E10" t="s">
        <v>50</v>
      </c>
      <c r="F10" t="s">
        <v>51</v>
      </c>
      <c r="G10" t="s">
        <v>140</v>
      </c>
      <c r="H10" t="s">
        <v>1047</v>
      </c>
      <c r="I10" t="s">
        <v>86</v>
      </c>
      <c r="J10" t="s">
        <v>930</v>
      </c>
      <c r="K10" t="s">
        <v>142</v>
      </c>
    </row>
    <row r="11" spans="1:11">
      <c r="A11" t="s">
        <v>938</v>
      </c>
      <c r="B11" t="s">
        <v>1048</v>
      </c>
      <c r="C11" t="s">
        <v>44</v>
      </c>
      <c r="D11" t="s">
        <v>29</v>
      </c>
      <c r="E11" t="s">
        <v>57</v>
      </c>
      <c r="F11" t="s">
        <v>56</v>
      </c>
      <c r="G11" t="s">
        <v>140</v>
      </c>
      <c r="H11" t="s">
        <v>1047</v>
      </c>
      <c r="I11" t="s">
        <v>86</v>
      </c>
      <c r="J11" t="s">
        <v>930</v>
      </c>
      <c r="K11" t="s">
        <v>142</v>
      </c>
    </row>
    <row r="12" spans="1:11">
      <c r="A12" t="s">
        <v>938</v>
      </c>
      <c r="B12" t="s">
        <v>1048</v>
      </c>
      <c r="C12" t="s">
        <v>44</v>
      </c>
      <c r="D12" t="s">
        <v>29</v>
      </c>
      <c r="E12" t="s">
        <v>57</v>
      </c>
      <c r="F12" t="s">
        <v>58</v>
      </c>
      <c r="G12" t="s">
        <v>140</v>
      </c>
      <c r="H12" t="s">
        <v>1047</v>
      </c>
      <c r="I12" t="s">
        <v>86</v>
      </c>
      <c r="J12" t="s">
        <v>930</v>
      </c>
      <c r="K12" t="s">
        <v>142</v>
      </c>
    </row>
    <row r="13" spans="1:11">
      <c r="A13" t="s">
        <v>938</v>
      </c>
      <c r="B13" t="s">
        <v>1048</v>
      </c>
      <c r="C13" t="s">
        <v>44</v>
      </c>
      <c r="D13" t="s">
        <v>29</v>
      </c>
      <c r="E13" t="s">
        <v>53</v>
      </c>
      <c r="F13" t="s">
        <v>154</v>
      </c>
      <c r="G13" t="s">
        <v>140</v>
      </c>
      <c r="H13" t="s">
        <v>1047</v>
      </c>
      <c r="I13" t="s">
        <v>86</v>
      </c>
      <c r="J13" t="s">
        <v>930</v>
      </c>
      <c r="K13" t="s">
        <v>142</v>
      </c>
    </row>
    <row r="14" spans="1:11">
      <c r="A14" t="s">
        <v>938</v>
      </c>
      <c r="B14" t="s">
        <v>1048</v>
      </c>
      <c r="C14" t="s">
        <v>45</v>
      </c>
      <c r="D14" t="s">
        <v>29</v>
      </c>
      <c r="E14" t="s">
        <v>155</v>
      </c>
      <c r="F14" t="s">
        <v>156</v>
      </c>
      <c r="G14" t="s">
        <v>140</v>
      </c>
      <c r="H14" t="s">
        <v>1047</v>
      </c>
      <c r="I14" t="s">
        <v>86</v>
      </c>
      <c r="J14" t="s">
        <v>930</v>
      </c>
      <c r="K14" t="s">
        <v>142</v>
      </c>
    </row>
    <row r="15" spans="1:11">
      <c r="A15" t="s">
        <v>938</v>
      </c>
      <c r="B15" t="s">
        <v>1048</v>
      </c>
      <c r="C15" t="s">
        <v>45</v>
      </c>
      <c r="D15" t="s">
        <v>29</v>
      </c>
      <c r="E15" t="s">
        <v>155</v>
      </c>
      <c r="F15" t="s">
        <v>157</v>
      </c>
      <c r="G15" t="s">
        <v>140</v>
      </c>
      <c r="H15" t="s">
        <v>1047</v>
      </c>
      <c r="I15" t="s">
        <v>86</v>
      </c>
      <c r="J15" t="s">
        <v>930</v>
      </c>
      <c r="K15" t="s">
        <v>142</v>
      </c>
    </row>
    <row r="16" spans="1:11">
      <c r="A16" t="s">
        <v>938</v>
      </c>
      <c r="B16" t="s">
        <v>1048</v>
      </c>
      <c r="C16" t="s">
        <v>45</v>
      </c>
      <c r="D16" t="s">
        <v>29</v>
      </c>
      <c r="E16" t="s">
        <v>55</v>
      </c>
      <c r="F16" t="s">
        <v>56</v>
      </c>
      <c r="G16" t="s">
        <v>140</v>
      </c>
      <c r="H16" t="s">
        <v>1047</v>
      </c>
      <c r="I16" t="s">
        <v>86</v>
      </c>
      <c r="J16" t="s">
        <v>930</v>
      </c>
      <c r="K16" t="s">
        <v>142</v>
      </c>
    </row>
    <row r="17" spans="1:11">
      <c r="A17" t="s">
        <v>938</v>
      </c>
      <c r="B17" t="s">
        <v>1048</v>
      </c>
      <c r="C17" t="s">
        <v>46</v>
      </c>
      <c r="D17" t="s">
        <v>29</v>
      </c>
      <c r="E17" t="s">
        <v>105</v>
      </c>
      <c r="G17" t="s">
        <v>140</v>
      </c>
      <c r="H17" t="s">
        <v>1047</v>
      </c>
      <c r="I17" t="s">
        <v>86</v>
      </c>
      <c r="J17" t="s">
        <v>930</v>
      </c>
      <c r="K17" t="s">
        <v>142</v>
      </c>
    </row>
    <row r="18" spans="1:11">
      <c r="A18" t="s">
        <v>938</v>
      </c>
      <c r="B18" t="s">
        <v>1048</v>
      </c>
      <c r="C18" t="s">
        <v>46</v>
      </c>
      <c r="D18" t="s">
        <v>29</v>
      </c>
      <c r="E18" t="s">
        <v>99</v>
      </c>
      <c r="F18" t="s">
        <v>100</v>
      </c>
      <c r="G18" t="s">
        <v>140</v>
      </c>
      <c r="H18" t="s">
        <v>1047</v>
      </c>
      <c r="I18" t="s">
        <v>86</v>
      </c>
      <c r="J18" t="s">
        <v>930</v>
      </c>
      <c r="K18" t="s">
        <v>142</v>
      </c>
    </row>
    <row r="19" spans="1:11">
      <c r="A19" t="s">
        <v>938</v>
      </c>
      <c r="B19" t="s">
        <v>1049</v>
      </c>
      <c r="C19" t="s">
        <v>40</v>
      </c>
      <c r="D19" t="s">
        <v>28</v>
      </c>
      <c r="E19" t="s">
        <v>50</v>
      </c>
      <c r="F19" t="s">
        <v>51</v>
      </c>
      <c r="G19" t="s">
        <v>170</v>
      </c>
      <c r="H19" t="s">
        <v>1047</v>
      </c>
      <c r="I19" t="s">
        <v>86</v>
      </c>
      <c r="J19" t="s">
        <v>930</v>
      </c>
      <c r="K19" t="s">
        <v>171</v>
      </c>
    </row>
    <row r="20" spans="1:11">
      <c r="A20" t="s">
        <v>938</v>
      </c>
      <c r="B20" t="s">
        <v>1049</v>
      </c>
      <c r="C20" t="s">
        <v>40</v>
      </c>
      <c r="D20" t="s">
        <v>28</v>
      </c>
      <c r="E20" t="s">
        <v>50</v>
      </c>
      <c r="F20" t="s">
        <v>52</v>
      </c>
      <c r="G20" t="s">
        <v>170</v>
      </c>
      <c r="H20" t="s">
        <v>1047</v>
      </c>
      <c r="I20" t="s">
        <v>86</v>
      </c>
      <c r="J20" t="s">
        <v>930</v>
      </c>
      <c r="K20" t="s">
        <v>171</v>
      </c>
    </row>
    <row r="21" spans="1:11">
      <c r="A21" t="s">
        <v>938</v>
      </c>
      <c r="B21" t="s">
        <v>1049</v>
      </c>
      <c r="C21" t="s">
        <v>40</v>
      </c>
      <c r="D21" t="s">
        <v>29</v>
      </c>
      <c r="E21" t="s">
        <v>50</v>
      </c>
      <c r="F21" t="s">
        <v>51</v>
      </c>
      <c r="G21" t="s">
        <v>170</v>
      </c>
      <c r="H21" t="s">
        <v>1047</v>
      </c>
      <c r="I21" t="s">
        <v>86</v>
      </c>
      <c r="J21" t="s">
        <v>930</v>
      </c>
      <c r="K21" t="s">
        <v>171</v>
      </c>
    </row>
    <row r="22" spans="1:11">
      <c r="A22" t="s">
        <v>938</v>
      </c>
      <c r="B22" t="s">
        <v>1049</v>
      </c>
      <c r="C22" t="s">
        <v>44</v>
      </c>
      <c r="D22" t="s">
        <v>29</v>
      </c>
      <c r="E22" t="s">
        <v>57</v>
      </c>
      <c r="F22" t="s">
        <v>56</v>
      </c>
      <c r="G22" t="s">
        <v>170</v>
      </c>
      <c r="H22" t="s">
        <v>1047</v>
      </c>
      <c r="I22" t="s">
        <v>86</v>
      </c>
      <c r="J22" t="s">
        <v>930</v>
      </c>
      <c r="K22" t="s">
        <v>171</v>
      </c>
    </row>
    <row r="23" spans="1:11">
      <c r="A23" t="s">
        <v>938</v>
      </c>
      <c r="B23" t="s">
        <v>1049</v>
      </c>
      <c r="C23" t="s">
        <v>44</v>
      </c>
      <c r="D23" t="s">
        <v>29</v>
      </c>
      <c r="E23" t="s">
        <v>57</v>
      </c>
      <c r="F23" t="s">
        <v>58</v>
      </c>
      <c r="G23" t="s">
        <v>170</v>
      </c>
      <c r="H23" t="s">
        <v>1047</v>
      </c>
      <c r="I23" t="s">
        <v>86</v>
      </c>
      <c r="J23" t="s">
        <v>930</v>
      </c>
      <c r="K23" t="s">
        <v>171</v>
      </c>
    </row>
    <row r="24" spans="1:11">
      <c r="A24" t="s">
        <v>938</v>
      </c>
      <c r="B24" t="s">
        <v>1049</v>
      </c>
      <c r="C24" t="s">
        <v>44</v>
      </c>
      <c r="D24" t="s">
        <v>29</v>
      </c>
      <c r="E24" t="s">
        <v>53</v>
      </c>
      <c r="F24" t="s">
        <v>154</v>
      </c>
      <c r="G24" t="s">
        <v>170</v>
      </c>
      <c r="H24" t="s">
        <v>1047</v>
      </c>
      <c r="I24" t="s">
        <v>86</v>
      </c>
      <c r="J24" t="s">
        <v>930</v>
      </c>
      <c r="K24" t="s">
        <v>171</v>
      </c>
    </row>
    <row r="25" spans="1:11">
      <c r="A25" t="s">
        <v>938</v>
      </c>
      <c r="B25" t="s">
        <v>1049</v>
      </c>
      <c r="C25" t="s">
        <v>45</v>
      </c>
      <c r="D25" t="s">
        <v>29</v>
      </c>
      <c r="E25" t="s">
        <v>155</v>
      </c>
      <c r="F25" t="s">
        <v>156</v>
      </c>
      <c r="G25" t="s">
        <v>170</v>
      </c>
      <c r="H25" t="s">
        <v>1047</v>
      </c>
      <c r="I25" t="s">
        <v>86</v>
      </c>
      <c r="J25" t="s">
        <v>930</v>
      </c>
      <c r="K25" t="s">
        <v>171</v>
      </c>
    </row>
    <row r="26" spans="1:11">
      <c r="A26" t="s">
        <v>938</v>
      </c>
      <c r="B26" t="s">
        <v>1049</v>
      </c>
      <c r="C26" t="s">
        <v>45</v>
      </c>
      <c r="D26" t="s">
        <v>29</v>
      </c>
      <c r="E26" t="s">
        <v>155</v>
      </c>
      <c r="F26" t="s">
        <v>157</v>
      </c>
      <c r="G26" t="s">
        <v>170</v>
      </c>
      <c r="H26" t="s">
        <v>1047</v>
      </c>
      <c r="I26" t="s">
        <v>86</v>
      </c>
      <c r="J26" t="s">
        <v>930</v>
      </c>
      <c r="K26" t="s">
        <v>171</v>
      </c>
    </row>
    <row r="27" spans="1:11">
      <c r="A27" t="s">
        <v>938</v>
      </c>
      <c r="B27" t="s">
        <v>1049</v>
      </c>
      <c r="C27" t="s">
        <v>45</v>
      </c>
      <c r="D27" t="s">
        <v>29</v>
      </c>
      <c r="E27" t="s">
        <v>55</v>
      </c>
      <c r="F27" t="s">
        <v>56</v>
      </c>
      <c r="G27" t="s">
        <v>170</v>
      </c>
      <c r="H27" t="s">
        <v>1047</v>
      </c>
      <c r="I27" t="s">
        <v>86</v>
      </c>
      <c r="J27" t="s">
        <v>930</v>
      </c>
      <c r="K27" t="s">
        <v>171</v>
      </c>
    </row>
    <row r="28" spans="1:11">
      <c r="A28" t="s">
        <v>938</v>
      </c>
      <c r="B28" t="s">
        <v>1049</v>
      </c>
      <c r="C28" t="s">
        <v>46</v>
      </c>
      <c r="D28" t="s">
        <v>29</v>
      </c>
      <c r="E28" t="s">
        <v>105</v>
      </c>
      <c r="G28" t="s">
        <v>170</v>
      </c>
      <c r="H28" t="s">
        <v>1047</v>
      </c>
      <c r="I28" t="s">
        <v>86</v>
      </c>
      <c r="J28" t="s">
        <v>930</v>
      </c>
      <c r="K28" t="s">
        <v>171</v>
      </c>
    </row>
    <row r="29" spans="1:11">
      <c r="A29" t="s">
        <v>938</v>
      </c>
      <c r="B29" t="s">
        <v>1049</v>
      </c>
      <c r="C29" t="s">
        <v>46</v>
      </c>
      <c r="D29" t="s">
        <v>29</v>
      </c>
      <c r="E29" t="s">
        <v>99</v>
      </c>
      <c r="F29" t="s">
        <v>100</v>
      </c>
      <c r="G29" t="s">
        <v>170</v>
      </c>
      <c r="H29" t="s">
        <v>1047</v>
      </c>
      <c r="I29" t="s">
        <v>86</v>
      </c>
      <c r="J29" t="s">
        <v>930</v>
      </c>
      <c r="K29" t="s">
        <v>171</v>
      </c>
    </row>
    <row r="30" spans="1:11">
      <c r="A30" t="s">
        <v>938</v>
      </c>
      <c r="B30" t="s">
        <v>1050</v>
      </c>
      <c r="C30" t="s">
        <v>40</v>
      </c>
      <c r="D30" t="s">
        <v>28</v>
      </c>
      <c r="E30" t="s">
        <v>50</v>
      </c>
      <c r="F30" t="s">
        <v>52</v>
      </c>
      <c r="G30" t="s">
        <v>173</v>
      </c>
      <c r="H30" t="s">
        <v>1047</v>
      </c>
      <c r="I30" t="s">
        <v>86</v>
      </c>
      <c r="J30" t="s">
        <v>930</v>
      </c>
      <c r="K30" t="s">
        <v>904</v>
      </c>
    </row>
    <row r="31" spans="1:11">
      <c r="A31" t="s">
        <v>938</v>
      </c>
      <c r="B31" t="s">
        <v>1050</v>
      </c>
      <c r="C31" t="s">
        <v>40</v>
      </c>
      <c r="D31" t="s">
        <v>28</v>
      </c>
      <c r="E31" t="s">
        <v>50</v>
      </c>
      <c r="F31" t="s">
        <v>189</v>
      </c>
      <c r="G31" t="s">
        <v>173</v>
      </c>
      <c r="H31" t="s">
        <v>1047</v>
      </c>
      <c r="I31" t="s">
        <v>86</v>
      </c>
      <c r="J31" t="s">
        <v>930</v>
      </c>
      <c r="K31" t="s">
        <v>904</v>
      </c>
    </row>
    <row r="32" spans="1:11">
      <c r="A32" t="s">
        <v>938</v>
      </c>
      <c r="B32" t="s">
        <v>1050</v>
      </c>
      <c r="C32" t="s">
        <v>40</v>
      </c>
      <c r="D32" t="s">
        <v>29</v>
      </c>
      <c r="E32" t="s">
        <v>57</v>
      </c>
      <c r="F32" t="s">
        <v>190</v>
      </c>
      <c r="G32" t="s">
        <v>173</v>
      </c>
      <c r="H32" t="s">
        <v>1047</v>
      </c>
      <c r="I32" t="s">
        <v>86</v>
      </c>
      <c r="J32" t="s">
        <v>930</v>
      </c>
      <c r="K32" t="s">
        <v>904</v>
      </c>
    </row>
    <row r="33" spans="1:11">
      <c r="A33" t="s">
        <v>938</v>
      </c>
      <c r="B33" t="s">
        <v>1050</v>
      </c>
      <c r="C33" t="s">
        <v>40</v>
      </c>
      <c r="D33" t="s">
        <v>29</v>
      </c>
      <c r="E33" t="s">
        <v>155</v>
      </c>
      <c r="F33" t="s">
        <v>157</v>
      </c>
      <c r="G33" t="s">
        <v>173</v>
      </c>
      <c r="H33" t="s">
        <v>1047</v>
      </c>
      <c r="I33" t="s">
        <v>86</v>
      </c>
      <c r="J33" t="s">
        <v>930</v>
      </c>
      <c r="K33" t="s">
        <v>904</v>
      </c>
    </row>
    <row r="34" spans="1:11">
      <c r="A34" t="s">
        <v>938</v>
      </c>
      <c r="B34" t="s">
        <v>1050</v>
      </c>
      <c r="C34" t="s">
        <v>40</v>
      </c>
      <c r="D34" t="s">
        <v>29</v>
      </c>
      <c r="E34" t="s">
        <v>55</v>
      </c>
      <c r="F34" t="s">
        <v>191</v>
      </c>
      <c r="G34" t="s">
        <v>173</v>
      </c>
      <c r="H34" t="s">
        <v>1047</v>
      </c>
      <c r="I34" t="s">
        <v>86</v>
      </c>
      <c r="J34" t="s">
        <v>930</v>
      </c>
      <c r="K34" t="s">
        <v>904</v>
      </c>
    </row>
    <row r="35" spans="1:11">
      <c r="A35" t="s">
        <v>938</v>
      </c>
      <c r="B35" t="s">
        <v>1050</v>
      </c>
      <c r="C35" t="s">
        <v>40</v>
      </c>
      <c r="D35" t="s">
        <v>30</v>
      </c>
      <c r="E35" t="s">
        <v>99</v>
      </c>
      <c r="F35" t="s">
        <v>100</v>
      </c>
      <c r="G35" t="s">
        <v>173</v>
      </c>
      <c r="H35" t="s">
        <v>1047</v>
      </c>
      <c r="I35" t="s">
        <v>86</v>
      </c>
      <c r="J35" t="s">
        <v>930</v>
      </c>
      <c r="K35" t="s">
        <v>904</v>
      </c>
    </row>
    <row r="36" spans="1:11">
      <c r="A36" t="s">
        <v>938</v>
      </c>
      <c r="B36" t="s">
        <v>1050</v>
      </c>
      <c r="C36" t="s">
        <v>44</v>
      </c>
      <c r="D36" t="s">
        <v>28</v>
      </c>
      <c r="E36" t="s">
        <v>50</v>
      </c>
      <c r="F36" t="s">
        <v>52</v>
      </c>
      <c r="G36" t="s">
        <v>173</v>
      </c>
      <c r="H36" t="s">
        <v>1047</v>
      </c>
      <c r="I36" t="s">
        <v>86</v>
      </c>
      <c r="J36" t="s">
        <v>930</v>
      </c>
      <c r="K36" t="s">
        <v>904</v>
      </c>
    </row>
    <row r="37" spans="1:11">
      <c r="A37" t="s">
        <v>938</v>
      </c>
      <c r="B37" t="s">
        <v>1050</v>
      </c>
      <c r="C37" t="s">
        <v>44</v>
      </c>
      <c r="D37" t="s">
        <v>29</v>
      </c>
      <c r="E37" t="s">
        <v>50</v>
      </c>
      <c r="F37" t="s">
        <v>52</v>
      </c>
      <c r="G37" t="s">
        <v>173</v>
      </c>
      <c r="H37" t="s">
        <v>1047</v>
      </c>
      <c r="I37" t="s">
        <v>86</v>
      </c>
      <c r="J37" t="s">
        <v>930</v>
      </c>
      <c r="K37" t="s">
        <v>904</v>
      </c>
    </row>
    <row r="38" spans="1:11">
      <c r="A38" t="s">
        <v>938</v>
      </c>
      <c r="B38" t="s">
        <v>1050</v>
      </c>
      <c r="C38" t="s">
        <v>44</v>
      </c>
      <c r="D38" t="s">
        <v>29</v>
      </c>
      <c r="E38" t="s">
        <v>50</v>
      </c>
      <c r="F38" t="s">
        <v>189</v>
      </c>
      <c r="G38" t="s">
        <v>173</v>
      </c>
      <c r="H38" t="s">
        <v>1047</v>
      </c>
      <c r="I38" t="s">
        <v>86</v>
      </c>
      <c r="J38" t="s">
        <v>930</v>
      </c>
      <c r="K38" t="s">
        <v>904</v>
      </c>
    </row>
    <row r="39" spans="1:11">
      <c r="A39" t="s">
        <v>938</v>
      </c>
      <c r="B39" t="s">
        <v>1050</v>
      </c>
      <c r="C39" t="s">
        <v>44</v>
      </c>
      <c r="D39" t="s">
        <v>30</v>
      </c>
      <c r="E39" t="s">
        <v>53</v>
      </c>
      <c r="F39" t="s">
        <v>192</v>
      </c>
      <c r="G39" t="s">
        <v>173</v>
      </c>
      <c r="H39" t="s">
        <v>1047</v>
      </c>
      <c r="I39" t="s">
        <v>86</v>
      </c>
      <c r="J39" t="s">
        <v>930</v>
      </c>
      <c r="K39" t="s">
        <v>904</v>
      </c>
    </row>
    <row r="40" spans="1:11">
      <c r="A40" t="s">
        <v>938</v>
      </c>
      <c r="B40" t="s">
        <v>1051</v>
      </c>
      <c r="C40" t="s">
        <v>40</v>
      </c>
      <c r="D40" t="s">
        <v>28</v>
      </c>
      <c r="E40" t="s">
        <v>50</v>
      </c>
      <c r="F40" t="s">
        <v>51</v>
      </c>
      <c r="G40" t="s">
        <v>229</v>
      </c>
      <c r="H40" t="s">
        <v>1047</v>
      </c>
      <c r="I40" t="s">
        <v>86</v>
      </c>
      <c r="J40" t="s">
        <v>930</v>
      </c>
      <c r="K40" t="s">
        <v>231</v>
      </c>
    </row>
    <row r="41" spans="1:11">
      <c r="A41" t="s">
        <v>938</v>
      </c>
      <c r="B41" t="s">
        <v>1051</v>
      </c>
      <c r="C41" t="s">
        <v>40</v>
      </c>
      <c r="D41" t="s">
        <v>28</v>
      </c>
      <c r="E41" t="s">
        <v>53</v>
      </c>
      <c r="F41" t="s">
        <v>154</v>
      </c>
      <c r="G41" t="s">
        <v>229</v>
      </c>
      <c r="H41" t="s">
        <v>1047</v>
      </c>
      <c r="I41" t="s">
        <v>86</v>
      </c>
      <c r="J41" t="s">
        <v>930</v>
      </c>
      <c r="K41" t="s">
        <v>231</v>
      </c>
    </row>
    <row r="42" spans="1:11">
      <c r="A42" t="s">
        <v>938</v>
      </c>
      <c r="B42" t="s">
        <v>1051</v>
      </c>
      <c r="C42" t="s">
        <v>44</v>
      </c>
      <c r="D42" t="s">
        <v>29</v>
      </c>
      <c r="E42" t="s">
        <v>50</v>
      </c>
      <c r="F42" t="s">
        <v>246</v>
      </c>
      <c r="G42" t="s">
        <v>229</v>
      </c>
      <c r="H42" t="s">
        <v>1047</v>
      </c>
      <c r="I42" t="s">
        <v>86</v>
      </c>
      <c r="J42" t="s">
        <v>930</v>
      </c>
      <c r="K42" t="s">
        <v>231</v>
      </c>
    </row>
    <row r="43" spans="1:11">
      <c r="A43" t="s">
        <v>938</v>
      </c>
      <c r="B43" t="s">
        <v>1051</v>
      </c>
      <c r="C43" t="s">
        <v>44</v>
      </c>
      <c r="D43" t="s">
        <v>29</v>
      </c>
      <c r="E43" t="s">
        <v>55</v>
      </c>
      <c r="F43" t="s">
        <v>247</v>
      </c>
      <c r="G43" t="s">
        <v>229</v>
      </c>
      <c r="H43" t="s">
        <v>1047</v>
      </c>
      <c r="I43" t="s">
        <v>86</v>
      </c>
      <c r="J43" t="s">
        <v>930</v>
      </c>
      <c r="K43" t="s">
        <v>231</v>
      </c>
    </row>
    <row r="44" spans="1:11">
      <c r="A44" t="s">
        <v>938</v>
      </c>
      <c r="B44" t="s">
        <v>1051</v>
      </c>
      <c r="C44" t="s">
        <v>44</v>
      </c>
      <c r="D44" t="s">
        <v>29</v>
      </c>
      <c r="E44" t="s">
        <v>57</v>
      </c>
      <c r="F44" t="s">
        <v>190</v>
      </c>
      <c r="G44" t="s">
        <v>229</v>
      </c>
      <c r="H44" t="s">
        <v>1047</v>
      </c>
      <c r="I44" t="s">
        <v>86</v>
      </c>
      <c r="J44" t="s">
        <v>930</v>
      </c>
      <c r="K44" t="s">
        <v>231</v>
      </c>
    </row>
    <row r="45" spans="1:11">
      <c r="A45" t="s">
        <v>938</v>
      </c>
      <c r="B45" t="s">
        <v>1051</v>
      </c>
      <c r="C45" t="s">
        <v>44</v>
      </c>
      <c r="D45" t="s">
        <v>29</v>
      </c>
      <c r="E45" t="s">
        <v>53</v>
      </c>
      <c r="F45" t="s">
        <v>154</v>
      </c>
      <c r="G45" t="s">
        <v>229</v>
      </c>
      <c r="H45" t="s">
        <v>1047</v>
      </c>
      <c r="I45" t="s">
        <v>86</v>
      </c>
      <c r="J45" t="s">
        <v>930</v>
      </c>
      <c r="K45" t="s">
        <v>231</v>
      </c>
    </row>
    <row r="46" spans="1:11">
      <c r="A46" t="s">
        <v>938</v>
      </c>
      <c r="B46" t="s">
        <v>1051</v>
      </c>
      <c r="C46" t="s">
        <v>44</v>
      </c>
      <c r="D46" t="s">
        <v>29</v>
      </c>
      <c r="E46" t="s">
        <v>105</v>
      </c>
      <c r="F46" t="s">
        <v>248</v>
      </c>
      <c r="G46" t="s">
        <v>229</v>
      </c>
      <c r="H46" t="s">
        <v>1047</v>
      </c>
      <c r="I46" t="s">
        <v>86</v>
      </c>
      <c r="J46" t="s">
        <v>930</v>
      </c>
      <c r="K46" t="s">
        <v>231</v>
      </c>
    </row>
    <row r="47" spans="1:11">
      <c r="A47" t="s">
        <v>938</v>
      </c>
      <c r="B47" t="s">
        <v>1051</v>
      </c>
      <c r="C47" t="s">
        <v>44</v>
      </c>
      <c r="D47" t="s">
        <v>29</v>
      </c>
      <c r="E47" t="s">
        <v>105</v>
      </c>
      <c r="F47" t="s">
        <v>249</v>
      </c>
      <c r="G47" t="s">
        <v>229</v>
      </c>
      <c r="H47" t="s">
        <v>1047</v>
      </c>
      <c r="I47" t="s">
        <v>86</v>
      </c>
      <c r="J47" t="s">
        <v>930</v>
      </c>
      <c r="K47" t="s">
        <v>231</v>
      </c>
    </row>
    <row r="48" spans="1:11">
      <c r="A48" t="s">
        <v>938</v>
      </c>
      <c r="B48" t="s">
        <v>1051</v>
      </c>
      <c r="C48" t="s">
        <v>44</v>
      </c>
      <c r="D48" t="s">
        <v>29</v>
      </c>
      <c r="E48" t="s">
        <v>105</v>
      </c>
      <c r="F48" t="s">
        <v>250</v>
      </c>
      <c r="G48" t="s">
        <v>229</v>
      </c>
      <c r="H48" t="s">
        <v>1047</v>
      </c>
      <c r="I48" t="s">
        <v>86</v>
      </c>
      <c r="J48" t="s">
        <v>930</v>
      </c>
      <c r="K48" t="s">
        <v>231</v>
      </c>
    </row>
    <row r="49" spans="1:11">
      <c r="A49" t="s">
        <v>938</v>
      </c>
      <c r="B49" t="s">
        <v>1051</v>
      </c>
      <c r="C49" t="s">
        <v>44</v>
      </c>
      <c r="D49" t="s">
        <v>29</v>
      </c>
      <c r="E49" t="s">
        <v>105</v>
      </c>
      <c r="F49" t="s">
        <v>251</v>
      </c>
      <c r="G49" t="s">
        <v>229</v>
      </c>
      <c r="H49" t="s">
        <v>1047</v>
      </c>
      <c r="I49" t="s">
        <v>86</v>
      </c>
      <c r="J49" t="s">
        <v>930</v>
      </c>
      <c r="K49" t="s">
        <v>231</v>
      </c>
    </row>
    <row r="50" spans="1:11">
      <c r="A50" t="s">
        <v>938</v>
      </c>
      <c r="B50" t="s">
        <v>1051</v>
      </c>
      <c r="C50" t="s">
        <v>44</v>
      </c>
      <c r="D50" t="s">
        <v>29</v>
      </c>
      <c r="E50" t="s">
        <v>252</v>
      </c>
      <c r="F50" t="s">
        <v>253</v>
      </c>
      <c r="G50" t="s">
        <v>229</v>
      </c>
      <c r="H50" t="s">
        <v>1047</v>
      </c>
      <c r="I50" t="s">
        <v>86</v>
      </c>
      <c r="J50" t="s">
        <v>930</v>
      </c>
      <c r="K50" t="s">
        <v>231</v>
      </c>
    </row>
    <row r="51" spans="1:11">
      <c r="A51" t="s">
        <v>938</v>
      </c>
      <c r="B51" t="s">
        <v>1051</v>
      </c>
      <c r="C51" t="s">
        <v>44</v>
      </c>
      <c r="D51" t="s">
        <v>30</v>
      </c>
      <c r="E51" t="s">
        <v>50</v>
      </c>
      <c r="F51" t="s">
        <v>246</v>
      </c>
      <c r="G51" t="s">
        <v>229</v>
      </c>
      <c r="H51" t="s">
        <v>1047</v>
      </c>
      <c r="I51" t="s">
        <v>86</v>
      </c>
      <c r="J51" t="s">
        <v>930</v>
      </c>
      <c r="K51" t="s">
        <v>231</v>
      </c>
    </row>
    <row r="52" spans="1:11">
      <c r="A52" t="s">
        <v>938</v>
      </c>
      <c r="B52" t="s">
        <v>1051</v>
      </c>
      <c r="C52" t="s">
        <v>44</v>
      </c>
      <c r="D52" t="s">
        <v>30</v>
      </c>
      <c r="E52" t="s">
        <v>55</v>
      </c>
      <c r="F52" t="s">
        <v>247</v>
      </c>
      <c r="G52" t="s">
        <v>229</v>
      </c>
      <c r="H52" t="s">
        <v>1047</v>
      </c>
      <c r="I52" t="s">
        <v>86</v>
      </c>
      <c r="J52" t="s">
        <v>930</v>
      </c>
      <c r="K52" t="s">
        <v>231</v>
      </c>
    </row>
    <row r="53" spans="1:11">
      <c r="A53" t="s">
        <v>938</v>
      </c>
      <c r="B53" t="s">
        <v>1051</v>
      </c>
      <c r="C53" t="s">
        <v>44</v>
      </c>
      <c r="D53" t="s">
        <v>30</v>
      </c>
      <c r="E53" t="s">
        <v>57</v>
      </c>
      <c r="F53" t="s">
        <v>190</v>
      </c>
      <c r="G53" t="s">
        <v>229</v>
      </c>
      <c r="H53" t="s">
        <v>1047</v>
      </c>
      <c r="I53" t="s">
        <v>86</v>
      </c>
      <c r="J53" t="s">
        <v>930</v>
      </c>
      <c r="K53" t="s">
        <v>231</v>
      </c>
    </row>
    <row r="54" spans="1:11">
      <c r="A54" t="s">
        <v>938</v>
      </c>
      <c r="B54" t="s">
        <v>1051</v>
      </c>
      <c r="C54" t="s">
        <v>44</v>
      </c>
      <c r="D54" t="s">
        <v>30</v>
      </c>
      <c r="E54" t="s">
        <v>53</v>
      </c>
      <c r="F54" t="s">
        <v>154</v>
      </c>
      <c r="G54" t="s">
        <v>229</v>
      </c>
      <c r="H54" t="s">
        <v>1047</v>
      </c>
      <c r="I54" t="s">
        <v>86</v>
      </c>
      <c r="J54" t="s">
        <v>930</v>
      </c>
      <c r="K54" t="s">
        <v>231</v>
      </c>
    </row>
    <row r="55" spans="1:11">
      <c r="A55" t="s">
        <v>938</v>
      </c>
      <c r="B55" t="s">
        <v>1051</v>
      </c>
      <c r="C55" t="s">
        <v>44</v>
      </c>
      <c r="D55" t="s">
        <v>30</v>
      </c>
      <c r="E55" t="s">
        <v>105</v>
      </c>
      <c r="F55" t="s">
        <v>248</v>
      </c>
      <c r="G55" t="s">
        <v>229</v>
      </c>
      <c r="H55" t="s">
        <v>1047</v>
      </c>
      <c r="I55" t="s">
        <v>86</v>
      </c>
      <c r="J55" t="s">
        <v>930</v>
      </c>
      <c r="K55" t="s">
        <v>231</v>
      </c>
    </row>
    <row r="56" spans="1:11">
      <c r="A56" t="s">
        <v>938</v>
      </c>
      <c r="B56" t="s">
        <v>1051</v>
      </c>
      <c r="C56" t="s">
        <v>44</v>
      </c>
      <c r="D56" t="s">
        <v>30</v>
      </c>
      <c r="E56" t="s">
        <v>105</v>
      </c>
      <c r="F56" t="s">
        <v>249</v>
      </c>
      <c r="G56" t="s">
        <v>229</v>
      </c>
      <c r="H56" t="s">
        <v>1047</v>
      </c>
      <c r="I56" t="s">
        <v>86</v>
      </c>
      <c r="J56" t="s">
        <v>930</v>
      </c>
      <c r="K56" t="s">
        <v>231</v>
      </c>
    </row>
    <row r="57" spans="1:11">
      <c r="A57" t="s">
        <v>938</v>
      </c>
      <c r="B57" t="s">
        <v>1051</v>
      </c>
      <c r="C57" t="s">
        <v>44</v>
      </c>
      <c r="D57" t="s">
        <v>30</v>
      </c>
      <c r="E57" t="s">
        <v>105</v>
      </c>
      <c r="F57" t="s">
        <v>250</v>
      </c>
      <c r="G57" t="s">
        <v>229</v>
      </c>
      <c r="H57" t="s">
        <v>1047</v>
      </c>
      <c r="I57" t="s">
        <v>86</v>
      </c>
      <c r="J57" t="s">
        <v>930</v>
      </c>
      <c r="K57" t="s">
        <v>231</v>
      </c>
    </row>
    <row r="58" spans="1:11">
      <c r="A58" t="s">
        <v>938</v>
      </c>
      <c r="B58" t="s">
        <v>1051</v>
      </c>
      <c r="C58" t="s">
        <v>44</v>
      </c>
      <c r="D58" t="s">
        <v>30</v>
      </c>
      <c r="E58" t="s">
        <v>105</v>
      </c>
      <c r="F58" t="s">
        <v>251</v>
      </c>
      <c r="G58" t="s">
        <v>229</v>
      </c>
      <c r="H58" t="s">
        <v>1047</v>
      </c>
      <c r="I58" t="s">
        <v>86</v>
      </c>
      <c r="J58" t="s">
        <v>930</v>
      </c>
      <c r="K58" t="s">
        <v>231</v>
      </c>
    </row>
    <row r="59" spans="1:11">
      <c r="A59" t="s">
        <v>938</v>
      </c>
      <c r="B59" t="s">
        <v>1051</v>
      </c>
      <c r="C59" t="s">
        <v>44</v>
      </c>
      <c r="D59" t="s">
        <v>30</v>
      </c>
      <c r="E59" t="s">
        <v>252</v>
      </c>
      <c r="F59" t="s">
        <v>253</v>
      </c>
      <c r="G59" t="s">
        <v>229</v>
      </c>
      <c r="H59" t="s">
        <v>1047</v>
      </c>
      <c r="I59" t="s">
        <v>86</v>
      </c>
      <c r="J59" t="s">
        <v>930</v>
      </c>
      <c r="K59" t="s">
        <v>231</v>
      </c>
    </row>
    <row r="60" spans="1:11">
      <c r="A60" t="s">
        <v>938</v>
      </c>
      <c r="B60" t="s">
        <v>1052</v>
      </c>
      <c r="C60" t="s">
        <v>40</v>
      </c>
      <c r="D60" t="s">
        <v>28</v>
      </c>
      <c r="E60" t="s">
        <v>50</v>
      </c>
      <c r="F60" t="s">
        <v>51</v>
      </c>
      <c r="G60" t="s">
        <v>278</v>
      </c>
      <c r="H60" t="s">
        <v>1047</v>
      </c>
      <c r="I60" t="s">
        <v>86</v>
      </c>
      <c r="J60" t="s">
        <v>930</v>
      </c>
      <c r="K60" t="s">
        <v>280</v>
      </c>
    </row>
    <row r="61" spans="1:11">
      <c r="A61" t="s">
        <v>938</v>
      </c>
      <c r="B61" t="s">
        <v>1052</v>
      </c>
      <c r="C61" t="s">
        <v>40</v>
      </c>
      <c r="D61" t="s">
        <v>28</v>
      </c>
      <c r="E61" t="s">
        <v>50</v>
      </c>
      <c r="F61" t="s">
        <v>52</v>
      </c>
      <c r="G61" t="s">
        <v>278</v>
      </c>
      <c r="H61" t="s">
        <v>1047</v>
      </c>
      <c r="I61" t="s">
        <v>86</v>
      </c>
      <c r="J61" t="s">
        <v>930</v>
      </c>
      <c r="K61" t="s">
        <v>280</v>
      </c>
    </row>
    <row r="62" spans="1:11">
      <c r="A62" t="s">
        <v>938</v>
      </c>
      <c r="B62" t="s">
        <v>1052</v>
      </c>
      <c r="C62" t="s">
        <v>40</v>
      </c>
      <c r="D62" t="s">
        <v>28</v>
      </c>
      <c r="E62" t="s">
        <v>53</v>
      </c>
      <c r="F62" t="s">
        <v>54</v>
      </c>
      <c r="G62" t="s">
        <v>278</v>
      </c>
      <c r="H62" t="s">
        <v>1047</v>
      </c>
      <c r="I62" t="s">
        <v>86</v>
      </c>
      <c r="J62" t="s">
        <v>930</v>
      </c>
      <c r="K62" t="s">
        <v>280</v>
      </c>
    </row>
    <row r="63" spans="1:11">
      <c r="A63" t="s">
        <v>938</v>
      </c>
      <c r="B63" t="s">
        <v>1052</v>
      </c>
      <c r="C63" t="s">
        <v>40</v>
      </c>
      <c r="D63" t="s">
        <v>29</v>
      </c>
      <c r="E63" t="s">
        <v>55</v>
      </c>
      <c r="F63" t="s">
        <v>56</v>
      </c>
      <c r="G63" t="s">
        <v>278</v>
      </c>
      <c r="H63" t="s">
        <v>1047</v>
      </c>
      <c r="I63" t="s">
        <v>86</v>
      </c>
      <c r="J63" t="s">
        <v>930</v>
      </c>
      <c r="K63" t="s">
        <v>280</v>
      </c>
    </row>
    <row r="64" spans="1:11">
      <c r="A64" t="s">
        <v>938</v>
      </c>
      <c r="B64" t="s">
        <v>1052</v>
      </c>
      <c r="C64" t="s">
        <v>40</v>
      </c>
      <c r="D64" t="s">
        <v>29</v>
      </c>
      <c r="E64" t="s">
        <v>57</v>
      </c>
      <c r="F64" t="s">
        <v>58</v>
      </c>
      <c r="G64" t="s">
        <v>278</v>
      </c>
      <c r="H64" t="s">
        <v>1047</v>
      </c>
      <c r="I64" t="s">
        <v>86</v>
      </c>
      <c r="J64" t="s">
        <v>930</v>
      </c>
      <c r="K64" t="s">
        <v>280</v>
      </c>
    </row>
    <row r="65" spans="1:11">
      <c r="A65" t="s">
        <v>938</v>
      </c>
      <c r="B65" t="s">
        <v>1052</v>
      </c>
      <c r="C65" t="s">
        <v>40</v>
      </c>
      <c r="D65" t="s">
        <v>30</v>
      </c>
      <c r="E65" t="s">
        <v>155</v>
      </c>
      <c r="F65" t="s">
        <v>157</v>
      </c>
      <c r="G65" t="s">
        <v>278</v>
      </c>
      <c r="H65" t="s">
        <v>1047</v>
      </c>
      <c r="I65" t="s">
        <v>86</v>
      </c>
      <c r="J65" t="s">
        <v>930</v>
      </c>
      <c r="K65" t="s">
        <v>280</v>
      </c>
    </row>
    <row r="66" spans="1:11">
      <c r="A66" t="s">
        <v>938</v>
      </c>
      <c r="B66" t="s">
        <v>1052</v>
      </c>
      <c r="C66" t="s">
        <v>44</v>
      </c>
      <c r="D66" t="s">
        <v>29</v>
      </c>
      <c r="E66" t="s">
        <v>50</v>
      </c>
      <c r="F66" t="s">
        <v>52</v>
      </c>
      <c r="G66" t="s">
        <v>278</v>
      </c>
      <c r="H66" t="s">
        <v>1047</v>
      </c>
      <c r="I66" t="s">
        <v>86</v>
      </c>
      <c r="J66" t="s">
        <v>930</v>
      </c>
      <c r="K66" t="s">
        <v>280</v>
      </c>
    </row>
    <row r="67" spans="1:11">
      <c r="A67" t="s">
        <v>938</v>
      </c>
      <c r="B67" t="s">
        <v>1052</v>
      </c>
      <c r="C67" t="s">
        <v>44</v>
      </c>
      <c r="D67" t="s">
        <v>29</v>
      </c>
      <c r="E67" t="s">
        <v>53</v>
      </c>
      <c r="F67" t="s">
        <v>54</v>
      </c>
      <c r="G67" t="s">
        <v>278</v>
      </c>
      <c r="H67" t="s">
        <v>1047</v>
      </c>
      <c r="I67" t="s">
        <v>86</v>
      </c>
      <c r="J67" t="s">
        <v>930</v>
      </c>
      <c r="K67" t="s">
        <v>280</v>
      </c>
    </row>
    <row r="68" spans="1:11">
      <c r="A68" t="s">
        <v>938</v>
      </c>
      <c r="B68" t="s">
        <v>1052</v>
      </c>
      <c r="C68" t="s">
        <v>44</v>
      </c>
      <c r="D68" t="s">
        <v>30</v>
      </c>
      <c r="E68" t="s">
        <v>155</v>
      </c>
      <c r="F68" t="s">
        <v>156</v>
      </c>
      <c r="G68" t="s">
        <v>278</v>
      </c>
      <c r="H68" t="s">
        <v>1047</v>
      </c>
      <c r="I68" t="s">
        <v>86</v>
      </c>
      <c r="J68" t="s">
        <v>930</v>
      </c>
      <c r="K68" t="s">
        <v>280</v>
      </c>
    </row>
    <row r="69" spans="1:11">
      <c r="A69" t="s">
        <v>938</v>
      </c>
      <c r="B69" t="s">
        <v>1052</v>
      </c>
      <c r="C69" t="s">
        <v>44</v>
      </c>
      <c r="D69" t="s">
        <v>30</v>
      </c>
      <c r="E69" t="s">
        <v>55</v>
      </c>
      <c r="F69" t="s">
        <v>293</v>
      </c>
      <c r="G69" t="s">
        <v>278</v>
      </c>
      <c r="H69" t="s">
        <v>1047</v>
      </c>
      <c r="I69" t="s">
        <v>86</v>
      </c>
      <c r="J69" t="s">
        <v>930</v>
      </c>
      <c r="K69" t="s">
        <v>280</v>
      </c>
    </row>
    <row r="70" spans="1:11">
      <c r="A70" t="s">
        <v>938</v>
      </c>
      <c r="B70" t="s">
        <v>1053</v>
      </c>
      <c r="C70" t="s">
        <v>40</v>
      </c>
      <c r="D70" t="s">
        <v>28</v>
      </c>
      <c r="E70" t="s">
        <v>50</v>
      </c>
      <c r="F70" t="s">
        <v>52</v>
      </c>
      <c r="G70" t="s">
        <v>312</v>
      </c>
      <c r="H70" t="s">
        <v>1047</v>
      </c>
      <c r="I70" t="s">
        <v>86</v>
      </c>
      <c r="J70" t="s">
        <v>930</v>
      </c>
      <c r="K70" t="s">
        <v>313</v>
      </c>
    </row>
    <row r="71" spans="1:11">
      <c r="A71" t="s">
        <v>938</v>
      </c>
      <c r="B71" t="s">
        <v>1053</v>
      </c>
      <c r="C71" t="s">
        <v>40</v>
      </c>
      <c r="D71" t="s">
        <v>28</v>
      </c>
      <c r="E71" t="s">
        <v>50</v>
      </c>
      <c r="F71" t="s">
        <v>189</v>
      </c>
      <c r="G71" t="s">
        <v>312</v>
      </c>
      <c r="H71" t="s">
        <v>1047</v>
      </c>
      <c r="I71" t="s">
        <v>86</v>
      </c>
      <c r="J71" t="s">
        <v>930</v>
      </c>
      <c r="K71" t="s">
        <v>313</v>
      </c>
    </row>
    <row r="72" spans="1:11">
      <c r="A72" t="s">
        <v>938</v>
      </c>
      <c r="B72" t="s">
        <v>1053</v>
      </c>
      <c r="C72" t="s">
        <v>40</v>
      </c>
      <c r="D72" t="s">
        <v>28</v>
      </c>
      <c r="E72" t="s">
        <v>57</v>
      </c>
      <c r="F72" t="s">
        <v>78</v>
      </c>
      <c r="G72" t="s">
        <v>312</v>
      </c>
      <c r="H72" t="s">
        <v>1047</v>
      </c>
      <c r="I72" t="s">
        <v>86</v>
      </c>
      <c r="J72" t="s">
        <v>930</v>
      </c>
      <c r="K72" t="s">
        <v>313</v>
      </c>
    </row>
    <row r="73" spans="1:11">
      <c r="A73" t="s">
        <v>938</v>
      </c>
      <c r="B73" t="s">
        <v>1053</v>
      </c>
      <c r="C73" t="s">
        <v>40</v>
      </c>
      <c r="D73" t="s">
        <v>28</v>
      </c>
      <c r="E73" t="s">
        <v>155</v>
      </c>
      <c r="F73" t="s">
        <v>157</v>
      </c>
      <c r="G73" t="s">
        <v>312</v>
      </c>
      <c r="H73" t="s">
        <v>1047</v>
      </c>
      <c r="I73" t="s">
        <v>86</v>
      </c>
      <c r="J73" t="s">
        <v>930</v>
      </c>
      <c r="K73" t="s">
        <v>313</v>
      </c>
    </row>
    <row r="74" spans="1:11">
      <c r="A74" t="s">
        <v>938</v>
      </c>
      <c r="B74" t="s">
        <v>1053</v>
      </c>
      <c r="C74" t="s">
        <v>40</v>
      </c>
      <c r="D74" t="s">
        <v>28</v>
      </c>
      <c r="E74" t="s">
        <v>55</v>
      </c>
      <c r="F74" t="s">
        <v>293</v>
      </c>
      <c r="G74" t="s">
        <v>312</v>
      </c>
      <c r="H74" t="s">
        <v>1047</v>
      </c>
      <c r="I74" t="s">
        <v>86</v>
      </c>
      <c r="J74" t="s">
        <v>930</v>
      </c>
      <c r="K74" t="s">
        <v>313</v>
      </c>
    </row>
    <row r="75" spans="1:11">
      <c r="A75" t="s">
        <v>938</v>
      </c>
      <c r="B75" t="s">
        <v>1053</v>
      </c>
      <c r="C75" t="s">
        <v>44</v>
      </c>
      <c r="D75" t="s">
        <v>29</v>
      </c>
      <c r="E75" t="s">
        <v>50</v>
      </c>
      <c r="F75" t="s">
        <v>325</v>
      </c>
      <c r="G75" t="s">
        <v>312</v>
      </c>
      <c r="H75" t="s">
        <v>1047</v>
      </c>
      <c r="I75" t="s">
        <v>86</v>
      </c>
      <c r="J75" t="s">
        <v>930</v>
      </c>
      <c r="K75" t="s">
        <v>313</v>
      </c>
    </row>
    <row r="76" spans="1:11">
      <c r="A76" t="s">
        <v>938</v>
      </c>
      <c r="B76" t="s">
        <v>1053</v>
      </c>
      <c r="C76" t="s">
        <v>44</v>
      </c>
      <c r="D76" t="s">
        <v>29</v>
      </c>
      <c r="E76" t="s">
        <v>55</v>
      </c>
      <c r="F76" t="s">
        <v>56</v>
      </c>
      <c r="G76" t="s">
        <v>312</v>
      </c>
      <c r="H76" t="s">
        <v>1047</v>
      </c>
      <c r="I76" t="s">
        <v>86</v>
      </c>
      <c r="J76" t="s">
        <v>930</v>
      </c>
      <c r="K76" t="s">
        <v>313</v>
      </c>
    </row>
    <row r="77" spans="1:11">
      <c r="A77" t="s">
        <v>938</v>
      </c>
      <c r="B77" t="s">
        <v>1053</v>
      </c>
      <c r="C77" t="s">
        <v>44</v>
      </c>
      <c r="D77" t="s">
        <v>29</v>
      </c>
      <c r="E77" t="s">
        <v>55</v>
      </c>
      <c r="F77" t="s">
        <v>326</v>
      </c>
      <c r="G77" t="s">
        <v>312</v>
      </c>
      <c r="H77" t="s">
        <v>1047</v>
      </c>
      <c r="I77" t="s">
        <v>86</v>
      </c>
      <c r="J77" t="s">
        <v>930</v>
      </c>
      <c r="K77" t="s">
        <v>313</v>
      </c>
    </row>
    <row r="78" spans="1:11">
      <c r="A78" t="s">
        <v>938</v>
      </c>
      <c r="B78" t="s">
        <v>1053</v>
      </c>
      <c r="C78" t="s">
        <v>44</v>
      </c>
      <c r="D78" t="s">
        <v>29</v>
      </c>
      <c r="E78" t="s">
        <v>105</v>
      </c>
      <c r="F78" t="s">
        <v>248</v>
      </c>
      <c r="G78" t="s">
        <v>312</v>
      </c>
      <c r="H78" t="s">
        <v>1047</v>
      </c>
      <c r="I78" t="s">
        <v>86</v>
      </c>
      <c r="J78" t="s">
        <v>930</v>
      </c>
      <c r="K78" t="s">
        <v>313</v>
      </c>
    </row>
    <row r="79" spans="1:11">
      <c r="A79" t="s">
        <v>938</v>
      </c>
      <c r="B79" t="s">
        <v>1053</v>
      </c>
      <c r="C79" t="s">
        <v>44</v>
      </c>
      <c r="D79" t="s">
        <v>29</v>
      </c>
      <c r="E79" t="s">
        <v>155</v>
      </c>
      <c r="F79" t="s">
        <v>327</v>
      </c>
      <c r="G79" t="s">
        <v>312</v>
      </c>
      <c r="H79" t="s">
        <v>1047</v>
      </c>
      <c r="I79" t="s">
        <v>86</v>
      </c>
      <c r="J79" t="s">
        <v>930</v>
      </c>
      <c r="K79" t="s">
        <v>313</v>
      </c>
    </row>
    <row r="80" spans="1:11">
      <c r="A80" t="s">
        <v>938</v>
      </c>
      <c r="B80" t="s">
        <v>1054</v>
      </c>
      <c r="C80" t="s">
        <v>40</v>
      </c>
      <c r="D80" t="s">
        <v>28</v>
      </c>
      <c r="E80" t="s">
        <v>50</v>
      </c>
      <c r="F80" t="s">
        <v>51</v>
      </c>
      <c r="G80" t="s">
        <v>386</v>
      </c>
      <c r="H80" t="s">
        <v>1047</v>
      </c>
      <c r="I80" t="s">
        <v>86</v>
      </c>
      <c r="J80" t="s">
        <v>930</v>
      </c>
      <c r="K80" t="s">
        <v>388</v>
      </c>
    </row>
    <row r="81" spans="1:11">
      <c r="A81" t="s">
        <v>938</v>
      </c>
      <c r="B81" t="s">
        <v>1054</v>
      </c>
      <c r="C81" t="s">
        <v>40</v>
      </c>
      <c r="D81" t="s">
        <v>28</v>
      </c>
      <c r="E81" t="s">
        <v>155</v>
      </c>
      <c r="F81" t="s">
        <v>157</v>
      </c>
      <c r="G81" t="s">
        <v>386</v>
      </c>
      <c r="H81" t="s">
        <v>1047</v>
      </c>
      <c r="I81" t="s">
        <v>86</v>
      </c>
      <c r="J81" t="s">
        <v>930</v>
      </c>
      <c r="K81" t="s">
        <v>388</v>
      </c>
    </row>
    <row r="82" spans="1:11">
      <c r="A82" t="s">
        <v>938</v>
      </c>
      <c r="B82" t="s">
        <v>1054</v>
      </c>
      <c r="C82" t="s">
        <v>40</v>
      </c>
      <c r="D82" t="s">
        <v>28</v>
      </c>
      <c r="E82" t="s">
        <v>155</v>
      </c>
      <c r="F82" t="s">
        <v>156</v>
      </c>
      <c r="G82" t="s">
        <v>386</v>
      </c>
      <c r="H82" t="s">
        <v>1047</v>
      </c>
      <c r="I82" t="s">
        <v>86</v>
      </c>
      <c r="J82" t="s">
        <v>930</v>
      </c>
      <c r="K82" t="s">
        <v>388</v>
      </c>
    </row>
    <row r="83" spans="1:11">
      <c r="A83" t="s">
        <v>938</v>
      </c>
      <c r="B83" t="s">
        <v>1054</v>
      </c>
      <c r="C83" t="s">
        <v>40</v>
      </c>
      <c r="D83" t="s">
        <v>28</v>
      </c>
      <c r="E83" t="s">
        <v>55</v>
      </c>
      <c r="F83" t="s">
        <v>56</v>
      </c>
      <c r="G83" t="s">
        <v>386</v>
      </c>
      <c r="H83" t="s">
        <v>1047</v>
      </c>
      <c r="I83" t="s">
        <v>86</v>
      </c>
      <c r="J83" t="s">
        <v>930</v>
      </c>
      <c r="K83" t="s">
        <v>388</v>
      </c>
    </row>
    <row r="84" spans="1:11">
      <c r="A84" t="s">
        <v>938</v>
      </c>
      <c r="B84" t="s">
        <v>1054</v>
      </c>
      <c r="C84" t="s">
        <v>40</v>
      </c>
      <c r="D84" t="s">
        <v>28</v>
      </c>
      <c r="E84" t="s">
        <v>399</v>
      </c>
      <c r="F84" t="s">
        <v>400</v>
      </c>
      <c r="G84" t="s">
        <v>386</v>
      </c>
      <c r="H84" t="s">
        <v>1047</v>
      </c>
      <c r="I84" t="s">
        <v>86</v>
      </c>
      <c r="J84" t="s">
        <v>930</v>
      </c>
      <c r="K84" t="s">
        <v>388</v>
      </c>
    </row>
    <row r="85" spans="1:11">
      <c r="A85" t="s">
        <v>938</v>
      </c>
      <c r="B85" t="s">
        <v>1054</v>
      </c>
      <c r="C85" t="s">
        <v>44</v>
      </c>
      <c r="D85" t="s">
        <v>29</v>
      </c>
      <c r="E85" t="s">
        <v>53</v>
      </c>
      <c r="F85" t="s">
        <v>154</v>
      </c>
      <c r="G85" t="s">
        <v>386</v>
      </c>
      <c r="H85" t="s">
        <v>1047</v>
      </c>
      <c r="I85" t="s">
        <v>86</v>
      </c>
      <c r="J85" t="s">
        <v>930</v>
      </c>
      <c r="K85" t="s">
        <v>388</v>
      </c>
    </row>
    <row r="86" spans="1:11">
      <c r="A86" t="s">
        <v>938</v>
      </c>
      <c r="B86" t="s">
        <v>1054</v>
      </c>
      <c r="C86" t="s">
        <v>44</v>
      </c>
      <c r="D86" t="s">
        <v>29</v>
      </c>
      <c r="E86" t="s">
        <v>57</v>
      </c>
      <c r="F86" t="s">
        <v>58</v>
      </c>
      <c r="G86" t="s">
        <v>386</v>
      </c>
      <c r="H86" t="s">
        <v>1047</v>
      </c>
      <c r="I86" t="s">
        <v>86</v>
      </c>
      <c r="J86" t="s">
        <v>930</v>
      </c>
      <c r="K86" t="s">
        <v>388</v>
      </c>
    </row>
    <row r="87" spans="1:11">
      <c r="A87" t="s">
        <v>938</v>
      </c>
      <c r="B87" t="s">
        <v>1054</v>
      </c>
      <c r="C87" t="s">
        <v>44</v>
      </c>
      <c r="D87" t="s">
        <v>30</v>
      </c>
      <c r="E87" t="s">
        <v>55</v>
      </c>
      <c r="F87" t="s">
        <v>103</v>
      </c>
      <c r="G87" t="s">
        <v>386</v>
      </c>
      <c r="H87" t="s">
        <v>1047</v>
      </c>
      <c r="I87" t="s">
        <v>86</v>
      </c>
      <c r="J87" t="s">
        <v>930</v>
      </c>
      <c r="K87" t="s">
        <v>388</v>
      </c>
    </row>
    <row r="88" spans="1:11">
      <c r="A88" t="s">
        <v>938</v>
      </c>
      <c r="B88" t="s">
        <v>1055</v>
      </c>
      <c r="C88" t="s">
        <v>40</v>
      </c>
      <c r="D88" t="s">
        <v>28</v>
      </c>
      <c r="G88" t="s">
        <v>417</v>
      </c>
      <c r="H88" t="s">
        <v>1047</v>
      </c>
      <c r="I88" t="s">
        <v>86</v>
      </c>
      <c r="J88" t="s">
        <v>930</v>
      </c>
      <c r="K88" t="s">
        <v>910</v>
      </c>
    </row>
    <row r="89" spans="1:11">
      <c r="A89" t="s">
        <v>938</v>
      </c>
      <c r="B89" t="s">
        <v>1055</v>
      </c>
      <c r="C89" t="s">
        <v>40</v>
      </c>
      <c r="D89" t="s">
        <v>28</v>
      </c>
      <c r="G89" t="s">
        <v>417</v>
      </c>
      <c r="H89" t="s">
        <v>1047</v>
      </c>
      <c r="I89" t="s">
        <v>86</v>
      </c>
      <c r="J89" t="s">
        <v>930</v>
      </c>
      <c r="K89" t="s">
        <v>910</v>
      </c>
    </row>
    <row r="90" spans="1:11">
      <c r="A90" t="s">
        <v>938</v>
      </c>
      <c r="B90" t="s">
        <v>1055</v>
      </c>
      <c r="C90" t="s">
        <v>40</v>
      </c>
      <c r="D90" t="s">
        <v>28</v>
      </c>
      <c r="G90" t="s">
        <v>417</v>
      </c>
      <c r="H90" t="s">
        <v>1047</v>
      </c>
      <c r="I90" t="s">
        <v>86</v>
      </c>
      <c r="J90" t="s">
        <v>930</v>
      </c>
      <c r="K90" t="s">
        <v>910</v>
      </c>
    </row>
    <row r="91" spans="1:11">
      <c r="A91" t="s">
        <v>938</v>
      </c>
      <c r="B91" t="s">
        <v>1055</v>
      </c>
      <c r="C91" t="s">
        <v>44</v>
      </c>
      <c r="D91" t="s">
        <v>29</v>
      </c>
      <c r="G91" t="s">
        <v>417</v>
      </c>
      <c r="H91" t="s">
        <v>1047</v>
      </c>
      <c r="I91" t="s">
        <v>86</v>
      </c>
      <c r="J91" t="s">
        <v>930</v>
      </c>
      <c r="K91" t="s">
        <v>910</v>
      </c>
    </row>
    <row r="92" spans="1:11">
      <c r="A92" t="s">
        <v>938</v>
      </c>
      <c r="B92" t="s">
        <v>1055</v>
      </c>
      <c r="C92" t="s">
        <v>44</v>
      </c>
      <c r="D92" t="s">
        <v>29</v>
      </c>
      <c r="G92" t="s">
        <v>417</v>
      </c>
      <c r="H92" t="s">
        <v>1047</v>
      </c>
      <c r="I92" t="s">
        <v>86</v>
      </c>
      <c r="J92" t="s">
        <v>930</v>
      </c>
      <c r="K92" t="s">
        <v>910</v>
      </c>
    </row>
    <row r="93" spans="1:11">
      <c r="A93" t="s">
        <v>938</v>
      </c>
      <c r="B93" t="s">
        <v>1056</v>
      </c>
      <c r="C93" t="s">
        <v>40</v>
      </c>
      <c r="D93" t="s">
        <v>28</v>
      </c>
      <c r="E93" t="s">
        <v>50</v>
      </c>
      <c r="F93" t="s">
        <v>51</v>
      </c>
      <c r="G93" t="s">
        <v>448</v>
      </c>
      <c r="H93" t="s">
        <v>1047</v>
      </c>
      <c r="I93" t="s">
        <v>86</v>
      </c>
      <c r="J93" t="s">
        <v>930</v>
      </c>
      <c r="K93" t="s">
        <v>450</v>
      </c>
    </row>
    <row r="94" spans="1:11">
      <c r="A94" t="s">
        <v>938</v>
      </c>
      <c r="B94" t="s">
        <v>1056</v>
      </c>
      <c r="C94" t="s">
        <v>40</v>
      </c>
      <c r="D94" t="s">
        <v>28</v>
      </c>
      <c r="E94" t="s">
        <v>50</v>
      </c>
      <c r="F94" t="s">
        <v>52</v>
      </c>
      <c r="G94" t="s">
        <v>448</v>
      </c>
      <c r="H94" t="s">
        <v>1047</v>
      </c>
      <c r="I94" t="s">
        <v>86</v>
      </c>
      <c r="J94" t="s">
        <v>930</v>
      </c>
      <c r="K94" t="s">
        <v>450</v>
      </c>
    </row>
    <row r="95" spans="1:11">
      <c r="A95" t="s">
        <v>938</v>
      </c>
      <c r="B95" t="s">
        <v>1056</v>
      </c>
      <c r="C95" t="s">
        <v>40</v>
      </c>
      <c r="D95" t="s">
        <v>28</v>
      </c>
      <c r="E95" t="s">
        <v>53</v>
      </c>
      <c r="F95" t="s">
        <v>54</v>
      </c>
      <c r="G95" t="s">
        <v>448</v>
      </c>
      <c r="H95" t="s">
        <v>1047</v>
      </c>
      <c r="I95" t="s">
        <v>86</v>
      </c>
      <c r="J95" t="s">
        <v>930</v>
      </c>
      <c r="K95" t="s">
        <v>450</v>
      </c>
    </row>
    <row r="96" spans="1:11">
      <c r="A96" t="s">
        <v>938</v>
      </c>
      <c r="B96" t="s">
        <v>1056</v>
      </c>
      <c r="C96" t="s">
        <v>44</v>
      </c>
      <c r="D96" t="s">
        <v>29</v>
      </c>
      <c r="E96" t="s">
        <v>55</v>
      </c>
      <c r="F96" t="s">
        <v>56</v>
      </c>
      <c r="G96" t="s">
        <v>448</v>
      </c>
      <c r="H96" t="s">
        <v>1047</v>
      </c>
      <c r="I96" t="s">
        <v>86</v>
      </c>
      <c r="J96" t="s">
        <v>930</v>
      </c>
      <c r="K96" t="s">
        <v>450</v>
      </c>
    </row>
    <row r="97" spans="1:11">
      <c r="A97" t="s">
        <v>938</v>
      </c>
      <c r="B97" t="s">
        <v>1056</v>
      </c>
      <c r="C97" t="s">
        <v>44</v>
      </c>
      <c r="D97" t="s">
        <v>29</v>
      </c>
      <c r="E97" t="s">
        <v>57</v>
      </c>
      <c r="F97" t="s">
        <v>58</v>
      </c>
      <c r="G97" t="s">
        <v>448</v>
      </c>
      <c r="H97" t="s">
        <v>1047</v>
      </c>
      <c r="I97" t="s">
        <v>86</v>
      </c>
      <c r="J97" t="s">
        <v>930</v>
      </c>
      <c r="K97" t="s">
        <v>450</v>
      </c>
    </row>
    <row r="98" spans="1:11">
      <c r="A98" t="s">
        <v>928</v>
      </c>
      <c r="B98" t="s">
        <v>1057</v>
      </c>
      <c r="C98" t="s">
        <v>40</v>
      </c>
      <c r="D98" t="s">
        <v>28</v>
      </c>
      <c r="E98" t="s">
        <v>155</v>
      </c>
      <c r="F98" t="s">
        <v>156</v>
      </c>
      <c r="G98" t="s">
        <v>911</v>
      </c>
      <c r="H98" t="s">
        <v>1047</v>
      </c>
      <c r="I98" t="s">
        <v>86</v>
      </c>
      <c r="J98" t="s">
        <v>930</v>
      </c>
      <c r="K98" t="s">
        <v>912</v>
      </c>
    </row>
    <row r="99" spans="1:11">
      <c r="A99" t="s">
        <v>928</v>
      </c>
      <c r="B99" t="s">
        <v>1057</v>
      </c>
      <c r="C99" t="s">
        <v>40</v>
      </c>
      <c r="D99" t="s">
        <v>28</v>
      </c>
      <c r="E99" t="s">
        <v>155</v>
      </c>
      <c r="F99" t="s">
        <v>373</v>
      </c>
      <c r="G99" t="s">
        <v>911</v>
      </c>
      <c r="H99" t="s">
        <v>1047</v>
      </c>
      <c r="I99" t="s">
        <v>86</v>
      </c>
      <c r="J99" t="s">
        <v>930</v>
      </c>
      <c r="K99" t="s">
        <v>912</v>
      </c>
    </row>
    <row r="100" spans="1:11">
      <c r="A100" t="s">
        <v>928</v>
      </c>
      <c r="B100" t="s">
        <v>1057</v>
      </c>
      <c r="C100" t="s">
        <v>40</v>
      </c>
      <c r="D100" t="s">
        <v>29</v>
      </c>
      <c r="E100" t="s">
        <v>53</v>
      </c>
      <c r="F100" t="s">
        <v>54</v>
      </c>
      <c r="G100" t="s">
        <v>911</v>
      </c>
      <c r="H100" t="s">
        <v>1047</v>
      </c>
      <c r="I100" t="s">
        <v>86</v>
      </c>
      <c r="J100" t="s">
        <v>930</v>
      </c>
      <c r="K100" t="s">
        <v>912</v>
      </c>
    </row>
    <row r="101" spans="1:11">
      <c r="A101" t="s">
        <v>928</v>
      </c>
      <c r="B101" t="s">
        <v>1057</v>
      </c>
      <c r="C101" t="s">
        <v>40</v>
      </c>
      <c r="D101" t="s">
        <v>29</v>
      </c>
      <c r="E101" t="s">
        <v>53</v>
      </c>
      <c r="F101" t="s">
        <v>154</v>
      </c>
      <c r="G101" t="s">
        <v>911</v>
      </c>
      <c r="H101" t="s">
        <v>1047</v>
      </c>
      <c r="I101" t="s">
        <v>86</v>
      </c>
      <c r="J101" t="s">
        <v>930</v>
      </c>
      <c r="K101" t="s">
        <v>912</v>
      </c>
    </row>
    <row r="102" spans="1:11">
      <c r="A102" t="s">
        <v>928</v>
      </c>
      <c r="B102" t="s">
        <v>1057</v>
      </c>
      <c r="C102" t="s">
        <v>40</v>
      </c>
      <c r="D102" t="s">
        <v>29</v>
      </c>
      <c r="E102" t="s">
        <v>53</v>
      </c>
      <c r="F102" t="s">
        <v>192</v>
      </c>
      <c r="G102" t="s">
        <v>911</v>
      </c>
      <c r="H102" t="s">
        <v>1047</v>
      </c>
      <c r="I102" t="s">
        <v>86</v>
      </c>
      <c r="J102" t="s">
        <v>930</v>
      </c>
      <c r="K102" t="s">
        <v>912</v>
      </c>
    </row>
    <row r="103" spans="1:11">
      <c r="A103" t="s">
        <v>928</v>
      </c>
      <c r="B103" t="s">
        <v>1057</v>
      </c>
      <c r="C103" t="s">
        <v>40</v>
      </c>
      <c r="D103" t="s">
        <v>29</v>
      </c>
      <c r="E103" t="s">
        <v>53</v>
      </c>
      <c r="F103" t="s">
        <v>875</v>
      </c>
      <c r="G103" t="s">
        <v>911</v>
      </c>
      <c r="H103" t="s">
        <v>1047</v>
      </c>
      <c r="I103" t="s">
        <v>86</v>
      </c>
      <c r="J103" t="s">
        <v>930</v>
      </c>
      <c r="K103" t="s">
        <v>912</v>
      </c>
    </row>
    <row r="104" spans="1:11">
      <c r="A104" t="s">
        <v>928</v>
      </c>
      <c r="B104" t="s">
        <v>1057</v>
      </c>
      <c r="C104" t="s">
        <v>40</v>
      </c>
      <c r="D104" t="s">
        <v>29</v>
      </c>
      <c r="E104" t="s">
        <v>53</v>
      </c>
      <c r="F104" t="s">
        <v>54</v>
      </c>
      <c r="G104" t="s">
        <v>911</v>
      </c>
      <c r="H104" t="s">
        <v>1047</v>
      </c>
      <c r="I104" t="s">
        <v>86</v>
      </c>
      <c r="J104" t="s">
        <v>930</v>
      </c>
      <c r="K104" t="s">
        <v>912</v>
      </c>
    </row>
    <row r="105" spans="1:11">
      <c r="A105" t="s">
        <v>928</v>
      </c>
      <c r="B105" t="s">
        <v>1057</v>
      </c>
      <c r="C105" t="s">
        <v>40</v>
      </c>
      <c r="D105" t="s">
        <v>29</v>
      </c>
      <c r="E105" t="s">
        <v>53</v>
      </c>
      <c r="F105" t="s">
        <v>154</v>
      </c>
      <c r="G105" t="s">
        <v>911</v>
      </c>
      <c r="H105" t="s">
        <v>1047</v>
      </c>
      <c r="I105" t="s">
        <v>86</v>
      </c>
      <c r="J105" t="s">
        <v>930</v>
      </c>
      <c r="K105" t="s">
        <v>912</v>
      </c>
    </row>
    <row r="106" spans="1:11">
      <c r="A106" t="s">
        <v>928</v>
      </c>
      <c r="B106" t="s">
        <v>1057</v>
      </c>
      <c r="C106" t="s">
        <v>40</v>
      </c>
      <c r="D106" t="s">
        <v>29</v>
      </c>
      <c r="E106" t="s">
        <v>53</v>
      </c>
      <c r="F106" t="s">
        <v>192</v>
      </c>
      <c r="G106" t="s">
        <v>911</v>
      </c>
      <c r="H106" t="s">
        <v>1047</v>
      </c>
      <c r="I106" t="s">
        <v>86</v>
      </c>
      <c r="J106" t="s">
        <v>930</v>
      </c>
      <c r="K106" t="s">
        <v>912</v>
      </c>
    </row>
    <row r="107" spans="1:11">
      <c r="A107" t="s">
        <v>928</v>
      </c>
      <c r="B107" t="s">
        <v>1057</v>
      </c>
      <c r="C107" t="s">
        <v>40</v>
      </c>
      <c r="D107" t="s">
        <v>29</v>
      </c>
      <c r="E107" t="s">
        <v>53</v>
      </c>
      <c r="F107" t="s">
        <v>755</v>
      </c>
      <c r="G107" t="s">
        <v>911</v>
      </c>
      <c r="H107" t="s">
        <v>1047</v>
      </c>
      <c r="I107" t="s">
        <v>86</v>
      </c>
      <c r="J107" t="s">
        <v>930</v>
      </c>
      <c r="K107" t="s">
        <v>912</v>
      </c>
    </row>
    <row r="108" spans="1:11">
      <c r="A108" t="s">
        <v>928</v>
      </c>
      <c r="B108" t="s">
        <v>1057</v>
      </c>
      <c r="C108" t="s">
        <v>40</v>
      </c>
      <c r="D108" t="s">
        <v>29</v>
      </c>
      <c r="E108" t="s">
        <v>53</v>
      </c>
      <c r="F108" t="s">
        <v>875</v>
      </c>
      <c r="G108" t="s">
        <v>911</v>
      </c>
      <c r="H108" t="s">
        <v>1047</v>
      </c>
      <c r="I108" t="s">
        <v>86</v>
      </c>
      <c r="J108" t="s">
        <v>930</v>
      </c>
      <c r="K108" t="s">
        <v>912</v>
      </c>
    </row>
    <row r="109" spans="1:11">
      <c r="A109" t="s">
        <v>928</v>
      </c>
      <c r="B109" t="s">
        <v>1057</v>
      </c>
      <c r="C109" t="s">
        <v>40</v>
      </c>
      <c r="D109" t="s">
        <v>29</v>
      </c>
      <c r="E109" t="s">
        <v>55</v>
      </c>
      <c r="F109" t="s">
        <v>56</v>
      </c>
      <c r="G109" t="s">
        <v>911</v>
      </c>
      <c r="H109" t="s">
        <v>1047</v>
      </c>
      <c r="I109" t="s">
        <v>86</v>
      </c>
      <c r="J109" t="s">
        <v>930</v>
      </c>
      <c r="K109" t="s">
        <v>912</v>
      </c>
    </row>
    <row r="110" spans="1:11">
      <c r="A110" t="s">
        <v>928</v>
      </c>
      <c r="B110" t="s">
        <v>1057</v>
      </c>
      <c r="C110" t="s">
        <v>40</v>
      </c>
      <c r="D110" t="s">
        <v>29</v>
      </c>
      <c r="E110" t="s">
        <v>55</v>
      </c>
      <c r="F110" t="s">
        <v>326</v>
      </c>
      <c r="G110" t="s">
        <v>911</v>
      </c>
      <c r="H110" t="s">
        <v>1047</v>
      </c>
      <c r="I110" t="s">
        <v>86</v>
      </c>
      <c r="J110" t="s">
        <v>930</v>
      </c>
      <c r="K110" t="s">
        <v>912</v>
      </c>
    </row>
    <row r="111" spans="1:11">
      <c r="A111" t="s">
        <v>928</v>
      </c>
      <c r="B111" t="s">
        <v>1057</v>
      </c>
      <c r="C111" t="s">
        <v>40</v>
      </c>
      <c r="D111" t="s">
        <v>29</v>
      </c>
      <c r="E111" t="s">
        <v>55</v>
      </c>
      <c r="F111" t="s">
        <v>103</v>
      </c>
      <c r="G111" t="s">
        <v>911</v>
      </c>
      <c r="H111" t="s">
        <v>1047</v>
      </c>
      <c r="I111" t="s">
        <v>86</v>
      </c>
      <c r="J111" t="s">
        <v>930</v>
      </c>
      <c r="K111" t="s">
        <v>912</v>
      </c>
    </row>
    <row r="112" spans="1:11">
      <c r="A112" t="s">
        <v>928</v>
      </c>
      <c r="B112" t="s">
        <v>1057</v>
      </c>
      <c r="C112" t="s">
        <v>40</v>
      </c>
      <c r="D112" t="s">
        <v>29</v>
      </c>
      <c r="E112" t="s">
        <v>105</v>
      </c>
      <c r="F112" t="s">
        <v>249</v>
      </c>
      <c r="G112" t="s">
        <v>911</v>
      </c>
      <c r="H112" t="s">
        <v>1047</v>
      </c>
      <c r="I112" t="s">
        <v>86</v>
      </c>
      <c r="J112" t="s">
        <v>930</v>
      </c>
      <c r="K112" t="s">
        <v>912</v>
      </c>
    </row>
    <row r="113" spans="1:11">
      <c r="A113" t="s">
        <v>928</v>
      </c>
      <c r="B113" t="s">
        <v>1057</v>
      </c>
      <c r="C113" t="s">
        <v>40</v>
      </c>
      <c r="D113" t="s">
        <v>29</v>
      </c>
      <c r="E113" t="s">
        <v>105</v>
      </c>
      <c r="F113" t="s">
        <v>106</v>
      </c>
      <c r="G113" t="s">
        <v>911</v>
      </c>
      <c r="H113" t="s">
        <v>1047</v>
      </c>
      <c r="I113" t="s">
        <v>86</v>
      </c>
      <c r="J113" t="s">
        <v>930</v>
      </c>
      <c r="K113" t="s">
        <v>912</v>
      </c>
    </row>
    <row r="114" spans="1:11">
      <c r="A114" t="s">
        <v>928</v>
      </c>
      <c r="B114" t="s">
        <v>1057</v>
      </c>
      <c r="C114" t="s">
        <v>40</v>
      </c>
      <c r="D114" t="s">
        <v>29</v>
      </c>
      <c r="E114" t="s">
        <v>105</v>
      </c>
      <c r="F114" t="s">
        <v>248</v>
      </c>
      <c r="G114" t="s">
        <v>911</v>
      </c>
      <c r="H114" t="s">
        <v>1047</v>
      </c>
      <c r="I114" t="s">
        <v>86</v>
      </c>
      <c r="J114" t="s">
        <v>930</v>
      </c>
      <c r="K114" t="s">
        <v>912</v>
      </c>
    </row>
    <row r="115" spans="1:11">
      <c r="A115" t="s">
        <v>928</v>
      </c>
      <c r="B115" t="s">
        <v>1057</v>
      </c>
      <c r="C115" t="s">
        <v>40</v>
      </c>
      <c r="D115" t="s">
        <v>29</v>
      </c>
      <c r="E115" t="s">
        <v>105</v>
      </c>
      <c r="F115" t="s">
        <v>251</v>
      </c>
      <c r="G115" t="s">
        <v>911</v>
      </c>
      <c r="H115" t="s">
        <v>1047</v>
      </c>
      <c r="I115" t="s">
        <v>86</v>
      </c>
      <c r="J115" t="s">
        <v>930</v>
      </c>
      <c r="K115" t="s">
        <v>912</v>
      </c>
    </row>
    <row r="116" spans="1:11">
      <c r="A116" t="s">
        <v>928</v>
      </c>
      <c r="B116" t="s">
        <v>1057</v>
      </c>
      <c r="C116" t="s">
        <v>40</v>
      </c>
      <c r="D116" t="s">
        <v>29</v>
      </c>
      <c r="E116" t="s">
        <v>105</v>
      </c>
      <c r="F116" t="s">
        <v>883</v>
      </c>
      <c r="G116" t="s">
        <v>911</v>
      </c>
      <c r="H116" t="s">
        <v>1047</v>
      </c>
      <c r="I116" t="s">
        <v>86</v>
      </c>
      <c r="J116" t="s">
        <v>930</v>
      </c>
      <c r="K116" t="s">
        <v>912</v>
      </c>
    </row>
    <row r="117" spans="1:11">
      <c r="A117" t="s">
        <v>928</v>
      </c>
      <c r="B117" t="s">
        <v>1057</v>
      </c>
      <c r="C117" t="s">
        <v>40</v>
      </c>
      <c r="D117" t="s">
        <v>29</v>
      </c>
      <c r="E117" t="s">
        <v>105</v>
      </c>
      <c r="F117" t="s">
        <v>884</v>
      </c>
      <c r="G117" t="s">
        <v>911</v>
      </c>
      <c r="H117" t="s">
        <v>1047</v>
      </c>
      <c r="I117" t="s">
        <v>86</v>
      </c>
      <c r="J117" t="s">
        <v>930</v>
      </c>
      <c r="K117" t="s">
        <v>912</v>
      </c>
    </row>
    <row r="118" spans="1:11">
      <c r="A118" t="s">
        <v>928</v>
      </c>
      <c r="B118" t="s">
        <v>1057</v>
      </c>
      <c r="C118" t="s">
        <v>40</v>
      </c>
      <c r="D118" t="s">
        <v>29</v>
      </c>
      <c r="E118" t="s">
        <v>105</v>
      </c>
      <c r="F118" t="s">
        <v>885</v>
      </c>
      <c r="G118" t="s">
        <v>911</v>
      </c>
      <c r="H118" t="s">
        <v>1047</v>
      </c>
      <c r="I118" t="s">
        <v>86</v>
      </c>
      <c r="J118" t="s">
        <v>930</v>
      </c>
      <c r="K118" t="s">
        <v>912</v>
      </c>
    </row>
    <row r="119" spans="1:11">
      <c r="A119" t="s">
        <v>928</v>
      </c>
      <c r="B119" t="s">
        <v>1057</v>
      </c>
      <c r="C119" t="s">
        <v>40</v>
      </c>
      <c r="D119" t="s">
        <v>29</v>
      </c>
      <c r="E119" t="s">
        <v>101</v>
      </c>
      <c r="F119" t="s">
        <v>635</v>
      </c>
      <c r="G119" t="s">
        <v>911</v>
      </c>
      <c r="H119" t="s">
        <v>1047</v>
      </c>
      <c r="I119" t="s">
        <v>86</v>
      </c>
      <c r="J119" t="s">
        <v>930</v>
      </c>
      <c r="K119" t="s">
        <v>912</v>
      </c>
    </row>
    <row r="120" spans="1:11">
      <c r="A120" t="s">
        <v>928</v>
      </c>
      <c r="B120" t="s">
        <v>1057</v>
      </c>
      <c r="C120" t="s">
        <v>40</v>
      </c>
      <c r="D120" t="s">
        <v>29</v>
      </c>
      <c r="E120" t="s">
        <v>101</v>
      </c>
      <c r="F120" t="s">
        <v>102</v>
      </c>
      <c r="G120" t="s">
        <v>911</v>
      </c>
      <c r="H120" t="s">
        <v>1047</v>
      </c>
      <c r="I120" t="s">
        <v>86</v>
      </c>
      <c r="J120" t="s">
        <v>930</v>
      </c>
      <c r="K120" t="s">
        <v>912</v>
      </c>
    </row>
    <row r="121" spans="1:11">
      <c r="A121" t="s">
        <v>928</v>
      </c>
      <c r="B121" t="s">
        <v>1057</v>
      </c>
      <c r="C121" t="s">
        <v>40</v>
      </c>
      <c r="D121" t="s">
        <v>29</v>
      </c>
      <c r="E121" t="s">
        <v>399</v>
      </c>
      <c r="F121" t="s">
        <v>888</v>
      </c>
      <c r="G121" t="s">
        <v>911</v>
      </c>
      <c r="H121" t="s">
        <v>1047</v>
      </c>
      <c r="I121" t="s">
        <v>86</v>
      </c>
      <c r="J121" t="s">
        <v>930</v>
      </c>
      <c r="K121" t="s">
        <v>912</v>
      </c>
    </row>
    <row r="122" spans="1:11">
      <c r="A122" t="s">
        <v>928</v>
      </c>
      <c r="B122" t="s">
        <v>1057</v>
      </c>
      <c r="C122" t="s">
        <v>40</v>
      </c>
      <c r="D122" t="s">
        <v>29</v>
      </c>
      <c r="E122" t="s">
        <v>399</v>
      </c>
      <c r="F122" t="s">
        <v>733</v>
      </c>
      <c r="G122" t="s">
        <v>911</v>
      </c>
      <c r="H122" t="s">
        <v>1047</v>
      </c>
      <c r="I122" t="s">
        <v>86</v>
      </c>
      <c r="J122" t="s">
        <v>930</v>
      </c>
      <c r="K122" t="s">
        <v>912</v>
      </c>
    </row>
    <row r="123" spans="1:11">
      <c r="A123" t="s">
        <v>928</v>
      </c>
      <c r="B123" t="s">
        <v>1057</v>
      </c>
      <c r="C123" t="s">
        <v>40</v>
      </c>
      <c r="D123" t="s">
        <v>29</v>
      </c>
      <c r="E123" t="s">
        <v>399</v>
      </c>
      <c r="F123" t="s">
        <v>734</v>
      </c>
      <c r="G123" t="s">
        <v>911</v>
      </c>
      <c r="H123" t="s">
        <v>1047</v>
      </c>
      <c r="I123" t="s">
        <v>86</v>
      </c>
      <c r="J123" t="s">
        <v>930</v>
      </c>
      <c r="K123" t="s">
        <v>912</v>
      </c>
    </row>
    <row r="124" spans="1:11">
      <c r="A124" t="s">
        <v>928</v>
      </c>
      <c r="B124" t="s">
        <v>1057</v>
      </c>
      <c r="C124" t="s">
        <v>40</v>
      </c>
      <c r="D124" t="s">
        <v>29</v>
      </c>
      <c r="E124" t="s">
        <v>399</v>
      </c>
      <c r="F124" t="s">
        <v>735</v>
      </c>
      <c r="G124" t="s">
        <v>911</v>
      </c>
      <c r="H124" t="s">
        <v>1047</v>
      </c>
      <c r="I124" t="s">
        <v>86</v>
      </c>
      <c r="J124" t="s">
        <v>930</v>
      </c>
      <c r="K124" t="s">
        <v>912</v>
      </c>
    </row>
    <row r="125" spans="1:11">
      <c r="A125" t="s">
        <v>928</v>
      </c>
      <c r="B125" t="s">
        <v>1057</v>
      </c>
      <c r="C125" t="s">
        <v>40</v>
      </c>
      <c r="D125" t="s">
        <v>29</v>
      </c>
      <c r="E125" t="s">
        <v>399</v>
      </c>
      <c r="F125" t="s">
        <v>890</v>
      </c>
      <c r="G125" t="s">
        <v>911</v>
      </c>
      <c r="H125" t="s">
        <v>1047</v>
      </c>
      <c r="I125" t="s">
        <v>86</v>
      </c>
      <c r="J125" t="s">
        <v>930</v>
      </c>
      <c r="K125" t="s">
        <v>912</v>
      </c>
    </row>
    <row r="126" spans="1:11">
      <c r="A126" t="s">
        <v>928</v>
      </c>
      <c r="B126" t="s">
        <v>1057</v>
      </c>
      <c r="C126" t="s">
        <v>40</v>
      </c>
      <c r="D126" t="s">
        <v>29</v>
      </c>
      <c r="E126" t="s">
        <v>252</v>
      </c>
      <c r="F126" t="s">
        <v>880</v>
      </c>
      <c r="G126" t="s">
        <v>911</v>
      </c>
      <c r="H126" t="s">
        <v>1047</v>
      </c>
      <c r="I126" t="s">
        <v>86</v>
      </c>
      <c r="J126" t="s">
        <v>930</v>
      </c>
      <c r="K126" t="s">
        <v>912</v>
      </c>
    </row>
    <row r="127" spans="1:11">
      <c r="A127" t="s">
        <v>928</v>
      </c>
      <c r="B127" t="s">
        <v>1057</v>
      </c>
      <c r="C127" t="s">
        <v>40</v>
      </c>
      <c r="D127" t="s">
        <v>29</v>
      </c>
      <c r="E127" t="s">
        <v>252</v>
      </c>
      <c r="F127" t="s">
        <v>881</v>
      </c>
      <c r="G127" t="s">
        <v>911</v>
      </c>
      <c r="H127" t="s">
        <v>1047</v>
      </c>
      <c r="I127" t="s">
        <v>86</v>
      </c>
      <c r="J127" t="s">
        <v>930</v>
      </c>
      <c r="K127" t="s">
        <v>912</v>
      </c>
    </row>
    <row r="128" spans="1:11">
      <c r="A128" t="s">
        <v>928</v>
      </c>
      <c r="B128" t="s">
        <v>1057</v>
      </c>
      <c r="C128" t="s">
        <v>40</v>
      </c>
      <c r="D128" t="s">
        <v>29</v>
      </c>
      <c r="E128" t="s">
        <v>252</v>
      </c>
      <c r="F128" t="s">
        <v>636</v>
      </c>
      <c r="G128" t="s">
        <v>911</v>
      </c>
      <c r="H128" t="s">
        <v>1047</v>
      </c>
      <c r="I128" t="s">
        <v>86</v>
      </c>
      <c r="J128" t="s">
        <v>930</v>
      </c>
      <c r="K128" t="s">
        <v>912</v>
      </c>
    </row>
    <row r="129" spans="1:11">
      <c r="A129" t="s">
        <v>928</v>
      </c>
      <c r="B129" t="s">
        <v>1057</v>
      </c>
      <c r="C129" t="s">
        <v>44</v>
      </c>
      <c r="D129" t="s">
        <v>28</v>
      </c>
      <c r="E129" t="s">
        <v>155</v>
      </c>
      <c r="F129" t="s">
        <v>156</v>
      </c>
      <c r="G129" t="s">
        <v>911</v>
      </c>
      <c r="H129" t="s">
        <v>1047</v>
      </c>
      <c r="I129" t="s">
        <v>86</v>
      </c>
      <c r="J129" t="s">
        <v>930</v>
      </c>
      <c r="K129" t="s">
        <v>912</v>
      </c>
    </row>
    <row r="130" spans="1:11">
      <c r="A130" t="s">
        <v>928</v>
      </c>
      <c r="B130" t="s">
        <v>1057</v>
      </c>
      <c r="C130" t="s">
        <v>44</v>
      </c>
      <c r="D130" t="s">
        <v>28</v>
      </c>
      <c r="E130" t="s">
        <v>155</v>
      </c>
      <c r="F130" t="s">
        <v>327</v>
      </c>
      <c r="G130" t="s">
        <v>911</v>
      </c>
      <c r="H130" t="s">
        <v>1047</v>
      </c>
      <c r="I130" t="s">
        <v>86</v>
      </c>
      <c r="J130" t="s">
        <v>930</v>
      </c>
      <c r="K130" t="s">
        <v>912</v>
      </c>
    </row>
    <row r="131" spans="1:11">
      <c r="A131" t="s">
        <v>928</v>
      </c>
      <c r="B131" t="s">
        <v>1057</v>
      </c>
      <c r="C131" t="s">
        <v>44</v>
      </c>
      <c r="D131" t="s">
        <v>28</v>
      </c>
      <c r="E131" t="s">
        <v>155</v>
      </c>
      <c r="F131" t="s">
        <v>157</v>
      </c>
      <c r="G131" t="s">
        <v>911</v>
      </c>
      <c r="H131" t="s">
        <v>1047</v>
      </c>
      <c r="I131" t="s">
        <v>86</v>
      </c>
      <c r="J131" t="s">
        <v>930</v>
      </c>
      <c r="K131" t="s">
        <v>912</v>
      </c>
    </row>
    <row r="132" spans="1:11">
      <c r="A132" t="s">
        <v>928</v>
      </c>
      <c r="B132" t="s">
        <v>1057</v>
      </c>
      <c r="C132" t="s">
        <v>44</v>
      </c>
      <c r="D132" t="s">
        <v>28</v>
      </c>
      <c r="E132" t="s">
        <v>155</v>
      </c>
      <c r="F132" t="s">
        <v>373</v>
      </c>
      <c r="G132" t="s">
        <v>911</v>
      </c>
      <c r="H132" t="s">
        <v>1047</v>
      </c>
      <c r="I132" t="s">
        <v>86</v>
      </c>
      <c r="J132" t="s">
        <v>930</v>
      </c>
      <c r="K132" t="s">
        <v>912</v>
      </c>
    </row>
    <row r="133" spans="1:11">
      <c r="A133" t="s">
        <v>928</v>
      </c>
      <c r="B133" t="s">
        <v>1057</v>
      </c>
      <c r="C133" t="s">
        <v>44</v>
      </c>
      <c r="D133" t="s">
        <v>30</v>
      </c>
      <c r="E133" t="s">
        <v>252</v>
      </c>
      <c r="F133" t="s">
        <v>880</v>
      </c>
      <c r="G133" t="s">
        <v>911</v>
      </c>
      <c r="H133" t="s">
        <v>1047</v>
      </c>
      <c r="I133" t="s">
        <v>86</v>
      </c>
      <c r="J133" t="s">
        <v>930</v>
      </c>
      <c r="K133" t="s">
        <v>912</v>
      </c>
    </row>
    <row r="134" spans="1:11">
      <c r="A134" t="s">
        <v>928</v>
      </c>
      <c r="B134" t="s">
        <v>1057</v>
      </c>
      <c r="C134" t="s">
        <v>44</v>
      </c>
      <c r="D134" t="s">
        <v>30</v>
      </c>
      <c r="E134" t="s">
        <v>252</v>
      </c>
      <c r="F134" t="s">
        <v>636</v>
      </c>
      <c r="G134" t="s">
        <v>911</v>
      </c>
      <c r="H134" t="s">
        <v>1047</v>
      </c>
      <c r="I134" t="s">
        <v>86</v>
      </c>
      <c r="J134" t="s">
        <v>930</v>
      </c>
      <c r="K134" t="s">
        <v>912</v>
      </c>
    </row>
    <row r="135" spans="1:11">
      <c r="A135" t="s">
        <v>928</v>
      </c>
      <c r="B135" t="s">
        <v>1057</v>
      </c>
      <c r="C135" t="s">
        <v>44</v>
      </c>
      <c r="D135" t="s">
        <v>30</v>
      </c>
      <c r="E135" t="s">
        <v>101</v>
      </c>
      <c r="F135" t="s">
        <v>886</v>
      </c>
      <c r="G135" t="s">
        <v>911</v>
      </c>
      <c r="H135" t="s">
        <v>1047</v>
      </c>
      <c r="I135" t="s">
        <v>86</v>
      </c>
      <c r="J135" t="s">
        <v>930</v>
      </c>
      <c r="K135" t="s">
        <v>912</v>
      </c>
    </row>
    <row r="136" spans="1:11">
      <c r="A136" t="s">
        <v>928</v>
      </c>
      <c r="B136" t="s">
        <v>1057</v>
      </c>
      <c r="C136" t="s">
        <v>44</v>
      </c>
      <c r="D136" t="s">
        <v>30</v>
      </c>
      <c r="E136" t="s">
        <v>101</v>
      </c>
      <c r="F136" t="s">
        <v>887</v>
      </c>
      <c r="G136" t="s">
        <v>911</v>
      </c>
      <c r="H136" t="s">
        <v>1047</v>
      </c>
      <c r="I136" t="s">
        <v>86</v>
      </c>
      <c r="J136" t="s">
        <v>930</v>
      </c>
      <c r="K136" t="s">
        <v>912</v>
      </c>
    </row>
    <row r="137" spans="1:11">
      <c r="A137" t="s">
        <v>928</v>
      </c>
      <c r="B137" t="s">
        <v>1057</v>
      </c>
      <c r="C137" t="s">
        <v>44</v>
      </c>
      <c r="D137" t="s">
        <v>30</v>
      </c>
      <c r="E137" t="s">
        <v>101</v>
      </c>
      <c r="F137" t="s">
        <v>732</v>
      </c>
      <c r="G137" t="s">
        <v>911</v>
      </c>
      <c r="H137" t="s">
        <v>1047</v>
      </c>
      <c r="I137" t="s">
        <v>86</v>
      </c>
      <c r="J137" t="s">
        <v>930</v>
      </c>
      <c r="K137" t="s">
        <v>912</v>
      </c>
    </row>
    <row r="138" spans="1:11">
      <c r="A138" t="s">
        <v>938</v>
      </c>
      <c r="B138" t="s">
        <v>1058</v>
      </c>
      <c r="C138" t="s">
        <v>40</v>
      </c>
      <c r="D138" t="s">
        <v>28</v>
      </c>
      <c r="E138" t="s">
        <v>50</v>
      </c>
      <c r="F138" t="s">
        <v>246</v>
      </c>
      <c r="G138" t="s">
        <v>463</v>
      </c>
      <c r="H138" t="s">
        <v>1047</v>
      </c>
      <c r="I138" t="s">
        <v>86</v>
      </c>
      <c r="J138" t="s">
        <v>930</v>
      </c>
      <c r="K138" t="s">
        <v>464</v>
      </c>
    </row>
    <row r="139" spans="1:11">
      <c r="A139" t="s">
        <v>938</v>
      </c>
      <c r="B139" t="s">
        <v>1058</v>
      </c>
      <c r="C139" t="s">
        <v>40</v>
      </c>
      <c r="D139" t="s">
        <v>29</v>
      </c>
      <c r="E139" t="s">
        <v>155</v>
      </c>
      <c r="F139" t="s">
        <v>327</v>
      </c>
      <c r="G139" t="s">
        <v>463</v>
      </c>
      <c r="H139" t="s">
        <v>1047</v>
      </c>
      <c r="I139" t="s">
        <v>86</v>
      </c>
      <c r="J139" t="s">
        <v>930</v>
      </c>
      <c r="K139" t="s">
        <v>464</v>
      </c>
    </row>
    <row r="140" spans="1:11">
      <c r="A140" t="s">
        <v>938</v>
      </c>
      <c r="B140" t="s">
        <v>1058</v>
      </c>
      <c r="C140" t="s">
        <v>40</v>
      </c>
      <c r="D140" t="s">
        <v>31</v>
      </c>
      <c r="E140" t="s">
        <v>50</v>
      </c>
      <c r="F140" t="s">
        <v>246</v>
      </c>
      <c r="G140" t="s">
        <v>463</v>
      </c>
      <c r="H140" t="s">
        <v>1047</v>
      </c>
      <c r="I140" t="s">
        <v>86</v>
      </c>
      <c r="J140" t="s">
        <v>930</v>
      </c>
      <c r="K140" t="s">
        <v>464</v>
      </c>
    </row>
    <row r="141" spans="1:11">
      <c r="A141" t="s">
        <v>938</v>
      </c>
      <c r="B141" t="s">
        <v>1058</v>
      </c>
      <c r="C141" t="s">
        <v>44</v>
      </c>
      <c r="D141" t="s">
        <v>29</v>
      </c>
      <c r="E141" t="s">
        <v>155</v>
      </c>
      <c r="F141" t="s">
        <v>327</v>
      </c>
      <c r="G141" t="s">
        <v>463</v>
      </c>
      <c r="H141" t="s">
        <v>1047</v>
      </c>
      <c r="I141" t="s">
        <v>86</v>
      </c>
      <c r="J141" t="s">
        <v>930</v>
      </c>
      <c r="K141" t="s">
        <v>464</v>
      </c>
    </row>
    <row r="142" spans="1:11">
      <c r="A142" t="s">
        <v>938</v>
      </c>
      <c r="B142" t="s">
        <v>1058</v>
      </c>
      <c r="C142" t="s">
        <v>44</v>
      </c>
      <c r="D142" t="s">
        <v>30</v>
      </c>
      <c r="E142" t="s">
        <v>50</v>
      </c>
      <c r="F142" t="s">
        <v>475</v>
      </c>
      <c r="G142" t="s">
        <v>463</v>
      </c>
      <c r="H142" t="s">
        <v>1047</v>
      </c>
      <c r="I142" t="s">
        <v>86</v>
      </c>
      <c r="J142" t="s">
        <v>930</v>
      </c>
      <c r="K142" t="s">
        <v>464</v>
      </c>
    </row>
    <row r="143" spans="1:11">
      <c r="A143" t="s">
        <v>938</v>
      </c>
      <c r="B143" t="s">
        <v>1059</v>
      </c>
      <c r="C143" t="s">
        <v>40</v>
      </c>
      <c r="D143" t="s">
        <v>28</v>
      </c>
      <c r="E143" t="s">
        <v>50</v>
      </c>
      <c r="F143" t="s">
        <v>189</v>
      </c>
      <c r="G143" t="s">
        <v>508</v>
      </c>
      <c r="H143" t="s">
        <v>1047</v>
      </c>
      <c r="I143" t="s">
        <v>86</v>
      </c>
      <c r="J143" t="s">
        <v>930</v>
      </c>
      <c r="K143" t="s">
        <v>510</v>
      </c>
    </row>
    <row r="144" spans="1:11">
      <c r="A144" t="s">
        <v>938</v>
      </c>
      <c r="B144" t="s">
        <v>1059</v>
      </c>
      <c r="C144" t="s">
        <v>40</v>
      </c>
      <c r="D144" t="s">
        <v>28</v>
      </c>
      <c r="E144" t="s">
        <v>155</v>
      </c>
      <c r="F144" t="s">
        <v>327</v>
      </c>
      <c r="G144" t="s">
        <v>508</v>
      </c>
      <c r="H144" t="s">
        <v>1047</v>
      </c>
      <c r="I144" t="s">
        <v>86</v>
      </c>
      <c r="J144" t="s">
        <v>930</v>
      </c>
      <c r="K144" t="s">
        <v>510</v>
      </c>
    </row>
    <row r="145" spans="1:11">
      <c r="A145" t="s">
        <v>938</v>
      </c>
      <c r="B145" t="s">
        <v>1059</v>
      </c>
      <c r="C145" t="s">
        <v>40</v>
      </c>
      <c r="D145" t="s">
        <v>30</v>
      </c>
      <c r="E145" t="s">
        <v>155</v>
      </c>
      <c r="F145" t="s">
        <v>157</v>
      </c>
      <c r="G145" t="s">
        <v>508</v>
      </c>
      <c r="H145" t="s">
        <v>1047</v>
      </c>
      <c r="I145" t="s">
        <v>86</v>
      </c>
      <c r="J145" t="s">
        <v>930</v>
      </c>
      <c r="K145" t="s">
        <v>510</v>
      </c>
    </row>
    <row r="146" spans="1:11">
      <c r="A146" t="s">
        <v>938</v>
      </c>
      <c r="B146" t="s">
        <v>1059</v>
      </c>
      <c r="C146" t="s">
        <v>40</v>
      </c>
      <c r="D146" t="s">
        <v>30</v>
      </c>
      <c r="E146" t="s">
        <v>50</v>
      </c>
      <c r="F146" t="s">
        <v>475</v>
      </c>
      <c r="G146" t="s">
        <v>508</v>
      </c>
      <c r="H146" t="s">
        <v>1047</v>
      </c>
      <c r="I146" t="s">
        <v>86</v>
      </c>
      <c r="J146" t="s">
        <v>930</v>
      </c>
      <c r="K146" t="s">
        <v>510</v>
      </c>
    </row>
    <row r="147" spans="1:11">
      <c r="A147" t="s">
        <v>938</v>
      </c>
      <c r="B147" t="s">
        <v>1059</v>
      </c>
      <c r="C147" t="s">
        <v>44</v>
      </c>
      <c r="D147" t="s">
        <v>28</v>
      </c>
      <c r="E147" t="s">
        <v>50</v>
      </c>
      <c r="F147" t="s">
        <v>246</v>
      </c>
      <c r="G147" t="s">
        <v>508</v>
      </c>
      <c r="H147" t="s">
        <v>1047</v>
      </c>
      <c r="I147" t="s">
        <v>86</v>
      </c>
      <c r="J147" t="s">
        <v>930</v>
      </c>
      <c r="K147" t="s">
        <v>510</v>
      </c>
    </row>
    <row r="148" spans="1:11">
      <c r="A148" t="s">
        <v>938</v>
      </c>
      <c r="B148" t="s">
        <v>1059</v>
      </c>
      <c r="C148" t="s">
        <v>44</v>
      </c>
      <c r="D148" t="s">
        <v>29</v>
      </c>
      <c r="E148" t="s">
        <v>155</v>
      </c>
      <c r="F148" t="s">
        <v>522</v>
      </c>
      <c r="G148" t="s">
        <v>508</v>
      </c>
      <c r="H148" t="s">
        <v>1047</v>
      </c>
      <c r="I148" t="s">
        <v>86</v>
      </c>
      <c r="J148" t="s">
        <v>930</v>
      </c>
      <c r="K148" t="s">
        <v>510</v>
      </c>
    </row>
    <row r="149" spans="1:11">
      <c r="A149" t="s">
        <v>938</v>
      </c>
      <c r="B149" t="s">
        <v>1059</v>
      </c>
      <c r="C149" t="s">
        <v>44</v>
      </c>
      <c r="D149" t="s">
        <v>30</v>
      </c>
      <c r="E149" t="s">
        <v>50</v>
      </c>
      <c r="F149" t="s">
        <v>52</v>
      </c>
      <c r="G149" t="s">
        <v>508</v>
      </c>
      <c r="H149" t="s">
        <v>1047</v>
      </c>
      <c r="I149" t="s">
        <v>86</v>
      </c>
      <c r="J149" t="s">
        <v>930</v>
      </c>
      <c r="K149" t="s">
        <v>510</v>
      </c>
    </row>
    <row r="150" spans="1:11">
      <c r="A150" t="s">
        <v>938</v>
      </c>
      <c r="B150" t="s">
        <v>1060</v>
      </c>
      <c r="C150" t="s">
        <v>40</v>
      </c>
      <c r="D150" t="s">
        <v>28</v>
      </c>
      <c r="E150" t="s">
        <v>57</v>
      </c>
      <c r="F150" t="s">
        <v>556</v>
      </c>
      <c r="G150" t="s">
        <v>548</v>
      </c>
      <c r="H150" t="s">
        <v>1047</v>
      </c>
      <c r="I150" t="s">
        <v>86</v>
      </c>
      <c r="J150" t="s">
        <v>930</v>
      </c>
      <c r="K150" t="s">
        <v>549</v>
      </c>
    </row>
    <row r="151" spans="1:11">
      <c r="A151" t="s">
        <v>938</v>
      </c>
      <c r="B151" t="s">
        <v>1060</v>
      </c>
      <c r="C151" t="s">
        <v>40</v>
      </c>
      <c r="D151" t="s">
        <v>28</v>
      </c>
      <c r="E151" t="s">
        <v>55</v>
      </c>
      <c r="F151" t="s">
        <v>56</v>
      </c>
      <c r="G151" t="s">
        <v>548</v>
      </c>
      <c r="H151" t="s">
        <v>1047</v>
      </c>
      <c r="I151" t="s">
        <v>86</v>
      </c>
      <c r="J151" t="s">
        <v>930</v>
      </c>
      <c r="K151" t="s">
        <v>549</v>
      </c>
    </row>
    <row r="152" spans="1:11">
      <c r="A152" t="s">
        <v>938</v>
      </c>
      <c r="B152" t="s">
        <v>1060</v>
      </c>
      <c r="C152" t="s">
        <v>40</v>
      </c>
      <c r="D152" t="s">
        <v>29</v>
      </c>
      <c r="E152" t="s">
        <v>50</v>
      </c>
      <c r="F152" t="s">
        <v>557</v>
      </c>
      <c r="G152" t="s">
        <v>548</v>
      </c>
      <c r="H152" t="s">
        <v>1047</v>
      </c>
      <c r="I152" t="s">
        <v>86</v>
      </c>
      <c r="J152" t="s">
        <v>930</v>
      </c>
      <c r="K152" t="s">
        <v>549</v>
      </c>
    </row>
    <row r="153" spans="1:11">
      <c r="A153" t="s">
        <v>938</v>
      </c>
      <c r="B153" t="s">
        <v>1060</v>
      </c>
      <c r="C153" t="s">
        <v>40</v>
      </c>
      <c r="D153" t="s">
        <v>29</v>
      </c>
      <c r="E153" t="s">
        <v>50</v>
      </c>
      <c r="F153" t="s">
        <v>189</v>
      </c>
      <c r="G153" t="s">
        <v>548</v>
      </c>
      <c r="H153" t="s">
        <v>1047</v>
      </c>
      <c r="I153" t="s">
        <v>86</v>
      </c>
      <c r="J153" t="s">
        <v>930</v>
      </c>
      <c r="K153" t="s">
        <v>549</v>
      </c>
    </row>
    <row r="154" spans="1:11">
      <c r="A154" t="s">
        <v>938</v>
      </c>
      <c r="B154" t="s">
        <v>1060</v>
      </c>
      <c r="C154" t="s">
        <v>40</v>
      </c>
      <c r="D154" t="s">
        <v>30</v>
      </c>
      <c r="E154" t="s">
        <v>50</v>
      </c>
      <c r="F154" t="s">
        <v>246</v>
      </c>
      <c r="G154" t="s">
        <v>548</v>
      </c>
      <c r="H154" t="s">
        <v>1047</v>
      </c>
      <c r="I154" t="s">
        <v>86</v>
      </c>
      <c r="J154" t="s">
        <v>930</v>
      </c>
      <c r="K154" t="s">
        <v>549</v>
      </c>
    </row>
    <row r="155" spans="1:11">
      <c r="A155" t="s">
        <v>938</v>
      </c>
      <c r="B155" t="s">
        <v>1060</v>
      </c>
      <c r="C155" t="s">
        <v>40</v>
      </c>
      <c r="D155" t="s">
        <v>30</v>
      </c>
      <c r="E155" t="s">
        <v>53</v>
      </c>
      <c r="F155" t="s">
        <v>557</v>
      </c>
      <c r="G155" t="s">
        <v>548</v>
      </c>
      <c r="H155" t="s">
        <v>1047</v>
      </c>
      <c r="I155" t="s">
        <v>86</v>
      </c>
      <c r="J155" t="s">
        <v>930</v>
      </c>
      <c r="K155" t="s">
        <v>549</v>
      </c>
    </row>
    <row r="156" spans="1:11">
      <c r="A156" t="s">
        <v>938</v>
      </c>
      <c r="B156" t="s">
        <v>1060</v>
      </c>
      <c r="C156" t="s">
        <v>44</v>
      </c>
      <c r="D156" t="s">
        <v>28</v>
      </c>
      <c r="E156" t="s">
        <v>50</v>
      </c>
      <c r="F156" t="s">
        <v>325</v>
      </c>
      <c r="G156" t="s">
        <v>548</v>
      </c>
      <c r="H156" t="s">
        <v>1047</v>
      </c>
      <c r="I156" t="s">
        <v>86</v>
      </c>
      <c r="J156" t="s">
        <v>930</v>
      </c>
      <c r="K156" t="s">
        <v>549</v>
      </c>
    </row>
    <row r="157" spans="1:11">
      <c r="A157" t="s">
        <v>938</v>
      </c>
      <c r="B157" t="s">
        <v>1060</v>
      </c>
      <c r="C157" t="s">
        <v>44</v>
      </c>
      <c r="D157" t="s">
        <v>28</v>
      </c>
      <c r="E157" t="s">
        <v>50</v>
      </c>
      <c r="F157" t="s">
        <v>52</v>
      </c>
      <c r="G157" t="s">
        <v>548</v>
      </c>
      <c r="H157" t="s">
        <v>1047</v>
      </c>
      <c r="I157" t="s">
        <v>86</v>
      </c>
      <c r="J157" t="s">
        <v>930</v>
      </c>
      <c r="K157" t="s">
        <v>549</v>
      </c>
    </row>
    <row r="158" spans="1:11">
      <c r="A158" t="s">
        <v>938</v>
      </c>
      <c r="B158" t="s">
        <v>1060</v>
      </c>
      <c r="C158" t="s">
        <v>44</v>
      </c>
      <c r="D158" t="s">
        <v>29</v>
      </c>
      <c r="E158" t="s">
        <v>50</v>
      </c>
      <c r="F158" t="s">
        <v>189</v>
      </c>
      <c r="G158" t="s">
        <v>548</v>
      </c>
      <c r="H158" t="s">
        <v>1047</v>
      </c>
      <c r="I158" t="s">
        <v>86</v>
      </c>
      <c r="J158" t="s">
        <v>930</v>
      </c>
      <c r="K158" t="s">
        <v>549</v>
      </c>
    </row>
    <row r="159" spans="1:11">
      <c r="A159" t="s">
        <v>938</v>
      </c>
      <c r="B159" t="s">
        <v>1060</v>
      </c>
      <c r="C159" t="s">
        <v>44</v>
      </c>
      <c r="D159" t="s">
        <v>30</v>
      </c>
      <c r="E159" t="s">
        <v>50</v>
      </c>
      <c r="F159" t="s">
        <v>246</v>
      </c>
      <c r="G159" t="s">
        <v>548</v>
      </c>
      <c r="H159" t="s">
        <v>1047</v>
      </c>
      <c r="I159" t="s">
        <v>86</v>
      </c>
      <c r="J159" t="s">
        <v>930</v>
      </c>
      <c r="K159" t="s">
        <v>549</v>
      </c>
    </row>
    <row r="160" spans="1:11">
      <c r="A160" t="s">
        <v>938</v>
      </c>
      <c r="B160" t="s">
        <v>1060</v>
      </c>
      <c r="C160" t="s">
        <v>44</v>
      </c>
      <c r="D160" t="s">
        <v>30</v>
      </c>
      <c r="E160" t="s">
        <v>53</v>
      </c>
      <c r="F160" t="s">
        <v>557</v>
      </c>
      <c r="G160" t="s">
        <v>548</v>
      </c>
      <c r="H160" t="s">
        <v>1047</v>
      </c>
      <c r="I160" t="s">
        <v>86</v>
      </c>
      <c r="J160" t="s">
        <v>930</v>
      </c>
      <c r="K160" t="s">
        <v>549</v>
      </c>
    </row>
    <row r="161" spans="1:11">
      <c r="A161" t="s">
        <v>938</v>
      </c>
      <c r="B161" t="s">
        <v>1061</v>
      </c>
      <c r="C161" t="s">
        <v>40</v>
      </c>
      <c r="D161" t="s">
        <v>28</v>
      </c>
      <c r="E161" t="s">
        <v>50</v>
      </c>
      <c r="F161" t="s">
        <v>189</v>
      </c>
      <c r="G161" t="s">
        <v>579</v>
      </c>
      <c r="H161" t="s">
        <v>1047</v>
      </c>
      <c r="I161" t="s">
        <v>86</v>
      </c>
      <c r="J161" t="s">
        <v>930</v>
      </c>
      <c r="K161" t="s">
        <v>581</v>
      </c>
    </row>
    <row r="162" spans="1:11">
      <c r="A162" t="s">
        <v>938</v>
      </c>
      <c r="B162" t="s">
        <v>1061</v>
      </c>
      <c r="C162" t="s">
        <v>40</v>
      </c>
      <c r="D162" t="s">
        <v>28</v>
      </c>
      <c r="E162" t="s">
        <v>50</v>
      </c>
      <c r="F162" t="s">
        <v>52</v>
      </c>
      <c r="G162" t="s">
        <v>579</v>
      </c>
      <c r="H162" t="s">
        <v>1047</v>
      </c>
      <c r="I162" t="s">
        <v>86</v>
      </c>
      <c r="J162" t="s">
        <v>930</v>
      </c>
      <c r="K162" t="s">
        <v>581</v>
      </c>
    </row>
    <row r="163" spans="1:11">
      <c r="A163" t="s">
        <v>938</v>
      </c>
      <c r="B163" t="s">
        <v>1061</v>
      </c>
      <c r="C163" t="s">
        <v>40</v>
      </c>
      <c r="D163" t="s">
        <v>28</v>
      </c>
      <c r="E163" t="s">
        <v>50</v>
      </c>
      <c r="F163" t="s">
        <v>51</v>
      </c>
      <c r="G163" t="s">
        <v>579</v>
      </c>
      <c r="H163" t="s">
        <v>1047</v>
      </c>
      <c r="I163" t="s">
        <v>86</v>
      </c>
      <c r="J163" t="s">
        <v>930</v>
      </c>
      <c r="K163" t="s">
        <v>581</v>
      </c>
    </row>
    <row r="164" spans="1:11">
      <c r="A164" t="s">
        <v>938</v>
      </c>
      <c r="B164" t="s">
        <v>1061</v>
      </c>
      <c r="C164" t="s">
        <v>40</v>
      </c>
      <c r="D164" t="s">
        <v>28</v>
      </c>
      <c r="E164" t="s">
        <v>50</v>
      </c>
      <c r="F164" t="s">
        <v>246</v>
      </c>
      <c r="G164" t="s">
        <v>579</v>
      </c>
      <c r="H164" t="s">
        <v>1047</v>
      </c>
      <c r="I164" t="s">
        <v>86</v>
      </c>
      <c r="J164" t="s">
        <v>930</v>
      </c>
      <c r="K164" t="s">
        <v>581</v>
      </c>
    </row>
    <row r="165" spans="1:11">
      <c r="A165" t="s">
        <v>938</v>
      </c>
      <c r="B165" t="s">
        <v>1061</v>
      </c>
      <c r="C165" t="s">
        <v>40</v>
      </c>
      <c r="D165" t="s">
        <v>28</v>
      </c>
      <c r="E165" t="s">
        <v>57</v>
      </c>
      <c r="F165" t="s">
        <v>556</v>
      </c>
      <c r="G165" t="s">
        <v>579</v>
      </c>
      <c r="H165" t="s">
        <v>1047</v>
      </c>
      <c r="I165" t="s">
        <v>86</v>
      </c>
      <c r="J165" t="s">
        <v>930</v>
      </c>
      <c r="K165" t="s">
        <v>581</v>
      </c>
    </row>
    <row r="166" spans="1:11">
      <c r="A166" t="s">
        <v>938</v>
      </c>
      <c r="B166" t="s">
        <v>1061</v>
      </c>
      <c r="C166" t="s">
        <v>40</v>
      </c>
      <c r="D166" t="s">
        <v>28</v>
      </c>
      <c r="E166" t="s">
        <v>57</v>
      </c>
      <c r="F166" t="s">
        <v>190</v>
      </c>
      <c r="G166" t="s">
        <v>579</v>
      </c>
      <c r="H166" t="s">
        <v>1047</v>
      </c>
      <c r="I166" t="s">
        <v>86</v>
      </c>
      <c r="J166" t="s">
        <v>930</v>
      </c>
      <c r="K166" t="s">
        <v>581</v>
      </c>
    </row>
    <row r="167" spans="1:11">
      <c r="A167" t="s">
        <v>938</v>
      </c>
      <c r="B167" t="s">
        <v>1061</v>
      </c>
      <c r="C167" t="s">
        <v>40</v>
      </c>
      <c r="D167" t="s">
        <v>28</v>
      </c>
      <c r="E167" t="s">
        <v>57</v>
      </c>
      <c r="F167" t="s">
        <v>78</v>
      </c>
      <c r="G167" t="s">
        <v>579</v>
      </c>
      <c r="H167" t="s">
        <v>1047</v>
      </c>
      <c r="I167" t="s">
        <v>86</v>
      </c>
      <c r="J167" t="s">
        <v>930</v>
      </c>
      <c r="K167" t="s">
        <v>581</v>
      </c>
    </row>
    <row r="168" spans="1:11">
      <c r="A168" t="s">
        <v>938</v>
      </c>
      <c r="B168" t="s">
        <v>1061</v>
      </c>
      <c r="C168" t="s">
        <v>40</v>
      </c>
      <c r="D168" t="s">
        <v>28</v>
      </c>
      <c r="E168" t="s">
        <v>57</v>
      </c>
      <c r="F168" t="s">
        <v>591</v>
      </c>
      <c r="G168" t="s">
        <v>579</v>
      </c>
      <c r="H168" t="s">
        <v>1047</v>
      </c>
      <c r="I168" t="s">
        <v>86</v>
      </c>
      <c r="J168" t="s">
        <v>930</v>
      </c>
      <c r="K168" t="s">
        <v>581</v>
      </c>
    </row>
    <row r="169" spans="1:11">
      <c r="A169" t="s">
        <v>938</v>
      </c>
      <c r="B169" t="s">
        <v>1061</v>
      </c>
      <c r="C169" t="s">
        <v>40</v>
      </c>
      <c r="D169" t="s">
        <v>28</v>
      </c>
      <c r="E169" t="s">
        <v>57</v>
      </c>
      <c r="F169" t="s">
        <v>58</v>
      </c>
      <c r="G169" t="s">
        <v>579</v>
      </c>
      <c r="H169" t="s">
        <v>1047</v>
      </c>
      <c r="I169" t="s">
        <v>86</v>
      </c>
      <c r="J169" t="s">
        <v>930</v>
      </c>
      <c r="K169" t="s">
        <v>581</v>
      </c>
    </row>
    <row r="170" spans="1:11">
      <c r="A170" t="s">
        <v>938</v>
      </c>
      <c r="B170" t="s">
        <v>1061</v>
      </c>
      <c r="C170" t="s">
        <v>40</v>
      </c>
      <c r="D170" t="s">
        <v>28</v>
      </c>
      <c r="E170" t="s">
        <v>57</v>
      </c>
      <c r="F170" t="s">
        <v>592</v>
      </c>
      <c r="G170" t="s">
        <v>579</v>
      </c>
      <c r="H170" t="s">
        <v>1047</v>
      </c>
      <c r="I170" t="s">
        <v>86</v>
      </c>
      <c r="J170" t="s">
        <v>930</v>
      </c>
      <c r="K170" t="s">
        <v>581</v>
      </c>
    </row>
    <row r="171" spans="1:11">
      <c r="A171" t="s">
        <v>938</v>
      </c>
      <c r="B171" t="s">
        <v>1061</v>
      </c>
      <c r="C171" t="s">
        <v>40</v>
      </c>
      <c r="D171" t="s">
        <v>28</v>
      </c>
      <c r="E171" t="s">
        <v>53</v>
      </c>
      <c r="F171" t="s">
        <v>54</v>
      </c>
      <c r="G171" t="s">
        <v>579</v>
      </c>
      <c r="H171" t="s">
        <v>1047</v>
      </c>
      <c r="I171" t="s">
        <v>86</v>
      </c>
      <c r="J171" t="s">
        <v>930</v>
      </c>
      <c r="K171" t="s">
        <v>581</v>
      </c>
    </row>
    <row r="172" spans="1:11">
      <c r="A172" t="s">
        <v>938</v>
      </c>
      <c r="B172" t="s">
        <v>1061</v>
      </c>
      <c r="C172" t="s">
        <v>40</v>
      </c>
      <c r="D172" t="s">
        <v>28</v>
      </c>
      <c r="E172" t="s">
        <v>53</v>
      </c>
      <c r="F172" t="s">
        <v>192</v>
      </c>
      <c r="G172" t="s">
        <v>579</v>
      </c>
      <c r="H172" t="s">
        <v>1047</v>
      </c>
      <c r="I172" t="s">
        <v>86</v>
      </c>
      <c r="J172" t="s">
        <v>930</v>
      </c>
      <c r="K172" t="s">
        <v>581</v>
      </c>
    </row>
    <row r="173" spans="1:11">
      <c r="A173" t="s">
        <v>938</v>
      </c>
      <c r="B173" t="s">
        <v>1061</v>
      </c>
      <c r="C173" t="s">
        <v>40</v>
      </c>
      <c r="D173" t="s">
        <v>28</v>
      </c>
      <c r="E173" t="s">
        <v>155</v>
      </c>
      <c r="F173" t="s">
        <v>156</v>
      </c>
      <c r="G173" t="s">
        <v>579</v>
      </c>
      <c r="H173" t="s">
        <v>1047</v>
      </c>
      <c r="I173" t="s">
        <v>86</v>
      </c>
      <c r="J173" t="s">
        <v>930</v>
      </c>
      <c r="K173" t="s">
        <v>581</v>
      </c>
    </row>
    <row r="174" spans="1:11">
      <c r="A174" t="s">
        <v>938</v>
      </c>
      <c r="B174" t="s">
        <v>1061</v>
      </c>
      <c r="C174" t="s">
        <v>40</v>
      </c>
      <c r="D174" t="s">
        <v>28</v>
      </c>
      <c r="E174" t="s">
        <v>155</v>
      </c>
      <c r="F174" t="s">
        <v>327</v>
      </c>
      <c r="G174" t="s">
        <v>579</v>
      </c>
      <c r="H174" t="s">
        <v>1047</v>
      </c>
      <c r="I174" t="s">
        <v>86</v>
      </c>
      <c r="J174" t="s">
        <v>930</v>
      </c>
      <c r="K174" t="s">
        <v>581</v>
      </c>
    </row>
    <row r="175" spans="1:11">
      <c r="A175" t="s">
        <v>938</v>
      </c>
      <c r="B175" t="s">
        <v>1061</v>
      </c>
      <c r="C175" t="s">
        <v>40</v>
      </c>
      <c r="D175" t="s">
        <v>28</v>
      </c>
      <c r="E175" t="s">
        <v>155</v>
      </c>
      <c r="F175" t="s">
        <v>157</v>
      </c>
      <c r="G175" t="s">
        <v>579</v>
      </c>
      <c r="H175" t="s">
        <v>1047</v>
      </c>
      <c r="I175" t="s">
        <v>86</v>
      </c>
      <c r="J175" t="s">
        <v>930</v>
      </c>
      <c r="K175" t="s">
        <v>581</v>
      </c>
    </row>
    <row r="176" spans="1:11">
      <c r="A176" t="s">
        <v>938</v>
      </c>
      <c r="B176" t="s">
        <v>1061</v>
      </c>
      <c r="C176" t="s">
        <v>40</v>
      </c>
      <c r="D176" t="s">
        <v>28</v>
      </c>
      <c r="E176" t="s">
        <v>155</v>
      </c>
      <c r="F176" t="s">
        <v>373</v>
      </c>
      <c r="G176" t="s">
        <v>579</v>
      </c>
      <c r="H176" t="s">
        <v>1047</v>
      </c>
      <c r="I176" t="s">
        <v>86</v>
      </c>
      <c r="J176" t="s">
        <v>930</v>
      </c>
      <c r="K176" t="s">
        <v>581</v>
      </c>
    </row>
    <row r="177" spans="1:11">
      <c r="A177" t="s">
        <v>938</v>
      </c>
      <c r="B177" t="s">
        <v>1061</v>
      </c>
      <c r="C177" t="s">
        <v>40</v>
      </c>
      <c r="D177" t="s">
        <v>28</v>
      </c>
      <c r="E177" t="s">
        <v>155</v>
      </c>
      <c r="F177" t="s">
        <v>593</v>
      </c>
      <c r="G177" t="s">
        <v>579</v>
      </c>
      <c r="H177" t="s">
        <v>1047</v>
      </c>
      <c r="I177" t="s">
        <v>86</v>
      </c>
      <c r="J177" t="s">
        <v>930</v>
      </c>
      <c r="K177" t="s">
        <v>581</v>
      </c>
    </row>
    <row r="178" spans="1:11">
      <c r="A178" t="s">
        <v>938</v>
      </c>
      <c r="B178" t="s">
        <v>1061</v>
      </c>
      <c r="C178" t="s">
        <v>40</v>
      </c>
      <c r="D178" t="s">
        <v>28</v>
      </c>
      <c r="E178" t="s">
        <v>55</v>
      </c>
      <c r="F178" t="s">
        <v>191</v>
      </c>
      <c r="G178" t="s">
        <v>579</v>
      </c>
      <c r="H178" t="s">
        <v>1047</v>
      </c>
      <c r="I178" t="s">
        <v>86</v>
      </c>
      <c r="J178" t="s">
        <v>930</v>
      </c>
      <c r="K178" t="s">
        <v>581</v>
      </c>
    </row>
    <row r="179" spans="1:11">
      <c r="A179" t="s">
        <v>938</v>
      </c>
      <c r="B179" t="s">
        <v>1061</v>
      </c>
      <c r="C179" t="s">
        <v>40</v>
      </c>
      <c r="D179" t="s">
        <v>28</v>
      </c>
      <c r="E179" t="s">
        <v>55</v>
      </c>
      <c r="F179" t="s">
        <v>293</v>
      </c>
      <c r="G179" t="s">
        <v>579</v>
      </c>
      <c r="H179" t="s">
        <v>1047</v>
      </c>
      <c r="I179" t="s">
        <v>86</v>
      </c>
      <c r="J179" t="s">
        <v>930</v>
      </c>
      <c r="K179" t="s">
        <v>581</v>
      </c>
    </row>
    <row r="180" spans="1:11">
      <c r="A180" t="s">
        <v>938</v>
      </c>
      <c r="B180" t="s">
        <v>1061</v>
      </c>
      <c r="C180" t="s">
        <v>40</v>
      </c>
      <c r="D180" t="s">
        <v>28</v>
      </c>
      <c r="E180" t="s">
        <v>252</v>
      </c>
      <c r="F180" t="s">
        <v>594</v>
      </c>
      <c r="G180" t="s">
        <v>579</v>
      </c>
      <c r="H180" t="s">
        <v>1047</v>
      </c>
      <c r="I180" t="s">
        <v>86</v>
      </c>
      <c r="J180" t="s">
        <v>930</v>
      </c>
      <c r="K180" t="s">
        <v>581</v>
      </c>
    </row>
    <row r="181" spans="1:11">
      <c r="A181" t="s">
        <v>938</v>
      </c>
      <c r="B181" t="s">
        <v>1062</v>
      </c>
      <c r="C181" t="s">
        <v>40</v>
      </c>
      <c r="D181" t="s">
        <v>28</v>
      </c>
      <c r="E181" t="s">
        <v>50</v>
      </c>
      <c r="F181" t="s">
        <v>246</v>
      </c>
      <c r="G181" t="s">
        <v>619</v>
      </c>
      <c r="H181" t="s">
        <v>1047</v>
      </c>
      <c r="I181" t="s">
        <v>86</v>
      </c>
      <c r="J181" t="s">
        <v>930</v>
      </c>
      <c r="K181" t="s">
        <v>6</v>
      </c>
    </row>
    <row r="182" spans="1:11">
      <c r="A182" t="s">
        <v>938</v>
      </c>
      <c r="B182" t="s">
        <v>1062</v>
      </c>
      <c r="C182" t="s">
        <v>40</v>
      </c>
      <c r="D182" t="s">
        <v>29</v>
      </c>
      <c r="E182" t="s">
        <v>155</v>
      </c>
      <c r="F182" t="s">
        <v>327</v>
      </c>
      <c r="G182" t="s">
        <v>619</v>
      </c>
      <c r="H182" t="s">
        <v>1047</v>
      </c>
      <c r="I182" t="s">
        <v>86</v>
      </c>
      <c r="J182" t="s">
        <v>930</v>
      </c>
      <c r="K182" t="s">
        <v>6</v>
      </c>
    </row>
    <row r="183" spans="1:11">
      <c r="A183" t="s">
        <v>938</v>
      </c>
      <c r="B183" t="s">
        <v>1062</v>
      </c>
      <c r="C183" t="s">
        <v>40</v>
      </c>
      <c r="D183" t="s">
        <v>30</v>
      </c>
      <c r="E183" t="s">
        <v>53</v>
      </c>
      <c r="F183" t="s">
        <v>154</v>
      </c>
      <c r="G183" t="s">
        <v>619</v>
      </c>
      <c r="H183" t="s">
        <v>1047</v>
      </c>
      <c r="I183" t="s">
        <v>86</v>
      </c>
      <c r="J183" t="s">
        <v>930</v>
      </c>
      <c r="K183" t="s">
        <v>6</v>
      </c>
    </row>
    <row r="184" spans="1:11">
      <c r="A184" t="s">
        <v>938</v>
      </c>
      <c r="B184" t="s">
        <v>1062</v>
      </c>
      <c r="C184" t="s">
        <v>40</v>
      </c>
      <c r="D184" t="s">
        <v>31</v>
      </c>
      <c r="E184" t="s">
        <v>101</v>
      </c>
      <c r="F184" t="s">
        <v>635</v>
      </c>
      <c r="G184" t="s">
        <v>619</v>
      </c>
      <c r="H184" t="s">
        <v>1047</v>
      </c>
      <c r="I184" t="s">
        <v>86</v>
      </c>
      <c r="J184" t="s">
        <v>930</v>
      </c>
      <c r="K184" t="s">
        <v>6</v>
      </c>
    </row>
    <row r="185" spans="1:11">
      <c r="A185" t="s">
        <v>938</v>
      </c>
      <c r="B185" t="s">
        <v>1062</v>
      </c>
      <c r="C185" t="s">
        <v>40</v>
      </c>
      <c r="D185" t="s">
        <v>32</v>
      </c>
      <c r="E185" t="s">
        <v>55</v>
      </c>
      <c r="F185" t="s">
        <v>191</v>
      </c>
      <c r="G185" t="s">
        <v>619</v>
      </c>
      <c r="H185" t="s">
        <v>1047</v>
      </c>
      <c r="I185" t="s">
        <v>86</v>
      </c>
      <c r="J185" t="s">
        <v>930</v>
      </c>
      <c r="K185" t="s">
        <v>6</v>
      </c>
    </row>
    <row r="186" spans="1:11">
      <c r="A186" t="s">
        <v>938</v>
      </c>
      <c r="B186" t="s">
        <v>1062</v>
      </c>
      <c r="C186" t="s">
        <v>44</v>
      </c>
      <c r="D186" t="s">
        <v>28</v>
      </c>
      <c r="E186" t="s">
        <v>252</v>
      </c>
      <c r="F186" t="s">
        <v>636</v>
      </c>
      <c r="G186" t="s">
        <v>619</v>
      </c>
      <c r="H186" t="s">
        <v>1047</v>
      </c>
      <c r="I186" t="s">
        <v>86</v>
      </c>
      <c r="J186" t="s">
        <v>930</v>
      </c>
      <c r="K186" t="s">
        <v>6</v>
      </c>
    </row>
    <row r="187" spans="1:11">
      <c r="A187" t="s">
        <v>938</v>
      </c>
      <c r="B187" t="s">
        <v>1062</v>
      </c>
      <c r="C187" t="s">
        <v>44</v>
      </c>
      <c r="D187" t="s">
        <v>29</v>
      </c>
      <c r="E187" t="s">
        <v>155</v>
      </c>
      <c r="F187" t="s">
        <v>156</v>
      </c>
      <c r="G187" t="s">
        <v>619</v>
      </c>
      <c r="H187" t="s">
        <v>1047</v>
      </c>
      <c r="I187" t="s">
        <v>86</v>
      </c>
      <c r="J187" t="s">
        <v>930</v>
      </c>
      <c r="K187" t="s">
        <v>6</v>
      </c>
    </row>
    <row r="188" spans="1:11">
      <c r="A188" t="s">
        <v>938</v>
      </c>
      <c r="B188" t="s">
        <v>1062</v>
      </c>
      <c r="C188" t="s">
        <v>44</v>
      </c>
      <c r="D188" t="s">
        <v>30</v>
      </c>
      <c r="E188" t="s">
        <v>50</v>
      </c>
      <c r="F188" t="s">
        <v>189</v>
      </c>
      <c r="G188" t="s">
        <v>619</v>
      </c>
      <c r="H188" t="s">
        <v>1047</v>
      </c>
      <c r="I188" t="s">
        <v>86</v>
      </c>
      <c r="J188" t="s">
        <v>930</v>
      </c>
      <c r="K188" t="s">
        <v>6</v>
      </c>
    </row>
    <row r="189" spans="1:11">
      <c r="A189" t="s">
        <v>938</v>
      </c>
      <c r="B189" t="s">
        <v>1062</v>
      </c>
      <c r="C189" t="s">
        <v>44</v>
      </c>
      <c r="D189" t="s">
        <v>31</v>
      </c>
      <c r="E189" t="s">
        <v>252</v>
      </c>
      <c r="F189" t="s">
        <v>636</v>
      </c>
      <c r="G189" t="s">
        <v>619</v>
      </c>
      <c r="H189" t="s">
        <v>1047</v>
      </c>
      <c r="I189" t="s">
        <v>86</v>
      </c>
      <c r="J189" t="s">
        <v>930</v>
      </c>
      <c r="K189" t="s">
        <v>6</v>
      </c>
    </row>
    <row r="190" spans="1:11">
      <c r="A190" t="s">
        <v>938</v>
      </c>
      <c r="B190" t="s">
        <v>1062</v>
      </c>
      <c r="C190" t="s">
        <v>44</v>
      </c>
      <c r="D190" t="s">
        <v>32</v>
      </c>
      <c r="E190" t="s">
        <v>55</v>
      </c>
      <c r="F190" t="s">
        <v>56</v>
      </c>
      <c r="G190" t="s">
        <v>619</v>
      </c>
      <c r="H190" t="s">
        <v>1047</v>
      </c>
      <c r="I190" t="s">
        <v>86</v>
      </c>
      <c r="J190" t="s">
        <v>930</v>
      </c>
      <c r="K190" t="s">
        <v>6</v>
      </c>
    </row>
    <row r="191" spans="1:11">
      <c r="A191" t="s">
        <v>938</v>
      </c>
      <c r="B191" t="s">
        <v>1063</v>
      </c>
      <c r="C191" t="s">
        <v>40</v>
      </c>
      <c r="D191" t="s">
        <v>28</v>
      </c>
      <c r="E191" t="s">
        <v>50</v>
      </c>
      <c r="F191" t="s">
        <v>189</v>
      </c>
      <c r="G191" t="s">
        <v>720</v>
      </c>
      <c r="H191" t="s">
        <v>1047</v>
      </c>
      <c r="I191" t="s">
        <v>86</v>
      </c>
      <c r="J191" t="s">
        <v>930</v>
      </c>
      <c r="K191" t="s">
        <v>920</v>
      </c>
    </row>
    <row r="192" spans="1:11">
      <c r="A192" t="s">
        <v>938</v>
      </c>
      <c r="B192" t="s">
        <v>1063</v>
      </c>
      <c r="C192" t="s">
        <v>44</v>
      </c>
      <c r="D192" t="s">
        <v>28</v>
      </c>
      <c r="E192" t="s">
        <v>50</v>
      </c>
      <c r="F192" t="s">
        <v>475</v>
      </c>
      <c r="G192" t="s">
        <v>720</v>
      </c>
      <c r="H192" t="s">
        <v>1047</v>
      </c>
      <c r="I192" t="s">
        <v>86</v>
      </c>
      <c r="J192" t="s">
        <v>930</v>
      </c>
      <c r="K192" t="s">
        <v>920</v>
      </c>
    </row>
    <row r="193" spans="1:11">
      <c r="A193" t="s">
        <v>938</v>
      </c>
      <c r="B193" t="s">
        <v>1063</v>
      </c>
      <c r="C193" t="s">
        <v>40</v>
      </c>
      <c r="D193" t="s">
        <v>30</v>
      </c>
      <c r="E193" t="s">
        <v>57</v>
      </c>
      <c r="F193" t="s">
        <v>78</v>
      </c>
      <c r="G193" t="s">
        <v>720</v>
      </c>
      <c r="H193" t="s">
        <v>1047</v>
      </c>
      <c r="I193" t="s">
        <v>86</v>
      </c>
      <c r="J193" t="s">
        <v>930</v>
      </c>
      <c r="K193" t="s">
        <v>920</v>
      </c>
    </row>
    <row r="194" spans="1:11">
      <c r="A194" t="s">
        <v>938</v>
      </c>
      <c r="B194" t="s">
        <v>1063</v>
      </c>
      <c r="C194" t="s">
        <v>40</v>
      </c>
      <c r="D194" t="s">
        <v>30</v>
      </c>
      <c r="E194" t="s">
        <v>53</v>
      </c>
      <c r="F194" t="s">
        <v>192</v>
      </c>
      <c r="G194" t="s">
        <v>720</v>
      </c>
      <c r="H194" t="s">
        <v>1047</v>
      </c>
      <c r="I194" t="s">
        <v>86</v>
      </c>
      <c r="J194" t="s">
        <v>930</v>
      </c>
      <c r="K194" t="s">
        <v>920</v>
      </c>
    </row>
    <row r="195" spans="1:11">
      <c r="A195" t="s">
        <v>938</v>
      </c>
      <c r="B195" t="s">
        <v>1063</v>
      </c>
      <c r="C195" t="s">
        <v>40</v>
      </c>
      <c r="D195" t="s">
        <v>30</v>
      </c>
      <c r="E195" t="s">
        <v>155</v>
      </c>
      <c r="F195" t="s">
        <v>157</v>
      </c>
      <c r="G195" t="s">
        <v>720</v>
      </c>
      <c r="H195" t="s">
        <v>1047</v>
      </c>
      <c r="I195" t="s">
        <v>86</v>
      </c>
      <c r="J195" t="s">
        <v>930</v>
      </c>
      <c r="K195" t="s">
        <v>920</v>
      </c>
    </row>
    <row r="196" spans="1:11">
      <c r="A196" t="s">
        <v>938</v>
      </c>
      <c r="B196" t="s">
        <v>1063</v>
      </c>
      <c r="C196" t="s">
        <v>44</v>
      </c>
      <c r="D196" t="s">
        <v>30</v>
      </c>
      <c r="E196" t="s">
        <v>99</v>
      </c>
      <c r="F196" t="s">
        <v>100</v>
      </c>
      <c r="G196" t="s">
        <v>720</v>
      </c>
      <c r="H196" t="s">
        <v>1047</v>
      </c>
      <c r="I196" t="s">
        <v>86</v>
      </c>
      <c r="J196" t="s">
        <v>930</v>
      </c>
      <c r="K196" t="s">
        <v>920</v>
      </c>
    </row>
    <row r="197" spans="1:11">
      <c r="A197" t="s">
        <v>938</v>
      </c>
      <c r="B197" t="s">
        <v>1063</v>
      </c>
      <c r="C197" t="s">
        <v>44</v>
      </c>
      <c r="D197" t="s">
        <v>29</v>
      </c>
      <c r="E197" t="s">
        <v>55</v>
      </c>
      <c r="F197" t="s">
        <v>56</v>
      </c>
      <c r="G197" t="s">
        <v>720</v>
      </c>
      <c r="H197" t="s">
        <v>1047</v>
      </c>
      <c r="I197" t="s">
        <v>86</v>
      </c>
      <c r="J197" t="s">
        <v>930</v>
      </c>
      <c r="K197" t="s">
        <v>920</v>
      </c>
    </row>
    <row r="198" spans="1:11">
      <c r="A198" t="s">
        <v>938</v>
      </c>
      <c r="B198" t="s">
        <v>1063</v>
      </c>
      <c r="C198" t="s">
        <v>44</v>
      </c>
      <c r="D198" t="s">
        <v>29</v>
      </c>
      <c r="E198" t="s">
        <v>252</v>
      </c>
      <c r="F198" t="s">
        <v>636</v>
      </c>
      <c r="G198" t="s">
        <v>720</v>
      </c>
      <c r="H198" t="s">
        <v>1047</v>
      </c>
      <c r="I198" t="s">
        <v>86</v>
      </c>
      <c r="J198" t="s">
        <v>930</v>
      </c>
      <c r="K198" t="s">
        <v>920</v>
      </c>
    </row>
    <row r="199" spans="1:11">
      <c r="A199" t="s">
        <v>938</v>
      </c>
      <c r="B199" t="s">
        <v>1063</v>
      </c>
      <c r="C199" t="s">
        <v>44</v>
      </c>
      <c r="D199" t="s">
        <v>30</v>
      </c>
      <c r="E199" t="s">
        <v>105</v>
      </c>
      <c r="F199" t="s">
        <v>106</v>
      </c>
      <c r="G199" t="s">
        <v>720</v>
      </c>
      <c r="H199" t="s">
        <v>1047</v>
      </c>
      <c r="I199" t="s">
        <v>86</v>
      </c>
      <c r="J199" t="s">
        <v>930</v>
      </c>
      <c r="K199" t="s">
        <v>920</v>
      </c>
    </row>
    <row r="200" spans="1:11">
      <c r="A200" t="s">
        <v>938</v>
      </c>
      <c r="B200" t="s">
        <v>1063</v>
      </c>
      <c r="C200" t="s">
        <v>44</v>
      </c>
      <c r="D200" t="s">
        <v>30</v>
      </c>
      <c r="E200" t="s">
        <v>105</v>
      </c>
      <c r="F200" t="s">
        <v>248</v>
      </c>
      <c r="G200" t="s">
        <v>720</v>
      </c>
      <c r="H200" t="s">
        <v>1047</v>
      </c>
      <c r="I200" t="s">
        <v>86</v>
      </c>
      <c r="J200" t="s">
        <v>930</v>
      </c>
      <c r="K200" t="s">
        <v>920</v>
      </c>
    </row>
    <row r="201" spans="1:11">
      <c r="A201" t="s">
        <v>938</v>
      </c>
      <c r="B201" t="s">
        <v>1063</v>
      </c>
      <c r="C201" t="s">
        <v>44</v>
      </c>
      <c r="D201" t="s">
        <v>30</v>
      </c>
      <c r="E201" t="s">
        <v>101</v>
      </c>
      <c r="F201" t="s">
        <v>732</v>
      </c>
      <c r="G201" t="s">
        <v>720</v>
      </c>
      <c r="H201" t="s">
        <v>1047</v>
      </c>
      <c r="I201" t="s">
        <v>86</v>
      </c>
      <c r="J201" t="s">
        <v>930</v>
      </c>
      <c r="K201" t="s">
        <v>920</v>
      </c>
    </row>
    <row r="202" spans="1:11">
      <c r="A202" t="s">
        <v>938</v>
      </c>
      <c r="B202" t="s">
        <v>1063</v>
      </c>
      <c r="C202" t="s">
        <v>44</v>
      </c>
      <c r="D202" t="s">
        <v>28</v>
      </c>
      <c r="E202" t="s">
        <v>101</v>
      </c>
      <c r="F202" t="s">
        <v>102</v>
      </c>
      <c r="G202" t="s">
        <v>720</v>
      </c>
      <c r="H202" t="s">
        <v>1047</v>
      </c>
      <c r="I202" t="s">
        <v>86</v>
      </c>
      <c r="J202" t="s">
        <v>930</v>
      </c>
      <c r="K202" t="s">
        <v>920</v>
      </c>
    </row>
    <row r="203" spans="1:11">
      <c r="A203" t="s">
        <v>938</v>
      </c>
      <c r="B203" t="s">
        <v>1063</v>
      </c>
      <c r="C203" t="s">
        <v>44</v>
      </c>
      <c r="D203" t="s">
        <v>29</v>
      </c>
      <c r="E203" t="s">
        <v>399</v>
      </c>
      <c r="F203" t="s">
        <v>400</v>
      </c>
      <c r="G203" t="s">
        <v>720</v>
      </c>
      <c r="H203" t="s">
        <v>1047</v>
      </c>
      <c r="I203" t="s">
        <v>86</v>
      </c>
      <c r="J203" t="s">
        <v>930</v>
      </c>
      <c r="K203" t="s">
        <v>920</v>
      </c>
    </row>
    <row r="204" spans="1:11">
      <c r="A204" t="s">
        <v>938</v>
      </c>
      <c r="B204" t="s">
        <v>1063</v>
      </c>
      <c r="C204" t="s">
        <v>44</v>
      </c>
      <c r="D204" t="s">
        <v>29</v>
      </c>
      <c r="E204" t="s">
        <v>399</v>
      </c>
      <c r="F204" t="s">
        <v>733</v>
      </c>
      <c r="G204" t="s">
        <v>720</v>
      </c>
      <c r="H204" t="s">
        <v>1047</v>
      </c>
      <c r="I204" t="s">
        <v>86</v>
      </c>
      <c r="J204" t="s">
        <v>930</v>
      </c>
      <c r="K204" t="s">
        <v>920</v>
      </c>
    </row>
    <row r="205" spans="1:11">
      <c r="A205" t="s">
        <v>938</v>
      </c>
      <c r="B205" t="s">
        <v>1063</v>
      </c>
      <c r="C205" t="s">
        <v>44</v>
      </c>
      <c r="D205" t="s">
        <v>29</v>
      </c>
      <c r="E205" t="s">
        <v>399</v>
      </c>
      <c r="F205" t="s">
        <v>734</v>
      </c>
      <c r="G205" t="s">
        <v>720</v>
      </c>
      <c r="H205" t="s">
        <v>1047</v>
      </c>
      <c r="I205" t="s">
        <v>86</v>
      </c>
      <c r="J205" t="s">
        <v>930</v>
      </c>
      <c r="K205" t="s">
        <v>920</v>
      </c>
    </row>
    <row r="206" spans="1:11">
      <c r="A206" t="s">
        <v>938</v>
      </c>
      <c r="B206" t="s">
        <v>1063</v>
      </c>
      <c r="C206" t="s">
        <v>44</v>
      </c>
      <c r="D206" t="s">
        <v>29</v>
      </c>
      <c r="E206" t="s">
        <v>399</v>
      </c>
      <c r="F206" t="s">
        <v>735</v>
      </c>
      <c r="G206" t="s">
        <v>720</v>
      </c>
      <c r="H206" t="s">
        <v>1047</v>
      </c>
      <c r="I206" t="s">
        <v>86</v>
      </c>
      <c r="J206" t="s">
        <v>930</v>
      </c>
      <c r="K206" t="s">
        <v>920</v>
      </c>
    </row>
    <row r="207" spans="1:11">
      <c r="A207" t="s">
        <v>938</v>
      </c>
      <c r="B207" t="s">
        <v>1064</v>
      </c>
      <c r="C207" t="s">
        <v>40</v>
      </c>
      <c r="D207" t="s">
        <v>28</v>
      </c>
      <c r="E207" t="s">
        <v>57</v>
      </c>
      <c r="F207" t="s">
        <v>556</v>
      </c>
      <c r="G207" t="s">
        <v>686</v>
      </c>
      <c r="H207" t="s">
        <v>1047</v>
      </c>
      <c r="I207" t="s">
        <v>86</v>
      </c>
      <c r="J207" t="s">
        <v>930</v>
      </c>
      <c r="K207" t="s">
        <v>688</v>
      </c>
    </row>
    <row r="208" spans="1:11">
      <c r="A208" t="s">
        <v>938</v>
      </c>
      <c r="B208" t="s">
        <v>1064</v>
      </c>
      <c r="C208" t="s">
        <v>40</v>
      </c>
      <c r="D208" t="s">
        <v>28</v>
      </c>
      <c r="E208" t="s">
        <v>55</v>
      </c>
      <c r="F208" t="s">
        <v>56</v>
      </c>
      <c r="G208" t="s">
        <v>686</v>
      </c>
      <c r="H208" t="s">
        <v>1047</v>
      </c>
      <c r="I208" t="s">
        <v>86</v>
      </c>
      <c r="J208" t="s">
        <v>930</v>
      </c>
      <c r="K208" t="s">
        <v>688</v>
      </c>
    </row>
    <row r="209" spans="1:11">
      <c r="A209" t="s">
        <v>938</v>
      </c>
      <c r="B209" t="s">
        <v>1064</v>
      </c>
      <c r="C209" t="s">
        <v>40</v>
      </c>
      <c r="D209" t="s">
        <v>29</v>
      </c>
      <c r="E209" t="s">
        <v>50</v>
      </c>
      <c r="F209" t="s">
        <v>557</v>
      </c>
      <c r="G209" t="s">
        <v>686</v>
      </c>
      <c r="H209" t="s">
        <v>1047</v>
      </c>
      <c r="I209" t="s">
        <v>86</v>
      </c>
      <c r="J209" t="s">
        <v>930</v>
      </c>
      <c r="K209" t="s">
        <v>688</v>
      </c>
    </row>
    <row r="210" spans="1:11">
      <c r="A210" t="s">
        <v>938</v>
      </c>
      <c r="B210" t="s">
        <v>1064</v>
      </c>
      <c r="C210" t="s">
        <v>40</v>
      </c>
      <c r="D210" t="s">
        <v>29</v>
      </c>
      <c r="E210" t="s">
        <v>50</v>
      </c>
      <c r="F210" t="s">
        <v>189</v>
      </c>
      <c r="G210" t="s">
        <v>686</v>
      </c>
      <c r="H210" t="s">
        <v>1047</v>
      </c>
      <c r="I210" t="s">
        <v>86</v>
      </c>
      <c r="J210" t="s">
        <v>930</v>
      </c>
      <c r="K210" t="s">
        <v>688</v>
      </c>
    </row>
    <row r="211" spans="1:11">
      <c r="A211" t="s">
        <v>938</v>
      </c>
      <c r="B211" t="s">
        <v>1064</v>
      </c>
      <c r="C211" t="s">
        <v>40</v>
      </c>
      <c r="D211" t="s">
        <v>30</v>
      </c>
      <c r="E211" t="s">
        <v>50</v>
      </c>
      <c r="F211" t="s">
        <v>246</v>
      </c>
      <c r="G211" t="s">
        <v>686</v>
      </c>
      <c r="H211" t="s">
        <v>1047</v>
      </c>
      <c r="I211" t="s">
        <v>86</v>
      </c>
      <c r="J211" t="s">
        <v>930</v>
      </c>
      <c r="K211" t="s">
        <v>688</v>
      </c>
    </row>
    <row r="212" spans="1:11">
      <c r="A212" t="s">
        <v>938</v>
      </c>
      <c r="B212" t="s">
        <v>1064</v>
      </c>
      <c r="C212" t="s">
        <v>44</v>
      </c>
      <c r="D212" t="s">
        <v>30</v>
      </c>
      <c r="E212" t="s">
        <v>53</v>
      </c>
      <c r="F212" t="s">
        <v>557</v>
      </c>
      <c r="G212" t="s">
        <v>686</v>
      </c>
      <c r="H212" t="s">
        <v>1047</v>
      </c>
      <c r="I212" t="s">
        <v>86</v>
      </c>
      <c r="J212" t="s">
        <v>930</v>
      </c>
      <c r="K212" t="s">
        <v>688</v>
      </c>
    </row>
    <row r="213" spans="1:11">
      <c r="A213" t="s">
        <v>938</v>
      </c>
      <c r="B213" t="s">
        <v>1064</v>
      </c>
      <c r="C213" t="s">
        <v>44</v>
      </c>
      <c r="D213" t="s">
        <v>28</v>
      </c>
      <c r="E213" t="s">
        <v>50</v>
      </c>
      <c r="F213" t="s">
        <v>325</v>
      </c>
      <c r="G213" t="s">
        <v>686</v>
      </c>
      <c r="H213" t="s">
        <v>1047</v>
      </c>
      <c r="I213" t="s">
        <v>86</v>
      </c>
      <c r="J213" t="s">
        <v>930</v>
      </c>
      <c r="K213" t="s">
        <v>688</v>
      </c>
    </row>
    <row r="214" spans="1:11">
      <c r="A214" t="s">
        <v>938</v>
      </c>
      <c r="B214" t="s">
        <v>1064</v>
      </c>
      <c r="C214" t="s">
        <v>44</v>
      </c>
      <c r="D214" t="s">
        <v>28</v>
      </c>
      <c r="E214" t="s">
        <v>50</v>
      </c>
      <c r="F214" t="s">
        <v>52</v>
      </c>
      <c r="G214" t="s">
        <v>686</v>
      </c>
      <c r="H214" t="s">
        <v>1047</v>
      </c>
      <c r="I214" t="s">
        <v>86</v>
      </c>
      <c r="J214" t="s">
        <v>930</v>
      </c>
      <c r="K214" t="s">
        <v>688</v>
      </c>
    </row>
    <row r="215" spans="1:11">
      <c r="A215" t="s">
        <v>938</v>
      </c>
      <c r="B215" t="s">
        <v>1064</v>
      </c>
      <c r="C215" t="s">
        <v>44</v>
      </c>
      <c r="D215" t="s">
        <v>29</v>
      </c>
      <c r="E215" t="s">
        <v>50</v>
      </c>
      <c r="F215" t="s">
        <v>189</v>
      </c>
      <c r="G215" t="s">
        <v>686</v>
      </c>
      <c r="H215" t="s">
        <v>1047</v>
      </c>
      <c r="I215" t="s">
        <v>86</v>
      </c>
      <c r="J215" t="s">
        <v>930</v>
      </c>
      <c r="K215" t="s">
        <v>688</v>
      </c>
    </row>
    <row r="216" spans="1:11">
      <c r="A216" t="s">
        <v>938</v>
      </c>
      <c r="B216" t="s">
        <v>1064</v>
      </c>
      <c r="C216" t="s">
        <v>44</v>
      </c>
      <c r="D216" t="s">
        <v>30</v>
      </c>
      <c r="E216" t="s">
        <v>50</v>
      </c>
      <c r="F216" t="s">
        <v>246</v>
      </c>
      <c r="G216" t="s">
        <v>686</v>
      </c>
      <c r="H216" t="s">
        <v>1047</v>
      </c>
      <c r="I216" t="s">
        <v>86</v>
      </c>
      <c r="J216" t="s">
        <v>930</v>
      </c>
      <c r="K216" t="s">
        <v>688</v>
      </c>
    </row>
    <row r="217" spans="1:11">
      <c r="A217" t="s">
        <v>938</v>
      </c>
      <c r="B217" t="s">
        <v>1064</v>
      </c>
      <c r="C217" t="s">
        <v>44</v>
      </c>
      <c r="D217" t="s">
        <v>30</v>
      </c>
      <c r="E217" t="s">
        <v>53</v>
      </c>
      <c r="F217" t="s">
        <v>557</v>
      </c>
      <c r="G217" t="s">
        <v>686</v>
      </c>
      <c r="H217" t="s">
        <v>1047</v>
      </c>
      <c r="I217" t="s">
        <v>86</v>
      </c>
      <c r="J217" t="s">
        <v>930</v>
      </c>
      <c r="K217" t="s">
        <v>688</v>
      </c>
    </row>
    <row r="218" spans="1:11">
      <c r="A218" t="s">
        <v>938</v>
      </c>
      <c r="B218" t="s">
        <v>1065</v>
      </c>
      <c r="C218" t="s">
        <v>40</v>
      </c>
      <c r="D218" t="s">
        <v>28</v>
      </c>
      <c r="E218" t="s">
        <v>50</v>
      </c>
      <c r="F218" t="s">
        <v>51</v>
      </c>
      <c r="G218" t="s">
        <v>742</v>
      </c>
      <c r="H218" t="s">
        <v>1047</v>
      </c>
      <c r="I218" t="s">
        <v>86</v>
      </c>
      <c r="J218" t="s">
        <v>930</v>
      </c>
      <c r="K218" t="s">
        <v>744</v>
      </c>
    </row>
    <row r="219" spans="1:11">
      <c r="A219" t="s">
        <v>938</v>
      </c>
      <c r="B219" t="s">
        <v>1065</v>
      </c>
      <c r="C219" t="s">
        <v>40</v>
      </c>
      <c r="D219" t="s">
        <v>28</v>
      </c>
      <c r="E219" t="s">
        <v>50</v>
      </c>
      <c r="F219" t="s">
        <v>52</v>
      </c>
      <c r="G219" t="s">
        <v>742</v>
      </c>
      <c r="H219" t="s">
        <v>1047</v>
      </c>
      <c r="I219" t="s">
        <v>86</v>
      </c>
      <c r="J219" t="s">
        <v>930</v>
      </c>
      <c r="K219" t="s">
        <v>744</v>
      </c>
    </row>
    <row r="220" spans="1:11">
      <c r="A220" t="s">
        <v>938</v>
      </c>
      <c r="B220" t="s">
        <v>1065</v>
      </c>
      <c r="C220" t="s">
        <v>40</v>
      </c>
      <c r="D220" t="s">
        <v>28</v>
      </c>
      <c r="E220" t="s">
        <v>155</v>
      </c>
      <c r="F220" t="s">
        <v>157</v>
      </c>
      <c r="G220" t="s">
        <v>742</v>
      </c>
      <c r="H220" t="s">
        <v>1047</v>
      </c>
      <c r="I220" t="s">
        <v>86</v>
      </c>
      <c r="J220" t="s">
        <v>930</v>
      </c>
      <c r="K220" t="s">
        <v>744</v>
      </c>
    </row>
    <row r="221" spans="1:11">
      <c r="A221" t="s">
        <v>938</v>
      </c>
      <c r="B221" t="s">
        <v>1065</v>
      </c>
      <c r="C221" t="s">
        <v>40</v>
      </c>
      <c r="D221" t="s">
        <v>28</v>
      </c>
      <c r="E221" t="s">
        <v>55</v>
      </c>
      <c r="F221" t="s">
        <v>56</v>
      </c>
      <c r="G221" t="s">
        <v>742</v>
      </c>
      <c r="H221" t="s">
        <v>1047</v>
      </c>
      <c r="I221" t="s">
        <v>86</v>
      </c>
      <c r="J221" t="s">
        <v>930</v>
      </c>
      <c r="K221" t="s">
        <v>744</v>
      </c>
    </row>
    <row r="222" spans="1:11">
      <c r="A222" t="s">
        <v>938</v>
      </c>
      <c r="B222" t="s">
        <v>1065</v>
      </c>
      <c r="C222" t="s">
        <v>44</v>
      </c>
      <c r="D222" t="s">
        <v>29</v>
      </c>
      <c r="E222" t="s">
        <v>50</v>
      </c>
      <c r="F222" t="s">
        <v>475</v>
      </c>
      <c r="G222" t="s">
        <v>742</v>
      </c>
      <c r="H222" t="s">
        <v>1047</v>
      </c>
      <c r="I222" t="s">
        <v>86</v>
      </c>
      <c r="J222" t="s">
        <v>930</v>
      </c>
      <c r="K222" t="s">
        <v>744</v>
      </c>
    </row>
    <row r="223" spans="1:11">
      <c r="A223" t="s">
        <v>938</v>
      </c>
      <c r="B223" t="s">
        <v>1065</v>
      </c>
      <c r="C223" t="s">
        <v>44</v>
      </c>
      <c r="D223" t="s">
        <v>29</v>
      </c>
      <c r="E223" t="s">
        <v>53</v>
      </c>
      <c r="F223" t="s">
        <v>54</v>
      </c>
      <c r="G223" t="s">
        <v>742</v>
      </c>
      <c r="H223" t="s">
        <v>1047</v>
      </c>
      <c r="I223" t="s">
        <v>86</v>
      </c>
      <c r="J223" t="s">
        <v>930</v>
      </c>
      <c r="K223" t="s">
        <v>744</v>
      </c>
    </row>
    <row r="224" spans="1:11">
      <c r="A224" t="s">
        <v>938</v>
      </c>
      <c r="B224" t="s">
        <v>1065</v>
      </c>
      <c r="C224" t="s">
        <v>44</v>
      </c>
      <c r="D224" t="s">
        <v>29</v>
      </c>
      <c r="E224" t="s">
        <v>50</v>
      </c>
      <c r="F224" t="s">
        <v>189</v>
      </c>
      <c r="G224" t="s">
        <v>742</v>
      </c>
      <c r="H224" t="s">
        <v>1047</v>
      </c>
      <c r="I224" t="s">
        <v>86</v>
      </c>
      <c r="J224" t="s">
        <v>930</v>
      </c>
      <c r="K224" t="s">
        <v>744</v>
      </c>
    </row>
    <row r="225" spans="1:11">
      <c r="A225" t="s">
        <v>938</v>
      </c>
      <c r="B225" t="s">
        <v>1065</v>
      </c>
      <c r="C225" t="s">
        <v>44</v>
      </c>
      <c r="D225" t="s">
        <v>30</v>
      </c>
      <c r="E225" t="s">
        <v>50</v>
      </c>
      <c r="F225" t="s">
        <v>475</v>
      </c>
      <c r="G225" t="s">
        <v>742</v>
      </c>
      <c r="H225" t="s">
        <v>1047</v>
      </c>
      <c r="I225" t="s">
        <v>86</v>
      </c>
      <c r="J225" t="s">
        <v>930</v>
      </c>
      <c r="K225" t="s">
        <v>744</v>
      </c>
    </row>
    <row r="226" spans="1:11">
      <c r="A226" t="s">
        <v>938</v>
      </c>
      <c r="B226" t="s">
        <v>1065</v>
      </c>
      <c r="C226" t="s">
        <v>44</v>
      </c>
      <c r="D226" t="s">
        <v>30</v>
      </c>
      <c r="E226" t="s">
        <v>53</v>
      </c>
      <c r="F226" t="s">
        <v>154</v>
      </c>
      <c r="G226" t="s">
        <v>742</v>
      </c>
      <c r="H226" t="s">
        <v>1047</v>
      </c>
      <c r="I226" t="s">
        <v>86</v>
      </c>
      <c r="J226" t="s">
        <v>930</v>
      </c>
      <c r="K226" t="s">
        <v>744</v>
      </c>
    </row>
    <row r="227" spans="1:11">
      <c r="A227" t="s">
        <v>938</v>
      </c>
      <c r="B227" t="s">
        <v>1065</v>
      </c>
      <c r="C227" t="s">
        <v>46</v>
      </c>
      <c r="D227" t="s">
        <v>30</v>
      </c>
      <c r="E227" t="s">
        <v>53</v>
      </c>
      <c r="F227" t="s">
        <v>755</v>
      </c>
      <c r="G227" t="s">
        <v>742</v>
      </c>
      <c r="H227" t="s">
        <v>1047</v>
      </c>
      <c r="I227" t="s">
        <v>86</v>
      </c>
      <c r="J227" t="s">
        <v>930</v>
      </c>
      <c r="K227" t="s">
        <v>744</v>
      </c>
    </row>
    <row r="228" spans="1:11">
      <c r="A228" t="s">
        <v>938</v>
      </c>
      <c r="B228" t="s">
        <v>1066</v>
      </c>
      <c r="C228" t="s">
        <v>40</v>
      </c>
      <c r="D228" t="s">
        <v>28</v>
      </c>
      <c r="E228" t="s">
        <v>50</v>
      </c>
      <c r="F228" t="s">
        <v>189</v>
      </c>
      <c r="G228" t="s">
        <v>777</v>
      </c>
      <c r="H228" t="s">
        <v>1047</v>
      </c>
      <c r="I228" t="s">
        <v>86</v>
      </c>
      <c r="J228" t="s">
        <v>930</v>
      </c>
      <c r="K228" t="s">
        <v>779</v>
      </c>
    </row>
    <row r="229" spans="1:11">
      <c r="A229" t="s">
        <v>938</v>
      </c>
      <c r="B229" t="s">
        <v>1066</v>
      </c>
      <c r="C229" t="s">
        <v>40</v>
      </c>
      <c r="D229" t="s">
        <v>28</v>
      </c>
      <c r="E229" t="s">
        <v>50</v>
      </c>
      <c r="F229" t="s">
        <v>475</v>
      </c>
      <c r="G229" t="s">
        <v>777</v>
      </c>
      <c r="H229" t="s">
        <v>1047</v>
      </c>
      <c r="I229" t="s">
        <v>86</v>
      </c>
      <c r="J229" t="s">
        <v>930</v>
      </c>
      <c r="K229" t="s">
        <v>779</v>
      </c>
    </row>
    <row r="230" spans="1:11">
      <c r="A230" t="s">
        <v>938</v>
      </c>
      <c r="B230" t="s">
        <v>1066</v>
      </c>
      <c r="C230" t="s">
        <v>40</v>
      </c>
      <c r="D230" t="s">
        <v>28</v>
      </c>
      <c r="E230" t="s">
        <v>53</v>
      </c>
      <c r="F230" t="s">
        <v>154</v>
      </c>
      <c r="G230" t="s">
        <v>777</v>
      </c>
      <c r="H230" t="s">
        <v>1047</v>
      </c>
      <c r="I230" t="s">
        <v>86</v>
      </c>
      <c r="J230" t="s">
        <v>930</v>
      </c>
      <c r="K230" t="s">
        <v>779</v>
      </c>
    </row>
    <row r="231" spans="1:11">
      <c r="A231" t="s">
        <v>938</v>
      </c>
      <c r="B231" t="s">
        <v>1066</v>
      </c>
      <c r="C231" t="s">
        <v>44</v>
      </c>
      <c r="D231" t="s">
        <v>28</v>
      </c>
      <c r="E231" t="s">
        <v>55</v>
      </c>
      <c r="F231" t="s">
        <v>56</v>
      </c>
      <c r="G231" t="s">
        <v>777</v>
      </c>
      <c r="H231" t="s">
        <v>1047</v>
      </c>
      <c r="I231" t="s">
        <v>86</v>
      </c>
      <c r="J231" t="s">
        <v>930</v>
      </c>
      <c r="K231" t="s">
        <v>779</v>
      </c>
    </row>
    <row r="232" spans="1:11">
      <c r="A232" t="s">
        <v>938</v>
      </c>
      <c r="B232" t="s">
        <v>1066</v>
      </c>
      <c r="C232" t="s">
        <v>44</v>
      </c>
      <c r="D232" t="s">
        <v>29</v>
      </c>
      <c r="E232" t="s">
        <v>57</v>
      </c>
      <c r="F232" t="s">
        <v>592</v>
      </c>
      <c r="G232" t="s">
        <v>777</v>
      </c>
      <c r="H232" t="s">
        <v>1047</v>
      </c>
      <c r="I232" t="s">
        <v>86</v>
      </c>
      <c r="J232" t="s">
        <v>930</v>
      </c>
      <c r="K232" t="s">
        <v>779</v>
      </c>
    </row>
    <row r="233" spans="1:11">
      <c r="A233" t="s">
        <v>938</v>
      </c>
      <c r="B233" t="s">
        <v>1066</v>
      </c>
      <c r="C233" t="s">
        <v>44</v>
      </c>
      <c r="D233" t="s">
        <v>29</v>
      </c>
      <c r="E233" t="s">
        <v>399</v>
      </c>
      <c r="F233" t="s">
        <v>734</v>
      </c>
      <c r="G233" t="s">
        <v>777</v>
      </c>
      <c r="H233" t="s">
        <v>1047</v>
      </c>
      <c r="I233" t="s">
        <v>86</v>
      </c>
      <c r="J233" t="s">
        <v>930</v>
      </c>
      <c r="K233" t="s">
        <v>779</v>
      </c>
    </row>
    <row r="234" spans="1:11">
      <c r="A234" t="s">
        <v>938</v>
      </c>
      <c r="B234" t="s">
        <v>1066</v>
      </c>
      <c r="C234" t="s">
        <v>44</v>
      </c>
      <c r="D234" t="s">
        <v>29</v>
      </c>
      <c r="E234" t="s">
        <v>53</v>
      </c>
      <c r="F234" t="s">
        <v>154</v>
      </c>
      <c r="G234" t="s">
        <v>777</v>
      </c>
      <c r="H234" t="s">
        <v>1047</v>
      </c>
      <c r="I234" t="s">
        <v>86</v>
      </c>
      <c r="J234" t="s">
        <v>930</v>
      </c>
      <c r="K234" t="s">
        <v>779</v>
      </c>
    </row>
    <row r="235" spans="1:11">
      <c r="A235" t="s">
        <v>938</v>
      </c>
      <c r="B235" t="s">
        <v>1066</v>
      </c>
      <c r="C235" t="s">
        <v>44</v>
      </c>
      <c r="D235" t="s">
        <v>29</v>
      </c>
      <c r="E235" t="s">
        <v>105</v>
      </c>
      <c r="F235" t="s">
        <v>793</v>
      </c>
      <c r="G235" t="s">
        <v>777</v>
      </c>
      <c r="H235" t="s">
        <v>1047</v>
      </c>
      <c r="I235" t="s">
        <v>86</v>
      </c>
      <c r="J235" t="s">
        <v>930</v>
      </c>
      <c r="K235" t="s">
        <v>779</v>
      </c>
    </row>
    <row r="236" spans="1:11">
      <c r="A236" t="s">
        <v>938</v>
      </c>
      <c r="B236" t="s">
        <v>1066</v>
      </c>
      <c r="C236" t="s">
        <v>44</v>
      </c>
      <c r="D236" t="s">
        <v>29</v>
      </c>
      <c r="E236" t="s">
        <v>55</v>
      </c>
      <c r="F236" t="s">
        <v>103</v>
      </c>
      <c r="G236" t="s">
        <v>777</v>
      </c>
      <c r="H236" t="s">
        <v>1047</v>
      </c>
      <c r="I236" t="s">
        <v>86</v>
      </c>
      <c r="J236" t="s">
        <v>930</v>
      </c>
      <c r="K236" t="s">
        <v>779</v>
      </c>
    </row>
    <row r="237" spans="1:11">
      <c r="A237" t="s">
        <v>938</v>
      </c>
      <c r="B237" t="s">
        <v>1066</v>
      </c>
      <c r="C237" t="s">
        <v>44</v>
      </c>
      <c r="D237" t="s">
        <v>30</v>
      </c>
      <c r="E237" t="s">
        <v>99</v>
      </c>
      <c r="F237" t="s">
        <v>100</v>
      </c>
      <c r="G237" t="s">
        <v>777</v>
      </c>
      <c r="H237" t="s">
        <v>1047</v>
      </c>
      <c r="I237" t="s">
        <v>86</v>
      </c>
      <c r="J237" t="s">
        <v>930</v>
      </c>
      <c r="K237" t="s">
        <v>779</v>
      </c>
    </row>
    <row r="238" spans="1:11">
      <c r="A238" t="s">
        <v>938</v>
      </c>
      <c r="B238" t="s">
        <v>1066</v>
      </c>
      <c r="C238" t="s">
        <v>44</v>
      </c>
      <c r="D238" t="s">
        <v>30</v>
      </c>
      <c r="E238" t="s">
        <v>99</v>
      </c>
      <c r="F238" t="s">
        <v>372</v>
      </c>
      <c r="G238" t="s">
        <v>777</v>
      </c>
      <c r="H238" t="s">
        <v>1047</v>
      </c>
      <c r="I238" t="s">
        <v>86</v>
      </c>
      <c r="J238" t="s">
        <v>930</v>
      </c>
      <c r="K238" t="s">
        <v>779</v>
      </c>
    </row>
    <row r="239" spans="1:11">
      <c r="A239" t="s">
        <v>938</v>
      </c>
      <c r="B239" t="s">
        <v>1067</v>
      </c>
      <c r="C239" t="s">
        <v>40</v>
      </c>
      <c r="D239" t="s">
        <v>28</v>
      </c>
      <c r="E239" t="s">
        <v>50</v>
      </c>
      <c r="F239" t="s">
        <v>475</v>
      </c>
      <c r="G239" t="s">
        <v>804</v>
      </c>
      <c r="H239" t="s">
        <v>1047</v>
      </c>
      <c r="I239" t="s">
        <v>86</v>
      </c>
      <c r="J239" t="s">
        <v>930</v>
      </c>
      <c r="K239" t="s">
        <v>806</v>
      </c>
    </row>
    <row r="240" spans="1:11">
      <c r="A240" t="s">
        <v>938</v>
      </c>
      <c r="B240" t="s">
        <v>1067</v>
      </c>
      <c r="C240" t="s">
        <v>40</v>
      </c>
      <c r="D240" t="s">
        <v>28</v>
      </c>
      <c r="E240" t="s">
        <v>57</v>
      </c>
      <c r="F240" t="s">
        <v>78</v>
      </c>
      <c r="G240" t="s">
        <v>804</v>
      </c>
      <c r="H240" t="s">
        <v>1047</v>
      </c>
      <c r="I240" t="s">
        <v>86</v>
      </c>
      <c r="J240" t="s">
        <v>930</v>
      </c>
      <c r="K240" t="s">
        <v>806</v>
      </c>
    </row>
    <row r="241" spans="1:11">
      <c r="A241" t="s">
        <v>938</v>
      </c>
      <c r="B241" t="s">
        <v>1067</v>
      </c>
      <c r="C241" t="s">
        <v>40</v>
      </c>
      <c r="D241" t="s">
        <v>28</v>
      </c>
      <c r="E241" t="s">
        <v>155</v>
      </c>
      <c r="F241" t="s">
        <v>157</v>
      </c>
      <c r="G241" t="s">
        <v>804</v>
      </c>
      <c r="H241" t="s">
        <v>1047</v>
      </c>
      <c r="I241" t="s">
        <v>86</v>
      </c>
      <c r="J241" t="s">
        <v>930</v>
      </c>
      <c r="K241" t="s">
        <v>806</v>
      </c>
    </row>
    <row r="242" spans="1:11">
      <c r="A242" t="s">
        <v>938</v>
      </c>
      <c r="B242" t="s">
        <v>1067</v>
      </c>
      <c r="C242" t="s">
        <v>40</v>
      </c>
      <c r="D242" t="s">
        <v>28</v>
      </c>
      <c r="E242" t="s">
        <v>252</v>
      </c>
      <c r="F242" t="s">
        <v>253</v>
      </c>
      <c r="G242" t="s">
        <v>804</v>
      </c>
      <c r="H242" t="s">
        <v>1047</v>
      </c>
      <c r="I242" t="s">
        <v>86</v>
      </c>
      <c r="J242" t="s">
        <v>930</v>
      </c>
      <c r="K242" t="s">
        <v>806</v>
      </c>
    </row>
    <row r="243" spans="1:11">
      <c r="A243" t="s">
        <v>938</v>
      </c>
      <c r="B243" t="s">
        <v>1067</v>
      </c>
      <c r="C243" t="s">
        <v>40</v>
      </c>
      <c r="D243" t="s">
        <v>29</v>
      </c>
      <c r="E243" t="s">
        <v>53</v>
      </c>
      <c r="F243" t="s">
        <v>58</v>
      </c>
      <c r="G243" t="s">
        <v>804</v>
      </c>
      <c r="H243" t="s">
        <v>1047</v>
      </c>
      <c r="I243" t="s">
        <v>86</v>
      </c>
      <c r="J243" t="s">
        <v>930</v>
      </c>
      <c r="K243" t="s">
        <v>806</v>
      </c>
    </row>
    <row r="244" spans="1:11">
      <c r="A244" t="s">
        <v>938</v>
      </c>
      <c r="B244" t="s">
        <v>1067</v>
      </c>
      <c r="C244" t="s">
        <v>44</v>
      </c>
      <c r="D244" t="s">
        <v>28</v>
      </c>
      <c r="E244" t="s">
        <v>53</v>
      </c>
      <c r="F244" t="s">
        <v>54</v>
      </c>
      <c r="G244" t="s">
        <v>804</v>
      </c>
      <c r="H244" t="s">
        <v>1047</v>
      </c>
      <c r="I244" t="s">
        <v>86</v>
      </c>
      <c r="J244" t="s">
        <v>930</v>
      </c>
      <c r="K244" t="s">
        <v>806</v>
      </c>
    </row>
    <row r="245" spans="1:11">
      <c r="A245" t="s">
        <v>938</v>
      </c>
      <c r="B245" t="s">
        <v>1067</v>
      </c>
      <c r="C245" t="s">
        <v>44</v>
      </c>
      <c r="D245" t="s">
        <v>29</v>
      </c>
      <c r="E245" t="s">
        <v>55</v>
      </c>
      <c r="F245" t="s">
        <v>56</v>
      </c>
      <c r="G245" t="s">
        <v>804</v>
      </c>
      <c r="H245" t="s">
        <v>1047</v>
      </c>
      <c r="I245" t="s">
        <v>86</v>
      </c>
      <c r="J245" t="s">
        <v>930</v>
      </c>
      <c r="K245" t="s">
        <v>806</v>
      </c>
    </row>
    <row r="246" spans="1:11">
      <c r="A246" t="s">
        <v>938</v>
      </c>
      <c r="B246" t="s">
        <v>1067</v>
      </c>
      <c r="C246" t="s">
        <v>44</v>
      </c>
      <c r="D246" t="s">
        <v>29</v>
      </c>
      <c r="E246" t="s">
        <v>105</v>
      </c>
      <c r="F246" t="s">
        <v>248</v>
      </c>
      <c r="G246" t="s">
        <v>804</v>
      </c>
      <c r="H246" t="s">
        <v>1047</v>
      </c>
      <c r="I246" t="s">
        <v>86</v>
      </c>
      <c r="J246" t="s">
        <v>930</v>
      </c>
      <c r="K246" t="s">
        <v>806</v>
      </c>
    </row>
    <row r="247" spans="1:11">
      <c r="A247" t="s">
        <v>938</v>
      </c>
      <c r="B247" t="s">
        <v>1068</v>
      </c>
      <c r="C247" t="s">
        <v>40</v>
      </c>
      <c r="D247" t="s">
        <v>28</v>
      </c>
      <c r="E247" t="s">
        <v>57</v>
      </c>
      <c r="F247" t="s">
        <v>190</v>
      </c>
      <c r="G247" t="s">
        <v>917</v>
      </c>
      <c r="H247" t="s">
        <v>1047</v>
      </c>
      <c r="I247" t="s">
        <v>86</v>
      </c>
      <c r="J247" t="s">
        <v>930</v>
      </c>
      <c r="K247" t="s">
        <v>918</v>
      </c>
    </row>
    <row r="248" spans="1:11">
      <c r="A248" t="s">
        <v>938</v>
      </c>
      <c r="B248" t="s">
        <v>1068</v>
      </c>
      <c r="C248" t="s">
        <v>40</v>
      </c>
      <c r="D248" t="s">
        <v>28</v>
      </c>
      <c r="E248" t="s">
        <v>57</v>
      </c>
      <c r="F248" t="s">
        <v>592</v>
      </c>
      <c r="G248" t="s">
        <v>917</v>
      </c>
      <c r="H248" t="s">
        <v>1047</v>
      </c>
      <c r="I248" t="s">
        <v>86</v>
      </c>
      <c r="J248" t="s">
        <v>930</v>
      </c>
      <c r="K248" t="s">
        <v>918</v>
      </c>
    </row>
    <row r="249" spans="1:11">
      <c r="A249" t="s">
        <v>938</v>
      </c>
      <c r="B249" t="s">
        <v>1068</v>
      </c>
      <c r="C249" t="s">
        <v>40</v>
      </c>
      <c r="D249" t="s">
        <v>28</v>
      </c>
      <c r="E249" t="s">
        <v>53</v>
      </c>
      <c r="F249" t="s">
        <v>875</v>
      </c>
      <c r="G249" t="s">
        <v>917</v>
      </c>
      <c r="H249" t="s">
        <v>1047</v>
      </c>
      <c r="I249" t="s">
        <v>86</v>
      </c>
      <c r="J249" t="s">
        <v>930</v>
      </c>
      <c r="K249" t="s">
        <v>918</v>
      </c>
    </row>
    <row r="250" spans="1:11">
      <c r="A250" t="s">
        <v>938</v>
      </c>
      <c r="B250" t="s">
        <v>1068</v>
      </c>
      <c r="C250" t="s">
        <v>44</v>
      </c>
      <c r="D250" t="s">
        <v>28</v>
      </c>
      <c r="E250" t="s">
        <v>53</v>
      </c>
      <c r="F250" t="s">
        <v>192</v>
      </c>
      <c r="G250" t="s">
        <v>917</v>
      </c>
      <c r="H250" t="s">
        <v>1047</v>
      </c>
      <c r="I250" t="s">
        <v>86</v>
      </c>
      <c r="J250" t="s">
        <v>930</v>
      </c>
      <c r="K250" t="s">
        <v>918</v>
      </c>
    </row>
    <row r="251" spans="1:11">
      <c r="A251" t="s">
        <v>938</v>
      </c>
      <c r="B251" t="s">
        <v>1068</v>
      </c>
      <c r="C251" t="s">
        <v>44</v>
      </c>
      <c r="D251" t="s">
        <v>29</v>
      </c>
      <c r="E251" t="s">
        <v>50</v>
      </c>
      <c r="F251" t="s">
        <v>52</v>
      </c>
      <c r="G251" t="s">
        <v>917</v>
      </c>
      <c r="H251" t="s">
        <v>1047</v>
      </c>
      <c r="I251" t="s">
        <v>86</v>
      </c>
      <c r="J251" t="s">
        <v>930</v>
      </c>
      <c r="K251" t="s">
        <v>918</v>
      </c>
    </row>
    <row r="252" spans="1:11">
      <c r="A252" t="s">
        <v>938</v>
      </c>
      <c r="B252" t="s">
        <v>1068</v>
      </c>
      <c r="C252" t="s">
        <v>44</v>
      </c>
      <c r="D252" t="s">
        <v>29</v>
      </c>
      <c r="E252" t="s">
        <v>50</v>
      </c>
      <c r="F252" t="s">
        <v>189</v>
      </c>
      <c r="G252" t="s">
        <v>917</v>
      </c>
      <c r="H252" t="s">
        <v>1047</v>
      </c>
      <c r="I252" t="s">
        <v>86</v>
      </c>
      <c r="J252" t="s">
        <v>930</v>
      </c>
      <c r="K252" t="s">
        <v>918</v>
      </c>
    </row>
    <row r="253" spans="1:11">
      <c r="A253" t="s">
        <v>938</v>
      </c>
      <c r="B253" t="s">
        <v>1068</v>
      </c>
      <c r="C253" t="s">
        <v>45</v>
      </c>
      <c r="D253" t="s">
        <v>29</v>
      </c>
      <c r="E253" t="s">
        <v>50</v>
      </c>
      <c r="F253" t="s">
        <v>246</v>
      </c>
      <c r="G253" t="s">
        <v>917</v>
      </c>
      <c r="H253" t="s">
        <v>1047</v>
      </c>
      <c r="I253" t="s">
        <v>86</v>
      </c>
      <c r="J253" t="s">
        <v>930</v>
      </c>
      <c r="K253" t="s">
        <v>918</v>
      </c>
    </row>
    <row r="254" spans="1:11">
      <c r="A254" t="s">
        <v>938</v>
      </c>
      <c r="B254" t="s">
        <v>1068</v>
      </c>
      <c r="C254" t="s">
        <v>45</v>
      </c>
      <c r="D254" t="s">
        <v>29</v>
      </c>
      <c r="E254" t="s">
        <v>55</v>
      </c>
      <c r="F254" t="s">
        <v>293</v>
      </c>
      <c r="G254" t="s">
        <v>917</v>
      </c>
      <c r="H254" t="s">
        <v>1047</v>
      </c>
      <c r="I254" t="s">
        <v>86</v>
      </c>
      <c r="J254" t="s">
        <v>930</v>
      </c>
      <c r="K254" t="s">
        <v>918</v>
      </c>
    </row>
    <row r="255" spans="1:11">
      <c r="A255" t="s">
        <v>938</v>
      </c>
      <c r="B255" t="s">
        <v>1068</v>
      </c>
      <c r="C255" t="s">
        <v>45</v>
      </c>
      <c r="D255" t="s">
        <v>30</v>
      </c>
      <c r="E255" t="s">
        <v>155</v>
      </c>
      <c r="F255" t="s">
        <v>157</v>
      </c>
      <c r="G255" t="s">
        <v>917</v>
      </c>
      <c r="H255" t="s">
        <v>1047</v>
      </c>
      <c r="I255" t="s">
        <v>86</v>
      </c>
      <c r="J255" t="s">
        <v>930</v>
      </c>
      <c r="K255" t="s">
        <v>918</v>
      </c>
    </row>
    <row r="256" spans="1:11">
      <c r="A256" t="s">
        <v>938</v>
      </c>
      <c r="B256" t="s">
        <v>1068</v>
      </c>
      <c r="C256" t="s">
        <v>46</v>
      </c>
      <c r="D256" t="s">
        <v>30</v>
      </c>
      <c r="E256" t="s">
        <v>55</v>
      </c>
      <c r="F256" t="s">
        <v>56</v>
      </c>
      <c r="G256" t="s">
        <v>917</v>
      </c>
      <c r="H256" t="s">
        <v>1047</v>
      </c>
      <c r="I256" t="s">
        <v>86</v>
      </c>
      <c r="J256" t="s">
        <v>930</v>
      </c>
      <c r="K256" t="s">
        <v>918</v>
      </c>
    </row>
    <row r="257" spans="1:11">
      <c r="A257" t="s">
        <v>938</v>
      </c>
      <c r="B257" t="s">
        <v>1068</v>
      </c>
      <c r="C257" t="s">
        <v>46</v>
      </c>
      <c r="D257" t="s">
        <v>30</v>
      </c>
      <c r="E257" t="s">
        <v>105</v>
      </c>
      <c r="F257" t="s">
        <v>248</v>
      </c>
      <c r="G257" t="s">
        <v>917</v>
      </c>
      <c r="H257" t="s">
        <v>1047</v>
      </c>
      <c r="I257" t="s">
        <v>86</v>
      </c>
      <c r="J257" t="s">
        <v>930</v>
      </c>
      <c r="K257" t="s">
        <v>918</v>
      </c>
    </row>
    <row r="258" spans="1:11">
      <c r="A258" t="s">
        <v>931</v>
      </c>
      <c r="B258" t="s">
        <v>1069</v>
      </c>
      <c r="C258" t="s">
        <v>40</v>
      </c>
      <c r="D258" t="s">
        <v>28</v>
      </c>
      <c r="E258" t="s">
        <v>53</v>
      </c>
      <c r="F258" t="s">
        <v>154</v>
      </c>
      <c r="G258" t="s">
        <v>919</v>
      </c>
      <c r="H258" t="s">
        <v>1047</v>
      </c>
      <c r="I258" t="s">
        <v>86</v>
      </c>
      <c r="J258" t="s">
        <v>930</v>
      </c>
      <c r="K258" t="s">
        <v>921</v>
      </c>
    </row>
    <row r="259" spans="1:11">
      <c r="A259" t="s">
        <v>931</v>
      </c>
      <c r="B259" t="s">
        <v>1069</v>
      </c>
      <c r="C259" t="s">
        <v>40</v>
      </c>
      <c r="D259" t="s">
        <v>29</v>
      </c>
      <c r="E259" t="s">
        <v>55</v>
      </c>
      <c r="F259" t="s">
        <v>56</v>
      </c>
      <c r="G259" t="s">
        <v>919</v>
      </c>
      <c r="H259" t="s">
        <v>1047</v>
      </c>
      <c r="I259" t="s">
        <v>86</v>
      </c>
      <c r="J259" t="s">
        <v>930</v>
      </c>
      <c r="K259" t="s">
        <v>921</v>
      </c>
    </row>
    <row r="260" spans="1:11">
      <c r="A260" t="s">
        <v>931</v>
      </c>
      <c r="B260" t="s">
        <v>1069</v>
      </c>
      <c r="C260" t="s">
        <v>44</v>
      </c>
      <c r="D260" t="s">
        <v>28</v>
      </c>
      <c r="E260" t="s">
        <v>55</v>
      </c>
      <c r="F260" t="s">
        <v>293</v>
      </c>
      <c r="G260" t="s">
        <v>919</v>
      </c>
      <c r="H260" t="s">
        <v>1047</v>
      </c>
      <c r="I260" t="s">
        <v>86</v>
      </c>
      <c r="J260" t="s">
        <v>930</v>
      </c>
      <c r="K260" t="s">
        <v>921</v>
      </c>
    </row>
    <row r="261" spans="1:11">
      <c r="A261" t="s">
        <v>931</v>
      </c>
      <c r="B261" t="s">
        <v>1069</v>
      </c>
      <c r="C261" t="s">
        <v>44</v>
      </c>
      <c r="D261" t="s">
        <v>29</v>
      </c>
      <c r="E261" t="s">
        <v>252</v>
      </c>
      <c r="F261" t="s">
        <v>636</v>
      </c>
      <c r="G261" t="s">
        <v>919</v>
      </c>
      <c r="H261" t="s">
        <v>1047</v>
      </c>
      <c r="I261" t="s">
        <v>86</v>
      </c>
      <c r="J261" t="s">
        <v>930</v>
      </c>
      <c r="K261" t="s">
        <v>921</v>
      </c>
    </row>
    <row r="262" spans="1:11">
      <c r="A262" t="s">
        <v>931</v>
      </c>
      <c r="B262" t="s">
        <v>1069</v>
      </c>
      <c r="C262" t="s">
        <v>44</v>
      </c>
      <c r="D262" t="s">
        <v>30</v>
      </c>
      <c r="E262" t="s">
        <v>155</v>
      </c>
      <c r="F262" t="s">
        <v>373</v>
      </c>
      <c r="G262" t="s">
        <v>919</v>
      </c>
      <c r="H262" t="s">
        <v>1047</v>
      </c>
      <c r="I262" t="s">
        <v>86</v>
      </c>
      <c r="J262" t="s">
        <v>930</v>
      </c>
      <c r="K262" t="s">
        <v>921</v>
      </c>
    </row>
    <row r="263" spans="1:11">
      <c r="A263" t="s">
        <v>933</v>
      </c>
      <c r="B263" t="s">
        <v>1070</v>
      </c>
      <c r="C263" t="s">
        <v>40</v>
      </c>
      <c r="D263" t="s">
        <v>28</v>
      </c>
      <c r="E263" t="s">
        <v>50</v>
      </c>
      <c r="F263" t="s">
        <v>51</v>
      </c>
      <c r="G263" t="s">
        <v>899</v>
      </c>
      <c r="H263" t="s">
        <v>1047</v>
      </c>
      <c r="I263" t="s">
        <v>86</v>
      </c>
      <c r="J263" t="s">
        <v>930</v>
      </c>
      <c r="K263" t="s">
        <v>900</v>
      </c>
    </row>
    <row r="264" spans="1:11">
      <c r="A264" t="s">
        <v>933</v>
      </c>
      <c r="B264" t="s">
        <v>1070</v>
      </c>
      <c r="C264" t="s">
        <v>40</v>
      </c>
      <c r="D264" t="s">
        <v>28</v>
      </c>
      <c r="E264" t="s">
        <v>155</v>
      </c>
      <c r="F264" t="s">
        <v>157</v>
      </c>
      <c r="G264" t="s">
        <v>899</v>
      </c>
      <c r="H264" t="s">
        <v>1047</v>
      </c>
      <c r="I264" t="s">
        <v>86</v>
      </c>
      <c r="J264" t="s">
        <v>930</v>
      </c>
      <c r="K264" t="s">
        <v>900</v>
      </c>
    </row>
    <row r="265" spans="1:11">
      <c r="A265" t="s">
        <v>933</v>
      </c>
      <c r="B265" t="s">
        <v>1070</v>
      </c>
      <c r="C265" t="s">
        <v>44</v>
      </c>
      <c r="D265" t="s">
        <v>29</v>
      </c>
      <c r="E265" t="s">
        <v>50</v>
      </c>
      <c r="F265" t="s">
        <v>51</v>
      </c>
      <c r="G265" t="s">
        <v>899</v>
      </c>
      <c r="H265" t="s">
        <v>1047</v>
      </c>
      <c r="I265" t="s">
        <v>86</v>
      </c>
      <c r="J265" t="s">
        <v>930</v>
      </c>
      <c r="K265" t="s">
        <v>900</v>
      </c>
    </row>
    <row r="266" spans="1:11">
      <c r="A266" t="s">
        <v>933</v>
      </c>
      <c r="B266" t="s">
        <v>1070</v>
      </c>
      <c r="C266" t="s">
        <v>44</v>
      </c>
      <c r="D266" t="s">
        <v>29</v>
      </c>
      <c r="E266" t="s">
        <v>155</v>
      </c>
      <c r="F266" t="s">
        <v>157</v>
      </c>
      <c r="G266" t="s">
        <v>899</v>
      </c>
      <c r="H266" t="s">
        <v>1047</v>
      </c>
      <c r="I266" t="s">
        <v>86</v>
      </c>
      <c r="J266" t="s">
        <v>930</v>
      </c>
      <c r="K266" t="s">
        <v>900</v>
      </c>
    </row>
    <row r="267" spans="1:11">
      <c r="A267" t="s">
        <v>933</v>
      </c>
      <c r="B267" t="s">
        <v>1071</v>
      </c>
      <c r="C267" t="s">
        <v>40</v>
      </c>
      <c r="D267" t="s">
        <v>28</v>
      </c>
      <c r="E267" t="s">
        <v>53</v>
      </c>
      <c r="F267" t="s">
        <v>192</v>
      </c>
      <c r="G267" t="s">
        <v>907</v>
      </c>
      <c r="H267" t="s">
        <v>1047</v>
      </c>
      <c r="I267" t="s">
        <v>86</v>
      </c>
      <c r="J267" t="s">
        <v>930</v>
      </c>
      <c r="K267" t="s">
        <v>935</v>
      </c>
    </row>
    <row r="268" spans="1:11">
      <c r="A268" t="s">
        <v>933</v>
      </c>
      <c r="B268" t="s">
        <v>1071</v>
      </c>
      <c r="C268" t="s">
        <v>40</v>
      </c>
      <c r="D268" t="s">
        <v>28</v>
      </c>
      <c r="E268" t="s">
        <v>252</v>
      </c>
      <c r="F268" t="s">
        <v>636</v>
      </c>
      <c r="G268" t="s">
        <v>907</v>
      </c>
      <c r="H268" t="s">
        <v>1047</v>
      </c>
      <c r="I268" t="s">
        <v>86</v>
      </c>
      <c r="J268" t="s">
        <v>930</v>
      </c>
      <c r="K268" t="s">
        <v>935</v>
      </c>
    </row>
    <row r="269" spans="1:11">
      <c r="A269" t="s">
        <v>933</v>
      </c>
      <c r="B269" t="s">
        <v>1071</v>
      </c>
      <c r="C269" t="s">
        <v>40</v>
      </c>
      <c r="D269" t="s">
        <v>28</v>
      </c>
      <c r="E269" t="s">
        <v>252</v>
      </c>
      <c r="F269" t="s">
        <v>880</v>
      </c>
      <c r="G269" t="s">
        <v>907</v>
      </c>
      <c r="H269" t="s">
        <v>1047</v>
      </c>
      <c r="I269" t="s">
        <v>86</v>
      </c>
      <c r="J269" t="s">
        <v>930</v>
      </c>
      <c r="K269" t="s">
        <v>935</v>
      </c>
    </row>
    <row r="270" spans="1:11">
      <c r="A270" t="s">
        <v>933</v>
      </c>
      <c r="B270" t="s">
        <v>1071</v>
      </c>
      <c r="C270" t="s">
        <v>44</v>
      </c>
      <c r="D270" t="s">
        <v>28</v>
      </c>
      <c r="E270" t="s">
        <v>50</v>
      </c>
      <c r="F270" t="s">
        <v>51</v>
      </c>
      <c r="G270" t="s">
        <v>907</v>
      </c>
      <c r="H270" t="s">
        <v>1047</v>
      </c>
      <c r="I270" t="s">
        <v>86</v>
      </c>
      <c r="J270" t="s">
        <v>930</v>
      </c>
      <c r="K270" t="s">
        <v>935</v>
      </c>
    </row>
    <row r="271" spans="1:11">
      <c r="A271" t="s">
        <v>933</v>
      </c>
      <c r="B271" t="s">
        <v>1071</v>
      </c>
      <c r="C271" t="s">
        <v>44</v>
      </c>
      <c r="D271" t="s">
        <v>28</v>
      </c>
      <c r="E271" t="s">
        <v>50</v>
      </c>
      <c r="F271" t="s">
        <v>325</v>
      </c>
      <c r="G271" t="s">
        <v>907</v>
      </c>
      <c r="H271" t="s">
        <v>1047</v>
      </c>
      <c r="I271" t="s">
        <v>86</v>
      </c>
      <c r="J271" t="s">
        <v>930</v>
      </c>
      <c r="K271" t="s">
        <v>935</v>
      </c>
    </row>
    <row r="272" spans="1:11">
      <c r="A272" t="s">
        <v>933</v>
      </c>
      <c r="B272" t="s">
        <v>1071</v>
      </c>
      <c r="C272" t="s">
        <v>44</v>
      </c>
      <c r="D272" t="s">
        <v>29</v>
      </c>
      <c r="E272" t="s">
        <v>53</v>
      </c>
      <c r="F272" t="s">
        <v>192</v>
      </c>
      <c r="G272" t="s">
        <v>907</v>
      </c>
      <c r="H272" t="s">
        <v>1047</v>
      </c>
      <c r="I272" t="s">
        <v>86</v>
      </c>
      <c r="J272" t="s">
        <v>930</v>
      </c>
      <c r="K272" t="s">
        <v>935</v>
      </c>
    </row>
    <row r="273" spans="1:11">
      <c r="A273" t="s">
        <v>933</v>
      </c>
      <c r="B273" t="s">
        <v>1071</v>
      </c>
      <c r="C273" t="s">
        <v>44</v>
      </c>
      <c r="D273" t="s">
        <v>29</v>
      </c>
      <c r="E273" t="s">
        <v>252</v>
      </c>
      <c r="F273" t="s">
        <v>636</v>
      </c>
      <c r="G273" t="s">
        <v>907</v>
      </c>
      <c r="H273" t="s">
        <v>1047</v>
      </c>
      <c r="I273" t="s">
        <v>86</v>
      </c>
      <c r="J273" t="s">
        <v>930</v>
      </c>
      <c r="K273" t="s">
        <v>935</v>
      </c>
    </row>
    <row r="274" spans="1:11">
      <c r="A274" t="s">
        <v>933</v>
      </c>
      <c r="B274" t="s">
        <v>1071</v>
      </c>
      <c r="C274" t="s">
        <v>44</v>
      </c>
      <c r="D274" t="s">
        <v>29</v>
      </c>
      <c r="E274" t="s">
        <v>252</v>
      </c>
      <c r="F274" t="s">
        <v>880</v>
      </c>
      <c r="G274" t="s">
        <v>907</v>
      </c>
      <c r="H274" t="s">
        <v>1047</v>
      </c>
      <c r="I274" t="s">
        <v>86</v>
      </c>
      <c r="J274" t="s">
        <v>930</v>
      </c>
      <c r="K274" t="s">
        <v>935</v>
      </c>
    </row>
    <row r="275" spans="1:11">
      <c r="A275" t="s">
        <v>933</v>
      </c>
      <c r="B275" t="s">
        <v>1071</v>
      </c>
      <c r="C275" t="s">
        <v>44</v>
      </c>
      <c r="D275" t="s">
        <v>29</v>
      </c>
      <c r="E275" t="s">
        <v>50</v>
      </c>
      <c r="F275" t="s">
        <v>51</v>
      </c>
      <c r="G275" t="s">
        <v>907</v>
      </c>
      <c r="H275" t="s">
        <v>1047</v>
      </c>
      <c r="I275" t="s">
        <v>86</v>
      </c>
      <c r="J275" t="s">
        <v>930</v>
      </c>
      <c r="K275" t="s">
        <v>935</v>
      </c>
    </row>
    <row r="276" spans="1:11">
      <c r="A276" t="s">
        <v>933</v>
      </c>
      <c r="B276" t="s">
        <v>1071</v>
      </c>
      <c r="C276" t="s">
        <v>44</v>
      </c>
      <c r="D276" t="s">
        <v>29</v>
      </c>
      <c r="E276" t="s">
        <v>50</v>
      </c>
      <c r="F276" t="s">
        <v>325</v>
      </c>
      <c r="G276" t="s">
        <v>907</v>
      </c>
      <c r="H276" t="s">
        <v>1047</v>
      </c>
      <c r="I276" t="s">
        <v>86</v>
      </c>
      <c r="J276" t="s">
        <v>930</v>
      </c>
      <c r="K276" t="s">
        <v>935</v>
      </c>
    </row>
    <row r="277" spans="1:11">
      <c r="A277" t="s">
        <v>933</v>
      </c>
      <c r="B277" t="s">
        <v>1072</v>
      </c>
      <c r="C277" t="s">
        <v>40</v>
      </c>
      <c r="D277" t="s">
        <v>28</v>
      </c>
      <c r="E277" t="s">
        <v>50</v>
      </c>
      <c r="F277" t="s">
        <v>189</v>
      </c>
      <c r="G277" t="s">
        <v>914</v>
      </c>
      <c r="H277" t="s">
        <v>1047</v>
      </c>
      <c r="I277" t="s">
        <v>86</v>
      </c>
      <c r="J277" t="s">
        <v>930</v>
      </c>
      <c r="K277" t="s">
        <v>915</v>
      </c>
    </row>
    <row r="278" spans="1:11">
      <c r="A278" t="s">
        <v>933</v>
      </c>
      <c r="B278" t="s">
        <v>1072</v>
      </c>
      <c r="C278" t="s">
        <v>40</v>
      </c>
      <c r="D278" t="s">
        <v>28</v>
      </c>
      <c r="E278" t="s">
        <v>50</v>
      </c>
      <c r="F278" t="s">
        <v>52</v>
      </c>
      <c r="G278" t="s">
        <v>914</v>
      </c>
      <c r="H278" t="s">
        <v>1047</v>
      </c>
      <c r="I278" t="s">
        <v>86</v>
      </c>
      <c r="J278" t="s">
        <v>930</v>
      </c>
      <c r="K278" t="s">
        <v>915</v>
      </c>
    </row>
    <row r="279" spans="1:11">
      <c r="A279" t="s">
        <v>933</v>
      </c>
      <c r="B279" t="s">
        <v>1072</v>
      </c>
      <c r="C279" t="s">
        <v>40</v>
      </c>
      <c r="D279" t="s">
        <v>30</v>
      </c>
      <c r="E279" t="s">
        <v>53</v>
      </c>
      <c r="F279" t="s">
        <v>154</v>
      </c>
      <c r="G279" t="s">
        <v>914</v>
      </c>
      <c r="H279" t="s">
        <v>1047</v>
      </c>
      <c r="I279" t="s">
        <v>86</v>
      </c>
      <c r="J279" t="s">
        <v>930</v>
      </c>
      <c r="K279" t="s">
        <v>915</v>
      </c>
    </row>
    <row r="280" spans="1:11">
      <c r="A280" t="s">
        <v>933</v>
      </c>
      <c r="B280" t="s">
        <v>1072</v>
      </c>
      <c r="C280" t="s">
        <v>40</v>
      </c>
      <c r="D280" t="s">
        <v>28</v>
      </c>
      <c r="E280" t="s">
        <v>55</v>
      </c>
      <c r="F280" t="s">
        <v>56</v>
      </c>
      <c r="G280" t="s">
        <v>914</v>
      </c>
      <c r="H280" t="s">
        <v>1047</v>
      </c>
      <c r="I280" t="s">
        <v>86</v>
      </c>
      <c r="J280" t="s">
        <v>930</v>
      </c>
      <c r="K280" t="s">
        <v>915</v>
      </c>
    </row>
    <row r="281" spans="1:11">
      <c r="A281" t="s">
        <v>933</v>
      </c>
      <c r="B281" t="s">
        <v>1072</v>
      </c>
      <c r="C281" t="s">
        <v>40</v>
      </c>
      <c r="D281" t="s">
        <v>28</v>
      </c>
      <c r="E281" t="s">
        <v>105</v>
      </c>
      <c r="F281" t="s">
        <v>248</v>
      </c>
      <c r="G281" t="s">
        <v>914</v>
      </c>
      <c r="H281" t="s">
        <v>1047</v>
      </c>
      <c r="I281" t="s">
        <v>86</v>
      </c>
      <c r="J281" t="s">
        <v>930</v>
      </c>
      <c r="K281" t="s">
        <v>915</v>
      </c>
    </row>
    <row r="282" spans="1:11">
      <c r="A282" t="s">
        <v>933</v>
      </c>
      <c r="B282" t="s">
        <v>1072</v>
      </c>
      <c r="C282" t="s">
        <v>44</v>
      </c>
      <c r="D282" t="s">
        <v>29</v>
      </c>
      <c r="E282" t="s">
        <v>50</v>
      </c>
      <c r="F282" t="s">
        <v>189</v>
      </c>
      <c r="G282" t="s">
        <v>914</v>
      </c>
      <c r="H282" t="s">
        <v>1047</v>
      </c>
      <c r="I282" t="s">
        <v>86</v>
      </c>
      <c r="J282" t="s">
        <v>930</v>
      </c>
      <c r="K282" t="s">
        <v>915</v>
      </c>
    </row>
    <row r="283" spans="1:11">
      <c r="A283" t="s">
        <v>933</v>
      </c>
      <c r="B283" t="s">
        <v>1072</v>
      </c>
      <c r="C283" t="s">
        <v>45</v>
      </c>
      <c r="D283" t="s">
        <v>29</v>
      </c>
      <c r="E283" t="s">
        <v>50</v>
      </c>
      <c r="F283" t="s">
        <v>52</v>
      </c>
      <c r="G283" t="s">
        <v>914</v>
      </c>
      <c r="H283" t="s">
        <v>1047</v>
      </c>
      <c r="I283" t="s">
        <v>86</v>
      </c>
      <c r="J283" t="s">
        <v>930</v>
      </c>
      <c r="K283" t="s">
        <v>915</v>
      </c>
    </row>
    <row r="284" spans="1:11">
      <c r="A284" t="s">
        <v>933</v>
      </c>
      <c r="B284" t="s">
        <v>1072</v>
      </c>
      <c r="C284" t="s">
        <v>45</v>
      </c>
      <c r="D284" t="s">
        <v>29</v>
      </c>
      <c r="E284" t="s">
        <v>155</v>
      </c>
      <c r="F284" t="s">
        <v>327</v>
      </c>
      <c r="G284" t="s">
        <v>914</v>
      </c>
      <c r="H284" t="s">
        <v>1047</v>
      </c>
      <c r="I284" t="s">
        <v>86</v>
      </c>
      <c r="J284" t="s">
        <v>930</v>
      </c>
      <c r="K284" t="s">
        <v>915</v>
      </c>
    </row>
    <row r="285" spans="1:11">
      <c r="A285" t="s">
        <v>933</v>
      </c>
      <c r="B285" t="s">
        <v>1072</v>
      </c>
      <c r="C285" t="s">
        <v>45</v>
      </c>
      <c r="D285" t="s">
        <v>29</v>
      </c>
      <c r="E285" t="s">
        <v>155</v>
      </c>
      <c r="F285" t="s">
        <v>157</v>
      </c>
      <c r="G285" t="s">
        <v>914</v>
      </c>
      <c r="H285" t="s">
        <v>1047</v>
      </c>
      <c r="I285" t="s">
        <v>86</v>
      </c>
      <c r="J285" t="s">
        <v>930</v>
      </c>
      <c r="K285" t="s">
        <v>915</v>
      </c>
    </row>
    <row r="286" spans="1:11">
      <c r="A286" t="s">
        <v>933</v>
      </c>
      <c r="B286" t="s">
        <v>1072</v>
      </c>
      <c r="C286" t="s">
        <v>46</v>
      </c>
      <c r="D286" t="s">
        <v>30</v>
      </c>
      <c r="E286" t="s">
        <v>53</v>
      </c>
      <c r="F286" t="s">
        <v>154</v>
      </c>
      <c r="G286" t="s">
        <v>914</v>
      </c>
      <c r="H286" t="s">
        <v>1047</v>
      </c>
      <c r="I286" t="s">
        <v>86</v>
      </c>
      <c r="J286" t="s">
        <v>930</v>
      </c>
      <c r="K286" t="s">
        <v>915</v>
      </c>
    </row>
  </sheetData>
  <pageMargins left="0.7" right="0.7" top="0.75" bottom="0.75" header="0.3" footer="0.3"/>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4FAC3-E8FB-4D4C-87D8-70FF7CAD17E6}">
  <sheetPr codeName="Sheet34"/>
  <dimension ref="A1:I169"/>
  <sheetViews>
    <sheetView workbookViewId="0">
      <selection sqref="A1:I169"/>
    </sheetView>
  </sheetViews>
  <sheetFormatPr defaultColWidth="8.85546875" defaultRowHeight="15"/>
  <cols>
    <col min="1" max="1" width="49" bestFit="1" customWidth="1"/>
    <col min="2" max="2" width="14.85546875" bestFit="1" customWidth="1"/>
    <col min="3" max="3" width="65.5703125" bestFit="1" customWidth="1"/>
    <col min="4" max="4" width="14" bestFit="1" customWidth="1"/>
    <col min="5" max="5" width="16.42578125" bestFit="1" customWidth="1"/>
    <col min="6" max="6" width="12.7109375" bestFit="1" customWidth="1"/>
    <col min="7" max="7" width="24.5703125" bestFit="1" customWidth="1"/>
    <col min="8" max="8" width="14.42578125" bestFit="1" customWidth="1"/>
    <col min="9" max="9" width="12.140625" bestFit="1" customWidth="1"/>
  </cols>
  <sheetData>
    <row r="1" spans="1:9">
      <c r="A1" t="s">
        <v>924</v>
      </c>
      <c r="B1" t="s">
        <v>893</v>
      </c>
      <c r="C1" t="s">
        <v>894</v>
      </c>
      <c r="D1" t="s">
        <v>16</v>
      </c>
      <c r="E1" t="s">
        <v>15</v>
      </c>
      <c r="F1" t="s">
        <v>1016</v>
      </c>
      <c r="G1" t="s">
        <v>925</v>
      </c>
      <c r="H1" t="s">
        <v>926</v>
      </c>
      <c r="I1" t="s">
        <v>927</v>
      </c>
    </row>
    <row r="2" spans="1:9">
      <c r="A2" t="s">
        <v>938</v>
      </c>
      <c r="B2" t="s">
        <v>905</v>
      </c>
      <c r="C2" t="s">
        <v>906</v>
      </c>
      <c r="D2" t="s">
        <v>17</v>
      </c>
      <c r="E2">
        <v>22</v>
      </c>
      <c r="F2" t="s">
        <v>1073</v>
      </c>
      <c r="G2" t="s">
        <v>86</v>
      </c>
      <c r="H2" t="s">
        <v>942</v>
      </c>
      <c r="I2" t="s">
        <v>930</v>
      </c>
    </row>
    <row r="3" spans="1:9">
      <c r="A3" t="s">
        <v>938</v>
      </c>
      <c r="B3" t="s">
        <v>905</v>
      </c>
      <c r="C3" t="s">
        <v>906</v>
      </c>
      <c r="D3" t="s">
        <v>18</v>
      </c>
      <c r="E3">
        <v>5</v>
      </c>
      <c r="F3" t="s">
        <v>1073</v>
      </c>
      <c r="G3" t="s">
        <v>86</v>
      </c>
      <c r="H3" t="s">
        <v>942</v>
      </c>
      <c r="I3" t="s">
        <v>930</v>
      </c>
    </row>
    <row r="4" spans="1:9">
      <c r="A4" t="s">
        <v>938</v>
      </c>
      <c r="B4" t="s">
        <v>905</v>
      </c>
      <c r="C4" t="s">
        <v>906</v>
      </c>
      <c r="D4" t="s">
        <v>19</v>
      </c>
      <c r="E4">
        <v>3</v>
      </c>
      <c r="F4" t="s">
        <v>1073</v>
      </c>
      <c r="G4" t="s">
        <v>86</v>
      </c>
      <c r="H4" t="s">
        <v>942</v>
      </c>
      <c r="I4" t="s">
        <v>930</v>
      </c>
    </row>
    <row r="5" spans="1:9">
      <c r="A5" t="s">
        <v>938</v>
      </c>
      <c r="B5" t="s">
        <v>905</v>
      </c>
      <c r="C5" t="s">
        <v>906</v>
      </c>
      <c r="D5" t="s">
        <v>20</v>
      </c>
      <c r="E5">
        <v>10</v>
      </c>
      <c r="F5" t="s">
        <v>1073</v>
      </c>
      <c r="G5" t="s">
        <v>86</v>
      </c>
      <c r="H5" t="s">
        <v>942</v>
      </c>
      <c r="I5" t="s">
        <v>930</v>
      </c>
    </row>
    <row r="6" spans="1:9">
      <c r="A6" t="s">
        <v>938</v>
      </c>
      <c r="B6" t="s">
        <v>905</v>
      </c>
      <c r="C6" t="s">
        <v>906</v>
      </c>
      <c r="D6" t="s">
        <v>22</v>
      </c>
      <c r="E6">
        <v>4</v>
      </c>
      <c r="F6" t="s">
        <v>1073</v>
      </c>
      <c r="G6" t="s">
        <v>86</v>
      </c>
      <c r="H6" t="s">
        <v>942</v>
      </c>
      <c r="I6" t="s">
        <v>930</v>
      </c>
    </row>
    <row r="7" spans="1:9">
      <c r="A7" t="s">
        <v>938</v>
      </c>
      <c r="B7" t="s">
        <v>905</v>
      </c>
      <c r="C7" t="s">
        <v>906</v>
      </c>
      <c r="D7" t="s">
        <v>23</v>
      </c>
      <c r="E7">
        <v>44</v>
      </c>
      <c r="F7" t="s">
        <v>1073</v>
      </c>
      <c r="G7" t="s">
        <v>86</v>
      </c>
      <c r="H7" t="s">
        <v>942</v>
      </c>
      <c r="I7" t="s">
        <v>930</v>
      </c>
    </row>
    <row r="8" spans="1:9">
      <c r="A8" t="s">
        <v>938</v>
      </c>
      <c r="B8" t="s">
        <v>140</v>
      </c>
      <c r="C8" t="s">
        <v>142</v>
      </c>
      <c r="D8" t="s">
        <v>17</v>
      </c>
      <c r="E8">
        <v>23</v>
      </c>
      <c r="F8" t="s">
        <v>1073</v>
      </c>
      <c r="G8" t="s">
        <v>86</v>
      </c>
      <c r="H8" t="s">
        <v>943</v>
      </c>
      <c r="I8" t="s">
        <v>930</v>
      </c>
    </row>
    <row r="9" spans="1:9">
      <c r="A9" t="s">
        <v>938</v>
      </c>
      <c r="B9" t="s">
        <v>140</v>
      </c>
      <c r="C9" t="s">
        <v>142</v>
      </c>
      <c r="D9" t="s">
        <v>18</v>
      </c>
      <c r="F9" t="s">
        <v>1073</v>
      </c>
      <c r="G9" t="s">
        <v>86</v>
      </c>
      <c r="H9" t="s">
        <v>943</v>
      </c>
      <c r="I9" t="s">
        <v>930</v>
      </c>
    </row>
    <row r="10" spans="1:9">
      <c r="A10" t="s">
        <v>938</v>
      </c>
      <c r="B10" t="s">
        <v>140</v>
      </c>
      <c r="C10" t="s">
        <v>142</v>
      </c>
      <c r="D10" t="s">
        <v>19</v>
      </c>
      <c r="F10" t="s">
        <v>1073</v>
      </c>
      <c r="G10" t="s">
        <v>86</v>
      </c>
      <c r="H10" t="s">
        <v>943</v>
      </c>
      <c r="I10" t="s">
        <v>930</v>
      </c>
    </row>
    <row r="11" spans="1:9">
      <c r="A11" t="s">
        <v>938</v>
      </c>
      <c r="B11" t="s">
        <v>140</v>
      </c>
      <c r="C11" t="s">
        <v>142</v>
      </c>
      <c r="D11" t="s">
        <v>20</v>
      </c>
      <c r="E11">
        <v>17</v>
      </c>
      <c r="F11" t="s">
        <v>1073</v>
      </c>
      <c r="G11" t="s">
        <v>86</v>
      </c>
      <c r="H11" t="s">
        <v>943</v>
      </c>
      <c r="I11" t="s">
        <v>930</v>
      </c>
    </row>
    <row r="12" spans="1:9">
      <c r="A12" t="s">
        <v>938</v>
      </c>
      <c r="B12" t="s">
        <v>140</v>
      </c>
      <c r="C12" t="s">
        <v>142</v>
      </c>
      <c r="D12" t="s">
        <v>22</v>
      </c>
      <c r="F12" t="s">
        <v>1073</v>
      </c>
      <c r="G12" t="s">
        <v>86</v>
      </c>
      <c r="H12" t="s">
        <v>943</v>
      </c>
      <c r="I12" t="s">
        <v>930</v>
      </c>
    </row>
    <row r="13" spans="1:9">
      <c r="A13" t="s">
        <v>938</v>
      </c>
      <c r="B13" t="s">
        <v>140</v>
      </c>
      <c r="C13" t="s">
        <v>142</v>
      </c>
      <c r="D13" t="s">
        <v>23</v>
      </c>
      <c r="E13">
        <v>40</v>
      </c>
      <c r="F13" t="s">
        <v>1073</v>
      </c>
      <c r="G13" t="s">
        <v>86</v>
      </c>
      <c r="H13" t="s">
        <v>943</v>
      </c>
      <c r="I13" t="s">
        <v>930</v>
      </c>
    </row>
    <row r="14" spans="1:9">
      <c r="A14" t="s">
        <v>938</v>
      </c>
      <c r="B14" t="s">
        <v>170</v>
      </c>
      <c r="C14" t="s">
        <v>171</v>
      </c>
      <c r="D14" t="s">
        <v>17</v>
      </c>
      <c r="F14" t="s">
        <v>1073</v>
      </c>
      <c r="G14" t="s">
        <v>86</v>
      </c>
      <c r="H14" t="s">
        <v>939</v>
      </c>
      <c r="I14" t="s">
        <v>930</v>
      </c>
    </row>
    <row r="15" spans="1:9">
      <c r="A15" t="s">
        <v>938</v>
      </c>
      <c r="B15" t="s">
        <v>170</v>
      </c>
      <c r="C15" t="s">
        <v>171</v>
      </c>
      <c r="D15" t="s">
        <v>18</v>
      </c>
      <c r="F15" t="s">
        <v>1073</v>
      </c>
      <c r="G15" t="s">
        <v>86</v>
      </c>
      <c r="H15" t="s">
        <v>939</v>
      </c>
      <c r="I15" t="s">
        <v>930</v>
      </c>
    </row>
    <row r="16" spans="1:9">
      <c r="A16" t="s">
        <v>938</v>
      </c>
      <c r="B16" t="s">
        <v>170</v>
      </c>
      <c r="C16" t="s">
        <v>171</v>
      </c>
      <c r="D16" t="s">
        <v>19</v>
      </c>
      <c r="F16" t="s">
        <v>1073</v>
      </c>
      <c r="G16" t="s">
        <v>86</v>
      </c>
      <c r="H16" t="s">
        <v>939</v>
      </c>
      <c r="I16" t="s">
        <v>930</v>
      </c>
    </row>
    <row r="17" spans="1:9">
      <c r="A17" t="s">
        <v>938</v>
      </c>
      <c r="B17" t="s">
        <v>170</v>
      </c>
      <c r="C17" t="s">
        <v>171</v>
      </c>
      <c r="D17" t="s">
        <v>20</v>
      </c>
      <c r="F17" t="s">
        <v>1073</v>
      </c>
      <c r="G17" t="s">
        <v>86</v>
      </c>
      <c r="H17" t="s">
        <v>939</v>
      </c>
      <c r="I17" t="s">
        <v>930</v>
      </c>
    </row>
    <row r="18" spans="1:9">
      <c r="A18" t="s">
        <v>938</v>
      </c>
      <c r="B18" t="s">
        <v>170</v>
      </c>
      <c r="C18" t="s">
        <v>171</v>
      </c>
      <c r="D18" t="s">
        <v>22</v>
      </c>
      <c r="F18" t="s">
        <v>1073</v>
      </c>
      <c r="G18" t="s">
        <v>86</v>
      </c>
      <c r="H18" t="s">
        <v>939</v>
      </c>
      <c r="I18" t="s">
        <v>930</v>
      </c>
    </row>
    <row r="19" spans="1:9">
      <c r="A19" t="s">
        <v>938</v>
      </c>
      <c r="B19" t="s">
        <v>170</v>
      </c>
      <c r="C19" t="s">
        <v>171</v>
      </c>
      <c r="D19" t="s">
        <v>23</v>
      </c>
      <c r="E19">
        <v>0</v>
      </c>
      <c r="F19" t="s">
        <v>1073</v>
      </c>
      <c r="G19" t="s">
        <v>86</v>
      </c>
      <c r="H19" t="s">
        <v>939</v>
      </c>
      <c r="I19" t="s">
        <v>930</v>
      </c>
    </row>
    <row r="20" spans="1:9">
      <c r="A20" t="s">
        <v>938</v>
      </c>
      <c r="B20" t="s">
        <v>173</v>
      </c>
      <c r="C20" t="s">
        <v>904</v>
      </c>
      <c r="D20" t="s">
        <v>17</v>
      </c>
      <c r="E20">
        <v>33</v>
      </c>
      <c r="F20" t="s">
        <v>1073</v>
      </c>
      <c r="G20" t="s">
        <v>86</v>
      </c>
      <c r="H20" t="s">
        <v>940</v>
      </c>
      <c r="I20" t="s">
        <v>930</v>
      </c>
    </row>
    <row r="21" spans="1:9">
      <c r="A21" t="s">
        <v>938</v>
      </c>
      <c r="B21" t="s">
        <v>173</v>
      </c>
      <c r="C21" t="s">
        <v>904</v>
      </c>
      <c r="D21" t="s">
        <v>18</v>
      </c>
      <c r="E21">
        <v>1</v>
      </c>
      <c r="F21" t="s">
        <v>1073</v>
      </c>
      <c r="G21" t="s">
        <v>86</v>
      </c>
      <c r="H21" t="s">
        <v>940</v>
      </c>
      <c r="I21" t="s">
        <v>930</v>
      </c>
    </row>
    <row r="22" spans="1:9">
      <c r="A22" t="s">
        <v>938</v>
      </c>
      <c r="B22" t="s">
        <v>173</v>
      </c>
      <c r="C22" t="s">
        <v>904</v>
      </c>
      <c r="D22" t="s">
        <v>19</v>
      </c>
      <c r="E22">
        <v>6</v>
      </c>
      <c r="F22" t="s">
        <v>1073</v>
      </c>
      <c r="G22" t="s">
        <v>86</v>
      </c>
      <c r="H22" t="s">
        <v>940</v>
      </c>
      <c r="I22" t="s">
        <v>930</v>
      </c>
    </row>
    <row r="23" spans="1:9">
      <c r="A23" t="s">
        <v>938</v>
      </c>
      <c r="B23" t="s">
        <v>173</v>
      </c>
      <c r="C23" t="s">
        <v>904</v>
      </c>
      <c r="D23" t="s">
        <v>20</v>
      </c>
      <c r="E23">
        <v>1</v>
      </c>
      <c r="F23" t="s">
        <v>1073</v>
      </c>
      <c r="G23" t="s">
        <v>86</v>
      </c>
      <c r="H23" t="s">
        <v>940</v>
      </c>
      <c r="I23" t="s">
        <v>930</v>
      </c>
    </row>
    <row r="24" spans="1:9">
      <c r="A24" t="s">
        <v>938</v>
      </c>
      <c r="B24" t="s">
        <v>173</v>
      </c>
      <c r="C24" t="s">
        <v>904</v>
      </c>
      <c r="D24" t="s">
        <v>22</v>
      </c>
      <c r="E24">
        <v>3</v>
      </c>
      <c r="F24" t="s">
        <v>1073</v>
      </c>
      <c r="G24" t="s">
        <v>86</v>
      </c>
      <c r="H24" t="s">
        <v>940</v>
      </c>
      <c r="I24" t="s">
        <v>930</v>
      </c>
    </row>
    <row r="25" spans="1:9">
      <c r="A25" t="s">
        <v>938</v>
      </c>
      <c r="B25" t="s">
        <v>173</v>
      </c>
      <c r="C25" t="s">
        <v>904</v>
      </c>
      <c r="D25" t="s">
        <v>23</v>
      </c>
      <c r="E25">
        <v>44</v>
      </c>
      <c r="F25" t="s">
        <v>1073</v>
      </c>
      <c r="G25" t="s">
        <v>86</v>
      </c>
      <c r="H25" t="s">
        <v>940</v>
      </c>
      <c r="I25" t="s">
        <v>930</v>
      </c>
    </row>
    <row r="26" spans="1:9">
      <c r="A26" t="s">
        <v>938</v>
      </c>
      <c r="B26" t="s">
        <v>229</v>
      </c>
      <c r="C26" t="s">
        <v>231</v>
      </c>
      <c r="D26" t="s">
        <v>17</v>
      </c>
      <c r="E26">
        <v>11</v>
      </c>
      <c r="F26" t="s">
        <v>1073</v>
      </c>
      <c r="G26" t="s">
        <v>86</v>
      </c>
      <c r="H26" t="s">
        <v>941</v>
      </c>
      <c r="I26" t="s">
        <v>930</v>
      </c>
    </row>
    <row r="27" spans="1:9">
      <c r="A27" t="s">
        <v>938</v>
      </c>
      <c r="B27" t="s">
        <v>229</v>
      </c>
      <c r="C27" t="s">
        <v>231</v>
      </c>
      <c r="D27" t="s">
        <v>18</v>
      </c>
      <c r="F27" t="s">
        <v>1073</v>
      </c>
      <c r="G27" t="s">
        <v>86</v>
      </c>
      <c r="H27" t="s">
        <v>941</v>
      </c>
      <c r="I27" t="s">
        <v>930</v>
      </c>
    </row>
    <row r="28" spans="1:9">
      <c r="A28" t="s">
        <v>938</v>
      </c>
      <c r="B28" t="s">
        <v>229</v>
      </c>
      <c r="C28" t="s">
        <v>231</v>
      </c>
      <c r="D28" t="s">
        <v>19</v>
      </c>
      <c r="E28">
        <v>6</v>
      </c>
      <c r="F28" t="s">
        <v>1073</v>
      </c>
      <c r="G28" t="s">
        <v>86</v>
      </c>
      <c r="H28" t="s">
        <v>941</v>
      </c>
      <c r="I28" t="s">
        <v>930</v>
      </c>
    </row>
    <row r="29" spans="1:9">
      <c r="A29" t="s">
        <v>938</v>
      </c>
      <c r="B29" t="s">
        <v>229</v>
      </c>
      <c r="C29" t="s">
        <v>231</v>
      </c>
      <c r="D29" t="s">
        <v>20</v>
      </c>
      <c r="E29">
        <v>11</v>
      </c>
      <c r="F29" t="s">
        <v>1073</v>
      </c>
      <c r="G29" t="s">
        <v>86</v>
      </c>
      <c r="H29" t="s">
        <v>941</v>
      </c>
      <c r="I29" t="s">
        <v>930</v>
      </c>
    </row>
    <row r="30" spans="1:9">
      <c r="A30" t="s">
        <v>938</v>
      </c>
      <c r="B30" t="s">
        <v>229</v>
      </c>
      <c r="C30" t="s">
        <v>231</v>
      </c>
      <c r="D30" t="s">
        <v>22</v>
      </c>
      <c r="E30">
        <v>11</v>
      </c>
      <c r="F30" t="s">
        <v>1073</v>
      </c>
      <c r="G30" t="s">
        <v>86</v>
      </c>
      <c r="H30" t="s">
        <v>941</v>
      </c>
      <c r="I30" t="s">
        <v>930</v>
      </c>
    </row>
    <row r="31" spans="1:9">
      <c r="A31" t="s">
        <v>938</v>
      </c>
      <c r="B31" t="s">
        <v>229</v>
      </c>
      <c r="C31" t="s">
        <v>231</v>
      </c>
      <c r="D31" t="s">
        <v>23</v>
      </c>
      <c r="E31">
        <v>39</v>
      </c>
      <c r="F31" t="s">
        <v>1073</v>
      </c>
      <c r="G31" t="s">
        <v>86</v>
      </c>
      <c r="H31" t="s">
        <v>941</v>
      </c>
      <c r="I31" t="s">
        <v>930</v>
      </c>
    </row>
    <row r="32" spans="1:9">
      <c r="A32" t="s">
        <v>938</v>
      </c>
      <c r="B32" t="s">
        <v>278</v>
      </c>
      <c r="C32" t="s">
        <v>280</v>
      </c>
      <c r="D32" t="s">
        <v>17</v>
      </c>
      <c r="E32">
        <v>34</v>
      </c>
      <c r="F32" t="s">
        <v>1073</v>
      </c>
      <c r="G32" t="s">
        <v>86</v>
      </c>
      <c r="H32" t="s">
        <v>944</v>
      </c>
      <c r="I32" t="s">
        <v>930</v>
      </c>
    </row>
    <row r="33" spans="1:9">
      <c r="A33" t="s">
        <v>938</v>
      </c>
      <c r="B33" t="s">
        <v>278</v>
      </c>
      <c r="C33" t="s">
        <v>280</v>
      </c>
      <c r="D33" t="s">
        <v>18</v>
      </c>
      <c r="E33">
        <v>6</v>
      </c>
      <c r="F33" t="s">
        <v>1073</v>
      </c>
      <c r="G33" t="s">
        <v>86</v>
      </c>
      <c r="H33" t="s">
        <v>944</v>
      </c>
      <c r="I33" t="s">
        <v>930</v>
      </c>
    </row>
    <row r="34" spans="1:9">
      <c r="A34" t="s">
        <v>938</v>
      </c>
      <c r="B34" t="s">
        <v>278</v>
      </c>
      <c r="C34" t="s">
        <v>280</v>
      </c>
      <c r="D34" t="s">
        <v>19</v>
      </c>
      <c r="F34" t="s">
        <v>1073</v>
      </c>
      <c r="G34" t="s">
        <v>86</v>
      </c>
      <c r="H34" t="s">
        <v>944</v>
      </c>
      <c r="I34" t="s">
        <v>930</v>
      </c>
    </row>
    <row r="35" spans="1:9">
      <c r="A35" t="s">
        <v>938</v>
      </c>
      <c r="B35" t="s">
        <v>278</v>
      </c>
      <c r="C35" t="s">
        <v>280</v>
      </c>
      <c r="D35" t="s">
        <v>20</v>
      </c>
      <c r="E35">
        <v>2</v>
      </c>
      <c r="F35" t="s">
        <v>1073</v>
      </c>
      <c r="G35" t="s">
        <v>86</v>
      </c>
      <c r="H35" t="s">
        <v>944</v>
      </c>
      <c r="I35" t="s">
        <v>930</v>
      </c>
    </row>
    <row r="36" spans="1:9">
      <c r="A36" t="s">
        <v>938</v>
      </c>
      <c r="B36" t="s">
        <v>278</v>
      </c>
      <c r="C36" t="s">
        <v>280</v>
      </c>
      <c r="D36" t="s">
        <v>22</v>
      </c>
      <c r="F36" t="s">
        <v>1073</v>
      </c>
      <c r="G36" t="s">
        <v>86</v>
      </c>
      <c r="H36" t="s">
        <v>944</v>
      </c>
      <c r="I36" t="s">
        <v>930</v>
      </c>
    </row>
    <row r="37" spans="1:9">
      <c r="A37" t="s">
        <v>938</v>
      </c>
      <c r="B37" t="s">
        <v>278</v>
      </c>
      <c r="C37" t="s">
        <v>280</v>
      </c>
      <c r="D37" t="s">
        <v>23</v>
      </c>
      <c r="E37">
        <v>42</v>
      </c>
      <c r="F37" t="s">
        <v>1073</v>
      </c>
      <c r="G37" t="s">
        <v>86</v>
      </c>
      <c r="H37" t="s">
        <v>944</v>
      </c>
      <c r="I37" t="s">
        <v>930</v>
      </c>
    </row>
    <row r="38" spans="1:9">
      <c r="A38" t="s">
        <v>938</v>
      </c>
      <c r="B38" t="s">
        <v>312</v>
      </c>
      <c r="C38" t="s">
        <v>313</v>
      </c>
      <c r="D38" t="s">
        <v>17</v>
      </c>
      <c r="E38">
        <v>16</v>
      </c>
      <c r="F38" t="s">
        <v>1073</v>
      </c>
      <c r="G38" t="s">
        <v>86</v>
      </c>
      <c r="H38" t="s">
        <v>945</v>
      </c>
      <c r="I38" t="s">
        <v>930</v>
      </c>
    </row>
    <row r="39" spans="1:9">
      <c r="A39" t="s">
        <v>938</v>
      </c>
      <c r="B39" t="s">
        <v>312</v>
      </c>
      <c r="C39" t="s">
        <v>313</v>
      </c>
      <c r="D39" t="s">
        <v>18</v>
      </c>
      <c r="E39">
        <v>5</v>
      </c>
      <c r="F39" t="s">
        <v>1073</v>
      </c>
      <c r="G39" t="s">
        <v>86</v>
      </c>
      <c r="H39" t="s">
        <v>945</v>
      </c>
      <c r="I39" t="s">
        <v>930</v>
      </c>
    </row>
    <row r="40" spans="1:9">
      <c r="A40" t="s">
        <v>938</v>
      </c>
      <c r="B40" t="s">
        <v>312</v>
      </c>
      <c r="C40" t="s">
        <v>313</v>
      </c>
      <c r="D40" t="s">
        <v>19</v>
      </c>
      <c r="E40">
        <v>6</v>
      </c>
      <c r="F40" t="s">
        <v>1073</v>
      </c>
      <c r="G40" t="s">
        <v>86</v>
      </c>
      <c r="H40" t="s">
        <v>945</v>
      </c>
      <c r="I40" t="s">
        <v>930</v>
      </c>
    </row>
    <row r="41" spans="1:9">
      <c r="A41" t="s">
        <v>938</v>
      </c>
      <c r="B41" t="s">
        <v>312</v>
      </c>
      <c r="C41" t="s">
        <v>313</v>
      </c>
      <c r="D41" t="s">
        <v>20</v>
      </c>
      <c r="E41">
        <v>7</v>
      </c>
      <c r="F41" t="s">
        <v>1073</v>
      </c>
      <c r="G41" t="s">
        <v>86</v>
      </c>
      <c r="H41" t="s">
        <v>945</v>
      </c>
      <c r="I41" t="s">
        <v>930</v>
      </c>
    </row>
    <row r="42" spans="1:9">
      <c r="A42" t="s">
        <v>938</v>
      </c>
      <c r="B42" t="s">
        <v>312</v>
      </c>
      <c r="C42" t="s">
        <v>313</v>
      </c>
      <c r="D42" t="s">
        <v>22</v>
      </c>
      <c r="E42">
        <v>6</v>
      </c>
      <c r="F42" t="s">
        <v>1073</v>
      </c>
      <c r="G42" t="s">
        <v>86</v>
      </c>
      <c r="H42" t="s">
        <v>945</v>
      </c>
      <c r="I42" t="s">
        <v>930</v>
      </c>
    </row>
    <row r="43" spans="1:9">
      <c r="A43" t="s">
        <v>938</v>
      </c>
      <c r="B43" t="s">
        <v>312</v>
      </c>
      <c r="C43" t="s">
        <v>313</v>
      </c>
      <c r="D43" t="s">
        <v>23</v>
      </c>
      <c r="E43">
        <v>40</v>
      </c>
      <c r="F43" t="s">
        <v>1073</v>
      </c>
      <c r="G43" t="s">
        <v>86</v>
      </c>
      <c r="H43" t="s">
        <v>945</v>
      </c>
      <c r="I43" t="s">
        <v>930</v>
      </c>
    </row>
    <row r="44" spans="1:9">
      <c r="A44" t="s">
        <v>938</v>
      </c>
      <c r="B44" t="s">
        <v>360</v>
      </c>
      <c r="C44" t="s">
        <v>362</v>
      </c>
      <c r="D44" t="s">
        <v>17</v>
      </c>
      <c r="F44" t="s">
        <v>1073</v>
      </c>
      <c r="G44" t="s">
        <v>86</v>
      </c>
      <c r="H44" t="s">
        <v>946</v>
      </c>
      <c r="I44" t="s">
        <v>930</v>
      </c>
    </row>
    <row r="45" spans="1:9">
      <c r="A45" t="s">
        <v>938</v>
      </c>
      <c r="B45" t="s">
        <v>360</v>
      </c>
      <c r="C45" t="s">
        <v>362</v>
      </c>
      <c r="D45" t="s">
        <v>18</v>
      </c>
      <c r="F45" t="s">
        <v>1073</v>
      </c>
      <c r="G45" t="s">
        <v>86</v>
      </c>
      <c r="H45" t="s">
        <v>946</v>
      </c>
      <c r="I45" t="s">
        <v>930</v>
      </c>
    </row>
    <row r="46" spans="1:9">
      <c r="A46" t="s">
        <v>938</v>
      </c>
      <c r="B46" t="s">
        <v>360</v>
      </c>
      <c r="C46" t="s">
        <v>362</v>
      </c>
      <c r="D46" t="s">
        <v>19</v>
      </c>
      <c r="F46" t="s">
        <v>1073</v>
      </c>
      <c r="G46" t="s">
        <v>86</v>
      </c>
      <c r="H46" t="s">
        <v>946</v>
      </c>
      <c r="I46" t="s">
        <v>930</v>
      </c>
    </row>
    <row r="47" spans="1:9">
      <c r="A47" t="s">
        <v>938</v>
      </c>
      <c r="B47" t="s">
        <v>360</v>
      </c>
      <c r="C47" t="s">
        <v>362</v>
      </c>
      <c r="D47" t="s">
        <v>20</v>
      </c>
      <c r="F47" t="s">
        <v>1073</v>
      </c>
      <c r="G47" t="s">
        <v>86</v>
      </c>
      <c r="H47" t="s">
        <v>946</v>
      </c>
      <c r="I47" t="s">
        <v>930</v>
      </c>
    </row>
    <row r="48" spans="1:9">
      <c r="A48" t="s">
        <v>938</v>
      </c>
      <c r="B48" t="s">
        <v>360</v>
      </c>
      <c r="C48" t="s">
        <v>362</v>
      </c>
      <c r="D48" t="s">
        <v>22</v>
      </c>
      <c r="F48" t="s">
        <v>1073</v>
      </c>
      <c r="G48" t="s">
        <v>86</v>
      </c>
      <c r="H48" t="s">
        <v>946</v>
      </c>
      <c r="I48" t="s">
        <v>930</v>
      </c>
    </row>
    <row r="49" spans="1:9">
      <c r="A49" t="s">
        <v>938</v>
      </c>
      <c r="B49" t="s">
        <v>360</v>
      </c>
      <c r="C49" t="s">
        <v>362</v>
      </c>
      <c r="D49" t="s">
        <v>23</v>
      </c>
      <c r="E49">
        <v>0</v>
      </c>
      <c r="F49" t="s">
        <v>1073</v>
      </c>
      <c r="G49" t="s">
        <v>86</v>
      </c>
      <c r="H49" t="s">
        <v>946</v>
      </c>
      <c r="I49" t="s">
        <v>930</v>
      </c>
    </row>
    <row r="50" spans="1:9">
      <c r="A50" t="s">
        <v>938</v>
      </c>
      <c r="B50" t="s">
        <v>386</v>
      </c>
      <c r="C50" t="s">
        <v>388</v>
      </c>
      <c r="D50" t="s">
        <v>17</v>
      </c>
      <c r="E50">
        <v>22</v>
      </c>
      <c r="F50" t="s">
        <v>1073</v>
      </c>
      <c r="G50" t="s">
        <v>86</v>
      </c>
      <c r="H50" t="s">
        <v>947</v>
      </c>
      <c r="I50" t="s">
        <v>930</v>
      </c>
    </row>
    <row r="51" spans="1:9">
      <c r="A51" t="s">
        <v>938</v>
      </c>
      <c r="B51" t="s">
        <v>386</v>
      </c>
      <c r="C51" t="s">
        <v>388</v>
      </c>
      <c r="D51" t="s">
        <v>18</v>
      </c>
      <c r="E51">
        <v>14</v>
      </c>
      <c r="F51" t="s">
        <v>1073</v>
      </c>
      <c r="G51" t="s">
        <v>86</v>
      </c>
      <c r="H51" t="s">
        <v>947</v>
      </c>
      <c r="I51" t="s">
        <v>930</v>
      </c>
    </row>
    <row r="52" spans="1:9">
      <c r="A52" t="s">
        <v>938</v>
      </c>
      <c r="B52" t="s">
        <v>386</v>
      </c>
      <c r="C52" t="s">
        <v>388</v>
      </c>
      <c r="D52" t="s">
        <v>19</v>
      </c>
      <c r="E52">
        <v>2</v>
      </c>
      <c r="F52" t="s">
        <v>1073</v>
      </c>
      <c r="G52" t="s">
        <v>86</v>
      </c>
      <c r="H52" t="s">
        <v>947</v>
      </c>
      <c r="I52" t="s">
        <v>930</v>
      </c>
    </row>
    <row r="53" spans="1:9">
      <c r="A53" t="s">
        <v>938</v>
      </c>
      <c r="B53" t="s">
        <v>386</v>
      </c>
      <c r="C53" t="s">
        <v>388</v>
      </c>
      <c r="D53" t="s">
        <v>20</v>
      </c>
      <c r="E53">
        <v>0</v>
      </c>
      <c r="F53" t="s">
        <v>1073</v>
      </c>
      <c r="G53" t="s">
        <v>86</v>
      </c>
      <c r="H53" t="s">
        <v>947</v>
      </c>
      <c r="I53" t="s">
        <v>930</v>
      </c>
    </row>
    <row r="54" spans="1:9">
      <c r="A54" t="s">
        <v>938</v>
      </c>
      <c r="B54" t="s">
        <v>386</v>
      </c>
      <c r="C54" t="s">
        <v>388</v>
      </c>
      <c r="D54" t="s">
        <v>22</v>
      </c>
      <c r="E54">
        <v>11</v>
      </c>
      <c r="F54" t="s">
        <v>1073</v>
      </c>
      <c r="G54" t="s">
        <v>86</v>
      </c>
      <c r="H54" t="s">
        <v>947</v>
      </c>
      <c r="I54" t="s">
        <v>930</v>
      </c>
    </row>
    <row r="55" spans="1:9">
      <c r="A55" t="s">
        <v>938</v>
      </c>
      <c r="B55" t="s">
        <v>386</v>
      </c>
      <c r="C55" t="s">
        <v>388</v>
      </c>
      <c r="D55" t="s">
        <v>23</v>
      </c>
      <c r="E55">
        <v>49</v>
      </c>
      <c r="F55" t="s">
        <v>1073</v>
      </c>
      <c r="G55" t="s">
        <v>86</v>
      </c>
      <c r="H55" t="s">
        <v>947</v>
      </c>
      <c r="I55" t="s">
        <v>930</v>
      </c>
    </row>
    <row r="56" spans="1:9">
      <c r="A56" t="s">
        <v>938</v>
      </c>
      <c r="B56" t="s">
        <v>417</v>
      </c>
      <c r="C56" t="s">
        <v>910</v>
      </c>
      <c r="D56" t="s">
        <v>17</v>
      </c>
      <c r="F56" t="s">
        <v>1073</v>
      </c>
      <c r="G56" t="s">
        <v>86</v>
      </c>
      <c r="H56" t="s">
        <v>948</v>
      </c>
      <c r="I56" t="s">
        <v>930</v>
      </c>
    </row>
    <row r="57" spans="1:9">
      <c r="A57" t="s">
        <v>938</v>
      </c>
      <c r="B57" t="s">
        <v>417</v>
      </c>
      <c r="C57" t="s">
        <v>910</v>
      </c>
      <c r="D57" t="s">
        <v>18</v>
      </c>
      <c r="F57" t="s">
        <v>1073</v>
      </c>
      <c r="G57" t="s">
        <v>86</v>
      </c>
      <c r="H57" t="s">
        <v>948</v>
      </c>
      <c r="I57" t="s">
        <v>930</v>
      </c>
    </row>
    <row r="58" spans="1:9">
      <c r="A58" t="s">
        <v>938</v>
      </c>
      <c r="B58" t="s">
        <v>417</v>
      </c>
      <c r="C58" t="s">
        <v>910</v>
      </c>
      <c r="D58" t="s">
        <v>19</v>
      </c>
      <c r="F58" t="s">
        <v>1073</v>
      </c>
      <c r="G58" t="s">
        <v>86</v>
      </c>
      <c r="H58" t="s">
        <v>948</v>
      </c>
      <c r="I58" t="s">
        <v>930</v>
      </c>
    </row>
    <row r="59" spans="1:9">
      <c r="A59" t="s">
        <v>938</v>
      </c>
      <c r="B59" t="s">
        <v>417</v>
      </c>
      <c r="C59" t="s">
        <v>910</v>
      </c>
      <c r="D59" t="s">
        <v>20</v>
      </c>
      <c r="F59" t="s">
        <v>1073</v>
      </c>
      <c r="G59" t="s">
        <v>86</v>
      </c>
      <c r="H59" t="s">
        <v>948</v>
      </c>
      <c r="I59" t="s">
        <v>930</v>
      </c>
    </row>
    <row r="60" spans="1:9">
      <c r="A60" t="s">
        <v>938</v>
      </c>
      <c r="B60" t="s">
        <v>417</v>
      </c>
      <c r="C60" t="s">
        <v>910</v>
      </c>
      <c r="D60" t="s">
        <v>22</v>
      </c>
      <c r="F60" t="s">
        <v>1073</v>
      </c>
      <c r="G60" t="s">
        <v>86</v>
      </c>
      <c r="H60" t="s">
        <v>948</v>
      </c>
      <c r="I60" t="s">
        <v>930</v>
      </c>
    </row>
    <row r="61" spans="1:9">
      <c r="A61" t="s">
        <v>938</v>
      </c>
      <c r="B61" t="s">
        <v>417</v>
      </c>
      <c r="C61" t="s">
        <v>910</v>
      </c>
      <c r="D61" t="s">
        <v>23</v>
      </c>
      <c r="E61">
        <v>0</v>
      </c>
      <c r="F61" t="s">
        <v>1073</v>
      </c>
      <c r="G61" t="s">
        <v>86</v>
      </c>
      <c r="H61" t="s">
        <v>948</v>
      </c>
      <c r="I61" t="s">
        <v>930</v>
      </c>
    </row>
    <row r="62" spans="1:9">
      <c r="A62" t="s">
        <v>938</v>
      </c>
      <c r="B62" t="s">
        <v>448</v>
      </c>
      <c r="C62" t="s">
        <v>450</v>
      </c>
      <c r="D62" t="s">
        <v>17</v>
      </c>
      <c r="E62">
        <v>20</v>
      </c>
      <c r="F62" t="s">
        <v>1073</v>
      </c>
      <c r="G62" t="s">
        <v>86</v>
      </c>
      <c r="H62" t="s">
        <v>953</v>
      </c>
      <c r="I62" t="s">
        <v>930</v>
      </c>
    </row>
    <row r="63" spans="1:9">
      <c r="A63" t="s">
        <v>938</v>
      </c>
      <c r="B63" t="s">
        <v>448</v>
      </c>
      <c r="C63" t="s">
        <v>450</v>
      </c>
      <c r="D63" t="s">
        <v>18</v>
      </c>
      <c r="E63">
        <v>9</v>
      </c>
      <c r="F63" t="s">
        <v>1073</v>
      </c>
      <c r="G63" t="s">
        <v>86</v>
      </c>
      <c r="H63" t="s">
        <v>953</v>
      </c>
      <c r="I63" t="s">
        <v>930</v>
      </c>
    </row>
    <row r="64" spans="1:9">
      <c r="A64" t="s">
        <v>938</v>
      </c>
      <c r="B64" t="s">
        <v>448</v>
      </c>
      <c r="C64" t="s">
        <v>450</v>
      </c>
      <c r="D64" t="s">
        <v>19</v>
      </c>
      <c r="E64">
        <v>13</v>
      </c>
      <c r="F64" t="s">
        <v>1073</v>
      </c>
      <c r="G64" t="s">
        <v>86</v>
      </c>
      <c r="H64" t="s">
        <v>953</v>
      </c>
      <c r="I64" t="s">
        <v>930</v>
      </c>
    </row>
    <row r="65" spans="1:9">
      <c r="A65" t="s">
        <v>938</v>
      </c>
      <c r="B65" t="s">
        <v>448</v>
      </c>
      <c r="C65" t="s">
        <v>450</v>
      </c>
      <c r="D65" t="s">
        <v>20</v>
      </c>
      <c r="E65">
        <v>0</v>
      </c>
      <c r="F65" t="s">
        <v>1073</v>
      </c>
      <c r="G65" t="s">
        <v>86</v>
      </c>
      <c r="H65" t="s">
        <v>953</v>
      </c>
      <c r="I65" t="s">
        <v>930</v>
      </c>
    </row>
    <row r="66" spans="1:9">
      <c r="A66" t="s">
        <v>938</v>
      </c>
      <c r="B66" t="s">
        <v>448</v>
      </c>
      <c r="C66" t="s">
        <v>450</v>
      </c>
      <c r="D66" t="s">
        <v>22</v>
      </c>
      <c r="E66">
        <v>0</v>
      </c>
      <c r="F66" t="s">
        <v>1073</v>
      </c>
      <c r="G66" t="s">
        <v>86</v>
      </c>
      <c r="H66" t="s">
        <v>953</v>
      </c>
      <c r="I66" t="s">
        <v>930</v>
      </c>
    </row>
    <row r="67" spans="1:9">
      <c r="A67" t="s">
        <v>938</v>
      </c>
      <c r="B67" t="s">
        <v>448</v>
      </c>
      <c r="C67" t="s">
        <v>450</v>
      </c>
      <c r="D67" t="s">
        <v>23</v>
      </c>
      <c r="E67">
        <v>42</v>
      </c>
      <c r="F67" t="s">
        <v>1073</v>
      </c>
      <c r="G67" t="s">
        <v>86</v>
      </c>
      <c r="H67" t="s">
        <v>953</v>
      </c>
      <c r="I67" t="s">
        <v>930</v>
      </c>
    </row>
    <row r="68" spans="1:9">
      <c r="A68" t="s">
        <v>928</v>
      </c>
      <c r="B68" t="s">
        <v>911</v>
      </c>
      <c r="C68" t="s">
        <v>912</v>
      </c>
      <c r="D68" t="s">
        <v>17</v>
      </c>
      <c r="E68">
        <v>9</v>
      </c>
      <c r="F68" t="s">
        <v>1073</v>
      </c>
      <c r="G68" t="s">
        <v>86</v>
      </c>
      <c r="H68" t="s">
        <v>929</v>
      </c>
      <c r="I68" t="s">
        <v>930</v>
      </c>
    </row>
    <row r="69" spans="1:9">
      <c r="A69" t="s">
        <v>928</v>
      </c>
      <c r="B69" t="s">
        <v>911</v>
      </c>
      <c r="C69" t="s">
        <v>912</v>
      </c>
      <c r="D69" t="s">
        <v>18</v>
      </c>
      <c r="E69">
        <v>3</v>
      </c>
      <c r="F69" t="s">
        <v>1073</v>
      </c>
      <c r="G69" t="s">
        <v>86</v>
      </c>
      <c r="H69" t="s">
        <v>929</v>
      </c>
      <c r="I69" t="s">
        <v>930</v>
      </c>
    </row>
    <row r="70" spans="1:9">
      <c r="A70" t="s">
        <v>928</v>
      </c>
      <c r="B70" t="s">
        <v>911</v>
      </c>
      <c r="C70" t="s">
        <v>912</v>
      </c>
      <c r="D70" t="s">
        <v>19</v>
      </c>
      <c r="E70">
        <v>16</v>
      </c>
      <c r="F70" t="s">
        <v>1073</v>
      </c>
      <c r="G70" t="s">
        <v>86</v>
      </c>
      <c r="H70" t="s">
        <v>929</v>
      </c>
      <c r="I70" t="s">
        <v>930</v>
      </c>
    </row>
    <row r="71" spans="1:9">
      <c r="A71" t="s">
        <v>928</v>
      </c>
      <c r="B71" t="s">
        <v>911</v>
      </c>
      <c r="C71" t="s">
        <v>912</v>
      </c>
      <c r="D71" t="s">
        <v>20</v>
      </c>
      <c r="E71">
        <v>6</v>
      </c>
      <c r="F71" t="s">
        <v>1073</v>
      </c>
      <c r="G71" t="s">
        <v>86</v>
      </c>
      <c r="H71" t="s">
        <v>929</v>
      </c>
      <c r="I71" t="s">
        <v>930</v>
      </c>
    </row>
    <row r="72" spans="1:9">
      <c r="A72" t="s">
        <v>928</v>
      </c>
      <c r="B72" t="s">
        <v>911</v>
      </c>
      <c r="C72" t="s">
        <v>912</v>
      </c>
      <c r="D72" t="s">
        <v>22</v>
      </c>
      <c r="E72">
        <v>6</v>
      </c>
      <c r="F72" t="s">
        <v>1073</v>
      </c>
      <c r="G72" t="s">
        <v>86</v>
      </c>
      <c r="H72" t="s">
        <v>929</v>
      </c>
      <c r="I72" t="s">
        <v>930</v>
      </c>
    </row>
    <row r="73" spans="1:9">
      <c r="A73" t="s">
        <v>928</v>
      </c>
      <c r="B73" t="s">
        <v>911</v>
      </c>
      <c r="C73" t="s">
        <v>912</v>
      </c>
      <c r="D73" t="s">
        <v>23</v>
      </c>
      <c r="E73">
        <v>40</v>
      </c>
      <c r="F73" t="s">
        <v>1073</v>
      </c>
      <c r="G73" t="s">
        <v>86</v>
      </c>
      <c r="H73" t="s">
        <v>929</v>
      </c>
      <c r="I73" t="s">
        <v>930</v>
      </c>
    </row>
    <row r="74" spans="1:9">
      <c r="A74" t="s">
        <v>938</v>
      </c>
      <c r="B74" t="s">
        <v>463</v>
      </c>
      <c r="C74" t="s">
        <v>464</v>
      </c>
      <c r="D74" t="s">
        <v>17</v>
      </c>
      <c r="E74">
        <v>20</v>
      </c>
      <c r="F74" t="s">
        <v>1073</v>
      </c>
      <c r="G74" t="s">
        <v>86</v>
      </c>
      <c r="H74" t="s">
        <v>954</v>
      </c>
      <c r="I74" t="s">
        <v>930</v>
      </c>
    </row>
    <row r="75" spans="1:9">
      <c r="A75" t="s">
        <v>938</v>
      </c>
      <c r="B75" t="s">
        <v>463</v>
      </c>
      <c r="C75" t="s">
        <v>464</v>
      </c>
      <c r="D75" t="s">
        <v>18</v>
      </c>
      <c r="E75">
        <v>16</v>
      </c>
      <c r="F75" t="s">
        <v>1073</v>
      </c>
      <c r="G75" t="s">
        <v>86</v>
      </c>
      <c r="H75" t="s">
        <v>954</v>
      </c>
      <c r="I75" t="s">
        <v>930</v>
      </c>
    </row>
    <row r="76" spans="1:9">
      <c r="A76" t="s">
        <v>938</v>
      </c>
      <c r="B76" t="s">
        <v>463</v>
      </c>
      <c r="C76" t="s">
        <v>464</v>
      </c>
      <c r="D76" t="s">
        <v>19</v>
      </c>
      <c r="E76">
        <v>4</v>
      </c>
      <c r="F76" t="s">
        <v>1073</v>
      </c>
      <c r="G76" t="s">
        <v>86</v>
      </c>
      <c r="H76" t="s">
        <v>954</v>
      </c>
      <c r="I76" t="s">
        <v>930</v>
      </c>
    </row>
    <row r="77" spans="1:9">
      <c r="A77" t="s">
        <v>938</v>
      </c>
      <c r="B77" t="s">
        <v>463</v>
      </c>
      <c r="C77" t="s">
        <v>464</v>
      </c>
      <c r="D77" t="s">
        <v>20</v>
      </c>
      <c r="F77" t="s">
        <v>1073</v>
      </c>
      <c r="G77" t="s">
        <v>86</v>
      </c>
      <c r="H77" t="s">
        <v>954</v>
      </c>
      <c r="I77" t="s">
        <v>930</v>
      </c>
    </row>
    <row r="78" spans="1:9">
      <c r="A78" t="s">
        <v>938</v>
      </c>
      <c r="B78" t="s">
        <v>463</v>
      </c>
      <c r="C78" t="s">
        <v>464</v>
      </c>
      <c r="D78" t="s">
        <v>22</v>
      </c>
      <c r="F78" t="s">
        <v>1073</v>
      </c>
      <c r="G78" t="s">
        <v>86</v>
      </c>
      <c r="H78" t="s">
        <v>954</v>
      </c>
      <c r="I78" t="s">
        <v>930</v>
      </c>
    </row>
    <row r="79" spans="1:9">
      <c r="A79" t="s">
        <v>938</v>
      </c>
      <c r="B79" t="s">
        <v>463</v>
      </c>
      <c r="C79" t="s">
        <v>464</v>
      </c>
      <c r="D79" t="s">
        <v>23</v>
      </c>
      <c r="E79">
        <v>40</v>
      </c>
      <c r="F79" t="s">
        <v>1073</v>
      </c>
      <c r="G79" t="s">
        <v>86</v>
      </c>
      <c r="H79" t="s">
        <v>954</v>
      </c>
      <c r="I79" t="s">
        <v>930</v>
      </c>
    </row>
    <row r="80" spans="1:9">
      <c r="A80" t="s">
        <v>938</v>
      </c>
      <c r="B80" t="s">
        <v>508</v>
      </c>
      <c r="C80" t="s">
        <v>510</v>
      </c>
      <c r="D80" t="s">
        <v>17</v>
      </c>
      <c r="E80">
        <v>22</v>
      </c>
      <c r="F80" t="s">
        <v>1073</v>
      </c>
      <c r="G80" t="s">
        <v>86</v>
      </c>
      <c r="H80" t="s">
        <v>955</v>
      </c>
      <c r="I80" t="s">
        <v>930</v>
      </c>
    </row>
    <row r="81" spans="1:9">
      <c r="A81" t="s">
        <v>938</v>
      </c>
      <c r="B81" t="s">
        <v>508</v>
      </c>
      <c r="C81" t="s">
        <v>510</v>
      </c>
      <c r="D81" t="s">
        <v>18</v>
      </c>
      <c r="E81">
        <v>18</v>
      </c>
      <c r="F81" t="s">
        <v>1073</v>
      </c>
      <c r="G81" t="s">
        <v>86</v>
      </c>
      <c r="H81" t="s">
        <v>955</v>
      </c>
      <c r="I81" t="s">
        <v>930</v>
      </c>
    </row>
    <row r="82" spans="1:9">
      <c r="A82" t="s">
        <v>938</v>
      </c>
      <c r="B82" t="s">
        <v>508</v>
      </c>
      <c r="C82" t="s">
        <v>510</v>
      </c>
      <c r="D82" t="s">
        <v>19</v>
      </c>
      <c r="E82">
        <v>4</v>
      </c>
      <c r="F82" t="s">
        <v>1073</v>
      </c>
      <c r="G82" t="s">
        <v>86</v>
      </c>
      <c r="H82" t="s">
        <v>955</v>
      </c>
      <c r="I82" t="s">
        <v>930</v>
      </c>
    </row>
    <row r="83" spans="1:9">
      <c r="A83" t="s">
        <v>938</v>
      </c>
      <c r="B83" t="s">
        <v>508</v>
      </c>
      <c r="C83" t="s">
        <v>510</v>
      </c>
      <c r="D83" t="s">
        <v>20</v>
      </c>
      <c r="F83" t="s">
        <v>1073</v>
      </c>
      <c r="G83" t="s">
        <v>86</v>
      </c>
      <c r="H83" t="s">
        <v>955</v>
      </c>
      <c r="I83" t="s">
        <v>930</v>
      </c>
    </row>
    <row r="84" spans="1:9">
      <c r="A84" t="s">
        <v>938</v>
      </c>
      <c r="B84" t="s">
        <v>508</v>
      </c>
      <c r="C84" t="s">
        <v>510</v>
      </c>
      <c r="D84" t="s">
        <v>22</v>
      </c>
      <c r="F84" t="s">
        <v>1073</v>
      </c>
      <c r="G84" t="s">
        <v>86</v>
      </c>
      <c r="H84" t="s">
        <v>955</v>
      </c>
      <c r="I84" t="s">
        <v>930</v>
      </c>
    </row>
    <row r="85" spans="1:9">
      <c r="A85" t="s">
        <v>938</v>
      </c>
      <c r="B85" t="s">
        <v>508</v>
      </c>
      <c r="C85" t="s">
        <v>510</v>
      </c>
      <c r="D85" t="s">
        <v>23</v>
      </c>
      <c r="E85">
        <v>44</v>
      </c>
      <c r="F85" t="s">
        <v>1073</v>
      </c>
      <c r="G85" t="s">
        <v>86</v>
      </c>
      <c r="H85" t="s">
        <v>955</v>
      </c>
      <c r="I85" t="s">
        <v>930</v>
      </c>
    </row>
    <row r="86" spans="1:9">
      <c r="A86" t="s">
        <v>938</v>
      </c>
      <c r="B86" t="s">
        <v>548</v>
      </c>
      <c r="C86" t="s">
        <v>549</v>
      </c>
      <c r="D86" t="s">
        <v>17</v>
      </c>
      <c r="E86">
        <v>18</v>
      </c>
      <c r="F86" t="s">
        <v>1073</v>
      </c>
      <c r="G86" t="s">
        <v>86</v>
      </c>
      <c r="H86" t="s">
        <v>956</v>
      </c>
      <c r="I86" t="s">
        <v>930</v>
      </c>
    </row>
    <row r="87" spans="1:9">
      <c r="A87" t="s">
        <v>938</v>
      </c>
      <c r="B87" t="s">
        <v>548</v>
      </c>
      <c r="C87" t="s">
        <v>549</v>
      </c>
      <c r="D87" t="s">
        <v>18</v>
      </c>
      <c r="E87">
        <v>4</v>
      </c>
      <c r="F87" t="s">
        <v>1073</v>
      </c>
      <c r="G87" t="s">
        <v>86</v>
      </c>
      <c r="H87" t="s">
        <v>956</v>
      </c>
      <c r="I87" t="s">
        <v>930</v>
      </c>
    </row>
    <row r="88" spans="1:9">
      <c r="A88" t="s">
        <v>938</v>
      </c>
      <c r="B88" t="s">
        <v>548</v>
      </c>
      <c r="C88" t="s">
        <v>549</v>
      </c>
      <c r="D88" t="s">
        <v>19</v>
      </c>
      <c r="E88">
        <v>16</v>
      </c>
      <c r="F88" t="s">
        <v>1073</v>
      </c>
      <c r="G88" t="s">
        <v>86</v>
      </c>
      <c r="H88" t="s">
        <v>956</v>
      </c>
      <c r="I88" t="s">
        <v>930</v>
      </c>
    </row>
    <row r="89" spans="1:9">
      <c r="A89" t="s">
        <v>938</v>
      </c>
      <c r="B89" t="s">
        <v>548</v>
      </c>
      <c r="C89" t="s">
        <v>549</v>
      </c>
      <c r="D89" t="s">
        <v>20</v>
      </c>
      <c r="F89" t="s">
        <v>1073</v>
      </c>
      <c r="G89" t="s">
        <v>86</v>
      </c>
      <c r="H89" t="s">
        <v>956</v>
      </c>
      <c r="I89" t="s">
        <v>930</v>
      </c>
    </row>
    <row r="90" spans="1:9">
      <c r="A90" t="s">
        <v>938</v>
      </c>
      <c r="B90" t="s">
        <v>548</v>
      </c>
      <c r="C90" t="s">
        <v>549</v>
      </c>
      <c r="D90" t="s">
        <v>22</v>
      </c>
      <c r="F90" t="s">
        <v>1073</v>
      </c>
      <c r="G90" t="s">
        <v>86</v>
      </c>
      <c r="H90" t="s">
        <v>956</v>
      </c>
      <c r="I90" t="s">
        <v>930</v>
      </c>
    </row>
    <row r="91" spans="1:9">
      <c r="A91" t="s">
        <v>938</v>
      </c>
      <c r="B91" t="s">
        <v>548</v>
      </c>
      <c r="C91" t="s">
        <v>549</v>
      </c>
      <c r="D91" t="s">
        <v>23</v>
      </c>
      <c r="E91">
        <v>38</v>
      </c>
      <c r="F91" t="s">
        <v>1073</v>
      </c>
      <c r="G91" t="s">
        <v>86</v>
      </c>
      <c r="H91" t="s">
        <v>956</v>
      </c>
      <c r="I91" t="s">
        <v>930</v>
      </c>
    </row>
    <row r="92" spans="1:9">
      <c r="A92" t="s">
        <v>938</v>
      </c>
      <c r="B92" t="s">
        <v>579</v>
      </c>
      <c r="C92" t="s">
        <v>581</v>
      </c>
      <c r="D92" t="s">
        <v>17</v>
      </c>
      <c r="E92">
        <v>18</v>
      </c>
      <c r="F92" t="s">
        <v>1073</v>
      </c>
      <c r="G92" t="s">
        <v>86</v>
      </c>
      <c r="H92" t="s">
        <v>957</v>
      </c>
      <c r="I92" t="s">
        <v>930</v>
      </c>
    </row>
    <row r="93" spans="1:9">
      <c r="A93" t="s">
        <v>938</v>
      </c>
      <c r="B93" t="s">
        <v>579</v>
      </c>
      <c r="C93" t="s">
        <v>581</v>
      </c>
      <c r="D93" t="s">
        <v>18</v>
      </c>
      <c r="E93">
        <v>4</v>
      </c>
      <c r="F93" t="s">
        <v>1073</v>
      </c>
      <c r="G93" t="s">
        <v>86</v>
      </c>
      <c r="H93" t="s">
        <v>957</v>
      </c>
      <c r="I93" t="s">
        <v>930</v>
      </c>
    </row>
    <row r="94" spans="1:9">
      <c r="A94" t="s">
        <v>938</v>
      </c>
      <c r="B94" t="s">
        <v>579</v>
      </c>
      <c r="C94" t="s">
        <v>581</v>
      </c>
      <c r="D94" t="s">
        <v>19</v>
      </c>
      <c r="E94">
        <v>8</v>
      </c>
      <c r="F94" t="s">
        <v>1073</v>
      </c>
      <c r="G94" t="s">
        <v>86</v>
      </c>
      <c r="H94" t="s">
        <v>957</v>
      </c>
      <c r="I94" t="s">
        <v>930</v>
      </c>
    </row>
    <row r="95" spans="1:9">
      <c r="A95" t="s">
        <v>938</v>
      </c>
      <c r="B95" t="s">
        <v>579</v>
      </c>
      <c r="C95" t="s">
        <v>581</v>
      </c>
      <c r="D95" t="s">
        <v>20</v>
      </c>
      <c r="E95">
        <v>4</v>
      </c>
      <c r="F95" t="s">
        <v>1073</v>
      </c>
      <c r="G95" t="s">
        <v>86</v>
      </c>
      <c r="H95" t="s">
        <v>957</v>
      </c>
      <c r="I95" t="s">
        <v>930</v>
      </c>
    </row>
    <row r="96" spans="1:9">
      <c r="A96" t="s">
        <v>938</v>
      </c>
      <c r="B96" t="s">
        <v>579</v>
      </c>
      <c r="C96" t="s">
        <v>581</v>
      </c>
      <c r="D96" t="s">
        <v>22</v>
      </c>
      <c r="E96">
        <v>4</v>
      </c>
      <c r="F96" t="s">
        <v>1073</v>
      </c>
      <c r="G96" t="s">
        <v>86</v>
      </c>
      <c r="H96" t="s">
        <v>957</v>
      </c>
      <c r="I96" t="s">
        <v>930</v>
      </c>
    </row>
    <row r="97" spans="1:9">
      <c r="A97" t="s">
        <v>938</v>
      </c>
      <c r="B97" t="s">
        <v>579</v>
      </c>
      <c r="C97" t="s">
        <v>581</v>
      </c>
      <c r="D97" t="s">
        <v>23</v>
      </c>
      <c r="E97">
        <v>38</v>
      </c>
      <c r="F97" t="s">
        <v>1073</v>
      </c>
      <c r="G97" t="s">
        <v>86</v>
      </c>
      <c r="H97" t="s">
        <v>957</v>
      </c>
      <c r="I97" t="s">
        <v>930</v>
      </c>
    </row>
    <row r="98" spans="1:9">
      <c r="A98" t="s">
        <v>938</v>
      </c>
      <c r="B98" t="s">
        <v>619</v>
      </c>
      <c r="C98" t="s">
        <v>6</v>
      </c>
      <c r="D98" t="s">
        <v>17</v>
      </c>
      <c r="E98">
        <v>22</v>
      </c>
      <c r="F98" t="s">
        <v>1073</v>
      </c>
      <c r="G98" t="s">
        <v>86</v>
      </c>
      <c r="H98" t="s">
        <v>958</v>
      </c>
      <c r="I98" t="s">
        <v>930</v>
      </c>
    </row>
    <row r="99" spans="1:9">
      <c r="A99" t="s">
        <v>938</v>
      </c>
      <c r="B99" t="s">
        <v>619</v>
      </c>
      <c r="C99" t="s">
        <v>6</v>
      </c>
      <c r="D99" t="s">
        <v>18</v>
      </c>
      <c r="E99">
        <v>16</v>
      </c>
      <c r="F99" t="s">
        <v>1073</v>
      </c>
      <c r="G99" t="s">
        <v>86</v>
      </c>
      <c r="H99" t="s">
        <v>958</v>
      </c>
      <c r="I99" t="s">
        <v>930</v>
      </c>
    </row>
    <row r="100" spans="1:9">
      <c r="A100" t="s">
        <v>938</v>
      </c>
      <c r="B100" t="s">
        <v>619</v>
      </c>
      <c r="C100" t="s">
        <v>6</v>
      </c>
      <c r="D100" t="s">
        <v>19</v>
      </c>
      <c r="F100" t="s">
        <v>1073</v>
      </c>
      <c r="G100" t="s">
        <v>86</v>
      </c>
      <c r="H100" t="s">
        <v>958</v>
      </c>
      <c r="I100" t="s">
        <v>930</v>
      </c>
    </row>
    <row r="101" spans="1:9">
      <c r="A101" t="s">
        <v>938</v>
      </c>
      <c r="B101" t="s">
        <v>619</v>
      </c>
      <c r="C101" t="s">
        <v>6</v>
      </c>
      <c r="D101" t="s">
        <v>20</v>
      </c>
      <c r="E101">
        <v>8</v>
      </c>
      <c r="F101" t="s">
        <v>1073</v>
      </c>
      <c r="G101" t="s">
        <v>86</v>
      </c>
      <c r="H101" t="s">
        <v>958</v>
      </c>
      <c r="I101" t="s">
        <v>930</v>
      </c>
    </row>
    <row r="102" spans="1:9">
      <c r="A102" t="s">
        <v>938</v>
      </c>
      <c r="B102" t="s">
        <v>619</v>
      </c>
      <c r="C102" t="s">
        <v>6</v>
      </c>
      <c r="D102" t="s">
        <v>22</v>
      </c>
      <c r="F102" t="s">
        <v>1073</v>
      </c>
      <c r="G102" t="s">
        <v>86</v>
      </c>
      <c r="H102" t="s">
        <v>958</v>
      </c>
      <c r="I102" t="s">
        <v>930</v>
      </c>
    </row>
    <row r="103" spans="1:9">
      <c r="A103" t="s">
        <v>938</v>
      </c>
      <c r="B103" t="s">
        <v>619</v>
      </c>
      <c r="C103" t="s">
        <v>6</v>
      </c>
      <c r="D103" t="s">
        <v>23</v>
      </c>
      <c r="E103">
        <v>46</v>
      </c>
      <c r="F103" t="s">
        <v>1073</v>
      </c>
      <c r="G103" t="s">
        <v>86</v>
      </c>
      <c r="H103" t="s">
        <v>958</v>
      </c>
      <c r="I103" t="s">
        <v>930</v>
      </c>
    </row>
    <row r="104" spans="1:9">
      <c r="A104" t="s">
        <v>938</v>
      </c>
      <c r="B104" t="s">
        <v>649</v>
      </c>
      <c r="C104" t="s">
        <v>650</v>
      </c>
      <c r="D104" t="s">
        <v>17</v>
      </c>
      <c r="E104">
        <v>34</v>
      </c>
      <c r="F104" t="s">
        <v>1073</v>
      </c>
      <c r="G104" t="s">
        <v>86</v>
      </c>
      <c r="H104" t="s">
        <v>959</v>
      </c>
      <c r="I104" t="s">
        <v>930</v>
      </c>
    </row>
    <row r="105" spans="1:9">
      <c r="A105" t="s">
        <v>938</v>
      </c>
      <c r="B105" t="s">
        <v>649</v>
      </c>
      <c r="C105" t="s">
        <v>650</v>
      </c>
      <c r="D105" t="s">
        <v>18</v>
      </c>
      <c r="E105">
        <v>2</v>
      </c>
      <c r="F105" t="s">
        <v>1073</v>
      </c>
      <c r="G105" t="s">
        <v>86</v>
      </c>
      <c r="H105" t="s">
        <v>959</v>
      </c>
      <c r="I105" t="s">
        <v>930</v>
      </c>
    </row>
    <row r="106" spans="1:9">
      <c r="A106" t="s">
        <v>938</v>
      </c>
      <c r="B106" t="s">
        <v>649</v>
      </c>
      <c r="C106" t="s">
        <v>650</v>
      </c>
      <c r="D106" t="s">
        <v>19</v>
      </c>
      <c r="E106">
        <v>4</v>
      </c>
      <c r="F106" t="s">
        <v>1073</v>
      </c>
      <c r="G106" t="s">
        <v>86</v>
      </c>
      <c r="H106" t="s">
        <v>959</v>
      </c>
      <c r="I106" t="s">
        <v>930</v>
      </c>
    </row>
    <row r="107" spans="1:9">
      <c r="A107" t="s">
        <v>938</v>
      </c>
      <c r="B107" t="s">
        <v>649</v>
      </c>
      <c r="C107" t="s">
        <v>650</v>
      </c>
      <c r="D107" t="s">
        <v>20</v>
      </c>
      <c r="F107" t="s">
        <v>1073</v>
      </c>
      <c r="G107" t="s">
        <v>86</v>
      </c>
      <c r="H107" t="s">
        <v>959</v>
      </c>
      <c r="I107" t="s">
        <v>930</v>
      </c>
    </row>
    <row r="108" spans="1:9">
      <c r="A108" t="s">
        <v>938</v>
      </c>
      <c r="B108" t="s">
        <v>649</v>
      </c>
      <c r="C108" t="s">
        <v>650</v>
      </c>
      <c r="D108" t="s">
        <v>22</v>
      </c>
      <c r="F108" t="s">
        <v>1073</v>
      </c>
      <c r="G108" t="s">
        <v>86</v>
      </c>
      <c r="H108" t="s">
        <v>959</v>
      </c>
      <c r="I108" t="s">
        <v>930</v>
      </c>
    </row>
    <row r="109" spans="1:9">
      <c r="A109" t="s">
        <v>938</v>
      </c>
      <c r="B109" t="s">
        <v>649</v>
      </c>
      <c r="C109" t="s">
        <v>650</v>
      </c>
      <c r="D109" t="s">
        <v>23</v>
      </c>
      <c r="E109">
        <v>40</v>
      </c>
      <c r="F109" t="s">
        <v>1073</v>
      </c>
      <c r="G109" t="s">
        <v>86</v>
      </c>
      <c r="H109" t="s">
        <v>959</v>
      </c>
      <c r="I109" t="s">
        <v>930</v>
      </c>
    </row>
    <row r="110" spans="1:9">
      <c r="A110" t="s">
        <v>938</v>
      </c>
      <c r="B110" t="s">
        <v>720</v>
      </c>
      <c r="C110" t="s">
        <v>920</v>
      </c>
      <c r="D110" t="s">
        <v>17</v>
      </c>
      <c r="E110">
        <v>10</v>
      </c>
      <c r="F110" t="s">
        <v>1073</v>
      </c>
      <c r="G110" t="s">
        <v>86</v>
      </c>
      <c r="H110" t="s">
        <v>961</v>
      </c>
      <c r="I110" t="s">
        <v>930</v>
      </c>
    </row>
    <row r="111" spans="1:9">
      <c r="A111" t="s">
        <v>938</v>
      </c>
      <c r="B111" t="s">
        <v>720</v>
      </c>
      <c r="C111" t="s">
        <v>920</v>
      </c>
      <c r="D111" t="s">
        <v>18</v>
      </c>
      <c r="F111" t="s">
        <v>1073</v>
      </c>
      <c r="G111" t="s">
        <v>86</v>
      </c>
      <c r="H111" t="s">
        <v>961</v>
      </c>
      <c r="I111" t="s">
        <v>930</v>
      </c>
    </row>
    <row r="112" spans="1:9">
      <c r="A112" t="s">
        <v>938</v>
      </c>
      <c r="B112" t="s">
        <v>720</v>
      </c>
      <c r="C112" t="s">
        <v>920</v>
      </c>
      <c r="D112" t="s">
        <v>19</v>
      </c>
      <c r="E112">
        <v>40</v>
      </c>
      <c r="F112" t="s">
        <v>1073</v>
      </c>
      <c r="G112" t="s">
        <v>86</v>
      </c>
      <c r="H112" t="s">
        <v>961</v>
      </c>
      <c r="I112" t="s">
        <v>930</v>
      </c>
    </row>
    <row r="113" spans="1:9">
      <c r="A113" t="s">
        <v>938</v>
      </c>
      <c r="B113" t="s">
        <v>720</v>
      </c>
      <c r="C113" t="s">
        <v>920</v>
      </c>
      <c r="D113" t="s">
        <v>20</v>
      </c>
      <c r="F113" t="s">
        <v>1073</v>
      </c>
      <c r="G113" t="s">
        <v>86</v>
      </c>
      <c r="H113" t="s">
        <v>961</v>
      </c>
      <c r="I113" t="s">
        <v>930</v>
      </c>
    </row>
    <row r="114" spans="1:9">
      <c r="A114" t="s">
        <v>938</v>
      </c>
      <c r="B114" t="s">
        <v>720</v>
      </c>
      <c r="C114" t="s">
        <v>920</v>
      </c>
      <c r="D114" t="s">
        <v>22</v>
      </c>
      <c r="F114" t="s">
        <v>1073</v>
      </c>
      <c r="G114" t="s">
        <v>86</v>
      </c>
      <c r="H114" t="s">
        <v>961</v>
      </c>
      <c r="I114" t="s">
        <v>930</v>
      </c>
    </row>
    <row r="115" spans="1:9">
      <c r="A115" t="s">
        <v>938</v>
      </c>
      <c r="B115" t="s">
        <v>720</v>
      </c>
      <c r="C115" t="s">
        <v>920</v>
      </c>
      <c r="D115" t="s">
        <v>23</v>
      </c>
      <c r="E115">
        <v>50</v>
      </c>
      <c r="F115" t="s">
        <v>1073</v>
      </c>
      <c r="G115" t="s">
        <v>86</v>
      </c>
      <c r="H115" t="s">
        <v>961</v>
      </c>
      <c r="I115" t="s">
        <v>930</v>
      </c>
    </row>
    <row r="116" spans="1:9">
      <c r="A116" t="s">
        <v>938</v>
      </c>
      <c r="B116" t="s">
        <v>686</v>
      </c>
      <c r="C116" t="s">
        <v>688</v>
      </c>
      <c r="D116" t="s">
        <v>17</v>
      </c>
      <c r="E116">
        <v>18</v>
      </c>
      <c r="F116" t="s">
        <v>1073</v>
      </c>
      <c r="G116" t="s">
        <v>86</v>
      </c>
      <c r="H116" t="s">
        <v>960</v>
      </c>
      <c r="I116" t="s">
        <v>930</v>
      </c>
    </row>
    <row r="117" spans="1:9">
      <c r="A117" t="s">
        <v>938</v>
      </c>
      <c r="B117" t="s">
        <v>686</v>
      </c>
      <c r="C117" t="s">
        <v>688</v>
      </c>
      <c r="D117" t="s">
        <v>18</v>
      </c>
      <c r="E117">
        <v>14</v>
      </c>
      <c r="F117" t="s">
        <v>1073</v>
      </c>
      <c r="G117" t="s">
        <v>86</v>
      </c>
      <c r="H117" t="s">
        <v>960</v>
      </c>
      <c r="I117" t="s">
        <v>930</v>
      </c>
    </row>
    <row r="118" spans="1:9">
      <c r="A118" t="s">
        <v>938</v>
      </c>
      <c r="B118" t="s">
        <v>686</v>
      </c>
      <c r="C118" t="s">
        <v>688</v>
      </c>
      <c r="D118" t="s">
        <v>19</v>
      </c>
      <c r="E118">
        <v>2</v>
      </c>
      <c r="F118" t="s">
        <v>1073</v>
      </c>
      <c r="G118" t="s">
        <v>86</v>
      </c>
      <c r="H118" t="s">
        <v>960</v>
      </c>
      <c r="I118" t="s">
        <v>930</v>
      </c>
    </row>
    <row r="119" spans="1:9">
      <c r="A119" t="s">
        <v>938</v>
      </c>
      <c r="B119" t="s">
        <v>686</v>
      </c>
      <c r="C119" t="s">
        <v>688</v>
      </c>
      <c r="D119" t="s">
        <v>20</v>
      </c>
      <c r="E119">
        <v>2</v>
      </c>
      <c r="F119" t="s">
        <v>1073</v>
      </c>
      <c r="G119" t="s">
        <v>86</v>
      </c>
      <c r="H119" t="s">
        <v>960</v>
      </c>
      <c r="I119" t="s">
        <v>930</v>
      </c>
    </row>
    <row r="120" spans="1:9">
      <c r="A120" t="s">
        <v>938</v>
      </c>
      <c r="B120" t="s">
        <v>686</v>
      </c>
      <c r="C120" t="s">
        <v>688</v>
      </c>
      <c r="D120" t="s">
        <v>22</v>
      </c>
      <c r="F120" t="s">
        <v>1073</v>
      </c>
      <c r="G120" t="s">
        <v>86</v>
      </c>
      <c r="H120" t="s">
        <v>960</v>
      </c>
      <c r="I120" t="s">
        <v>930</v>
      </c>
    </row>
    <row r="121" spans="1:9">
      <c r="A121" t="s">
        <v>938</v>
      </c>
      <c r="B121" t="s">
        <v>686</v>
      </c>
      <c r="C121" t="s">
        <v>688</v>
      </c>
      <c r="D121" t="s">
        <v>23</v>
      </c>
      <c r="E121">
        <v>36</v>
      </c>
      <c r="F121" t="s">
        <v>1073</v>
      </c>
      <c r="G121" t="s">
        <v>86</v>
      </c>
      <c r="H121" t="s">
        <v>960</v>
      </c>
      <c r="I121" t="s">
        <v>930</v>
      </c>
    </row>
    <row r="122" spans="1:9">
      <c r="A122" t="s">
        <v>938</v>
      </c>
      <c r="B122" t="s">
        <v>742</v>
      </c>
      <c r="C122" t="s">
        <v>744</v>
      </c>
      <c r="D122" t="s">
        <v>17</v>
      </c>
      <c r="E122">
        <v>22</v>
      </c>
      <c r="F122" t="s">
        <v>1073</v>
      </c>
      <c r="G122" t="s">
        <v>86</v>
      </c>
      <c r="H122" t="s">
        <v>950</v>
      </c>
      <c r="I122" t="s">
        <v>930</v>
      </c>
    </row>
    <row r="123" spans="1:9">
      <c r="A123" t="s">
        <v>938</v>
      </c>
      <c r="B123" t="s">
        <v>742</v>
      </c>
      <c r="C123" t="s">
        <v>744</v>
      </c>
      <c r="D123" t="s">
        <v>18</v>
      </c>
      <c r="E123">
        <v>6</v>
      </c>
      <c r="F123" t="s">
        <v>1073</v>
      </c>
      <c r="G123" t="s">
        <v>86</v>
      </c>
      <c r="H123" t="s">
        <v>950</v>
      </c>
      <c r="I123" t="s">
        <v>930</v>
      </c>
    </row>
    <row r="124" spans="1:9">
      <c r="A124" t="s">
        <v>938</v>
      </c>
      <c r="B124" t="s">
        <v>742</v>
      </c>
      <c r="C124" t="s">
        <v>744</v>
      </c>
      <c r="D124" t="s">
        <v>19</v>
      </c>
      <c r="E124">
        <v>12</v>
      </c>
      <c r="F124" t="s">
        <v>1073</v>
      </c>
      <c r="G124" t="s">
        <v>86</v>
      </c>
      <c r="H124" t="s">
        <v>950</v>
      </c>
      <c r="I124" t="s">
        <v>930</v>
      </c>
    </row>
    <row r="125" spans="1:9">
      <c r="A125" t="s">
        <v>938</v>
      </c>
      <c r="B125" t="s">
        <v>742</v>
      </c>
      <c r="C125" t="s">
        <v>744</v>
      </c>
      <c r="D125" t="s">
        <v>20</v>
      </c>
      <c r="F125" t="s">
        <v>1073</v>
      </c>
      <c r="G125" t="s">
        <v>86</v>
      </c>
      <c r="H125" t="s">
        <v>950</v>
      </c>
      <c r="I125" t="s">
        <v>930</v>
      </c>
    </row>
    <row r="126" spans="1:9">
      <c r="A126" t="s">
        <v>938</v>
      </c>
      <c r="B126" t="s">
        <v>742</v>
      </c>
      <c r="C126" t="s">
        <v>744</v>
      </c>
      <c r="D126" t="s">
        <v>22</v>
      </c>
      <c r="F126" t="s">
        <v>1073</v>
      </c>
      <c r="G126" t="s">
        <v>86</v>
      </c>
      <c r="H126" t="s">
        <v>950</v>
      </c>
      <c r="I126" t="s">
        <v>930</v>
      </c>
    </row>
    <row r="127" spans="1:9">
      <c r="A127" t="s">
        <v>938</v>
      </c>
      <c r="B127" t="s">
        <v>742</v>
      </c>
      <c r="C127" t="s">
        <v>744</v>
      </c>
      <c r="D127" t="s">
        <v>23</v>
      </c>
      <c r="E127">
        <v>40</v>
      </c>
      <c r="F127" t="s">
        <v>1073</v>
      </c>
      <c r="G127" t="s">
        <v>86</v>
      </c>
      <c r="H127" t="s">
        <v>950</v>
      </c>
      <c r="I127" t="s">
        <v>930</v>
      </c>
    </row>
    <row r="128" spans="1:9">
      <c r="A128" t="s">
        <v>938</v>
      </c>
      <c r="B128" t="s">
        <v>777</v>
      </c>
      <c r="C128" t="s">
        <v>779</v>
      </c>
      <c r="D128" t="s">
        <v>17</v>
      </c>
      <c r="F128" t="s">
        <v>1073</v>
      </c>
      <c r="G128" t="s">
        <v>86</v>
      </c>
      <c r="H128" t="s">
        <v>951</v>
      </c>
      <c r="I128" t="s">
        <v>930</v>
      </c>
    </row>
    <row r="129" spans="1:9">
      <c r="A129" t="s">
        <v>938</v>
      </c>
      <c r="B129" t="s">
        <v>777</v>
      </c>
      <c r="C129" t="s">
        <v>779</v>
      </c>
      <c r="D129" t="s">
        <v>18</v>
      </c>
      <c r="E129">
        <v>6</v>
      </c>
      <c r="F129" t="s">
        <v>1073</v>
      </c>
      <c r="G129" t="s">
        <v>86</v>
      </c>
      <c r="H129" t="s">
        <v>951</v>
      </c>
      <c r="I129" t="s">
        <v>930</v>
      </c>
    </row>
    <row r="130" spans="1:9">
      <c r="A130" t="s">
        <v>938</v>
      </c>
      <c r="B130" t="s">
        <v>777</v>
      </c>
      <c r="C130" t="s">
        <v>779</v>
      </c>
      <c r="D130" t="s">
        <v>19</v>
      </c>
      <c r="F130" t="s">
        <v>1073</v>
      </c>
      <c r="G130" t="s">
        <v>86</v>
      </c>
      <c r="H130" t="s">
        <v>951</v>
      </c>
      <c r="I130" t="s">
        <v>930</v>
      </c>
    </row>
    <row r="131" spans="1:9">
      <c r="A131" t="s">
        <v>938</v>
      </c>
      <c r="B131" t="s">
        <v>777</v>
      </c>
      <c r="C131" t="s">
        <v>779</v>
      </c>
      <c r="D131" t="s">
        <v>20</v>
      </c>
      <c r="E131">
        <v>27</v>
      </c>
      <c r="F131" t="s">
        <v>1073</v>
      </c>
      <c r="G131" t="s">
        <v>86</v>
      </c>
      <c r="H131" t="s">
        <v>951</v>
      </c>
      <c r="I131" t="s">
        <v>930</v>
      </c>
    </row>
    <row r="132" spans="1:9">
      <c r="A132" t="s">
        <v>938</v>
      </c>
      <c r="B132" t="s">
        <v>777</v>
      </c>
      <c r="C132" t="s">
        <v>779</v>
      </c>
      <c r="D132" t="s">
        <v>22</v>
      </c>
      <c r="E132">
        <v>4</v>
      </c>
      <c r="F132" t="s">
        <v>1073</v>
      </c>
      <c r="G132" t="s">
        <v>86</v>
      </c>
      <c r="H132" t="s">
        <v>951</v>
      </c>
      <c r="I132" t="s">
        <v>930</v>
      </c>
    </row>
    <row r="133" spans="1:9">
      <c r="A133" t="s">
        <v>938</v>
      </c>
      <c r="B133" t="s">
        <v>777</v>
      </c>
      <c r="C133" t="s">
        <v>779</v>
      </c>
      <c r="D133" t="s">
        <v>23</v>
      </c>
      <c r="E133">
        <v>37</v>
      </c>
      <c r="F133" t="s">
        <v>1073</v>
      </c>
      <c r="G133" t="s">
        <v>86</v>
      </c>
      <c r="H133" t="s">
        <v>951</v>
      </c>
      <c r="I133" t="s">
        <v>930</v>
      </c>
    </row>
    <row r="134" spans="1:9">
      <c r="A134" t="s">
        <v>938</v>
      </c>
      <c r="B134" t="s">
        <v>804</v>
      </c>
      <c r="C134" t="s">
        <v>806</v>
      </c>
      <c r="D134" t="s">
        <v>17</v>
      </c>
      <c r="E134">
        <v>22</v>
      </c>
      <c r="F134" t="s">
        <v>1073</v>
      </c>
      <c r="G134" t="s">
        <v>86</v>
      </c>
      <c r="H134" t="s">
        <v>952</v>
      </c>
      <c r="I134" t="s">
        <v>930</v>
      </c>
    </row>
    <row r="135" spans="1:9">
      <c r="A135" t="s">
        <v>938</v>
      </c>
      <c r="B135" t="s">
        <v>804</v>
      </c>
      <c r="C135" t="s">
        <v>806</v>
      </c>
      <c r="D135" t="s">
        <v>18</v>
      </c>
      <c r="F135" t="s">
        <v>1073</v>
      </c>
      <c r="G135" t="s">
        <v>86</v>
      </c>
      <c r="H135" t="s">
        <v>952</v>
      </c>
      <c r="I135" t="s">
        <v>930</v>
      </c>
    </row>
    <row r="136" spans="1:9">
      <c r="A136" t="s">
        <v>938</v>
      </c>
      <c r="B136" t="s">
        <v>804</v>
      </c>
      <c r="C136" t="s">
        <v>806</v>
      </c>
      <c r="D136" t="s">
        <v>19</v>
      </c>
      <c r="E136">
        <v>16</v>
      </c>
      <c r="F136" t="s">
        <v>1073</v>
      </c>
      <c r="G136" t="s">
        <v>86</v>
      </c>
      <c r="H136" t="s">
        <v>952</v>
      </c>
      <c r="I136" t="s">
        <v>930</v>
      </c>
    </row>
    <row r="137" spans="1:9">
      <c r="A137" t="s">
        <v>938</v>
      </c>
      <c r="B137" t="s">
        <v>804</v>
      </c>
      <c r="C137" t="s">
        <v>806</v>
      </c>
      <c r="D137" t="s">
        <v>20</v>
      </c>
      <c r="E137">
        <v>6</v>
      </c>
      <c r="F137" t="s">
        <v>1073</v>
      </c>
      <c r="G137" t="s">
        <v>86</v>
      </c>
      <c r="H137" t="s">
        <v>952</v>
      </c>
      <c r="I137" t="s">
        <v>930</v>
      </c>
    </row>
    <row r="138" spans="1:9">
      <c r="A138" t="s">
        <v>938</v>
      </c>
      <c r="B138" t="s">
        <v>804</v>
      </c>
      <c r="C138" t="s">
        <v>806</v>
      </c>
      <c r="D138" t="s">
        <v>22</v>
      </c>
      <c r="F138" t="s">
        <v>1073</v>
      </c>
      <c r="G138" t="s">
        <v>86</v>
      </c>
      <c r="H138" t="s">
        <v>952</v>
      </c>
      <c r="I138" t="s">
        <v>930</v>
      </c>
    </row>
    <row r="139" spans="1:9">
      <c r="A139" t="s">
        <v>938</v>
      </c>
      <c r="B139" t="s">
        <v>804</v>
      </c>
      <c r="C139" t="s">
        <v>806</v>
      </c>
      <c r="D139" t="s">
        <v>23</v>
      </c>
      <c r="E139">
        <v>44</v>
      </c>
      <c r="F139" t="s">
        <v>1073</v>
      </c>
      <c r="G139" t="s">
        <v>86</v>
      </c>
      <c r="H139" t="s">
        <v>952</v>
      </c>
      <c r="I139" t="s">
        <v>930</v>
      </c>
    </row>
    <row r="140" spans="1:9">
      <c r="A140" t="s">
        <v>938</v>
      </c>
      <c r="B140" t="s">
        <v>917</v>
      </c>
      <c r="C140" t="s">
        <v>918</v>
      </c>
      <c r="D140" t="s">
        <v>17</v>
      </c>
      <c r="E140">
        <v>10</v>
      </c>
      <c r="F140" t="s">
        <v>1073</v>
      </c>
      <c r="G140" t="s">
        <v>86</v>
      </c>
      <c r="H140" t="s">
        <v>949</v>
      </c>
      <c r="I140" t="s">
        <v>930</v>
      </c>
    </row>
    <row r="141" spans="1:9">
      <c r="A141" t="s">
        <v>938</v>
      </c>
      <c r="B141" t="s">
        <v>917</v>
      </c>
      <c r="C141" t="s">
        <v>918</v>
      </c>
      <c r="D141" t="s">
        <v>18</v>
      </c>
      <c r="E141">
        <v>26</v>
      </c>
      <c r="F141" t="s">
        <v>1073</v>
      </c>
      <c r="G141" t="s">
        <v>86</v>
      </c>
      <c r="H141" t="s">
        <v>949</v>
      </c>
      <c r="I141" t="s">
        <v>930</v>
      </c>
    </row>
    <row r="142" spans="1:9">
      <c r="A142" t="s">
        <v>938</v>
      </c>
      <c r="B142" t="s">
        <v>917</v>
      </c>
      <c r="C142" t="s">
        <v>918</v>
      </c>
      <c r="D142" t="s">
        <v>19</v>
      </c>
      <c r="F142" t="s">
        <v>1073</v>
      </c>
      <c r="G142" t="s">
        <v>86</v>
      </c>
      <c r="H142" t="s">
        <v>949</v>
      </c>
      <c r="I142" t="s">
        <v>930</v>
      </c>
    </row>
    <row r="143" spans="1:9">
      <c r="A143" t="s">
        <v>938</v>
      </c>
      <c r="B143" t="s">
        <v>917</v>
      </c>
      <c r="C143" t="s">
        <v>918</v>
      </c>
      <c r="D143" t="s">
        <v>20</v>
      </c>
      <c r="F143" t="s">
        <v>1073</v>
      </c>
      <c r="G143" t="s">
        <v>86</v>
      </c>
      <c r="H143" t="s">
        <v>949</v>
      </c>
      <c r="I143" t="s">
        <v>930</v>
      </c>
    </row>
    <row r="144" spans="1:9">
      <c r="A144" t="s">
        <v>938</v>
      </c>
      <c r="B144" t="s">
        <v>917</v>
      </c>
      <c r="C144" t="s">
        <v>918</v>
      </c>
      <c r="D144" t="s">
        <v>22</v>
      </c>
      <c r="F144" t="s">
        <v>1073</v>
      </c>
      <c r="G144" t="s">
        <v>86</v>
      </c>
      <c r="H144" t="s">
        <v>949</v>
      </c>
      <c r="I144" t="s">
        <v>930</v>
      </c>
    </row>
    <row r="145" spans="1:9">
      <c r="A145" t="s">
        <v>938</v>
      </c>
      <c r="B145" t="s">
        <v>917</v>
      </c>
      <c r="C145" t="s">
        <v>918</v>
      </c>
      <c r="D145" t="s">
        <v>23</v>
      </c>
      <c r="E145">
        <v>36</v>
      </c>
      <c r="F145" t="s">
        <v>1073</v>
      </c>
      <c r="G145" t="s">
        <v>86</v>
      </c>
      <c r="H145" t="s">
        <v>949</v>
      </c>
      <c r="I145" t="s">
        <v>930</v>
      </c>
    </row>
    <row r="146" spans="1:9">
      <c r="A146" t="s">
        <v>931</v>
      </c>
      <c r="B146" t="s">
        <v>919</v>
      </c>
      <c r="C146" t="s">
        <v>921</v>
      </c>
      <c r="D146" t="s">
        <v>17</v>
      </c>
      <c r="E146">
        <v>20</v>
      </c>
      <c r="F146" t="s">
        <v>1073</v>
      </c>
      <c r="G146" t="s">
        <v>86</v>
      </c>
      <c r="H146" t="s">
        <v>932</v>
      </c>
      <c r="I146" t="s">
        <v>930</v>
      </c>
    </row>
    <row r="147" spans="1:9">
      <c r="A147" t="s">
        <v>931</v>
      </c>
      <c r="B147" t="s">
        <v>919</v>
      </c>
      <c r="C147" t="s">
        <v>921</v>
      </c>
      <c r="D147" t="s">
        <v>18</v>
      </c>
      <c r="E147">
        <v>2</v>
      </c>
      <c r="F147" t="s">
        <v>1073</v>
      </c>
      <c r="G147" t="s">
        <v>86</v>
      </c>
      <c r="H147" t="s">
        <v>932</v>
      </c>
      <c r="I147" t="s">
        <v>930</v>
      </c>
    </row>
    <row r="148" spans="1:9">
      <c r="A148" t="s">
        <v>931</v>
      </c>
      <c r="B148" t="s">
        <v>919</v>
      </c>
      <c r="C148" t="s">
        <v>921</v>
      </c>
      <c r="D148" t="s">
        <v>19</v>
      </c>
      <c r="E148">
        <v>8</v>
      </c>
      <c r="F148" t="s">
        <v>1073</v>
      </c>
      <c r="G148" t="s">
        <v>86</v>
      </c>
      <c r="H148" t="s">
        <v>932</v>
      </c>
      <c r="I148" t="s">
        <v>930</v>
      </c>
    </row>
    <row r="149" spans="1:9">
      <c r="A149" t="s">
        <v>931</v>
      </c>
      <c r="B149" t="s">
        <v>919</v>
      </c>
      <c r="C149" t="s">
        <v>921</v>
      </c>
      <c r="D149" t="s">
        <v>20</v>
      </c>
      <c r="E149">
        <v>10</v>
      </c>
      <c r="F149" t="s">
        <v>1073</v>
      </c>
      <c r="G149" t="s">
        <v>86</v>
      </c>
      <c r="H149" t="s">
        <v>932</v>
      </c>
      <c r="I149" t="s">
        <v>930</v>
      </c>
    </row>
    <row r="150" spans="1:9">
      <c r="A150" t="s">
        <v>931</v>
      </c>
      <c r="B150" t="s">
        <v>919</v>
      </c>
      <c r="C150" t="s">
        <v>921</v>
      </c>
      <c r="D150" t="s">
        <v>22</v>
      </c>
      <c r="F150" t="s">
        <v>1073</v>
      </c>
      <c r="G150" t="s">
        <v>86</v>
      </c>
      <c r="H150" t="s">
        <v>932</v>
      </c>
      <c r="I150" t="s">
        <v>930</v>
      </c>
    </row>
    <row r="151" spans="1:9">
      <c r="A151" t="s">
        <v>931</v>
      </c>
      <c r="B151" t="s">
        <v>919</v>
      </c>
      <c r="C151" t="s">
        <v>921</v>
      </c>
      <c r="D151" t="s">
        <v>23</v>
      </c>
      <c r="E151">
        <v>40</v>
      </c>
      <c r="F151" t="s">
        <v>1073</v>
      </c>
      <c r="G151" t="s">
        <v>86</v>
      </c>
      <c r="H151" t="s">
        <v>932</v>
      </c>
      <c r="I151" t="s">
        <v>930</v>
      </c>
    </row>
    <row r="152" spans="1:9">
      <c r="A152" t="s">
        <v>933</v>
      </c>
      <c r="B152" t="s">
        <v>899</v>
      </c>
      <c r="C152" t="s">
        <v>900</v>
      </c>
      <c r="D152" t="s">
        <v>17</v>
      </c>
      <c r="E152">
        <v>22</v>
      </c>
      <c r="F152" t="s">
        <v>1073</v>
      </c>
      <c r="G152" t="s">
        <v>86</v>
      </c>
      <c r="H152" t="s">
        <v>934</v>
      </c>
      <c r="I152" t="s">
        <v>930</v>
      </c>
    </row>
    <row r="153" spans="1:9">
      <c r="A153" t="s">
        <v>933</v>
      </c>
      <c r="B153" t="s">
        <v>899</v>
      </c>
      <c r="C153" t="s">
        <v>900</v>
      </c>
      <c r="D153" t="s">
        <v>18</v>
      </c>
      <c r="F153" t="s">
        <v>1073</v>
      </c>
      <c r="G153" t="s">
        <v>86</v>
      </c>
      <c r="H153" t="s">
        <v>934</v>
      </c>
      <c r="I153" t="s">
        <v>930</v>
      </c>
    </row>
    <row r="154" spans="1:9">
      <c r="A154" t="s">
        <v>933</v>
      </c>
      <c r="B154" t="s">
        <v>899</v>
      </c>
      <c r="C154" t="s">
        <v>900</v>
      </c>
      <c r="D154" t="s">
        <v>19</v>
      </c>
      <c r="F154" t="s">
        <v>1073</v>
      </c>
      <c r="G154" t="s">
        <v>86</v>
      </c>
      <c r="H154" t="s">
        <v>934</v>
      </c>
      <c r="I154" t="s">
        <v>930</v>
      </c>
    </row>
    <row r="155" spans="1:9">
      <c r="A155" t="s">
        <v>933</v>
      </c>
      <c r="B155" t="s">
        <v>899</v>
      </c>
      <c r="C155" t="s">
        <v>900</v>
      </c>
      <c r="D155" t="s">
        <v>20</v>
      </c>
      <c r="F155" t="s">
        <v>1073</v>
      </c>
      <c r="G155" t="s">
        <v>86</v>
      </c>
      <c r="H155" t="s">
        <v>934</v>
      </c>
      <c r="I155" t="s">
        <v>930</v>
      </c>
    </row>
    <row r="156" spans="1:9">
      <c r="A156" t="s">
        <v>933</v>
      </c>
      <c r="B156" t="s">
        <v>899</v>
      </c>
      <c r="C156" t="s">
        <v>900</v>
      </c>
      <c r="D156" t="s">
        <v>22</v>
      </c>
      <c r="E156">
        <v>22</v>
      </c>
      <c r="F156" t="s">
        <v>1073</v>
      </c>
      <c r="G156" t="s">
        <v>86</v>
      </c>
      <c r="H156" t="s">
        <v>934</v>
      </c>
      <c r="I156" t="s">
        <v>930</v>
      </c>
    </row>
    <row r="157" spans="1:9">
      <c r="A157" t="s">
        <v>933</v>
      </c>
      <c r="B157" t="s">
        <v>899</v>
      </c>
      <c r="C157" t="s">
        <v>900</v>
      </c>
      <c r="D157" t="s">
        <v>23</v>
      </c>
      <c r="E157">
        <v>44</v>
      </c>
      <c r="F157" t="s">
        <v>1073</v>
      </c>
      <c r="G157" t="s">
        <v>86</v>
      </c>
      <c r="H157" t="s">
        <v>934</v>
      </c>
      <c r="I157" t="s">
        <v>930</v>
      </c>
    </row>
    <row r="158" spans="1:9">
      <c r="A158" t="s">
        <v>933</v>
      </c>
      <c r="B158" t="s">
        <v>907</v>
      </c>
      <c r="C158" t="s">
        <v>935</v>
      </c>
      <c r="D158" t="s">
        <v>17</v>
      </c>
      <c r="E158">
        <v>38</v>
      </c>
      <c r="F158" t="s">
        <v>1073</v>
      </c>
      <c r="G158" t="s">
        <v>86</v>
      </c>
      <c r="H158" t="s">
        <v>936</v>
      </c>
      <c r="I158" t="s">
        <v>930</v>
      </c>
    </row>
    <row r="159" spans="1:9">
      <c r="A159" t="s">
        <v>933</v>
      </c>
      <c r="B159" t="s">
        <v>907</v>
      </c>
      <c r="C159" t="s">
        <v>935</v>
      </c>
      <c r="D159" t="s">
        <v>18</v>
      </c>
      <c r="E159">
        <v>6</v>
      </c>
      <c r="F159" t="s">
        <v>1073</v>
      </c>
      <c r="G159" t="s">
        <v>86</v>
      </c>
      <c r="H159" t="s">
        <v>936</v>
      </c>
      <c r="I159" t="s">
        <v>930</v>
      </c>
    </row>
    <row r="160" spans="1:9">
      <c r="A160" t="s">
        <v>933</v>
      </c>
      <c r="B160" t="s">
        <v>907</v>
      </c>
      <c r="C160" t="s">
        <v>935</v>
      </c>
      <c r="D160" t="s">
        <v>19</v>
      </c>
      <c r="E160">
        <v>0</v>
      </c>
      <c r="F160" t="s">
        <v>1073</v>
      </c>
      <c r="G160" t="s">
        <v>86</v>
      </c>
      <c r="H160" t="s">
        <v>936</v>
      </c>
      <c r="I160" t="s">
        <v>930</v>
      </c>
    </row>
    <row r="161" spans="1:9">
      <c r="A161" t="s">
        <v>933</v>
      </c>
      <c r="B161" t="s">
        <v>907</v>
      </c>
      <c r="C161" t="s">
        <v>935</v>
      </c>
      <c r="D161" t="s">
        <v>20</v>
      </c>
      <c r="E161">
        <v>0</v>
      </c>
      <c r="F161" t="s">
        <v>1073</v>
      </c>
      <c r="G161" t="s">
        <v>86</v>
      </c>
      <c r="H161" t="s">
        <v>936</v>
      </c>
      <c r="I161" t="s">
        <v>930</v>
      </c>
    </row>
    <row r="162" spans="1:9">
      <c r="A162" t="s">
        <v>933</v>
      </c>
      <c r="B162" t="s">
        <v>907</v>
      </c>
      <c r="C162" t="s">
        <v>935</v>
      </c>
      <c r="D162" t="s">
        <v>22</v>
      </c>
      <c r="E162">
        <v>0</v>
      </c>
      <c r="F162" t="s">
        <v>1073</v>
      </c>
      <c r="G162" t="s">
        <v>86</v>
      </c>
      <c r="H162" t="s">
        <v>936</v>
      </c>
      <c r="I162" t="s">
        <v>930</v>
      </c>
    </row>
    <row r="163" spans="1:9">
      <c r="A163" t="s">
        <v>933</v>
      </c>
      <c r="B163" t="s">
        <v>907</v>
      </c>
      <c r="C163" t="s">
        <v>935</v>
      </c>
      <c r="D163" t="s">
        <v>23</v>
      </c>
      <c r="E163">
        <v>44</v>
      </c>
      <c r="F163" t="s">
        <v>1073</v>
      </c>
      <c r="G163" t="s">
        <v>86</v>
      </c>
      <c r="H163" t="s">
        <v>936</v>
      </c>
      <c r="I163" t="s">
        <v>930</v>
      </c>
    </row>
    <row r="164" spans="1:9">
      <c r="A164" t="s">
        <v>933</v>
      </c>
      <c r="B164" t="s">
        <v>914</v>
      </c>
      <c r="C164" t="s">
        <v>915</v>
      </c>
      <c r="D164" t="s">
        <v>17</v>
      </c>
      <c r="E164">
        <v>22</v>
      </c>
      <c r="F164" t="s">
        <v>1073</v>
      </c>
      <c r="G164" t="s">
        <v>86</v>
      </c>
      <c r="H164" t="s">
        <v>937</v>
      </c>
      <c r="I164" t="s">
        <v>930</v>
      </c>
    </row>
    <row r="165" spans="1:9">
      <c r="A165" t="s">
        <v>933</v>
      </c>
      <c r="B165" t="s">
        <v>914</v>
      </c>
      <c r="C165" t="s">
        <v>915</v>
      </c>
      <c r="D165" t="s">
        <v>18</v>
      </c>
      <c r="F165" t="s">
        <v>1073</v>
      </c>
      <c r="G165" t="s">
        <v>86</v>
      </c>
      <c r="H165" t="s">
        <v>937</v>
      </c>
      <c r="I165" t="s">
        <v>930</v>
      </c>
    </row>
    <row r="166" spans="1:9">
      <c r="A166" t="s">
        <v>933</v>
      </c>
      <c r="B166" t="s">
        <v>914</v>
      </c>
      <c r="C166" t="s">
        <v>915</v>
      </c>
      <c r="D166" t="s">
        <v>19</v>
      </c>
      <c r="E166">
        <v>8</v>
      </c>
      <c r="F166" t="s">
        <v>1073</v>
      </c>
      <c r="G166" t="s">
        <v>86</v>
      </c>
      <c r="H166" t="s">
        <v>937</v>
      </c>
      <c r="I166" t="s">
        <v>930</v>
      </c>
    </row>
    <row r="167" spans="1:9">
      <c r="A167" t="s">
        <v>933</v>
      </c>
      <c r="B167" t="s">
        <v>914</v>
      </c>
      <c r="C167" t="s">
        <v>915</v>
      </c>
      <c r="D167" t="s">
        <v>20</v>
      </c>
      <c r="E167">
        <v>14</v>
      </c>
      <c r="F167" t="s">
        <v>1073</v>
      </c>
      <c r="G167" t="s">
        <v>86</v>
      </c>
      <c r="H167" t="s">
        <v>937</v>
      </c>
      <c r="I167" t="s">
        <v>930</v>
      </c>
    </row>
    <row r="168" spans="1:9">
      <c r="A168" t="s">
        <v>933</v>
      </c>
      <c r="B168" t="s">
        <v>914</v>
      </c>
      <c r="C168" t="s">
        <v>915</v>
      </c>
      <c r="D168" t="s">
        <v>22</v>
      </c>
      <c r="F168" t="s">
        <v>1073</v>
      </c>
      <c r="G168" t="s">
        <v>86</v>
      </c>
      <c r="H168" t="s">
        <v>937</v>
      </c>
      <c r="I168" t="s">
        <v>930</v>
      </c>
    </row>
    <row r="169" spans="1:9">
      <c r="A169" t="s">
        <v>933</v>
      </c>
      <c r="B169" t="s">
        <v>914</v>
      </c>
      <c r="C169" t="s">
        <v>915</v>
      </c>
      <c r="D169" t="s">
        <v>23</v>
      </c>
      <c r="E169">
        <v>44</v>
      </c>
      <c r="F169" t="s">
        <v>1073</v>
      </c>
      <c r="G169" t="s">
        <v>86</v>
      </c>
      <c r="H169" t="s">
        <v>937</v>
      </c>
      <c r="I169" t="s">
        <v>930</v>
      </c>
    </row>
  </sheetData>
  <pageMargins left="0.7" right="0.7" top="0.75" bottom="0.75"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C2EBA-5A69-4CAB-8164-F6AECDE98AE7}">
  <sheetPr codeName="Sheet35"/>
  <dimension ref="A1:M53"/>
  <sheetViews>
    <sheetView zoomScale="130" zoomScaleNormal="130" workbookViewId="0">
      <selection activeCell="G12" sqref="G12"/>
    </sheetView>
  </sheetViews>
  <sheetFormatPr defaultColWidth="8.85546875" defaultRowHeight="15"/>
  <cols>
    <col min="1" max="1" width="49" bestFit="1" customWidth="1"/>
    <col min="2" max="2" width="14.85546875" bestFit="1" customWidth="1"/>
    <col min="3" max="3" width="65.5703125" bestFit="1" customWidth="1"/>
    <col min="4" max="4" width="17.42578125" bestFit="1" customWidth="1"/>
    <col min="5" max="5" width="24.7109375" bestFit="1" customWidth="1"/>
    <col min="6" max="6" width="48.28515625" bestFit="1" customWidth="1"/>
    <col min="7" max="7" width="157.42578125" customWidth="1"/>
    <col min="8" max="8" width="12.42578125" bestFit="1" customWidth="1"/>
    <col min="9" max="9" width="31.28515625" bestFit="1" customWidth="1"/>
    <col min="10" max="10" width="15.28515625" bestFit="1" customWidth="1"/>
    <col min="11" max="11" width="12.7109375" bestFit="1" customWidth="1"/>
    <col min="12" max="12" width="24.5703125" bestFit="1" customWidth="1"/>
    <col min="13" max="13" width="12.140625" bestFit="1" customWidth="1"/>
  </cols>
  <sheetData>
    <row r="1" spans="1:13">
      <c r="A1" t="s">
        <v>924</v>
      </c>
      <c r="B1" t="s">
        <v>893</v>
      </c>
      <c r="C1" t="s">
        <v>894</v>
      </c>
      <c r="D1" t="s">
        <v>34</v>
      </c>
      <c r="E1" t="s">
        <v>35</v>
      </c>
      <c r="F1" t="s">
        <v>36</v>
      </c>
      <c r="G1" t="s">
        <v>37</v>
      </c>
      <c r="H1" t="s">
        <v>38</v>
      </c>
      <c r="I1" t="s">
        <v>39</v>
      </c>
      <c r="J1" t="s">
        <v>926</v>
      </c>
      <c r="K1" t="s">
        <v>1016</v>
      </c>
      <c r="L1" t="s">
        <v>925</v>
      </c>
      <c r="M1" t="s">
        <v>927</v>
      </c>
    </row>
    <row r="2" spans="1:13">
      <c r="A2" t="s">
        <v>938</v>
      </c>
      <c r="B2" t="s">
        <v>905</v>
      </c>
      <c r="C2" t="s">
        <v>906</v>
      </c>
      <c r="D2" t="s">
        <v>40</v>
      </c>
      <c r="E2" t="s">
        <v>41</v>
      </c>
      <c r="F2" t="s">
        <v>94</v>
      </c>
      <c r="G2" t="s">
        <v>95</v>
      </c>
      <c r="H2">
        <v>0.4</v>
      </c>
      <c r="I2">
        <v>8</v>
      </c>
      <c r="J2" t="s">
        <v>1074</v>
      </c>
      <c r="K2" t="s">
        <v>1075</v>
      </c>
      <c r="L2" t="s">
        <v>86</v>
      </c>
      <c r="M2" t="s">
        <v>930</v>
      </c>
    </row>
    <row r="3" spans="1:13">
      <c r="A3" t="s">
        <v>938</v>
      </c>
      <c r="B3" t="s">
        <v>905</v>
      </c>
      <c r="C3" t="s">
        <v>906</v>
      </c>
      <c r="D3" t="s">
        <v>44</v>
      </c>
      <c r="E3" t="s">
        <v>96</v>
      </c>
      <c r="F3" t="s">
        <v>97</v>
      </c>
      <c r="G3" t="s">
        <v>98</v>
      </c>
      <c r="H3">
        <v>0.6</v>
      </c>
      <c r="I3">
        <v>12</v>
      </c>
      <c r="J3" t="s">
        <v>1074</v>
      </c>
      <c r="K3" t="s">
        <v>1075</v>
      </c>
      <c r="L3" t="s">
        <v>86</v>
      </c>
      <c r="M3" t="s">
        <v>930</v>
      </c>
    </row>
    <row r="4" spans="1:13">
      <c r="A4" t="s">
        <v>938</v>
      </c>
      <c r="B4" t="s">
        <v>140</v>
      </c>
      <c r="C4" t="s">
        <v>142</v>
      </c>
      <c r="D4" t="s">
        <v>40</v>
      </c>
      <c r="E4" t="s">
        <v>150</v>
      </c>
      <c r="F4" t="s">
        <v>151</v>
      </c>
      <c r="G4" t="s">
        <v>152</v>
      </c>
      <c r="H4">
        <v>0.5</v>
      </c>
      <c r="I4">
        <v>6</v>
      </c>
      <c r="J4" t="s">
        <v>1076</v>
      </c>
      <c r="K4" t="s">
        <v>1075</v>
      </c>
      <c r="L4" t="s">
        <v>86</v>
      </c>
      <c r="M4" t="s">
        <v>930</v>
      </c>
    </row>
    <row r="5" spans="1:13">
      <c r="A5" t="s">
        <v>938</v>
      </c>
      <c r="B5" t="s">
        <v>140</v>
      </c>
      <c r="C5" t="s">
        <v>142</v>
      </c>
      <c r="D5" t="s">
        <v>44</v>
      </c>
      <c r="E5" t="s">
        <v>41</v>
      </c>
      <c r="F5" t="s">
        <v>42</v>
      </c>
      <c r="G5" t="s">
        <v>153</v>
      </c>
      <c r="H5">
        <v>0.5</v>
      </c>
      <c r="I5">
        <v>12</v>
      </c>
      <c r="J5" t="s">
        <v>1076</v>
      </c>
      <c r="K5" t="s">
        <v>1075</v>
      </c>
      <c r="L5" t="s">
        <v>86</v>
      </c>
      <c r="M5" t="s">
        <v>930</v>
      </c>
    </row>
    <row r="6" spans="1:13">
      <c r="A6" t="s">
        <v>938</v>
      </c>
      <c r="B6" t="s">
        <v>173</v>
      </c>
      <c r="C6" t="s">
        <v>904</v>
      </c>
      <c r="D6" t="s">
        <v>40</v>
      </c>
      <c r="E6" t="s">
        <v>96</v>
      </c>
      <c r="F6" t="s">
        <v>186</v>
      </c>
      <c r="G6" t="s">
        <v>187</v>
      </c>
      <c r="H6">
        <v>0.5</v>
      </c>
      <c r="I6">
        <v>6</v>
      </c>
      <c r="J6" t="s">
        <v>1077</v>
      </c>
      <c r="K6" t="s">
        <v>1075</v>
      </c>
      <c r="L6" t="s">
        <v>86</v>
      </c>
      <c r="M6" t="s">
        <v>930</v>
      </c>
    </row>
    <row r="7" spans="1:13">
      <c r="A7" t="s">
        <v>938</v>
      </c>
      <c r="B7" t="s">
        <v>173</v>
      </c>
      <c r="C7" t="s">
        <v>904</v>
      </c>
      <c r="D7" t="s">
        <v>44</v>
      </c>
      <c r="E7" t="s">
        <v>150</v>
      </c>
      <c r="F7" t="s">
        <v>151</v>
      </c>
      <c r="G7" t="s">
        <v>188</v>
      </c>
      <c r="H7">
        <v>0.5</v>
      </c>
      <c r="I7">
        <v>12</v>
      </c>
      <c r="J7" t="s">
        <v>1077</v>
      </c>
      <c r="K7" t="s">
        <v>1075</v>
      </c>
      <c r="L7" t="s">
        <v>86</v>
      </c>
      <c r="M7" t="s">
        <v>930</v>
      </c>
    </row>
    <row r="8" spans="1:13">
      <c r="A8" t="s">
        <v>938</v>
      </c>
      <c r="B8" t="s">
        <v>229</v>
      </c>
      <c r="C8" t="s">
        <v>231</v>
      </c>
      <c r="D8" t="s">
        <v>40</v>
      </c>
      <c r="E8" t="s">
        <v>150</v>
      </c>
      <c r="F8" t="s">
        <v>242</v>
      </c>
      <c r="G8" t="s">
        <v>243</v>
      </c>
      <c r="H8">
        <v>0.35</v>
      </c>
      <c r="I8">
        <v>6</v>
      </c>
      <c r="J8" t="s">
        <v>1078</v>
      </c>
      <c r="K8" t="s">
        <v>1075</v>
      </c>
      <c r="L8" t="s">
        <v>86</v>
      </c>
      <c r="M8" t="s">
        <v>930</v>
      </c>
    </row>
    <row r="9" spans="1:13">
      <c r="A9" t="s">
        <v>938</v>
      </c>
      <c r="B9" t="s">
        <v>229</v>
      </c>
      <c r="C9" t="s">
        <v>231</v>
      </c>
      <c r="D9" t="s">
        <v>44</v>
      </c>
      <c r="E9" t="s">
        <v>41</v>
      </c>
      <c r="F9" t="s">
        <v>244</v>
      </c>
      <c r="G9" t="s">
        <v>245</v>
      </c>
      <c r="H9">
        <v>0.65</v>
      </c>
      <c r="I9">
        <v>13</v>
      </c>
      <c r="J9" t="s">
        <v>1078</v>
      </c>
      <c r="K9" t="s">
        <v>1075</v>
      </c>
      <c r="L9" t="s">
        <v>86</v>
      </c>
      <c r="M9" t="s">
        <v>930</v>
      </c>
    </row>
    <row r="10" spans="1:13">
      <c r="A10" t="s">
        <v>938</v>
      </c>
      <c r="B10" t="s">
        <v>278</v>
      </c>
      <c r="C10" t="s">
        <v>280</v>
      </c>
      <c r="D10" t="s">
        <v>40</v>
      </c>
      <c r="E10" t="s">
        <v>41</v>
      </c>
      <c r="F10" t="s">
        <v>42</v>
      </c>
      <c r="G10" t="s">
        <v>289</v>
      </c>
      <c r="H10">
        <v>0.5</v>
      </c>
      <c r="I10">
        <v>6</v>
      </c>
      <c r="J10" t="s">
        <v>1079</v>
      </c>
      <c r="K10" t="s">
        <v>1075</v>
      </c>
      <c r="L10" t="s">
        <v>86</v>
      </c>
      <c r="M10" t="s">
        <v>930</v>
      </c>
    </row>
    <row r="11" spans="1:13">
      <c r="A11" t="s">
        <v>938</v>
      </c>
      <c r="B11" t="s">
        <v>278</v>
      </c>
      <c r="C11" t="s">
        <v>280</v>
      </c>
      <c r="D11" t="s">
        <v>44</v>
      </c>
      <c r="E11" t="s">
        <v>290</v>
      </c>
      <c r="F11" t="s">
        <v>291</v>
      </c>
      <c r="G11" t="s">
        <v>292</v>
      </c>
      <c r="H11">
        <v>0.5</v>
      </c>
      <c r="I11">
        <v>12</v>
      </c>
      <c r="J11" t="s">
        <v>1079</v>
      </c>
      <c r="K11" t="s">
        <v>1075</v>
      </c>
      <c r="L11" t="s">
        <v>86</v>
      </c>
      <c r="M11" t="s">
        <v>930</v>
      </c>
    </row>
    <row r="12" spans="1:13">
      <c r="A12" t="s">
        <v>938</v>
      </c>
      <c r="B12" t="s">
        <v>312</v>
      </c>
      <c r="C12" t="s">
        <v>313</v>
      </c>
      <c r="D12" t="s">
        <v>40</v>
      </c>
      <c r="E12" t="s">
        <v>290</v>
      </c>
      <c r="F12" t="s">
        <v>186</v>
      </c>
      <c r="G12" t="s">
        <v>322</v>
      </c>
      <c r="H12">
        <v>0.5</v>
      </c>
      <c r="I12">
        <v>8</v>
      </c>
      <c r="J12" t="s">
        <v>1080</v>
      </c>
      <c r="K12" t="s">
        <v>1075</v>
      </c>
      <c r="L12" t="s">
        <v>86</v>
      </c>
      <c r="M12" t="s">
        <v>930</v>
      </c>
    </row>
    <row r="13" spans="1:13">
      <c r="A13" t="s">
        <v>938</v>
      </c>
      <c r="B13" t="s">
        <v>312</v>
      </c>
      <c r="C13" t="s">
        <v>313</v>
      </c>
      <c r="D13" t="s">
        <v>44</v>
      </c>
      <c r="E13" t="s">
        <v>41</v>
      </c>
      <c r="F13" t="s">
        <v>42</v>
      </c>
      <c r="G13" t="s">
        <v>323</v>
      </c>
      <c r="H13">
        <v>0.5</v>
      </c>
      <c r="I13" t="s">
        <v>324</v>
      </c>
      <c r="J13" t="s">
        <v>1080</v>
      </c>
      <c r="K13" t="s">
        <v>1075</v>
      </c>
      <c r="L13" t="s">
        <v>86</v>
      </c>
      <c r="M13" t="s">
        <v>930</v>
      </c>
    </row>
    <row r="14" spans="1:13">
      <c r="A14" t="s">
        <v>938</v>
      </c>
      <c r="B14" t="s">
        <v>386</v>
      </c>
      <c r="C14" t="s">
        <v>388</v>
      </c>
      <c r="D14" t="s">
        <v>40</v>
      </c>
      <c r="E14" t="s">
        <v>41</v>
      </c>
      <c r="F14" t="s">
        <v>42</v>
      </c>
      <c r="G14" t="s">
        <v>396</v>
      </c>
      <c r="H14">
        <v>0.5</v>
      </c>
      <c r="I14">
        <v>7</v>
      </c>
      <c r="J14" t="s">
        <v>1081</v>
      </c>
      <c r="K14" t="s">
        <v>1075</v>
      </c>
      <c r="L14" t="s">
        <v>86</v>
      </c>
      <c r="M14" t="s">
        <v>930</v>
      </c>
    </row>
    <row r="15" spans="1:13">
      <c r="A15" t="s">
        <v>938</v>
      </c>
      <c r="B15" t="s">
        <v>386</v>
      </c>
      <c r="C15" t="s">
        <v>388</v>
      </c>
      <c r="D15" t="s">
        <v>44</v>
      </c>
      <c r="E15" t="s">
        <v>96</v>
      </c>
      <c r="G15" t="s">
        <v>1082</v>
      </c>
      <c r="H15">
        <v>0.5</v>
      </c>
      <c r="I15" t="s">
        <v>398</v>
      </c>
      <c r="J15" t="s">
        <v>1081</v>
      </c>
      <c r="K15" t="s">
        <v>1075</v>
      </c>
      <c r="L15" t="s">
        <v>86</v>
      </c>
      <c r="M15" t="s">
        <v>930</v>
      </c>
    </row>
    <row r="16" spans="1:13">
      <c r="A16" t="s">
        <v>928</v>
      </c>
      <c r="B16" t="s">
        <v>911</v>
      </c>
      <c r="C16" t="s">
        <v>912</v>
      </c>
      <c r="D16" t="s">
        <v>40</v>
      </c>
      <c r="E16" t="s">
        <v>41</v>
      </c>
      <c r="F16" t="s">
        <v>42</v>
      </c>
      <c r="G16" t="s">
        <v>1083</v>
      </c>
      <c r="H16">
        <v>0.5</v>
      </c>
      <c r="I16">
        <v>12</v>
      </c>
      <c r="J16" t="s">
        <v>1084</v>
      </c>
      <c r="K16" t="s">
        <v>1075</v>
      </c>
      <c r="L16" t="s">
        <v>86</v>
      </c>
      <c r="M16" t="s">
        <v>930</v>
      </c>
    </row>
    <row r="17" spans="1:13">
      <c r="A17" t="s">
        <v>928</v>
      </c>
      <c r="B17" t="s">
        <v>911</v>
      </c>
      <c r="C17" t="s">
        <v>912</v>
      </c>
      <c r="D17" t="s">
        <v>44</v>
      </c>
      <c r="E17" t="s">
        <v>291</v>
      </c>
      <c r="F17" t="s">
        <v>291</v>
      </c>
      <c r="G17" t="s">
        <v>1085</v>
      </c>
      <c r="H17">
        <v>0.5</v>
      </c>
      <c r="I17">
        <v>16</v>
      </c>
      <c r="J17" t="s">
        <v>1084</v>
      </c>
      <c r="K17" t="s">
        <v>1075</v>
      </c>
      <c r="L17" t="s">
        <v>86</v>
      </c>
      <c r="M17" t="s">
        <v>930</v>
      </c>
    </row>
    <row r="18" spans="1:13">
      <c r="A18" t="s">
        <v>938</v>
      </c>
      <c r="B18" t="s">
        <v>417</v>
      </c>
      <c r="C18" t="s">
        <v>910</v>
      </c>
      <c r="D18" t="s">
        <v>40</v>
      </c>
      <c r="E18" t="s">
        <v>96</v>
      </c>
      <c r="F18" t="s">
        <v>186</v>
      </c>
      <c r="G18" t="s">
        <v>423</v>
      </c>
      <c r="H18">
        <v>0.5</v>
      </c>
      <c r="I18">
        <v>9</v>
      </c>
      <c r="J18" t="s">
        <v>1086</v>
      </c>
      <c r="K18" t="s">
        <v>1075</v>
      </c>
      <c r="L18" t="s">
        <v>86</v>
      </c>
      <c r="M18" t="s">
        <v>930</v>
      </c>
    </row>
    <row r="19" spans="1:13">
      <c r="A19" t="s">
        <v>938</v>
      </c>
      <c r="B19" t="s">
        <v>417</v>
      </c>
      <c r="C19" t="s">
        <v>910</v>
      </c>
      <c r="D19" t="s">
        <v>44</v>
      </c>
      <c r="E19" t="s">
        <v>150</v>
      </c>
      <c r="F19" t="s">
        <v>151</v>
      </c>
      <c r="G19" t="s">
        <v>424</v>
      </c>
      <c r="H19">
        <v>0.5</v>
      </c>
      <c r="I19">
        <v>12</v>
      </c>
      <c r="J19" t="s">
        <v>1086</v>
      </c>
      <c r="K19" t="s">
        <v>1075</v>
      </c>
      <c r="L19" t="s">
        <v>86</v>
      </c>
      <c r="M19" t="s">
        <v>930</v>
      </c>
    </row>
    <row r="20" spans="1:13">
      <c r="A20" t="s">
        <v>938</v>
      </c>
      <c r="B20" t="s">
        <v>448</v>
      </c>
      <c r="C20" t="s">
        <v>450</v>
      </c>
      <c r="D20" t="s">
        <v>40</v>
      </c>
      <c r="E20" t="s">
        <v>290</v>
      </c>
      <c r="F20" t="s">
        <v>459</v>
      </c>
      <c r="G20" t="s">
        <v>460</v>
      </c>
      <c r="H20">
        <v>0.5</v>
      </c>
      <c r="I20">
        <v>6</v>
      </c>
      <c r="J20" t="s">
        <v>1087</v>
      </c>
      <c r="K20" t="s">
        <v>1075</v>
      </c>
      <c r="L20" t="s">
        <v>86</v>
      </c>
      <c r="M20" t="s">
        <v>930</v>
      </c>
    </row>
    <row r="21" spans="1:13">
      <c r="A21" t="s">
        <v>938</v>
      </c>
      <c r="B21" t="s">
        <v>448</v>
      </c>
      <c r="C21" t="s">
        <v>450</v>
      </c>
      <c r="D21" t="s">
        <v>44</v>
      </c>
      <c r="E21" t="s">
        <v>290</v>
      </c>
      <c r="F21" t="s">
        <v>461</v>
      </c>
      <c r="G21" t="s">
        <v>462</v>
      </c>
      <c r="H21">
        <v>0.5</v>
      </c>
      <c r="I21">
        <v>12</v>
      </c>
      <c r="J21" t="s">
        <v>1087</v>
      </c>
      <c r="K21" t="s">
        <v>1075</v>
      </c>
      <c r="L21" t="s">
        <v>86</v>
      </c>
      <c r="M21" t="s">
        <v>930</v>
      </c>
    </row>
    <row r="22" spans="1:13">
      <c r="A22" t="s">
        <v>938</v>
      </c>
      <c r="B22" t="s">
        <v>463</v>
      </c>
      <c r="C22" t="s">
        <v>464</v>
      </c>
      <c r="D22" t="s">
        <v>40</v>
      </c>
      <c r="E22" t="s">
        <v>96</v>
      </c>
      <c r="F22" t="s">
        <v>291</v>
      </c>
      <c r="G22" t="s">
        <v>473</v>
      </c>
      <c r="H22">
        <v>0.5</v>
      </c>
      <c r="I22">
        <v>7</v>
      </c>
      <c r="J22" t="s">
        <v>1088</v>
      </c>
      <c r="K22" t="s">
        <v>1075</v>
      </c>
      <c r="L22" t="s">
        <v>86</v>
      </c>
      <c r="M22" t="s">
        <v>930</v>
      </c>
    </row>
    <row r="23" spans="1:13">
      <c r="A23" t="s">
        <v>938</v>
      </c>
      <c r="B23" t="s">
        <v>463</v>
      </c>
      <c r="C23" t="s">
        <v>464</v>
      </c>
      <c r="D23" t="s">
        <v>44</v>
      </c>
      <c r="E23" t="s">
        <v>41</v>
      </c>
      <c r="F23" t="s">
        <v>94</v>
      </c>
      <c r="G23" t="s">
        <v>474</v>
      </c>
      <c r="H23">
        <v>0.5</v>
      </c>
      <c r="I23">
        <v>12</v>
      </c>
      <c r="J23" t="s">
        <v>1088</v>
      </c>
      <c r="K23" t="s">
        <v>1075</v>
      </c>
      <c r="L23" t="s">
        <v>86</v>
      </c>
      <c r="M23" t="s">
        <v>930</v>
      </c>
    </row>
    <row r="24" spans="1:13">
      <c r="A24" t="s">
        <v>938</v>
      </c>
      <c r="B24" t="s">
        <v>508</v>
      </c>
      <c r="C24" t="s">
        <v>510</v>
      </c>
      <c r="D24" t="s">
        <v>40</v>
      </c>
      <c r="E24" t="s">
        <v>290</v>
      </c>
      <c r="F24" t="s">
        <v>519</v>
      </c>
      <c r="G24" t="s">
        <v>520</v>
      </c>
      <c r="H24">
        <v>0.5</v>
      </c>
      <c r="I24">
        <v>6</v>
      </c>
      <c r="J24" t="s">
        <v>1089</v>
      </c>
      <c r="K24" t="s">
        <v>1075</v>
      </c>
      <c r="L24" t="s">
        <v>86</v>
      </c>
      <c r="M24" t="s">
        <v>930</v>
      </c>
    </row>
    <row r="25" spans="1:13">
      <c r="A25" t="s">
        <v>938</v>
      </c>
      <c r="B25" t="s">
        <v>508</v>
      </c>
      <c r="C25" t="s">
        <v>510</v>
      </c>
      <c r="D25" t="s">
        <v>44</v>
      </c>
      <c r="E25" t="s">
        <v>150</v>
      </c>
      <c r="G25" t="s">
        <v>521</v>
      </c>
      <c r="H25">
        <v>0.5</v>
      </c>
      <c r="I25">
        <v>12</v>
      </c>
      <c r="J25" t="s">
        <v>1089</v>
      </c>
      <c r="K25" t="s">
        <v>1075</v>
      </c>
      <c r="L25" t="s">
        <v>86</v>
      </c>
      <c r="M25" t="s">
        <v>930</v>
      </c>
    </row>
    <row r="26" spans="1:13">
      <c r="A26" t="s">
        <v>938</v>
      </c>
      <c r="B26" t="s">
        <v>548</v>
      </c>
      <c r="C26" t="s">
        <v>549</v>
      </c>
      <c r="D26" t="s">
        <v>40</v>
      </c>
      <c r="E26" t="s">
        <v>41</v>
      </c>
      <c r="F26" t="s">
        <v>94</v>
      </c>
      <c r="G26" t="s">
        <v>554</v>
      </c>
      <c r="H26">
        <v>0.5</v>
      </c>
      <c r="I26">
        <v>8</v>
      </c>
      <c r="J26" t="s">
        <v>1090</v>
      </c>
      <c r="K26" t="s">
        <v>1075</v>
      </c>
      <c r="L26" t="s">
        <v>86</v>
      </c>
      <c r="M26" t="s">
        <v>930</v>
      </c>
    </row>
    <row r="27" spans="1:13">
      <c r="A27" t="s">
        <v>938</v>
      </c>
      <c r="B27" t="s">
        <v>548</v>
      </c>
      <c r="C27" t="s">
        <v>549</v>
      </c>
      <c r="D27" t="s">
        <v>44</v>
      </c>
      <c r="E27" t="s">
        <v>150</v>
      </c>
      <c r="F27" t="s">
        <v>151</v>
      </c>
      <c r="G27" t="s">
        <v>555</v>
      </c>
      <c r="H27">
        <v>0.5</v>
      </c>
      <c r="I27">
        <v>18</v>
      </c>
      <c r="J27" t="s">
        <v>1090</v>
      </c>
      <c r="K27" t="s">
        <v>1075</v>
      </c>
      <c r="L27" t="s">
        <v>86</v>
      </c>
      <c r="M27" t="s">
        <v>930</v>
      </c>
    </row>
    <row r="28" spans="1:13">
      <c r="A28" t="s">
        <v>938</v>
      </c>
      <c r="B28" t="s">
        <v>579</v>
      </c>
      <c r="C28" t="s">
        <v>581</v>
      </c>
      <c r="D28" t="s">
        <v>40</v>
      </c>
      <c r="E28" t="s">
        <v>290</v>
      </c>
      <c r="F28" t="s">
        <v>459</v>
      </c>
      <c r="G28" t="s">
        <v>589</v>
      </c>
      <c r="H28">
        <v>0.5</v>
      </c>
      <c r="I28">
        <v>7</v>
      </c>
      <c r="J28" t="s">
        <v>1091</v>
      </c>
      <c r="K28" t="s">
        <v>1075</v>
      </c>
      <c r="L28" t="s">
        <v>86</v>
      </c>
      <c r="M28" t="s">
        <v>930</v>
      </c>
    </row>
    <row r="29" spans="1:13">
      <c r="A29" t="s">
        <v>938</v>
      </c>
      <c r="B29" t="s">
        <v>579</v>
      </c>
      <c r="C29" t="s">
        <v>581</v>
      </c>
      <c r="D29" t="s">
        <v>44</v>
      </c>
      <c r="E29" t="s">
        <v>150</v>
      </c>
      <c r="F29" t="s">
        <v>291</v>
      </c>
      <c r="G29" t="s">
        <v>590</v>
      </c>
      <c r="H29">
        <v>0.5</v>
      </c>
      <c r="I29">
        <v>12</v>
      </c>
      <c r="J29" t="s">
        <v>1091</v>
      </c>
      <c r="K29" t="s">
        <v>1075</v>
      </c>
      <c r="L29" t="s">
        <v>86</v>
      </c>
      <c r="M29" t="s">
        <v>930</v>
      </c>
    </row>
    <row r="30" spans="1:13">
      <c r="A30" t="s">
        <v>938</v>
      </c>
      <c r="B30" t="s">
        <v>619</v>
      </c>
      <c r="C30" t="s">
        <v>6</v>
      </c>
      <c r="D30" t="s">
        <v>40</v>
      </c>
      <c r="E30" t="s">
        <v>290</v>
      </c>
      <c r="F30" t="s">
        <v>291</v>
      </c>
      <c r="G30" t="s">
        <v>633</v>
      </c>
      <c r="H30">
        <v>0.4</v>
      </c>
      <c r="I30">
        <v>24</v>
      </c>
      <c r="J30" t="s">
        <v>1092</v>
      </c>
      <c r="K30" t="s">
        <v>1075</v>
      </c>
      <c r="L30" t="s">
        <v>86</v>
      </c>
      <c r="M30" t="s">
        <v>930</v>
      </c>
    </row>
    <row r="31" spans="1:13">
      <c r="A31" t="s">
        <v>938</v>
      </c>
      <c r="B31" t="s">
        <v>619</v>
      </c>
      <c r="C31" t="s">
        <v>6</v>
      </c>
      <c r="D31" t="s">
        <v>44</v>
      </c>
      <c r="E31" t="s">
        <v>41</v>
      </c>
      <c r="F31" t="s">
        <v>94</v>
      </c>
      <c r="G31" t="s">
        <v>634</v>
      </c>
      <c r="H31">
        <v>0.6</v>
      </c>
      <c r="I31">
        <v>33</v>
      </c>
      <c r="J31" t="s">
        <v>1092</v>
      </c>
      <c r="K31" t="s">
        <v>1075</v>
      </c>
      <c r="L31" t="s">
        <v>86</v>
      </c>
      <c r="M31" t="s">
        <v>930</v>
      </c>
    </row>
    <row r="32" spans="1:13">
      <c r="A32" t="s">
        <v>938</v>
      </c>
      <c r="B32" t="s">
        <v>649</v>
      </c>
      <c r="C32" t="s">
        <v>650</v>
      </c>
      <c r="D32" t="s">
        <v>40</v>
      </c>
      <c r="E32" t="s">
        <v>668</v>
      </c>
      <c r="F32" t="s">
        <v>669</v>
      </c>
      <c r="G32" t="s">
        <v>670</v>
      </c>
      <c r="H32">
        <v>0.5</v>
      </c>
      <c r="J32" t="s">
        <v>1093</v>
      </c>
      <c r="K32" t="s">
        <v>1075</v>
      </c>
      <c r="L32" t="s">
        <v>86</v>
      </c>
      <c r="M32" t="s">
        <v>930</v>
      </c>
    </row>
    <row r="33" spans="1:13">
      <c r="A33" t="s">
        <v>938</v>
      </c>
      <c r="B33" t="s">
        <v>649</v>
      </c>
      <c r="C33" t="s">
        <v>650</v>
      </c>
      <c r="D33" t="s">
        <v>44</v>
      </c>
      <c r="E33" t="s">
        <v>1094</v>
      </c>
      <c r="F33" t="s">
        <v>672</v>
      </c>
      <c r="G33" t="s">
        <v>673</v>
      </c>
      <c r="H33">
        <v>0.5</v>
      </c>
      <c r="J33" t="s">
        <v>1093</v>
      </c>
      <c r="K33" t="s">
        <v>1075</v>
      </c>
      <c r="L33" t="s">
        <v>86</v>
      </c>
      <c r="M33" t="s">
        <v>930</v>
      </c>
    </row>
    <row r="34" spans="1:13">
      <c r="A34" t="s">
        <v>938</v>
      </c>
      <c r="B34" t="s">
        <v>720</v>
      </c>
      <c r="C34" t="s">
        <v>920</v>
      </c>
      <c r="D34" t="s">
        <v>40</v>
      </c>
      <c r="E34" t="s">
        <v>96</v>
      </c>
      <c r="F34" t="s">
        <v>461</v>
      </c>
      <c r="G34" t="s">
        <v>730</v>
      </c>
      <c r="H34">
        <v>0.5</v>
      </c>
      <c r="I34">
        <v>26</v>
      </c>
      <c r="J34" t="s">
        <v>1095</v>
      </c>
      <c r="K34" t="s">
        <v>1075</v>
      </c>
      <c r="L34" t="s">
        <v>86</v>
      </c>
      <c r="M34" t="s">
        <v>930</v>
      </c>
    </row>
    <row r="35" spans="1:13">
      <c r="A35" t="s">
        <v>938</v>
      </c>
      <c r="B35" t="s">
        <v>720</v>
      </c>
      <c r="C35" t="s">
        <v>920</v>
      </c>
      <c r="D35" t="s">
        <v>44</v>
      </c>
      <c r="E35" t="s">
        <v>41</v>
      </c>
      <c r="F35" t="s">
        <v>94</v>
      </c>
      <c r="G35" t="s">
        <v>731</v>
      </c>
      <c r="H35">
        <v>0.5</v>
      </c>
      <c r="I35">
        <v>26</v>
      </c>
      <c r="J35" t="s">
        <v>1095</v>
      </c>
      <c r="K35" t="s">
        <v>1075</v>
      </c>
      <c r="L35" t="s">
        <v>86</v>
      </c>
      <c r="M35" t="s">
        <v>930</v>
      </c>
    </row>
    <row r="36" spans="1:13">
      <c r="A36" t="s">
        <v>938</v>
      </c>
      <c r="B36" t="s">
        <v>686</v>
      </c>
      <c r="C36" t="s">
        <v>688</v>
      </c>
      <c r="D36" t="s">
        <v>40</v>
      </c>
      <c r="E36" t="s">
        <v>41</v>
      </c>
      <c r="F36" t="s">
        <v>42</v>
      </c>
      <c r="G36" t="s">
        <v>698</v>
      </c>
      <c r="H36" t="s">
        <v>1096</v>
      </c>
      <c r="I36">
        <v>9</v>
      </c>
      <c r="J36" t="s">
        <v>1097</v>
      </c>
      <c r="K36" t="s">
        <v>1075</v>
      </c>
      <c r="L36" t="s">
        <v>86</v>
      </c>
      <c r="M36" t="s">
        <v>930</v>
      </c>
    </row>
    <row r="37" spans="1:13">
      <c r="A37" t="s">
        <v>938</v>
      </c>
      <c r="B37" t="s">
        <v>686</v>
      </c>
      <c r="C37" t="s">
        <v>688</v>
      </c>
      <c r="D37" t="s">
        <v>44</v>
      </c>
      <c r="E37" t="s">
        <v>96</v>
      </c>
      <c r="F37" t="s">
        <v>461</v>
      </c>
      <c r="G37" t="s">
        <v>699</v>
      </c>
      <c r="H37">
        <v>0.7</v>
      </c>
      <c r="I37">
        <v>12</v>
      </c>
      <c r="J37" t="s">
        <v>1097</v>
      </c>
      <c r="K37" t="s">
        <v>1075</v>
      </c>
      <c r="L37" t="s">
        <v>86</v>
      </c>
      <c r="M37" t="s">
        <v>930</v>
      </c>
    </row>
    <row r="38" spans="1:13">
      <c r="A38" t="s">
        <v>938</v>
      </c>
      <c r="B38" t="s">
        <v>742</v>
      </c>
      <c r="C38" t="s">
        <v>744</v>
      </c>
      <c r="D38" t="s">
        <v>40</v>
      </c>
      <c r="E38" t="s">
        <v>41</v>
      </c>
      <c r="F38" t="s">
        <v>94</v>
      </c>
      <c r="G38" t="s">
        <v>752</v>
      </c>
      <c r="H38">
        <v>0.5</v>
      </c>
      <c r="I38">
        <v>6</v>
      </c>
      <c r="J38" t="s">
        <v>1098</v>
      </c>
      <c r="K38" t="s">
        <v>1075</v>
      </c>
      <c r="L38" t="s">
        <v>86</v>
      </c>
      <c r="M38" t="s">
        <v>930</v>
      </c>
    </row>
    <row r="39" spans="1:13">
      <c r="A39" t="s">
        <v>938</v>
      </c>
      <c r="B39" t="s">
        <v>742</v>
      </c>
      <c r="C39" t="s">
        <v>744</v>
      </c>
      <c r="D39" t="s">
        <v>44</v>
      </c>
      <c r="E39" t="s">
        <v>96</v>
      </c>
      <c r="F39" t="s">
        <v>753</v>
      </c>
      <c r="G39" t="s">
        <v>754</v>
      </c>
      <c r="H39">
        <v>0.5</v>
      </c>
      <c r="I39">
        <v>12</v>
      </c>
      <c r="J39" t="s">
        <v>1098</v>
      </c>
      <c r="K39" t="s">
        <v>1075</v>
      </c>
      <c r="L39" t="s">
        <v>86</v>
      </c>
      <c r="M39" t="s">
        <v>930</v>
      </c>
    </row>
    <row r="40" spans="1:13">
      <c r="A40" t="s">
        <v>938</v>
      </c>
      <c r="B40" t="s">
        <v>777</v>
      </c>
      <c r="C40" t="s">
        <v>779</v>
      </c>
      <c r="D40" t="s">
        <v>40</v>
      </c>
      <c r="E40" t="s">
        <v>41</v>
      </c>
      <c r="F40" t="s">
        <v>94</v>
      </c>
      <c r="G40" t="s">
        <v>791</v>
      </c>
      <c r="H40">
        <v>0.5</v>
      </c>
      <c r="I40">
        <v>8</v>
      </c>
      <c r="J40" t="s">
        <v>1099</v>
      </c>
      <c r="K40" t="s">
        <v>1075</v>
      </c>
      <c r="L40" t="s">
        <v>86</v>
      </c>
      <c r="M40" t="s">
        <v>930</v>
      </c>
    </row>
    <row r="41" spans="1:13">
      <c r="A41" t="s">
        <v>938</v>
      </c>
      <c r="B41" t="s">
        <v>777</v>
      </c>
      <c r="C41" t="s">
        <v>779</v>
      </c>
      <c r="D41" t="s">
        <v>44</v>
      </c>
      <c r="E41" t="s">
        <v>19</v>
      </c>
      <c r="G41" t="s">
        <v>792</v>
      </c>
      <c r="H41">
        <v>0.5</v>
      </c>
      <c r="I41">
        <v>12</v>
      </c>
      <c r="J41" t="s">
        <v>1099</v>
      </c>
      <c r="K41" t="s">
        <v>1075</v>
      </c>
      <c r="L41" t="s">
        <v>86</v>
      </c>
      <c r="M41" t="s">
        <v>930</v>
      </c>
    </row>
    <row r="42" spans="1:13">
      <c r="A42" t="s">
        <v>938</v>
      </c>
      <c r="B42" t="s">
        <v>804</v>
      </c>
      <c r="C42" t="s">
        <v>806</v>
      </c>
      <c r="D42" t="s">
        <v>40</v>
      </c>
      <c r="E42" t="s">
        <v>96</v>
      </c>
      <c r="F42" t="s">
        <v>459</v>
      </c>
      <c r="G42" t="s">
        <v>814</v>
      </c>
      <c r="H42">
        <v>0.6</v>
      </c>
      <c r="I42">
        <v>12</v>
      </c>
      <c r="J42" t="s">
        <v>1100</v>
      </c>
      <c r="K42" t="s">
        <v>1075</v>
      </c>
      <c r="L42" t="s">
        <v>86</v>
      </c>
      <c r="M42" t="s">
        <v>930</v>
      </c>
    </row>
    <row r="43" spans="1:13">
      <c r="A43" t="s">
        <v>938</v>
      </c>
      <c r="B43" t="s">
        <v>804</v>
      </c>
      <c r="C43" t="s">
        <v>806</v>
      </c>
      <c r="D43" t="s">
        <v>44</v>
      </c>
      <c r="E43" t="s">
        <v>41</v>
      </c>
      <c r="F43" t="s">
        <v>42</v>
      </c>
      <c r="G43" t="s">
        <v>815</v>
      </c>
      <c r="H43">
        <v>0.4</v>
      </c>
      <c r="I43" t="s">
        <v>816</v>
      </c>
      <c r="J43" t="s">
        <v>1100</v>
      </c>
      <c r="K43" t="s">
        <v>1075</v>
      </c>
      <c r="L43" t="s">
        <v>86</v>
      </c>
      <c r="M43" t="s">
        <v>930</v>
      </c>
    </row>
    <row r="44" spans="1:13">
      <c r="A44" t="s">
        <v>938</v>
      </c>
      <c r="B44" t="s">
        <v>917</v>
      </c>
      <c r="C44" t="s">
        <v>918</v>
      </c>
      <c r="D44" t="s">
        <v>40</v>
      </c>
      <c r="E44" t="s">
        <v>290</v>
      </c>
      <c r="F44" t="s">
        <v>846</v>
      </c>
      <c r="G44" t="s">
        <v>1013</v>
      </c>
      <c r="H44">
        <v>0.6</v>
      </c>
      <c r="I44">
        <v>28</v>
      </c>
      <c r="J44" t="s">
        <v>1101</v>
      </c>
      <c r="K44" t="s">
        <v>1075</v>
      </c>
      <c r="L44" t="s">
        <v>86</v>
      </c>
      <c r="M44" t="s">
        <v>930</v>
      </c>
    </row>
    <row r="45" spans="1:13">
      <c r="A45" t="s">
        <v>938</v>
      </c>
      <c r="B45" t="s">
        <v>917</v>
      </c>
      <c r="C45" t="s">
        <v>918</v>
      </c>
      <c r="D45" t="s">
        <v>44</v>
      </c>
      <c r="E45" t="s">
        <v>41</v>
      </c>
      <c r="F45" t="s">
        <v>94</v>
      </c>
      <c r="G45" t="s">
        <v>1014</v>
      </c>
      <c r="H45">
        <v>0.4</v>
      </c>
      <c r="I45">
        <v>28</v>
      </c>
      <c r="J45" t="s">
        <v>1101</v>
      </c>
      <c r="K45" t="s">
        <v>1075</v>
      </c>
      <c r="L45" t="s">
        <v>86</v>
      </c>
      <c r="M45" t="s">
        <v>930</v>
      </c>
    </row>
    <row r="46" spans="1:13">
      <c r="A46" t="s">
        <v>931</v>
      </c>
      <c r="B46" t="s">
        <v>919</v>
      </c>
      <c r="C46" t="s">
        <v>921</v>
      </c>
      <c r="D46" t="s">
        <v>40</v>
      </c>
      <c r="E46" t="s">
        <v>41</v>
      </c>
      <c r="F46" t="s">
        <v>42</v>
      </c>
      <c r="G46" t="s">
        <v>1102</v>
      </c>
      <c r="H46">
        <v>0.3</v>
      </c>
      <c r="I46">
        <v>12</v>
      </c>
      <c r="J46" t="s">
        <v>1103</v>
      </c>
      <c r="K46" t="s">
        <v>1075</v>
      </c>
      <c r="L46" t="s">
        <v>86</v>
      </c>
      <c r="M46" t="s">
        <v>930</v>
      </c>
    </row>
    <row r="47" spans="1:13">
      <c r="A47" t="s">
        <v>931</v>
      </c>
      <c r="B47" t="s">
        <v>919</v>
      </c>
      <c r="C47" t="s">
        <v>921</v>
      </c>
      <c r="D47" t="s">
        <v>44</v>
      </c>
      <c r="E47" t="s">
        <v>290</v>
      </c>
      <c r="G47" t="s">
        <v>1104</v>
      </c>
      <c r="H47">
        <v>0.7</v>
      </c>
      <c r="I47">
        <v>17</v>
      </c>
      <c r="J47" t="s">
        <v>1103</v>
      </c>
      <c r="K47" t="s">
        <v>1075</v>
      </c>
      <c r="L47" t="s">
        <v>86</v>
      </c>
      <c r="M47" t="s">
        <v>930</v>
      </c>
    </row>
    <row r="48" spans="1:13">
      <c r="A48" t="s">
        <v>933</v>
      </c>
      <c r="B48" t="s">
        <v>899</v>
      </c>
      <c r="C48" t="s">
        <v>900</v>
      </c>
      <c r="D48" t="s">
        <v>40</v>
      </c>
      <c r="E48" t="s">
        <v>150</v>
      </c>
      <c r="F48" t="s">
        <v>151</v>
      </c>
      <c r="G48" t="s">
        <v>1105</v>
      </c>
      <c r="H48">
        <v>0.5</v>
      </c>
      <c r="I48" t="s">
        <v>1106</v>
      </c>
      <c r="J48" t="s">
        <v>1107</v>
      </c>
      <c r="K48" t="s">
        <v>1075</v>
      </c>
      <c r="L48" t="s">
        <v>86</v>
      </c>
      <c r="M48" t="s">
        <v>930</v>
      </c>
    </row>
    <row r="49" spans="1:13">
      <c r="A49" t="s">
        <v>933</v>
      </c>
      <c r="B49" t="s">
        <v>899</v>
      </c>
      <c r="C49" t="s">
        <v>900</v>
      </c>
      <c r="D49" t="s">
        <v>44</v>
      </c>
      <c r="E49" t="s">
        <v>150</v>
      </c>
      <c r="F49" t="s">
        <v>151</v>
      </c>
      <c r="G49" t="s">
        <v>1108</v>
      </c>
      <c r="H49">
        <v>0.5</v>
      </c>
      <c r="I49" t="s">
        <v>1109</v>
      </c>
      <c r="J49" t="s">
        <v>1107</v>
      </c>
      <c r="K49" t="s">
        <v>1075</v>
      </c>
      <c r="L49" t="s">
        <v>86</v>
      </c>
      <c r="M49" t="s">
        <v>930</v>
      </c>
    </row>
    <row r="50" spans="1:13">
      <c r="A50" t="s">
        <v>933</v>
      </c>
      <c r="B50" t="s">
        <v>907</v>
      </c>
      <c r="C50" t="s">
        <v>935</v>
      </c>
      <c r="D50" t="s">
        <v>40</v>
      </c>
      <c r="E50" t="s">
        <v>150</v>
      </c>
      <c r="F50" t="s">
        <v>151</v>
      </c>
      <c r="G50" t="s">
        <v>1110</v>
      </c>
      <c r="H50">
        <v>0.5</v>
      </c>
      <c r="I50">
        <v>8</v>
      </c>
      <c r="J50" t="s">
        <v>1111</v>
      </c>
      <c r="K50" t="s">
        <v>1075</v>
      </c>
      <c r="L50" t="s">
        <v>86</v>
      </c>
      <c r="M50" t="s">
        <v>930</v>
      </c>
    </row>
    <row r="51" spans="1:13">
      <c r="A51" t="s">
        <v>933</v>
      </c>
      <c r="B51" t="s">
        <v>907</v>
      </c>
      <c r="C51" t="s">
        <v>935</v>
      </c>
      <c r="D51" t="s">
        <v>44</v>
      </c>
      <c r="E51" t="s">
        <v>150</v>
      </c>
      <c r="F51" t="s">
        <v>151</v>
      </c>
      <c r="G51" t="s">
        <v>1112</v>
      </c>
      <c r="H51">
        <v>0.5</v>
      </c>
      <c r="I51" t="s">
        <v>1113</v>
      </c>
      <c r="J51" t="s">
        <v>1111</v>
      </c>
      <c r="K51" t="s">
        <v>1075</v>
      </c>
      <c r="L51" t="s">
        <v>86</v>
      </c>
      <c r="M51" t="s">
        <v>930</v>
      </c>
    </row>
    <row r="52" spans="1:13">
      <c r="A52" t="s">
        <v>933</v>
      </c>
      <c r="B52" t="s">
        <v>914</v>
      </c>
      <c r="C52" t="s">
        <v>915</v>
      </c>
      <c r="D52" t="s">
        <v>40</v>
      </c>
      <c r="E52" t="s">
        <v>41</v>
      </c>
      <c r="F52" t="s">
        <v>42</v>
      </c>
      <c r="G52" t="s">
        <v>1114</v>
      </c>
      <c r="H52">
        <v>0.5</v>
      </c>
      <c r="I52">
        <v>8</v>
      </c>
      <c r="J52" t="s">
        <v>1115</v>
      </c>
      <c r="K52" t="s">
        <v>1075</v>
      </c>
      <c r="L52" t="s">
        <v>86</v>
      </c>
      <c r="M52" t="s">
        <v>930</v>
      </c>
    </row>
    <row r="53" spans="1:13">
      <c r="A53" t="s">
        <v>933</v>
      </c>
      <c r="B53" t="s">
        <v>914</v>
      </c>
      <c r="C53" t="s">
        <v>915</v>
      </c>
      <c r="D53" t="s">
        <v>44</v>
      </c>
      <c r="E53" t="s">
        <v>150</v>
      </c>
      <c r="F53" t="s">
        <v>291</v>
      </c>
      <c r="G53" t="s">
        <v>1116</v>
      </c>
      <c r="H53">
        <v>0.5</v>
      </c>
      <c r="I53">
        <v>17</v>
      </c>
      <c r="J53" t="s">
        <v>1115</v>
      </c>
      <c r="K53" t="s">
        <v>1075</v>
      </c>
      <c r="L53" t="s">
        <v>86</v>
      </c>
      <c r="M53" t="s">
        <v>930</v>
      </c>
    </row>
  </sheetData>
  <pageMargins left="0.7" right="0.7" top="0.75" bottom="0.75"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934D-3D95-403F-A8E4-DF26A5EDA21F}">
  <sheetPr codeName="Sheet36"/>
  <dimension ref="A1:I75"/>
  <sheetViews>
    <sheetView workbookViewId="0">
      <selection sqref="A1:I75"/>
    </sheetView>
  </sheetViews>
  <sheetFormatPr defaultColWidth="8.85546875" defaultRowHeight="15"/>
  <cols>
    <col min="1" max="1" width="49" bestFit="1" customWidth="1"/>
    <col min="2" max="2" width="24.5703125" bestFit="1" customWidth="1"/>
    <col min="3" max="3" width="14.85546875" bestFit="1" customWidth="1"/>
    <col min="4" max="4" width="65.5703125" bestFit="1" customWidth="1"/>
    <col min="5" max="5" width="13.42578125" bestFit="1" customWidth="1"/>
    <col min="6" max="6" width="81.140625" bestFit="1" customWidth="1"/>
    <col min="7" max="7" width="13.42578125" bestFit="1" customWidth="1"/>
    <col min="8" max="8" width="12.7109375" bestFit="1" customWidth="1"/>
    <col min="9" max="9" width="12.140625" bestFit="1" customWidth="1"/>
  </cols>
  <sheetData>
    <row r="1" spans="1:9">
      <c r="A1" t="s">
        <v>924</v>
      </c>
      <c r="B1" t="s">
        <v>925</v>
      </c>
      <c r="C1" t="s">
        <v>893</v>
      </c>
      <c r="D1" t="s">
        <v>894</v>
      </c>
      <c r="E1" t="s">
        <v>26</v>
      </c>
      <c r="F1" t="s">
        <v>27</v>
      </c>
      <c r="G1" t="s">
        <v>926</v>
      </c>
      <c r="H1" t="s">
        <v>1016</v>
      </c>
      <c r="I1" t="s">
        <v>927</v>
      </c>
    </row>
    <row r="2" spans="1:9">
      <c r="A2" t="s">
        <v>938</v>
      </c>
      <c r="B2" t="s">
        <v>86</v>
      </c>
      <c r="C2" t="s">
        <v>173</v>
      </c>
      <c r="D2" t="s">
        <v>904</v>
      </c>
      <c r="E2" t="s">
        <v>28</v>
      </c>
      <c r="F2" t="s">
        <v>183</v>
      </c>
      <c r="G2" t="s">
        <v>1117</v>
      </c>
      <c r="H2" t="s">
        <v>1118</v>
      </c>
      <c r="I2" t="s">
        <v>930</v>
      </c>
    </row>
    <row r="3" spans="1:9">
      <c r="A3" t="s">
        <v>938</v>
      </c>
      <c r="B3" t="s">
        <v>86</v>
      </c>
      <c r="C3" t="s">
        <v>173</v>
      </c>
      <c r="D3" t="s">
        <v>904</v>
      </c>
      <c r="E3" t="s">
        <v>29</v>
      </c>
      <c r="F3" t="s">
        <v>184</v>
      </c>
      <c r="G3" t="s">
        <v>1117</v>
      </c>
      <c r="H3" t="s">
        <v>1118</v>
      </c>
      <c r="I3" t="s">
        <v>930</v>
      </c>
    </row>
    <row r="4" spans="1:9">
      <c r="A4" t="s">
        <v>938</v>
      </c>
      <c r="B4" t="s">
        <v>86</v>
      </c>
      <c r="C4" t="s">
        <v>173</v>
      </c>
      <c r="D4" t="s">
        <v>904</v>
      </c>
      <c r="E4" t="s">
        <v>30</v>
      </c>
      <c r="F4" t="s">
        <v>185</v>
      </c>
      <c r="G4" t="s">
        <v>1117</v>
      </c>
      <c r="H4" t="s">
        <v>1118</v>
      </c>
      <c r="I4" t="s">
        <v>930</v>
      </c>
    </row>
    <row r="5" spans="1:9">
      <c r="A5" t="s">
        <v>933</v>
      </c>
      <c r="B5" t="s">
        <v>86</v>
      </c>
      <c r="C5" t="s">
        <v>899</v>
      </c>
      <c r="D5" t="s">
        <v>900</v>
      </c>
      <c r="E5" t="s">
        <v>28</v>
      </c>
      <c r="F5" t="s">
        <v>1119</v>
      </c>
      <c r="G5" t="s">
        <v>1120</v>
      </c>
      <c r="H5" t="s">
        <v>1118</v>
      </c>
      <c r="I5" t="s">
        <v>930</v>
      </c>
    </row>
    <row r="6" spans="1:9">
      <c r="A6" t="s">
        <v>933</v>
      </c>
      <c r="B6" t="s">
        <v>86</v>
      </c>
      <c r="C6" t="s">
        <v>899</v>
      </c>
      <c r="D6" t="s">
        <v>900</v>
      </c>
      <c r="E6" t="s">
        <v>29</v>
      </c>
      <c r="F6" t="s">
        <v>1121</v>
      </c>
      <c r="G6" t="s">
        <v>1120</v>
      </c>
      <c r="H6" t="s">
        <v>1118</v>
      </c>
      <c r="I6" t="s">
        <v>930</v>
      </c>
    </row>
    <row r="7" spans="1:9">
      <c r="A7" t="s">
        <v>933</v>
      </c>
      <c r="B7" t="s">
        <v>86</v>
      </c>
      <c r="C7" t="s">
        <v>899</v>
      </c>
      <c r="D7" t="s">
        <v>900</v>
      </c>
      <c r="E7" t="s">
        <v>30</v>
      </c>
      <c r="F7" t="s">
        <v>1122</v>
      </c>
      <c r="G7" t="s">
        <v>1120</v>
      </c>
      <c r="H7" t="s">
        <v>1118</v>
      </c>
      <c r="I7" t="s">
        <v>930</v>
      </c>
    </row>
    <row r="8" spans="1:9">
      <c r="A8" t="s">
        <v>938</v>
      </c>
      <c r="B8" t="s">
        <v>86</v>
      </c>
      <c r="C8" t="s">
        <v>229</v>
      </c>
      <c r="D8" t="s">
        <v>231</v>
      </c>
      <c r="E8" t="s">
        <v>28</v>
      </c>
      <c r="F8" t="s">
        <v>239</v>
      </c>
      <c r="G8" t="s">
        <v>1123</v>
      </c>
      <c r="H8" t="s">
        <v>1118</v>
      </c>
      <c r="I8" t="s">
        <v>930</v>
      </c>
    </row>
    <row r="9" spans="1:9">
      <c r="A9" t="s">
        <v>938</v>
      </c>
      <c r="B9" t="s">
        <v>86</v>
      </c>
      <c r="C9" t="s">
        <v>229</v>
      </c>
      <c r="D9" t="s">
        <v>231</v>
      </c>
      <c r="E9" t="s">
        <v>29</v>
      </c>
      <c r="F9" t="s">
        <v>240</v>
      </c>
      <c r="G9" t="s">
        <v>1123</v>
      </c>
      <c r="H9" t="s">
        <v>1118</v>
      </c>
      <c r="I9" t="s">
        <v>930</v>
      </c>
    </row>
    <row r="10" spans="1:9">
      <c r="A10" t="s">
        <v>938</v>
      </c>
      <c r="B10" t="s">
        <v>86</v>
      </c>
      <c r="C10" t="s">
        <v>229</v>
      </c>
      <c r="D10" t="s">
        <v>231</v>
      </c>
      <c r="E10" t="s">
        <v>30</v>
      </c>
      <c r="F10" t="s">
        <v>241</v>
      </c>
      <c r="G10" t="s">
        <v>1123</v>
      </c>
      <c r="H10" t="s">
        <v>1118</v>
      </c>
      <c r="I10" t="s">
        <v>930</v>
      </c>
    </row>
    <row r="11" spans="1:9">
      <c r="A11" t="s">
        <v>938</v>
      </c>
      <c r="B11" t="s">
        <v>86</v>
      </c>
      <c r="C11" t="s">
        <v>905</v>
      </c>
      <c r="D11" t="s">
        <v>906</v>
      </c>
      <c r="E11" t="s">
        <v>28</v>
      </c>
      <c r="F11" t="s">
        <v>91</v>
      </c>
      <c r="G11" t="s">
        <v>1124</v>
      </c>
      <c r="H11" t="s">
        <v>1118</v>
      </c>
      <c r="I11" t="s">
        <v>930</v>
      </c>
    </row>
    <row r="12" spans="1:9">
      <c r="A12" t="s">
        <v>938</v>
      </c>
      <c r="B12" t="s">
        <v>86</v>
      </c>
      <c r="C12" t="s">
        <v>905</v>
      </c>
      <c r="D12" t="s">
        <v>906</v>
      </c>
      <c r="E12" t="s">
        <v>29</v>
      </c>
      <c r="F12" t="s">
        <v>92</v>
      </c>
      <c r="G12" t="s">
        <v>1124</v>
      </c>
      <c r="H12" t="s">
        <v>1118</v>
      </c>
      <c r="I12" t="s">
        <v>930</v>
      </c>
    </row>
    <row r="13" spans="1:9">
      <c r="A13" t="s">
        <v>938</v>
      </c>
      <c r="B13" t="s">
        <v>86</v>
      </c>
      <c r="C13" t="s">
        <v>905</v>
      </c>
      <c r="D13" t="s">
        <v>906</v>
      </c>
      <c r="E13" t="s">
        <v>30</v>
      </c>
      <c r="F13" t="s">
        <v>93</v>
      </c>
      <c r="G13" t="s">
        <v>1124</v>
      </c>
      <c r="H13" t="s">
        <v>1118</v>
      </c>
      <c r="I13" t="s">
        <v>930</v>
      </c>
    </row>
    <row r="14" spans="1:9">
      <c r="A14" t="s">
        <v>938</v>
      </c>
      <c r="B14" t="s">
        <v>86</v>
      </c>
      <c r="C14" t="s">
        <v>140</v>
      </c>
      <c r="D14" t="s">
        <v>142</v>
      </c>
      <c r="E14" t="s">
        <v>28</v>
      </c>
      <c r="F14" t="s">
        <v>148</v>
      </c>
      <c r="G14" t="s">
        <v>1125</v>
      </c>
      <c r="H14" t="s">
        <v>1118</v>
      </c>
      <c r="I14" t="s">
        <v>930</v>
      </c>
    </row>
    <row r="15" spans="1:9">
      <c r="A15" t="s">
        <v>938</v>
      </c>
      <c r="B15" t="s">
        <v>86</v>
      </c>
      <c r="C15" t="s">
        <v>140</v>
      </c>
      <c r="D15" t="s">
        <v>142</v>
      </c>
      <c r="E15" t="s">
        <v>29</v>
      </c>
      <c r="F15" t="s">
        <v>149</v>
      </c>
      <c r="G15" t="s">
        <v>1125</v>
      </c>
      <c r="H15" t="s">
        <v>1118</v>
      </c>
      <c r="I15" t="s">
        <v>930</v>
      </c>
    </row>
    <row r="16" spans="1:9">
      <c r="A16" t="s">
        <v>938</v>
      </c>
      <c r="B16" t="s">
        <v>86</v>
      </c>
      <c r="C16" t="s">
        <v>278</v>
      </c>
      <c r="D16" t="s">
        <v>280</v>
      </c>
      <c r="E16" t="s">
        <v>28</v>
      </c>
      <c r="F16" t="s">
        <v>286</v>
      </c>
      <c r="G16" t="s">
        <v>1126</v>
      </c>
      <c r="H16" t="s">
        <v>1118</v>
      </c>
      <c r="I16" t="s">
        <v>930</v>
      </c>
    </row>
    <row r="17" spans="1:9">
      <c r="A17" t="s">
        <v>938</v>
      </c>
      <c r="B17" t="s">
        <v>86</v>
      </c>
      <c r="C17" t="s">
        <v>278</v>
      </c>
      <c r="D17" t="s">
        <v>280</v>
      </c>
      <c r="E17" t="s">
        <v>29</v>
      </c>
      <c r="F17" t="s">
        <v>287</v>
      </c>
      <c r="G17" t="s">
        <v>1126</v>
      </c>
      <c r="H17" t="s">
        <v>1118</v>
      </c>
      <c r="I17" t="s">
        <v>930</v>
      </c>
    </row>
    <row r="18" spans="1:9">
      <c r="A18" t="s">
        <v>938</v>
      </c>
      <c r="B18" t="s">
        <v>86</v>
      </c>
      <c r="C18" t="s">
        <v>278</v>
      </c>
      <c r="D18" t="s">
        <v>280</v>
      </c>
      <c r="E18" t="s">
        <v>30</v>
      </c>
      <c r="F18" t="s">
        <v>288</v>
      </c>
      <c r="G18" t="s">
        <v>1126</v>
      </c>
      <c r="H18" t="s">
        <v>1118</v>
      </c>
      <c r="I18" t="s">
        <v>930</v>
      </c>
    </row>
    <row r="19" spans="1:9">
      <c r="A19" t="s">
        <v>938</v>
      </c>
      <c r="B19" t="s">
        <v>86</v>
      </c>
      <c r="C19" t="s">
        <v>312</v>
      </c>
      <c r="D19" t="s">
        <v>313</v>
      </c>
      <c r="E19" t="s">
        <v>28</v>
      </c>
      <c r="F19" t="s">
        <v>320</v>
      </c>
      <c r="G19" t="s">
        <v>1127</v>
      </c>
      <c r="H19" t="s">
        <v>1118</v>
      </c>
      <c r="I19" t="s">
        <v>930</v>
      </c>
    </row>
    <row r="20" spans="1:9">
      <c r="A20" t="s">
        <v>938</v>
      </c>
      <c r="B20" t="s">
        <v>86</v>
      </c>
      <c r="C20" t="s">
        <v>312</v>
      </c>
      <c r="D20" t="s">
        <v>313</v>
      </c>
      <c r="E20" t="s">
        <v>29</v>
      </c>
      <c r="F20" t="s">
        <v>321</v>
      </c>
      <c r="G20" t="s">
        <v>1127</v>
      </c>
      <c r="H20" t="s">
        <v>1118</v>
      </c>
      <c r="I20" t="s">
        <v>930</v>
      </c>
    </row>
    <row r="21" spans="1:9">
      <c r="A21" t="s">
        <v>933</v>
      </c>
      <c r="B21" t="s">
        <v>86</v>
      </c>
      <c r="C21" t="s">
        <v>907</v>
      </c>
      <c r="D21" t="s">
        <v>935</v>
      </c>
      <c r="E21" t="s">
        <v>28</v>
      </c>
      <c r="F21" t="s">
        <v>1128</v>
      </c>
      <c r="G21" t="s">
        <v>1129</v>
      </c>
      <c r="H21" t="s">
        <v>1118</v>
      </c>
      <c r="I21" t="s">
        <v>930</v>
      </c>
    </row>
    <row r="22" spans="1:9">
      <c r="A22" t="s">
        <v>933</v>
      </c>
      <c r="B22" t="s">
        <v>86</v>
      </c>
      <c r="C22" t="s">
        <v>907</v>
      </c>
      <c r="D22" t="s">
        <v>935</v>
      </c>
      <c r="E22" t="s">
        <v>29</v>
      </c>
      <c r="F22" t="s">
        <v>1130</v>
      </c>
      <c r="G22" t="s">
        <v>1129</v>
      </c>
      <c r="H22" t="s">
        <v>1118</v>
      </c>
      <c r="I22" t="s">
        <v>930</v>
      </c>
    </row>
    <row r="23" spans="1:9">
      <c r="A23" t="s">
        <v>938</v>
      </c>
      <c r="B23" t="s">
        <v>86</v>
      </c>
      <c r="C23" t="s">
        <v>386</v>
      </c>
      <c r="D23" t="s">
        <v>388</v>
      </c>
      <c r="E23" t="s">
        <v>28</v>
      </c>
      <c r="F23" t="s">
        <v>393</v>
      </c>
      <c r="G23" t="s">
        <v>1131</v>
      </c>
      <c r="H23" t="s">
        <v>1118</v>
      </c>
      <c r="I23" t="s">
        <v>930</v>
      </c>
    </row>
    <row r="24" spans="1:9">
      <c r="A24" t="s">
        <v>938</v>
      </c>
      <c r="B24" t="s">
        <v>86</v>
      </c>
      <c r="C24" t="s">
        <v>386</v>
      </c>
      <c r="D24" t="s">
        <v>388</v>
      </c>
      <c r="E24" t="s">
        <v>29</v>
      </c>
      <c r="F24" t="s">
        <v>394</v>
      </c>
      <c r="G24" t="s">
        <v>1131</v>
      </c>
      <c r="H24" t="s">
        <v>1118</v>
      </c>
      <c r="I24" t="s">
        <v>930</v>
      </c>
    </row>
    <row r="25" spans="1:9">
      <c r="A25" t="s">
        <v>938</v>
      </c>
      <c r="B25" t="s">
        <v>86</v>
      </c>
      <c r="C25" t="s">
        <v>386</v>
      </c>
      <c r="D25" t="s">
        <v>388</v>
      </c>
      <c r="E25" t="s">
        <v>30</v>
      </c>
      <c r="F25" t="s">
        <v>395</v>
      </c>
      <c r="G25" t="s">
        <v>1131</v>
      </c>
      <c r="H25" t="s">
        <v>1118</v>
      </c>
      <c r="I25" t="s">
        <v>930</v>
      </c>
    </row>
    <row r="26" spans="1:9">
      <c r="A26" t="s">
        <v>938</v>
      </c>
      <c r="B26" t="s">
        <v>86</v>
      </c>
      <c r="C26" t="s">
        <v>417</v>
      </c>
      <c r="D26" t="s">
        <v>910</v>
      </c>
      <c r="E26" t="s">
        <v>28</v>
      </c>
      <c r="F26" t="s">
        <v>421</v>
      </c>
      <c r="G26" t="s">
        <v>1132</v>
      </c>
      <c r="H26" t="s">
        <v>1118</v>
      </c>
      <c r="I26" t="s">
        <v>930</v>
      </c>
    </row>
    <row r="27" spans="1:9">
      <c r="A27" t="s">
        <v>938</v>
      </c>
      <c r="B27" t="s">
        <v>86</v>
      </c>
      <c r="C27" t="s">
        <v>417</v>
      </c>
      <c r="D27" t="s">
        <v>910</v>
      </c>
      <c r="E27" t="s">
        <v>29</v>
      </c>
      <c r="F27" t="s">
        <v>422</v>
      </c>
      <c r="G27" t="s">
        <v>1132</v>
      </c>
      <c r="H27" t="s">
        <v>1118</v>
      </c>
      <c r="I27" t="s">
        <v>930</v>
      </c>
    </row>
    <row r="28" spans="1:9">
      <c r="A28" t="s">
        <v>933</v>
      </c>
      <c r="B28" t="s">
        <v>86</v>
      </c>
      <c r="C28" t="s">
        <v>914</v>
      </c>
      <c r="D28" t="s">
        <v>915</v>
      </c>
      <c r="E28" t="s">
        <v>28</v>
      </c>
      <c r="F28" t="s">
        <v>1133</v>
      </c>
      <c r="G28" t="s">
        <v>1134</v>
      </c>
      <c r="H28" t="s">
        <v>1118</v>
      </c>
      <c r="I28" t="s">
        <v>930</v>
      </c>
    </row>
    <row r="29" spans="1:9">
      <c r="A29" t="s">
        <v>933</v>
      </c>
      <c r="B29" t="s">
        <v>86</v>
      </c>
      <c r="C29" t="s">
        <v>914</v>
      </c>
      <c r="D29" t="s">
        <v>915</v>
      </c>
      <c r="E29" t="s">
        <v>29</v>
      </c>
      <c r="F29" t="s">
        <v>1135</v>
      </c>
      <c r="G29" t="s">
        <v>1134</v>
      </c>
      <c r="H29" t="s">
        <v>1118</v>
      </c>
      <c r="I29" t="s">
        <v>930</v>
      </c>
    </row>
    <row r="30" spans="1:9">
      <c r="A30" t="s">
        <v>933</v>
      </c>
      <c r="B30" t="s">
        <v>86</v>
      </c>
      <c r="C30" t="s">
        <v>914</v>
      </c>
      <c r="D30" t="s">
        <v>915</v>
      </c>
      <c r="E30" t="s">
        <v>30</v>
      </c>
      <c r="F30" t="s">
        <v>1136</v>
      </c>
      <c r="G30" t="s">
        <v>1134</v>
      </c>
      <c r="H30" t="s">
        <v>1118</v>
      </c>
      <c r="I30" t="s">
        <v>930</v>
      </c>
    </row>
    <row r="31" spans="1:9">
      <c r="A31" t="s">
        <v>938</v>
      </c>
      <c r="B31" t="s">
        <v>86</v>
      </c>
      <c r="C31" t="s">
        <v>917</v>
      </c>
      <c r="D31" t="s">
        <v>918</v>
      </c>
      <c r="E31" t="s">
        <v>28</v>
      </c>
      <c r="F31" t="s">
        <v>1010</v>
      </c>
      <c r="G31" t="s">
        <v>1137</v>
      </c>
      <c r="H31" t="s">
        <v>1118</v>
      </c>
      <c r="I31" t="s">
        <v>930</v>
      </c>
    </row>
    <row r="32" spans="1:9">
      <c r="A32" t="s">
        <v>938</v>
      </c>
      <c r="B32" t="s">
        <v>86</v>
      </c>
      <c r="C32" t="s">
        <v>917</v>
      </c>
      <c r="D32" t="s">
        <v>918</v>
      </c>
      <c r="E32" t="s">
        <v>29</v>
      </c>
      <c r="F32" t="s">
        <v>1011</v>
      </c>
      <c r="G32" t="s">
        <v>1137</v>
      </c>
      <c r="H32" t="s">
        <v>1118</v>
      </c>
      <c r="I32" t="s">
        <v>930</v>
      </c>
    </row>
    <row r="33" spans="1:9">
      <c r="A33" t="s">
        <v>938</v>
      </c>
      <c r="B33" t="s">
        <v>86</v>
      </c>
      <c r="C33" t="s">
        <v>917</v>
      </c>
      <c r="D33" t="s">
        <v>918</v>
      </c>
      <c r="E33" t="s">
        <v>30</v>
      </c>
      <c r="F33" t="s">
        <v>1012</v>
      </c>
      <c r="G33" t="s">
        <v>1137</v>
      </c>
      <c r="H33" t="s">
        <v>1118</v>
      </c>
      <c r="I33" t="s">
        <v>930</v>
      </c>
    </row>
    <row r="34" spans="1:9">
      <c r="A34" t="s">
        <v>938</v>
      </c>
      <c r="B34" t="s">
        <v>86</v>
      </c>
      <c r="C34" t="s">
        <v>742</v>
      </c>
      <c r="D34" t="s">
        <v>744</v>
      </c>
      <c r="E34" t="s">
        <v>28</v>
      </c>
      <c r="F34" t="s">
        <v>749</v>
      </c>
      <c r="G34" t="s">
        <v>1138</v>
      </c>
      <c r="H34" t="s">
        <v>1118</v>
      </c>
      <c r="I34" t="s">
        <v>930</v>
      </c>
    </row>
    <row r="35" spans="1:9">
      <c r="A35" t="s">
        <v>938</v>
      </c>
      <c r="B35" t="s">
        <v>86</v>
      </c>
      <c r="C35" t="s">
        <v>742</v>
      </c>
      <c r="D35" t="s">
        <v>744</v>
      </c>
      <c r="E35" t="s">
        <v>29</v>
      </c>
      <c r="F35" t="s">
        <v>750</v>
      </c>
      <c r="G35" t="s">
        <v>1138</v>
      </c>
      <c r="H35" t="s">
        <v>1118</v>
      </c>
      <c r="I35" t="s">
        <v>930</v>
      </c>
    </row>
    <row r="36" spans="1:9">
      <c r="A36" t="s">
        <v>938</v>
      </c>
      <c r="B36" t="s">
        <v>86</v>
      </c>
      <c r="C36" t="s">
        <v>742</v>
      </c>
      <c r="D36" t="s">
        <v>744</v>
      </c>
      <c r="E36" t="s">
        <v>30</v>
      </c>
      <c r="F36" t="s">
        <v>751</v>
      </c>
      <c r="G36" t="s">
        <v>1138</v>
      </c>
      <c r="H36" t="s">
        <v>1118</v>
      </c>
      <c r="I36" t="s">
        <v>930</v>
      </c>
    </row>
    <row r="37" spans="1:9">
      <c r="A37" t="s">
        <v>938</v>
      </c>
      <c r="B37" t="s">
        <v>86</v>
      </c>
      <c r="C37" t="s">
        <v>777</v>
      </c>
      <c r="D37" t="s">
        <v>779</v>
      </c>
      <c r="E37" t="s">
        <v>28</v>
      </c>
      <c r="F37" t="s">
        <v>788</v>
      </c>
      <c r="G37" t="s">
        <v>1139</v>
      </c>
      <c r="H37" t="s">
        <v>1118</v>
      </c>
      <c r="I37" t="s">
        <v>930</v>
      </c>
    </row>
    <row r="38" spans="1:9">
      <c r="A38" t="s">
        <v>938</v>
      </c>
      <c r="B38" t="s">
        <v>86</v>
      </c>
      <c r="C38" t="s">
        <v>777</v>
      </c>
      <c r="D38" t="s">
        <v>779</v>
      </c>
      <c r="E38" t="s">
        <v>29</v>
      </c>
      <c r="F38" t="s">
        <v>789</v>
      </c>
      <c r="G38" t="s">
        <v>1139</v>
      </c>
      <c r="H38" t="s">
        <v>1118</v>
      </c>
      <c r="I38" t="s">
        <v>930</v>
      </c>
    </row>
    <row r="39" spans="1:9">
      <c r="A39" t="s">
        <v>938</v>
      </c>
      <c r="B39" t="s">
        <v>86</v>
      </c>
      <c r="C39" t="s">
        <v>777</v>
      </c>
      <c r="D39" t="s">
        <v>779</v>
      </c>
      <c r="E39" t="s">
        <v>30</v>
      </c>
      <c r="F39" t="s">
        <v>790</v>
      </c>
      <c r="G39" t="s">
        <v>1139</v>
      </c>
      <c r="H39" t="s">
        <v>1118</v>
      </c>
      <c r="I39" t="s">
        <v>930</v>
      </c>
    </row>
    <row r="40" spans="1:9">
      <c r="A40" t="s">
        <v>938</v>
      </c>
      <c r="B40" t="s">
        <v>86</v>
      </c>
      <c r="C40" t="s">
        <v>804</v>
      </c>
      <c r="D40" t="s">
        <v>806</v>
      </c>
      <c r="E40" t="s">
        <v>28</v>
      </c>
      <c r="F40" t="s">
        <v>812</v>
      </c>
      <c r="G40" t="s">
        <v>1140</v>
      </c>
      <c r="H40" t="s">
        <v>1118</v>
      </c>
      <c r="I40" t="s">
        <v>930</v>
      </c>
    </row>
    <row r="41" spans="1:9">
      <c r="A41" t="s">
        <v>938</v>
      </c>
      <c r="B41" t="s">
        <v>86</v>
      </c>
      <c r="C41" t="s">
        <v>804</v>
      </c>
      <c r="D41" t="s">
        <v>806</v>
      </c>
      <c r="E41" t="s">
        <v>29</v>
      </c>
      <c r="F41" t="s">
        <v>813</v>
      </c>
      <c r="G41" t="s">
        <v>1140</v>
      </c>
      <c r="H41" t="s">
        <v>1118</v>
      </c>
      <c r="I41" t="s">
        <v>930</v>
      </c>
    </row>
    <row r="42" spans="1:9">
      <c r="A42" t="s">
        <v>928</v>
      </c>
      <c r="B42" t="s">
        <v>86</v>
      </c>
      <c r="C42" t="s">
        <v>911</v>
      </c>
      <c r="D42" t="s">
        <v>912</v>
      </c>
      <c r="E42" t="s">
        <v>28</v>
      </c>
      <c r="F42" t="s">
        <v>1141</v>
      </c>
      <c r="G42" t="s">
        <v>1142</v>
      </c>
      <c r="H42" t="s">
        <v>1118</v>
      </c>
      <c r="I42" t="s">
        <v>930</v>
      </c>
    </row>
    <row r="43" spans="1:9">
      <c r="A43" t="s">
        <v>928</v>
      </c>
      <c r="B43" t="s">
        <v>86</v>
      </c>
      <c r="C43" t="s">
        <v>911</v>
      </c>
      <c r="D43" t="s">
        <v>912</v>
      </c>
      <c r="E43" t="s">
        <v>29</v>
      </c>
      <c r="F43" t="s">
        <v>1143</v>
      </c>
      <c r="G43" t="s">
        <v>1142</v>
      </c>
      <c r="H43" t="s">
        <v>1118</v>
      </c>
      <c r="I43" t="s">
        <v>930</v>
      </c>
    </row>
    <row r="44" spans="1:9">
      <c r="A44" t="s">
        <v>928</v>
      </c>
      <c r="B44" t="s">
        <v>86</v>
      </c>
      <c r="C44" t="s">
        <v>911</v>
      </c>
      <c r="D44" t="s">
        <v>912</v>
      </c>
      <c r="E44" t="s">
        <v>30</v>
      </c>
      <c r="F44" t="s">
        <v>1144</v>
      </c>
      <c r="G44" t="s">
        <v>1142</v>
      </c>
      <c r="H44" t="s">
        <v>1118</v>
      </c>
      <c r="I44" t="s">
        <v>930</v>
      </c>
    </row>
    <row r="45" spans="1:9">
      <c r="A45" t="s">
        <v>931</v>
      </c>
      <c r="B45" t="s">
        <v>86</v>
      </c>
      <c r="C45" t="s">
        <v>919</v>
      </c>
      <c r="D45" t="s">
        <v>921</v>
      </c>
      <c r="E45" t="s">
        <v>28</v>
      </c>
      <c r="F45" t="s">
        <v>1145</v>
      </c>
      <c r="G45" t="s">
        <v>1146</v>
      </c>
      <c r="H45" t="s">
        <v>1118</v>
      </c>
      <c r="I45" t="s">
        <v>930</v>
      </c>
    </row>
    <row r="46" spans="1:9">
      <c r="A46" t="s">
        <v>931</v>
      </c>
      <c r="B46" t="s">
        <v>86</v>
      </c>
      <c r="C46" t="s">
        <v>919</v>
      </c>
      <c r="D46" t="s">
        <v>921</v>
      </c>
      <c r="E46" t="s">
        <v>29</v>
      </c>
      <c r="F46" t="s">
        <v>1147</v>
      </c>
      <c r="G46" t="s">
        <v>1146</v>
      </c>
      <c r="H46" t="s">
        <v>1118</v>
      </c>
      <c r="I46" t="s">
        <v>930</v>
      </c>
    </row>
    <row r="47" spans="1:9">
      <c r="A47" t="s">
        <v>931</v>
      </c>
      <c r="B47" t="s">
        <v>86</v>
      </c>
      <c r="C47" t="s">
        <v>919</v>
      </c>
      <c r="D47" t="s">
        <v>921</v>
      </c>
      <c r="E47" t="s">
        <v>30</v>
      </c>
      <c r="F47" t="s">
        <v>1148</v>
      </c>
      <c r="G47" t="s">
        <v>1146</v>
      </c>
      <c r="H47" t="s">
        <v>1118</v>
      </c>
      <c r="I47" t="s">
        <v>930</v>
      </c>
    </row>
    <row r="48" spans="1:9">
      <c r="A48" t="s">
        <v>938</v>
      </c>
      <c r="B48" t="s">
        <v>86</v>
      </c>
      <c r="C48" t="s">
        <v>448</v>
      </c>
      <c r="D48" t="s">
        <v>450</v>
      </c>
      <c r="E48" t="s">
        <v>28</v>
      </c>
      <c r="F48" t="s">
        <v>456</v>
      </c>
      <c r="G48" t="s">
        <v>1149</v>
      </c>
      <c r="H48" t="s">
        <v>1118</v>
      </c>
      <c r="I48" t="s">
        <v>930</v>
      </c>
    </row>
    <row r="49" spans="1:9">
      <c r="A49" t="s">
        <v>938</v>
      </c>
      <c r="B49" t="s">
        <v>86</v>
      </c>
      <c r="C49" t="s">
        <v>448</v>
      </c>
      <c r="D49" t="s">
        <v>450</v>
      </c>
      <c r="E49" t="s">
        <v>29</v>
      </c>
      <c r="F49" t="s">
        <v>457</v>
      </c>
      <c r="G49" t="s">
        <v>1149</v>
      </c>
      <c r="H49" t="s">
        <v>1118</v>
      </c>
      <c r="I49" t="s">
        <v>930</v>
      </c>
    </row>
    <row r="50" spans="1:9">
      <c r="A50" t="s">
        <v>938</v>
      </c>
      <c r="B50" t="s">
        <v>86</v>
      </c>
      <c r="C50" t="s">
        <v>448</v>
      </c>
      <c r="D50" t="s">
        <v>450</v>
      </c>
      <c r="E50" t="s">
        <v>30</v>
      </c>
      <c r="F50" t="s">
        <v>458</v>
      </c>
      <c r="G50" t="s">
        <v>1149</v>
      </c>
      <c r="H50" t="s">
        <v>1118</v>
      </c>
      <c r="I50" t="s">
        <v>930</v>
      </c>
    </row>
    <row r="51" spans="1:9">
      <c r="A51" t="s">
        <v>938</v>
      </c>
      <c r="B51" t="s">
        <v>86</v>
      </c>
      <c r="C51" t="s">
        <v>463</v>
      </c>
      <c r="D51" t="s">
        <v>464</v>
      </c>
      <c r="E51" t="s">
        <v>28</v>
      </c>
      <c r="F51" t="s">
        <v>470</v>
      </c>
      <c r="G51" t="s">
        <v>1150</v>
      </c>
      <c r="H51" t="s">
        <v>1118</v>
      </c>
      <c r="I51" t="s">
        <v>930</v>
      </c>
    </row>
    <row r="52" spans="1:9">
      <c r="A52" t="s">
        <v>938</v>
      </c>
      <c r="B52" t="s">
        <v>86</v>
      </c>
      <c r="C52" t="s">
        <v>463</v>
      </c>
      <c r="D52" t="s">
        <v>464</v>
      </c>
      <c r="E52" t="s">
        <v>29</v>
      </c>
      <c r="F52" t="s">
        <v>470</v>
      </c>
      <c r="G52" t="s">
        <v>1150</v>
      </c>
      <c r="H52" t="s">
        <v>1118</v>
      </c>
      <c r="I52" t="s">
        <v>930</v>
      </c>
    </row>
    <row r="53" spans="1:9">
      <c r="A53" t="s">
        <v>938</v>
      </c>
      <c r="B53" t="s">
        <v>86</v>
      </c>
      <c r="C53" t="s">
        <v>463</v>
      </c>
      <c r="D53" t="s">
        <v>464</v>
      </c>
      <c r="E53" t="s">
        <v>30</v>
      </c>
      <c r="F53" t="s">
        <v>471</v>
      </c>
      <c r="G53" t="s">
        <v>1150</v>
      </c>
      <c r="H53" t="s">
        <v>1118</v>
      </c>
      <c r="I53" t="s">
        <v>930</v>
      </c>
    </row>
    <row r="54" spans="1:9">
      <c r="A54" t="s">
        <v>938</v>
      </c>
      <c r="B54" t="s">
        <v>86</v>
      </c>
      <c r="C54" t="s">
        <v>463</v>
      </c>
      <c r="D54" t="s">
        <v>464</v>
      </c>
      <c r="E54" t="s">
        <v>31</v>
      </c>
      <c r="F54" t="s">
        <v>472</v>
      </c>
      <c r="G54" t="s">
        <v>1150</v>
      </c>
      <c r="H54" t="s">
        <v>1118</v>
      </c>
      <c r="I54" t="s">
        <v>930</v>
      </c>
    </row>
    <row r="55" spans="1:9">
      <c r="A55" t="s">
        <v>938</v>
      </c>
      <c r="B55" t="s">
        <v>86</v>
      </c>
      <c r="C55" t="s">
        <v>508</v>
      </c>
      <c r="D55" t="s">
        <v>510</v>
      </c>
      <c r="E55" t="s">
        <v>28</v>
      </c>
      <c r="F55" t="s">
        <v>516</v>
      </c>
      <c r="G55" t="s">
        <v>1151</v>
      </c>
      <c r="H55" t="s">
        <v>1118</v>
      </c>
      <c r="I55" t="s">
        <v>930</v>
      </c>
    </row>
    <row r="56" spans="1:9">
      <c r="A56" t="s">
        <v>938</v>
      </c>
      <c r="B56" t="s">
        <v>86</v>
      </c>
      <c r="C56" t="s">
        <v>508</v>
      </c>
      <c r="D56" t="s">
        <v>510</v>
      </c>
      <c r="E56" t="s">
        <v>29</v>
      </c>
      <c r="F56" t="s">
        <v>517</v>
      </c>
      <c r="G56" t="s">
        <v>1151</v>
      </c>
      <c r="H56" t="s">
        <v>1118</v>
      </c>
      <c r="I56" t="s">
        <v>930</v>
      </c>
    </row>
    <row r="57" spans="1:9">
      <c r="A57" t="s">
        <v>938</v>
      </c>
      <c r="B57" t="s">
        <v>86</v>
      </c>
      <c r="C57" t="s">
        <v>508</v>
      </c>
      <c r="D57" t="s">
        <v>510</v>
      </c>
      <c r="E57" t="s">
        <v>30</v>
      </c>
      <c r="F57" t="s">
        <v>518</v>
      </c>
      <c r="G57" t="s">
        <v>1151</v>
      </c>
      <c r="H57" t="s">
        <v>1118</v>
      </c>
      <c r="I57" t="s">
        <v>930</v>
      </c>
    </row>
    <row r="58" spans="1:9">
      <c r="A58" t="s">
        <v>938</v>
      </c>
      <c r="B58" t="s">
        <v>86</v>
      </c>
      <c r="C58" t="s">
        <v>548</v>
      </c>
      <c r="D58" t="s">
        <v>549</v>
      </c>
      <c r="E58" t="s">
        <v>28</v>
      </c>
      <c r="F58" t="s">
        <v>551</v>
      </c>
      <c r="G58" t="s">
        <v>1152</v>
      </c>
      <c r="H58" t="s">
        <v>1118</v>
      </c>
      <c r="I58" t="s">
        <v>930</v>
      </c>
    </row>
    <row r="59" spans="1:9">
      <c r="A59" t="s">
        <v>938</v>
      </c>
      <c r="B59" t="s">
        <v>86</v>
      </c>
      <c r="C59" t="s">
        <v>548</v>
      </c>
      <c r="D59" t="s">
        <v>549</v>
      </c>
      <c r="E59" t="s">
        <v>29</v>
      </c>
      <c r="F59" t="s">
        <v>552</v>
      </c>
      <c r="G59" t="s">
        <v>1152</v>
      </c>
      <c r="H59" t="s">
        <v>1118</v>
      </c>
      <c r="I59" t="s">
        <v>930</v>
      </c>
    </row>
    <row r="60" spans="1:9">
      <c r="A60" t="s">
        <v>938</v>
      </c>
      <c r="B60" t="s">
        <v>86</v>
      </c>
      <c r="C60" t="s">
        <v>548</v>
      </c>
      <c r="D60" t="s">
        <v>549</v>
      </c>
      <c r="E60" t="s">
        <v>30</v>
      </c>
      <c r="F60" t="s">
        <v>553</v>
      </c>
      <c r="G60" t="s">
        <v>1152</v>
      </c>
      <c r="H60" t="s">
        <v>1118</v>
      </c>
      <c r="I60" t="s">
        <v>930</v>
      </c>
    </row>
    <row r="61" spans="1:9">
      <c r="A61" t="s">
        <v>938</v>
      </c>
      <c r="B61" t="s">
        <v>86</v>
      </c>
      <c r="C61" t="s">
        <v>579</v>
      </c>
      <c r="D61" t="s">
        <v>581</v>
      </c>
      <c r="E61" t="s">
        <v>28</v>
      </c>
      <c r="F61" t="s">
        <v>587</v>
      </c>
      <c r="G61" t="s">
        <v>1153</v>
      </c>
      <c r="H61" t="s">
        <v>1118</v>
      </c>
      <c r="I61" t="s">
        <v>930</v>
      </c>
    </row>
    <row r="62" spans="1:9">
      <c r="A62" t="s">
        <v>938</v>
      </c>
      <c r="B62" t="s">
        <v>86</v>
      </c>
      <c r="C62" t="s">
        <v>579</v>
      </c>
      <c r="D62" t="s">
        <v>581</v>
      </c>
      <c r="E62" t="s">
        <v>29</v>
      </c>
      <c r="F62" t="s">
        <v>588</v>
      </c>
      <c r="G62" t="s">
        <v>1153</v>
      </c>
      <c r="H62" t="s">
        <v>1118</v>
      </c>
      <c r="I62" t="s">
        <v>930</v>
      </c>
    </row>
    <row r="63" spans="1:9">
      <c r="A63" t="s">
        <v>938</v>
      </c>
      <c r="B63" t="s">
        <v>86</v>
      </c>
      <c r="C63" t="s">
        <v>619</v>
      </c>
      <c r="D63" t="s">
        <v>6</v>
      </c>
      <c r="E63" t="s">
        <v>28</v>
      </c>
      <c r="F63" t="s">
        <v>628</v>
      </c>
      <c r="G63" t="s">
        <v>1154</v>
      </c>
      <c r="H63" t="s">
        <v>1118</v>
      </c>
      <c r="I63" t="s">
        <v>930</v>
      </c>
    </row>
    <row r="64" spans="1:9">
      <c r="A64" t="s">
        <v>938</v>
      </c>
      <c r="B64" t="s">
        <v>86</v>
      </c>
      <c r="C64" t="s">
        <v>619</v>
      </c>
      <c r="D64" t="s">
        <v>6</v>
      </c>
      <c r="E64" t="s">
        <v>29</v>
      </c>
      <c r="F64" t="s">
        <v>629</v>
      </c>
      <c r="G64" t="s">
        <v>1154</v>
      </c>
      <c r="H64" t="s">
        <v>1118</v>
      </c>
      <c r="I64" t="s">
        <v>930</v>
      </c>
    </row>
    <row r="65" spans="1:9">
      <c r="A65" t="s">
        <v>938</v>
      </c>
      <c r="B65" t="s">
        <v>86</v>
      </c>
      <c r="C65" t="s">
        <v>619</v>
      </c>
      <c r="D65" t="s">
        <v>6</v>
      </c>
      <c r="E65" t="s">
        <v>30</v>
      </c>
      <c r="F65" t="s">
        <v>630</v>
      </c>
      <c r="G65" t="s">
        <v>1154</v>
      </c>
      <c r="H65" t="s">
        <v>1118</v>
      </c>
      <c r="I65" t="s">
        <v>930</v>
      </c>
    </row>
    <row r="66" spans="1:9">
      <c r="A66" t="s">
        <v>938</v>
      </c>
      <c r="B66" t="s">
        <v>86</v>
      </c>
      <c r="C66" t="s">
        <v>619</v>
      </c>
      <c r="D66" t="s">
        <v>6</v>
      </c>
      <c r="E66" t="s">
        <v>31</v>
      </c>
      <c r="F66" t="s">
        <v>631</v>
      </c>
      <c r="G66" t="s">
        <v>1154</v>
      </c>
      <c r="H66" t="s">
        <v>1118</v>
      </c>
      <c r="I66" t="s">
        <v>930</v>
      </c>
    </row>
    <row r="67" spans="1:9">
      <c r="A67" t="s">
        <v>938</v>
      </c>
      <c r="B67" t="s">
        <v>86</v>
      </c>
      <c r="C67" t="s">
        <v>619</v>
      </c>
      <c r="D67" t="s">
        <v>6</v>
      </c>
      <c r="E67" t="s">
        <v>32</v>
      </c>
      <c r="F67" t="s">
        <v>632</v>
      </c>
      <c r="G67" t="s">
        <v>1154</v>
      </c>
      <c r="H67" t="s">
        <v>1118</v>
      </c>
      <c r="I67" t="s">
        <v>930</v>
      </c>
    </row>
    <row r="68" spans="1:9">
      <c r="A68" t="s">
        <v>938</v>
      </c>
      <c r="B68" t="s">
        <v>86</v>
      </c>
      <c r="C68" t="s">
        <v>649</v>
      </c>
      <c r="D68" t="s">
        <v>650</v>
      </c>
      <c r="E68" t="s">
        <v>28</v>
      </c>
      <c r="F68" t="s">
        <v>661</v>
      </c>
      <c r="G68" t="s">
        <v>1155</v>
      </c>
      <c r="H68" t="s">
        <v>1118</v>
      </c>
      <c r="I68" t="s">
        <v>930</v>
      </c>
    </row>
    <row r="69" spans="1:9">
      <c r="A69" t="s">
        <v>938</v>
      </c>
      <c r="B69" t="s">
        <v>86</v>
      </c>
      <c r="C69" t="s">
        <v>649</v>
      </c>
      <c r="D69" t="s">
        <v>650</v>
      </c>
      <c r="E69" t="s">
        <v>29</v>
      </c>
      <c r="F69" t="s">
        <v>663</v>
      </c>
      <c r="G69" t="s">
        <v>1155</v>
      </c>
      <c r="H69" t="s">
        <v>1118</v>
      </c>
      <c r="I69" t="s">
        <v>930</v>
      </c>
    </row>
    <row r="70" spans="1:9">
      <c r="A70" t="s">
        <v>938</v>
      </c>
      <c r="B70" t="s">
        <v>86</v>
      </c>
      <c r="C70" t="s">
        <v>686</v>
      </c>
      <c r="D70" t="s">
        <v>688</v>
      </c>
      <c r="E70" t="s">
        <v>28</v>
      </c>
      <c r="F70" t="s">
        <v>695</v>
      </c>
      <c r="G70" t="s">
        <v>1156</v>
      </c>
      <c r="H70" t="s">
        <v>1118</v>
      </c>
      <c r="I70" t="s">
        <v>930</v>
      </c>
    </row>
    <row r="71" spans="1:9">
      <c r="A71" t="s">
        <v>938</v>
      </c>
      <c r="B71" t="s">
        <v>86</v>
      </c>
      <c r="C71" t="s">
        <v>686</v>
      </c>
      <c r="D71" t="s">
        <v>688</v>
      </c>
      <c r="E71" t="s">
        <v>29</v>
      </c>
      <c r="F71" t="s">
        <v>696</v>
      </c>
      <c r="G71" t="s">
        <v>1156</v>
      </c>
      <c r="H71" t="s">
        <v>1118</v>
      </c>
      <c r="I71" t="s">
        <v>930</v>
      </c>
    </row>
    <row r="72" spans="1:9">
      <c r="A72" t="s">
        <v>938</v>
      </c>
      <c r="B72" t="s">
        <v>86</v>
      </c>
      <c r="C72" t="s">
        <v>686</v>
      </c>
      <c r="D72" t="s">
        <v>688</v>
      </c>
      <c r="E72" t="s">
        <v>30</v>
      </c>
      <c r="F72" t="s">
        <v>697</v>
      </c>
      <c r="G72" t="s">
        <v>1156</v>
      </c>
      <c r="H72" t="s">
        <v>1118</v>
      </c>
      <c r="I72" t="s">
        <v>930</v>
      </c>
    </row>
    <row r="73" spans="1:9">
      <c r="A73" t="s">
        <v>938</v>
      </c>
      <c r="B73" t="s">
        <v>86</v>
      </c>
      <c r="C73" t="s">
        <v>720</v>
      </c>
      <c r="D73" t="s">
        <v>920</v>
      </c>
      <c r="E73" t="s">
        <v>28</v>
      </c>
      <c r="F73" t="s">
        <v>727</v>
      </c>
      <c r="G73" t="s">
        <v>1157</v>
      </c>
      <c r="H73" t="s">
        <v>1118</v>
      </c>
      <c r="I73" t="s">
        <v>930</v>
      </c>
    </row>
    <row r="74" spans="1:9">
      <c r="A74" t="s">
        <v>938</v>
      </c>
      <c r="B74" t="s">
        <v>86</v>
      </c>
      <c r="C74" t="s">
        <v>720</v>
      </c>
      <c r="D74" t="s">
        <v>920</v>
      </c>
      <c r="E74" t="s">
        <v>29</v>
      </c>
      <c r="F74" t="s">
        <v>728</v>
      </c>
      <c r="G74" t="s">
        <v>1157</v>
      </c>
      <c r="H74" t="s">
        <v>1118</v>
      </c>
      <c r="I74" t="s">
        <v>930</v>
      </c>
    </row>
    <row r="75" spans="1:9">
      <c r="A75" t="s">
        <v>938</v>
      </c>
      <c r="B75" t="s">
        <v>86</v>
      </c>
      <c r="C75" t="s">
        <v>720</v>
      </c>
      <c r="D75" t="s">
        <v>920</v>
      </c>
      <c r="E75" t="s">
        <v>30</v>
      </c>
      <c r="F75" t="s">
        <v>729</v>
      </c>
      <c r="G75" t="s">
        <v>1157</v>
      </c>
      <c r="H75" t="s">
        <v>1118</v>
      </c>
      <c r="I75" t="s">
        <v>930</v>
      </c>
    </row>
  </sheetData>
  <pageMargins left="0.7" right="0.7" top="0.75" bottom="0.75" header="0.3" footer="0.3"/>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B0003-E68F-4E76-8679-21E46B6A34F4}">
  <sheetPr codeName="Sheet37"/>
  <dimension ref="A1:I225"/>
  <sheetViews>
    <sheetView workbookViewId="0">
      <selection sqref="A1:I225"/>
    </sheetView>
  </sheetViews>
  <sheetFormatPr defaultColWidth="8.85546875" defaultRowHeight="15"/>
  <cols>
    <col min="1" max="1" width="49" bestFit="1" customWidth="1"/>
    <col min="2" max="2" width="13.42578125" bestFit="1" customWidth="1"/>
    <col min="3" max="3" width="14.5703125" bestFit="1" customWidth="1"/>
    <col min="4" max="4" width="65.5703125" bestFit="1" customWidth="1"/>
    <col min="5" max="5" width="14.85546875" bestFit="1" customWidth="1"/>
    <col min="6" max="6" width="12.7109375" bestFit="1" customWidth="1"/>
    <col min="7" max="7" width="24.5703125" bestFit="1" customWidth="1"/>
    <col min="8" max="8" width="12.140625" bestFit="1" customWidth="1"/>
    <col min="9" max="9" width="65.5703125" bestFit="1" customWidth="1"/>
  </cols>
  <sheetData>
    <row r="1" spans="1:9">
      <c r="A1" t="s">
        <v>924</v>
      </c>
      <c r="B1" t="s">
        <v>926</v>
      </c>
      <c r="C1" t="s">
        <v>1</v>
      </c>
      <c r="D1" t="s">
        <v>2</v>
      </c>
      <c r="E1" t="s">
        <v>893</v>
      </c>
      <c r="F1" t="s">
        <v>1016</v>
      </c>
      <c r="G1" t="s">
        <v>925</v>
      </c>
      <c r="H1" t="s">
        <v>927</v>
      </c>
      <c r="I1" t="s">
        <v>894</v>
      </c>
    </row>
    <row r="2" spans="1:9">
      <c r="A2" t="s">
        <v>938</v>
      </c>
      <c r="B2" t="s">
        <v>1026</v>
      </c>
      <c r="C2" t="s">
        <v>4</v>
      </c>
      <c r="D2" t="s">
        <v>80</v>
      </c>
      <c r="E2" t="s">
        <v>905</v>
      </c>
      <c r="F2" t="s">
        <v>1018</v>
      </c>
      <c r="G2" t="s">
        <v>86</v>
      </c>
      <c r="H2" t="s">
        <v>930</v>
      </c>
      <c r="I2" t="s">
        <v>906</v>
      </c>
    </row>
    <row r="3" spans="1:9">
      <c r="A3" t="s">
        <v>938</v>
      </c>
      <c r="B3" t="s">
        <v>1026</v>
      </c>
      <c r="C3" t="s">
        <v>6</v>
      </c>
      <c r="D3" t="s">
        <v>82</v>
      </c>
      <c r="E3" t="s">
        <v>905</v>
      </c>
      <c r="F3" t="s">
        <v>1018</v>
      </c>
      <c r="G3" t="s">
        <v>86</v>
      </c>
      <c r="H3" t="s">
        <v>930</v>
      </c>
      <c r="I3" t="s">
        <v>906</v>
      </c>
    </row>
    <row r="4" spans="1:9">
      <c r="A4" t="s">
        <v>938</v>
      </c>
      <c r="B4" t="s">
        <v>1026</v>
      </c>
      <c r="C4" t="s">
        <v>7</v>
      </c>
      <c r="D4">
        <v>20</v>
      </c>
      <c r="E4" t="s">
        <v>905</v>
      </c>
      <c r="F4" t="s">
        <v>1018</v>
      </c>
      <c r="G4" t="s">
        <v>86</v>
      </c>
      <c r="H4" t="s">
        <v>930</v>
      </c>
      <c r="I4" t="s">
        <v>906</v>
      </c>
    </row>
    <row r="5" spans="1:9">
      <c r="A5" t="s">
        <v>938</v>
      </c>
      <c r="B5" t="s">
        <v>1026</v>
      </c>
      <c r="C5" t="s">
        <v>8</v>
      </c>
      <c r="D5">
        <v>1</v>
      </c>
      <c r="E5" t="s">
        <v>905</v>
      </c>
      <c r="F5" t="s">
        <v>1018</v>
      </c>
      <c r="G5" t="s">
        <v>86</v>
      </c>
      <c r="H5" t="s">
        <v>930</v>
      </c>
      <c r="I5" t="s">
        <v>906</v>
      </c>
    </row>
    <row r="6" spans="1:9">
      <c r="A6" t="s">
        <v>938</v>
      </c>
      <c r="B6" t="s">
        <v>1026</v>
      </c>
      <c r="C6" t="s">
        <v>10</v>
      </c>
      <c r="D6">
        <v>4</v>
      </c>
      <c r="E6" t="s">
        <v>905</v>
      </c>
      <c r="F6" t="s">
        <v>1018</v>
      </c>
      <c r="G6" t="s">
        <v>86</v>
      </c>
      <c r="H6" t="s">
        <v>930</v>
      </c>
      <c r="I6" t="s">
        <v>906</v>
      </c>
    </row>
    <row r="7" spans="1:9">
      <c r="A7" t="s">
        <v>938</v>
      </c>
      <c r="B7" t="s">
        <v>1026</v>
      </c>
      <c r="C7" t="s">
        <v>11</v>
      </c>
      <c r="D7" t="s">
        <v>84</v>
      </c>
      <c r="E7" t="s">
        <v>905</v>
      </c>
      <c r="F7" t="s">
        <v>1018</v>
      </c>
      <c r="G7" t="s">
        <v>86</v>
      </c>
      <c r="H7" t="s">
        <v>930</v>
      </c>
      <c r="I7" t="s">
        <v>906</v>
      </c>
    </row>
    <row r="8" spans="1:9">
      <c r="A8" t="s">
        <v>938</v>
      </c>
      <c r="B8" t="s">
        <v>1026</v>
      </c>
      <c r="C8" t="s">
        <v>12</v>
      </c>
      <c r="D8" t="s">
        <v>85</v>
      </c>
      <c r="E8" t="s">
        <v>905</v>
      </c>
      <c r="F8" t="s">
        <v>1018</v>
      </c>
      <c r="G8" t="s">
        <v>86</v>
      </c>
      <c r="H8" t="s">
        <v>930</v>
      </c>
      <c r="I8" t="s">
        <v>906</v>
      </c>
    </row>
    <row r="9" spans="1:9">
      <c r="A9" t="s">
        <v>938</v>
      </c>
      <c r="B9" t="s">
        <v>1026</v>
      </c>
      <c r="C9" t="s">
        <v>13</v>
      </c>
      <c r="D9" t="s">
        <v>86</v>
      </c>
      <c r="E9" t="s">
        <v>905</v>
      </c>
      <c r="F9" t="s">
        <v>1018</v>
      </c>
      <c r="G9" t="s">
        <v>86</v>
      </c>
      <c r="H9" t="s">
        <v>930</v>
      </c>
      <c r="I9" t="s">
        <v>906</v>
      </c>
    </row>
    <row r="10" spans="1:9">
      <c r="A10" t="s">
        <v>938</v>
      </c>
      <c r="B10" t="s">
        <v>1027</v>
      </c>
      <c r="C10" t="s">
        <v>4</v>
      </c>
      <c r="D10" t="s">
        <v>140</v>
      </c>
      <c r="E10" t="s">
        <v>140</v>
      </c>
      <c r="F10" t="s">
        <v>1018</v>
      </c>
      <c r="G10" t="s">
        <v>86</v>
      </c>
      <c r="H10" t="s">
        <v>930</v>
      </c>
      <c r="I10" t="s">
        <v>142</v>
      </c>
    </row>
    <row r="11" spans="1:9">
      <c r="A11" t="s">
        <v>938</v>
      </c>
      <c r="B11" t="s">
        <v>1027</v>
      </c>
      <c r="C11" t="s">
        <v>6</v>
      </c>
      <c r="D11" t="s">
        <v>142</v>
      </c>
      <c r="E11" t="s">
        <v>140</v>
      </c>
      <c r="F11" t="s">
        <v>1018</v>
      </c>
      <c r="G11" t="s">
        <v>86</v>
      </c>
      <c r="H11" t="s">
        <v>930</v>
      </c>
      <c r="I11" t="s">
        <v>142</v>
      </c>
    </row>
    <row r="12" spans="1:9">
      <c r="A12" t="s">
        <v>938</v>
      </c>
      <c r="B12" t="s">
        <v>1027</v>
      </c>
      <c r="C12" t="s">
        <v>7</v>
      </c>
      <c r="D12">
        <v>20</v>
      </c>
      <c r="E12" t="s">
        <v>140</v>
      </c>
      <c r="F12" t="s">
        <v>1018</v>
      </c>
      <c r="G12" t="s">
        <v>86</v>
      </c>
      <c r="H12" t="s">
        <v>930</v>
      </c>
      <c r="I12" t="s">
        <v>142</v>
      </c>
    </row>
    <row r="13" spans="1:9">
      <c r="A13" t="s">
        <v>938</v>
      </c>
      <c r="B13" t="s">
        <v>1027</v>
      </c>
      <c r="C13" t="s">
        <v>8</v>
      </c>
      <c r="D13">
        <v>2</v>
      </c>
      <c r="E13" t="s">
        <v>140</v>
      </c>
      <c r="F13" t="s">
        <v>1018</v>
      </c>
      <c r="G13" t="s">
        <v>86</v>
      </c>
      <c r="H13" t="s">
        <v>930</v>
      </c>
      <c r="I13" t="s">
        <v>142</v>
      </c>
    </row>
    <row r="14" spans="1:9">
      <c r="A14" t="s">
        <v>938</v>
      </c>
      <c r="B14" t="s">
        <v>1027</v>
      </c>
      <c r="C14" t="s">
        <v>10</v>
      </c>
      <c r="D14">
        <v>4</v>
      </c>
      <c r="E14" t="s">
        <v>140</v>
      </c>
      <c r="F14" t="s">
        <v>1018</v>
      </c>
      <c r="G14" t="s">
        <v>86</v>
      </c>
      <c r="H14" t="s">
        <v>930</v>
      </c>
      <c r="I14" t="s">
        <v>142</v>
      </c>
    </row>
    <row r="15" spans="1:9">
      <c r="A15" t="s">
        <v>938</v>
      </c>
      <c r="B15" t="s">
        <v>1027</v>
      </c>
      <c r="C15" t="s">
        <v>11</v>
      </c>
      <c r="D15" t="s">
        <v>145</v>
      </c>
      <c r="E15" t="s">
        <v>140</v>
      </c>
      <c r="F15" t="s">
        <v>1018</v>
      </c>
      <c r="G15" t="s">
        <v>86</v>
      </c>
      <c r="H15" t="s">
        <v>930</v>
      </c>
      <c r="I15" t="s">
        <v>142</v>
      </c>
    </row>
    <row r="16" spans="1:9">
      <c r="A16" t="s">
        <v>938</v>
      </c>
      <c r="B16" t="s">
        <v>1027</v>
      </c>
      <c r="C16" t="s">
        <v>12</v>
      </c>
      <c r="D16" t="s">
        <v>146</v>
      </c>
      <c r="E16" t="s">
        <v>140</v>
      </c>
      <c r="F16" t="s">
        <v>1018</v>
      </c>
      <c r="G16" t="s">
        <v>86</v>
      </c>
      <c r="H16" t="s">
        <v>930</v>
      </c>
      <c r="I16" t="s">
        <v>142</v>
      </c>
    </row>
    <row r="17" spans="1:9">
      <c r="A17" t="s">
        <v>938</v>
      </c>
      <c r="B17" t="s">
        <v>1027</v>
      </c>
      <c r="C17" t="s">
        <v>13</v>
      </c>
      <c r="D17" t="s">
        <v>86</v>
      </c>
      <c r="E17" t="s">
        <v>140</v>
      </c>
      <c r="F17" t="s">
        <v>1018</v>
      </c>
      <c r="G17" t="s">
        <v>86</v>
      </c>
      <c r="H17" t="s">
        <v>930</v>
      </c>
      <c r="I17" t="s">
        <v>142</v>
      </c>
    </row>
    <row r="18" spans="1:9">
      <c r="A18" t="s">
        <v>938</v>
      </c>
      <c r="B18" t="s">
        <v>1023</v>
      </c>
      <c r="C18" t="s">
        <v>4</v>
      </c>
      <c r="D18" t="s">
        <v>170</v>
      </c>
      <c r="E18" t="s">
        <v>170</v>
      </c>
      <c r="F18" t="s">
        <v>1018</v>
      </c>
      <c r="G18" t="s">
        <v>86</v>
      </c>
      <c r="H18" t="s">
        <v>930</v>
      </c>
      <c r="I18" t="s">
        <v>171</v>
      </c>
    </row>
    <row r="19" spans="1:9">
      <c r="A19" t="s">
        <v>938</v>
      </c>
      <c r="B19" t="s">
        <v>1023</v>
      </c>
      <c r="C19" t="s">
        <v>6</v>
      </c>
      <c r="D19" t="s">
        <v>171</v>
      </c>
      <c r="E19" t="s">
        <v>170</v>
      </c>
      <c r="F19" t="s">
        <v>1018</v>
      </c>
      <c r="G19" t="s">
        <v>86</v>
      </c>
      <c r="H19" t="s">
        <v>930</v>
      </c>
      <c r="I19" t="s">
        <v>171</v>
      </c>
    </row>
    <row r="20" spans="1:9">
      <c r="A20" t="s">
        <v>938</v>
      </c>
      <c r="B20" t="s">
        <v>1023</v>
      </c>
      <c r="C20" t="s">
        <v>7</v>
      </c>
      <c r="E20" t="s">
        <v>170</v>
      </c>
      <c r="F20" t="s">
        <v>1018</v>
      </c>
      <c r="G20" t="s">
        <v>86</v>
      </c>
      <c r="H20" t="s">
        <v>930</v>
      </c>
      <c r="I20" t="s">
        <v>171</v>
      </c>
    </row>
    <row r="21" spans="1:9">
      <c r="A21" t="s">
        <v>938</v>
      </c>
      <c r="B21" t="s">
        <v>1023</v>
      </c>
      <c r="C21" t="s">
        <v>8</v>
      </c>
      <c r="E21" t="s">
        <v>170</v>
      </c>
      <c r="F21" t="s">
        <v>1018</v>
      </c>
      <c r="G21" t="s">
        <v>86</v>
      </c>
      <c r="H21" t="s">
        <v>930</v>
      </c>
      <c r="I21" t="s">
        <v>171</v>
      </c>
    </row>
    <row r="22" spans="1:9">
      <c r="A22" t="s">
        <v>938</v>
      </c>
      <c r="B22" t="s">
        <v>1023</v>
      </c>
      <c r="C22" t="s">
        <v>10</v>
      </c>
      <c r="E22" t="s">
        <v>170</v>
      </c>
      <c r="F22" t="s">
        <v>1018</v>
      </c>
      <c r="G22" t="s">
        <v>86</v>
      </c>
      <c r="H22" t="s">
        <v>930</v>
      </c>
      <c r="I22" t="s">
        <v>171</v>
      </c>
    </row>
    <row r="23" spans="1:9">
      <c r="A23" t="s">
        <v>938</v>
      </c>
      <c r="B23" t="s">
        <v>1023</v>
      </c>
      <c r="C23" t="s">
        <v>11</v>
      </c>
      <c r="E23" t="s">
        <v>170</v>
      </c>
      <c r="F23" t="s">
        <v>1018</v>
      </c>
      <c r="G23" t="s">
        <v>86</v>
      </c>
      <c r="H23" t="s">
        <v>930</v>
      </c>
      <c r="I23" t="s">
        <v>171</v>
      </c>
    </row>
    <row r="24" spans="1:9">
      <c r="A24" t="s">
        <v>938</v>
      </c>
      <c r="B24" t="s">
        <v>1023</v>
      </c>
      <c r="C24" t="s">
        <v>12</v>
      </c>
      <c r="D24" t="s">
        <v>172</v>
      </c>
      <c r="E24" t="s">
        <v>170</v>
      </c>
      <c r="F24" t="s">
        <v>1018</v>
      </c>
      <c r="G24" t="s">
        <v>86</v>
      </c>
      <c r="H24" t="s">
        <v>930</v>
      </c>
      <c r="I24" t="s">
        <v>171</v>
      </c>
    </row>
    <row r="25" spans="1:9">
      <c r="A25" t="s">
        <v>938</v>
      </c>
      <c r="B25" t="s">
        <v>1023</v>
      </c>
      <c r="C25" t="s">
        <v>13</v>
      </c>
      <c r="E25" t="s">
        <v>170</v>
      </c>
      <c r="F25" t="s">
        <v>1018</v>
      </c>
      <c r="G25" t="s">
        <v>86</v>
      </c>
      <c r="H25" t="s">
        <v>930</v>
      </c>
      <c r="I25" t="s">
        <v>171</v>
      </c>
    </row>
    <row r="26" spans="1:9">
      <c r="A26" t="s">
        <v>938</v>
      </c>
      <c r="B26" t="s">
        <v>1024</v>
      </c>
      <c r="C26" t="s">
        <v>4</v>
      </c>
      <c r="D26" t="s">
        <v>173</v>
      </c>
      <c r="E26" t="s">
        <v>173</v>
      </c>
      <c r="F26" t="s">
        <v>1018</v>
      </c>
      <c r="G26" t="s">
        <v>86</v>
      </c>
      <c r="H26" t="s">
        <v>930</v>
      </c>
      <c r="I26" t="s">
        <v>904</v>
      </c>
    </row>
    <row r="27" spans="1:9">
      <c r="A27" t="s">
        <v>938</v>
      </c>
      <c r="B27" t="s">
        <v>1024</v>
      </c>
      <c r="C27" t="s">
        <v>6</v>
      </c>
      <c r="D27" t="s">
        <v>175</v>
      </c>
      <c r="E27" t="s">
        <v>173</v>
      </c>
      <c r="F27" t="s">
        <v>1018</v>
      </c>
      <c r="G27" t="s">
        <v>86</v>
      </c>
      <c r="H27" t="s">
        <v>930</v>
      </c>
      <c r="I27" t="s">
        <v>904</v>
      </c>
    </row>
    <row r="28" spans="1:9">
      <c r="A28" t="s">
        <v>938</v>
      </c>
      <c r="B28" t="s">
        <v>1024</v>
      </c>
      <c r="C28" t="s">
        <v>7</v>
      </c>
      <c r="D28">
        <v>20</v>
      </c>
      <c r="E28" t="s">
        <v>173</v>
      </c>
      <c r="F28" t="s">
        <v>1018</v>
      </c>
      <c r="G28" t="s">
        <v>86</v>
      </c>
      <c r="H28" t="s">
        <v>930</v>
      </c>
      <c r="I28" t="s">
        <v>904</v>
      </c>
    </row>
    <row r="29" spans="1:9">
      <c r="A29" t="s">
        <v>938</v>
      </c>
      <c r="B29" t="s">
        <v>1024</v>
      </c>
      <c r="C29" t="s">
        <v>8</v>
      </c>
      <c r="D29">
        <v>1</v>
      </c>
      <c r="E29" t="s">
        <v>173</v>
      </c>
      <c r="F29" t="s">
        <v>1018</v>
      </c>
      <c r="G29" t="s">
        <v>86</v>
      </c>
      <c r="H29" t="s">
        <v>930</v>
      </c>
      <c r="I29" t="s">
        <v>904</v>
      </c>
    </row>
    <row r="30" spans="1:9">
      <c r="A30" t="s">
        <v>938</v>
      </c>
      <c r="B30" t="s">
        <v>1024</v>
      </c>
      <c r="C30" t="s">
        <v>10</v>
      </c>
      <c r="D30">
        <v>4</v>
      </c>
      <c r="E30" t="s">
        <v>173</v>
      </c>
      <c r="F30" t="s">
        <v>1018</v>
      </c>
      <c r="G30" t="s">
        <v>86</v>
      </c>
      <c r="H30" t="s">
        <v>930</v>
      </c>
      <c r="I30" t="s">
        <v>904</v>
      </c>
    </row>
    <row r="31" spans="1:9">
      <c r="A31" t="s">
        <v>938</v>
      </c>
      <c r="B31" t="s">
        <v>1024</v>
      </c>
      <c r="C31" t="s">
        <v>11</v>
      </c>
      <c r="D31" t="s">
        <v>178</v>
      </c>
      <c r="E31" t="s">
        <v>173</v>
      </c>
      <c r="F31" t="s">
        <v>1018</v>
      </c>
      <c r="G31" t="s">
        <v>86</v>
      </c>
      <c r="H31" t="s">
        <v>930</v>
      </c>
      <c r="I31" t="s">
        <v>904</v>
      </c>
    </row>
    <row r="32" spans="1:9">
      <c r="A32" t="s">
        <v>938</v>
      </c>
      <c r="B32" t="s">
        <v>1024</v>
      </c>
      <c r="C32" t="s">
        <v>12</v>
      </c>
      <c r="D32" t="s">
        <v>146</v>
      </c>
      <c r="E32" t="s">
        <v>173</v>
      </c>
      <c r="F32" t="s">
        <v>1018</v>
      </c>
      <c r="G32" t="s">
        <v>86</v>
      </c>
      <c r="H32" t="s">
        <v>930</v>
      </c>
      <c r="I32" t="s">
        <v>904</v>
      </c>
    </row>
    <row r="33" spans="1:9">
      <c r="A33" t="s">
        <v>938</v>
      </c>
      <c r="B33" t="s">
        <v>1024</v>
      </c>
      <c r="C33" t="s">
        <v>13</v>
      </c>
      <c r="D33" t="s">
        <v>181</v>
      </c>
      <c r="E33" t="s">
        <v>173</v>
      </c>
      <c r="F33" t="s">
        <v>1018</v>
      </c>
      <c r="G33" t="s">
        <v>86</v>
      </c>
      <c r="H33" t="s">
        <v>930</v>
      </c>
      <c r="I33" t="s">
        <v>904</v>
      </c>
    </row>
    <row r="34" spans="1:9">
      <c r="A34" t="s">
        <v>938</v>
      </c>
      <c r="B34" t="s">
        <v>1025</v>
      </c>
      <c r="C34" t="s">
        <v>4</v>
      </c>
      <c r="D34" t="s">
        <v>229</v>
      </c>
      <c r="E34" t="s">
        <v>229</v>
      </c>
      <c r="F34" t="s">
        <v>1018</v>
      </c>
      <c r="G34" t="s">
        <v>86</v>
      </c>
      <c r="H34" t="s">
        <v>930</v>
      </c>
      <c r="I34" t="s">
        <v>231</v>
      </c>
    </row>
    <row r="35" spans="1:9">
      <c r="A35" t="s">
        <v>938</v>
      </c>
      <c r="B35" t="s">
        <v>1025</v>
      </c>
      <c r="C35" t="s">
        <v>6</v>
      </c>
      <c r="D35" t="s">
        <v>231</v>
      </c>
      <c r="E35" t="s">
        <v>229</v>
      </c>
      <c r="F35" t="s">
        <v>1018</v>
      </c>
      <c r="G35" t="s">
        <v>86</v>
      </c>
      <c r="H35" t="s">
        <v>930</v>
      </c>
      <c r="I35" t="s">
        <v>231</v>
      </c>
    </row>
    <row r="36" spans="1:9">
      <c r="A36" t="s">
        <v>938</v>
      </c>
      <c r="B36" t="s">
        <v>1025</v>
      </c>
      <c r="C36" t="s">
        <v>7</v>
      </c>
      <c r="D36">
        <v>20</v>
      </c>
      <c r="E36" t="s">
        <v>229</v>
      </c>
      <c r="F36" t="s">
        <v>1018</v>
      </c>
      <c r="G36" t="s">
        <v>86</v>
      </c>
      <c r="H36" t="s">
        <v>930</v>
      </c>
      <c r="I36" t="s">
        <v>231</v>
      </c>
    </row>
    <row r="37" spans="1:9">
      <c r="A37" t="s">
        <v>938</v>
      </c>
      <c r="B37" t="s">
        <v>1025</v>
      </c>
      <c r="C37" t="s">
        <v>8</v>
      </c>
      <c r="D37">
        <v>2</v>
      </c>
      <c r="E37" t="s">
        <v>229</v>
      </c>
      <c r="F37" t="s">
        <v>1018</v>
      </c>
      <c r="G37" t="s">
        <v>86</v>
      </c>
      <c r="H37" t="s">
        <v>930</v>
      </c>
      <c r="I37" t="s">
        <v>231</v>
      </c>
    </row>
    <row r="38" spans="1:9">
      <c r="A38" t="s">
        <v>938</v>
      </c>
      <c r="B38" t="s">
        <v>1025</v>
      </c>
      <c r="C38" t="s">
        <v>10</v>
      </c>
      <c r="D38">
        <v>4</v>
      </c>
      <c r="E38" t="s">
        <v>229</v>
      </c>
      <c r="F38" t="s">
        <v>1018</v>
      </c>
      <c r="G38" t="s">
        <v>86</v>
      </c>
      <c r="H38" t="s">
        <v>930</v>
      </c>
      <c r="I38" t="s">
        <v>231</v>
      </c>
    </row>
    <row r="39" spans="1:9">
      <c r="A39" t="s">
        <v>938</v>
      </c>
      <c r="B39" t="s">
        <v>1025</v>
      </c>
      <c r="C39" t="s">
        <v>11</v>
      </c>
      <c r="D39" t="s">
        <v>233</v>
      </c>
      <c r="E39" t="s">
        <v>229</v>
      </c>
      <c r="F39" t="s">
        <v>1018</v>
      </c>
      <c r="G39" t="s">
        <v>86</v>
      </c>
      <c r="H39" t="s">
        <v>930</v>
      </c>
      <c r="I39" t="s">
        <v>231</v>
      </c>
    </row>
    <row r="40" spans="1:9">
      <c r="A40" t="s">
        <v>938</v>
      </c>
      <c r="B40" t="s">
        <v>1025</v>
      </c>
      <c r="C40" t="s">
        <v>12</v>
      </c>
      <c r="D40" t="s">
        <v>146</v>
      </c>
      <c r="E40" t="s">
        <v>229</v>
      </c>
      <c r="F40" t="s">
        <v>1018</v>
      </c>
      <c r="G40" t="s">
        <v>86</v>
      </c>
      <c r="H40" t="s">
        <v>930</v>
      </c>
      <c r="I40" t="s">
        <v>231</v>
      </c>
    </row>
    <row r="41" spans="1:9">
      <c r="A41" t="s">
        <v>938</v>
      </c>
      <c r="B41" t="s">
        <v>1025</v>
      </c>
      <c r="C41" t="s">
        <v>13</v>
      </c>
      <c r="D41" t="s">
        <v>236</v>
      </c>
      <c r="E41" t="s">
        <v>229</v>
      </c>
      <c r="F41" t="s">
        <v>1018</v>
      </c>
      <c r="G41" t="s">
        <v>86</v>
      </c>
      <c r="H41" t="s">
        <v>930</v>
      </c>
      <c r="I41" t="s">
        <v>231</v>
      </c>
    </row>
    <row r="42" spans="1:9">
      <c r="A42" t="s">
        <v>938</v>
      </c>
      <c r="B42" t="s">
        <v>1028</v>
      </c>
      <c r="C42" t="s">
        <v>4</v>
      </c>
      <c r="D42" t="s">
        <v>278</v>
      </c>
      <c r="E42" t="s">
        <v>278</v>
      </c>
      <c r="F42" t="s">
        <v>1018</v>
      </c>
      <c r="G42" t="s">
        <v>86</v>
      </c>
      <c r="H42" t="s">
        <v>930</v>
      </c>
      <c r="I42" t="s">
        <v>280</v>
      </c>
    </row>
    <row r="43" spans="1:9">
      <c r="A43" t="s">
        <v>938</v>
      </c>
      <c r="B43" t="s">
        <v>1028</v>
      </c>
      <c r="C43" t="s">
        <v>6</v>
      </c>
      <c r="D43" t="s">
        <v>280</v>
      </c>
      <c r="E43" t="s">
        <v>278</v>
      </c>
      <c r="F43" t="s">
        <v>1018</v>
      </c>
      <c r="G43" t="s">
        <v>86</v>
      </c>
      <c r="H43" t="s">
        <v>930</v>
      </c>
      <c r="I43" t="s">
        <v>280</v>
      </c>
    </row>
    <row r="44" spans="1:9">
      <c r="A44" t="s">
        <v>938</v>
      </c>
      <c r="B44" t="s">
        <v>1028</v>
      </c>
      <c r="C44" t="s">
        <v>7</v>
      </c>
      <c r="D44">
        <v>20</v>
      </c>
      <c r="E44" t="s">
        <v>278</v>
      </c>
      <c r="F44" t="s">
        <v>1018</v>
      </c>
      <c r="G44" t="s">
        <v>86</v>
      </c>
      <c r="H44" t="s">
        <v>930</v>
      </c>
      <c r="I44" t="s">
        <v>280</v>
      </c>
    </row>
    <row r="45" spans="1:9">
      <c r="A45" t="s">
        <v>938</v>
      </c>
      <c r="B45" t="s">
        <v>1028</v>
      </c>
      <c r="C45" t="s">
        <v>8</v>
      </c>
      <c r="D45">
        <v>2</v>
      </c>
      <c r="E45" t="s">
        <v>278</v>
      </c>
      <c r="F45" t="s">
        <v>1018</v>
      </c>
      <c r="G45" t="s">
        <v>86</v>
      </c>
      <c r="H45" t="s">
        <v>930</v>
      </c>
      <c r="I45" t="s">
        <v>280</v>
      </c>
    </row>
    <row r="46" spans="1:9">
      <c r="A46" t="s">
        <v>938</v>
      </c>
      <c r="B46" t="s">
        <v>1028</v>
      </c>
      <c r="C46" t="s">
        <v>10</v>
      </c>
      <c r="D46">
        <v>5</v>
      </c>
      <c r="E46" t="s">
        <v>278</v>
      </c>
      <c r="F46" t="s">
        <v>1018</v>
      </c>
      <c r="G46" t="s">
        <v>86</v>
      </c>
      <c r="H46" t="s">
        <v>930</v>
      </c>
      <c r="I46" t="s">
        <v>280</v>
      </c>
    </row>
    <row r="47" spans="1:9">
      <c r="A47" t="s">
        <v>938</v>
      </c>
      <c r="B47" t="s">
        <v>1028</v>
      </c>
      <c r="C47" t="s">
        <v>11</v>
      </c>
      <c r="D47" t="s">
        <v>282</v>
      </c>
      <c r="E47" t="s">
        <v>278</v>
      </c>
      <c r="F47" t="s">
        <v>1018</v>
      </c>
      <c r="G47" t="s">
        <v>86</v>
      </c>
      <c r="H47" t="s">
        <v>930</v>
      </c>
      <c r="I47" t="s">
        <v>280</v>
      </c>
    </row>
    <row r="48" spans="1:9">
      <c r="A48" t="s">
        <v>938</v>
      </c>
      <c r="B48" t="s">
        <v>1028</v>
      </c>
      <c r="C48" t="s">
        <v>12</v>
      </c>
      <c r="D48" t="s">
        <v>172</v>
      </c>
      <c r="E48" t="s">
        <v>278</v>
      </c>
      <c r="F48" t="s">
        <v>1018</v>
      </c>
      <c r="G48" t="s">
        <v>86</v>
      </c>
      <c r="H48" t="s">
        <v>930</v>
      </c>
      <c r="I48" t="s">
        <v>280</v>
      </c>
    </row>
    <row r="49" spans="1:9">
      <c r="A49" t="s">
        <v>938</v>
      </c>
      <c r="B49" t="s">
        <v>1028</v>
      </c>
      <c r="C49" t="s">
        <v>13</v>
      </c>
      <c r="D49" t="s">
        <v>181</v>
      </c>
      <c r="E49" t="s">
        <v>278</v>
      </c>
      <c r="F49" t="s">
        <v>1018</v>
      </c>
      <c r="G49" t="s">
        <v>86</v>
      </c>
      <c r="H49" t="s">
        <v>930</v>
      </c>
      <c r="I49" t="s">
        <v>280</v>
      </c>
    </row>
    <row r="50" spans="1:9">
      <c r="A50" t="s">
        <v>938</v>
      </c>
      <c r="B50" t="s">
        <v>1029</v>
      </c>
      <c r="C50" t="s">
        <v>4</v>
      </c>
      <c r="D50" t="s">
        <v>312</v>
      </c>
      <c r="E50" t="s">
        <v>312</v>
      </c>
      <c r="F50" t="s">
        <v>1018</v>
      </c>
      <c r="G50" t="s">
        <v>86</v>
      </c>
      <c r="H50" t="s">
        <v>930</v>
      </c>
      <c r="I50" t="s">
        <v>313</v>
      </c>
    </row>
    <row r="51" spans="1:9">
      <c r="A51" t="s">
        <v>938</v>
      </c>
      <c r="B51" t="s">
        <v>1029</v>
      </c>
      <c r="C51" t="s">
        <v>6</v>
      </c>
      <c r="D51" t="s">
        <v>313</v>
      </c>
      <c r="E51" t="s">
        <v>312</v>
      </c>
      <c r="F51" t="s">
        <v>1018</v>
      </c>
      <c r="G51" t="s">
        <v>86</v>
      </c>
      <c r="H51" t="s">
        <v>930</v>
      </c>
      <c r="I51" t="s">
        <v>313</v>
      </c>
    </row>
    <row r="52" spans="1:9">
      <c r="A52" t="s">
        <v>938</v>
      </c>
      <c r="B52" t="s">
        <v>1029</v>
      </c>
      <c r="C52" t="s">
        <v>7</v>
      </c>
      <c r="D52">
        <v>20</v>
      </c>
      <c r="E52" t="s">
        <v>312</v>
      </c>
      <c r="F52" t="s">
        <v>1018</v>
      </c>
      <c r="G52" t="s">
        <v>86</v>
      </c>
      <c r="H52" t="s">
        <v>930</v>
      </c>
      <c r="I52" t="s">
        <v>313</v>
      </c>
    </row>
    <row r="53" spans="1:9">
      <c r="A53" t="s">
        <v>938</v>
      </c>
      <c r="B53" t="s">
        <v>1029</v>
      </c>
      <c r="C53" t="s">
        <v>8</v>
      </c>
      <c r="D53">
        <v>2</v>
      </c>
      <c r="E53" t="s">
        <v>312</v>
      </c>
      <c r="F53" t="s">
        <v>1018</v>
      </c>
      <c r="G53" t="s">
        <v>86</v>
      </c>
      <c r="H53" t="s">
        <v>930</v>
      </c>
      <c r="I53" t="s">
        <v>313</v>
      </c>
    </row>
    <row r="54" spans="1:9">
      <c r="A54" t="s">
        <v>938</v>
      </c>
      <c r="B54" t="s">
        <v>1029</v>
      </c>
      <c r="C54" t="s">
        <v>10</v>
      </c>
      <c r="D54">
        <v>5</v>
      </c>
      <c r="E54" t="s">
        <v>312</v>
      </c>
      <c r="F54" t="s">
        <v>1018</v>
      </c>
      <c r="G54" t="s">
        <v>86</v>
      </c>
      <c r="H54" t="s">
        <v>930</v>
      </c>
      <c r="I54" t="s">
        <v>313</v>
      </c>
    </row>
    <row r="55" spans="1:9">
      <c r="A55" t="s">
        <v>938</v>
      </c>
      <c r="B55" t="s">
        <v>1029</v>
      </c>
      <c r="C55" t="s">
        <v>11</v>
      </c>
      <c r="D55" t="s">
        <v>316</v>
      </c>
      <c r="E55" t="s">
        <v>312</v>
      </c>
      <c r="F55" t="s">
        <v>1018</v>
      </c>
      <c r="G55" t="s">
        <v>86</v>
      </c>
      <c r="H55" t="s">
        <v>930</v>
      </c>
      <c r="I55" t="s">
        <v>313</v>
      </c>
    </row>
    <row r="56" spans="1:9">
      <c r="A56" t="s">
        <v>938</v>
      </c>
      <c r="B56" t="s">
        <v>1029</v>
      </c>
      <c r="C56" t="s">
        <v>12</v>
      </c>
      <c r="D56" t="s">
        <v>146</v>
      </c>
      <c r="E56" t="s">
        <v>312</v>
      </c>
      <c r="F56" t="s">
        <v>1018</v>
      </c>
      <c r="G56" t="s">
        <v>86</v>
      </c>
      <c r="H56" t="s">
        <v>930</v>
      </c>
      <c r="I56" t="s">
        <v>313</v>
      </c>
    </row>
    <row r="57" spans="1:9">
      <c r="A57" t="s">
        <v>938</v>
      </c>
      <c r="B57" t="s">
        <v>1029</v>
      </c>
      <c r="C57" t="s">
        <v>13</v>
      </c>
      <c r="D57" t="s">
        <v>236</v>
      </c>
      <c r="E57" t="s">
        <v>312</v>
      </c>
      <c r="F57" t="s">
        <v>1018</v>
      </c>
      <c r="G57" t="s">
        <v>86</v>
      </c>
      <c r="H57" t="s">
        <v>930</v>
      </c>
      <c r="I57" t="s">
        <v>313</v>
      </c>
    </row>
    <row r="58" spans="1:9">
      <c r="A58" t="s">
        <v>938</v>
      </c>
      <c r="B58" t="s">
        <v>1030</v>
      </c>
      <c r="C58" t="s">
        <v>4</v>
      </c>
      <c r="D58" t="s">
        <v>360</v>
      </c>
      <c r="E58" t="s">
        <v>360</v>
      </c>
      <c r="F58" t="s">
        <v>1018</v>
      </c>
      <c r="G58" t="s">
        <v>86</v>
      </c>
      <c r="H58" t="s">
        <v>930</v>
      </c>
      <c r="I58" t="s">
        <v>362</v>
      </c>
    </row>
    <row r="59" spans="1:9">
      <c r="A59" t="s">
        <v>938</v>
      </c>
      <c r="B59" t="s">
        <v>1030</v>
      </c>
      <c r="C59" t="s">
        <v>6</v>
      </c>
      <c r="D59" t="s">
        <v>362</v>
      </c>
      <c r="E59" t="s">
        <v>360</v>
      </c>
      <c r="F59" t="s">
        <v>1018</v>
      </c>
      <c r="G59" t="s">
        <v>86</v>
      </c>
      <c r="H59" t="s">
        <v>930</v>
      </c>
      <c r="I59" t="s">
        <v>362</v>
      </c>
    </row>
    <row r="60" spans="1:9">
      <c r="A60" t="s">
        <v>938</v>
      </c>
      <c r="B60" t="s">
        <v>1030</v>
      </c>
      <c r="C60" t="s">
        <v>7</v>
      </c>
      <c r="D60">
        <v>20</v>
      </c>
      <c r="E60" t="s">
        <v>360</v>
      </c>
      <c r="F60" t="s">
        <v>1018</v>
      </c>
      <c r="G60" t="s">
        <v>86</v>
      </c>
      <c r="H60" t="s">
        <v>930</v>
      </c>
      <c r="I60" t="s">
        <v>362</v>
      </c>
    </row>
    <row r="61" spans="1:9">
      <c r="A61" t="s">
        <v>938</v>
      </c>
      <c r="B61" t="s">
        <v>1030</v>
      </c>
      <c r="C61" t="s">
        <v>8</v>
      </c>
      <c r="D61">
        <v>1</v>
      </c>
      <c r="E61" t="s">
        <v>360</v>
      </c>
      <c r="F61" t="s">
        <v>1018</v>
      </c>
      <c r="G61" t="s">
        <v>86</v>
      </c>
      <c r="H61" t="s">
        <v>930</v>
      </c>
      <c r="I61" t="s">
        <v>362</v>
      </c>
    </row>
    <row r="62" spans="1:9">
      <c r="A62" t="s">
        <v>938</v>
      </c>
      <c r="B62" t="s">
        <v>1030</v>
      </c>
      <c r="C62" t="s">
        <v>10</v>
      </c>
      <c r="D62">
        <v>5</v>
      </c>
      <c r="E62" t="s">
        <v>360</v>
      </c>
      <c r="F62" t="s">
        <v>1018</v>
      </c>
      <c r="G62" t="s">
        <v>86</v>
      </c>
      <c r="H62" t="s">
        <v>930</v>
      </c>
      <c r="I62" t="s">
        <v>362</v>
      </c>
    </row>
    <row r="63" spans="1:9">
      <c r="A63" t="s">
        <v>938</v>
      </c>
      <c r="B63" t="s">
        <v>1030</v>
      </c>
      <c r="C63" t="s">
        <v>11</v>
      </c>
      <c r="E63" t="s">
        <v>360</v>
      </c>
      <c r="F63" t="s">
        <v>1018</v>
      </c>
      <c r="G63" t="s">
        <v>86</v>
      </c>
      <c r="H63" t="s">
        <v>930</v>
      </c>
      <c r="I63" t="s">
        <v>362</v>
      </c>
    </row>
    <row r="64" spans="1:9">
      <c r="A64" t="s">
        <v>938</v>
      </c>
      <c r="B64" t="s">
        <v>1030</v>
      </c>
      <c r="C64" t="s">
        <v>12</v>
      </c>
      <c r="D64" t="s">
        <v>85</v>
      </c>
      <c r="E64" t="s">
        <v>360</v>
      </c>
      <c r="F64" t="s">
        <v>1018</v>
      </c>
      <c r="G64" t="s">
        <v>86</v>
      </c>
      <c r="H64" t="s">
        <v>930</v>
      </c>
      <c r="I64" t="s">
        <v>362</v>
      </c>
    </row>
    <row r="65" spans="1:9">
      <c r="A65" t="s">
        <v>938</v>
      </c>
      <c r="B65" t="s">
        <v>1030</v>
      </c>
      <c r="C65" t="s">
        <v>13</v>
      </c>
      <c r="D65" t="s">
        <v>86</v>
      </c>
      <c r="E65" t="s">
        <v>360</v>
      </c>
      <c r="F65" t="s">
        <v>1018</v>
      </c>
      <c r="G65" t="s">
        <v>86</v>
      </c>
      <c r="H65" t="s">
        <v>930</v>
      </c>
      <c r="I65" t="s">
        <v>362</v>
      </c>
    </row>
    <row r="66" spans="1:9">
      <c r="A66" t="s">
        <v>938</v>
      </c>
      <c r="B66" t="s">
        <v>1031</v>
      </c>
      <c r="C66" t="s">
        <v>4</v>
      </c>
      <c r="D66" t="s">
        <v>386</v>
      </c>
      <c r="E66" t="s">
        <v>386</v>
      </c>
      <c r="F66" t="s">
        <v>1018</v>
      </c>
      <c r="G66" t="s">
        <v>86</v>
      </c>
      <c r="H66" t="s">
        <v>930</v>
      </c>
      <c r="I66" t="s">
        <v>388</v>
      </c>
    </row>
    <row r="67" spans="1:9">
      <c r="A67" t="s">
        <v>938</v>
      </c>
      <c r="B67" t="s">
        <v>1031</v>
      </c>
      <c r="C67" t="s">
        <v>6</v>
      </c>
      <c r="D67" t="s">
        <v>388</v>
      </c>
      <c r="E67" t="s">
        <v>386</v>
      </c>
      <c r="F67" t="s">
        <v>1018</v>
      </c>
      <c r="G67" t="s">
        <v>86</v>
      </c>
      <c r="H67" t="s">
        <v>930</v>
      </c>
      <c r="I67" t="s">
        <v>388</v>
      </c>
    </row>
    <row r="68" spans="1:9">
      <c r="A68" t="s">
        <v>938</v>
      </c>
      <c r="B68" t="s">
        <v>1031</v>
      </c>
      <c r="C68" t="s">
        <v>7</v>
      </c>
      <c r="D68">
        <v>20</v>
      </c>
      <c r="E68" t="s">
        <v>386</v>
      </c>
      <c r="F68" t="s">
        <v>1018</v>
      </c>
      <c r="G68" t="s">
        <v>86</v>
      </c>
      <c r="H68" t="s">
        <v>930</v>
      </c>
      <c r="I68" t="s">
        <v>388</v>
      </c>
    </row>
    <row r="69" spans="1:9">
      <c r="A69" t="s">
        <v>938</v>
      </c>
      <c r="B69" t="s">
        <v>1031</v>
      </c>
      <c r="C69" t="s">
        <v>8</v>
      </c>
      <c r="D69">
        <v>1</v>
      </c>
      <c r="E69" t="s">
        <v>386</v>
      </c>
      <c r="F69" t="s">
        <v>1018</v>
      </c>
      <c r="G69" t="s">
        <v>86</v>
      </c>
      <c r="H69" t="s">
        <v>930</v>
      </c>
      <c r="I69" t="s">
        <v>388</v>
      </c>
    </row>
    <row r="70" spans="1:9">
      <c r="A70" t="s">
        <v>938</v>
      </c>
      <c r="B70" t="s">
        <v>1031</v>
      </c>
      <c r="C70" t="s">
        <v>10</v>
      </c>
      <c r="D70">
        <v>5</v>
      </c>
      <c r="E70" t="s">
        <v>386</v>
      </c>
      <c r="F70" t="s">
        <v>1018</v>
      </c>
      <c r="G70" t="s">
        <v>86</v>
      </c>
      <c r="H70" t="s">
        <v>930</v>
      </c>
      <c r="I70" t="s">
        <v>388</v>
      </c>
    </row>
    <row r="71" spans="1:9">
      <c r="A71" t="s">
        <v>938</v>
      </c>
      <c r="B71" t="s">
        <v>1031</v>
      </c>
      <c r="C71" t="s">
        <v>11</v>
      </c>
      <c r="D71" t="s">
        <v>390</v>
      </c>
      <c r="E71" t="s">
        <v>386</v>
      </c>
      <c r="F71" t="s">
        <v>1018</v>
      </c>
      <c r="G71" t="s">
        <v>86</v>
      </c>
      <c r="H71" t="s">
        <v>930</v>
      </c>
      <c r="I71" t="s">
        <v>388</v>
      </c>
    </row>
    <row r="72" spans="1:9">
      <c r="A72" t="s">
        <v>938</v>
      </c>
      <c r="B72" t="s">
        <v>1031</v>
      </c>
      <c r="C72" t="s">
        <v>12</v>
      </c>
      <c r="D72" t="s">
        <v>146</v>
      </c>
      <c r="E72" t="s">
        <v>386</v>
      </c>
      <c r="F72" t="s">
        <v>1018</v>
      </c>
      <c r="G72" t="s">
        <v>86</v>
      </c>
      <c r="H72" t="s">
        <v>930</v>
      </c>
      <c r="I72" t="s">
        <v>388</v>
      </c>
    </row>
    <row r="73" spans="1:9">
      <c r="A73" t="s">
        <v>938</v>
      </c>
      <c r="B73" t="s">
        <v>1031</v>
      </c>
      <c r="C73" t="s">
        <v>13</v>
      </c>
      <c r="D73" t="s">
        <v>86</v>
      </c>
      <c r="E73" t="s">
        <v>386</v>
      </c>
      <c r="F73" t="s">
        <v>1018</v>
      </c>
      <c r="G73" t="s">
        <v>86</v>
      </c>
      <c r="H73" t="s">
        <v>930</v>
      </c>
      <c r="I73" t="s">
        <v>388</v>
      </c>
    </row>
    <row r="74" spans="1:9">
      <c r="A74" t="s">
        <v>938</v>
      </c>
      <c r="B74" t="s">
        <v>1032</v>
      </c>
      <c r="C74" t="s">
        <v>4</v>
      </c>
      <c r="D74" t="s">
        <v>417</v>
      </c>
      <c r="E74" t="s">
        <v>417</v>
      </c>
      <c r="F74" t="s">
        <v>1018</v>
      </c>
      <c r="G74" t="s">
        <v>86</v>
      </c>
      <c r="H74" t="s">
        <v>930</v>
      </c>
      <c r="I74" t="s">
        <v>910</v>
      </c>
    </row>
    <row r="75" spans="1:9">
      <c r="A75" t="s">
        <v>938</v>
      </c>
      <c r="B75" t="s">
        <v>1032</v>
      </c>
      <c r="C75" t="s">
        <v>6</v>
      </c>
      <c r="D75" t="s">
        <v>418</v>
      </c>
      <c r="E75" t="s">
        <v>417</v>
      </c>
      <c r="F75" t="s">
        <v>1018</v>
      </c>
      <c r="G75" t="s">
        <v>86</v>
      </c>
      <c r="H75" t="s">
        <v>930</v>
      </c>
      <c r="I75" t="s">
        <v>910</v>
      </c>
    </row>
    <row r="76" spans="1:9">
      <c r="A76" t="s">
        <v>938</v>
      </c>
      <c r="B76" t="s">
        <v>1032</v>
      </c>
      <c r="C76" t="s">
        <v>7</v>
      </c>
      <c r="E76" t="s">
        <v>417</v>
      </c>
      <c r="F76" t="s">
        <v>1018</v>
      </c>
      <c r="G76" t="s">
        <v>86</v>
      </c>
      <c r="H76" t="s">
        <v>930</v>
      </c>
      <c r="I76" t="s">
        <v>910</v>
      </c>
    </row>
    <row r="77" spans="1:9">
      <c r="A77" t="s">
        <v>938</v>
      </c>
      <c r="B77" t="s">
        <v>1032</v>
      </c>
      <c r="C77" t="s">
        <v>8</v>
      </c>
      <c r="E77" t="s">
        <v>417</v>
      </c>
      <c r="F77" t="s">
        <v>1018</v>
      </c>
      <c r="G77" t="s">
        <v>86</v>
      </c>
      <c r="H77" t="s">
        <v>930</v>
      </c>
      <c r="I77" t="s">
        <v>910</v>
      </c>
    </row>
    <row r="78" spans="1:9">
      <c r="A78" t="s">
        <v>938</v>
      </c>
      <c r="B78" t="s">
        <v>1032</v>
      </c>
      <c r="C78" t="s">
        <v>10</v>
      </c>
      <c r="D78">
        <v>5</v>
      </c>
      <c r="E78" t="s">
        <v>417</v>
      </c>
      <c r="F78" t="s">
        <v>1018</v>
      </c>
      <c r="G78" t="s">
        <v>86</v>
      </c>
      <c r="H78" t="s">
        <v>930</v>
      </c>
      <c r="I78" t="s">
        <v>910</v>
      </c>
    </row>
    <row r="79" spans="1:9">
      <c r="A79" t="s">
        <v>938</v>
      </c>
      <c r="B79" t="s">
        <v>1032</v>
      </c>
      <c r="C79" t="s">
        <v>11</v>
      </c>
      <c r="D79" t="s">
        <v>419</v>
      </c>
      <c r="E79" t="s">
        <v>417</v>
      </c>
      <c r="F79" t="s">
        <v>1018</v>
      </c>
      <c r="G79" t="s">
        <v>86</v>
      </c>
      <c r="H79" t="s">
        <v>930</v>
      </c>
      <c r="I79" t="s">
        <v>910</v>
      </c>
    </row>
    <row r="80" spans="1:9">
      <c r="A80" t="s">
        <v>938</v>
      </c>
      <c r="B80" t="s">
        <v>1032</v>
      </c>
      <c r="C80" t="s">
        <v>12</v>
      </c>
      <c r="D80" t="s">
        <v>146</v>
      </c>
      <c r="E80" t="s">
        <v>417</v>
      </c>
      <c r="F80" t="s">
        <v>1018</v>
      </c>
      <c r="G80" t="s">
        <v>86</v>
      </c>
      <c r="H80" t="s">
        <v>930</v>
      </c>
      <c r="I80" t="s">
        <v>910</v>
      </c>
    </row>
    <row r="81" spans="1:9">
      <c r="A81" t="s">
        <v>938</v>
      </c>
      <c r="B81" t="s">
        <v>1032</v>
      </c>
      <c r="C81" t="s">
        <v>13</v>
      </c>
      <c r="D81" t="s">
        <v>420</v>
      </c>
      <c r="E81" t="s">
        <v>417</v>
      </c>
      <c r="F81" t="s">
        <v>1018</v>
      </c>
      <c r="G81" t="s">
        <v>86</v>
      </c>
      <c r="H81" t="s">
        <v>930</v>
      </c>
      <c r="I81" t="s">
        <v>910</v>
      </c>
    </row>
    <row r="82" spans="1:9">
      <c r="A82" t="s">
        <v>938</v>
      </c>
      <c r="B82" t="s">
        <v>1037</v>
      </c>
      <c r="C82" t="s">
        <v>4</v>
      </c>
      <c r="D82" t="s">
        <v>448</v>
      </c>
      <c r="E82" t="s">
        <v>448</v>
      </c>
      <c r="F82" t="s">
        <v>1018</v>
      </c>
      <c r="G82" t="s">
        <v>86</v>
      </c>
      <c r="H82" t="s">
        <v>930</v>
      </c>
      <c r="I82" t="s">
        <v>450</v>
      </c>
    </row>
    <row r="83" spans="1:9">
      <c r="A83" t="s">
        <v>938</v>
      </c>
      <c r="B83" t="s">
        <v>1037</v>
      </c>
      <c r="C83" t="s">
        <v>6</v>
      </c>
      <c r="D83" t="s">
        <v>450</v>
      </c>
      <c r="E83" t="s">
        <v>448</v>
      </c>
      <c r="F83" t="s">
        <v>1018</v>
      </c>
      <c r="G83" t="s">
        <v>86</v>
      </c>
      <c r="H83" t="s">
        <v>930</v>
      </c>
      <c r="I83" t="s">
        <v>450</v>
      </c>
    </row>
    <row r="84" spans="1:9">
      <c r="A84" t="s">
        <v>938</v>
      </c>
      <c r="B84" t="s">
        <v>1037</v>
      </c>
      <c r="C84" t="s">
        <v>7</v>
      </c>
      <c r="D84">
        <v>20</v>
      </c>
      <c r="E84" t="s">
        <v>448</v>
      </c>
      <c r="F84" t="s">
        <v>1018</v>
      </c>
      <c r="G84" t="s">
        <v>86</v>
      </c>
      <c r="H84" t="s">
        <v>930</v>
      </c>
      <c r="I84" t="s">
        <v>450</v>
      </c>
    </row>
    <row r="85" spans="1:9">
      <c r="A85" t="s">
        <v>938</v>
      </c>
      <c r="B85" t="s">
        <v>1037</v>
      </c>
      <c r="C85" t="s">
        <v>8</v>
      </c>
      <c r="D85">
        <v>1</v>
      </c>
      <c r="E85" t="s">
        <v>448</v>
      </c>
      <c r="F85" t="s">
        <v>1018</v>
      </c>
      <c r="G85" t="s">
        <v>86</v>
      </c>
      <c r="H85" t="s">
        <v>930</v>
      </c>
      <c r="I85" t="s">
        <v>450</v>
      </c>
    </row>
    <row r="86" spans="1:9">
      <c r="A86" t="s">
        <v>938</v>
      </c>
      <c r="B86" t="s">
        <v>1037</v>
      </c>
      <c r="C86" t="s">
        <v>10</v>
      </c>
      <c r="D86">
        <v>6</v>
      </c>
      <c r="E86" t="s">
        <v>448</v>
      </c>
      <c r="F86" t="s">
        <v>1018</v>
      </c>
      <c r="G86" t="s">
        <v>86</v>
      </c>
      <c r="H86" t="s">
        <v>930</v>
      </c>
      <c r="I86" t="s">
        <v>450</v>
      </c>
    </row>
    <row r="87" spans="1:9">
      <c r="A87" t="s">
        <v>938</v>
      </c>
      <c r="B87" t="s">
        <v>1037</v>
      </c>
      <c r="C87" t="s">
        <v>11</v>
      </c>
      <c r="D87" t="s">
        <v>452</v>
      </c>
      <c r="E87" t="s">
        <v>448</v>
      </c>
      <c r="F87" t="s">
        <v>1018</v>
      </c>
      <c r="G87" t="s">
        <v>86</v>
      </c>
      <c r="H87" t="s">
        <v>930</v>
      </c>
      <c r="I87" t="s">
        <v>450</v>
      </c>
    </row>
    <row r="88" spans="1:9">
      <c r="A88" t="s">
        <v>938</v>
      </c>
      <c r="B88" t="s">
        <v>1037</v>
      </c>
      <c r="C88" t="s">
        <v>12</v>
      </c>
      <c r="D88" t="s">
        <v>454</v>
      </c>
      <c r="E88" t="s">
        <v>448</v>
      </c>
      <c r="F88" t="s">
        <v>1018</v>
      </c>
      <c r="G88" t="s">
        <v>86</v>
      </c>
      <c r="H88" t="s">
        <v>930</v>
      </c>
      <c r="I88" t="s">
        <v>450</v>
      </c>
    </row>
    <row r="89" spans="1:9">
      <c r="A89" t="s">
        <v>938</v>
      </c>
      <c r="B89" t="s">
        <v>1037</v>
      </c>
      <c r="C89" t="s">
        <v>13</v>
      </c>
      <c r="D89" t="s">
        <v>86</v>
      </c>
      <c r="E89" t="s">
        <v>448</v>
      </c>
      <c r="F89" t="s">
        <v>1018</v>
      </c>
      <c r="G89" t="s">
        <v>86</v>
      </c>
      <c r="H89" t="s">
        <v>930</v>
      </c>
      <c r="I89" t="s">
        <v>450</v>
      </c>
    </row>
    <row r="90" spans="1:9">
      <c r="A90" t="s">
        <v>928</v>
      </c>
      <c r="B90" t="s">
        <v>1017</v>
      </c>
      <c r="C90" t="s">
        <v>4</v>
      </c>
      <c r="D90" t="s">
        <v>911</v>
      </c>
      <c r="E90" t="s">
        <v>911</v>
      </c>
      <c r="F90" t="s">
        <v>1018</v>
      </c>
      <c r="G90" t="s">
        <v>86</v>
      </c>
      <c r="H90" t="s">
        <v>930</v>
      </c>
      <c r="I90" t="s">
        <v>912</v>
      </c>
    </row>
    <row r="91" spans="1:9">
      <c r="A91" t="s">
        <v>928</v>
      </c>
      <c r="B91" t="s">
        <v>1017</v>
      </c>
      <c r="C91" t="s">
        <v>6</v>
      </c>
      <c r="D91" t="s">
        <v>912</v>
      </c>
      <c r="E91" t="s">
        <v>911</v>
      </c>
      <c r="F91" t="s">
        <v>1018</v>
      </c>
      <c r="G91" t="s">
        <v>86</v>
      </c>
      <c r="H91" t="s">
        <v>930</v>
      </c>
      <c r="I91" t="s">
        <v>912</v>
      </c>
    </row>
    <row r="92" spans="1:9">
      <c r="A92" t="s">
        <v>928</v>
      </c>
      <c r="B92" t="s">
        <v>1017</v>
      </c>
      <c r="C92" t="s">
        <v>7</v>
      </c>
      <c r="D92">
        <v>20</v>
      </c>
      <c r="E92" t="s">
        <v>911</v>
      </c>
      <c r="F92" t="s">
        <v>1018</v>
      </c>
      <c r="G92" t="s">
        <v>86</v>
      </c>
      <c r="H92" t="s">
        <v>930</v>
      </c>
      <c r="I92" t="s">
        <v>912</v>
      </c>
    </row>
    <row r="93" spans="1:9">
      <c r="A93" t="s">
        <v>928</v>
      </c>
      <c r="B93" t="s">
        <v>1017</v>
      </c>
      <c r="C93" t="s">
        <v>8</v>
      </c>
      <c r="D93">
        <v>1</v>
      </c>
      <c r="E93" t="s">
        <v>911</v>
      </c>
      <c r="F93" t="s">
        <v>1018</v>
      </c>
      <c r="G93" t="s">
        <v>86</v>
      </c>
      <c r="H93" t="s">
        <v>930</v>
      </c>
      <c r="I93" t="s">
        <v>912</v>
      </c>
    </row>
    <row r="94" spans="1:9">
      <c r="A94" t="s">
        <v>928</v>
      </c>
      <c r="B94" t="s">
        <v>1017</v>
      </c>
      <c r="C94" t="s">
        <v>10</v>
      </c>
      <c r="D94">
        <v>6</v>
      </c>
      <c r="E94" t="s">
        <v>911</v>
      </c>
      <c r="F94" t="s">
        <v>1018</v>
      </c>
      <c r="G94" t="s">
        <v>86</v>
      </c>
      <c r="H94" t="s">
        <v>930</v>
      </c>
      <c r="I94" t="s">
        <v>912</v>
      </c>
    </row>
    <row r="95" spans="1:9">
      <c r="A95" t="s">
        <v>928</v>
      </c>
      <c r="B95" t="s">
        <v>1017</v>
      </c>
      <c r="C95" t="s">
        <v>11</v>
      </c>
      <c r="D95" t="s">
        <v>913</v>
      </c>
      <c r="E95" t="s">
        <v>911</v>
      </c>
      <c r="F95" t="s">
        <v>1018</v>
      </c>
      <c r="G95" t="s">
        <v>86</v>
      </c>
      <c r="H95" t="s">
        <v>930</v>
      </c>
      <c r="I95" t="s">
        <v>912</v>
      </c>
    </row>
    <row r="96" spans="1:9">
      <c r="A96" t="s">
        <v>928</v>
      </c>
      <c r="B96" t="s">
        <v>1017</v>
      </c>
      <c r="C96" t="s">
        <v>12</v>
      </c>
      <c r="D96" t="s">
        <v>454</v>
      </c>
      <c r="E96" t="s">
        <v>911</v>
      </c>
      <c r="F96" t="s">
        <v>1018</v>
      </c>
      <c r="G96" t="s">
        <v>86</v>
      </c>
      <c r="H96" t="s">
        <v>930</v>
      </c>
      <c r="I96" t="s">
        <v>912</v>
      </c>
    </row>
    <row r="97" spans="1:9">
      <c r="A97" t="s">
        <v>928</v>
      </c>
      <c r="B97" t="s">
        <v>1017</v>
      </c>
      <c r="C97" t="s">
        <v>13</v>
      </c>
      <c r="D97" t="s">
        <v>747</v>
      </c>
      <c r="E97" t="s">
        <v>911</v>
      </c>
      <c r="F97" t="s">
        <v>1018</v>
      </c>
      <c r="G97" t="s">
        <v>86</v>
      </c>
      <c r="H97" t="s">
        <v>930</v>
      </c>
      <c r="I97" t="s">
        <v>912</v>
      </c>
    </row>
    <row r="98" spans="1:9">
      <c r="A98" t="s">
        <v>938</v>
      </c>
      <c r="B98" t="s">
        <v>1038</v>
      </c>
      <c r="C98" t="s">
        <v>4</v>
      </c>
      <c r="D98" t="s">
        <v>463</v>
      </c>
      <c r="E98" t="s">
        <v>463</v>
      </c>
      <c r="F98" t="s">
        <v>1018</v>
      </c>
      <c r="G98" t="s">
        <v>86</v>
      </c>
      <c r="H98" t="s">
        <v>930</v>
      </c>
      <c r="I98" t="s">
        <v>464</v>
      </c>
    </row>
    <row r="99" spans="1:9">
      <c r="A99" t="s">
        <v>938</v>
      </c>
      <c r="B99" t="s">
        <v>1038</v>
      </c>
      <c r="C99" t="s">
        <v>6</v>
      </c>
      <c r="D99" t="s">
        <v>464</v>
      </c>
      <c r="E99" t="s">
        <v>463</v>
      </c>
      <c r="F99" t="s">
        <v>1018</v>
      </c>
      <c r="G99" t="s">
        <v>86</v>
      </c>
      <c r="H99" t="s">
        <v>930</v>
      </c>
      <c r="I99" t="s">
        <v>464</v>
      </c>
    </row>
    <row r="100" spans="1:9">
      <c r="A100" t="s">
        <v>938</v>
      </c>
      <c r="B100" t="s">
        <v>1038</v>
      </c>
      <c r="C100" t="s">
        <v>7</v>
      </c>
      <c r="D100">
        <v>20</v>
      </c>
      <c r="E100" t="s">
        <v>463</v>
      </c>
      <c r="F100" t="s">
        <v>1018</v>
      </c>
      <c r="G100" t="s">
        <v>86</v>
      </c>
      <c r="H100" t="s">
        <v>930</v>
      </c>
      <c r="I100" t="s">
        <v>464</v>
      </c>
    </row>
    <row r="101" spans="1:9">
      <c r="A101" t="s">
        <v>938</v>
      </c>
      <c r="B101" t="s">
        <v>1038</v>
      </c>
      <c r="C101" t="s">
        <v>8</v>
      </c>
      <c r="D101">
        <v>1</v>
      </c>
      <c r="E101" t="s">
        <v>463</v>
      </c>
      <c r="F101" t="s">
        <v>1018</v>
      </c>
      <c r="G101" t="s">
        <v>86</v>
      </c>
      <c r="H101" t="s">
        <v>930</v>
      </c>
      <c r="I101" t="s">
        <v>464</v>
      </c>
    </row>
    <row r="102" spans="1:9">
      <c r="A102" t="s">
        <v>938</v>
      </c>
      <c r="B102" t="s">
        <v>1038</v>
      </c>
      <c r="C102" t="s">
        <v>10</v>
      </c>
      <c r="D102">
        <v>6</v>
      </c>
      <c r="E102" t="s">
        <v>463</v>
      </c>
      <c r="F102" t="s">
        <v>1018</v>
      </c>
      <c r="G102" t="s">
        <v>86</v>
      </c>
      <c r="H102" t="s">
        <v>930</v>
      </c>
      <c r="I102" t="s">
        <v>464</v>
      </c>
    </row>
    <row r="103" spans="1:9">
      <c r="A103" t="s">
        <v>938</v>
      </c>
      <c r="B103" t="s">
        <v>1038</v>
      </c>
      <c r="C103" t="s">
        <v>11</v>
      </c>
      <c r="D103" t="s">
        <v>467</v>
      </c>
      <c r="E103" t="s">
        <v>463</v>
      </c>
      <c r="F103" t="s">
        <v>1018</v>
      </c>
      <c r="G103" t="s">
        <v>86</v>
      </c>
      <c r="H103" t="s">
        <v>930</v>
      </c>
      <c r="I103" t="s">
        <v>464</v>
      </c>
    </row>
    <row r="104" spans="1:9">
      <c r="A104" t="s">
        <v>938</v>
      </c>
      <c r="B104" t="s">
        <v>1038</v>
      </c>
      <c r="C104" t="s">
        <v>12</v>
      </c>
      <c r="D104" t="s">
        <v>454</v>
      </c>
      <c r="E104" t="s">
        <v>463</v>
      </c>
      <c r="F104" t="s">
        <v>1018</v>
      </c>
      <c r="G104" t="s">
        <v>86</v>
      </c>
      <c r="H104" t="s">
        <v>930</v>
      </c>
      <c r="I104" t="s">
        <v>464</v>
      </c>
    </row>
    <row r="105" spans="1:9">
      <c r="A105" t="s">
        <v>938</v>
      </c>
      <c r="B105" t="s">
        <v>1038</v>
      </c>
      <c r="C105" t="s">
        <v>13</v>
      </c>
      <c r="D105" t="s">
        <v>86</v>
      </c>
      <c r="E105" t="s">
        <v>463</v>
      </c>
      <c r="F105" t="s">
        <v>1018</v>
      </c>
      <c r="G105" t="s">
        <v>86</v>
      </c>
      <c r="H105" t="s">
        <v>930</v>
      </c>
      <c r="I105" t="s">
        <v>464</v>
      </c>
    </row>
    <row r="106" spans="1:9">
      <c r="A106" t="s">
        <v>938</v>
      </c>
      <c r="B106" t="s">
        <v>1039</v>
      </c>
      <c r="C106" t="s">
        <v>4</v>
      </c>
      <c r="D106" t="s">
        <v>508</v>
      </c>
      <c r="E106" t="s">
        <v>508</v>
      </c>
      <c r="F106" t="s">
        <v>1018</v>
      </c>
      <c r="G106" t="s">
        <v>86</v>
      </c>
      <c r="H106" t="s">
        <v>930</v>
      </c>
      <c r="I106" t="s">
        <v>510</v>
      </c>
    </row>
    <row r="107" spans="1:9">
      <c r="A107" t="s">
        <v>938</v>
      </c>
      <c r="B107" t="s">
        <v>1039</v>
      </c>
      <c r="C107" t="s">
        <v>6</v>
      </c>
      <c r="D107" t="s">
        <v>510</v>
      </c>
      <c r="E107" t="s">
        <v>508</v>
      </c>
      <c r="F107" t="s">
        <v>1018</v>
      </c>
      <c r="G107" t="s">
        <v>86</v>
      </c>
      <c r="H107" t="s">
        <v>930</v>
      </c>
      <c r="I107" t="s">
        <v>510</v>
      </c>
    </row>
    <row r="108" spans="1:9">
      <c r="A108" t="s">
        <v>938</v>
      </c>
      <c r="B108" t="s">
        <v>1039</v>
      </c>
      <c r="C108" t="s">
        <v>7</v>
      </c>
      <c r="D108">
        <v>20</v>
      </c>
      <c r="E108" t="s">
        <v>508</v>
      </c>
      <c r="F108" t="s">
        <v>1018</v>
      </c>
      <c r="G108" t="s">
        <v>86</v>
      </c>
      <c r="H108" t="s">
        <v>930</v>
      </c>
      <c r="I108" t="s">
        <v>510</v>
      </c>
    </row>
    <row r="109" spans="1:9">
      <c r="A109" t="s">
        <v>938</v>
      </c>
      <c r="B109" t="s">
        <v>1039</v>
      </c>
      <c r="C109" t="s">
        <v>8</v>
      </c>
      <c r="D109">
        <v>1</v>
      </c>
      <c r="E109" t="s">
        <v>508</v>
      </c>
      <c r="F109" t="s">
        <v>1018</v>
      </c>
      <c r="G109" t="s">
        <v>86</v>
      </c>
      <c r="H109" t="s">
        <v>930</v>
      </c>
      <c r="I109" t="s">
        <v>510</v>
      </c>
    </row>
    <row r="110" spans="1:9">
      <c r="A110" t="s">
        <v>938</v>
      </c>
      <c r="B110" t="s">
        <v>1039</v>
      </c>
      <c r="C110" t="s">
        <v>10</v>
      </c>
      <c r="D110">
        <v>6</v>
      </c>
      <c r="E110" t="s">
        <v>508</v>
      </c>
      <c r="F110" t="s">
        <v>1018</v>
      </c>
      <c r="G110" t="s">
        <v>86</v>
      </c>
      <c r="H110" t="s">
        <v>930</v>
      </c>
      <c r="I110" t="s">
        <v>510</v>
      </c>
    </row>
    <row r="111" spans="1:9">
      <c r="A111" t="s">
        <v>938</v>
      </c>
      <c r="B111" t="s">
        <v>1039</v>
      </c>
      <c r="C111" t="s">
        <v>11</v>
      </c>
      <c r="D111" t="s">
        <v>512</v>
      </c>
      <c r="E111" t="s">
        <v>508</v>
      </c>
      <c r="F111" t="s">
        <v>1018</v>
      </c>
      <c r="G111" t="s">
        <v>86</v>
      </c>
      <c r="H111" t="s">
        <v>930</v>
      </c>
      <c r="I111" t="s">
        <v>510</v>
      </c>
    </row>
    <row r="112" spans="1:9">
      <c r="A112" t="s">
        <v>938</v>
      </c>
      <c r="B112" t="s">
        <v>1039</v>
      </c>
      <c r="C112" t="s">
        <v>12</v>
      </c>
      <c r="D112" t="s">
        <v>454</v>
      </c>
      <c r="E112" t="s">
        <v>508</v>
      </c>
      <c r="F112" t="s">
        <v>1018</v>
      </c>
      <c r="G112" t="s">
        <v>86</v>
      </c>
      <c r="H112" t="s">
        <v>930</v>
      </c>
      <c r="I112" t="s">
        <v>510</v>
      </c>
    </row>
    <row r="113" spans="1:9">
      <c r="A113" t="s">
        <v>938</v>
      </c>
      <c r="B113" t="s">
        <v>1039</v>
      </c>
      <c r="C113" t="s">
        <v>13</v>
      </c>
      <c r="D113" t="s">
        <v>86</v>
      </c>
      <c r="E113" t="s">
        <v>508</v>
      </c>
      <c r="F113" t="s">
        <v>1018</v>
      </c>
      <c r="G113" t="s">
        <v>86</v>
      </c>
      <c r="H113" t="s">
        <v>930</v>
      </c>
      <c r="I113" t="s">
        <v>510</v>
      </c>
    </row>
    <row r="114" spans="1:9">
      <c r="A114" t="s">
        <v>938</v>
      </c>
      <c r="B114" t="s">
        <v>1040</v>
      </c>
      <c r="C114" t="s">
        <v>4</v>
      </c>
      <c r="D114" t="s">
        <v>548</v>
      </c>
      <c r="E114" t="s">
        <v>548</v>
      </c>
      <c r="F114" t="s">
        <v>1018</v>
      </c>
      <c r="G114" t="s">
        <v>86</v>
      </c>
      <c r="H114" t="s">
        <v>930</v>
      </c>
      <c r="I114" t="s">
        <v>549</v>
      </c>
    </row>
    <row r="115" spans="1:9">
      <c r="A115" t="s">
        <v>938</v>
      </c>
      <c r="B115" t="s">
        <v>1040</v>
      </c>
      <c r="C115" t="s">
        <v>6</v>
      </c>
      <c r="D115" t="s">
        <v>549</v>
      </c>
      <c r="E115" t="s">
        <v>548</v>
      </c>
      <c r="F115" t="s">
        <v>1018</v>
      </c>
      <c r="G115" t="s">
        <v>86</v>
      </c>
      <c r="H115" t="s">
        <v>930</v>
      </c>
      <c r="I115" t="s">
        <v>549</v>
      </c>
    </row>
    <row r="116" spans="1:9">
      <c r="A116" t="s">
        <v>938</v>
      </c>
      <c r="B116" t="s">
        <v>1040</v>
      </c>
      <c r="C116" t="s">
        <v>7</v>
      </c>
      <c r="D116">
        <v>20</v>
      </c>
      <c r="E116" t="s">
        <v>548</v>
      </c>
      <c r="F116" t="s">
        <v>1018</v>
      </c>
      <c r="G116" t="s">
        <v>86</v>
      </c>
      <c r="H116" t="s">
        <v>930</v>
      </c>
      <c r="I116" t="s">
        <v>549</v>
      </c>
    </row>
    <row r="117" spans="1:9">
      <c r="A117" t="s">
        <v>938</v>
      </c>
      <c r="B117" t="s">
        <v>1040</v>
      </c>
      <c r="C117" t="s">
        <v>8</v>
      </c>
      <c r="D117">
        <v>1</v>
      </c>
      <c r="E117" t="s">
        <v>548</v>
      </c>
      <c r="F117" t="s">
        <v>1018</v>
      </c>
      <c r="G117" t="s">
        <v>86</v>
      </c>
      <c r="H117" t="s">
        <v>930</v>
      </c>
      <c r="I117" t="s">
        <v>549</v>
      </c>
    </row>
    <row r="118" spans="1:9">
      <c r="A118" t="s">
        <v>938</v>
      </c>
      <c r="B118" t="s">
        <v>1040</v>
      </c>
      <c r="C118" t="s">
        <v>10</v>
      </c>
      <c r="D118">
        <v>6</v>
      </c>
      <c r="E118" t="s">
        <v>548</v>
      </c>
      <c r="F118" t="s">
        <v>1018</v>
      </c>
      <c r="G118" t="s">
        <v>86</v>
      </c>
      <c r="H118" t="s">
        <v>930</v>
      </c>
      <c r="I118" t="s">
        <v>549</v>
      </c>
    </row>
    <row r="119" spans="1:9">
      <c r="A119" t="s">
        <v>938</v>
      </c>
      <c r="B119" t="s">
        <v>1040</v>
      </c>
      <c r="C119" t="s">
        <v>11</v>
      </c>
      <c r="D119" t="s">
        <v>550</v>
      </c>
      <c r="E119" t="s">
        <v>548</v>
      </c>
      <c r="F119" t="s">
        <v>1018</v>
      </c>
      <c r="G119" t="s">
        <v>86</v>
      </c>
      <c r="H119" t="s">
        <v>930</v>
      </c>
      <c r="I119" t="s">
        <v>549</v>
      </c>
    </row>
    <row r="120" spans="1:9">
      <c r="A120" t="s">
        <v>938</v>
      </c>
      <c r="B120" t="s">
        <v>1040</v>
      </c>
      <c r="C120" t="s">
        <v>12</v>
      </c>
      <c r="D120" t="s">
        <v>454</v>
      </c>
      <c r="E120" t="s">
        <v>548</v>
      </c>
      <c r="F120" t="s">
        <v>1018</v>
      </c>
      <c r="G120" t="s">
        <v>86</v>
      </c>
      <c r="H120" t="s">
        <v>930</v>
      </c>
      <c r="I120" t="s">
        <v>549</v>
      </c>
    </row>
    <row r="121" spans="1:9">
      <c r="A121" t="s">
        <v>938</v>
      </c>
      <c r="B121" t="s">
        <v>1040</v>
      </c>
      <c r="C121" t="s">
        <v>13</v>
      </c>
      <c r="D121" t="s">
        <v>86</v>
      </c>
      <c r="E121" t="s">
        <v>548</v>
      </c>
      <c r="F121" t="s">
        <v>1018</v>
      </c>
      <c r="G121" t="s">
        <v>86</v>
      </c>
      <c r="H121" t="s">
        <v>930</v>
      </c>
      <c r="I121" t="s">
        <v>549</v>
      </c>
    </row>
    <row r="122" spans="1:9">
      <c r="A122" t="s">
        <v>938</v>
      </c>
      <c r="B122" t="s">
        <v>1041</v>
      </c>
      <c r="C122" t="s">
        <v>4</v>
      </c>
      <c r="D122" t="s">
        <v>579</v>
      </c>
      <c r="E122" t="s">
        <v>579</v>
      </c>
      <c r="F122" t="s">
        <v>1018</v>
      </c>
      <c r="G122" t="s">
        <v>86</v>
      </c>
      <c r="H122" t="s">
        <v>930</v>
      </c>
      <c r="I122" t="s">
        <v>581</v>
      </c>
    </row>
    <row r="123" spans="1:9">
      <c r="A123" t="s">
        <v>938</v>
      </c>
      <c r="B123" t="s">
        <v>1041</v>
      </c>
      <c r="C123" t="s">
        <v>6</v>
      </c>
      <c r="D123" t="s">
        <v>581</v>
      </c>
      <c r="E123" t="s">
        <v>579</v>
      </c>
      <c r="F123" t="s">
        <v>1018</v>
      </c>
      <c r="G123" t="s">
        <v>86</v>
      </c>
      <c r="H123" t="s">
        <v>930</v>
      </c>
      <c r="I123" t="s">
        <v>581</v>
      </c>
    </row>
    <row r="124" spans="1:9">
      <c r="A124" t="s">
        <v>938</v>
      </c>
      <c r="B124" t="s">
        <v>1041</v>
      </c>
      <c r="C124" t="s">
        <v>7</v>
      </c>
      <c r="D124">
        <v>20</v>
      </c>
      <c r="E124" t="s">
        <v>579</v>
      </c>
      <c r="F124" t="s">
        <v>1018</v>
      </c>
      <c r="G124" t="s">
        <v>86</v>
      </c>
      <c r="H124" t="s">
        <v>930</v>
      </c>
      <c r="I124" t="s">
        <v>581</v>
      </c>
    </row>
    <row r="125" spans="1:9">
      <c r="A125" t="s">
        <v>938</v>
      </c>
      <c r="B125" t="s">
        <v>1041</v>
      </c>
      <c r="C125" t="s">
        <v>8</v>
      </c>
      <c r="D125">
        <v>2</v>
      </c>
      <c r="E125" t="s">
        <v>579</v>
      </c>
      <c r="F125" t="s">
        <v>1018</v>
      </c>
      <c r="G125" t="s">
        <v>86</v>
      </c>
      <c r="H125" t="s">
        <v>930</v>
      </c>
      <c r="I125" t="s">
        <v>581</v>
      </c>
    </row>
    <row r="126" spans="1:9">
      <c r="A126" t="s">
        <v>938</v>
      </c>
      <c r="B126" t="s">
        <v>1041</v>
      </c>
      <c r="C126" t="s">
        <v>10</v>
      </c>
      <c r="D126">
        <v>6</v>
      </c>
      <c r="E126" t="s">
        <v>579</v>
      </c>
      <c r="F126" t="s">
        <v>1018</v>
      </c>
      <c r="G126" t="s">
        <v>86</v>
      </c>
      <c r="H126" t="s">
        <v>930</v>
      </c>
      <c r="I126" t="s">
        <v>581</v>
      </c>
    </row>
    <row r="127" spans="1:9">
      <c r="A127" t="s">
        <v>938</v>
      </c>
      <c r="B127" t="s">
        <v>1041</v>
      </c>
      <c r="C127" t="s">
        <v>11</v>
      </c>
      <c r="D127" t="s">
        <v>584</v>
      </c>
      <c r="E127" t="s">
        <v>579</v>
      </c>
      <c r="F127" t="s">
        <v>1018</v>
      </c>
      <c r="G127" t="s">
        <v>86</v>
      </c>
      <c r="H127" t="s">
        <v>930</v>
      </c>
      <c r="I127" t="s">
        <v>581</v>
      </c>
    </row>
    <row r="128" spans="1:9">
      <c r="A128" t="s">
        <v>938</v>
      </c>
      <c r="B128" t="s">
        <v>1041</v>
      </c>
      <c r="C128" t="s">
        <v>12</v>
      </c>
      <c r="D128" t="s">
        <v>454</v>
      </c>
      <c r="E128" t="s">
        <v>579</v>
      </c>
      <c r="F128" t="s">
        <v>1018</v>
      </c>
      <c r="G128" t="s">
        <v>86</v>
      </c>
      <c r="H128" t="s">
        <v>930</v>
      </c>
      <c r="I128" t="s">
        <v>581</v>
      </c>
    </row>
    <row r="129" spans="1:9">
      <c r="A129" t="s">
        <v>938</v>
      </c>
      <c r="B129" t="s">
        <v>1041</v>
      </c>
      <c r="C129" t="s">
        <v>13</v>
      </c>
      <c r="D129" t="s">
        <v>420</v>
      </c>
      <c r="E129" t="s">
        <v>579</v>
      </c>
      <c r="F129" t="s">
        <v>1018</v>
      </c>
      <c r="G129" t="s">
        <v>86</v>
      </c>
      <c r="H129" t="s">
        <v>930</v>
      </c>
      <c r="I129" t="s">
        <v>581</v>
      </c>
    </row>
    <row r="130" spans="1:9">
      <c r="A130" t="s">
        <v>938</v>
      </c>
      <c r="B130" t="s">
        <v>1042</v>
      </c>
      <c r="C130" t="s">
        <v>4</v>
      </c>
      <c r="D130" t="s">
        <v>619</v>
      </c>
      <c r="E130" t="s">
        <v>619</v>
      </c>
      <c r="F130" t="s">
        <v>1018</v>
      </c>
      <c r="G130" t="s">
        <v>86</v>
      </c>
      <c r="H130" t="s">
        <v>930</v>
      </c>
      <c r="I130" t="s">
        <v>6</v>
      </c>
    </row>
    <row r="131" spans="1:9">
      <c r="A131" t="s">
        <v>938</v>
      </c>
      <c r="B131" t="s">
        <v>1042</v>
      </c>
      <c r="C131" t="s">
        <v>6</v>
      </c>
      <c r="D131" t="s">
        <v>6</v>
      </c>
      <c r="E131" t="s">
        <v>619</v>
      </c>
      <c r="F131" t="s">
        <v>1018</v>
      </c>
      <c r="G131" t="s">
        <v>86</v>
      </c>
      <c r="H131" t="s">
        <v>930</v>
      </c>
      <c r="I131" t="s">
        <v>6</v>
      </c>
    </row>
    <row r="132" spans="1:9">
      <c r="A132" t="s">
        <v>938</v>
      </c>
      <c r="B132" t="s">
        <v>1042</v>
      </c>
      <c r="C132" t="s">
        <v>7</v>
      </c>
      <c r="D132">
        <v>20</v>
      </c>
      <c r="E132" t="s">
        <v>619</v>
      </c>
      <c r="F132" t="s">
        <v>1018</v>
      </c>
      <c r="G132" t="s">
        <v>86</v>
      </c>
      <c r="H132" t="s">
        <v>930</v>
      </c>
      <c r="I132" t="s">
        <v>6</v>
      </c>
    </row>
    <row r="133" spans="1:9">
      <c r="A133" t="s">
        <v>938</v>
      </c>
      <c r="B133" t="s">
        <v>1042</v>
      </c>
      <c r="C133" t="s">
        <v>8</v>
      </c>
      <c r="D133">
        <v>2</v>
      </c>
      <c r="E133" t="s">
        <v>619</v>
      </c>
      <c r="F133" t="s">
        <v>1018</v>
      </c>
      <c r="G133" t="s">
        <v>86</v>
      </c>
      <c r="H133" t="s">
        <v>930</v>
      </c>
      <c r="I133" t="s">
        <v>6</v>
      </c>
    </row>
    <row r="134" spans="1:9">
      <c r="A134" t="s">
        <v>938</v>
      </c>
      <c r="B134" t="s">
        <v>1042</v>
      </c>
      <c r="C134" t="s">
        <v>10</v>
      </c>
      <c r="D134">
        <v>6</v>
      </c>
      <c r="E134" t="s">
        <v>619</v>
      </c>
      <c r="F134" t="s">
        <v>1018</v>
      </c>
      <c r="G134" t="s">
        <v>86</v>
      </c>
      <c r="H134" t="s">
        <v>930</v>
      </c>
      <c r="I134" t="s">
        <v>6</v>
      </c>
    </row>
    <row r="135" spans="1:9">
      <c r="A135" t="s">
        <v>938</v>
      </c>
      <c r="B135" t="s">
        <v>1042</v>
      </c>
      <c r="C135" t="s">
        <v>11</v>
      </c>
      <c r="D135" t="s">
        <v>622</v>
      </c>
      <c r="E135" t="s">
        <v>619</v>
      </c>
      <c r="F135" t="s">
        <v>1018</v>
      </c>
      <c r="G135" t="s">
        <v>86</v>
      </c>
      <c r="H135" t="s">
        <v>930</v>
      </c>
      <c r="I135" t="s">
        <v>6</v>
      </c>
    </row>
    <row r="136" spans="1:9">
      <c r="A136" t="s">
        <v>938</v>
      </c>
      <c r="B136" t="s">
        <v>1042</v>
      </c>
      <c r="C136" t="s">
        <v>12</v>
      </c>
      <c r="D136" t="s">
        <v>454</v>
      </c>
      <c r="E136" t="s">
        <v>619</v>
      </c>
      <c r="F136" t="s">
        <v>1018</v>
      </c>
      <c r="G136" t="s">
        <v>86</v>
      </c>
      <c r="H136" t="s">
        <v>930</v>
      </c>
      <c r="I136" t="s">
        <v>6</v>
      </c>
    </row>
    <row r="137" spans="1:9">
      <c r="A137" t="s">
        <v>938</v>
      </c>
      <c r="B137" t="s">
        <v>1042</v>
      </c>
      <c r="C137" t="s">
        <v>13</v>
      </c>
      <c r="D137" t="s">
        <v>86</v>
      </c>
      <c r="E137" t="s">
        <v>619</v>
      </c>
      <c r="F137" t="s">
        <v>1018</v>
      </c>
      <c r="G137" t="s">
        <v>86</v>
      </c>
      <c r="H137" t="s">
        <v>930</v>
      </c>
      <c r="I137" t="s">
        <v>6</v>
      </c>
    </row>
    <row r="138" spans="1:9">
      <c r="A138" t="s">
        <v>938</v>
      </c>
      <c r="B138" t="s">
        <v>1043</v>
      </c>
      <c r="C138" t="s">
        <v>4</v>
      </c>
      <c r="D138" t="s">
        <v>649</v>
      </c>
      <c r="E138" t="s">
        <v>649</v>
      </c>
      <c r="F138" t="s">
        <v>1018</v>
      </c>
      <c r="G138" t="s">
        <v>86</v>
      </c>
      <c r="H138" t="s">
        <v>930</v>
      </c>
      <c r="I138" t="s">
        <v>650</v>
      </c>
    </row>
    <row r="139" spans="1:9">
      <c r="A139" t="s">
        <v>938</v>
      </c>
      <c r="B139" t="s">
        <v>1043</v>
      </c>
      <c r="C139" t="s">
        <v>6</v>
      </c>
      <c r="D139" t="s">
        <v>650</v>
      </c>
      <c r="E139" t="s">
        <v>649</v>
      </c>
      <c r="F139" t="s">
        <v>1018</v>
      </c>
      <c r="G139" t="s">
        <v>86</v>
      </c>
      <c r="H139" t="s">
        <v>930</v>
      </c>
      <c r="I139" t="s">
        <v>650</v>
      </c>
    </row>
    <row r="140" spans="1:9">
      <c r="A140" t="s">
        <v>938</v>
      </c>
      <c r="B140" t="s">
        <v>1043</v>
      </c>
      <c r="C140" t="s">
        <v>7</v>
      </c>
      <c r="D140">
        <v>20</v>
      </c>
      <c r="E140" t="s">
        <v>649</v>
      </c>
      <c r="F140" t="s">
        <v>1018</v>
      </c>
      <c r="G140" t="s">
        <v>86</v>
      </c>
      <c r="H140" t="s">
        <v>930</v>
      </c>
      <c r="I140" t="s">
        <v>650</v>
      </c>
    </row>
    <row r="141" spans="1:9">
      <c r="A141" t="s">
        <v>938</v>
      </c>
      <c r="B141" t="s">
        <v>1043</v>
      </c>
      <c r="C141" t="s">
        <v>8</v>
      </c>
      <c r="D141">
        <v>2</v>
      </c>
      <c r="E141" t="s">
        <v>649</v>
      </c>
      <c r="F141" t="s">
        <v>1018</v>
      </c>
      <c r="G141" t="s">
        <v>86</v>
      </c>
      <c r="H141" t="s">
        <v>930</v>
      </c>
      <c r="I141" t="s">
        <v>650</v>
      </c>
    </row>
    <row r="142" spans="1:9">
      <c r="A142" t="s">
        <v>938</v>
      </c>
      <c r="B142" t="s">
        <v>1043</v>
      </c>
      <c r="C142" t="s">
        <v>10</v>
      </c>
      <c r="D142">
        <v>6</v>
      </c>
      <c r="E142" t="s">
        <v>649</v>
      </c>
      <c r="F142" t="s">
        <v>1018</v>
      </c>
      <c r="G142" t="s">
        <v>86</v>
      </c>
      <c r="H142" t="s">
        <v>930</v>
      </c>
      <c r="I142" t="s">
        <v>650</v>
      </c>
    </row>
    <row r="143" spans="1:9">
      <c r="A143" t="s">
        <v>938</v>
      </c>
      <c r="B143" t="s">
        <v>1043</v>
      </c>
      <c r="C143" t="s">
        <v>11</v>
      </c>
      <c r="D143" t="s">
        <v>653</v>
      </c>
      <c r="E143" t="s">
        <v>649</v>
      </c>
      <c r="F143" t="s">
        <v>1018</v>
      </c>
      <c r="G143" t="s">
        <v>86</v>
      </c>
      <c r="H143" t="s">
        <v>930</v>
      </c>
      <c r="I143" t="s">
        <v>650</v>
      </c>
    </row>
    <row r="144" spans="1:9">
      <c r="A144" t="s">
        <v>938</v>
      </c>
      <c r="B144" t="s">
        <v>1043</v>
      </c>
      <c r="C144" t="s">
        <v>12</v>
      </c>
      <c r="D144" t="s">
        <v>454</v>
      </c>
      <c r="E144" t="s">
        <v>649</v>
      </c>
      <c r="F144" t="s">
        <v>1018</v>
      </c>
      <c r="G144" t="s">
        <v>86</v>
      </c>
      <c r="H144" t="s">
        <v>930</v>
      </c>
      <c r="I144" t="s">
        <v>650</v>
      </c>
    </row>
    <row r="145" spans="1:9">
      <c r="A145" t="s">
        <v>938</v>
      </c>
      <c r="B145" t="s">
        <v>1043</v>
      </c>
      <c r="C145" t="s">
        <v>13</v>
      </c>
      <c r="D145" t="s">
        <v>86</v>
      </c>
      <c r="E145" t="s">
        <v>649</v>
      </c>
      <c r="F145" t="s">
        <v>1018</v>
      </c>
      <c r="G145" t="s">
        <v>86</v>
      </c>
      <c r="H145" t="s">
        <v>930</v>
      </c>
      <c r="I145" t="s">
        <v>650</v>
      </c>
    </row>
    <row r="146" spans="1:9">
      <c r="A146" t="s">
        <v>938</v>
      </c>
      <c r="B146" t="s">
        <v>1045</v>
      </c>
      <c r="C146" t="s">
        <v>4</v>
      </c>
      <c r="D146" t="s">
        <v>720</v>
      </c>
      <c r="E146" t="s">
        <v>720</v>
      </c>
      <c r="F146" t="s">
        <v>1018</v>
      </c>
      <c r="G146" t="s">
        <v>86</v>
      </c>
      <c r="H146" t="s">
        <v>930</v>
      </c>
      <c r="I146" t="s">
        <v>920</v>
      </c>
    </row>
    <row r="147" spans="1:9">
      <c r="A147" t="s">
        <v>938</v>
      </c>
      <c r="B147" t="s">
        <v>1045</v>
      </c>
      <c r="C147" t="s">
        <v>6</v>
      </c>
      <c r="D147" t="s">
        <v>722</v>
      </c>
      <c r="E147" t="s">
        <v>720</v>
      </c>
      <c r="F147" t="s">
        <v>1018</v>
      </c>
      <c r="G147" t="s">
        <v>86</v>
      </c>
      <c r="H147" t="s">
        <v>930</v>
      </c>
      <c r="I147" t="s">
        <v>920</v>
      </c>
    </row>
    <row r="148" spans="1:9">
      <c r="A148" t="s">
        <v>938</v>
      </c>
      <c r="B148" t="s">
        <v>1045</v>
      </c>
      <c r="C148" t="s">
        <v>7</v>
      </c>
      <c r="D148">
        <v>20</v>
      </c>
      <c r="E148" t="s">
        <v>720</v>
      </c>
      <c r="F148" t="s">
        <v>1018</v>
      </c>
      <c r="G148" t="s">
        <v>86</v>
      </c>
      <c r="H148" t="s">
        <v>930</v>
      </c>
      <c r="I148" t="s">
        <v>920</v>
      </c>
    </row>
    <row r="149" spans="1:9">
      <c r="A149" t="s">
        <v>938</v>
      </c>
      <c r="B149" t="s">
        <v>1045</v>
      </c>
      <c r="C149" t="s">
        <v>8</v>
      </c>
      <c r="D149" t="s">
        <v>723</v>
      </c>
      <c r="E149" t="s">
        <v>720</v>
      </c>
      <c r="F149" t="s">
        <v>1018</v>
      </c>
      <c r="G149" t="s">
        <v>86</v>
      </c>
      <c r="H149" t="s">
        <v>930</v>
      </c>
      <c r="I149" t="s">
        <v>920</v>
      </c>
    </row>
    <row r="150" spans="1:9">
      <c r="A150" t="s">
        <v>938</v>
      </c>
      <c r="B150" t="s">
        <v>1045</v>
      </c>
      <c r="C150" t="s">
        <v>10</v>
      </c>
      <c r="D150">
        <v>6</v>
      </c>
      <c r="E150" t="s">
        <v>720</v>
      </c>
      <c r="F150" t="s">
        <v>1018</v>
      </c>
      <c r="G150" t="s">
        <v>86</v>
      </c>
      <c r="H150" t="s">
        <v>930</v>
      </c>
      <c r="I150" t="s">
        <v>920</v>
      </c>
    </row>
    <row r="151" spans="1:9">
      <c r="A151" t="s">
        <v>938</v>
      </c>
      <c r="B151" t="s">
        <v>1045</v>
      </c>
      <c r="C151" t="s">
        <v>11</v>
      </c>
      <c r="D151" t="s">
        <v>725</v>
      </c>
      <c r="E151" t="s">
        <v>720</v>
      </c>
      <c r="F151" t="s">
        <v>1018</v>
      </c>
      <c r="G151" t="s">
        <v>86</v>
      </c>
      <c r="H151" t="s">
        <v>930</v>
      </c>
      <c r="I151" t="s">
        <v>920</v>
      </c>
    </row>
    <row r="152" spans="1:9">
      <c r="A152" t="s">
        <v>938</v>
      </c>
      <c r="B152" t="s">
        <v>1045</v>
      </c>
      <c r="C152" t="s">
        <v>12</v>
      </c>
      <c r="D152" t="s">
        <v>85</v>
      </c>
      <c r="E152" t="s">
        <v>720</v>
      </c>
      <c r="F152" t="s">
        <v>1018</v>
      </c>
      <c r="G152" t="s">
        <v>86</v>
      </c>
      <c r="H152" t="s">
        <v>930</v>
      </c>
      <c r="I152" t="s">
        <v>920</v>
      </c>
    </row>
    <row r="153" spans="1:9">
      <c r="A153" t="s">
        <v>938</v>
      </c>
      <c r="B153" t="s">
        <v>1045</v>
      </c>
      <c r="C153" t="s">
        <v>13</v>
      </c>
      <c r="D153" t="s">
        <v>86</v>
      </c>
      <c r="E153" t="s">
        <v>720</v>
      </c>
      <c r="F153" t="s">
        <v>1018</v>
      </c>
      <c r="G153" t="s">
        <v>86</v>
      </c>
      <c r="H153" t="s">
        <v>930</v>
      </c>
      <c r="I153" t="s">
        <v>920</v>
      </c>
    </row>
    <row r="154" spans="1:9">
      <c r="A154" t="s">
        <v>938</v>
      </c>
      <c r="B154" t="s">
        <v>1044</v>
      </c>
      <c r="C154" t="s">
        <v>4</v>
      </c>
      <c r="D154" t="s">
        <v>686</v>
      </c>
      <c r="E154" t="s">
        <v>686</v>
      </c>
      <c r="F154" t="s">
        <v>1018</v>
      </c>
      <c r="G154" t="s">
        <v>86</v>
      </c>
      <c r="H154" t="s">
        <v>930</v>
      </c>
      <c r="I154" t="s">
        <v>688</v>
      </c>
    </row>
    <row r="155" spans="1:9">
      <c r="A155" t="s">
        <v>938</v>
      </c>
      <c r="B155" t="s">
        <v>1044</v>
      </c>
      <c r="C155" t="s">
        <v>6</v>
      </c>
      <c r="D155" t="s">
        <v>688</v>
      </c>
      <c r="E155" t="s">
        <v>686</v>
      </c>
      <c r="F155" t="s">
        <v>1018</v>
      </c>
      <c r="G155" t="s">
        <v>86</v>
      </c>
      <c r="H155" t="s">
        <v>930</v>
      </c>
      <c r="I155" t="s">
        <v>688</v>
      </c>
    </row>
    <row r="156" spans="1:9">
      <c r="A156" t="s">
        <v>938</v>
      </c>
      <c r="B156" t="s">
        <v>1044</v>
      </c>
      <c r="C156" t="s">
        <v>7</v>
      </c>
      <c r="E156" t="s">
        <v>686</v>
      </c>
      <c r="F156" t="s">
        <v>1018</v>
      </c>
      <c r="G156" t="s">
        <v>86</v>
      </c>
      <c r="H156" t="s">
        <v>930</v>
      </c>
      <c r="I156" t="s">
        <v>688</v>
      </c>
    </row>
    <row r="157" spans="1:9">
      <c r="A157" t="s">
        <v>938</v>
      </c>
      <c r="B157" t="s">
        <v>1044</v>
      </c>
      <c r="C157" t="s">
        <v>8</v>
      </c>
      <c r="E157" t="s">
        <v>686</v>
      </c>
      <c r="F157" t="s">
        <v>1018</v>
      </c>
      <c r="G157" t="s">
        <v>86</v>
      </c>
      <c r="H157" t="s">
        <v>930</v>
      </c>
      <c r="I157" t="s">
        <v>688</v>
      </c>
    </row>
    <row r="158" spans="1:9">
      <c r="A158" t="s">
        <v>938</v>
      </c>
      <c r="B158" t="s">
        <v>1044</v>
      </c>
      <c r="C158" t="s">
        <v>10</v>
      </c>
      <c r="E158" t="s">
        <v>686</v>
      </c>
      <c r="F158" t="s">
        <v>1018</v>
      </c>
      <c r="G158" t="s">
        <v>86</v>
      </c>
      <c r="H158" t="s">
        <v>930</v>
      </c>
      <c r="I158" t="s">
        <v>688</v>
      </c>
    </row>
    <row r="159" spans="1:9">
      <c r="A159" t="s">
        <v>938</v>
      </c>
      <c r="B159" t="s">
        <v>1044</v>
      </c>
      <c r="C159" t="s">
        <v>11</v>
      </c>
      <c r="E159" t="s">
        <v>686</v>
      </c>
      <c r="F159" t="s">
        <v>1018</v>
      </c>
      <c r="G159" t="s">
        <v>86</v>
      </c>
      <c r="H159" t="s">
        <v>930</v>
      </c>
      <c r="I159" t="s">
        <v>688</v>
      </c>
    </row>
    <row r="160" spans="1:9">
      <c r="A160" t="s">
        <v>938</v>
      </c>
      <c r="B160" t="s">
        <v>1044</v>
      </c>
      <c r="C160" t="s">
        <v>12</v>
      </c>
      <c r="D160" t="s">
        <v>454</v>
      </c>
      <c r="E160" t="s">
        <v>686</v>
      </c>
      <c r="F160" t="s">
        <v>1018</v>
      </c>
      <c r="G160" t="s">
        <v>86</v>
      </c>
      <c r="H160" t="s">
        <v>930</v>
      </c>
      <c r="I160" t="s">
        <v>688</v>
      </c>
    </row>
    <row r="161" spans="1:9">
      <c r="A161" t="s">
        <v>938</v>
      </c>
      <c r="B161" t="s">
        <v>1044</v>
      </c>
      <c r="C161" t="s">
        <v>13</v>
      </c>
      <c r="E161" t="s">
        <v>686</v>
      </c>
      <c r="F161" t="s">
        <v>1018</v>
      </c>
      <c r="G161" t="s">
        <v>86</v>
      </c>
      <c r="H161" t="s">
        <v>930</v>
      </c>
      <c r="I161" t="s">
        <v>688</v>
      </c>
    </row>
    <row r="162" spans="1:9">
      <c r="A162" t="s">
        <v>938</v>
      </c>
      <c r="B162" t="s">
        <v>1034</v>
      </c>
      <c r="C162" t="s">
        <v>4</v>
      </c>
      <c r="D162" t="s">
        <v>742</v>
      </c>
      <c r="E162" t="s">
        <v>742</v>
      </c>
      <c r="F162" t="s">
        <v>1018</v>
      </c>
      <c r="G162" t="s">
        <v>86</v>
      </c>
      <c r="H162" t="s">
        <v>930</v>
      </c>
      <c r="I162" t="s">
        <v>744</v>
      </c>
    </row>
    <row r="163" spans="1:9">
      <c r="A163" t="s">
        <v>938</v>
      </c>
      <c r="B163" t="s">
        <v>1034</v>
      </c>
      <c r="C163" t="s">
        <v>6</v>
      </c>
      <c r="D163" t="s">
        <v>744</v>
      </c>
      <c r="E163" t="s">
        <v>742</v>
      </c>
      <c r="F163" t="s">
        <v>1018</v>
      </c>
      <c r="G163" t="s">
        <v>86</v>
      </c>
      <c r="H163" t="s">
        <v>930</v>
      </c>
      <c r="I163" t="s">
        <v>744</v>
      </c>
    </row>
    <row r="164" spans="1:9">
      <c r="A164" t="s">
        <v>938</v>
      </c>
      <c r="B164" t="s">
        <v>1034</v>
      </c>
      <c r="C164" t="s">
        <v>7</v>
      </c>
      <c r="D164">
        <v>20</v>
      </c>
      <c r="E164" t="s">
        <v>742</v>
      </c>
      <c r="F164" t="s">
        <v>1018</v>
      </c>
      <c r="G164" t="s">
        <v>86</v>
      </c>
      <c r="H164" t="s">
        <v>930</v>
      </c>
      <c r="I164" t="s">
        <v>744</v>
      </c>
    </row>
    <row r="165" spans="1:9">
      <c r="A165" t="s">
        <v>938</v>
      </c>
      <c r="B165" t="s">
        <v>1034</v>
      </c>
      <c r="C165" t="s">
        <v>8</v>
      </c>
      <c r="D165">
        <v>1</v>
      </c>
      <c r="E165" t="s">
        <v>742</v>
      </c>
      <c r="F165" t="s">
        <v>1018</v>
      </c>
      <c r="G165" t="s">
        <v>86</v>
      </c>
      <c r="H165" t="s">
        <v>930</v>
      </c>
      <c r="I165" t="s">
        <v>744</v>
      </c>
    </row>
    <row r="166" spans="1:9">
      <c r="A166" t="s">
        <v>938</v>
      </c>
      <c r="B166" t="s">
        <v>1034</v>
      </c>
      <c r="C166" t="s">
        <v>10</v>
      </c>
      <c r="D166">
        <v>6</v>
      </c>
      <c r="E166" t="s">
        <v>742</v>
      </c>
      <c r="F166" t="s">
        <v>1018</v>
      </c>
      <c r="G166" t="s">
        <v>86</v>
      </c>
      <c r="H166" t="s">
        <v>930</v>
      </c>
      <c r="I166" t="s">
        <v>744</v>
      </c>
    </row>
    <row r="167" spans="1:9">
      <c r="A167" t="s">
        <v>938</v>
      </c>
      <c r="B167" t="s">
        <v>1034</v>
      </c>
      <c r="C167" t="s">
        <v>11</v>
      </c>
      <c r="D167" t="s">
        <v>746</v>
      </c>
      <c r="E167" t="s">
        <v>742</v>
      </c>
      <c r="F167" t="s">
        <v>1018</v>
      </c>
      <c r="G167" t="s">
        <v>86</v>
      </c>
      <c r="H167" t="s">
        <v>930</v>
      </c>
      <c r="I167" t="s">
        <v>744</v>
      </c>
    </row>
    <row r="168" spans="1:9">
      <c r="A168" t="s">
        <v>938</v>
      </c>
      <c r="B168" t="s">
        <v>1034</v>
      </c>
      <c r="C168" t="s">
        <v>12</v>
      </c>
      <c r="D168" t="s">
        <v>454</v>
      </c>
      <c r="E168" t="s">
        <v>742</v>
      </c>
      <c r="F168" t="s">
        <v>1018</v>
      </c>
      <c r="G168" t="s">
        <v>86</v>
      </c>
      <c r="H168" t="s">
        <v>930</v>
      </c>
      <c r="I168" t="s">
        <v>744</v>
      </c>
    </row>
    <row r="169" spans="1:9">
      <c r="A169" t="s">
        <v>938</v>
      </c>
      <c r="B169" t="s">
        <v>1034</v>
      </c>
      <c r="C169" t="s">
        <v>13</v>
      </c>
      <c r="D169" t="s">
        <v>747</v>
      </c>
      <c r="E169" t="s">
        <v>742</v>
      </c>
      <c r="F169" t="s">
        <v>1018</v>
      </c>
      <c r="G169" t="s">
        <v>86</v>
      </c>
      <c r="H169" t="s">
        <v>930</v>
      </c>
      <c r="I169" t="s">
        <v>744</v>
      </c>
    </row>
    <row r="170" spans="1:9">
      <c r="A170" t="s">
        <v>938</v>
      </c>
      <c r="B170" t="s">
        <v>1035</v>
      </c>
      <c r="C170" t="s">
        <v>4</v>
      </c>
      <c r="D170" t="s">
        <v>777</v>
      </c>
      <c r="E170" t="s">
        <v>777</v>
      </c>
      <c r="F170" t="s">
        <v>1018</v>
      </c>
      <c r="G170" t="s">
        <v>86</v>
      </c>
      <c r="H170" t="s">
        <v>930</v>
      </c>
      <c r="I170" t="s">
        <v>779</v>
      </c>
    </row>
    <row r="171" spans="1:9">
      <c r="A171" t="s">
        <v>938</v>
      </c>
      <c r="B171" t="s">
        <v>1035</v>
      </c>
      <c r="C171" t="s">
        <v>6</v>
      </c>
      <c r="D171" t="s">
        <v>779</v>
      </c>
      <c r="E171" t="s">
        <v>777</v>
      </c>
      <c r="F171" t="s">
        <v>1018</v>
      </c>
      <c r="G171" t="s">
        <v>86</v>
      </c>
      <c r="H171" t="s">
        <v>930</v>
      </c>
      <c r="I171" t="s">
        <v>779</v>
      </c>
    </row>
    <row r="172" spans="1:9">
      <c r="A172" t="s">
        <v>938</v>
      </c>
      <c r="B172" t="s">
        <v>1035</v>
      </c>
      <c r="C172" t="s">
        <v>7</v>
      </c>
      <c r="D172">
        <v>20</v>
      </c>
      <c r="E172" t="s">
        <v>777</v>
      </c>
      <c r="F172" t="s">
        <v>1018</v>
      </c>
      <c r="G172" t="s">
        <v>86</v>
      </c>
      <c r="H172" t="s">
        <v>930</v>
      </c>
      <c r="I172" t="s">
        <v>779</v>
      </c>
    </row>
    <row r="173" spans="1:9">
      <c r="A173" t="s">
        <v>938</v>
      </c>
      <c r="B173" t="s">
        <v>1035</v>
      </c>
      <c r="C173" t="s">
        <v>8</v>
      </c>
      <c r="D173">
        <v>1</v>
      </c>
      <c r="E173" t="s">
        <v>777</v>
      </c>
      <c r="F173" t="s">
        <v>1018</v>
      </c>
      <c r="G173" t="s">
        <v>86</v>
      </c>
      <c r="H173" t="s">
        <v>930</v>
      </c>
      <c r="I173" t="s">
        <v>779</v>
      </c>
    </row>
    <row r="174" spans="1:9">
      <c r="A174" t="s">
        <v>938</v>
      </c>
      <c r="B174" t="s">
        <v>1035</v>
      </c>
      <c r="C174" t="s">
        <v>10</v>
      </c>
      <c r="D174">
        <v>6</v>
      </c>
      <c r="E174" t="s">
        <v>777</v>
      </c>
      <c r="F174" t="s">
        <v>1018</v>
      </c>
      <c r="G174" t="s">
        <v>86</v>
      </c>
      <c r="H174" t="s">
        <v>930</v>
      </c>
      <c r="I174" t="s">
        <v>779</v>
      </c>
    </row>
    <row r="175" spans="1:9">
      <c r="A175" t="s">
        <v>938</v>
      </c>
      <c r="B175" t="s">
        <v>1035</v>
      </c>
      <c r="C175" t="s">
        <v>11</v>
      </c>
      <c r="D175" t="s">
        <v>781</v>
      </c>
      <c r="E175" t="s">
        <v>777</v>
      </c>
      <c r="F175" t="s">
        <v>1018</v>
      </c>
      <c r="G175" t="s">
        <v>86</v>
      </c>
      <c r="H175" t="s">
        <v>930</v>
      </c>
      <c r="I175" t="s">
        <v>779</v>
      </c>
    </row>
    <row r="176" spans="1:9">
      <c r="A176" t="s">
        <v>938</v>
      </c>
      <c r="B176" t="s">
        <v>1035</v>
      </c>
      <c r="C176" t="s">
        <v>12</v>
      </c>
      <c r="D176" t="s">
        <v>454</v>
      </c>
      <c r="E176" t="s">
        <v>777</v>
      </c>
      <c r="F176" t="s">
        <v>1018</v>
      </c>
      <c r="G176" t="s">
        <v>86</v>
      </c>
      <c r="H176" t="s">
        <v>930</v>
      </c>
      <c r="I176" t="s">
        <v>779</v>
      </c>
    </row>
    <row r="177" spans="1:9">
      <c r="A177" t="s">
        <v>938</v>
      </c>
      <c r="B177" t="s">
        <v>1035</v>
      </c>
      <c r="C177" t="s">
        <v>13</v>
      </c>
      <c r="D177" t="s">
        <v>747</v>
      </c>
      <c r="E177" t="s">
        <v>777</v>
      </c>
      <c r="F177" t="s">
        <v>1018</v>
      </c>
      <c r="G177" t="s">
        <v>86</v>
      </c>
      <c r="H177" t="s">
        <v>930</v>
      </c>
      <c r="I177" t="s">
        <v>779</v>
      </c>
    </row>
    <row r="178" spans="1:9">
      <c r="A178" t="s">
        <v>938</v>
      </c>
      <c r="B178" t="s">
        <v>1036</v>
      </c>
      <c r="C178" t="s">
        <v>4</v>
      </c>
      <c r="D178" t="s">
        <v>804</v>
      </c>
      <c r="E178" t="s">
        <v>804</v>
      </c>
      <c r="F178" t="s">
        <v>1018</v>
      </c>
      <c r="G178" t="s">
        <v>86</v>
      </c>
      <c r="H178" t="s">
        <v>930</v>
      </c>
      <c r="I178" t="s">
        <v>806</v>
      </c>
    </row>
    <row r="179" spans="1:9">
      <c r="A179" t="s">
        <v>938</v>
      </c>
      <c r="B179" t="s">
        <v>1036</v>
      </c>
      <c r="C179" t="s">
        <v>6</v>
      </c>
      <c r="D179" t="s">
        <v>806</v>
      </c>
      <c r="E179" t="s">
        <v>804</v>
      </c>
      <c r="F179" t="s">
        <v>1018</v>
      </c>
      <c r="G179" t="s">
        <v>86</v>
      </c>
      <c r="H179" t="s">
        <v>930</v>
      </c>
      <c r="I179" t="s">
        <v>806</v>
      </c>
    </row>
    <row r="180" spans="1:9">
      <c r="A180" t="s">
        <v>938</v>
      </c>
      <c r="B180" t="s">
        <v>1036</v>
      </c>
      <c r="C180" t="s">
        <v>7</v>
      </c>
      <c r="D180">
        <v>20</v>
      </c>
      <c r="E180" t="s">
        <v>804</v>
      </c>
      <c r="F180" t="s">
        <v>1018</v>
      </c>
      <c r="G180" t="s">
        <v>86</v>
      </c>
      <c r="H180" t="s">
        <v>930</v>
      </c>
      <c r="I180" t="s">
        <v>806</v>
      </c>
    </row>
    <row r="181" spans="1:9">
      <c r="A181" t="s">
        <v>938</v>
      </c>
      <c r="B181" t="s">
        <v>1036</v>
      </c>
      <c r="C181" t="s">
        <v>8</v>
      </c>
      <c r="D181">
        <v>1</v>
      </c>
      <c r="E181" t="s">
        <v>804</v>
      </c>
      <c r="F181" t="s">
        <v>1018</v>
      </c>
      <c r="G181" t="s">
        <v>86</v>
      </c>
      <c r="H181" t="s">
        <v>930</v>
      </c>
      <c r="I181" t="s">
        <v>806</v>
      </c>
    </row>
    <row r="182" spans="1:9">
      <c r="A182" t="s">
        <v>938</v>
      </c>
      <c r="B182" t="s">
        <v>1036</v>
      </c>
      <c r="C182" t="s">
        <v>10</v>
      </c>
      <c r="D182">
        <v>6</v>
      </c>
      <c r="E182" t="s">
        <v>804</v>
      </c>
      <c r="F182" t="s">
        <v>1018</v>
      </c>
      <c r="G182" t="s">
        <v>86</v>
      </c>
      <c r="H182" t="s">
        <v>930</v>
      </c>
      <c r="I182" t="s">
        <v>806</v>
      </c>
    </row>
    <row r="183" spans="1:9">
      <c r="A183" t="s">
        <v>938</v>
      </c>
      <c r="B183" t="s">
        <v>1036</v>
      </c>
      <c r="C183" t="s">
        <v>11</v>
      </c>
      <c r="D183" t="s">
        <v>808</v>
      </c>
      <c r="E183" t="s">
        <v>804</v>
      </c>
      <c r="F183" t="s">
        <v>1018</v>
      </c>
      <c r="G183" t="s">
        <v>86</v>
      </c>
      <c r="H183" t="s">
        <v>930</v>
      </c>
      <c r="I183" t="s">
        <v>806</v>
      </c>
    </row>
    <row r="184" spans="1:9">
      <c r="A184" t="s">
        <v>938</v>
      </c>
      <c r="B184" t="s">
        <v>1036</v>
      </c>
      <c r="C184" t="s">
        <v>12</v>
      </c>
      <c r="D184" t="s">
        <v>454</v>
      </c>
      <c r="E184" t="s">
        <v>804</v>
      </c>
      <c r="F184" t="s">
        <v>1018</v>
      </c>
      <c r="G184" t="s">
        <v>86</v>
      </c>
      <c r="H184" t="s">
        <v>930</v>
      </c>
      <c r="I184" t="s">
        <v>806</v>
      </c>
    </row>
    <row r="185" spans="1:9">
      <c r="A185" t="s">
        <v>938</v>
      </c>
      <c r="B185" t="s">
        <v>1036</v>
      </c>
      <c r="C185" t="s">
        <v>13</v>
      </c>
      <c r="D185" t="s">
        <v>747</v>
      </c>
      <c r="E185" t="s">
        <v>804</v>
      </c>
      <c r="F185" t="s">
        <v>1018</v>
      </c>
      <c r="G185" t="s">
        <v>86</v>
      </c>
      <c r="H185" t="s">
        <v>930</v>
      </c>
      <c r="I185" t="s">
        <v>806</v>
      </c>
    </row>
    <row r="186" spans="1:9">
      <c r="A186" t="s">
        <v>938</v>
      </c>
      <c r="B186" t="s">
        <v>1033</v>
      </c>
      <c r="C186" t="s">
        <v>4</v>
      </c>
      <c r="D186" t="s">
        <v>917</v>
      </c>
      <c r="E186" t="s">
        <v>917</v>
      </c>
      <c r="F186" t="s">
        <v>1018</v>
      </c>
      <c r="G186" t="s">
        <v>86</v>
      </c>
      <c r="H186" t="s">
        <v>930</v>
      </c>
      <c r="I186" t="s">
        <v>918</v>
      </c>
    </row>
    <row r="187" spans="1:9">
      <c r="A187" t="s">
        <v>938</v>
      </c>
      <c r="B187" t="s">
        <v>1033</v>
      </c>
      <c r="C187" t="s">
        <v>6</v>
      </c>
      <c r="D187" t="s">
        <v>918</v>
      </c>
      <c r="E187" t="s">
        <v>917</v>
      </c>
      <c r="F187" t="s">
        <v>1018</v>
      </c>
      <c r="G187" t="s">
        <v>86</v>
      </c>
      <c r="H187" t="s">
        <v>930</v>
      </c>
      <c r="I187" t="s">
        <v>918</v>
      </c>
    </row>
    <row r="188" spans="1:9">
      <c r="A188" t="s">
        <v>938</v>
      </c>
      <c r="B188" t="s">
        <v>1033</v>
      </c>
      <c r="C188" t="s">
        <v>7</v>
      </c>
      <c r="D188">
        <v>40</v>
      </c>
      <c r="E188" t="s">
        <v>917</v>
      </c>
      <c r="F188" t="s">
        <v>1018</v>
      </c>
      <c r="G188" t="s">
        <v>86</v>
      </c>
      <c r="H188" t="s">
        <v>930</v>
      </c>
      <c r="I188" t="s">
        <v>918</v>
      </c>
    </row>
    <row r="189" spans="1:9">
      <c r="A189" t="s">
        <v>938</v>
      </c>
      <c r="B189" t="s">
        <v>1033</v>
      </c>
      <c r="C189" t="s">
        <v>8</v>
      </c>
      <c r="D189" t="s">
        <v>723</v>
      </c>
      <c r="E189" t="s">
        <v>917</v>
      </c>
      <c r="F189" t="s">
        <v>1018</v>
      </c>
      <c r="G189" t="s">
        <v>86</v>
      </c>
      <c r="H189" t="s">
        <v>930</v>
      </c>
      <c r="I189" t="s">
        <v>918</v>
      </c>
    </row>
    <row r="190" spans="1:9">
      <c r="A190" t="s">
        <v>938</v>
      </c>
      <c r="B190" t="s">
        <v>1033</v>
      </c>
      <c r="C190" t="s">
        <v>10</v>
      </c>
      <c r="D190">
        <v>6</v>
      </c>
      <c r="E190" t="s">
        <v>917</v>
      </c>
      <c r="F190" t="s">
        <v>1018</v>
      </c>
      <c r="G190" t="s">
        <v>86</v>
      </c>
      <c r="H190" t="s">
        <v>930</v>
      </c>
      <c r="I190" t="s">
        <v>918</v>
      </c>
    </row>
    <row r="191" spans="1:9">
      <c r="A191" t="s">
        <v>938</v>
      </c>
      <c r="B191" t="s">
        <v>1033</v>
      </c>
      <c r="C191" t="s">
        <v>11</v>
      </c>
      <c r="E191" t="s">
        <v>917</v>
      </c>
      <c r="F191" t="s">
        <v>1018</v>
      </c>
      <c r="G191" t="s">
        <v>86</v>
      </c>
      <c r="H191" t="s">
        <v>930</v>
      </c>
      <c r="I191" t="s">
        <v>918</v>
      </c>
    </row>
    <row r="192" spans="1:9">
      <c r="A192" t="s">
        <v>938</v>
      </c>
      <c r="B192" t="s">
        <v>1033</v>
      </c>
      <c r="C192" t="s">
        <v>12</v>
      </c>
      <c r="D192" t="s">
        <v>847</v>
      </c>
      <c r="E192" t="s">
        <v>917</v>
      </c>
      <c r="F192" t="s">
        <v>1018</v>
      </c>
      <c r="G192" t="s">
        <v>86</v>
      </c>
      <c r="H192" t="s">
        <v>930</v>
      </c>
      <c r="I192" t="s">
        <v>918</v>
      </c>
    </row>
    <row r="193" spans="1:9">
      <c r="A193" t="s">
        <v>938</v>
      </c>
      <c r="B193" t="s">
        <v>1033</v>
      </c>
      <c r="C193" t="s">
        <v>13</v>
      </c>
      <c r="D193" t="s">
        <v>181</v>
      </c>
      <c r="E193" t="s">
        <v>917</v>
      </c>
      <c r="F193" t="s">
        <v>1018</v>
      </c>
      <c r="G193" t="s">
        <v>86</v>
      </c>
      <c r="H193" t="s">
        <v>930</v>
      </c>
      <c r="I193" t="s">
        <v>918</v>
      </c>
    </row>
    <row r="194" spans="1:9">
      <c r="A194" t="s">
        <v>931</v>
      </c>
      <c r="B194" t="s">
        <v>1019</v>
      </c>
      <c r="C194" t="s">
        <v>4</v>
      </c>
      <c r="D194" t="s">
        <v>919</v>
      </c>
      <c r="E194" t="s">
        <v>919</v>
      </c>
      <c r="F194" t="s">
        <v>1018</v>
      </c>
      <c r="G194" t="s">
        <v>86</v>
      </c>
      <c r="H194" t="s">
        <v>930</v>
      </c>
      <c r="I194" t="s">
        <v>921</v>
      </c>
    </row>
    <row r="195" spans="1:9">
      <c r="A195" t="s">
        <v>931</v>
      </c>
      <c r="B195" t="s">
        <v>1019</v>
      </c>
      <c r="C195" t="s">
        <v>6</v>
      </c>
      <c r="D195" t="s">
        <v>921</v>
      </c>
      <c r="E195" t="s">
        <v>919</v>
      </c>
      <c r="F195" t="s">
        <v>1018</v>
      </c>
      <c r="G195" t="s">
        <v>86</v>
      </c>
      <c r="H195" t="s">
        <v>930</v>
      </c>
      <c r="I195" t="s">
        <v>921</v>
      </c>
    </row>
    <row r="196" spans="1:9">
      <c r="A196" t="s">
        <v>931</v>
      </c>
      <c r="B196" t="s">
        <v>1019</v>
      </c>
      <c r="C196" t="s">
        <v>7</v>
      </c>
      <c r="D196">
        <v>20</v>
      </c>
      <c r="E196" t="s">
        <v>919</v>
      </c>
      <c r="F196" t="s">
        <v>1018</v>
      </c>
      <c r="G196" t="s">
        <v>86</v>
      </c>
      <c r="H196" t="s">
        <v>930</v>
      </c>
      <c r="I196" t="s">
        <v>921</v>
      </c>
    </row>
    <row r="197" spans="1:9">
      <c r="A197" t="s">
        <v>931</v>
      </c>
      <c r="B197" t="s">
        <v>1019</v>
      </c>
      <c r="C197" t="s">
        <v>8</v>
      </c>
      <c r="D197">
        <v>1</v>
      </c>
      <c r="E197" t="s">
        <v>919</v>
      </c>
      <c r="F197" t="s">
        <v>1018</v>
      </c>
      <c r="G197" t="s">
        <v>86</v>
      </c>
      <c r="H197" t="s">
        <v>930</v>
      </c>
      <c r="I197" t="s">
        <v>921</v>
      </c>
    </row>
    <row r="198" spans="1:9">
      <c r="A198" t="s">
        <v>931</v>
      </c>
      <c r="B198" t="s">
        <v>1019</v>
      </c>
      <c r="C198" t="s">
        <v>10</v>
      </c>
      <c r="D198">
        <v>6</v>
      </c>
      <c r="E198" t="s">
        <v>919</v>
      </c>
      <c r="F198" t="s">
        <v>1018</v>
      </c>
      <c r="G198" t="s">
        <v>86</v>
      </c>
      <c r="H198" t="s">
        <v>930</v>
      </c>
      <c r="I198" t="s">
        <v>921</v>
      </c>
    </row>
    <row r="199" spans="1:9">
      <c r="A199" t="s">
        <v>931</v>
      </c>
      <c r="B199" t="s">
        <v>1019</v>
      </c>
      <c r="C199" t="s">
        <v>11</v>
      </c>
      <c r="D199" t="s">
        <v>1015</v>
      </c>
      <c r="E199" t="s">
        <v>919</v>
      </c>
      <c r="F199" t="s">
        <v>1018</v>
      </c>
      <c r="G199" t="s">
        <v>86</v>
      </c>
      <c r="H199" t="s">
        <v>930</v>
      </c>
      <c r="I199" t="s">
        <v>921</v>
      </c>
    </row>
    <row r="200" spans="1:9">
      <c r="A200" t="s">
        <v>931</v>
      </c>
      <c r="B200" t="s">
        <v>1019</v>
      </c>
      <c r="C200" t="s">
        <v>12</v>
      </c>
      <c r="D200" t="s">
        <v>454</v>
      </c>
      <c r="E200" t="s">
        <v>919</v>
      </c>
      <c r="F200" t="s">
        <v>1018</v>
      </c>
      <c r="G200" t="s">
        <v>86</v>
      </c>
      <c r="H200" t="s">
        <v>930</v>
      </c>
      <c r="I200" t="s">
        <v>921</v>
      </c>
    </row>
    <row r="201" spans="1:9">
      <c r="A201" t="s">
        <v>931</v>
      </c>
      <c r="B201" t="s">
        <v>1019</v>
      </c>
      <c r="C201" t="s">
        <v>13</v>
      </c>
      <c r="D201" t="s">
        <v>181</v>
      </c>
      <c r="E201" t="s">
        <v>919</v>
      </c>
      <c r="F201" t="s">
        <v>1018</v>
      </c>
      <c r="G201" t="s">
        <v>86</v>
      </c>
      <c r="H201" t="s">
        <v>930</v>
      </c>
      <c r="I201" t="s">
        <v>921</v>
      </c>
    </row>
    <row r="202" spans="1:9">
      <c r="A202" t="s">
        <v>933</v>
      </c>
      <c r="B202" t="s">
        <v>1020</v>
      </c>
      <c r="C202" t="s">
        <v>4</v>
      </c>
      <c r="D202" t="s">
        <v>899</v>
      </c>
      <c r="E202" t="s">
        <v>899</v>
      </c>
      <c r="F202" t="s">
        <v>1018</v>
      </c>
      <c r="G202" t="s">
        <v>86</v>
      </c>
      <c r="H202" t="s">
        <v>930</v>
      </c>
      <c r="I202" t="s">
        <v>900</v>
      </c>
    </row>
    <row r="203" spans="1:9">
      <c r="A203" t="s">
        <v>933</v>
      </c>
      <c r="B203" t="s">
        <v>1020</v>
      </c>
      <c r="C203" t="s">
        <v>6</v>
      </c>
      <c r="D203" t="s">
        <v>900</v>
      </c>
      <c r="E203" t="s">
        <v>899</v>
      </c>
      <c r="F203" t="s">
        <v>1018</v>
      </c>
      <c r="G203" t="s">
        <v>86</v>
      </c>
      <c r="H203" t="s">
        <v>930</v>
      </c>
      <c r="I203" t="s">
        <v>900</v>
      </c>
    </row>
    <row r="204" spans="1:9">
      <c r="A204" t="s">
        <v>933</v>
      </c>
      <c r="B204" t="s">
        <v>1020</v>
      </c>
      <c r="C204" t="s">
        <v>7</v>
      </c>
      <c r="D204">
        <v>20</v>
      </c>
      <c r="E204" t="s">
        <v>899</v>
      </c>
      <c r="F204" t="s">
        <v>1018</v>
      </c>
      <c r="G204" t="s">
        <v>86</v>
      </c>
      <c r="H204" t="s">
        <v>930</v>
      </c>
      <c r="I204" t="s">
        <v>900</v>
      </c>
    </row>
    <row r="205" spans="1:9">
      <c r="A205" t="s">
        <v>933</v>
      </c>
      <c r="B205" t="s">
        <v>1020</v>
      </c>
      <c r="C205" t="s">
        <v>8</v>
      </c>
      <c r="D205">
        <v>1</v>
      </c>
      <c r="E205" t="s">
        <v>899</v>
      </c>
      <c r="F205" t="s">
        <v>1018</v>
      </c>
      <c r="G205" t="s">
        <v>86</v>
      </c>
      <c r="H205" t="s">
        <v>930</v>
      </c>
      <c r="I205" t="s">
        <v>900</v>
      </c>
    </row>
    <row r="206" spans="1:9">
      <c r="A206" t="s">
        <v>933</v>
      </c>
      <c r="B206" t="s">
        <v>1020</v>
      </c>
      <c r="C206" t="s">
        <v>10</v>
      </c>
      <c r="D206">
        <v>4</v>
      </c>
      <c r="E206" t="s">
        <v>899</v>
      </c>
      <c r="F206" t="s">
        <v>1018</v>
      </c>
      <c r="G206" t="s">
        <v>86</v>
      </c>
      <c r="H206" t="s">
        <v>930</v>
      </c>
      <c r="I206" t="s">
        <v>900</v>
      </c>
    </row>
    <row r="207" spans="1:9">
      <c r="A207" t="s">
        <v>933</v>
      </c>
      <c r="B207" t="s">
        <v>1020</v>
      </c>
      <c r="C207" t="s">
        <v>11</v>
      </c>
      <c r="D207" t="s">
        <v>901</v>
      </c>
      <c r="E207" t="s">
        <v>899</v>
      </c>
      <c r="F207" t="s">
        <v>1018</v>
      </c>
      <c r="G207" t="s">
        <v>86</v>
      </c>
      <c r="H207" t="s">
        <v>930</v>
      </c>
      <c r="I207" t="s">
        <v>900</v>
      </c>
    </row>
    <row r="208" spans="1:9">
      <c r="A208" t="s">
        <v>933</v>
      </c>
      <c r="B208" t="s">
        <v>1020</v>
      </c>
      <c r="C208" t="s">
        <v>12</v>
      </c>
      <c r="D208" t="s">
        <v>146</v>
      </c>
      <c r="E208" t="s">
        <v>899</v>
      </c>
      <c r="F208" t="s">
        <v>1018</v>
      </c>
      <c r="G208" t="s">
        <v>86</v>
      </c>
      <c r="H208" t="s">
        <v>930</v>
      </c>
      <c r="I208" t="s">
        <v>900</v>
      </c>
    </row>
    <row r="209" spans="1:9">
      <c r="A209" t="s">
        <v>933</v>
      </c>
      <c r="B209" t="s">
        <v>1020</v>
      </c>
      <c r="C209" t="s">
        <v>13</v>
      </c>
      <c r="D209" t="s">
        <v>236</v>
      </c>
      <c r="E209" t="s">
        <v>899</v>
      </c>
      <c r="F209" t="s">
        <v>1018</v>
      </c>
      <c r="G209" t="s">
        <v>86</v>
      </c>
      <c r="H209" t="s">
        <v>930</v>
      </c>
      <c r="I209" t="s">
        <v>900</v>
      </c>
    </row>
    <row r="210" spans="1:9">
      <c r="A210" t="s">
        <v>933</v>
      </c>
      <c r="B210" t="s">
        <v>1021</v>
      </c>
      <c r="C210" t="s">
        <v>4</v>
      </c>
      <c r="D210" t="s">
        <v>907</v>
      </c>
      <c r="E210" t="s">
        <v>907</v>
      </c>
      <c r="F210" t="s">
        <v>1018</v>
      </c>
      <c r="G210" t="s">
        <v>86</v>
      </c>
      <c r="H210" t="s">
        <v>930</v>
      </c>
      <c r="I210" t="s">
        <v>935</v>
      </c>
    </row>
    <row r="211" spans="1:9">
      <c r="A211" t="s">
        <v>933</v>
      </c>
      <c r="B211" t="s">
        <v>1021</v>
      </c>
      <c r="C211" t="s">
        <v>6</v>
      </c>
      <c r="D211" t="s">
        <v>935</v>
      </c>
      <c r="E211" t="s">
        <v>907</v>
      </c>
      <c r="F211" t="s">
        <v>1018</v>
      </c>
      <c r="G211" t="s">
        <v>86</v>
      </c>
      <c r="H211" t="s">
        <v>930</v>
      </c>
      <c r="I211" t="s">
        <v>935</v>
      </c>
    </row>
    <row r="212" spans="1:9">
      <c r="A212" t="s">
        <v>933</v>
      </c>
      <c r="B212" t="s">
        <v>1021</v>
      </c>
      <c r="C212" t="s">
        <v>7</v>
      </c>
      <c r="D212">
        <v>20</v>
      </c>
      <c r="E212" t="s">
        <v>907</v>
      </c>
      <c r="F212" t="s">
        <v>1018</v>
      </c>
      <c r="G212" t="s">
        <v>86</v>
      </c>
      <c r="H212" t="s">
        <v>930</v>
      </c>
      <c r="I212" t="s">
        <v>935</v>
      </c>
    </row>
    <row r="213" spans="1:9">
      <c r="A213" t="s">
        <v>933</v>
      </c>
      <c r="B213" t="s">
        <v>1021</v>
      </c>
      <c r="C213" t="s">
        <v>8</v>
      </c>
      <c r="D213">
        <v>2</v>
      </c>
      <c r="E213" t="s">
        <v>907</v>
      </c>
      <c r="F213" t="s">
        <v>1018</v>
      </c>
      <c r="G213" t="s">
        <v>86</v>
      </c>
      <c r="H213" t="s">
        <v>930</v>
      </c>
      <c r="I213" t="s">
        <v>935</v>
      </c>
    </row>
    <row r="214" spans="1:9">
      <c r="A214" t="s">
        <v>933</v>
      </c>
      <c r="B214" t="s">
        <v>1021</v>
      </c>
      <c r="C214" t="s">
        <v>10</v>
      </c>
      <c r="D214">
        <v>5</v>
      </c>
      <c r="E214" t="s">
        <v>907</v>
      </c>
      <c r="F214" t="s">
        <v>1018</v>
      </c>
      <c r="G214" t="s">
        <v>86</v>
      </c>
      <c r="H214" t="s">
        <v>930</v>
      </c>
      <c r="I214" t="s">
        <v>935</v>
      </c>
    </row>
    <row r="215" spans="1:9">
      <c r="A215" t="s">
        <v>933</v>
      </c>
      <c r="B215" t="s">
        <v>1021</v>
      </c>
      <c r="C215" t="s">
        <v>11</v>
      </c>
      <c r="D215" t="s">
        <v>909</v>
      </c>
      <c r="E215" t="s">
        <v>907</v>
      </c>
      <c r="F215" t="s">
        <v>1018</v>
      </c>
      <c r="G215" t="s">
        <v>86</v>
      </c>
      <c r="H215" t="s">
        <v>930</v>
      </c>
      <c r="I215" t="s">
        <v>935</v>
      </c>
    </row>
    <row r="216" spans="1:9">
      <c r="A216" t="s">
        <v>933</v>
      </c>
      <c r="B216" t="s">
        <v>1021</v>
      </c>
      <c r="C216" t="s">
        <v>12</v>
      </c>
      <c r="D216" t="s">
        <v>146</v>
      </c>
      <c r="E216" t="s">
        <v>907</v>
      </c>
      <c r="F216" t="s">
        <v>1018</v>
      </c>
      <c r="G216" t="s">
        <v>86</v>
      </c>
      <c r="H216" t="s">
        <v>930</v>
      </c>
      <c r="I216" t="s">
        <v>935</v>
      </c>
    </row>
    <row r="217" spans="1:9">
      <c r="A217" t="s">
        <v>933</v>
      </c>
      <c r="B217" t="s">
        <v>1021</v>
      </c>
      <c r="C217" t="s">
        <v>13</v>
      </c>
      <c r="D217" t="s">
        <v>181</v>
      </c>
      <c r="E217" t="s">
        <v>907</v>
      </c>
      <c r="F217" t="s">
        <v>1018</v>
      </c>
      <c r="G217" t="s">
        <v>86</v>
      </c>
      <c r="H217" t="s">
        <v>930</v>
      </c>
      <c r="I217" t="s">
        <v>935</v>
      </c>
    </row>
    <row r="218" spans="1:9">
      <c r="A218" t="s">
        <v>933</v>
      </c>
      <c r="B218" t="s">
        <v>1022</v>
      </c>
      <c r="C218" t="s">
        <v>4</v>
      </c>
      <c r="D218" t="s">
        <v>914</v>
      </c>
      <c r="E218" t="s">
        <v>914</v>
      </c>
      <c r="F218" t="s">
        <v>1018</v>
      </c>
      <c r="G218" t="s">
        <v>86</v>
      </c>
      <c r="H218" t="s">
        <v>930</v>
      </c>
      <c r="I218" t="s">
        <v>915</v>
      </c>
    </row>
    <row r="219" spans="1:9">
      <c r="A219" t="s">
        <v>933</v>
      </c>
      <c r="B219" t="s">
        <v>1022</v>
      </c>
      <c r="C219" t="s">
        <v>6</v>
      </c>
      <c r="D219" t="s">
        <v>915</v>
      </c>
      <c r="E219" t="s">
        <v>914</v>
      </c>
      <c r="F219" t="s">
        <v>1018</v>
      </c>
      <c r="G219" t="s">
        <v>86</v>
      </c>
      <c r="H219" t="s">
        <v>930</v>
      </c>
      <c r="I219" t="s">
        <v>915</v>
      </c>
    </row>
    <row r="220" spans="1:9">
      <c r="A220" t="s">
        <v>933</v>
      </c>
      <c r="B220" t="s">
        <v>1022</v>
      </c>
      <c r="C220" t="s">
        <v>7</v>
      </c>
      <c r="D220">
        <v>20</v>
      </c>
      <c r="E220" t="s">
        <v>914</v>
      </c>
      <c r="F220" t="s">
        <v>1018</v>
      </c>
      <c r="G220" t="s">
        <v>86</v>
      </c>
      <c r="H220" t="s">
        <v>930</v>
      </c>
      <c r="I220" t="s">
        <v>915</v>
      </c>
    </row>
    <row r="221" spans="1:9">
      <c r="A221" t="s">
        <v>933</v>
      </c>
      <c r="B221" t="s">
        <v>1022</v>
      </c>
      <c r="C221" t="s">
        <v>8</v>
      </c>
      <c r="D221">
        <v>1</v>
      </c>
      <c r="E221" t="s">
        <v>914</v>
      </c>
      <c r="F221" t="s">
        <v>1018</v>
      </c>
      <c r="G221" t="s">
        <v>86</v>
      </c>
      <c r="H221" t="s">
        <v>930</v>
      </c>
      <c r="I221" t="s">
        <v>915</v>
      </c>
    </row>
    <row r="222" spans="1:9">
      <c r="A222" t="s">
        <v>933</v>
      </c>
      <c r="B222" t="s">
        <v>1022</v>
      </c>
      <c r="C222" t="s">
        <v>10</v>
      </c>
      <c r="D222">
        <v>6</v>
      </c>
      <c r="E222" t="s">
        <v>914</v>
      </c>
      <c r="F222" t="s">
        <v>1018</v>
      </c>
      <c r="G222" t="s">
        <v>86</v>
      </c>
      <c r="H222" t="s">
        <v>930</v>
      </c>
      <c r="I222" t="s">
        <v>915</v>
      </c>
    </row>
    <row r="223" spans="1:9">
      <c r="A223" t="s">
        <v>933</v>
      </c>
      <c r="B223" t="s">
        <v>1022</v>
      </c>
      <c r="C223" t="s">
        <v>11</v>
      </c>
      <c r="D223" t="s">
        <v>916</v>
      </c>
      <c r="E223" t="s">
        <v>914</v>
      </c>
      <c r="F223" t="s">
        <v>1018</v>
      </c>
      <c r="G223" t="s">
        <v>86</v>
      </c>
      <c r="H223" t="s">
        <v>930</v>
      </c>
      <c r="I223" t="s">
        <v>915</v>
      </c>
    </row>
    <row r="224" spans="1:9">
      <c r="A224" t="s">
        <v>933</v>
      </c>
      <c r="B224" t="s">
        <v>1022</v>
      </c>
      <c r="C224" t="s">
        <v>12</v>
      </c>
      <c r="D224" t="s">
        <v>146</v>
      </c>
      <c r="E224" t="s">
        <v>914</v>
      </c>
      <c r="F224" t="s">
        <v>1018</v>
      </c>
      <c r="G224" t="s">
        <v>86</v>
      </c>
      <c r="H224" t="s">
        <v>930</v>
      </c>
      <c r="I224" t="s">
        <v>915</v>
      </c>
    </row>
    <row r="225" spans="1:9">
      <c r="A225" t="s">
        <v>933</v>
      </c>
      <c r="B225" t="s">
        <v>1022</v>
      </c>
      <c r="C225" t="s">
        <v>13</v>
      </c>
      <c r="D225" t="s">
        <v>870</v>
      </c>
      <c r="E225" t="s">
        <v>914</v>
      </c>
      <c r="F225" t="s">
        <v>1018</v>
      </c>
      <c r="G225" t="s">
        <v>86</v>
      </c>
      <c r="H225" t="s">
        <v>930</v>
      </c>
      <c r="I225" t="s">
        <v>915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926B8C1-52E8-4875-97D8-8065275A389C}"/>
</file>

<file path=customXml/itemProps2.xml><?xml version="1.0" encoding="utf-8"?>
<ds:datastoreItem xmlns:ds="http://schemas.openxmlformats.org/officeDocument/2006/customXml" ds:itemID="{589D2076-FDB4-4F5A-9AB8-4257F37ABF29}"/>
</file>

<file path=customXml/itemProps3.xml><?xml version="1.0" encoding="utf-8"?>
<ds:datastoreItem xmlns:ds="http://schemas.openxmlformats.org/officeDocument/2006/customXml" ds:itemID="{F68FF4DD-0CC1-430F-BDA6-0C89361FBF19}"/>
</file>

<file path=customXml/itemProps4.xml><?xml version="1.0" encoding="utf-8"?>
<ds:datastoreItem xmlns:ds="http://schemas.openxmlformats.org/officeDocument/2006/customXml" ds:itemID="{4EC2277A-D9ED-4816-935C-C90FD1E76C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Foulkes, Jonathan</cp:lastModifiedBy>
  <cp:revision/>
  <dcterms:created xsi:type="dcterms:W3CDTF">2026-07-01T09:36:48Z</dcterms:created>
  <dcterms:modified xsi:type="dcterms:W3CDTF">2026-10-01T14:01:03Z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