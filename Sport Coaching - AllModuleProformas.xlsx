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queryTables/queryTable1.xml" ContentType="application/vnd.openxmlformats-officedocument.spreadsheetml.queryTable+xml"/>
  <Override PartName="/xl/tables/table121.xml" ContentType="application/vnd.openxmlformats-officedocument.spreadsheetml.table+xml"/>
  <Override PartName="/xl/queryTables/queryTable2.xml" ContentType="application/vnd.openxmlformats-officedocument.spreadsheetml.queryTable+xml"/>
  <Override PartName="/xl/tables/table122.xml" ContentType="application/vnd.openxmlformats-officedocument.spreadsheetml.table+xml"/>
  <Override PartName="/xl/queryTables/queryTable3.xml" ContentType="application/vnd.openxmlformats-officedocument.spreadsheetml.queryTable+xml"/>
  <Override PartName="/xl/tables/table123.xml" ContentType="application/vnd.openxmlformats-officedocument.spreadsheetml.table+xml"/>
  <Override PartName="/xl/queryTables/queryTable4.xml" ContentType="application/vnd.openxmlformats-officedocument.spreadsheetml.queryTable+xml"/>
  <Override PartName="/xl/tables/table124.xml" ContentType="application/vnd.openxmlformats-officedocument.spreadsheetml.table+xml"/>
  <Override PartName="/xl/queryTables/queryTable5.xml" ContentType="application/vnd.openxmlformats-officedocument.spreadsheetml.queryTable+xml"/>
  <Override PartName="/xl/tables/table125.xml" ContentType="application/vnd.openxmlformats-officedocument.spreadsheetml.table+xml"/>
  <Override PartName="/xl/queryTables/queryTable6.xml" ContentType="application/vnd.openxmlformats-officedocument.spreadsheetml.queryTable+xml"/>
  <Override PartName="/xl/tables/table126.xml" ContentType="application/vnd.openxmlformats-officedocument.spreadsheetml.table+xml"/>
  <Override PartName="/xl/queryTables/queryTable7.xml" ContentType="application/vnd.openxmlformats-officedocument.spreadsheetml.queryTable+xml"/>
  <Override PartName="/xl/tables/table127.xml" ContentType="application/vnd.openxmlformats-officedocument.spreadsheetml.table+xml"/>
  <Override PartName="/xl/queryTables/queryTable8.xml" ContentType="application/vnd.openxmlformats-officedocument.spreadsheetml.queryTable+xml"/>
  <Override PartName="/xl/tables/table128.xml" ContentType="application/vnd.openxmlformats-officedocument.spreadsheetml.table+xml"/>
  <Override PartName="/xl/queryTables/queryTable9.xml" ContentType="application/vnd.openxmlformats-officedocument.spreadsheetml.queryTable+xml"/>
  <Override PartName="/xl/tables/table129.xml" ContentType="application/vnd.openxmlformats-officedocument.spreadsheetml.table+xml"/>
  <Override PartName="/xl/tables/table1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ljmu.sharepoint.com/teams/SPSRe-validation2026Team/Shared Documents/Sport Coaching/Module Documents/"/>
    </mc:Choice>
  </mc:AlternateContent>
  <xr:revisionPtr revIDLastSave="3568" documentId="8_{20AD63D6-7E4E-4EFA-BE5C-A6DF2DDE1EA8}" xr6:coauthVersionLast="47" xr6:coauthVersionMax="47" xr10:uidLastSave="{1A6F47C7-1038-4465-BB16-FB0143B08C56}"/>
  <bookViews>
    <workbookView xWindow="-24060" yWindow="0" windowWidth="21630" windowHeight="15585" firstSheet="11" activeTab="9" xr2:uid="{8D7B9789-0724-4FF2-A9AF-E462B2920CAC}"/>
  </bookViews>
  <sheets>
    <sheet name="4202SPS" sheetId="75" r:id="rId1"/>
    <sheet name="4401SPS" sheetId="76" r:id="rId2"/>
    <sheet name="5401SPS" sheetId="79" r:id="rId3"/>
    <sheet name="5402SPS" sheetId="77" r:id="rId4"/>
    <sheet name="5403SPS" sheetId="80" r:id="rId5"/>
    <sheet name="5405SPS" sheetId="81" r:id="rId6"/>
    <sheet name="5202SPS" sheetId="78" r:id="rId7"/>
    <sheet name="5094SPS" sheetId="121" r:id="rId8"/>
    <sheet name="6401SPS" sheetId="7" r:id="rId9"/>
    <sheet name="6402SPS" sheetId="83" r:id="rId10"/>
    <sheet name="6403SPS" sheetId="84" r:id="rId11"/>
    <sheet name="6097SPS" sheetId="85" r:id="rId12"/>
    <sheet name="SC_ModuleOverview" sheetId="120" r:id="rId13"/>
    <sheet name="SC_Hours_Wide" sheetId="119" r:id="rId14"/>
    <sheet name="SC_Meta_Wide" sheetId="118" r:id="rId15"/>
    <sheet name="SC_SkillsCoverage" sheetId="117" r:id="rId16"/>
    <sheet name="SC_Mapping" sheetId="116" r:id="rId17"/>
    <sheet name="SC_Hours" sheetId="115" r:id="rId18"/>
    <sheet name="SC_Assess" sheetId="114" r:id="rId19"/>
    <sheet name="SC_LO" sheetId="113" r:id="rId20"/>
    <sheet name="SC_Meta" sheetId="112" r:id="rId21"/>
    <sheet name="LISTS" sheetId="4" r:id="rId22"/>
  </sheets>
  <definedNames>
    <definedName name="ApplicationofKnowledge">_xlfn.ANCHORARRAY(LISTS!$O$37)</definedName>
    <definedName name="Communication">_xlfn.ANCHORARRAY(LISTS!$O$62)</definedName>
    <definedName name="DeliveryEnvironment">_xlfn.ANCHORARRAY(LISTS!$O$89)</definedName>
    <definedName name="ExternalData_1" localSheetId="20" hidden="1">SC_Meta!$A$1:$I$177</definedName>
    <definedName name="ExternalData_2" localSheetId="19" hidden="1">SC_LO!$A$1:$I$62</definedName>
    <definedName name="ExternalData_3" localSheetId="18" hidden="1">SC_Assess!$A$1:$M$39</definedName>
    <definedName name="ExternalData_4" localSheetId="17" hidden="1">SC_Hours!$A$1:$I$133</definedName>
    <definedName name="ExternalData_5" localSheetId="16" hidden="1">SC_Mapping!$A$1:$K$218</definedName>
    <definedName name="ExternalData_6" localSheetId="15" hidden="1">SC_SkillsCoverage!$A$1:$E$65</definedName>
    <definedName name="ExternalData_7" localSheetId="14" hidden="1">SC_Meta_Wide!$A$1:$O$23</definedName>
    <definedName name="ExternalData_8" localSheetId="13" hidden="1">SC_Hours_Wide!$A$1:$M$23</definedName>
    <definedName name="ExternalData_9" localSheetId="12" hidden="1">SC_ModuleOverview!$A$1:$I$23</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120" l="1"/>
  <c r="I3" i="120"/>
  <c r="I4" i="120"/>
  <c r="I5" i="120"/>
  <c r="I6" i="120"/>
  <c r="I7" i="120"/>
  <c r="I8" i="120"/>
  <c r="I9" i="120"/>
  <c r="I10" i="120"/>
  <c r="I11" i="120"/>
  <c r="I12" i="120"/>
  <c r="I13" i="120"/>
  <c r="I14" i="120"/>
  <c r="I15" i="120"/>
  <c r="I16" i="120"/>
  <c r="I17" i="120"/>
  <c r="I18" i="120"/>
  <c r="I19" i="120"/>
  <c r="I20" i="120"/>
  <c r="I21" i="120"/>
  <c r="I22" i="120"/>
  <c r="I23" i="120"/>
  <c r="D24" i="121"/>
  <c r="D2" i="121"/>
  <c r="C2" i="121"/>
  <c r="D24" i="85"/>
  <c r="D2" i="85"/>
  <c r="C2" i="85"/>
  <c r="D24" i="84"/>
  <c r="D2" i="84"/>
  <c r="C2" i="84"/>
  <c r="D24" i="83"/>
  <c r="D2" i="83"/>
  <c r="C2" i="83"/>
  <c r="D24" i="81"/>
  <c r="D2" i="81"/>
  <c r="C2" i="81"/>
  <c r="D24" i="80"/>
  <c r="D2" i="80"/>
  <c r="C2" i="80"/>
  <c r="D24" i="79"/>
  <c r="D2" i="79"/>
  <c r="C2" i="79"/>
  <c r="D24" i="78"/>
  <c r="D2" i="78"/>
  <c r="C2" i="78"/>
  <c r="D24" i="77"/>
  <c r="D2" i="77"/>
  <c r="C2" i="77"/>
  <c r="D24" i="76"/>
  <c r="D2" i="76"/>
  <c r="C2" i="76"/>
  <c r="D24" i="75"/>
  <c r="D2" i="75"/>
  <c r="C2" i="75"/>
  <c r="D24" i="7"/>
  <c r="D2" i="7"/>
  <c r="C2" i="7"/>
  <c r="O96" i="4" a="1"/>
  <c r="O89" i="4" a="1"/>
  <c r="O78" i="4" a="1"/>
  <c r="O70" i="4" a="1"/>
  <c r="O62" i="4" a="1"/>
  <c r="O53" i="4" a="1"/>
  <c r="O45" i="4" a="1"/>
  <c r="O37" i="4" a="1"/>
  <c r="O29" i="4" a="1"/>
  <c r="O21" i="4" a="1"/>
  <c r="O96" i="4"/>
  <c r="O89" i="4"/>
  <c r="O78" i="4"/>
  <c r="O70" i="4"/>
  <c r="O62" i="4"/>
  <c r="O53" i="4"/>
  <c r="O45" i="4"/>
  <c r="O37" i="4"/>
  <c r="O29" i="4"/>
  <c r="O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315AC-E189-4C7C-8352-899550203733}" keepAlive="1" name="Query - fnItemTable(1)" description="Connection to the 'fnItemTable' query in the workbook." type="5" refreshedVersion="0" background="1">
    <dbPr connection="Provider=Microsoft.Mashup.OleDb.1;Data Source=$Workbook$;Location=fnItemTable;Extended Properties=&quot;&quot;" command="SELECT * FROM [fnItemTable]"/>
  </connection>
  <connection id="2" xr16:uid="{18190243-96C3-4019-9E46-1423245E1661}" keepAlive="1" name="Query - fnModuleOverview(1)"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3" xr16:uid="{C37C4292-DFEA-4F02-B18C-0F26A7D57EF0}" keepAlive="1" name="Query - fnParseTableName(1)"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4" xr16:uid="{D3F766CC-1B7E-4B6C-9EF7-E4839A637A45}" keepAlive="1" name="Query - fnPivotKeyValue(1)" description="Connection to the 'fnPivotKeyValue' query in the workbook." type="5" refreshedVersion="0" background="1">
    <dbPr connection="Provider=Microsoft.Mashup.OleDb.1;Data Source=$Workbook$;Location=fnPivotKeyValue;Extended Properties=&quot;&quot;" command="SELECT * FROM [fnPivotKeyValue]"/>
  </connection>
  <connection id="5" xr16:uid="{9EB5629C-1689-4F5A-A78F-97DAEBE046B6}" keepAlive="1" name="Query - fnSkillsCoverage(1)"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6" xr16:uid="{6CBB1A8D-9200-4C80-9A06-1C3E55592BB5}"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7" xr16:uid="{961271C2-0D58-4AB5-831B-7F5AB043685F}"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8" xr16:uid="{E174A1FE-F2E0-42CC-9ED4-4162B4264D34}"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9" xr16:uid="{1AB1483C-1D15-437E-B34A-19CAE87425BE}"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0" xr16:uid="{CC66CB4A-D91B-4139-9C27-D288EA37AC22}" keepAlive="1" name="Query - RegisterBlocks" description="Connection to the 'RegisterBlocks' query in the workbook." type="5" refreshedVersion="0" background="1">
    <dbPr connection="Provider=Microsoft.Mashup.OleDb.1;Data Source=$Workbook$;Location=RegisterBlocks;Extended Properties=&quot;&quot;" command="SELECT * FROM [RegisterBlocks]"/>
  </connection>
  <connection id="11" xr16:uid="{7FDD28C6-AFA6-418F-8422-1725DB99766A}" keepAlive="1" name="Query - RelevantItems" description="Connection to the 'RelevantItems' query in the workbook." type="5" refreshedVersion="0" background="1">
    <dbPr connection="Provider=Microsoft.Mashup.OleDb.1;Data Source=$Workbook$;Location=RelevantItems;Extended Properties=&quot;&quot;" command="SELECT * FROM [RelevantItems]"/>
  </connection>
  <connection id="12" xr16:uid="{1FBB3723-43DB-47D5-BFDB-88BA6A0004BF}" keepAlive="1" name="Query - SC_Assess" description="Connection to the 'SC_Assess' query in the workbook." type="5" refreshedVersion="8" background="1" saveData="1">
    <dbPr connection="Provider=Microsoft.Mashup.OleDb.1;Data Source=$Workbook$;Location=SC_Assess;Extended Properties=&quot;&quot;" command="SELECT * FROM [SC_Assess]"/>
  </connection>
  <connection id="13" xr16:uid="{590AD2FD-9583-4294-B1FF-269BBA16146A}" keepAlive="1" name="Query - SC_Hours" description="Connection to the 'SC_Hours' query in the workbook." type="5" refreshedVersion="8" background="1" saveData="1">
    <dbPr connection="Provider=Microsoft.Mashup.OleDb.1;Data Source=$Workbook$;Location=SC_Hours;Extended Properties=&quot;&quot;" command="SELECT * FROM [SC_Hours]"/>
  </connection>
  <connection id="14" xr16:uid="{EAE97AFA-75EF-4386-856E-F78D8637B247}" keepAlive="1" name="Query - SC_Hours_Wide" description="Connection to the 'SC_Hours_Wide' query in the workbook." type="5" refreshedVersion="8" background="1" saveData="1">
    <dbPr connection="Provider=Microsoft.Mashup.OleDb.1;Data Source=$Workbook$;Location=SC_Hours_Wide;Extended Properties=&quot;&quot;" command="SELECT * FROM [SC_Hours_Wide]"/>
  </connection>
  <connection id="15" xr16:uid="{FB1A0192-CD8C-4F49-9212-9014FB47FFF4}" keepAlive="1" name="Query - SC_Hours_Wide1" description="Connection to the 'SC_Hours_Wide' query in the workbook." type="5" refreshedVersion="0" background="1" saveData="1">
    <dbPr connection="Provider=Microsoft.Mashup.OleDb.1;Data Source=$Workbook$;Location=SC_Hours_Wide;Extended Properties=&quot;&quot;" command="SELECT * FROM [SC_Hours_Wide]"/>
  </connection>
  <connection id="16" xr16:uid="{D8A15DD5-4853-420B-ADF7-43F1B7102553}" keepAlive="1" name="Query - SC_LO" description="Connection to the 'SC_LO' query in the workbook." type="5" refreshedVersion="8" background="1" saveData="1">
    <dbPr connection="Provider=Microsoft.Mashup.OleDb.1;Data Source=$Workbook$;Location=SC_LO;Extended Properties=&quot;&quot;" command="SELECT * FROM [SC_LO]"/>
  </connection>
  <connection id="17" xr16:uid="{FFF85037-9E06-447B-A02C-CBA1EA5798AB}" keepAlive="1" name="Query - SC_Mapping" description="Connection to the 'SC_Mapping' query in the workbook." type="5" refreshedVersion="8" background="1" saveData="1">
    <dbPr connection="Provider=Microsoft.Mashup.OleDb.1;Data Source=$Workbook$;Location=SC_Mapping;Extended Properties=&quot;&quot;" command="SELECT * FROM [SC_Mapping]"/>
  </connection>
  <connection id="18" xr16:uid="{BCD29EF3-8676-4645-80D9-7D6F72FC24AE}" keepAlive="1" name="Query - SC_Meta" description="Connection to the 'SC_Meta' query in the workbook." type="5" refreshedVersion="8" background="1" saveData="1">
    <dbPr connection="Provider=Microsoft.Mashup.OleDb.1;Data Source=$Workbook$;Location=SC_Meta;Extended Properties=&quot;&quot;" command="SELECT * FROM [SC_Meta]"/>
  </connection>
  <connection id="19" xr16:uid="{94119C8B-1C92-4B60-8509-F43C4AF76847}" keepAlive="1" name="Query - SC_Meta_Wide(1)" description="Connection to the 'SC_Meta_Wide' query in the workbook." type="5" refreshedVersion="8" background="1" saveData="1">
    <dbPr connection="Provider=Microsoft.Mashup.OleDb.1;Data Source=$Workbook$;Location=SC_Meta_Wide;Extended Properties=&quot;&quot;" command="SELECT * FROM [SC_Meta_Wide]"/>
  </connection>
  <connection id="20" xr16:uid="{E1886F83-38AC-4840-B1D7-430161575D94}" keepAlive="1" name="Query - SC_ModuleOverview" description="Connection to the 'SC_ModuleOverview' query in the workbook." type="5" refreshedVersion="8" background="1" saveData="1">
    <dbPr connection="Provider=Microsoft.Mashup.OleDb.1;Data Source=$Workbook$;Location=SC_ModuleOverview;Extended Properties=&quot;&quot;" command="SELECT * FROM [SC_ModuleOverview]"/>
  </connection>
  <connection id="21" xr16:uid="{67DE8842-C49C-4231-8A45-0A14159A1E8B}" keepAlive="1" name="Query - SC_ModuleOverview1" description="Connection to the 'SC_ModuleOverview' query in the workbook." type="5" refreshedVersion="0" background="1" saveData="1">
    <dbPr connection="Provider=Microsoft.Mashup.OleDb.1;Data Source=$Workbook$;Location=SC_ModuleOverview;Extended Properties=&quot;&quot;" command="SELECT * FROM [SC_ModuleOverview]"/>
  </connection>
  <connection id="22" xr16:uid="{CB9C7704-F11F-41B0-8142-0085F2423F21}" keepAlive="1" name="Query - SC_SkillsCoverage" description="Connection to the 'SC_SkillsCoverage' query in the workbook." type="5" refreshedVersion="8" background="1" saveData="1">
    <dbPr connection="Provider=Microsoft.Mashup.OleDb.1;Data Source=$Workbook$;Location=SC_SkillsCoverage;Extended Properties=&quot;&quot;" command="SELECT * FROM [SC_SkillsCoverage]"/>
  </connection>
  <connection id="23" xr16:uid="{E4137534-7CCD-4611-81F6-40C67099247F}" keepAlive="1" name="Query - SharePointSiteRoot(1)"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24" xr16:uid="{FEA11FD2-1CF8-4347-BE64-5E2F3F180A67}"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25" xr16:uid="{0EE3A3BB-AD71-49D1-957F-0903AC97D7BD}"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<sst xmlns="http://schemas.openxmlformats.org/spreadsheetml/2006/main" count="8447" uniqueCount="796">
  <si>
    <t>Module Information</t>
  </si>
  <si>
    <t>Module Data</t>
  </si>
  <si>
    <t>Details</t>
  </si>
  <si>
    <t>Aims</t>
  </si>
  <si>
    <t>Module Code</t>
  </si>
  <si>
    <t>4202SPS</t>
  </si>
  <si>
    <t>This module will enable students to appreciate positive learning environments in sport, PE, and physical activity settings. Students will consider theoretical conceptions of learning and consider how these theories can inform their pedagogical practices.</t>
  </si>
  <si>
    <t>Module Title</t>
  </si>
  <si>
    <t>Learning Theory and Practice 1</t>
  </si>
  <si>
    <t>Credits</t>
  </si>
  <si>
    <t>Semester</t>
  </si>
  <si>
    <t>Outline Syllabus</t>
  </si>
  <si>
    <t>Level</t>
  </si>
  <si>
    <t>Duty of care in PE and Sport Pedagogy</t>
  </si>
  <si>
    <t>Module Leader</t>
  </si>
  <si>
    <t>Alexandra Consterdine</t>
  </si>
  <si>
    <t>Theories of Learning:  e.g., behaviourist, cognitivist, constructivist, critical, ecological perspectives,</t>
  </si>
  <si>
    <t>Module Type</t>
  </si>
  <si>
    <t>Core module</t>
  </si>
  <si>
    <t>Pedagogical approaches: e.g., Mosston’s Styles, AIM/STEP, Physical literacy </t>
  </si>
  <si>
    <t>Programme(s)</t>
  </si>
  <si>
    <t>SC and PE</t>
  </si>
  <si>
    <t xml:space="preserve">Pedagogical Practices: e.g., Feedback, Instruction, Constraint based coaching  Reflecting on pedagogical approaches and practices, reflective models 
Activities – FMS, Multi sports – targeting primary school age children. 
National Curriculum for key stage 1 and 2 
Physical, affective, cognitive and social development of children </t>
  </si>
  <si>
    <t>Module Overview</t>
  </si>
  <si>
    <t>Through a combination of lectures, workshops and practical sessions, this module focuses on some of the different teaching styles in Physical Education and sports coaching, together with a pedagogical focus on learning theories</t>
  </si>
  <si>
    <t>Contact Hours</t>
  </si>
  <si>
    <t>Component</t>
  </si>
  <si>
    <t>Lecture</t>
  </si>
  <si>
    <t>Seminar</t>
  </si>
  <si>
    <t>Practical</t>
  </si>
  <si>
    <t>Workshop</t>
  </si>
  <si>
    <t>Additional Information/Notes</t>
  </si>
  <si>
    <t>Online</t>
  </si>
  <si>
    <t>In addition to Module leader, additional staff are needed across the theory and practical sessions.</t>
  </si>
  <si>
    <t>Total</t>
  </si>
  <si>
    <t xml:space="preserve">Colum Cronin, Katie Fitton-Davis, Simon Robinson, Milly Blundell </t>
  </si>
  <si>
    <t>Formative tasks will be offered in week 7</t>
  </si>
  <si>
    <t>Learning Outcomes</t>
  </si>
  <si>
    <t>After completing the module the student should be able to:</t>
  </si>
  <si>
    <t>LO Number</t>
  </si>
  <si>
    <t>LO Description</t>
  </si>
  <si>
    <t>LO1</t>
  </si>
  <si>
    <t>Demonstrate sound knowledge of learning theory</t>
  </si>
  <si>
    <t>LO2</t>
  </si>
  <si>
    <t>Safely use pedagogical practices  </t>
  </si>
  <si>
    <t>LO3</t>
  </si>
  <si>
    <t>Evaluate learning in a sport, PE or physical activity setting</t>
  </si>
  <si>
    <t>LO4</t>
  </si>
  <si>
    <t>LO5</t>
  </si>
  <si>
    <t>Assessment</t>
  </si>
  <si>
    <t>Assessment No</t>
  </si>
  <si>
    <t>Assessment Type</t>
  </si>
  <si>
    <t>Assessment Specific</t>
  </si>
  <si>
    <t>Assessment Description</t>
  </si>
  <si>
    <t>Weighting</t>
  </si>
  <si>
    <t>Due Week</t>
  </si>
  <si>
    <t>A1</t>
  </si>
  <si>
    <t>Portfolio</t>
  </si>
  <si>
    <t>Lesson plan, essay, teaching task, and session observations</t>
  </si>
  <si>
    <t>A2</t>
  </si>
  <si>
    <t>A3</t>
  </si>
  <si>
    <t>A4</t>
  </si>
  <si>
    <t>Assessment Mapping</t>
  </si>
  <si>
    <t>Graduate Skills Category</t>
  </si>
  <si>
    <t>Graduate Skill</t>
  </si>
  <si>
    <t>Application of knowledge and skills</t>
  </si>
  <si>
    <t>Contextual application</t>
  </si>
  <si>
    <t>Professional judgement</t>
  </si>
  <si>
    <t>Decision-making</t>
  </si>
  <si>
    <t>Communication</t>
  </si>
  <si>
    <t>Oral presentation</t>
  </si>
  <si>
    <t>Understanding and use of research</t>
  </si>
  <si>
    <t>Critical appraisal</t>
  </si>
  <si>
    <t>Weekly Content</t>
  </si>
  <si>
    <t xml:space="preserve">Semester </t>
  </si>
  <si>
    <t>Week Number</t>
  </si>
  <si>
    <t>Weekly Content 1</t>
  </si>
  <si>
    <t>Weekly Content 2</t>
  </si>
  <si>
    <t>Weekly Content 3</t>
  </si>
  <si>
    <t>Module Introduction</t>
  </si>
  <si>
    <t>Practical exploration of command style teaching and warm up</t>
  </si>
  <si>
    <t>session observation completion</t>
  </si>
  <si>
    <t>Care in PE/Coaching</t>
  </si>
  <si>
    <t>Practical exploration of care/Risk assessments</t>
  </si>
  <si>
    <t xml:space="preserve">Reciprocal Style (Bandura and Cognitive Load Theory </t>
  </si>
  <si>
    <t xml:space="preserve">Practical exploration of Reciprocal style </t>
  </si>
  <si>
    <t>Linking FMS to Reciprocal style</t>
  </si>
  <si>
    <t>Practical exploration of Reciprocal style and FMS</t>
  </si>
  <si>
    <t xml:space="preserve">Recipocal and Inclusive Teaching Style </t>
  </si>
  <si>
    <t>Learner led Reciprocal Style</t>
  </si>
  <si>
    <t>Guided Discovery Teaching (social constructionism)</t>
  </si>
  <si>
    <t>Practical exploration of Guided Discovery</t>
  </si>
  <si>
    <t>Student Enrichment week</t>
  </si>
  <si>
    <t>Linking FMS to Guided Discovery</t>
  </si>
  <si>
    <t>Guided Discovery learner devised and Vygotsky's Theory</t>
  </si>
  <si>
    <t>Learner led Guided Discovery Style</t>
  </si>
  <si>
    <t>Divergent Discovery Teaching Style</t>
  </si>
  <si>
    <t>Practical exploration of Divergent Discovery via Sport Education</t>
  </si>
  <si>
    <t>Divergent Discovery and Sport Education</t>
  </si>
  <si>
    <t xml:space="preserve">Learner led Divergent Discovery and Sport Education </t>
  </si>
  <si>
    <t xml:space="preserve">Assessment support </t>
  </si>
  <si>
    <t>4401SPS</t>
  </si>
  <si>
    <t>The aim of the module is to provide a supported environment where students can develop their professional practice and fundamental coaching skills</t>
  </si>
  <si>
    <t xml:space="preserve">Professional Practice in Sport Coaching 1 </t>
  </si>
  <si>
    <t>The aim is also to develop students’ self awareness and their inter and intrapersonal skills  outside of the coaching environment</t>
  </si>
  <si>
    <t> </t>
  </si>
  <si>
    <t xml:space="preserve">Syllabus </t>
  </si>
  <si>
    <t>Plan, Do, Review</t>
  </si>
  <si>
    <t xml:space="preserve">vicci boyd </t>
  </si>
  <si>
    <t>Practical coaching skill development</t>
  </si>
  <si>
    <t>Prof Practice Strand</t>
  </si>
  <si>
    <t>Reflective Practice; Inter and Intra- personal skill and knowledge development.</t>
  </si>
  <si>
    <t>Sport Coaching</t>
  </si>
  <si>
    <t xml:space="preserve">Students will implement and practise coaching skills, complete observations and reflection on themselves and others when in a coaching environment. </t>
  </si>
  <si>
    <t xml:space="preserve">Students work towards and complete CPD courses ( including CIMSPA) </t>
  </si>
  <si>
    <t xml:space="preserve">Students will develop their knowledge of inclusive coaching </t>
  </si>
  <si>
    <t xml:space="preserve">Students will complete 40 hours of face to face contact and will have an additional 8 hours of contact whe they complete their practical coaching delivery sessions as they act as an assistant coach to others in the group and are participants for some students or observe their peers coaching other 'real world' participants. </t>
  </si>
  <si>
    <t>Employer engagement is high in the module with varous expert coaches deliering to the students plus various CPD courses delivered online and inperson</t>
  </si>
  <si>
    <t xml:space="preserve">The students will be encouraged to utilise varous web-based resources and website to develop their knowledge, show application and demonstare understanding. The students will interact with various online platforms to enhance their professional and personal development. </t>
  </si>
  <si>
    <t xml:space="preserve">Students will also have the opportunity to deliver to a demographic group of their choice allowing them the opportunity to problem solve, show initiative and demonstrate leadership </t>
  </si>
  <si>
    <t>Formative opputunties will be allocated for teh practical in weeks 11 and 12</t>
  </si>
  <si>
    <t>Reflect upon personal and professional development</t>
  </si>
  <si>
    <t>Demonstrate sport coaching practice and delivery</t>
  </si>
  <si>
    <t>Explore sport coaching principles</t>
  </si>
  <si>
    <t xml:space="preserve">Students deliver an inividual 20 minute technical coaching session to their peers or a population group of their choice. They also act as an assistant coach to other students for an additional session. </t>
  </si>
  <si>
    <t xml:space="preserve">Portfolio of tasks completed related to learning content from each week  - e.g evidence of CPD course completion, completion of STEP template and inclusive facilities audit, exploring relevant websites and organisations and reflective practice based upon the coaching modeling they have received. </t>
  </si>
  <si>
    <t>Self-evaluation and professional development</t>
  </si>
  <si>
    <t>Reflective practice</t>
  </si>
  <si>
    <t>Management of self and others</t>
  </si>
  <si>
    <t>Coaching and mentoring</t>
  </si>
  <si>
    <t>Personal development planning</t>
  </si>
  <si>
    <t>Self-awareness</t>
  </si>
  <si>
    <t>Problem solving and impact</t>
  </si>
  <si>
    <t>Innovation</t>
  </si>
  <si>
    <t>Understanding the delivery environment</t>
  </si>
  <si>
    <t>Professional awareness</t>
  </si>
  <si>
    <t>problem identification</t>
  </si>
  <si>
    <t>Technical skills</t>
  </si>
  <si>
    <t>Technical proficiency</t>
  </si>
  <si>
    <t>Introduction to coaching/ Level 1 course</t>
  </si>
  <si>
    <t>Practical - coaching sklls</t>
  </si>
  <si>
    <t xml:space="preserve">practical </t>
  </si>
  <si>
    <t>Assistant coach skills/ Level 1 course</t>
  </si>
  <si>
    <t>Practical- assistant coach course</t>
  </si>
  <si>
    <t xml:space="preserve">Great coaching and roles and responsibilities/ Creative coaching + Personal tutor sessions </t>
  </si>
  <si>
    <t>Session planning and safe coaching practice / modelling coaching</t>
  </si>
  <si>
    <t xml:space="preserve">Practical- communication skills </t>
  </si>
  <si>
    <t>Employability skills/ coaching styles</t>
  </si>
  <si>
    <t>Practical - exploring different sports</t>
  </si>
  <si>
    <t>Inclusive practice and disability sport</t>
  </si>
  <si>
    <t>Coaching philosophy and ethics / Great coaching</t>
  </si>
  <si>
    <t xml:space="preserve">Practical - external coach </t>
  </si>
  <si>
    <t>Session planning seminar / CPD / critique of an AI generated plan</t>
  </si>
  <si>
    <t xml:space="preserve">Practical- exploring your own sport  + personal tutor session to discuss session ideas </t>
  </si>
  <si>
    <t>Coaching process/ formative practical assessments</t>
  </si>
  <si>
    <t>Formative Practical sessions</t>
  </si>
  <si>
    <t>Reflective practice/ formative practical assessments</t>
  </si>
  <si>
    <t>5401SPS</t>
  </si>
  <si>
    <t>To encourage students to develop their Professional understanding and knowledge in relation to sport coaching and their Employability skills.</t>
  </si>
  <si>
    <t>Professional Practice in Sport Coaching 2</t>
  </si>
  <si>
    <t>Develop students self-awareness and personal development through reflective practice. </t>
  </si>
  <si>
    <t>Give students the opportunity to implement and develop their coaching practice through placement opportunities aswell as completing CPD courses and ensuring exposure to core elements of coaching knowledge.</t>
  </si>
  <si>
    <t>Use and review Formal and Informal Coach Education methods. </t>
  </si>
  <si>
    <t xml:space="preserve">Safeguarding + Mental Health </t>
  </si>
  <si>
    <t>CPD courses  </t>
  </si>
  <si>
    <t xml:space="preserve">Reflective practice and self awareness </t>
  </si>
  <si>
    <t>Students will consider and utilise formal and informal learning to develop their own knowledge of fundamental elements of sport coaching and their own coaching practice including safeguarding, mental health and current legislation and policy. </t>
  </si>
  <si>
    <t>Students are also encouraged to explore current issues and guidance in relation to inclusive coaching environments. </t>
  </si>
  <si>
    <t xml:space="preserve">Students will receive talks from external employers, receive external course delivery and workshops to model from for their coach education workshops. </t>
  </si>
  <si>
    <t xml:space="preserve">Students will recieve 40 hours of in-person staff contact to account for the theoretical learning required plus an additonal 30 hours of contact time with a placement ( 70 hours total contact for module) </t>
  </si>
  <si>
    <t xml:space="preserve">Students will complete various online CPD courses to develop technical skills </t>
  </si>
  <si>
    <t xml:space="preserve">Students will experience employer engagement both on placement and when receiving talks/ workshops. </t>
  </si>
  <si>
    <t xml:space="preserve">students will meet their personal tutor to discuss their coach education workshop ideas and get feedback </t>
  </si>
  <si>
    <t xml:space="preserve">Students will cover Safeguarding, mental health and hidden disabilities and cosider ethical working practices, empathy and active listening </t>
  </si>
  <si>
    <t>Demonstrate coach education principles and practices </t>
  </si>
  <si>
    <t>Demonstrate an understanding of factors that influence Sport Coaching  </t>
  </si>
  <si>
    <t>Demonstrate an understanding of Reflective Practice for Personal and Professional Development  </t>
  </si>
  <si>
    <t>Presentation</t>
  </si>
  <si>
    <t>Group Presentation</t>
  </si>
  <si>
    <t xml:space="preserve">Students deliver a 20 minute individual workshop as part of a series of 3 or 4 workshops under an umbrella topic of the group's choice.. Students deliver an in-classroom coach education workshop to other 'novice' coaches using a variety of delivery techniques modelled within the module. </t>
  </si>
  <si>
    <t xml:space="preserve">Student use Instagram to create a portfolio of tasks completed to compliment the taught content. The portfolio should be user-friendly and appealing to the end-user and the tasks devleop the topics introduced in the taught sesssions. The portfolio also includes reflections on placement, CPD course completion evidence and accessing sources of knowledge beyond academic Journals. The students are encouraged to us AI to produce some of their Instagram posts where appropriate. Students have the opportunity and formative deadlines to meet throughout the academic year to develop the skill of time management, multi-tasking and  professional relationships and behaviour   with a professional Instagram profile. </t>
  </si>
  <si>
    <t>Creative thinking</t>
  </si>
  <si>
    <t>Organisational awareness</t>
  </si>
  <si>
    <t>Equipment and technology utilisation</t>
  </si>
  <si>
    <t>Professional relationships and behaviours</t>
  </si>
  <si>
    <t>Professionalism</t>
  </si>
  <si>
    <t>Adaptability</t>
  </si>
  <si>
    <t xml:space="preserve">Coaching skills refresher and effective coaching  + transition into Level 5 activities to build community </t>
  </si>
  <si>
    <t>placement</t>
  </si>
  <si>
    <t>Formal and Informal learning  </t>
  </si>
  <si>
    <t>Safeguarding </t>
  </si>
  <si>
    <t>Mental Health  </t>
  </si>
  <si>
    <t>Neurodivergence in sport  </t>
  </si>
  <si>
    <t>Current Policy and practice  </t>
  </si>
  <si>
    <t>Curriculum Enhancement Week  </t>
  </si>
  <si>
    <t>Student research symposium  </t>
  </si>
  <si>
    <t xml:space="preserve">Interpersonal skill development  and reflective practice </t>
  </si>
  <si>
    <t xml:space="preserve">Workshop design support with personal tutors to run through ideas as formative practice </t>
  </si>
  <si>
    <t xml:space="preserve">placement + Personal tutor group session </t>
  </si>
  <si>
    <t>Coach Ed workshops on chosen topics -peer learning </t>
  </si>
  <si>
    <t>5402SPS</t>
  </si>
  <si>
    <t>Within this module students will develop knowledge and critical understanding about inclusive practice as it relates to participants with disability. Specifically, students will learn about the diverse ways disability is socially constructed and the barriers disabled population face when accessing sport and physical activity. Importantly, students will learn how to apply inclusive and empowering principles to create a quality environment and deliver practices that meet the needs of participants with disability.</t>
  </si>
  <si>
    <t>Effective Coaching in Paralympic and Disability Sport</t>
  </si>
  <si>
    <r>
      <t>Knowing disability:</t>
    </r>
    <r>
      <rPr>
        <sz val="11"/>
        <rFont val="Arial"/>
        <family val="2"/>
      </rPr>
      <t xml:space="preserve"> understanding models of disability and impact on coaching practice. </t>
    </r>
  </si>
  <si>
    <t xml:space="preserve">Tabo Huntley </t>
  </si>
  <si>
    <r>
      <t>Inclusion and empowerment:</t>
    </r>
    <r>
      <rPr>
        <sz val="11"/>
        <color rgb="FF000000"/>
        <rFont val="Arial"/>
        <family val="2"/>
      </rPr>
      <t xml:space="preserve"> understanding the socially constructed nature of inclusion and empowerment and the considerations needed to create a high-quality environment</t>
    </r>
  </si>
  <si>
    <r>
      <rPr>
        <b/>
        <sz val="11"/>
        <color rgb="FF000000"/>
        <rFont val="Arial"/>
        <family val="2"/>
      </rPr>
      <t>Impairment effect:</t>
    </r>
    <r>
      <rPr>
        <sz val="11"/>
        <color rgb="FF000000"/>
        <rFont val="Arial"/>
        <family val="2"/>
      </rPr>
      <t xml:space="preserve"> understanding the diverse ways having an impairment alters functional capability.  Coaching practice: understanding how to design and deliver adapted practices to meet the needs of performers.</t>
    </r>
  </si>
  <si>
    <t xml:space="preserve">Lectures and workshops will provide students with an oppertunity to learn theories and frameworks that support the development and delivery of inlcusive and empowering envrionments and practices. </t>
  </si>
  <si>
    <t xml:space="preserve">Practical sessions will be deilvered by external disability sport organisations and provide students with oppertunites to reflect and observe as they participate in disability sports. </t>
  </si>
  <si>
    <t xml:space="preserve">Tabo Huntley, Colin Lewis, Nic Robinson &amp; Gus Ryrie </t>
  </si>
  <si>
    <t xml:space="preserve">There will be a 20% allocation for individual contribution within the assessment </t>
  </si>
  <si>
    <t>Formative oppuunties will be offered in week 7</t>
  </si>
  <si>
    <t>Evaluate the utility of models of disability in identifying barriers to sport and physical activity and their use in the creation of more inclusive and empowering environments. </t>
  </si>
  <si>
    <t>Demonstrate understanding of the differing ways impairment may alter function and justify the interventions needed the to ensure disabled people are included.</t>
  </si>
  <si>
    <t>Apply knowledge of disability to develop, deliver and reflect on sporting environments and coaching practice sessions that are inclusive and empowering. </t>
  </si>
  <si>
    <t>Students (4max) will be asked to present on creating an effective coaching environment for people with disability. 20% will be an individual reflection and contribution.  </t>
  </si>
  <si>
    <t>Data interpretation</t>
  </si>
  <si>
    <t>Cultural awareness and competence</t>
  </si>
  <si>
    <t>Policy interpretation</t>
  </si>
  <si>
    <t xml:space="preserve">Indroduction and assessment justification </t>
  </si>
  <si>
    <t xml:space="preserve">Disability sport practical </t>
  </si>
  <si>
    <t xml:space="preserve">Effective coaching </t>
  </si>
  <si>
    <t xml:space="preserve">Becoming a reflexive coach </t>
  </si>
  <si>
    <t xml:space="preserve">Knowing disability </t>
  </si>
  <si>
    <t xml:space="preserve">Inclusion and empwerment </t>
  </si>
  <si>
    <t xml:space="preserve">Inclusive and empowering environments </t>
  </si>
  <si>
    <t xml:space="preserve">Infusing disability into coach education </t>
  </si>
  <si>
    <t xml:space="preserve">Impairment effect </t>
  </si>
  <si>
    <t>Revision / assessment preparation</t>
  </si>
  <si>
    <t>5403SPS</t>
  </si>
  <si>
    <t>Building on the foundations of Exercise Physiology and Human Movement modules in year one, this Strength and Conditioning module will provide sport coaching students with the opportunity to learn and understand the principles and concepts needed to improve the physical performance of a participant or team and make recommendations for programme design. Specifically, students will develop the knowledge and skills needed to, design and perform a needs analysis of a sport and athlete, analyse testing data against theoretical and empirical norms and to recommend an appropriate training intervention. Importantly, students will also gain the knowledge needed to create and work in a safe coaching environment.</t>
  </si>
  <si>
    <t>Strength and Conditioning for Coaches</t>
  </si>
  <si>
    <t>Theme 1: Endurance performance, evaluation and session design </t>
  </si>
  <si>
    <t xml:space="preserve">Theme 2: Games based conditioning, evaluation and session design  </t>
  </si>
  <si>
    <t>Theme 3: Sprint and change of direction, evaluation and session design; Theme 4: Resistance training, evaluation and session design 
Theme 5: Plyometric performance, evaluation and session design</t>
  </si>
  <si>
    <t xml:space="preserve">Lectures: Students are expected to attend time-tabled lectures and are encouraged to utilise the available private study time to get advice from module staff and/or conduct essential reading. Some of the teaching sessions will contain practical based activities, where students will be required to use their analytical and problem-solving skills to enhance their own learning. Students should complete the required and recommended reading to widen their knowledge and understanding, and their ability to apply material. Students will be required to evidence this in their assessments, that will enable knowledge and application to be assessed. </t>
  </si>
  <si>
    <t>Practical tasks: Practical learning tasks will be used to help support and extend students understanding of the delivered lecture content. Within the coaching programme, practical activities will be predominantly based on the sports facilities, where students are able to transfer their theory into their practical coaching.</t>
  </si>
  <si>
    <t xml:space="preserve">Dr Tabo Huntley  
Dr Craig Twist  
Dr Nicola Robinson 
Dr Stephen McQuillan   </t>
  </si>
  <si>
    <t>Formative opportunities after each topic is covered</t>
  </si>
  <si>
    <t>Collect physiological and performance data from fitness tests and compare participants data against norms found within academic literature. </t>
  </si>
  <si>
    <t>Based on the data and academic literature, design and justify training sessions across a selection of different performance and adaptive outcomes. </t>
  </si>
  <si>
    <t>As a coach and drawing on academic literature evaluate the effectiveness of the training sessions and how they may be modified for different populations or period within the annual sport calendar. </t>
  </si>
  <si>
    <t xml:space="preserve">To complete this portfolio, students will perform, collect and analysis data based on the themes below and design a scientifically justified session plan:  
Endurance training 
Acceleration, deceleration and change of direction 
Games-based conditioning 
Resistance and plyometric training.  </t>
  </si>
  <si>
    <t>Exam</t>
  </si>
  <si>
    <t xml:space="preserve">The aim of this Oral assessment is to assess students' knowledge and understanding of the scientific and strength and conditioning principles that underpin training session design. </t>
  </si>
  <si>
    <t>Data collection</t>
  </si>
  <si>
    <t>Analytical thinking</t>
  </si>
  <si>
    <t>Service delivery</t>
  </si>
  <si>
    <t xml:space="preserve">Endurance Training </t>
  </si>
  <si>
    <t xml:space="preserve">Games Based Conditioning </t>
  </si>
  <si>
    <t xml:space="preserve">Speed and Change of Direction </t>
  </si>
  <si>
    <t xml:space="preserve">Resistance Training </t>
  </si>
  <si>
    <t xml:space="preserve">Plyometric Training </t>
  </si>
  <si>
    <t xml:space="preserve">Revision and Assessment Preparation </t>
  </si>
  <si>
    <t>5405SPS</t>
  </si>
  <si>
    <t>Youth and Community Football Coaching</t>
  </si>
  <si>
    <t>This module aims to provide students with a critical appreciation of coaching football in the English context, with a particular emphasis on youth and community settings. It will help students to connect theoretical insights to applied practices. It seeks to provide opportunities for students to critically review everyday coaching strategies using secondary and primary evidence. In so doing students will develop a contextually aware understanding of youth football coaching in England. </t>
  </si>
  <si>
    <r>
      <t xml:space="preserve">Theoretical Perspectives on Football Coaching: </t>
    </r>
    <r>
      <rPr>
        <sz val="11"/>
        <color rgb="FF000000"/>
        <rFont val="Arial"/>
        <family val="2"/>
      </rPr>
      <t>Long Term Athlete Development Models, Physical Literacy, Learning Theories (constructivist learning).  </t>
    </r>
  </si>
  <si>
    <t>Colum Cronin</t>
  </si>
  <si>
    <r>
      <t xml:space="preserve">Coaching in Contemporary Contexts: </t>
    </r>
    <r>
      <rPr>
        <sz val="11"/>
        <color rgb="FF000000"/>
        <rFont val="Arial"/>
        <family val="2"/>
      </rPr>
      <t>Grassroots Clubs and Leagues, Tournaments, Private Coaching, Female football, Disability Football, Walking Football. </t>
    </r>
  </si>
  <si>
    <t>Option module</t>
  </si>
  <si>
    <r>
      <t>Youth football policy:</t>
    </r>
    <r>
      <rPr>
        <sz val="11"/>
        <color rgb="FF000000"/>
        <rFont val="Arial"/>
        <family val="2"/>
      </rPr>
      <t xml:space="preserve"> FA Future Fit, EPPP, Football in the community. </t>
    </r>
  </si>
  <si>
    <t xml:space="preserve"> This module adopts an experiential and practice-oriented approach to learning, enabling students to critically explore youth and community football coaching within authentic coaching environments.  </t>
  </si>
  <si>
    <r>
      <t xml:space="preserve">Lectures </t>
    </r>
    <r>
      <rPr>
        <sz val="12"/>
        <color rgb="FF000000"/>
        <rFont val="Arial"/>
        <family val="2"/>
      </rPr>
      <t>will introduce key concepts, theories and contemporary issues associated with youth and community football coaching, including participant development, coaching pedagogy, inclusion, safeguarding, volunteerism, community engagement and football development pathways. </t>
    </r>
  </si>
  <si>
    <r>
      <t xml:space="preserve">Seminars </t>
    </r>
    <r>
      <rPr>
        <sz val="12"/>
        <color rgb="FF000000"/>
        <rFont val="Arial"/>
        <family val="2"/>
      </rPr>
      <t>will provide opportunities for collaborative discussion, debate and critical analysis of contemporary research, policy and practice. Students will be encouraged to engage with diverse perspectives and apply academic concepts to current challenges facing youth and community football. </t>
    </r>
  </si>
  <si>
    <r>
      <t>Practical coaching workshops</t>
    </r>
    <r>
      <rPr>
        <sz val="12"/>
        <color rgb="FF000000"/>
        <rFont val="Arial"/>
        <family val="2"/>
      </rPr>
      <t xml:space="preserve"> will enable students to explore and evaluate coaching methods, session design, participant-centred approaches and learning environments. These sessions will provide opportunities to test and critique coaching approaches in a supportive learning environment. </t>
    </r>
  </si>
  <si>
    <r>
      <t>Field visits</t>
    </r>
    <r>
      <rPr>
        <sz val="12"/>
        <rFont val="Arial"/>
        <family val="2"/>
      </rPr>
      <t xml:space="preserve"> will provide authentic opportunities for students to observe, analyse and critically evaluate coaching practice in a range of community contexts.  </t>
    </r>
  </si>
  <si>
    <t>Additional Notes</t>
  </si>
  <si>
    <t xml:space="preserve">Formative opportunities in week 9. </t>
  </si>
  <si>
    <t>Demonstrate knowledge of football coaching contexts  </t>
  </si>
  <si>
    <t>Apply evidenced based pedagogical strategies to football contexts </t>
  </si>
  <si>
    <t>Critically evaluate football coaching practice or policy  </t>
  </si>
  <si>
    <t>20-minute group presentation followed by 10 minutes of questions (100%). Your aim is to critically evaluate coaching practice and develop evidence-informed recommendations for improvement. 
You should select one football coaching context and evaluate how coaching is enacted within that environment.</t>
  </si>
  <si>
    <t>Report</t>
  </si>
  <si>
    <t xml:space="preserve">1000 word reflective piece around the modules influence on students coachinhg practice within a football environment </t>
  </si>
  <si>
    <t>Scientific knowledge</t>
  </si>
  <si>
    <t>Domain-specific analytical skills</t>
  </si>
  <si>
    <t>Interpersonal communication</t>
  </si>
  <si>
    <t>Digital communication</t>
  </si>
  <si>
    <t xml:space="preserve">Lecture - Introduction to Youth and Community Football Contexts  </t>
  </si>
  <si>
    <t xml:space="preserve">Lecture - Long-Term Athlete Development and Player Pathways </t>
  </si>
  <si>
    <t xml:space="preserve">Lecture - Coaching in Grassroots Clubs </t>
  </si>
  <si>
    <t xml:space="preserve">Lecture - Coaching on Matchdays/Tournaments </t>
  </si>
  <si>
    <t xml:space="preserve">Lecture - Coaching in Private Contexts </t>
  </si>
  <si>
    <t xml:space="preserve">Lecture - Inclusive Football Coaching </t>
  </si>
  <si>
    <t>Reading Week</t>
  </si>
  <si>
    <t xml:space="preserve">Lecture -Coaching Practice in other Football Codes </t>
  </si>
  <si>
    <t>Formative Presentations</t>
  </si>
  <si>
    <t>Formative presentations</t>
  </si>
  <si>
    <t xml:space="preserve">Lecture - Working With Parents in Football </t>
  </si>
  <si>
    <t>Lecture - Youth Football Policu</t>
  </si>
  <si>
    <t>Summative Presentations</t>
  </si>
  <si>
    <t>5202SPS</t>
  </si>
  <si>
    <t>Learning Theory and Practice 2</t>
  </si>
  <si>
    <t>This module aims to provide students with a critical appreciation of learning theories and connect them to pedagogical models and practices. It seeks to provide opportunities for students to critically review pedagogical strategies using secondary and primary evidence. In so doing students will utilise research skills to further their understanding of pedagogical practice. </t>
  </si>
  <si>
    <r>
      <t xml:space="preserve">Theoretical Perspectives on Learning: </t>
    </r>
    <r>
      <rPr>
        <sz val="12"/>
        <color rgb="FF000000"/>
        <rFont val="Calibri"/>
        <family val="2"/>
      </rPr>
      <t>Constructivist Theories, Cognitive Theories, Critical Perspectives (e.g., Freire), Relational Approaches (e.g., Noddings), Ecological Approaches</t>
    </r>
    <r>
      <rPr>
        <i/>
        <sz val="12"/>
        <color rgb="FF000000"/>
        <rFont val="Calibri"/>
        <family val="2"/>
      </rPr>
      <t>.</t>
    </r>
    <r>
      <rPr>
        <sz val="12"/>
        <color rgb="FF000000"/>
        <rFont val="Calibri"/>
        <family val="2"/>
      </rPr>
      <t> </t>
    </r>
  </si>
  <si>
    <r>
      <t>Pedagogical Practices</t>
    </r>
    <r>
      <rPr>
        <sz val="12"/>
        <color rgb="FF000000"/>
        <rFont val="Calibri"/>
        <family val="2"/>
      </rPr>
      <t>: Games-based approaches (e.g., TGFU), Direct Instruction, Non-linear pedagogies, Models-based practices (e.g., Sport Education, TPSR) </t>
    </r>
  </si>
  <si>
    <r>
      <t xml:space="preserve">Evidence Basis for Learning: </t>
    </r>
    <r>
      <rPr>
        <sz val="12"/>
        <color rgb="FF000000"/>
        <rFont val="Calibri"/>
        <family val="2"/>
      </rPr>
      <t>Reviewing secondary research, primary research methods to evaluate pedagogical practices (e.g., field notes, interviews). </t>
    </r>
  </si>
  <si>
    <t>Physical Education</t>
  </si>
  <si>
    <t>Intro to pedagogical models / Learning theory </t>
  </si>
  <si>
    <t>Pedagogical Practice and Theory 1: e.g., Games based approaches  </t>
  </si>
  <si>
    <t>Pedagogical Practice and Theory 2: e.g., Direct Instruction </t>
  </si>
  <si>
    <t>Pedagogical Practice and Theory 3: e.g., TPSR </t>
  </si>
  <si>
    <t>Analysing the appropriateness of the model based learning</t>
  </si>
  <si>
    <t>Formative opportunities will be provided in Week 7 and in workshops in week 8, 10, 11, 12.</t>
  </si>
  <si>
    <t>Apply relevant learning theories to analyse pedagogical practice</t>
  </si>
  <si>
    <t xml:space="preserve">Apply established pedagogical models to practical teaching/coaching scenarios  </t>
  </si>
  <si>
    <t>Critically evaluate the appropriateness of pedagogical strategies  </t>
  </si>
  <si>
    <t xml:space="preserve">Produce a portfolio that evaluates the effectiveness of a pedagogical practice. The portfolio should include:  
1) An introduction to a pedagogical practice (e.g., TGFU) 
2) A theoretical framework to guide the evaluation (e.g., social constructivism)  
3) A method of analysing the effectiveness of the model (e.g., field notes).  
4) Findings that evaluate the pedagogical model.  </t>
  </si>
  <si>
    <t>Information retrieval</t>
  </si>
  <si>
    <t>Lecture - intro to pedgaogical models</t>
  </si>
  <si>
    <t xml:space="preserve">Practical </t>
  </si>
  <si>
    <t>Lecture - pedagogical practice and theory 1: e.g. GBA</t>
  </si>
  <si>
    <t>Lecture - Pedagogical Practice and theory 1B: e.g. GBA</t>
  </si>
  <si>
    <t>Lecture - Pedagogical Practice and theory 2A e.g. Direct Instruction</t>
  </si>
  <si>
    <t>Lecture - Pedagogical Practice and theory 2B e.g. Direct Instruction</t>
  </si>
  <si>
    <t>Lecture - Pedagogical Practice and theory 3A e.g. TPSR</t>
  </si>
  <si>
    <t xml:space="preserve">Submit Formative Task </t>
  </si>
  <si>
    <t>Lecture - Learning Theories Dilemmas</t>
  </si>
  <si>
    <t>Workshop Interview skills</t>
  </si>
  <si>
    <t>Catch up week</t>
  </si>
  <si>
    <t>Workshop Data Analysis</t>
  </si>
  <si>
    <t>Lectures - Learning Theories</t>
  </si>
  <si>
    <t>Workshop Data Presentation</t>
  </si>
  <si>
    <t xml:space="preserve">Assignment Support </t>
  </si>
  <si>
    <t>Workshop presenting your porfolio</t>
  </si>
  <si>
    <t>5094SPS</t>
  </si>
  <si>
    <t>Sport , Physical Education and Society</t>
  </si>
  <si>
    <t xml:space="preserve">6401SPS </t>
  </si>
  <si>
    <t xml:space="preserve">Advanced Coaching Practice </t>
  </si>
  <si>
    <r>
      <rPr>
        <sz val="11"/>
        <color rgb="FF000000"/>
        <rFont val="Aptos Narrow"/>
        <family val="2"/>
        <scheme val="minor"/>
      </rPr>
      <t>To develop critically informed, adaptive coaching practitioners who can design and evaluate inclusive and context-sensitive coaching environments using nonlinear pedagogy and universal design principles. </t>
    </r>
    <r>
      <rPr>
        <b/>
        <sz val="11"/>
        <color rgb="FF000000"/>
        <rFont val="Aptos Narrow"/>
        <family val="2"/>
        <scheme val="minor"/>
      </rPr>
      <t xml:space="preserve">Knowledge and Understanding 
</t>
    </r>
    <r>
      <rPr>
        <sz val="11"/>
        <color rgb="FF000000"/>
        <rFont val="Aptos Narrow"/>
        <family val="2"/>
        <scheme val="minor"/>
      </rPr>
      <t xml:space="preserve">
Critically evaluate nonlinear pedagogy and ecological dynamics in coaching contexts. 
Critically analyse universal design principles for inclusive coaching practice across diverse populations. 
Cognitive and Intellectual Skills 
Synthesise pedagogical frameworks (Mosston, constructivism, NLP, UDL) to justify coaching decisions. 
Critically reflect on the interaction between learner, task, and environment in shaping skill acquisition. 
Practical and Professional Skills 
Design and deliver coaching sessions using constraint-led and inclusive pedagogies. 
Evaluate and adapt coaching practice to enhance inclusivity, engagement, and performance outcomes. </t>
    </r>
  </si>
  <si>
    <t>Column1</t>
  </si>
  <si>
    <r>
      <t>The outline syllabus consists of three fundamental themes, which are linked and integrated to the module aims (see above) and explicit learning outcomes (see below.  They are:  </t>
    </r>
    <r>
      <rPr>
        <sz val="11"/>
        <color rgb="FF000000"/>
        <rFont val="Aptos Narrow"/>
        <family val="2"/>
        <scheme val="minor"/>
      </rPr>
      <t> </t>
    </r>
  </si>
  <si>
    <t xml:space="preserve">Gus Ryrie </t>
  </si>
  <si>
    <r>
      <t>Theme 1:</t>
    </r>
    <r>
      <rPr>
        <i/>
        <sz val="11"/>
        <rFont val="Aptos Narrow"/>
        <family val="2"/>
        <scheme val="minor"/>
      </rPr>
      <t xml:space="preserve"> Theory and practice of ecological dynamics and constrains led approaches</t>
    </r>
    <r>
      <rPr>
        <sz val="11"/>
        <rFont val="Aptos Narrow"/>
        <family val="2"/>
        <scheme val="minor"/>
      </rPr>
      <t> </t>
    </r>
  </si>
  <si>
    <r>
      <t> </t>
    </r>
    <r>
      <rPr>
        <sz val="12"/>
        <rFont val="Arial"/>
        <family val="2"/>
      </rPr>
      <t> </t>
    </r>
  </si>
  <si>
    <r>
      <t>Theme 2:</t>
    </r>
    <r>
      <rPr>
        <i/>
        <sz val="11"/>
        <rFont val="Aptos Narrow"/>
        <family val="2"/>
        <scheme val="minor"/>
      </rPr>
      <t xml:space="preserve"> Theory and practice of Universal Design</t>
    </r>
    <r>
      <rPr>
        <sz val="11"/>
        <rFont val="Aptos Narrow"/>
        <family val="2"/>
        <scheme val="minor"/>
      </rPr>
      <t> </t>
    </r>
  </si>
  <si>
    <r>
      <t>Theme 3:</t>
    </r>
    <r>
      <rPr>
        <i/>
        <sz val="11"/>
        <rFont val="Aptos Narrow"/>
        <family val="2"/>
        <scheme val="minor"/>
      </rPr>
      <t xml:space="preserve"> Delivering learning environments to meet the needs of different population </t>
    </r>
  </si>
  <si>
    <r>
      <t>Lectures</t>
    </r>
    <r>
      <rPr>
        <sz val="11"/>
        <color rgb="FF000000"/>
        <rFont val="Aptos Narrow"/>
        <family val="2"/>
        <scheme val="minor"/>
      </rPr>
      <t> </t>
    </r>
  </si>
  <si>
    <t>Students are expected to attend time-tabled lectures and are encouraged to utilise the available private study time to get advice from module staff and/or conduct essential reading. Some of the teaching sessions will contain practical based activities, where students will be required to use their analytical and problem-solving skills to enhance their own learning. Students should complete the required and recommended reading to widen their knowledge and understanding, and their ability to apply material. Students will be required to evidence this in their assessments, that will enable knowledge and application to be assessed. </t>
  </si>
  <si>
    <t xml:space="preserve">Formative oppurtunties will be offered throughout the module </t>
  </si>
  <si>
    <r>
      <t>Seminar/workshop</t>
    </r>
    <r>
      <rPr>
        <sz val="11"/>
        <color rgb="FF000000"/>
        <rFont val="Aptos Narrow"/>
        <family val="2"/>
        <scheme val="minor"/>
      </rPr>
      <t> </t>
    </r>
  </si>
  <si>
    <t>Seminars will be delivered where students will be given the opportunity to discuss, debate and develop their understanding of the lecture content.  </t>
  </si>
  <si>
    <t>  </t>
  </si>
  <si>
    <t>Critically evaluate nonlinear pedagogy and ecological dynamics in coaching contexts.</t>
  </si>
  <si>
    <r>
      <t>Practical tasks</t>
    </r>
    <r>
      <rPr>
        <sz val="11"/>
        <color rgb="FF000000"/>
        <rFont val="Aptos Narrow"/>
        <family val="2"/>
        <scheme val="minor"/>
      </rPr>
      <t> </t>
    </r>
  </si>
  <si>
    <t>Critically analyse universal design principles for inclusive coaching practice across diverse populations </t>
  </si>
  <si>
    <t>Practical learning tasks will be used to help support and extend students understanding of the delivered lecture content. Within the coaching programme, practical activities will be predominantly based on the sports facilities, where students are able to transfer their theory into their practical coaching. </t>
  </si>
  <si>
    <t xml:space="preserve">Design, deliver and critically reflect on coaching sessions using constraint-led and inclusive pedagogies </t>
  </si>
  <si>
    <r>
      <t>Lecture, practical tasks and wider reading</t>
    </r>
    <r>
      <rPr>
        <sz val="11"/>
        <color rgb="FF000000"/>
        <rFont val="Aptos Narrow"/>
        <family val="2"/>
        <scheme val="minor"/>
      </rPr>
      <t> </t>
    </r>
  </si>
  <si>
    <t>Students will be required to attend core lectures, complete practical tasks and independent study. This provides opportunity for students to develop essential discipline knowledge and vocational skills to facilitate deep learning and independent problem solving. </t>
  </si>
  <si>
    <t xml:space="preserve">Individual Assessment portfolio </t>
  </si>
  <si>
    <t xml:space="preserve">Practical Coaching Assessment </t>
  </si>
  <si>
    <t>Knowledge synthesis</t>
  </si>
  <si>
    <t>Translational practice</t>
  </si>
  <si>
    <t xml:space="preserve">Module Intergration Leccture </t>
  </si>
  <si>
    <t xml:space="preserve">Practical on subject </t>
  </si>
  <si>
    <r>
      <t>Ecological approach to learning</t>
    </r>
    <r>
      <rPr>
        <b/>
        <sz val="11"/>
        <color rgb="FF000000"/>
        <rFont val="Aptos Narrow"/>
        <family val="2"/>
        <scheme val="minor"/>
      </rPr>
      <t> </t>
    </r>
    <r>
      <rPr>
        <sz val="11"/>
        <color rgb="FF000000"/>
        <rFont val="Aptos Narrow"/>
        <family val="2"/>
        <scheme val="minor"/>
      </rPr>
      <t> </t>
    </r>
  </si>
  <si>
    <t>Skill acquisition in context </t>
  </si>
  <si>
    <t>Representative learning design </t>
  </si>
  <si>
    <t>Universal Design Learning (UDL)</t>
  </si>
  <si>
    <t>Inclusion through design </t>
  </si>
  <si>
    <t>Decision making in coaching</t>
  </si>
  <si>
    <t>Coach as designer</t>
  </si>
  <si>
    <t>Evaluating coaching </t>
  </si>
  <si>
    <t>Integration </t>
  </si>
  <si>
    <t xml:space="preserve">Assessment Preperation </t>
  </si>
  <si>
    <t xml:space="preserve">Assessment Support </t>
  </si>
  <si>
    <t>6402SPS</t>
  </si>
  <si>
    <t>The role of the coach developer has become increasingly important within modern coaching systems, where supporting coach learning is recognised as fundamental to improving coaching practice and participant experiences. Contemporary coach developers are required to move beyond the transmission of knowledge towards facilitating reflective, learner-centred and contextually relevant professional learning. 
This module introduces students to the theory and practice of coach development by examining how coaches learn, how learning can be facilitated, and how coach developers support meaningful behavioural change. Students will critically explore coaching expertise, adult learning, facilitation skills, observation, feedback, mentoring, reflective practice and the design of coach learning environments. 
Through authentic learning experiences, students will develop the knowledge, practical skills and professional behaviours expected of coach developers, aligned with the CIMSPA Coach Developer Professional Standard. 
The module provides an important bridge between undergraduate study and employment within coach education, talent development, national governing bodies, community sport and high-performance environments. 
The module aims to enable students to: 
Develop a critical understanding of coach learning and coach development.  
Explore contemporary theories underpinning adult learning and professional learning.  
Develop the practical skills required to facilitate coach learning.  
Design effective coach learning experiences informed by evidence.  
Apply observation, questioning and feedback strategies to enhance coaching practice.  
Demonstrate professional behaviours consistent with the CIMSPA Coach Developer Professional Standard.</t>
  </si>
  <si>
    <t xml:space="preserve">Coach Development and Learning </t>
  </si>
  <si>
    <t xml:space="preserve">•	Develop a critical understanding of coach learning and coach development. 
•	Explore contemporary theories underpinning adult learning and professional learning. 
•	Develop the practical skills required to facilitate coach learning. 
•	Design effective coach learning experiences informed by evidence. 
•	Apply observation, questioning and feedback strategies to enhance coaching practice. 
Demonstrate professional behaviours consistent with the CIMSPA Coach Developer Professional Standard.
</t>
  </si>
  <si>
    <t>Colin Lewis</t>
  </si>
  <si>
    <t>Theme 1: How coaches learn</t>
  </si>
  <si>
    <t>Theme 2: Facilitating learning environments</t>
  </si>
  <si>
    <t>Theme 3: Observing and evaluating coach behaviours</t>
  </si>
  <si>
    <t>Theme 4: Coach developer professional practice</t>
  </si>
  <si>
    <t xml:space="preserve">The role of the coach developer has become increasingly important within modern coaching systems, where supporting coach learning is recognised as fundamental to improving coaching practice and participant experiences. Contemporary coach developers are required to move beyond the transmission of knowledge towards facilitating reflective, learner-centred and contextually relevant professional learning.
This module introduces students to the theory and practice of coach development by examining how coaches learn, how learning can be facilitated, and how coach developers support meaningful behavioural change. Students will critically explore coaching expertise, adult learning, facilitation skills, observation, feedback, mentoring, reflective practice and the design of coach learning environments.
Through authentic learning experiences, students will develop the knowledge, practical skills and professional behaviours expected of coach developers, aligned with the CIMSPA Coach Developer Professional Standard.
The module provides an important bridge between undergraduate study and employment within coach education, talent development, national governing bodies, community sport and high-performance environments.
</t>
  </si>
  <si>
    <r>
      <rPr>
        <b/>
        <sz val="11"/>
        <color rgb="FF000000"/>
        <rFont val="Calibri"/>
      </rPr>
      <t xml:space="preserve">EDI/inclusive curriculum: Diversifying the curriculum: </t>
    </r>
    <r>
      <rPr>
        <sz val="11"/>
        <color rgb="FF000000"/>
        <rFont val="Calibri"/>
      </rPr>
      <t xml:space="preserve">The module explores coach learning and professional development across diverse sporting, cultural and community contexts. Through engagement with contemporary theories, research and case studies, students critically examine whose knowledge and experiences inform coach development and consider how dominant approaches may privilege particular groups. Students apply this understanding when planning, facilitating and evaluating inclusive, learner-centred coach learning activities.
</t>
    </r>
    <r>
      <rPr>
        <b/>
        <sz val="11"/>
        <color rgb="FF000000"/>
        <rFont val="Calibri"/>
      </rPr>
      <t>Representation of role models:</t>
    </r>
    <r>
      <rPr>
        <sz val="11"/>
        <color rgb="FF000000"/>
        <rFont val="Calibri"/>
      </rPr>
      <t xml:space="preserve"> Learning materials and case studies include coaches, coach developers and researchers from diverse backgrounds, including women, disabled people and people from different ethnic and cultural communities. Examples draw on grassroots, participation and performance settings, broadening students’ understanding of expertise and leadership. Students critically consider how representation, visibility and access to role models influence coaches’ professional identities and development opportunities.
</t>
    </r>
    <r>
      <rPr>
        <b/>
        <sz val="11"/>
        <color rgb="FF000000"/>
        <rFont val="Calibri"/>
      </rPr>
      <t xml:space="preserve">Discussing diverse perspectives: </t>
    </r>
    <r>
      <rPr>
        <sz val="11"/>
        <color rgb="FF000000"/>
        <rFont val="Calibri"/>
      </rPr>
      <t>Critical discussion, practical facilitation activities and reflective tasks encourage students to consider different perspectives on coaching, learning and professional development. Students explore how identity, lived experience, power and social context influence learning needs and interactions between coaches and coach developers. Respectful dialogue and critical reflection support students to challenge assumptions, recognise barriers to participation and adapt their professional behaviours and facilitation strategies to support diverse learners.</t>
    </r>
  </si>
  <si>
    <r>
      <rPr>
        <b/>
        <sz val="11"/>
        <color rgb="FF000000"/>
        <rFont val="Aptos Narrow"/>
        <scheme val="minor"/>
      </rPr>
      <t>Group assessment:</t>
    </r>
    <r>
      <rPr>
        <sz val="11"/>
        <color rgb="FF000000"/>
        <rFont val="Aptos Narrow"/>
        <scheme val="minor"/>
      </rPr>
      <t xml:space="preserve"> All group members will receive the same mark unless the buddycheck presents disproportionate workload and contribution between group members. Mark may be adjusted by +/-10%</t>
    </r>
  </si>
  <si>
    <r>
      <rPr>
        <b/>
        <sz val="11"/>
        <color rgb="FF000000"/>
        <rFont val="Aptos Narrow"/>
        <scheme val="minor"/>
      </rPr>
      <t xml:space="preserve">AI: </t>
    </r>
    <r>
      <rPr>
        <sz val="11"/>
        <color rgb="FF000000"/>
        <rFont val="Aptos Narrow"/>
        <scheme val="minor"/>
      </rPr>
      <t>Development of teaching resources or observation notes using AI. However, these are not a requirment to be formally represented within assessments.</t>
    </r>
  </si>
  <si>
    <t xml:space="preserve">Critically evaluate contemporary theories of coach learning, professional development and adult learning in relation to coaching practice. </t>
  </si>
  <si>
    <r>
      <rPr>
        <sz val="11"/>
        <color rgb="FF000000"/>
        <rFont val="WordVisi_MSFontService"/>
      </rPr>
      <t>Critically analyse the role, knowledge, skills and professional behaviours required of effective coach developers across diverse coaching contexts.</t>
    </r>
    <r>
      <rPr>
        <sz val="11"/>
        <color rgb="FF000000"/>
        <rFont val="Calibri"/>
      </rPr>
      <t> </t>
    </r>
  </si>
  <si>
    <t>Plan, facilitate and evaluate coach learning activities using appropriate pedagogical approaches, observation techniques and learner-centred facilitation strategies.</t>
  </si>
  <si>
    <t>Critically reflect upon personal practice as an emerging coach developer, identifying future professional development needs using relevant evidence and professional standards.</t>
  </si>
  <si>
    <t>4500 Words</t>
  </si>
  <si>
    <t>Critical thinking</t>
  </si>
  <si>
    <t>Introduction to Coach Development </t>
  </si>
  <si>
    <t>Lecture and Seminar</t>
  </si>
  <si>
    <t>Coaching learning and facilitation  </t>
  </si>
  <si>
    <t>Seminar and Workshop</t>
  </si>
  <si>
    <t>Coaching learning and facilitation </t>
  </si>
  <si>
    <t>Observation, feedback and reflection  </t>
  </si>
  <si>
    <t>Observation, feedback and reflection </t>
  </si>
  <si>
    <t>Mentoring and Learning Conversations </t>
  </si>
  <si>
    <t>DSW</t>
  </si>
  <si>
    <t>Formative Task Submission - Slides for first 3 assessment criteria</t>
  </si>
  <si>
    <t>Designing Coach Learning </t>
  </si>
  <si>
    <t>Facilitating Communities of Practice  </t>
  </si>
  <si>
    <t>Evaluating Coach Learning </t>
  </si>
  <si>
    <t>Professional Practice </t>
  </si>
  <si>
    <t>Assessment preparation </t>
  </si>
  <si>
    <t>6403SPS</t>
  </si>
  <si>
    <t>Provide students with the opportunities to develop their coaching skills and knowledge in relation to future employability.</t>
  </si>
  <si>
    <t xml:space="preserve">Placement/Projects in Sport for Professional Development </t>
  </si>
  <si>
    <t>The aim is for the students to become independent, reflexive practitioners who are capable of sustaining enquiry into aspects of professional sports coaching or delivery context.</t>
  </si>
  <si>
    <t>This module offers the opportunity to plan, implement, analyse and revise and reflect aswell as completing a professional based project. </t>
  </si>
  <si>
    <t>YL</t>
  </si>
  <si>
    <t xml:space="preserve">Professional Skill development, EDI, CPD courses, interpersonal and intrapersonal skill development, placement exposure, career planning, </t>
  </si>
  <si>
    <t>Goal setting, First Aid, preparing for employment/enterprise</t>
  </si>
  <si>
    <t xml:space="preserve">Theme 1 – Professional Development 
CV, LinkedIn, LJMU Careers initiatives
Safeguarding 
Equality, Diversity and Inclusion- Working with different population groups 
CPD course and opportunities 
Policies in Sport 
Enterprise
Career opportunities 
Job interview skills 
First Aid skills 
Project planning and completion 
Theme 2 - Personal Development 
Reflective practice 
Self- awareness- resilience, team working, mindset 
Goal setting and attainment 
</t>
  </si>
  <si>
    <t xml:space="preserve">Student will complete 60 hours of placement where tey are in contact with placement providers and other coaches plus  40 hours of contact across the module. </t>
  </si>
  <si>
    <t>Critically interpret evidence gathered and experience gained to investigate personal and professional development </t>
  </si>
  <si>
    <t>Demonstrate the ability to plan, implement and critically reflect upon a work-related project  </t>
  </si>
  <si>
    <t xml:space="preserve">Students will complete an individual 20 minute presetation and 5 minutes of questions as part of a simulated job interview. They will be interviewed by the module leader and external panel members and the presentation will directly correlate with a chosen job description, person spec and reflection upon their personal and professional skills and development. Students will also complete a CV, Covering letter and psychometric test. </t>
  </si>
  <si>
    <t xml:space="preserve">Students wil complete a professional project on their placement or additional to their placement. This professional project is devised by the students based on a need or issue that they observe within their placement or wider experiences and the will demonstrate how they plan, deliver and review a given project. The assessment will be a portfolio of evidence completed during the project along with a 15 minute individual presentation to reflect on the process from plan through to review. </t>
  </si>
  <si>
    <t>Multi-tasking</t>
  </si>
  <si>
    <t>Safeguarding, keeping yourself safe, self awareness  </t>
  </si>
  <si>
    <t>Preparing for placements, career focus,  </t>
  </si>
  <si>
    <t>Reflective practice  </t>
  </si>
  <si>
    <t>Reflection seminar  </t>
  </si>
  <si>
    <t>Placement+ First Aid courses </t>
  </si>
  <si>
    <t>Placement + First Aid Courses  </t>
  </si>
  <si>
    <t>Placement and Job descriptions and  and identifying professional skills.  </t>
  </si>
  <si>
    <t>Placement + EDI considerations and protected characteristics in the Workplace </t>
  </si>
  <si>
    <t>Placement and diversifying the workforce </t>
  </si>
  <si>
    <t xml:space="preserve">Using AI and technology in sport </t>
  </si>
  <si>
    <t>Policy, practice and legislation </t>
  </si>
  <si>
    <t>Project planning and completion  </t>
  </si>
  <si>
    <t>Job interview skills  </t>
  </si>
  <si>
    <t>Career opportunities  </t>
  </si>
  <si>
    <t>Enterprise skills and entrepreneurship </t>
  </si>
  <si>
    <t>Current issues in coaching and employment  </t>
  </si>
  <si>
    <t>Reflecting on placement and assessment support </t>
  </si>
  <si>
    <t>Emotional Intelligence  </t>
  </si>
  <si>
    <t>Self-awareness </t>
  </si>
  <si>
    <t xml:space="preserve">External visit </t>
  </si>
  <si>
    <t xml:space="preserve">Formative seminars for job interview - students to run through planned preparation with personal tutors </t>
  </si>
  <si>
    <t>Job Interviews  </t>
  </si>
  <si>
    <t>Reflective practice workshop </t>
  </si>
  <si>
    <t xml:space="preserve">Project presentation deadlines </t>
  </si>
  <si>
    <t>6097SPS</t>
  </si>
  <si>
    <t xml:space="preserve">Critically evaluate the structures, governance and leadership models of high-performance sport organisations in the UK (e.g. UK Sport, NGBs, professional academies, performance institutes). 
Synthesise interdisciplinary sport science and coaching knowledge (physiology, psychology, biomechanics, performance analysis) to design and justify a holistic performance support strategy for an elite athlete or team. 
Evaluate the evidence base underpinning performance planning, talent development and periodisation within real-world high-performance environments. </t>
  </si>
  <si>
    <t>Working in High Performance Sport</t>
  </si>
  <si>
    <r>
      <rPr>
        <b/>
        <sz val="11"/>
        <color rgb="FF000000"/>
        <rFont val="Aptos Narrow"/>
      </rPr>
      <t xml:space="preserve">The UK high-performance sport system 
</t>
    </r>
    <r>
      <rPr>
        <sz val="11"/>
        <color rgb="FF000000"/>
        <rFont val="Aptos Narrow"/>
      </rPr>
      <t>- UK Sport, Sport England/Scotland/Wales, NGBs, World Class Programme, UK Sports Institute (UKSI).  
- Structures of professional sport academies: EPL Category 1-4 Academy framework, Rugby Academies, British Athletics Performance Hubs etc.  
- Roles and competencies of the Performance Director, Academy Manager and Lead Practitioner and interdisciplinary teams</t>
    </r>
  </si>
  <si>
    <t>Dr Nic Robinson</t>
  </si>
  <si>
    <r>
      <rPr>
        <b/>
        <sz val="11"/>
        <color rgb="FF000000"/>
        <rFont val="Aptos Narrow"/>
      </rPr>
      <t xml:space="preserve">Applied interdisciplinary performance sport science support 
</t>
    </r>
    <r>
      <rPr>
        <sz val="11"/>
        <color rgb="FF000000"/>
        <rFont val="Aptos Narrow"/>
      </rPr>
      <t xml:space="preserve">-     What is Take to Win Modelling 
-     Monitoring and evaluation  over a 12 month plan
-     Performance Solutions  </t>
    </r>
  </si>
  <si>
    <r>
      <rPr>
        <b/>
        <sz val="11"/>
        <color rgb="FF000000"/>
        <rFont val="Aptos Narrow"/>
      </rPr>
      <t xml:space="preserve"> Pathway to Performance awareness</t>
    </r>
    <r>
      <rPr>
        <sz val="11"/>
        <color rgb="FF000000"/>
        <rFont val="Aptos Narrow"/>
      </rPr>
      <t xml:space="preserve"> 
- Talent identification and long-term athlete development (LTAD / No Compromise / podium pathways)                                                                                                                            </t>
    </r>
    <r>
      <rPr>
        <b/>
        <sz val="11"/>
        <color rgb="FF000000"/>
        <rFont val="Aptos Narrow"/>
      </rPr>
      <t xml:space="preserve">Leadership and management in high-performance environments: 
</t>
    </r>
    <r>
      <rPr>
        <sz val="11"/>
        <color rgb="FF000000"/>
        <rFont val="Aptos Narrow"/>
      </rPr>
      <t xml:space="preserve">- Culture, communication, conflict management  
- Ethical and welfare considerations: safeguarding, anti-doping, mental health in elite sport 
</t>
    </r>
    <r>
      <rPr>
        <b/>
        <sz val="11"/>
        <color rgb="FF000000"/>
        <rFont val="Aptos Narrow"/>
      </rPr>
      <t>Guest speakers/ High Performance visits:</t>
    </r>
    <r>
      <rPr>
        <sz val="11"/>
        <color rgb="FF000000"/>
        <rFont val="Aptos Narrow"/>
      </rPr>
      <t xml:space="preserve"> practitioners from professional academies, NGBs and performance institutes </t>
    </r>
  </si>
  <si>
    <t>All Programmes</t>
  </si>
  <si>
    <t xml:space="preserve">This Level 6 option module prepares you for a career in elite and high-performance sport. It is open to students on Sport Coaching, Physical Education and Sport &amp; Exercise Science, and it draws together what you learned at Levels 4 and 5 in physiology, psychology, biomechanics, performance analysis and coaching. You will use that knowledge the way performance environments do. You will look at how UK high-performance sport is organised and led, from UK Sport, the UK Sports Institute and National Governing Bodies to professional academies and performance hubs. You will also explore the roles, skills and challenges of senior practitioners such as the Performance Director, Academy Manager, Head of Sport Science and Talent Pathway Lead. Through problem-based learning, you will work in simulated interdisciplinary teams to plan and justify holistic support strategies for athletes and teams. These cover periodisation, monitoring, talent development and pathways to podium. Alongside this, you will study leadership, culture, communication, and ethical and welfare issues such as safeguarding, anti-doping and mental health in elite sport. Guest speakers and visits to high-performance settings connect your learning to real practice. </t>
  </si>
  <si>
    <t xml:space="preserve">Critically evaluate the structures, governance and leadership models of high-performance sport organisations in the UK (e.g. UK Sport, NGBs, professional academies, performance institutes). </t>
  </si>
  <si>
    <t xml:space="preserve">Synthesise interdisciplinary sport science and coaching knowledge (physiology, psychology, biomechanics, performance analysis) to design and justify a holistic performance support strategy for an elite athlete or team. </t>
  </si>
  <si>
    <t xml:space="preserve">Evaluate the evidence base underpinning performance planning, talent development and periodisation within real-world high-performance environments. </t>
  </si>
  <si>
    <r>
      <rPr>
        <b/>
        <sz val="11"/>
        <color rgb="FF000000"/>
        <rFont val="Aptos Narrow"/>
        <scheme val="minor"/>
      </rPr>
      <t>Group podcast (15 minutes).</t>
    </r>
    <r>
      <rPr>
        <sz val="11"/>
        <color rgb="FF000000"/>
        <rFont val="Aptos Narrow"/>
        <scheme val="minor"/>
      </rPr>
      <t xml:space="preserve"> "Inside the Performance Environment". Groups act as the senior interdisciplinary team of a named high-performance organisation, such as an NGB World Class Programme, a Category 1 academy or a performance institute. They record a podcast on a real performance problem. Examples:
An athlete stalling at the transition from pathway to podium.
A squad with a rising burnout risk.
A cut in UK Sport funding.
Each student takes a senior role, such as Performance Director, Head of Sport Science, Academy Manager or Lead Coach. They explain how their role sees the problem and what it contributes. Together, the group then agrees an interdisciplinary performance solution. This keeps the collaborative, problem-based format students rate highly. It also brings in the new content: organisational structures, roles and competencies, leadership, communication and conflict, and welfare or ethical limits on the solution.</t>
    </r>
  </si>
  <si>
    <r>
      <rPr>
        <b/>
        <sz val="11"/>
        <color rgb="FF000000"/>
        <rFont val="Aptos Narrow"/>
      </rPr>
      <t>Annual performance plan .</t>
    </r>
    <r>
      <rPr>
        <sz val="11"/>
        <color rgb="FF000000"/>
        <rFont val="Aptos Narrow"/>
      </rPr>
      <t xml:space="preserve"> Write an evidence-based annual plan for an athlete or team in that setting. Cover periodisation, monitoring and evaluation, and interdisciplinary justification. Add a short section on how the plan would be led and managed: who owns each part, how the team works together and communicates with stakeholders, and any welfare, safeguarding or anti-doping considerations.</t>
    </r>
  </si>
  <si>
    <t>Scientific writing</t>
  </si>
  <si>
    <t>Evidence-based decision making</t>
  </si>
  <si>
    <t>Evidence-based practice</t>
  </si>
  <si>
    <t>ModuleCode</t>
  </si>
  <si>
    <t>ModuleTitle</t>
  </si>
  <si>
    <t>Total Contact Hours</t>
  </si>
  <si>
    <t>Hours per Credit</t>
  </si>
  <si>
    <t>Professional Practice in Sport Coaching 1</t>
  </si>
  <si>
    <t>Placement/Projects in Sport for Professional Development</t>
  </si>
  <si>
    <t>Sport PE and society</t>
  </si>
  <si>
    <t>6401SPS</t>
  </si>
  <si>
    <t>Advanced Coaching Practice</t>
  </si>
  <si>
    <t>Coach Development and Learning</t>
  </si>
  <si>
    <t>4093SPS</t>
  </si>
  <si>
    <t>Psychosocial Principles of Sport and Exercise</t>
  </si>
  <si>
    <t>Kathryn Curran</t>
  </si>
  <si>
    <t>5093SPS</t>
  </si>
  <si>
    <t>Sport and Performance Psychology</t>
  </si>
  <si>
    <t>James Roberts</t>
  </si>
  <si>
    <t>4091SPS</t>
  </si>
  <si>
    <t>Research Methods 1</t>
  </si>
  <si>
    <t>Theodoors Bampouras</t>
  </si>
  <si>
    <t>Research Strand</t>
  </si>
  <si>
    <t>4092SPS</t>
  </si>
  <si>
    <t>Exercise Phys L4</t>
  </si>
  <si>
    <t>4094SPS</t>
  </si>
  <si>
    <t>Human Movement</t>
  </si>
  <si>
    <t>Katie Fitton Davies</t>
  </si>
  <si>
    <t>6091SPS</t>
  </si>
  <si>
    <t>Major Project</t>
  </si>
  <si>
    <t>Dave Low</t>
  </si>
  <si>
    <t>Research Project</t>
  </si>
  <si>
    <t>6093SPS</t>
  </si>
  <si>
    <t>Strength and Conditioning</t>
  </si>
  <si>
    <t>Chelsea Oxendale</t>
  </si>
  <si>
    <t>SourceWorkbook</t>
  </si>
  <si>
    <t>TableName</t>
  </si>
  <si>
    <t>ItemSuffix</t>
  </si>
  <si>
    <t>Programme</t>
  </si>
  <si>
    <t>ProgCode</t>
  </si>
  <si>
    <t>Sport Coaching - AllModuleProformas.xlsx</t>
  </si>
  <si>
    <t>4202SPS_Hours</t>
  </si>
  <si>
    <t>Hours</t>
  </si>
  <si>
    <t>COACH</t>
  </si>
  <si>
    <t>4401SPS_Hours</t>
  </si>
  <si>
    <t>5401SPS_Hours</t>
  </si>
  <si>
    <t>5402SPS_Hours</t>
  </si>
  <si>
    <t>5403SPS_Hours</t>
  </si>
  <si>
    <t>5405SPS_Hours</t>
  </si>
  <si>
    <t>6097SPS_Hours</t>
  </si>
  <si>
    <t>6403SPS_Hours</t>
  </si>
  <si>
    <t>_5094SPS_Hours</t>
  </si>
  <si>
    <t>_5202SPS_Hours</t>
  </si>
  <si>
    <t>_6401SPS_Hours</t>
  </si>
  <si>
    <t>_6402SPS_Hours</t>
  </si>
  <si>
    <t>Sport Psychology - AllModuleProformas.xlsx</t>
  </si>
  <si>
    <t>4093SPS_Hours</t>
  </si>
  <si>
    <t>5093SPS_Hours</t>
  </si>
  <si>
    <t>Sport and Exercise Science - AllModuleProformas.xlsx</t>
  </si>
  <si>
    <t>4091SPS_Hours</t>
  </si>
  <si>
    <t>4092SPS_Hours</t>
  </si>
  <si>
    <t>4094SPS_Hours</t>
  </si>
  <si>
    <t>6091SPS_Hours</t>
  </si>
  <si>
    <t>6093SPS_Hours</t>
  </si>
  <si>
    <t>4202SPS_Meta</t>
  </si>
  <si>
    <t>Meta</t>
  </si>
  <si>
    <t>4401SPS_Meta</t>
  </si>
  <si>
    <t>5401SPS_Meta</t>
  </si>
  <si>
    <t>5402SPS_Meta</t>
  </si>
  <si>
    <t>5403SPS_Meta</t>
  </si>
  <si>
    <t>5405SPS_Meta</t>
  </si>
  <si>
    <t>6097SPS_Meta</t>
  </si>
  <si>
    <t>6403SPS_Meta</t>
  </si>
  <si>
    <t>_5094SPS_Meta</t>
  </si>
  <si>
    <t>_5202SPS_Meta</t>
  </si>
  <si>
    <t>_6401SPS_Meta</t>
  </si>
  <si>
    <t>_6402SPS_Meta</t>
  </si>
  <si>
    <t>4093SPS_Meta</t>
  </si>
  <si>
    <t>Other combination</t>
  </si>
  <si>
    <t>5093SPS_Meta</t>
  </si>
  <si>
    <t>4091SPS_Meta</t>
  </si>
  <si>
    <t>4092SPS_Meta</t>
  </si>
  <si>
    <t>4094SPS_Meta</t>
  </si>
  <si>
    <t>6091SPS_Meta</t>
  </si>
  <si>
    <t>6093SPS_Meta</t>
  </si>
  <si>
    <t>SES, SC, PE</t>
  </si>
  <si>
    <t>Category</t>
  </si>
  <si>
    <t>Skill</t>
  </si>
  <si>
    <t>Modules Covering</t>
  </si>
  <si>
    <t>Module Count</t>
  </si>
  <si>
    <t>Covered</t>
  </si>
  <si>
    <t>Scientific literacy</t>
  </si>
  <si>
    <t>Evidence evaluation</t>
  </si>
  <si>
    <t>Psychosocial Principles of Sport and Exercise; Sport and Performance Psychology</t>
  </si>
  <si>
    <t>Laboratory/clinical techniques</t>
  </si>
  <si>
    <t>Data analysis</t>
  </si>
  <si>
    <t>Written communication</t>
  </si>
  <si>
    <t>Digital literacy</t>
  </si>
  <si>
    <t>Risk assessment</t>
  </si>
  <si>
    <t>Literature searching</t>
  </si>
  <si>
    <t>Research communication</t>
  </si>
  <si>
    <t>Lifelong learning</t>
  </si>
  <si>
    <t>Resilience</t>
  </si>
  <si>
    <t>Initiative</t>
  </si>
  <si>
    <t>Accountability</t>
  </si>
  <si>
    <t>Active listening</t>
  </si>
  <si>
    <t>Evaluation of outcomes</t>
  </si>
  <si>
    <t>Leadership</t>
  </si>
  <si>
    <t>Time management</t>
  </si>
  <si>
    <t>Organisation</t>
  </si>
  <si>
    <t>Delegation</t>
  </si>
  <si>
    <t>Conflict resolution</t>
  </si>
  <si>
    <t>Empathy</t>
  </si>
  <si>
    <t>Resource management</t>
  </si>
  <si>
    <t>Stakeholder awareness</t>
  </si>
  <si>
    <t>Teamwork</t>
  </si>
  <si>
    <t>Collaboration/multi-disciplinary working</t>
  </si>
  <si>
    <t>Ethical practice</t>
  </si>
  <si>
    <t>Integrity</t>
  </si>
  <si>
    <t>Respect</t>
  </si>
  <si>
    <t>Research literacy</t>
  </si>
  <si>
    <t>4091SPS_Mapping</t>
  </si>
  <si>
    <t>Mapping</t>
  </si>
  <si>
    <t>4092SPS_Mapping</t>
  </si>
  <si>
    <t>4094SPS_Mapping</t>
  </si>
  <si>
    <t>6091SPS_Mapping</t>
  </si>
  <si>
    <t>6093SPS_Mapping</t>
  </si>
  <si>
    <t>4202SPS_Mapping</t>
  </si>
  <si>
    <t>4401SPS_Mapping</t>
  </si>
  <si>
    <t>5401SPS_Mapping</t>
  </si>
  <si>
    <t>5402SPS_Mapping</t>
  </si>
  <si>
    <t>5403SPS_Mapping</t>
  </si>
  <si>
    <t>_5202SPS_Mapping</t>
  </si>
  <si>
    <t>5405SPS_Mapping</t>
  </si>
  <si>
    <t>_6401SPS_Mapping</t>
  </si>
  <si>
    <t>_6402SPS_Mapping</t>
  </si>
  <si>
    <t>6403SPS_Mapping</t>
  </si>
  <si>
    <t>6097SPS_Mapping</t>
  </si>
  <si>
    <t>4093SPS_Mapping</t>
  </si>
  <si>
    <t>5093SPS_Mapping</t>
  </si>
  <si>
    <t>4091SPS_Assess</t>
  </si>
  <si>
    <t>Assess</t>
  </si>
  <si>
    <t>Assessment period</t>
  </si>
  <si>
    <t>4092SPS_Assess</t>
  </si>
  <si>
    <t>Lab Report</t>
  </si>
  <si>
    <t>Lab Report Portfolio: Lab Report 1 Submission + Peer Review Activity + Reflection + Lab Report 2 Submission</t>
  </si>
  <si>
    <t>In Person Exam</t>
  </si>
  <si>
    <t>4094SPS_Assess</t>
  </si>
  <si>
    <t>MCQ Online Test</t>
  </si>
  <si>
    <t>Online exam where students choose 3 out of 6 possible videos of movement to deconstruct a joint of their choice through MCQ and open text responses</t>
  </si>
  <si>
    <t>Video</t>
  </si>
  <si>
    <t>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t>
  </si>
  <si>
    <t>6091SPS_Assess</t>
  </si>
  <si>
    <t>Dissertation</t>
  </si>
  <si>
    <t>Individual Presentation</t>
  </si>
  <si>
    <t xml:space="preserve">Students are required to manage their own project throughout the year and produce, present and defend their major project </t>
  </si>
  <si>
    <t>6093SPS_Assess</t>
  </si>
  <si>
    <t>Viva</t>
  </si>
  <si>
    <t>4202SPS_Assess</t>
  </si>
  <si>
    <t>4401SPS_Assess</t>
  </si>
  <si>
    <t>5401SPS_Assess</t>
  </si>
  <si>
    <t>5402SPS_Assess</t>
  </si>
  <si>
    <t>5403SPS_Assess</t>
  </si>
  <si>
    <t>_5202SPS_Assess</t>
  </si>
  <si>
    <t>5405SPS_Assess</t>
  </si>
  <si>
    <t>_6401SPS_Assess</t>
  </si>
  <si>
    <t>_6402SPS_Assess</t>
  </si>
  <si>
    <t>6403SPS_Assess</t>
  </si>
  <si>
    <t>6097SPS_Assess</t>
  </si>
  <si>
    <t>Group podcast (15 minutes). "Inside the Performance Environment". Groups act as the senior interdisciplinary team of a named high-performance organisation, such as an NGB World Class Programme, a Category 1 academy or a performance institute. They record a podcast on a real performance problem. Examples:
An athlete stalling at the transition from pathway to podium.
A squad with a rising burnout risk.
A cut in UK Sport funding.
Each student takes a senior role, such as Performance Director, Head of Sport Science, Academy Manager or Lead Coach. They explain how their role sees the problem and what it contributes. Together, the group then agrees an interdisciplinary performance solution. This keeps the collaborative, problem-based format students rate highly. It also brings in the new content: organisational structures, roles and competencies, leadership, communication and conflict, and welfare or ethical limits on the solution.</t>
  </si>
  <si>
    <t>Annual performance plan . Write an evidence-based annual plan for an athlete or team in that setting. Cover periodisation, monitoring and evaluation, and interdisciplinary justification. Add a short section on how the plan would be led and managed: who owns each part, how the team works together and communicates with stakeholders, and any welfare, safeguarding or anti-doping considerations.</t>
  </si>
  <si>
    <t>4093SPS_Assess</t>
  </si>
  <si>
    <t xml:space="preserve">60 minute and 50 question MCT to cover material delivered during weeks 1-6 of the module. </t>
  </si>
  <si>
    <t>Week 8</t>
  </si>
  <si>
    <t>60 minute and 50 question MCT to cover material delivered during weeks 8-12 of the module. </t>
  </si>
  <si>
    <t>January Assessment Weeks</t>
  </si>
  <si>
    <t>5093SPS_Assess</t>
  </si>
  <si>
    <t>13-14</t>
  </si>
  <si>
    <t>4091SPS_LO</t>
  </si>
  <si>
    <t>Identify characteristics of different research designs</t>
  </si>
  <si>
    <t>LO</t>
  </si>
  <si>
    <t>Apply, interpret and report quantitative and qualitative techniques</t>
  </si>
  <si>
    <t>4092SPS_LO</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</si>
  <si>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</si>
  <si>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</si>
  <si>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</si>
  <si>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4094SPS_LO</t>
  </si>
  <si>
    <t>Describe human anatomical structure and function and apply these concepts to sport, exercise and health</t>
  </si>
  <si>
    <t>Apply concepts and techniques of biomechanics to sport, exercise, and health</t>
  </si>
  <si>
    <t>Apply concepts and techniques of skill acquisition to sport, exercise, and health</t>
  </si>
  <si>
    <t>6091SPS_LO</t>
  </si>
  <si>
    <t>Apply skills and competencies to conduct research in an area relevant to their programme of study</t>
  </si>
  <si>
    <t>Critically appraise the research in a written format as specified by the major project guidelines</t>
  </si>
  <si>
    <t>Present and defend the progress and summary of the project and its findings in a scientific manner</t>
  </si>
  <si>
    <t>6093SPS_LO</t>
  </si>
  <si>
    <t>Complete an athlete needs analysis and analyse the data against norms found within academic literature</t>
  </si>
  <si>
    <t>Design an athlete training programme in consideration of the athlete needs analysis and scientific determinants of performance.</t>
  </si>
  <si>
    <t>Design safe and effective coaching sessions to athletes</t>
  </si>
  <si>
    <t>4202SPS_LO</t>
  </si>
  <si>
    <t>4401SPS_LO</t>
  </si>
  <si>
    <t>5401SPS_LO</t>
  </si>
  <si>
    <t>5402SPS_LO</t>
  </si>
  <si>
    <t>_5202SPS_LO</t>
  </si>
  <si>
    <t>5405SPS_LO</t>
  </si>
  <si>
    <t>_6401SPS_LO</t>
  </si>
  <si>
    <t>_6402SPS_LO</t>
  </si>
  <si>
    <t>Critically analyse the role, knowledge, skills and professional behaviours required of effective coach developers across diverse coaching contexts. </t>
  </si>
  <si>
    <t>6403SPS_LO</t>
  </si>
  <si>
    <t>6097SPS_LO</t>
  </si>
  <si>
    <t>4093SPS_LO</t>
  </si>
  <si>
    <t>5093SPS_LO</t>
  </si>
  <si>
    <t>Evaluate individual and environmental psychological principles associated with sport performance.</t>
  </si>
  <si>
    <t>Evaluate the identification and development of perceptual-cognitive expertise within sport.</t>
  </si>
  <si>
    <t>Table 1</t>
  </si>
  <si>
    <t>Table 3</t>
  </si>
  <si>
    <t>Table 5</t>
  </si>
  <si>
    <t>Essay</t>
  </si>
  <si>
    <t>Placement</t>
  </si>
  <si>
    <t>Scientific Knowledge</t>
  </si>
  <si>
    <t>Category text shown to user</t>
  </si>
  <si>
    <t>Defined Name</t>
  </si>
  <si>
    <t>Case Study</t>
  </si>
  <si>
    <t>ScientificKnowledge</t>
  </si>
  <si>
    <t>Data Analysis</t>
  </si>
  <si>
    <t>TechnicalSkills</t>
  </si>
  <si>
    <t>ApplicationofKnowledge</t>
  </si>
  <si>
    <t>Infographic</t>
  </si>
  <si>
    <t>UnderstandingResearch</t>
  </si>
  <si>
    <t>Reflection</t>
  </si>
  <si>
    <t>SelfEvaluation</t>
  </si>
  <si>
    <t>Football Science</t>
  </si>
  <si>
    <t>Journal</t>
  </si>
  <si>
    <t>ProblemSolving</t>
  </si>
  <si>
    <t>Sport and Exercise Science</t>
  </si>
  <si>
    <t>Technical Skills</t>
  </si>
  <si>
    <t>MgmtSelf</t>
  </si>
  <si>
    <t>DeliveryEnvironment</t>
  </si>
  <si>
    <t>Sport Nutrition</t>
  </si>
  <si>
    <t>ProfRelationships</t>
  </si>
  <si>
    <t>Sport Psychology</t>
  </si>
  <si>
    <t>SES and FS</t>
  </si>
  <si>
    <t>SES and SN</t>
  </si>
  <si>
    <t>Application of Knowledge &amp; Skills</t>
  </si>
  <si>
    <t>Professional relationships &amp; behaviours</t>
  </si>
  <si>
    <t>Physical Education - AllModuleProformas.xlsx</t>
  </si>
  <si>
    <t>6096SPS_Mapping</t>
  </si>
  <si>
    <t>6096SPS</t>
  </si>
  <si>
    <t>Secondary PE Teacher Education</t>
  </si>
  <si>
    <t>5091SPS_Mapping</t>
  </si>
  <si>
    <t>5091SPS</t>
  </si>
  <si>
    <t>Research Methods 2</t>
  </si>
  <si>
    <t>6094SPS_Mapping</t>
  </si>
  <si>
    <t>6094SPS</t>
  </si>
  <si>
    <t>Behaviour Change</t>
  </si>
  <si>
    <t>6096SPS_Hours</t>
  </si>
  <si>
    <t>5091SPS_Hours</t>
  </si>
  <si>
    <t>6094SPS_Hours</t>
  </si>
  <si>
    <t>Online test with multiple-choice, fill in the gap or true/false questions. The test is not invigilated but taken within a specific time-window. The questions are based around the content of the first 4 weeks. Practice questions will be available on Canvas. [NB: The restriction of not being able to take the test on site, and thus invigilate it, is imposed by the University]</t>
  </si>
  <si>
    <t>Online exam, in-person and on campus, invigilated. Multiple-choice, fill in the gap or true/false questions. The questions are based around the remaining content (after 4 weeks) of the module. Practice questions will be available on Canvas.</t>
  </si>
  <si>
    <t>1 hour Online MCQ Exam</t>
  </si>
  <si>
    <t>17-18</t>
  </si>
  <si>
    <t>6096SPS_Assess</t>
  </si>
  <si>
    <t>Group lesson plan and delivery of lesson</t>
  </si>
  <si>
    <t>Individual essay critically evaluating a current trend in secondary PE</t>
  </si>
  <si>
    <t>5091SPS_Assess</t>
  </si>
  <si>
    <t>Portfolio (2500 words)Group presentation demonstrating their analysis of a mixed-methods data set i.e. both qualitative and quantitative data. Assessment Criteria will include an individual mark to help differentiate grades between students alongside Peer Review i.e. Buddycheck.</t>
  </si>
  <si>
    <t>Research Proposal outlining the design and methodology of a feasible study the student could undertake at L6 i.e. Dissertation Major Project</t>
  </si>
  <si>
    <t>Assessment Period</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</si>
  <si>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 AI use will be allowed and will be assessed.</t>
  </si>
  <si>
    <t>Students will produce and deliver an individual 10 minute pre-recorded needs analysis presentation</t>
  </si>
  <si>
    <t>Students will produce an individual 4 week training programme and take part in an individual 10 minute oral viva defence to answer questions about their training programme.</t>
  </si>
  <si>
    <t>6094SPS_Assess</t>
  </si>
  <si>
    <t>Design a theory-based behaviour change intervention (10 minute narrated presentation)</t>
  </si>
  <si>
    <t xml:space="preserve">Practical Simulation and Reflection: Students complete a 12-15 minute behaviour change consultation with an adult client seeking support. Following the practical, students submit a critical reflection (≈750–1,000 words) on their consultation. </t>
  </si>
  <si>
    <t>Video presentation</t>
  </si>
  <si>
    <t xml:space="preserve">Group presentation (5 in 5 mins academeic + AI-generated lay audiance video)  </t>
  </si>
  <si>
    <t>In-class short and multi-choice answer questions</t>
  </si>
  <si>
    <t>6096SPS_LO</t>
  </si>
  <si>
    <t>Critically analyse the structure, content, and delivery of the secondary Physical Education curriculum and the role of the PE teacher in facilitating effective learning</t>
  </si>
  <si>
    <t>Apply and evaluate pedagogical teaching and learning strategies within a secondary Physical Education setting</t>
  </si>
  <si>
    <t>Critically evaluate the provision and processes that underpin Physical Education for learners within the 14-16 curriculum</t>
  </si>
  <si>
    <t>5091SPS_LO</t>
  </si>
  <si>
    <t>Deploy accurately established techniques of analysis and enquiry within a discipline</t>
  </si>
  <si>
    <t>Describe and analyse aspects of current research, or equivalent advanced scholarship, in the discipline</t>
  </si>
  <si>
    <t>Manage their own learning, and to make use of scholarly reviews and primary sources (for example, refereed research articles and/or original materials appropriate to the discipline).</t>
  </si>
  <si>
    <t>6094SPS_LO</t>
  </si>
  <si>
    <t>Design a theory-based behaviour change intervention</t>
  </si>
  <si>
    <t>Conduct a behaviour change consultation</t>
  </si>
  <si>
    <t>Critically evaluate and reflect upon personal and professional skills to support behaviour change</t>
  </si>
  <si>
    <t>5403SPS_LO</t>
  </si>
  <si>
    <t xml:space="preserve">Recognise the importance of psychology, sociology and psychosocial principles in sport and exercise. </t>
  </si>
  <si>
    <t>Recall how psychological factors influence behaviour, performance and participation in sport and exercise</t>
  </si>
  <si>
    <t>Recall how social, cultural, and structural factors influence participation, behaviour and experiences in sport and exercise.</t>
  </si>
  <si>
    <t>Fundamentals of Exercise Physiology</t>
  </si>
  <si>
    <t xml:space="preserve">Gemma Miller </t>
  </si>
  <si>
    <t>6096SPS_Meta</t>
  </si>
  <si>
    <t>Kelly Massey</t>
  </si>
  <si>
    <t>5091SPS_Meta</t>
  </si>
  <si>
    <t>Jonathan Foulkes</t>
  </si>
  <si>
    <t>6094SPS_Meta</t>
  </si>
  <si>
    <t>Lawrence Foweather</t>
  </si>
  <si>
    <t>Exercise Phys L4; Major Project; Strength and Conditioning; Behaviour Change; Coach Development and Learning; Sport and Performance Psychology</t>
  </si>
  <si>
    <t>Research Methods 1; Human Movement; Research Methods 2; Strength and Conditioning; Learning Theory and Practice 2; Psychosocial Principles of Sport and Exercise; Sport and Performance Psychology</t>
  </si>
  <si>
    <t>Research Methods 1; Exercise Phys L4; Research Methods 2; Major Project; Strength and Conditioning</t>
  </si>
  <si>
    <t>Research Methods 1; Research Methods 2; Professional Practice in Sport Coaching 2</t>
  </si>
  <si>
    <t>Human Movement; Major Project; Advanced Coaching Practice; Sport and Performance Psychology</t>
  </si>
  <si>
    <t>Research Methods 1; Secondary PE Teacher Education; Human Movement; Strength and Conditioning; Behaviour Change; Learning Theory and Practice 1; Professional Practice in Sport Coaching 1; Professional Practice in Sport Coaching 2; Youth and Community Football Coaching; Learning Theory and Practice 2; Coach Development and Learning; Working in High Performance Sport; Sport and Performance Psychology</t>
  </si>
  <si>
    <t>Strength and Conditioning; Behaviour Change; Youth and Community Football Coaching; Advanced Coaching Practice</t>
  </si>
  <si>
    <t>Research Methods 1; Exercise Phys L4; Secondary PE Teacher Education; Research Methods 2; Major Project; Strength and Conditioning; Effective Coaching in Paralympic and Disability Sport; Strength and Conditioning for Coaches; Learning Theory and Practice 2</t>
  </si>
  <si>
    <t>Research Methods 1; Exercise Phys L4; Behaviour Change; Professional Practice in Sport Coaching 1; Youth and Community Football Coaching</t>
  </si>
  <si>
    <t>Exercise Phys L4; Human Movement; Major Project; Strength and Conditioning for Coaches</t>
  </si>
  <si>
    <t>Exercise Phys L4; Secondary PE Teacher Education; Major Project; Learning Theory and Practice 1; Professional Practice in Sport Coaching 1; Strength and Conditioning for Coaches; Placement/Projects in Sport for Professional Development; Psychosocial Principles of Sport and Exercise</t>
  </si>
  <si>
    <t>Secondary PE Teacher Education; Research Methods 2</t>
  </si>
  <si>
    <t>Major Project; Behaviour Change; Professional Practice in Sport Coaching 1; Strength and Conditioning for Coaches</t>
  </si>
  <si>
    <t>Secondary PE Teacher Education; Working in High Performance Sport</t>
  </si>
  <si>
    <t>Secondary PE Teacher Education; Research Methods 2; Strength and Conditioning; Learning Theory and Practice 1; Advanced Coaching Practice</t>
  </si>
  <si>
    <t>Advanced Coaching Practice; Sport and Performance Psychology</t>
  </si>
  <si>
    <t>Secondary PE Teacher Education; Major Project</t>
  </si>
  <si>
    <t>Secondary PE Teacher Education; Strength and Conditioning; Professional Practice in Sport Coaching 2; Effective Coaching in Paralympic and Disability Sport</t>
  </si>
  <si>
    <t>Secondary PE Teacher Education; Research Methods 2; Major Project; Strength and Conditioning; Behaviour Change; Learning Theory and Practice 1; Professional Practice in Sport Coaching 2; Youth and Community Football Coaching; Placement/Projects in Sport for Professional Development; Working in High Performance Sport</t>
  </si>
  <si>
    <t>Secondary PE Teacher Education; Behaviour Change; Youth and Community Football Coaching</t>
  </si>
  <si>
    <t>Secondary PE Teacher Education; Human Movement</t>
  </si>
  <si>
    <t>Secondary PE Teacher Education; Learning Theory and Practice 1; Youth and Community Football Coaching; Sport and Performance Psychology</t>
  </si>
  <si>
    <t>Secondary PE Teacher Education; Human Movement; Major Project</t>
  </si>
  <si>
    <t>Secondary PE Teacher Education; Placement/Projects in Sport for Professional Development</t>
  </si>
  <si>
    <t>Behaviour Change; Professional Practice in Sport Coaching 1; Professional Practice in Sport Coaching 2; Effective Coaching in Paralympic and Disability Sport; Placement/Projects in Sport for Professional Development</t>
  </si>
  <si>
    <t>Secondary PE Teacher Education; Professional Practice in Sport Coaching 1; Psychosocial Principles of Sport and Exercise; Sport and Performance Psychology</t>
  </si>
  <si>
    <t>Secondary PE Teacher Education; Professional Practice in Sport Coaching 2; Sport and Performance Psychology</t>
  </si>
  <si>
    <t>Research Methods 2; Major Project; Working in High Performance Sport</t>
  </si>
  <si>
    <t>Secondary PE Teacher Education; Strength and Conditioning; Working in High Performance Sport; Psychosocial Principles of Sport and Exercise; Sport and Performance Psychology</t>
  </si>
  <si>
    <t>Human Movement; Youth and Community Football Coaching; Sport and Performance Psychology</t>
  </si>
  <si>
    <t>Secondary PE Teacher Education; Professional Practice in Sport Coaching 2</t>
  </si>
  <si>
    <t>Strength and Conditioning for Coaches; Advanced Coaching Practice; Sport and Performance Psychology</t>
  </si>
  <si>
    <t>Secondary PE Teacher Education; Effective Coaching in Paralympic and Disability Sport</t>
  </si>
  <si>
    <t>Professional Practice in Sport Coaching 1; Sport and Performance Psychology</t>
  </si>
  <si>
    <t>Behaviour Change; Professional Practice in Sport Coaching 1; Advanced Coaching Practice</t>
  </si>
  <si>
    <t>Secondary PE Teacher Education; Strength and Conditioning for Coaches</t>
  </si>
  <si>
    <t>Secondary PE Teacher Education; Professional Practice in Sport Coaching 1</t>
  </si>
  <si>
    <t>Secondary PE Teacher Education; Sport and Performance Psychology</t>
  </si>
  <si>
    <t>Secondary PE Teacher Education; Behaviour Change; Professional Practice in Sport Coaching 2; Placement/Projects in Sport for Professional Development</t>
  </si>
  <si>
    <t>Secondary PE Teacher Education; Effective Coaching in Paralympic and Disability Sport; Placement/Projects in Sport for Professional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</si>
</sst>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1"/>
      <color theme="1"/>
      <name val="Calibri"/>
      <family val="2"/>
    </font>
    <font>
      <sz val="11"/>
      <color rgb="FF242424"/>
      <name val="Aptos Narrow"/>
      <family val="2"/>
    </font>
    <font>
      <b/>
      <sz val="11"/>
      <color rgb="FF000000"/>
      <name val="Aptos Narrow"/>
      <family val="2"/>
      <scheme val="minor"/>
    </font>
    <font>
      <sz val="11"/>
      <color rgb="FF000000"/>
      <name val="Aptos Narrow"/>
      <family val="2"/>
      <scheme val="minor"/>
    </font>
    <font>
      <sz val="11"/>
      <color rgb="FF000000"/>
      <name val="Calibri"/>
      <family val="2"/>
    </font>
    <font>
      <sz val="12"/>
      <name val="Arial"/>
      <family val="2"/>
    </font>
    <font>
      <sz val="11"/>
      <color rgb="FF000000"/>
      <name val="WordVisi_MSFontService"/>
      <charset val="1"/>
    </font>
    <font>
      <sz val="12"/>
      <color rgb="FF000000"/>
      <name val="Arial"/>
      <family val="2"/>
    </font>
    <font>
      <sz val="12"/>
      <color rgb="FF000000"/>
      <name val="WordVisi_MSFontService"/>
      <charset val="1"/>
    </font>
    <font>
      <sz val="12"/>
      <color rgb="FF000000"/>
      <name val="Aptos Narrow"/>
      <family val="2"/>
      <scheme val="minor"/>
    </font>
    <font>
      <sz val="11"/>
      <color rgb="FF000000"/>
      <name val="Arial"/>
      <family val="2"/>
    </font>
    <font>
      <b/>
      <sz val="12"/>
      <name val="Aptos Narrow"/>
      <family val="2"/>
      <scheme val="minor"/>
    </font>
    <font>
      <sz val="11"/>
      <name val="Aptos Narrow"/>
      <family val="2"/>
      <scheme val="minor"/>
    </font>
    <font>
      <i/>
      <sz val="12"/>
      <name val="Arial"/>
      <family val="2"/>
    </font>
    <font>
      <i/>
      <sz val="11"/>
      <color rgb="FF000000"/>
      <name val="Aptos Narrow"/>
      <family val="2"/>
      <scheme val="minor"/>
    </font>
    <font>
      <b/>
      <i/>
      <sz val="11"/>
      <name val="Aptos Narrow"/>
      <family val="2"/>
      <scheme val="minor"/>
    </font>
    <font>
      <i/>
      <sz val="11"/>
      <name val="Aptos Narrow"/>
      <family val="2"/>
      <scheme val="minor"/>
    </font>
    <font>
      <sz val="10.5"/>
      <color rgb="FF011A42"/>
      <name val="Arial"/>
      <family val="2"/>
      <charset val="1"/>
    </font>
    <font>
      <sz val="11"/>
      <color theme="1"/>
      <name val="Calibri"/>
      <family val="2"/>
      <charset val="1"/>
    </font>
    <font>
      <sz val="12"/>
      <color theme="1"/>
      <name val="Arial"/>
      <family val="2"/>
      <charset val="1"/>
    </font>
    <font>
      <sz val="12"/>
      <color rgb="FF2D3B45"/>
      <name val="Arial"/>
      <family val="2"/>
    </font>
    <font>
      <sz val="12"/>
      <color rgb="FF2D3B45"/>
      <name val="Calibri"/>
      <family val="2"/>
    </font>
    <font>
      <sz val="12"/>
      <color rgb="FF000000"/>
      <name val="Calibri"/>
      <family val="2"/>
    </font>
    <font>
      <sz val="11"/>
      <color theme="1"/>
      <name val="Aptos Narrow"/>
      <family val="2"/>
      <scheme val="minor"/>
    </font>
    <font>
      <i/>
      <sz val="12"/>
      <color rgb="FF000000"/>
      <name val="Calibri"/>
      <family val="2"/>
    </font>
    <font>
      <i/>
      <sz val="11"/>
      <color rgb="FF000000"/>
      <name val="Arial"/>
      <family val="2"/>
    </font>
    <font>
      <i/>
      <sz val="12"/>
      <color rgb="FF000000"/>
      <name val="Arial"/>
      <family val="2"/>
    </font>
    <font>
      <i/>
      <sz val="12"/>
      <color theme="1"/>
      <name val="Arial"/>
      <family val="2"/>
      <charset val="1"/>
    </font>
    <font>
      <sz val="11"/>
      <name val="Arial"/>
      <family val="2"/>
    </font>
    <font>
      <b/>
      <sz val="11"/>
      <name val="Arial"/>
      <family val="2"/>
    </font>
    <font>
      <b/>
      <sz val="11"/>
      <color rgb="FF000000"/>
      <name val="Arial"/>
      <family val="2"/>
    </font>
    <font>
      <sz val="12"/>
      <color theme="1"/>
      <name val="Aptos Narrow"/>
      <family val="2"/>
      <scheme val="minor"/>
    </font>
    <font>
      <sz val="12"/>
      <color rgb="FF333333"/>
      <name val="Helvetica Neue"/>
      <charset val="1"/>
    </font>
    <font>
      <i/>
      <sz val="11"/>
      <color rgb="FF000000"/>
      <name val="Arial"/>
      <charset val="1"/>
    </font>
    <font>
      <i/>
      <sz val="11"/>
      <color rgb="FF000000"/>
      <name val="Arial"/>
    </font>
    <font>
      <sz val="11"/>
      <color rgb="FF000000"/>
      <name val="Calibri"/>
      <charset val="1"/>
    </font>
    <font>
      <sz val="11"/>
      <color rgb="FF000000"/>
      <name val="Arial"/>
      <charset val="1"/>
    </font>
    <font>
      <b/>
      <sz val="11"/>
      <color rgb="FF000000"/>
      <name val="Arial"/>
      <charset val="1"/>
    </font>
    <font>
      <b/>
      <sz val="11"/>
      <color rgb="FF000000"/>
      <name val="Aptos Narrow"/>
      <scheme val="minor"/>
    </font>
    <font>
      <sz val="11"/>
      <color rgb="FF000000"/>
      <name val="Aptos Narrow"/>
      <scheme val="minor"/>
    </font>
    <font>
      <b/>
      <sz val="11"/>
      <color rgb="FF000000"/>
      <name val="Calibri"/>
    </font>
    <font>
      <sz val="11"/>
      <color rgb="FF000000"/>
      <name val="Calibri"/>
    </font>
    <font>
      <sz val="11"/>
      <color theme="1"/>
      <name val="Aptos Narrow"/>
      <scheme val="minor"/>
    </font>
    <font>
      <b/>
      <sz val="20"/>
      <color theme="1"/>
      <name val="Aptos Narrow"/>
      <scheme val="minor"/>
    </font>
    <font>
      <b/>
      <sz val="11"/>
      <color theme="1"/>
      <name val="Aptos Narrow"/>
      <scheme val="minor"/>
    </font>
    <font>
      <b/>
      <sz val="14"/>
      <color theme="1"/>
      <name val="Aptos Narrow"/>
      <scheme val="minor"/>
    </font>
    <font>
      <sz val="12"/>
      <color rgb="FF000000"/>
      <name val="Aptos Narrow"/>
      <scheme val="minor"/>
    </font>
    <font>
      <sz val="12"/>
      <name val="Aptos Narrow"/>
      <scheme val="minor"/>
    </font>
    <font>
      <sz val="12"/>
      <color rgb="FF273540"/>
      <name val="Aptos Narrow"/>
      <scheme val="minor"/>
    </font>
    <font>
      <i/>
      <sz val="12"/>
      <color theme="1"/>
      <name val="Aptos Narrow"/>
      <scheme val="minor"/>
    </font>
    <font>
      <b/>
      <sz val="11"/>
      <color rgb="FF000000"/>
      <name val="Aptos Narrow"/>
    </font>
    <font>
      <sz val="11"/>
      <color rgb="FF000000"/>
      <name val="Aptos Narrow"/>
    </font>
    <font>
      <sz val="11"/>
      <color rgb="FF000000"/>
      <name val="WordVisi_MSFontService"/>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8" tint="0.79998168889431442"/>
        <bgColor theme="8" tint="0.79998168889431442"/>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auto="1"/>
      </top>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s>
  <cellStyleXfs count="1">
    <xf numFmtId="0" fontId="0" fillId="0" borderId="0"/>
  </cellStyleXfs>
  <cellXfs count="113">
    <xf numFmtId="0" fontId="0" fillId="0" borderId="0" xfId="0"/>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0" fontId="0" fillId="0" borderId="0" xfId="0" applyAlignment="1" applyProtection="1">
      <alignment wrapText="1"/>
      <protection locked="0"/>
    </xf>
    <xf numFmtId="0" fontId="12" fillId="0" borderId="0" xfId="0" applyFont="1" applyAlignment="1" applyProtection="1">
      <alignment wrapText="1"/>
      <protection locked="0"/>
    </xf>
    <xf numFmtId="0" fontId="7" fillId="0" borderId="0" xfId="0" applyFont="1" applyAlignment="1" applyProtection="1">
      <alignment wrapText="1"/>
      <protection locked="0"/>
    </xf>
    <xf numFmtId="0" fontId="27" fillId="0" borderId="0" xfId="0" applyFont="1" applyAlignment="1" applyProtection="1">
      <alignment wrapText="1"/>
      <protection locked="0"/>
    </xf>
    <xf numFmtId="0" fontId="12" fillId="0" borderId="6" xfId="0" applyFont="1" applyBorder="1" applyAlignment="1" applyProtection="1">
      <alignment horizontal="left" vertical="center" wrapText="1"/>
      <protection locked="0"/>
    </xf>
    <xf numFmtId="0" fontId="17" fillId="0" borderId="0" xfId="0" applyFont="1" applyAlignment="1" applyProtection="1">
      <alignment wrapText="1"/>
      <protection locked="0"/>
    </xf>
    <xf numFmtId="0" fontId="30" fillId="0" borderId="0" xfId="0" applyFont="1" applyAlignment="1" applyProtection="1">
      <alignment horizontal="left" vertical="center" wrapText="1"/>
      <protection locked="0"/>
    </xf>
    <xf numFmtId="0" fontId="38" fillId="0" borderId="0" xfId="0" applyFont="1" applyAlignment="1" applyProtection="1">
      <alignment horizontal="left" vertical="center" wrapText="1"/>
      <protection locked="0"/>
    </xf>
    <xf numFmtId="0" fontId="4" fillId="4"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12" fillId="0" borderId="0" xfId="0" applyFont="1" applyAlignment="1">
      <alignment wrapText="1"/>
    </xf>
    <xf numFmtId="0" fontId="6" fillId="0" borderId="0" xfId="0" applyFont="1"/>
    <xf numFmtId="0" fontId="1" fillId="0" borderId="0" xfId="0" applyFont="1"/>
    <xf numFmtId="0" fontId="0" fillId="0" borderId="0" xfId="0" applyAlignment="1">
      <alignment horizontal="center"/>
    </xf>
    <xf numFmtId="0" fontId="1" fillId="0" borderId="0" xfId="0" applyFont="1" applyAlignment="1" applyProtection="1">
      <alignment horizontal="left" vertical="center" wrapText="1"/>
      <protection locked="0"/>
    </xf>
    <xf numFmtId="0" fontId="11" fillId="0" borderId="0" xfId="0" applyFont="1" applyProtection="1">
      <protection locked="0"/>
    </xf>
    <xf numFmtId="0" fontId="0" fillId="0" borderId="0" xfId="0" applyAlignment="1" applyProtection="1">
      <alignment horizontal="center"/>
      <protection locked="0"/>
    </xf>
    <xf numFmtId="0" fontId="1" fillId="0" borderId="0" xfId="0" applyFont="1" applyAlignment="1" applyProtection="1">
      <alignment horizontal="center" vertical="center" wrapText="1"/>
      <protection locked="0"/>
    </xf>
    <xf numFmtId="0" fontId="15" fillId="0" borderId="0" xfId="0" applyFont="1" applyProtection="1">
      <protection locked="0"/>
    </xf>
    <xf numFmtId="0" fontId="14" fillId="0" borderId="0" xfId="0" applyFont="1" applyProtection="1">
      <protection locked="0"/>
    </xf>
    <xf numFmtId="0" fontId="4" fillId="4" borderId="0" xfId="0" applyFont="1" applyFill="1" applyAlignment="1">
      <alignment wrapText="1"/>
    </xf>
    <xf numFmtId="0" fontId="0" fillId="0" borderId="0" xfId="0" applyAlignment="1">
      <alignment wrapText="1"/>
    </xf>
    <xf numFmtId="0" fontId="6" fillId="0" borderId="0" xfId="0" applyFont="1" applyAlignment="1">
      <alignment wrapText="1"/>
    </xf>
    <xf numFmtId="0" fontId="24" fillId="0" borderId="0" xfId="0" applyFont="1" applyAlignment="1" applyProtection="1">
      <alignment wrapText="1"/>
      <protection locked="0"/>
    </xf>
    <xf numFmtId="0" fontId="25" fillId="0" borderId="0" xfId="0" applyFont="1" applyAlignment="1" applyProtection="1">
      <alignment wrapText="1"/>
      <protection locked="0"/>
    </xf>
    <xf numFmtId="0" fontId="26" fillId="0" borderId="7" xfId="0" applyFont="1" applyBorder="1" applyAlignment="1" applyProtection="1">
      <alignment wrapText="1"/>
      <protection locked="0"/>
    </xf>
    <xf numFmtId="0" fontId="26" fillId="0" borderId="0" xfId="0" applyFont="1" applyAlignment="1" applyProtection="1">
      <alignment wrapText="1"/>
      <protection locked="0"/>
    </xf>
    <xf numFmtId="0" fontId="28" fillId="0" borderId="0" xfId="0" applyFont="1" applyProtection="1">
      <protection locked="0"/>
    </xf>
    <xf numFmtId="0" fontId="12" fillId="0" borderId="5" xfId="0" applyFont="1" applyBorder="1" applyAlignment="1" applyProtection="1">
      <alignment wrapText="1" readingOrder="1"/>
      <protection locked="0"/>
    </xf>
    <xf numFmtId="0" fontId="12" fillId="0" borderId="6" xfId="0" applyFont="1" applyBorder="1" applyAlignment="1" applyProtection="1">
      <alignment wrapText="1" readingOrder="1"/>
      <protection locked="0"/>
    </xf>
    <xf numFmtId="0" fontId="12" fillId="0" borderId="8" xfId="0" applyFont="1" applyBorder="1" applyAlignment="1" applyProtection="1">
      <alignment wrapText="1" readingOrder="1"/>
      <protection locked="0"/>
    </xf>
    <xf numFmtId="0" fontId="14" fillId="0" borderId="0" xfId="0" applyFont="1" applyAlignment="1" applyProtection="1">
      <alignment wrapText="1"/>
      <protection locked="0"/>
    </xf>
    <xf numFmtId="0" fontId="36" fillId="0" borderId="0" xfId="0" applyFont="1" applyProtection="1">
      <protection locked="0"/>
    </xf>
    <xf numFmtId="0" fontId="37" fillId="0" borderId="0" xfId="0" applyFont="1" applyProtection="1">
      <protection locked="0"/>
    </xf>
    <xf numFmtId="0" fontId="30" fillId="0" borderId="0" xfId="0" applyFont="1" applyAlignment="1" applyProtection="1">
      <alignment wrapText="1"/>
      <protection locked="0"/>
    </xf>
    <xf numFmtId="0" fontId="10" fillId="0" borderId="0" xfId="0" applyFont="1" applyAlignment="1" applyProtection="1">
      <alignment wrapText="1"/>
      <protection locked="0"/>
    </xf>
    <xf numFmtId="0" fontId="31" fillId="0" borderId="0" xfId="0" applyFont="1" applyAlignment="1" applyProtection="1">
      <alignment wrapText="1"/>
      <protection locked="0"/>
    </xf>
    <xf numFmtId="0" fontId="20" fillId="0" borderId="0" xfId="0" applyFont="1"/>
    <xf numFmtId="0" fontId="32" fillId="0" borderId="0" xfId="0" applyFont="1" applyProtection="1">
      <protection locked="0"/>
    </xf>
    <xf numFmtId="0" fontId="33" fillId="0" borderId="0" xfId="0" applyFont="1" applyProtection="1">
      <protection locked="0"/>
    </xf>
    <xf numFmtId="0" fontId="20" fillId="0" borderId="0" xfId="0" applyFont="1" applyProtection="1">
      <protection locked="0"/>
    </xf>
    <xf numFmtId="0" fontId="12" fillId="0" borderId="0" xfId="0" applyFont="1"/>
    <xf numFmtId="0" fontId="18" fillId="0" borderId="0" xfId="0" applyFont="1"/>
    <xf numFmtId="0" fontId="22" fillId="0" borderId="0" xfId="0" applyFont="1"/>
    <xf numFmtId="0" fontId="16" fillId="0" borderId="0" xfId="0" applyFont="1" applyProtection="1">
      <protection locked="0"/>
    </xf>
    <xf numFmtId="0" fontId="10" fillId="0" borderId="0" xfId="0" applyFont="1" applyProtection="1">
      <protection locked="0"/>
    </xf>
    <xf numFmtId="0" fontId="19" fillId="0" borderId="0" xfId="0" applyFont="1" applyAlignment="1" applyProtection="1">
      <alignment wrapText="1"/>
      <protection locked="0"/>
    </xf>
    <xf numFmtId="0" fontId="21" fillId="0" borderId="0" xfId="0" applyFont="1" applyProtection="1">
      <protection locked="0"/>
    </xf>
    <xf numFmtId="0" fontId="12" fillId="0" borderId="0" xfId="0" applyFont="1" applyProtection="1">
      <protection locked="0"/>
    </xf>
    <xf numFmtId="0" fontId="22" fillId="0" borderId="0" xfId="0" applyFont="1" applyProtection="1">
      <protection locked="0"/>
    </xf>
    <xf numFmtId="0" fontId="14" fillId="0" borderId="0" xfId="0" applyFont="1" applyAlignment="1" applyProtection="1">
      <alignment readingOrder="1"/>
      <protection locked="0"/>
    </xf>
    <xf numFmtId="0" fontId="9" fillId="0" borderId="0" xfId="0" applyFont="1" applyProtection="1">
      <protection locked="0"/>
    </xf>
    <xf numFmtId="0" fontId="17" fillId="0" borderId="0" xfId="0" applyFont="1" applyProtection="1">
      <protection locked="0"/>
    </xf>
    <xf numFmtId="0" fontId="11" fillId="0" borderId="0" xfId="0" applyFont="1" applyAlignment="1" applyProtection="1">
      <alignment wrapText="1"/>
      <protection locked="0"/>
    </xf>
    <xf numFmtId="0" fontId="13" fillId="0" borderId="0" xfId="0" applyFont="1" applyAlignment="1" applyProtection="1">
      <alignment wrapText="1"/>
      <protection locked="0"/>
    </xf>
    <xf numFmtId="0" fontId="34" fillId="0" borderId="0" xfId="0" applyFont="1" applyProtection="1">
      <protection locked="0"/>
    </xf>
    <xf numFmtId="0" fontId="29" fillId="0" borderId="0" xfId="0" applyFont="1" applyAlignment="1" applyProtection="1">
      <alignment wrapText="1"/>
      <protection locked="0"/>
    </xf>
    <xf numFmtId="0" fontId="12" fillId="0" borderId="9" xfId="0" applyFont="1" applyBorder="1" applyAlignment="1" applyProtection="1">
      <alignment wrapText="1"/>
      <protection locked="0"/>
    </xf>
    <xf numFmtId="0" fontId="8" fillId="0" borderId="0" xfId="0" applyFont="1" applyProtection="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39" fillId="0" borderId="0" xfId="0" applyFont="1" applyProtection="1">
      <protection locked="0"/>
    </xf>
    <xf numFmtId="0" fontId="41" fillId="0" borderId="0" xfId="0" applyFont="1" applyProtection="1">
      <protection locked="0"/>
    </xf>
    <xf numFmtId="0" fontId="40" fillId="0" borderId="0" xfId="0" applyFont="1" applyAlignment="1" applyProtection="1">
      <alignment wrapText="1"/>
      <protection locked="0"/>
    </xf>
    <xf numFmtId="0" fontId="42" fillId="0" borderId="0" xfId="0" applyFont="1" applyProtection="1">
      <protection locked="0"/>
    </xf>
    <xf numFmtId="0" fontId="44" fillId="0" borderId="0" xfId="0" applyFont="1" applyProtection="1">
      <protection locked="0"/>
    </xf>
    <xf numFmtId="0" fontId="43" fillId="0" borderId="0" xfId="0" applyFont="1" applyProtection="1">
      <protection locked="0"/>
    </xf>
    <xf numFmtId="0" fontId="46" fillId="5" borderId="10" xfId="0" applyFont="1" applyFill="1" applyBorder="1" applyAlignment="1" applyProtection="1">
      <alignment wrapText="1"/>
      <protection locked="0"/>
    </xf>
    <xf numFmtId="0" fontId="48" fillId="5" borderId="10" xfId="0" applyFont="1" applyFill="1" applyBorder="1" applyAlignment="1" applyProtection="1">
      <alignment wrapText="1"/>
      <protection locked="0"/>
    </xf>
    <xf numFmtId="0" fontId="24" fillId="0" borderId="0" xfId="0" applyFont="1" applyAlignment="1">
      <alignment wrapText="1"/>
    </xf>
    <xf numFmtId="0" fontId="49" fillId="0" borderId="0" xfId="0" applyFont="1"/>
    <xf numFmtId="0" fontId="50" fillId="4" borderId="0" xfId="0" applyFont="1" applyFill="1"/>
    <xf numFmtId="0" fontId="51" fillId="0" borderId="0" xfId="0" applyFont="1" applyAlignment="1">
      <alignment horizontal="center" vertical="center" wrapText="1"/>
    </xf>
    <xf numFmtId="0" fontId="49" fillId="0" borderId="0" xfId="0" applyFont="1" applyAlignment="1">
      <alignment vertical="center" wrapText="1"/>
    </xf>
    <xf numFmtId="0" fontId="52" fillId="0" borderId="0" xfId="0" applyFont="1" applyAlignment="1">
      <alignment vertical="center" wrapText="1"/>
    </xf>
    <xf numFmtId="0" fontId="51" fillId="0" borderId="0" xfId="0" applyFont="1" applyAlignment="1">
      <alignment horizontal="left" vertical="center" wrapText="1"/>
    </xf>
    <xf numFmtId="0" fontId="49" fillId="0" borderId="0" xfId="0" applyFont="1" applyAlignment="1">
      <alignment horizontal="left" vertical="center" wrapText="1"/>
    </xf>
    <xf numFmtId="0" fontId="51" fillId="0" borderId="0" xfId="0" applyFont="1" applyAlignment="1" applyProtection="1">
      <alignment horizontal="left" vertical="center" wrapText="1"/>
      <protection locked="0"/>
    </xf>
    <xf numFmtId="0" fontId="49" fillId="0" borderId="0" xfId="0" applyFont="1" applyAlignment="1" applyProtection="1">
      <alignment horizontal="left" vertical="center" wrapText="1"/>
      <protection locked="0"/>
    </xf>
    <xf numFmtId="0" fontId="49" fillId="0" borderId="0" xfId="0" applyFont="1" applyProtection="1">
      <protection locked="0"/>
    </xf>
    <xf numFmtId="0" fontId="53" fillId="0" borderId="0" xfId="0" applyFont="1" applyProtection="1">
      <protection locked="0"/>
    </xf>
    <xf numFmtId="0" fontId="54" fillId="0" borderId="0" xfId="0" applyFont="1" applyAlignment="1" applyProtection="1">
      <alignment wrapText="1"/>
      <protection locked="0"/>
    </xf>
    <xf numFmtId="0" fontId="55" fillId="0" borderId="0" xfId="0" applyFont="1" applyProtection="1">
      <protection locked="0"/>
    </xf>
    <xf numFmtId="0" fontId="49" fillId="0" borderId="0" xfId="0" applyFont="1" applyAlignment="1" applyProtection="1">
      <alignment horizontal="center" vertical="center" wrapText="1"/>
      <protection locked="0"/>
    </xf>
    <xf numFmtId="0" fontId="56" fillId="0" borderId="0" xfId="0" applyFont="1"/>
    <xf numFmtId="0" fontId="46" fillId="0" borderId="0" xfId="0" applyFont="1" applyProtection="1">
      <protection locked="0"/>
    </xf>
    <xf numFmtId="9" fontId="49" fillId="0" borderId="0" xfId="0" applyNumberFormat="1" applyFont="1" applyAlignment="1" applyProtection="1">
      <alignment horizontal="left" vertical="center" wrapText="1"/>
      <protection locked="0"/>
    </xf>
    <xf numFmtId="0" fontId="51" fillId="0" borderId="0" xfId="0" applyFont="1" applyProtection="1">
      <protection locked="0"/>
    </xf>
    <xf numFmtId="0" fontId="49" fillId="0" borderId="0" xfId="0" applyFont="1" applyAlignment="1" applyProtection="1">
      <alignment horizontal="center"/>
      <protection locked="0"/>
    </xf>
    <xf numFmtId="0" fontId="51" fillId="0" borderId="0" xfId="0" applyFont="1" applyAlignment="1" applyProtection="1">
      <alignment horizontal="center" vertical="center" wrapText="1"/>
      <protection locked="0"/>
    </xf>
    <xf numFmtId="0" fontId="58" fillId="0" borderId="0" xfId="0" applyFont="1" applyAlignment="1" applyProtection="1">
      <alignment wrapText="1"/>
      <protection locked="0"/>
    </xf>
    <xf numFmtId="0" fontId="57" fillId="0" borderId="0" xfId="0" applyFont="1" applyProtection="1">
      <protection locked="0"/>
    </xf>
    <xf numFmtId="0" fontId="46" fillId="0" borderId="0" xfId="0" applyFont="1" applyAlignment="1" applyProtection="1">
      <alignment horizontal="left" vertical="center" wrapText="1"/>
      <protection locked="0"/>
    </xf>
    <xf numFmtId="0" fontId="0" fillId="0" borderId="0" xfId="0" applyNumberFormat="1"/>
  </cellXfs>
  <cellStyles count="1">
    <cellStyle name="Normal" xfId="0" builtinId="0"/>
  </cellStyles>
  <dxfs count="5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protection locked="0" hidden="0"/>
    </dxf>
    <dxf>
      <alignment wrapText="1"/>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wrapText="1"/>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alignment wrapText="1"/>
      <protection locked="0" hidden="0"/>
    </dxf>
    <dxf>
      <protection locked="0" hidden="0"/>
    </dxf>
    <dxf>
      <alignment wrapText="1"/>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general" vertical="bottom" textRotation="0" wrapText="0" indent="0" justifyLastLine="0" shrinkToFit="0"/>
      <protection locked="0" hidden="0"/>
    </dxf>
    <dxf>
      <alignment horizontal="general" vertical="bottom" textRotation="0" wrapText="0" indent="0" justifyLastLine="0" shrinkToFit="0"/>
      <protection locked="0" hidden="0"/>
    </dxf>
    <dxf>
      <alignment horizontal="general" vertical="bottom" textRotation="0" wrapText="0" indent="0" justifyLastLine="0" shrinkToFit="0"/>
      <protection locked="1" hidden="0"/>
    </dxf>
    <dxf>
      <alignment horizontal="general" vertical="bottom" textRotation="0" wrapText="0" indent="0" justifyLastLine="0" shrinkToFit="0"/>
      <protection locked="0" hidden="0"/>
    </dxf>
    <dxf>
      <alignment horizontal="general" vertical="bottom" textRotation="0" wrapText="0" indent="0" justifyLastLine="0" shrinkToFit="0"/>
      <protection locked="0" hidden="0"/>
    </dxf>
    <dxf>
      <font>
        <sz val="11"/>
        <name val="Aptos Narrow"/>
        <scheme val="minor"/>
      </font>
      <alignment horizontal="general" vertical="bottom" textRotation="0" wrapText="0" indent="0" justifyLastLine="0" shrinkToFit="0"/>
      <protection locked="1" hidden="0"/>
    </dxf>
    <dxf>
      <alignment horizontal="general" vertical="bottom" textRotation="0" wrapText="0" indent="0" justifyLastLine="0" shrinkToFit="0"/>
      <protection locked="0" hidden="0"/>
    </dxf>
    <dxf>
      <alignment horizontal="general" vertical="bottom" textRotation="0" wrapText="0" indent="0" justifyLastLine="0" shrinkToFit="0"/>
      <protection locked="0" hidden="0"/>
    </dxf>
    <dxf>
      <font>
        <name val="Aptos Narrow"/>
        <scheme val="minor"/>
      </font>
      <alignment horizontal="general" vertical="bottom" textRotation="0" wrapText="0" indent="0" justifyLastLine="0" shrinkToFit="0"/>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1" hidden="0"/>
    </dxf>
    <dxf>
      <protection locked="0" hidden="0"/>
    </dxf>
    <dxf>
      <protection locked="0" hidden="0"/>
    </dxf>
    <dxf>
      <protection locked="1"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0" hidden="0"/>
    </dxf>
    <dxf>
      <alignment horizontal="general" vertical="bottom" textRotation="0" wrapText="0" indent="0" justifyLastLine="0" shrinkToFit="0" readingOrder="0"/>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alignment wrapText="1"/>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protection locked="0" hidden="0"/>
    </dxf>
    <dxf>
      <alignment wrapText="1"/>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alignment wrapText="1"/>
      <protection locked="0" hidden="0"/>
    </dxf>
    <dxf>
      <protection locked="0" hidden="0"/>
    </dxf>
    <dxf>
      <alignment wrapText="1"/>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font>
        <name val="Aptos Narrow"/>
        <scheme val="minor"/>
      </font>
      <protection locked="0" hidden="0"/>
    </dxf>
    <dxf>
      <font>
        <name val="Aptos Narrow"/>
        <scheme val="minor"/>
      </font>
      <protection locked="0" hidden="0"/>
    </dxf>
    <dxf>
      <font>
        <name val="Aptos Narrow"/>
        <scheme val="minor"/>
      </font>
      <protection locked="1" hidden="0"/>
    </dxf>
    <dxf>
      <font>
        <name val="Aptos Narrow"/>
        <scheme val="minor"/>
      </font>
      <protection locked="0" hidden="0"/>
    </dxf>
    <dxf>
      <font>
        <name val="Aptos Narrow"/>
        <scheme val="minor"/>
      </font>
      <protection locked="0" hidden="0"/>
    </dxf>
    <dxf>
      <font>
        <name val="Aptos Narrow"/>
        <scheme val="minor"/>
      </font>
      <protection locked="1" hidden="0"/>
    </dxf>
    <dxf>
      <font>
        <name val="Aptos Narrow"/>
        <scheme val="minor"/>
      </font>
      <protection locked="0" hidden="0"/>
    </dxf>
    <dxf>
      <font>
        <name val="Aptos Narrow"/>
        <scheme val="minor"/>
      </font>
      <protection locked="0" hidden="0"/>
    </dxf>
    <dxf>
      <font>
        <name val="Aptos Narrow"/>
        <scheme val="minor"/>
      </font>
      <protection locked="1" hidden="0"/>
    </dxf>
    <dxf>
      <font>
        <name val="Aptos Narrow"/>
        <scheme val="minor"/>
      </font>
      <protection locked="0" hidden="0"/>
    </dxf>
    <dxf>
      <font>
        <name val="Aptos Narrow"/>
        <scheme val="minor"/>
      </font>
      <protection locked="0" hidden="0"/>
    </dxf>
    <dxf>
      <font>
        <name val="Aptos Narrow"/>
        <scheme val="minor"/>
      </font>
      <protection locked="1" hidden="0"/>
    </dxf>
    <dxf>
      <font>
        <name val="Aptos Narrow"/>
        <scheme val="minor"/>
      </font>
      <protection locked="0" hidden="0"/>
    </dxf>
    <dxf>
      <font>
        <name val="Aptos Narrow"/>
        <scheme val="minor"/>
      </font>
      <protection locked="0" hidden="0"/>
    </dxf>
    <dxf>
      <font>
        <name val="Aptos Narrow"/>
        <scheme val="minor"/>
      </font>
      <protection locked="0" hidden="0"/>
    </dxf>
    <dxf>
      <font>
        <b/>
        <name val="Aptos Narrow"/>
        <scheme val="minor"/>
      </font>
      <protection locked="0" hidden="0"/>
    </dxf>
    <dxf>
      <font>
        <name val="Aptos Narrow"/>
        <scheme val="minor"/>
      </font>
      <protection locked="0" hidden="0"/>
    </dxf>
    <dxf>
      <font>
        <b/>
        <i val="0"/>
        <strike val="0"/>
        <condense val="0"/>
        <extend val="0"/>
        <outline val="0"/>
        <shadow val="0"/>
        <u val="none"/>
        <vertAlign val="baseline"/>
        <sz val="11"/>
        <color theme="1"/>
        <name val="Aptos Narrow"/>
        <scheme val="minor"/>
      </font>
      <alignment horizontal="center" vertical="center" textRotation="0" wrapText="1" indent="0" justifyLastLine="0" shrinkToFit="0" readingOrder="0"/>
      <protection locked="1" hidden="0"/>
    </dxf>
    <dxf>
      <font>
        <name val="Aptos Narrow"/>
        <scheme val="minor"/>
      </font>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0" hidden="0"/>
    </dxf>
    <dxf>
      <font>
        <name val="Aptos Narrow"/>
        <scheme val="minor"/>
      </font>
      <protection locked="0" hidden="0"/>
    </dxf>
    <dxf>
      <font>
        <name val="Aptos Narrow"/>
        <scheme val="minor"/>
      </font>
      <protection locked="1" hidden="0"/>
    </dxf>
    <dxf>
      <font>
        <name val="Aptos Narrow"/>
        <scheme val="minor"/>
      </font>
      <alignment horizontal="left" vertical="center" textRotation="0" wrapText="1" indent="0" justifyLastLine="0" shrinkToFit="0" readingOrder="0"/>
      <protection locked="0" hidden="0"/>
    </dxf>
    <dxf>
      <font>
        <name val="Aptos Narrow"/>
        <scheme val="minor"/>
      </font>
      <alignment horizontal="left" vertical="center" textRotation="0" wrapText="1" indent="0" justifyLastLine="0" shrinkToFit="0" readingOrder="0"/>
      <protection locked="0" hidden="0"/>
    </dxf>
    <dxf>
      <font>
        <name val="Aptos Narrow"/>
        <scheme val="minor"/>
      </font>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scheme val="minor"/>
      </font>
      <alignment horizontal="center" vertical="center" textRotation="0" wrapText="1" indent="0" justifyLastLine="0" shrinkToFit="0" readingOrder="0"/>
      <protection locked="0" hidden="0"/>
    </dxf>
    <dxf>
      <font>
        <name val="Aptos Narrow"/>
        <scheme val="minor"/>
      </font>
      <alignment horizontal="center" vertical="bottom" textRotation="0" wrapText="0" indent="0" justifyLastLine="0" shrinkToFit="0" readingOrder="0"/>
      <protection locked="0" hidden="0"/>
    </dxf>
    <dxf>
      <font>
        <name val="Aptos Narrow"/>
        <scheme val="minor"/>
      </font>
      <protection locked="0" hidden="0"/>
    </dxf>
    <dxf>
      <font>
        <name val="Aptos Narrow"/>
        <scheme val="minor"/>
      </font>
      <protection locked="1" hidden="0"/>
    </dxf>
    <dxf>
      <font>
        <name val="Aptos Narrow"/>
        <scheme val="minor"/>
      </font>
      <protection locked="0" hidden="0"/>
    </dxf>
    <dxf>
      <font>
        <name val="Aptos Narrow"/>
        <scheme val="minor"/>
      </font>
      <protection locked="0" hidden="0"/>
    </dxf>
    <dxf>
      <font>
        <name val="Aptos Narrow"/>
        <scheme val="minor"/>
      </font>
      <protection locked="0" hidden="0"/>
    </dxf>
    <dxf>
      <font>
        <name val="Aptos Narrow"/>
        <scheme val="minor"/>
      </font>
      <protection locked="0" hidden="0"/>
    </dxf>
    <dxf>
      <font>
        <name val="Aptos Narrow"/>
        <scheme val="minor"/>
      </font>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0" hidden="0"/>
    </dxf>
    <dxf>
      <font>
        <name val="Aptos Narrow"/>
        <scheme val="minor"/>
      </font>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1" hidden="0"/>
    </dxf>
    <dxf>
      <font>
        <name val="Aptos Narrow"/>
        <scheme val="minor"/>
      </font>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0" hidden="0"/>
    </dxf>
    <dxf>
      <font>
        <name val="Aptos Narrow"/>
        <scheme val="minor"/>
      </font>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1" hidden="0"/>
    </dxf>
    <dxf>
      <font>
        <name val="Aptos Narrow"/>
        <scheme val="minor"/>
      </font>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scheme val="minor"/>
      </font>
      <alignment horizontal="left" vertical="center" textRotation="0" wrapText="1" indent="0" justifyLastLine="0" shrinkToFit="0" readingOrder="0"/>
      <protection locked="0" hidden="0"/>
    </dxf>
    <dxf>
      <font>
        <name val="Aptos Narrow"/>
        <scheme val="minor"/>
      </font>
      <protection locked="0" hidden="0"/>
    </dxf>
    <dxf>
      <font>
        <name val="Aptos Narrow"/>
        <scheme val="minor"/>
      </font>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20" xr16:uid="{03D42835-8694-4DA1-8E3C-11FA5F6E7010}"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14" xr16:uid="{E48DD94A-4600-4215-814E-69CFD8F1805B}"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Lecture" tableColumnId="8"/>
      <queryTableField id="9" name="Seminar" tableColumnId="9"/>
      <queryTableField id="10" name="Practical" tableColumnId="10"/>
      <queryTableField id="11" name="Workshop" tableColumnId="11"/>
      <queryTableField id="12" name="Online" tableColumnId="12"/>
      <queryTableField id="13" name="Total"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19" xr16:uid="{A27E4FC9-6836-4C8A-919C-9C69B64AFF77}" autoFormatId="16" applyNumberFormats="0" applyBorderFormats="0" applyFontFormats="0" applyPatternFormats="0" applyAlignmentFormats="0" applyWidthHeightFormats="0">
  <queryTableRefresh nextId="16">
    <queryTableFields count="15">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Module Code" tableColumnId="8"/>
      <queryTableField id="9" name="Module Title" tableColumnId="9"/>
      <queryTableField id="10" name="Credits" tableColumnId="10"/>
      <queryTableField id="11" name="Semester" tableColumnId="11"/>
      <queryTableField id="12" name="Level" tableColumnId="12"/>
      <queryTableField id="13" name="Module Leader" tableColumnId="13"/>
      <queryTableField id="14" name="Module Type" tableColumnId="14"/>
      <queryTableField id="15" name="Programme(s)"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22" xr16:uid="{665BE148-7595-4368-B1BD-BC007FEF01C5}"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7" xr16:uid="{15D9AA02-01E2-4E56-AE62-0F75F59C1706}"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3" xr16:uid="{6C544E5E-0699-4F26-8887-B0375EC79F75}"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Component" tableColumnId="3"/>
      <queryTableField id="4" name="Contact Hour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2" xr16:uid="{CA1174EE-EB68-4153-AD85-08569353DC9E}"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Assessment No" tableColumnId="3"/>
      <queryTableField id="4" name="Assessment Type" tableColumnId="4"/>
      <queryTableField id="5" name="Assessment Specific" tableColumnId="5"/>
      <queryTableField id="6" name="Assessment Description" tableColumnId="6"/>
      <queryTableField id="7" name="Weighting" tableColumnId="7"/>
      <queryTableField id="8" name="Due Week" tableColumnId="8"/>
      <queryTableField id="9" name="ModuleCode" tableColumnId="9"/>
      <queryTableField id="10" name="ItemSuffix" tableColumnId="10"/>
      <queryTableField id="11" name="Programme" tableColumnId="11"/>
      <queryTableField id="12" name="ProgCode" tableColumnId="12"/>
      <queryTableField id="13" name="ModuleTitle"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6" xr16:uid="{701CD38B-79EF-447B-8730-C4413BBE944D}"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LO Number" tableColumnId="3"/>
      <queryTableField id="4" name="LO Description"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8" xr16:uid="{6E509053-D507-423A-9F3A-40444BF70D22}"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tables/_rels/table120.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2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22.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23.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4.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5.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6.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27.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8.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8365005-B598-4738-B9AF-07D1E238BC9C}" name="4202SPS_Meta" displayName="_4202SPS_Meta" ref="C6:D15" totalsRowShown="0" headerRowDxfId="517" dataDxfId="516">
  <autoFilter ref="C6:D15" xr:uid="{CD75D2A7-14B1-4ABD-B64D-6E875F9BC652}">
    <filterColumn colId="0" hiddenButton="1"/>
    <filterColumn colId="1" hiddenButton="1"/>
  </autoFilter>
  <tableColumns count="2">
    <tableColumn id="1" xr3:uid="{7B568BCE-928C-447D-BD05-0832B97C0D72}" name="Module Data" dataDxfId="515"/>
    <tableColumn id="2" xr3:uid="{706D7CC6-0EB1-4219-8291-567821A0A5B8}" name="Details" dataDxfId="51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A07E87-B596-4463-9B78-6555D43A4B3D}" name="4202SPS_LO" displayName="_4202SPS_LO" ref="C28:D33" totalsRowShown="0" headerRowDxfId="513" dataDxfId="512">
  <autoFilter ref="C28:D33" xr:uid="{22316987-6BEB-4FAF-9619-BF9BE9909CFA}">
    <filterColumn colId="0" hiddenButton="1"/>
    <filterColumn colId="1" hiddenButton="1"/>
  </autoFilter>
  <tableColumns count="2">
    <tableColumn id="1" xr3:uid="{C19B4674-B83E-4A42-A7E5-5468C8752F20}" name="LO Number" dataDxfId="511"/>
    <tableColumn id="2" xr3:uid="{78F135DA-0213-417E-88FD-2F76325B6D58}" name="LO Description" dataDxfId="5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F69EEF1-22B4-4163-8A76-0105B5FDEC70}" name="4202SPS_Assess" displayName="_4202SPS_Assess" ref="C37:H41" totalsRowShown="0" headerRowDxfId="509" dataDxfId="50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892EAF8-7C5D-41E6-A727-FB21DB64B28D}" name="Assessment No" dataDxfId="507"/>
    <tableColumn id="2" xr3:uid="{43E55016-0B24-4AE6-8341-2CF6FE45EFE0}" name="Assessment Type" dataDxfId="506"/>
    <tableColumn id="7" xr3:uid="{74FB69C4-57FE-4D4F-92C7-425CCB32340D}" name="Assessment Specific" dataDxfId="505"/>
    <tableColumn id="3" xr3:uid="{F392CA10-65BB-49CE-8FEA-065DB3B1250A}" name="Assessment Description" dataDxfId="504"/>
    <tableColumn id="4" xr3:uid="{63105FFB-71CB-4889-BE3D-BA168F2B1D15}" name="Weighting" dataDxfId="503"/>
    <tableColumn id="5" xr3:uid="{942301B1-78DA-47AC-B487-4A82010FBC22}" name="Due Week" dataDxfId="50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89A5C6D-23F5-46A1-94E8-CF627C641E3E}" name="4202SPS_Weekly" displayName="_4202SPS_Weekly" ref="B70:F94" totalsRowShown="0" headerRowDxfId="501" dataDxfId="50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345FE91-A274-4410-84E7-94ACC245A1B0}" name="Semester " dataDxfId="499"/>
    <tableColumn id="2" xr3:uid="{D37085D6-4B13-4E18-BF1D-72E1D211C5E2}" name="Week Number" dataDxfId="498"/>
    <tableColumn id="3" xr3:uid="{E63B3791-EF8C-42D0-9D20-9E40C6780395}" name="Weekly Content 1" dataDxfId="497"/>
    <tableColumn id="4" xr3:uid="{B1BA8E95-AF48-472D-8022-4FFD3C39E6FD}" name="Weekly Content 2" dataDxfId="496"/>
    <tableColumn id="5" xr3:uid="{77ED77D2-DF2D-4913-862F-82B54D142645}" name="Weekly Content 3" dataDxfId="49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3D81E92-9BBD-40B0-B885-F022CB13A68D}" name="4202SPS_Hours" displayName="_4202SPS_Hours" ref="C18:D24" totalsRowShown="0" headerRowDxfId="494" dataDxfId="493">
  <autoFilter ref="C18:D24" xr:uid="{B71A3569-AA65-4A4E-98A2-885F5C38B46D}">
    <filterColumn colId="0" hiddenButton="1"/>
    <filterColumn colId="1" hiddenButton="1"/>
  </autoFilter>
  <tableColumns count="2">
    <tableColumn id="1" xr3:uid="{A4027C00-55EA-4E91-A17F-FC7D936AA12D}" name="Component" dataDxfId="492"/>
    <tableColumn id="2" xr3:uid="{2B461470-C937-400F-A861-E1EF437460FC}" name="Contact Hours" dataDxfId="49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3DE5F36-B6B6-48CA-B033-B6C2A61B46F8}" name="4202SPS_Mapping" displayName="_4202SPS_Mapping" ref="C45:F66" totalsRowShown="0" headerRowDxfId="490" dataDxfId="489">
  <autoFilter ref="C45:F66" xr:uid="{E0A841BB-B6D5-4048-B5F2-18CF9F502EBA}">
    <filterColumn colId="0" hiddenButton="1"/>
    <filterColumn colId="1" hiddenButton="1"/>
    <filterColumn colId="2" hiddenButton="1"/>
    <filterColumn colId="3" hiddenButton="1"/>
  </autoFilter>
  <tableColumns count="4">
    <tableColumn id="1" xr3:uid="{318F8255-76AC-4F17-ABBB-6A771AD200A7}" name="Assessment No" dataDxfId="488"/>
    <tableColumn id="2" xr3:uid="{01ED9B44-AD4B-499E-8D3C-3B9247E57323}" name="LO Number" dataDxfId="487"/>
    <tableColumn id="3" xr3:uid="{D52384A9-63E3-4ABE-86FB-4619A06E02AF}" name="Graduate Skills Category" dataDxfId="486"/>
    <tableColumn id="4" xr3:uid="{B45DCF04-04F9-4B36-A81D-CEBACC18D2E8}" name="Graduate Skill" dataDxfId="485"/>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046BD9A-2B11-4104-9334-CBD68741AB03}" name="4202SPS_Aims" displayName="_4202SPS_Aims" ref="F6:F8" totalsRowShown="0" headerRowDxfId="484" dataDxfId="483">
  <autoFilter ref="F6:F8" xr:uid="{9552138F-2332-4BC4-A585-0E13162881A5}"/>
  <tableColumns count="1">
    <tableColumn id="1" xr3:uid="{00C11AD8-5667-494A-85B4-23C210D1B918}" name="Aims" dataDxfId="482"/>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B305FF-72A4-4559-8E2D-B9A63503D4FA}" name="4202SPS_Syllabus" displayName="_4202SPS_Syllabus" ref="F10:F14" totalsRowShown="0" headerRowDxfId="481" dataDxfId="480">
  <autoFilter ref="F10:F14" xr:uid="{94F18F67-3F10-4F6E-A953-4FE3399B07F2}"/>
  <tableColumns count="1">
    <tableColumn id="1" xr3:uid="{8917F32D-2D78-4B3C-93BA-03E82057EA4B}" name="Outline Syllabus" dataDxfId="479"/>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A8B96ED-8A76-44E9-8A2C-4B9FD261E59C}" name="4202SPS_Overview" displayName="_4202SPS_Overview" ref="F15:F20" totalsRowShown="0" headerRowDxfId="478" dataDxfId="477">
  <autoFilter ref="F15:F20" xr:uid="{1B2BCD7B-6C15-4B1C-86BC-48FF83D8F225}"/>
  <tableColumns count="1">
    <tableColumn id="1" xr3:uid="{B53F9EDB-3125-4C5C-A219-EFA16F274EFC}" name="Module Overview" dataDxfId="476"/>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B219707-18B1-442D-9B23-49B95E064644}" name="4202SPS_Notes" displayName="_4202SPS_Notes" ref="F22:F33" totalsRowShown="0" headerRowDxfId="475" dataDxfId="474">
  <autoFilter ref="F22:F33" xr:uid="{D5968C0A-6D7E-4221-87EE-78A85A4039B3}"/>
  <tableColumns count="1">
    <tableColumn id="1" xr3:uid="{2E1C0BC3-8EFB-4AA5-A23B-DEAB35C7DEA7}" name="Additional Information/Notes" dataDxfId="473"/>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4401SPS_Meta" displayName="_4401SPS_Meta" ref="C6:D14" totalsRowShown="0" headerRowDxfId="472" dataDxfId="471">
  <autoFilter ref="C6:D14" xr:uid="{CD75D2A7-14B1-4ABD-B64D-6E875F9BC652}">
    <filterColumn colId="0" hiddenButton="1"/>
    <filterColumn colId="1" hiddenButton="1"/>
  </autoFilter>
  <tableColumns count="2">
    <tableColumn id="1" xr3:uid="{644E4444-F68A-4E74-BD5D-8748CD05A7D2}" name="Module Data" dataDxfId="470"/>
    <tableColumn id="2" xr3:uid="{AF6CCCE6-633B-4669-B570-EB4F893B50C4}" name="Details" dataDxfId="469"/>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4401SPS_LO" displayName="_4401SPS_LO" ref="C28:D33" totalsRowShown="0" headerRowDxfId="468" dataDxfId="467">
  <autoFilter ref="C28:D33" xr:uid="{22316987-6BEB-4FAF-9619-BF9BE9909CFA}">
    <filterColumn colId="0" hiddenButton="1"/>
    <filterColumn colId="1" hiddenButton="1"/>
  </autoFilter>
  <tableColumns count="2">
    <tableColumn id="1" xr3:uid="{589112ED-5C99-4CD7-912A-F216AEC245F3}" name="LO Number" dataDxfId="466"/>
    <tableColumn id="2" xr3:uid="{D42319CA-BEAF-49C8-8EC7-B45F24386E7A}" name="LO Description" dataDxfId="46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4401SPS_Assess" displayName="_4401SPS_Assess" ref="C37:H41" totalsRowShown="0" headerRowDxfId="464" dataDxfId="46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462"/>
    <tableColumn id="2" xr3:uid="{0C168E40-BC62-40F7-8494-D9D585BBF5DD}" name="Assessment Type" dataDxfId="461"/>
    <tableColumn id="7" xr3:uid="{03042C7C-BE5A-4EDB-B18A-F162688CAFDA}" name="Assessment Specific" dataDxfId="460"/>
    <tableColumn id="3" xr3:uid="{B536E57C-91CB-491F-8850-5E1F4FFB6EC2}" name="Assessment Description" dataDxfId="459"/>
    <tableColumn id="4" xr3:uid="{CFEF4DCA-7026-4AB8-9930-965F672B21EC}" name="Weighting" dataDxfId="458"/>
    <tableColumn id="5" xr3:uid="{268A91DF-58B1-43BF-A340-0E1D33705BAA}" name="Due Week" dataDxfId="457"/>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4401SPS_Weekly" displayName="_4401SPS_Weekly" ref="B70:F94" totalsRowShown="0" headerRowDxfId="456" dataDxfId="45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454"/>
    <tableColumn id="2" xr3:uid="{916AD303-2708-4E40-8E0C-DE9D347BA8EA}" name="Week Number" dataDxfId="453"/>
    <tableColumn id="3" xr3:uid="{66580F8A-FF82-4503-9EBF-1B44DD45F9F5}" name="Weekly Content 1" dataDxfId="452"/>
    <tableColumn id="4" xr3:uid="{5E6D35EA-634F-45B1-8A96-068CB99E3BA7}" name="Weekly Content 2" dataDxfId="451"/>
    <tableColumn id="5" xr3:uid="{25F8B45E-A68A-40F6-AADD-D3228D0F228B}" name="Weekly Content 3" dataDxfId="450"/>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4401SPS_Hours" displayName="_4401SPS_Hours" ref="C18:D24" totalsRowShown="0" headerRowDxfId="449" dataDxfId="448">
  <autoFilter ref="C18:D24" xr:uid="{B71A3569-AA65-4A4E-98A2-885F5C38B46D}">
    <filterColumn colId="0" hiddenButton="1"/>
    <filterColumn colId="1" hiddenButton="1"/>
  </autoFilter>
  <tableColumns count="2">
    <tableColumn id="1" xr3:uid="{E6DA5AB3-0374-477C-BB37-91CD5B04A8A7}" name="Component" dataDxfId="447"/>
    <tableColumn id="2" xr3:uid="{25171EA2-F360-4480-9A69-30F0637E5E19}" name="Contact Hours" dataDxfId="44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4401SPS_Mapping" displayName="_4401SPS_Mapping" ref="C45:F66" totalsRowShown="0" headerRowDxfId="445" dataDxfId="444">
  <autoFilter ref="C45:F66"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443"/>
    <tableColumn id="2" xr3:uid="{220CCF7F-D01D-41B9-83FA-AB3772B56C47}" name="LO Number" dataDxfId="442"/>
    <tableColumn id="3" xr3:uid="{35876AFA-8C5D-4EB6-A40B-8013521A5A47}" name="Graduate Skills Category" dataDxfId="441"/>
    <tableColumn id="4" xr3:uid="{8CC8B0ED-B11D-43C6-AB11-C69764FE383C}" name="Graduate Skill" dataDxfId="44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4401SPS_Aims" displayName="_4401SPS_Aims" ref="F6:F8" totalsRowShown="0" headerRowDxfId="439" dataDxfId="438">
  <autoFilter ref="F6:F8" xr:uid="{9552138F-2332-4BC4-A585-0E13162881A5}"/>
  <tableColumns count="1">
    <tableColumn id="1" xr3:uid="{17C9A3A3-D0C1-421C-8D52-32617D054C2E}" name="Aims" dataDxfId="437"/>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4401SPS_Syllabus" displayName="_4401SPS_Syllabus" ref="F10:F13" totalsRowShown="0" headerRowDxfId="436" dataDxfId="435">
  <autoFilter ref="F10:F13" xr:uid="{94F18F67-3F10-4F6E-A953-4FE3399B07F2}"/>
  <tableColumns count="1">
    <tableColumn id="1" xr3:uid="{D7FF23A0-D568-4D96-9868-A6319DCE887A}" name="Syllabus " dataDxfId="434"/>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4401SPS_Overview" displayName="_4401SPS_Overview" ref="F15:F20" totalsRowShown="0" headerRowDxfId="433" dataDxfId="432">
  <autoFilter ref="F15:F20" xr:uid="{1B2BCD7B-6C15-4B1C-86BC-48FF83D8F225}"/>
  <tableColumns count="1">
    <tableColumn id="1" xr3:uid="{E558D902-00D8-4FEB-8431-38F38D3FD8C5}" name="Module Overview" dataDxfId="431"/>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4401SPS_Notes" displayName="_4401SPS_Notes" ref="F22:F33" totalsRowShown="0" headerRowDxfId="430" dataDxfId="429">
  <autoFilter ref="F22:F33" xr:uid="{D5968C0A-6D7E-4221-87EE-78A85A4039B3}"/>
  <tableColumns count="1">
    <tableColumn id="1" xr3:uid="{C6EF2F48-EFDC-40BF-8A10-F2C80BC78705}" name="Additional Information/Notes" dataDxfId="428"/>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5401SPS_Meta" displayName="_5401SPS_Meta" ref="C6:D14" totalsRowShown="0" headerRowDxfId="427" dataDxfId="426">
  <autoFilter ref="C6:D14" xr:uid="{CD75D2A7-14B1-4ABD-B64D-6E875F9BC652}">
    <filterColumn colId="0" hiddenButton="1"/>
    <filterColumn colId="1" hiddenButton="1"/>
  </autoFilter>
  <tableColumns count="2">
    <tableColumn id="1" xr3:uid="{7833E623-ED87-40CE-93D2-B78B6A7D7E94}" name="Module Data" dataDxfId="425"/>
    <tableColumn id="2" xr3:uid="{0659839B-A1DA-4204-9267-1A4CC295A6EF}" name="Details" dataDxfId="424"/>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5401SPS_LO" displayName="_5401SPS_LO" ref="C28:D33" totalsRowShown="0" headerRowDxfId="423" dataDxfId="422">
  <autoFilter ref="C28:D33" xr:uid="{22316987-6BEB-4FAF-9619-BF9BE9909CFA}">
    <filterColumn colId="0" hiddenButton="1"/>
    <filterColumn colId="1" hiddenButton="1"/>
  </autoFilter>
  <tableColumns count="2">
    <tableColumn id="1" xr3:uid="{FEDC5FCD-23F6-4532-A565-C979DFEE6452}" name="LO Number" dataDxfId="421"/>
    <tableColumn id="2" xr3:uid="{1F64A8B9-B360-490C-BD12-64A29F9CF82F}" name="LO Description" dataDxfId="42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5401SPS_Assess" displayName="_5401SPS_Assess" ref="C37:H41" totalsRowShown="0" headerRowDxfId="419" dataDxfId="41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417"/>
    <tableColumn id="2" xr3:uid="{0FE47FA8-B999-4405-B49D-E106E82A7509}" name="Assessment Type" dataDxfId="416"/>
    <tableColumn id="7" xr3:uid="{61D6D411-EDDD-4962-A754-A4B5EEB96263}" name="Assessment Specific" dataDxfId="415"/>
    <tableColumn id="3" xr3:uid="{1A288D47-FFDF-4BA0-94F1-9B647BE04DCC}" name="Assessment Description" dataDxfId="414"/>
    <tableColumn id="4" xr3:uid="{ED08857B-A938-490D-9B30-962DE64252AB}" name="Weighting" dataDxfId="413"/>
    <tableColumn id="5" xr3:uid="{581E13F4-4545-426B-8995-08E09758F5CB}" name="Due Week" dataDxfId="412"/>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5401SPS_Weekly" displayName="_5401SPS_Weekly" ref="B70:F94" totalsRowShown="0" headerRowDxfId="411" dataDxfId="41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409"/>
    <tableColumn id="2" xr3:uid="{BED16F5A-D8C5-4300-A763-C0065F48E598}" name="Week Number" dataDxfId="408"/>
    <tableColumn id="3" xr3:uid="{1C3278D5-9F89-43C0-84A5-ACE6AE3BF8C8}" name="Weekly Content 1" dataDxfId="407"/>
    <tableColumn id="4" xr3:uid="{8ADEF497-35DC-4945-B42C-DCA4C8DB67C9}" name="Weekly Content 2" dataDxfId="406"/>
    <tableColumn id="5" xr3:uid="{E6B69E39-A78E-4994-8E8F-40C76F0002A1}" name="Weekly Content 3" dataDxfId="405"/>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5401SPS_Hours" displayName="_5401SPS_Hours" ref="C18:D24" totalsRowShown="0" headerRowDxfId="404" dataDxfId="403">
  <autoFilter ref="C18:D24" xr:uid="{B71A3569-AA65-4A4E-98A2-885F5C38B46D}">
    <filterColumn colId="0" hiddenButton="1"/>
    <filterColumn colId="1" hiddenButton="1"/>
  </autoFilter>
  <tableColumns count="2">
    <tableColumn id="1" xr3:uid="{2FFE33E1-E3D8-499A-B70C-70494FCFC11F}" name="Component" dataDxfId="402"/>
    <tableColumn id="2" xr3:uid="{D8D74B7C-DED1-4107-9D9B-A69709137AF1}" name="Contact Hours" dataDxfId="4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5401SPS_Mapping" displayName="_5401SPS_Mapping" ref="C45:F66" totalsRowShown="0" headerRowDxfId="400" dataDxfId="399">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398"/>
    <tableColumn id="2" xr3:uid="{3DE98FE2-3138-46D6-BD99-F2FB47042775}" name="LO Number" dataDxfId="397"/>
    <tableColumn id="3" xr3:uid="{810A03D8-C153-4962-9C3C-D761D27C4A3F}" name="Graduate Skills Category" dataDxfId="396"/>
    <tableColumn id="4" xr3:uid="{C3B0D1F6-1274-4ED1-9705-01F40BB1E2F2}" name="Graduate Skill" dataDxfId="395"/>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5401SPS_Aims" displayName="_5401SPS_Aims" ref="F6:F9" totalsRowShown="0" headerRowDxfId="394" dataDxfId="393">
  <autoFilter ref="F6:F9" xr:uid="{9552138F-2332-4BC4-A585-0E13162881A5}"/>
  <tableColumns count="1">
    <tableColumn id="1" xr3:uid="{C445F0C7-61B3-46CB-A56F-67D79AE54D5C}" name="Aims" dataDxfId="392"/>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5401SPS_Syllabus" displayName="_5401SPS_Syllabus" ref="F10:F14" totalsRowShown="0" headerRowDxfId="391" dataDxfId="390">
  <autoFilter ref="F10:F14" xr:uid="{94F18F67-3F10-4F6E-A953-4FE3399B07F2}"/>
  <tableColumns count="1">
    <tableColumn id="1" xr3:uid="{CAABEA9D-6FBF-459A-AD97-585A17318A01}" name="Outline Syllabus" dataDxfId="389"/>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5401SPS_Overview" displayName="_5401SPS_Overview" ref="F15:F20" totalsRowShown="0" headerRowDxfId="388" dataDxfId="387">
  <autoFilter ref="F15:F20" xr:uid="{1B2BCD7B-6C15-4B1C-86BC-48FF83D8F225}"/>
  <tableColumns count="1">
    <tableColumn id="1" xr3:uid="{A14625FC-0807-41B3-BEF3-09E7E979EFED}" name="Module Overview" dataDxfId="386"/>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5401SPS_Notes" displayName="_5401SPS_Notes" ref="F22:F33" totalsRowShown="0" headerRowDxfId="385" dataDxfId="384">
  <autoFilter ref="F22:F33" xr:uid="{D5968C0A-6D7E-4221-87EE-78A85A4039B3}"/>
  <tableColumns count="1">
    <tableColumn id="1" xr3:uid="{0F69CA79-BA33-4E25-8FA9-233F7FC95036}" name="Additional Information/Notes" dataDxfId="383"/>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5402SPS_Meta" displayName="_5402SPS_Meta" ref="C6:D14" totalsRowShown="0" headerRowDxfId="382" dataDxfId="381">
  <autoFilter ref="C6:D14" xr:uid="{CD75D2A7-14B1-4ABD-B64D-6E875F9BC652}">
    <filterColumn colId="0" hiddenButton="1"/>
    <filterColumn colId="1" hiddenButton="1"/>
  </autoFilter>
  <tableColumns count="2">
    <tableColumn id="1" xr3:uid="{5D38FCD1-7A3F-4025-AC69-E6A90C68A79E}" name="Module Data" dataDxfId="380"/>
    <tableColumn id="2" xr3:uid="{ACE861FD-0C1D-4D19-A0A8-AC83427FA81A}" name="Details" dataDxfId="379"/>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5402SPS_LO" displayName="_5402SPS_LO" ref="C28:D33" totalsRowShown="0" headerRowDxfId="378" dataDxfId="377">
  <autoFilter ref="C28:D33" xr:uid="{22316987-6BEB-4FAF-9619-BF9BE9909CFA}">
    <filterColumn colId="0" hiddenButton="1"/>
    <filterColumn colId="1" hiddenButton="1"/>
  </autoFilter>
  <tableColumns count="2">
    <tableColumn id="1" xr3:uid="{92FDE3DF-EAC0-4CA6-A5B4-E15BAAC4A01D}" name="LO Number" dataDxfId="376"/>
    <tableColumn id="2" xr3:uid="{A384CFCB-55B0-46B7-AF9A-FAAC6022096A}" name="LO Description" dataDxfId="37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5402SPS_Assess" displayName="_5402SPS_Assess" ref="C37:H41" totalsRowShown="0" headerRowDxfId="374" dataDxfId="37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372"/>
    <tableColumn id="2" xr3:uid="{390EF809-FA62-405F-B84C-B2AD571CEBAA}" name="Assessment Type" dataDxfId="371"/>
    <tableColumn id="7" xr3:uid="{2B1618E6-AA98-4A15-AE0C-79993F1BAFB7}" name="Assessment Specific" dataDxfId="370"/>
    <tableColumn id="3" xr3:uid="{138C3352-0967-40A6-A5BE-4B32DEC01ACB}" name="Assessment Description" dataDxfId="369"/>
    <tableColumn id="4" xr3:uid="{F4B4B6BF-3460-42E3-849C-1BBE242E83C3}" name="Weighting" dataDxfId="368"/>
    <tableColumn id="5" xr3:uid="{E52307F9-F56A-42FC-9A76-6A630F2C5B71}" name="Due Week" dataDxfId="367"/>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5402SPS_Weekly" displayName="_5402SPS_Weekly" ref="B70:F94" totalsRowShown="0" headerRowDxfId="366" dataDxfId="36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364"/>
    <tableColumn id="2" xr3:uid="{1B7B234D-0DD9-4913-9C62-18CC4E0FD5D6}" name="Week Number" dataDxfId="363"/>
    <tableColumn id="3" xr3:uid="{FDA6287D-7D09-41DC-96F1-E9BCD4B11D2E}" name="Weekly Content 1" dataDxfId="362"/>
    <tableColumn id="4" xr3:uid="{C104D628-2E09-432B-BC7A-B7E29838D1BD}" name="Weekly Content 2" dataDxfId="361"/>
    <tableColumn id="5" xr3:uid="{6CD950CC-83A5-4FD3-93FC-B284F6F6350E}" name="Weekly Content 3" dataDxfId="360"/>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5402SPS_Hours" displayName="_5402SPS_Hours" ref="C18:D24" totalsRowShown="0" headerRowDxfId="359" dataDxfId="358">
  <autoFilter ref="C18:D24" xr:uid="{B71A3569-AA65-4A4E-98A2-885F5C38B46D}">
    <filterColumn colId="0" hiddenButton="1"/>
    <filterColumn colId="1" hiddenButton="1"/>
  </autoFilter>
  <tableColumns count="2">
    <tableColumn id="1" xr3:uid="{27F817B7-6395-4976-9120-60D5C9775BA5}" name="Component" dataDxfId="357"/>
    <tableColumn id="2" xr3:uid="{D9B68E50-AFDD-4B94-80F2-BAB157C2FF40}" name="Contact Hours" dataDxfId="35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5402SPS_Mapping" displayName="_5402SPS_Mapping" ref="C45:F66" totalsRowShown="0" headerRowDxfId="355" dataDxfId="354">
  <autoFilter ref="C45:F66"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353"/>
    <tableColumn id="2" xr3:uid="{CF29F699-8C1A-4AC4-A563-FCBB128AC8F3}" name="LO Number" dataDxfId="352"/>
    <tableColumn id="3" xr3:uid="{B1082C18-E8C1-42F9-B74D-584EBA4A0A39}" name="Graduate Skills Category" dataDxfId="351"/>
    <tableColumn id="4" xr3:uid="{BD6D6488-ABFD-45B6-B06F-748690280986}" name="Graduate Skill" dataDxfId="350"/>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5402SPS_Aims" displayName="_5402SPS_Aims" ref="F6:F8" totalsRowShown="0" headerRowDxfId="349" dataDxfId="348">
  <autoFilter ref="F6:F8" xr:uid="{9552138F-2332-4BC4-A585-0E13162881A5}"/>
  <tableColumns count="1">
    <tableColumn id="1" xr3:uid="{E2B338AF-53C9-469A-B45D-DF4BE4CCBDD0}" name="Aims" dataDxfId="347"/>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5402SPS_Syllabus" displayName="_5402SPS_Syllabus" ref="F10:F13" totalsRowShown="0" headerRowDxfId="346" dataDxfId="345">
  <autoFilter ref="F10:F13" xr:uid="{94F18F67-3F10-4F6E-A953-4FE3399B07F2}"/>
  <tableColumns count="1">
    <tableColumn id="1" xr3:uid="{0B585185-EFA9-44AB-A953-91DF09E1C8F4}" name="Outline Syllabus" dataDxfId="344"/>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5402SPS_Overview" displayName="_5402SPS_Overview" ref="F15:F20" totalsRowShown="0" headerRowDxfId="343" dataDxfId="342">
  <autoFilter ref="F15:F20" xr:uid="{1B2BCD7B-6C15-4B1C-86BC-48FF83D8F225}"/>
  <tableColumns count="1">
    <tableColumn id="1" xr3:uid="{8DA5C005-FC9F-4CBE-A281-B2B92A53526A}" name="Module Overview" dataDxfId="341"/>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5402SPS_Notes" displayName="_5402SPS_Notes" ref="F22:F33" totalsRowShown="0" headerRowDxfId="340" dataDxfId="339">
  <autoFilter ref="F22:F33" xr:uid="{D5968C0A-6D7E-4221-87EE-78A85A4039B3}"/>
  <tableColumns count="1">
    <tableColumn id="1" xr3:uid="{D67854B5-D179-408B-A477-7F6E3033D84B}" name="Additional Information/Notes" dataDxfId="338"/>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5403SPS_Meta" displayName="_5403SPS_Meta" ref="C6:D14" totalsRowShown="0" headerRowDxfId="337" dataDxfId="336">
  <autoFilter ref="C6:D14" xr:uid="{CD75D2A7-14B1-4ABD-B64D-6E875F9BC652}">
    <filterColumn colId="0" hiddenButton="1"/>
    <filterColumn colId="1" hiddenButton="1"/>
  </autoFilter>
  <tableColumns count="2">
    <tableColumn id="1" xr3:uid="{DC5E8FB2-F1EF-4C76-ADAD-8DF1D4236058}" name="Module Data" dataDxfId="335"/>
    <tableColumn id="2" xr3:uid="{3CEC4644-C90E-484A-BB04-BC7E2522484B}" name="Details" dataDxfId="334"/>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5403SPS_LO" displayName="_5403SPS_LO" ref="C28:D33" totalsRowShown="0" headerRowDxfId="333" dataDxfId="332">
  <autoFilter ref="C28:D33" xr:uid="{22316987-6BEB-4FAF-9619-BF9BE9909CFA}">
    <filterColumn colId="0" hiddenButton="1"/>
    <filterColumn colId="1" hiddenButton="1"/>
  </autoFilter>
  <tableColumns count="2">
    <tableColumn id="1" xr3:uid="{96E1C0A4-F310-4104-877A-16C95A9DF8F8}" name="LO Number" dataDxfId="331"/>
    <tableColumn id="2" xr3:uid="{5193B932-1BB4-4665-BB60-1094CB27D2FB}" name="LO Description" dataDxfId="330"/>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5403SPS_Assess" displayName="_5403SPS_Assess" ref="C37:H41" totalsRowShown="0" headerRowDxfId="329" dataDxfId="32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327"/>
    <tableColumn id="2" xr3:uid="{F6CC8F23-24C9-49E1-A7E1-F0C42C5E4062}" name="Assessment Type" dataDxfId="326"/>
    <tableColumn id="7" xr3:uid="{23445359-B102-481A-9626-644EC1147971}" name="Assessment Specific" dataDxfId="325"/>
    <tableColumn id="3" xr3:uid="{09F68760-DB1D-47DA-9C3B-991E85819122}" name="Assessment Description" dataDxfId="324"/>
    <tableColumn id="4" xr3:uid="{9C4EFAF0-0549-4906-AB40-C8046612A4D0}" name="Weighting" dataDxfId="323"/>
    <tableColumn id="5" xr3:uid="{6867F2EF-8B96-4C7F-A3F0-4AD115D6B611}" name="Due Week" dataDxfId="322"/>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5403SPS_Weekly" displayName="_5403SPS_Weekly" ref="B70:F94" totalsRowShown="0" headerRowDxfId="321" dataDxfId="32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319"/>
    <tableColumn id="2" xr3:uid="{3DC0D0B8-ED93-4FAA-ACD1-6A257B8D7D8B}" name="Week Number" dataDxfId="318"/>
    <tableColumn id="3" xr3:uid="{396A1CD9-0EA8-4576-AC19-41A37C40C78C}" name="Weekly Content 1" dataDxfId="317"/>
    <tableColumn id="4" xr3:uid="{27E6FFD2-4BB2-4380-B643-929F8059E10C}" name="Weekly Content 2" dataDxfId="316"/>
    <tableColumn id="5" xr3:uid="{5D410880-EC3B-476E-B727-61773B3F1720}" name="Weekly Content 3" dataDxfId="315"/>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5403SPS_Hours" displayName="_5403SPS_Hours" ref="C18:D24" totalsRowShown="0" headerRowDxfId="314" dataDxfId="313">
  <autoFilter ref="C18:D24" xr:uid="{B71A3569-AA65-4A4E-98A2-885F5C38B46D}">
    <filterColumn colId="0" hiddenButton="1"/>
    <filterColumn colId="1" hiddenButton="1"/>
  </autoFilter>
  <tableColumns count="2">
    <tableColumn id="1" xr3:uid="{50ADF208-83C1-48D5-9F5C-65E697F266B7}" name="Component" dataDxfId="312"/>
    <tableColumn id="2" xr3:uid="{1EADC3A3-1557-4323-A40A-C84AEA0F188A}" name="Contact Hours" dataDxfId="31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5403SPS_Mapping" displayName="_5403SPS_Mapping" ref="C45:F66" totalsRowShown="0" headerRowDxfId="310" dataDxfId="309">
  <autoFilter ref="C45:F66"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308"/>
    <tableColumn id="2" xr3:uid="{162D175A-F572-46B3-8399-9FF334864C28}" name="LO Number" dataDxfId="307"/>
    <tableColumn id="3" xr3:uid="{4B8F87D6-8076-4256-870F-FFB0D542729A}" name="Graduate Skills Category" dataDxfId="306"/>
    <tableColumn id="4" xr3:uid="{3DB5254F-E5B1-45EA-B3FC-772579673F08}" name="Graduate Skill" dataDxfId="305"/>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5403SPS_Aims" displayName="_5403SPS_Aims" ref="F6:F8" totalsRowShown="0" headerRowDxfId="304" dataDxfId="303">
  <autoFilter ref="F6:F8" xr:uid="{9552138F-2332-4BC4-A585-0E13162881A5}"/>
  <tableColumns count="1">
    <tableColumn id="1" xr3:uid="{D5911F00-3A12-4884-94FA-2461F2E6A773}" name="Aims" dataDxfId="302"/>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5403SPS_Syllabus" displayName="_5403SPS_Syllabus" ref="F10:F13" totalsRowShown="0" headerRowDxfId="301" dataDxfId="300">
  <autoFilter ref="F10:F13" xr:uid="{94F18F67-3F10-4F6E-A953-4FE3399B07F2}"/>
  <tableColumns count="1">
    <tableColumn id="1" xr3:uid="{1984609B-7A7C-44AA-A114-5466EF451351}" name="Outline Syllabus" dataDxfId="299"/>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5403SPS_Overview" displayName="_5403SPS_Overview" ref="F15:F20" totalsRowShown="0" headerRowDxfId="298" dataDxfId="297">
  <autoFilter ref="F15:F20" xr:uid="{1B2BCD7B-6C15-4B1C-86BC-48FF83D8F225}"/>
  <tableColumns count="1">
    <tableColumn id="1" xr3:uid="{19A46962-3EFC-4EE2-ACCE-5363E30EDC4F}" name="Module Overview" dataDxfId="296"/>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5403SPS_Notes" displayName="_5403SPS_Notes" ref="F22:F33" totalsRowShown="0" headerRowDxfId="295" dataDxfId="294">
  <autoFilter ref="F22:F33" xr:uid="{D5968C0A-6D7E-4221-87EE-78A85A4039B3}"/>
  <tableColumns count="1">
    <tableColumn id="1" xr3:uid="{EEDA3204-13C4-4B95-A550-B650C09B689D}" name="Additional Information/Notes" dataDxfId="293"/>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74B2B836-FEE3-4D8C-A583-FCE8AD37DA97}" name="5405SPS_Meta" displayName="_5405SPS_Meta" ref="C6:D14" totalsRowShown="0" headerRowDxfId="292" dataDxfId="291">
  <autoFilter ref="C6:D14" xr:uid="{CD75D2A7-14B1-4ABD-B64D-6E875F9BC652}">
    <filterColumn colId="0" hiddenButton="1"/>
    <filterColumn colId="1" hiddenButton="1"/>
  </autoFilter>
  <tableColumns count="2">
    <tableColumn id="1" xr3:uid="{4312B193-D095-44A4-B0FA-8864AE0BCBEF}" name="Module Data" dataDxfId="290"/>
    <tableColumn id="2" xr3:uid="{4F08D2F7-88F2-4061-857B-CBAD6623F570}" name="Details" dataDxfId="289"/>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B4EAB99-124D-42E9-8E49-DC0D3280A770}" name="5405SPS_LO" displayName="_5405SPS_LO" ref="C28:D33" totalsRowShown="0" headerRowDxfId="288" dataDxfId="287">
  <autoFilter ref="C28:D33" xr:uid="{22316987-6BEB-4FAF-9619-BF9BE9909CFA}">
    <filterColumn colId="0" hiddenButton="1"/>
    <filterColumn colId="1" hiddenButton="1"/>
  </autoFilter>
  <tableColumns count="2">
    <tableColumn id="1" xr3:uid="{87282965-A2DA-4B4E-8D06-98090F28BEEF}" name="LO Number" dataDxfId="286"/>
    <tableColumn id="2" xr3:uid="{5860F21B-133F-4A88-A61B-07CF39BC7E21}" name="LO Description" dataDxfId="28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3B225F4-04B9-42E5-AA5E-0B231BCFA0EF}" name="5405SPS_Assess" displayName="_5405SPS_Assess" ref="C37:H41" totalsRowShown="0" headerRowDxfId="284" dataDxfId="28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DF47951-A7BD-47A8-B1ED-B6F5AF65DA1D}" name="Assessment No" dataDxfId="282"/>
    <tableColumn id="2" xr3:uid="{02E86080-DD71-4108-821B-E566F188DEA2}" name="Assessment Type" dataDxfId="281"/>
    <tableColumn id="7" xr3:uid="{47CA01EB-2FAC-4F47-BB5B-4ACF9B64B490}" name="Assessment Specific" dataDxfId="280"/>
    <tableColumn id="3" xr3:uid="{FBD48AF8-7B7F-4162-9266-C7CCFD60F0E7}" name="Assessment Description" dataDxfId="279"/>
    <tableColumn id="4" xr3:uid="{B1C6A884-1B35-475C-8890-451E2B62B45B}" name="Weighting" dataDxfId="278"/>
    <tableColumn id="5" xr3:uid="{52275FFC-C744-424D-9DA8-F4384F058801}" name="Due Week" dataDxfId="277"/>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11C1444-7D9D-41F0-B07B-761DA8B67262}" name="5405SPS_Weekly" displayName="_5405SPS_Weekly" ref="B70:F94" totalsRowShown="0" headerRowDxfId="276" dataDxfId="27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A171258-098F-40B4-886F-EAA2D59C0870}" name="Semester " dataDxfId="274"/>
    <tableColumn id="2" xr3:uid="{F2C231FA-6829-4DDE-AADC-3E8FA43A1138}" name="Week Number" dataDxfId="273"/>
    <tableColumn id="3" xr3:uid="{BF2905C5-0007-47A2-850C-6A3A59009B1B}" name="Weekly Content 1" dataDxfId="272"/>
    <tableColumn id="4" xr3:uid="{87E349A9-C7DB-4B62-AE2D-73DF6FE87FF2}" name="Weekly Content 2" dataDxfId="271"/>
    <tableColumn id="5" xr3:uid="{9335E186-D4FA-4BC9-96F6-48CA2E66C8B8}" name="Weekly Content 3" dataDxfId="270"/>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93C3D93-C0B3-4DC1-A2AD-C094B48CCC3E}" name="5405SPS_Hours" displayName="_5405SPS_Hours" ref="C18:D24" totalsRowShown="0" headerRowDxfId="269" dataDxfId="268">
  <autoFilter ref="C18:D24" xr:uid="{B71A3569-AA65-4A4E-98A2-885F5C38B46D}">
    <filterColumn colId="0" hiddenButton="1"/>
    <filterColumn colId="1" hiddenButton="1"/>
  </autoFilter>
  <tableColumns count="2">
    <tableColumn id="1" xr3:uid="{9CDDC04F-6E44-4B1D-B2F7-BCFB91288FF8}" name="Component" dataDxfId="267"/>
    <tableColumn id="2" xr3:uid="{0A78BA71-0A43-4908-AD5D-EAD433A8F0CB}" name="Contact Hours" dataDxfId="26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74D72A6-497B-41F6-AEDC-764E0477FB4D}" name="5405SPS_Mapping" displayName="_5405SPS_Mapping" ref="C45:F66" totalsRowShown="0" headerRowDxfId="265" dataDxfId="264">
  <autoFilter ref="C45:F66" xr:uid="{E0A841BB-B6D5-4048-B5F2-18CF9F502EBA}">
    <filterColumn colId="0" hiddenButton="1"/>
    <filterColumn colId="1" hiddenButton="1"/>
    <filterColumn colId="2" hiddenButton="1"/>
    <filterColumn colId="3" hiddenButton="1"/>
  </autoFilter>
  <tableColumns count="4">
    <tableColumn id="1" xr3:uid="{EACDE5D0-DCC0-4C25-9632-DAE8298C79C4}" name="Assessment No" dataDxfId="263"/>
    <tableColumn id="2" xr3:uid="{38F835BE-5EB1-4FFA-8259-BEB6E39C8FA1}" name="LO Number" dataDxfId="262"/>
    <tableColumn id="3" xr3:uid="{C6B979A3-0E5A-464F-B5CD-CBA3047E98BE}" name="Graduate Skills Category" dataDxfId="261"/>
    <tableColumn id="4" xr3:uid="{2D7AD4B8-14A9-4533-A3C6-5E7125BAACC7}" name="Graduate Skill" dataDxfId="260"/>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3DFB63D-58AB-47FF-9208-A470E9348B6F}" name="5405SPS_Aims" displayName="_5405SPS_Aims" ref="F6:F8" totalsRowShown="0" headerRowDxfId="259" dataDxfId="258">
  <autoFilter ref="F6:F8" xr:uid="{9552138F-2332-4BC4-A585-0E13162881A5}"/>
  <tableColumns count="1">
    <tableColumn id="1" xr3:uid="{9E1F2909-CE11-40D2-90E4-0F2548AB10B2}" name="Aims" dataDxfId="257"/>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CFA8ECE-8F57-4ECA-B2A5-317B767EA53F}" name="5405SPS_Syllabus" displayName="_5405SPS_Syllabus" ref="F10:F13" totalsRowShown="0" headerRowDxfId="256" dataDxfId="255">
  <autoFilter ref="F10:F13" xr:uid="{94F18F67-3F10-4F6E-A953-4FE3399B07F2}"/>
  <tableColumns count="1">
    <tableColumn id="1" xr3:uid="{454BC257-77E7-4C9C-B231-D65E8EE20325}" name="Outline Syllabus" dataDxfId="254"/>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CDE255B-3A1A-451C-A13C-91436E9FCF71}" name="5405SPS_Overview" displayName="_5405SPS_Overview" ref="F15:F20" totalsRowShown="0" headerRowDxfId="253" dataDxfId="252">
  <autoFilter ref="F15:F20" xr:uid="{1B2BCD7B-6C15-4B1C-86BC-48FF83D8F225}"/>
  <tableColumns count="1">
    <tableColumn id="1" xr3:uid="{D37E1C0D-C9AF-4C78-BCFF-8B2CE993F50A}" name="Module Overview" dataDxfId="251"/>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1D041108-8D42-47AB-9472-C648C6F01A1B}" name="5405SPS_Notes" displayName="_5405SPS_Notes" ref="F22:F33" totalsRowShown="0" headerRowDxfId="250" dataDxfId="249">
  <autoFilter ref="F22:F33" xr:uid="{D5968C0A-6D7E-4221-87EE-78A85A4039B3}"/>
  <tableColumns count="1">
    <tableColumn id="1" xr3:uid="{E8342C1A-2B62-4E1C-B80B-B12917066000}" name="Additional Notes" dataDxfId="248"/>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_5202SPS_Meta" displayName="_5202SPS_Meta" ref="C6:D14" totalsRowShown="0" headerRowDxfId="247" dataDxfId="246">
  <autoFilter ref="C6:D14" xr:uid="{CD75D2A7-14B1-4ABD-B64D-6E875F9BC652}">
    <filterColumn colId="0" hiddenButton="1"/>
    <filterColumn colId="1" hiddenButton="1"/>
  </autoFilter>
  <tableColumns count="2">
    <tableColumn id="1" xr3:uid="{294825A0-B000-4273-A73D-4BDF1B0EEF00}" name="Module Data" dataDxfId="245"/>
    <tableColumn id="2" xr3:uid="{BFFFACD7-D0A7-40F6-BF15-469686406C3F}" name="Details" dataDxfId="244"/>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_5202SPS_LO" displayName="_5202SPS_LO" ref="C28:D33" totalsRowShown="0" headerRowDxfId="243" dataDxfId="242">
  <autoFilter ref="C28:D33" xr:uid="{22316987-6BEB-4FAF-9619-BF9BE9909CFA}">
    <filterColumn colId="0" hiddenButton="1"/>
    <filterColumn colId="1" hiddenButton="1"/>
  </autoFilter>
  <tableColumns count="2">
    <tableColumn id="1" xr3:uid="{EB0958A2-9E66-44D9-A8DF-610B48FE0AC6}" name="LO Number" dataDxfId="241"/>
    <tableColumn id="2" xr3:uid="{0F368925-4523-471B-A68D-184E05AABCF7}" name="LO Description" dataDxfId="240"/>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_5202SPS_Assess" displayName="_5202SPS_Assess" ref="C37:H41" totalsRowShown="0" headerRowDxfId="239" dataDxfId="23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237"/>
    <tableColumn id="2" xr3:uid="{1FA5C130-1C0E-45D6-8735-EA79A0166F2D}" name="Assessment Type" dataDxfId="236"/>
    <tableColumn id="7" xr3:uid="{34024CC2-5A32-45FD-95BD-978953E7F41B}" name="Assessment Specific" dataDxfId="235"/>
    <tableColumn id="3" xr3:uid="{5DA2B338-CCFE-4568-ACFD-CC8F0B883170}" name="Assessment Description" dataDxfId="234"/>
    <tableColumn id="4" xr3:uid="{597ADF95-B9B9-411B-8079-7F615E89550C}" name="Weighting" dataDxfId="233"/>
    <tableColumn id="5" xr3:uid="{A0D1FD19-8DF8-4595-ADE8-675937B4A7F4}" name="Due Week" dataDxfId="232"/>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_5202SPS_Weekly" displayName="_5202SPS_Weekly" ref="B70:F94" totalsRowShown="0" headerRowDxfId="231" dataDxfId="23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229"/>
    <tableColumn id="2" xr3:uid="{633971FF-9E7F-4A44-865E-D409908313D1}" name="Week Number" dataDxfId="228"/>
    <tableColumn id="3" xr3:uid="{77413702-BFB9-4DEA-BF99-C2A188E22509}" name="Weekly Content 1" dataDxfId="227"/>
    <tableColumn id="4" xr3:uid="{DD1B7D42-32B3-4CC2-9308-AD66B052F8DB}" name="Weekly Content 2" dataDxfId="226"/>
    <tableColumn id="5" xr3:uid="{504E9A1A-C43C-49D3-BB42-E4DD5A49EFCE}" name="Weekly Content 3" dataDxfId="225"/>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_5202SPS_Hours" displayName="_5202SPS_Hours" ref="C18:D24" totalsRowShown="0" headerRowDxfId="224" dataDxfId="223">
  <autoFilter ref="C18:D24" xr:uid="{B71A3569-AA65-4A4E-98A2-885F5C38B46D}">
    <filterColumn colId="0" hiddenButton="1"/>
    <filterColumn colId="1" hiddenButton="1"/>
  </autoFilter>
  <tableColumns count="2">
    <tableColumn id="1" xr3:uid="{5D165BDB-09FC-4AAA-91DB-E67A247DFF72}" name="Component" dataDxfId="222"/>
    <tableColumn id="2" xr3:uid="{E28A3B10-E692-47D9-A3AD-18128B6A4794}" name="Contact Hours" dataDxfId="221"/>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_5202SPS_Mapping" displayName="_5202SPS_Mapping" ref="C45:F66" totalsRowShown="0" headerRowDxfId="220" dataDxfId="219">
  <autoFilter ref="C45:F66"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218"/>
    <tableColumn id="2" xr3:uid="{A7D6827C-7020-4950-BD3E-00625169C68E}" name="LO Number" dataDxfId="217"/>
    <tableColumn id="3" xr3:uid="{1F68EB03-6C47-4955-9791-229A42D1A45A}" name="Graduate Skills Category" dataDxfId="216"/>
    <tableColumn id="4" xr3:uid="{1FD832D4-8E97-4B72-9B09-606CF407E6C7}" name="Graduate Skill" dataDxfId="215"/>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_5202SPS_Aims" displayName="_5202SPS_Aims" ref="F6:F8" totalsRowShown="0" headerRowDxfId="214" dataDxfId="213">
  <autoFilter ref="F6:F8" xr:uid="{9552138F-2332-4BC4-A585-0E13162881A5}"/>
  <tableColumns count="1">
    <tableColumn id="1" xr3:uid="{2EE5D059-BB6B-4406-AF24-CB56C5C24856}" name="Aims" dataDxfId="212"/>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2FF468F-C8D3-4B79-9797-F22B3B7B3D03}" name="_5202SPS_Syllabus" displayName="_5202SPS_Syllabus" ref="F10:F13" totalsRowShown="0" headerRowDxfId="211" dataDxfId="210">
  <autoFilter ref="F10:F13" xr:uid="{94F18F67-3F10-4F6E-A953-4FE3399B07F2}"/>
  <tableColumns count="1">
    <tableColumn id="1" xr3:uid="{CF8ACDF4-0E48-466C-AF99-EC810B28E6AF}" name="Outline Syllabus" dataDxfId="209"/>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_5202SPS_Overview" displayName="_5202SPS_Overview" ref="F15:F20" totalsRowShown="0" headerRowDxfId="208" dataDxfId="207">
  <autoFilter ref="F15:F20" xr:uid="{1B2BCD7B-6C15-4B1C-86BC-48FF83D8F225}"/>
  <tableColumns count="1">
    <tableColumn id="1" xr3:uid="{C16E0E90-DC44-4185-AB55-C39332B32B2D}" name="Module Overview" dataDxfId="206"/>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_5202SPS_Notes" displayName="_5202SPS_Notes" ref="F22:F33" totalsRowShown="0" headerRowDxfId="205" dataDxfId="204">
  <autoFilter ref="F22:F33" xr:uid="{D5968C0A-6D7E-4221-87EE-78A85A4039B3}"/>
  <tableColumns count="1">
    <tableColumn id="1" xr3:uid="{719B4DA9-E67A-4094-A58E-921C645096BE}" name="Additional Information/Notes" dataDxfId="203"/>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93DB34-FBC0-45CC-ABA7-01EB66A55C98}" name="_5094SPS_Meta" displayName="_5094SPS_Meta" ref="C6:D14" totalsRowShown="0" headerRowDxfId="202" dataDxfId="201">
  <autoFilter ref="C6:D14" xr:uid="{CD75D2A7-14B1-4ABD-B64D-6E875F9BC652}">
    <filterColumn colId="0" hiddenButton="1"/>
    <filterColumn colId="1" hiddenButton="1"/>
  </autoFilter>
  <tableColumns count="2">
    <tableColumn id="1" xr3:uid="{DB36EAB2-4E0A-4645-A9BF-0F32B32613FD}" name="Module Data" dataDxfId="200"/>
    <tableColumn id="2" xr3:uid="{CE231DBC-192A-48BB-9A87-91C3AFB96FA9}" name="Details" dataDxfId="199"/>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5FB378-1D41-4AA4-9EAC-7286077817CF}" name="_5094SPS_LO" displayName="_5094SPS_LO" ref="C28:D33" totalsRowShown="0" headerRowDxfId="198" dataDxfId="197">
  <autoFilter ref="C28:D33" xr:uid="{22316987-6BEB-4FAF-9619-BF9BE9909CFA}">
    <filterColumn colId="0" hiddenButton="1"/>
    <filterColumn colId="1" hiddenButton="1"/>
  </autoFilter>
  <tableColumns count="2">
    <tableColumn id="1" xr3:uid="{EDFE7374-6322-4291-9571-AB5D70876E10}" name="LO Number" dataDxfId="196"/>
    <tableColumn id="2" xr3:uid="{BB88813E-9AD1-4382-8CF8-672B816B02D8}" name="LO Description" dataDxfId="195"/>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72A6624-0511-4229-92F9-66F77D80C779}" name="_5094SPS_Assess" displayName="_5094SPS_Assess" ref="C37:H41" totalsRowShown="0" headerRowDxfId="194" dataDxfId="19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41D5AAE-8F23-4C5C-8F24-A15EF65BDBA9}" name="Assessment No" dataDxfId="192"/>
    <tableColumn id="2" xr3:uid="{981E43FB-A889-4696-B8B5-DE76E76B6287}" name="Assessment Type" dataDxfId="191"/>
    <tableColumn id="7" xr3:uid="{6DCB379E-11E3-4A84-9C22-51600215E17C}" name="Assessment Specific" dataDxfId="190"/>
    <tableColumn id="3" xr3:uid="{7D65454A-6E9E-426B-B3A7-A2AA6355F977}" name="Assessment Description" dataDxfId="189"/>
    <tableColumn id="4" xr3:uid="{4B0E00CF-1327-4DDD-8454-7387A7AF83F2}" name="Weighting" dataDxfId="188"/>
    <tableColumn id="5" xr3:uid="{F23746C0-EC7C-4197-A835-34F95F73D9DA}" name="Due Week" dataDxfId="187"/>
  </tableColumns>
  <tableStyleInfo name="TableStyleMedium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FBC10F7-61DF-49AE-B885-156F1DE29491}" name="_5094SPS_Weekly" displayName="_5094SPS_Weekly" ref="B70:F94" totalsRowShown="0" headerRowDxfId="186" dataDxfId="18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EADE7BCE-B9A6-43C7-B7D8-213ABB9D1691}" name="Semester " dataDxfId="184"/>
    <tableColumn id="2" xr3:uid="{8CDF3930-63CB-4946-94EE-008E4EB1F886}" name="Week Number" dataDxfId="183"/>
    <tableColumn id="3" xr3:uid="{7FDE5B63-5029-4F45-AD54-A41E9C0AE212}" name="Weekly Content 1" dataDxfId="182"/>
    <tableColumn id="4" xr3:uid="{6272B48C-3A85-4E9B-BF0E-ACE3BAAFF05C}" name="Weekly Content 2" dataDxfId="181"/>
    <tableColumn id="5" xr3:uid="{515CF13D-1E58-45DA-A7AE-92A23E525870}" name="Weekly Content 3" dataDxfId="180"/>
  </tableColumns>
  <tableStyleInfo name="TableStyleMedium4"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4764301-A958-4CF4-8540-E681182B6777}" name="_5094SPS_Hours" displayName="_5094SPS_Hours" ref="C18:D24" totalsRowShown="0" headerRowDxfId="179" dataDxfId="178">
  <autoFilter ref="C18:D24" xr:uid="{B71A3569-AA65-4A4E-98A2-885F5C38B46D}">
    <filterColumn colId="0" hiddenButton="1"/>
    <filterColumn colId="1" hiddenButton="1"/>
  </autoFilter>
  <tableColumns count="2">
    <tableColumn id="1" xr3:uid="{22DAB617-C991-4FF0-9911-F7D2A6FA4B91}" name="Component" dataDxfId="177"/>
    <tableColumn id="2" xr3:uid="{D5D30237-650A-48D4-A0AB-15D713B08523}" name="Contact Hours" dataDxfId="176"/>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D025030-9C09-41D7-93DE-33E89246C779}" name="_5094SPS_Mapping" displayName="_5094SPS_Mapping" ref="C45:F66" totalsRowShown="0" headerRowDxfId="175" dataDxfId="174">
  <autoFilter ref="C45:F66" xr:uid="{E0A841BB-B6D5-4048-B5F2-18CF9F502EBA}">
    <filterColumn colId="0" hiddenButton="1"/>
    <filterColumn colId="1" hiddenButton="1"/>
    <filterColumn colId="2" hiddenButton="1"/>
    <filterColumn colId="3" hiddenButton="1"/>
  </autoFilter>
  <tableColumns count="4">
    <tableColumn id="1" xr3:uid="{E33D14B0-A1B6-49BD-B8EC-F13A667515D4}" name="Assessment No" dataDxfId="173"/>
    <tableColumn id="2" xr3:uid="{95D5D541-57DD-471B-A785-7AD9C6B75642}" name="LO Number" dataDxfId="172"/>
    <tableColumn id="3" xr3:uid="{DF526298-8B31-46C7-97E4-64977796F557}" name="Graduate Skills Category" dataDxfId="171"/>
    <tableColumn id="4" xr3:uid="{B2189443-A6AE-43A5-A927-820054792E84}" name="Graduate Skill" dataDxfId="170"/>
  </tableColumns>
  <tableStyleInfo name="TableStyleMedium3"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B3CFCB4-D84C-4541-A325-7EAF28A46DCB}" name="_5094SPS_Aims" displayName="_5094SPS_Aims" ref="F6:F8" totalsRowShown="0" headerRowDxfId="169" dataDxfId="168">
  <autoFilter ref="F6:F8" xr:uid="{9552138F-2332-4BC4-A585-0E13162881A5}"/>
  <tableColumns count="1">
    <tableColumn id="1" xr3:uid="{D3BF508D-AE54-4057-A6FA-03688FC97763}" name="Aims" dataDxfId="167"/>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CAD2F47-69AC-4DA2-AFC0-279C9515C345}" name="_5094SPS_Syllabus" displayName="_5094SPS_Syllabus" ref="F10:F13" totalsRowShown="0" headerRowDxfId="166" dataDxfId="165">
  <autoFilter ref="F10:F13" xr:uid="{94F18F67-3F10-4F6E-A953-4FE3399B07F2}"/>
  <tableColumns count="1">
    <tableColumn id="1" xr3:uid="{07E85D5E-5A44-4367-9389-14937C108BCA}" name="Outline Syllabus" dataDxfId="164"/>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D579FE5-11ED-40E9-AC55-89F74ACA8342}" name="_5094SPS_Notes" displayName="_5094SPS_Notes" ref="F22:F33" totalsRowShown="0" headerRowDxfId="163" dataDxfId="162">
  <autoFilter ref="F22:F33" xr:uid="{D5968C0A-6D7E-4221-87EE-78A85A4039B3}"/>
  <tableColumns count="1">
    <tableColumn id="1" xr3:uid="{7F65F437-06A9-49B3-8414-57CC876B6317}" name="Additional Notes" dataDxfId="161"/>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6F2CD13-C37A-41DC-80F6-C8EF21E5AD59}" name="_5094SPS_Overview" displayName="_5094SPS_Overview" ref="F15:F20" totalsRowShown="0" headerRowDxfId="160" dataDxfId="159">
  <autoFilter ref="F15:F20" xr:uid="{1B2BCD7B-6C15-4B1C-86BC-48FF83D8F225}"/>
  <tableColumns count="1">
    <tableColumn id="1" xr3:uid="{DD313F9A-DD82-463F-BE86-F014666BBD18}" name="Module Overview" dataDxfId="158"/>
  </tableColumns>
  <tableStyleInfo name="TableStyleMedium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DA15C93-7AE5-443F-BF80-B6C4734D3733}" name="_6401SPS_Meta" displayName="_6401SPS_Meta" ref="C6:D14" totalsRowShown="0" headerRowDxfId="157" dataDxfId="156">
  <autoFilter ref="C6:D14" xr:uid="{CD75D2A7-14B1-4ABD-B64D-6E875F9BC652}">
    <filterColumn colId="0" hiddenButton="1"/>
    <filterColumn colId="1" hiddenButton="1"/>
  </autoFilter>
  <tableColumns count="2">
    <tableColumn id="1" xr3:uid="{4D2BF844-9D2B-4FF1-8498-0279E04136FD}" name="Module Data" dataDxfId="155"/>
    <tableColumn id="2" xr3:uid="{7CDC44CD-A513-4579-ACC6-09E7304BB1BE}" name="Details" dataDxfId="154"/>
  </tableColumns>
  <tableStyleInfo name="TableStyleMedium6"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F01ECD1-C3F7-4C71-876A-3C7A7FDBB474}" name="_6401SPS_LO" displayName="_6401SPS_LO" ref="C28:D33" totalsRowShown="0" headerRowDxfId="153" dataDxfId="152">
  <autoFilter ref="C28:D33" xr:uid="{22316987-6BEB-4FAF-9619-BF9BE9909CFA}">
    <filterColumn colId="0" hiddenButton="1"/>
    <filterColumn colId="1" hiddenButton="1"/>
  </autoFilter>
  <tableColumns count="2">
    <tableColumn id="1" xr3:uid="{A75FADC5-DEDB-4B6C-9F57-BD04056AC57B}" name="LO Number" dataDxfId="151"/>
    <tableColumn id="2" xr3:uid="{2529C995-9CF3-46B4-B1CE-40C8315EEAF2}" name="LO Description" dataDxfId="150"/>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27E036-CB6F-40EB-91EB-A39099EEB3CD}" name="_6401SPS_Assess" displayName="_6401SPS_Assess" ref="C37:H41" totalsRowShown="0" headerRowDxfId="149" dataDxfId="14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8EBD973-01AE-4D1E-8786-915C86474423}" name="Assessment No" dataDxfId="147"/>
    <tableColumn id="2" xr3:uid="{707D2CCB-425D-48C3-A5FF-A62091BB3A56}" name="Assessment Type" dataDxfId="146"/>
    <tableColumn id="7" xr3:uid="{EB4F45BA-D8C2-4768-9796-02D50E7330DF}" name="Assessment Specific" dataDxfId="145"/>
    <tableColumn id="3" xr3:uid="{5B969136-9DE0-4A71-AF46-BE9B9C988057}" name="Assessment Description" dataDxfId="144"/>
    <tableColumn id="4" xr3:uid="{C51F8C6E-75D1-4D2A-980F-3DFD604FDE94}" name="Weighting" dataDxfId="143"/>
    <tableColumn id="5" xr3:uid="{732B8B1F-0938-4D2E-A221-A6E8EC0CEA2A}" name="Due Week" dataDxfId="142"/>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61448E8-8EEE-4DE1-A2F9-F593D227DA0A}" name="_6401SPS_Weekly" displayName="_6401SPS_Weekly" ref="B70:F94" totalsRowShown="0" headerRowDxfId="141" dataDxfId="14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6D1B2880-FC9A-468B-B918-0197941EFFDE}" name="Semester " dataDxfId="139"/>
    <tableColumn id="2" xr3:uid="{B5886C84-F0E2-476E-B7F8-D50AED341227}" name="Week Number" dataDxfId="138"/>
    <tableColumn id="3" xr3:uid="{E72094EC-2F0A-4C32-8DE0-3CB3CF696309}" name="Weekly Content 1" dataDxfId="137"/>
    <tableColumn id="4" xr3:uid="{15BE7A5A-AEE2-4BE3-9FDF-71CA774FE739}" name="Weekly Content 2" dataDxfId="136"/>
    <tableColumn id="5" xr3:uid="{C4CF9651-D5F8-4074-B5BD-359D74967851}" name="Weekly Content 3" dataDxfId="135"/>
  </tableColumns>
  <tableStyleInfo name="TableStyleMedium4"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FAF6343-FF50-43D2-B96C-219B05B209B3}" name="_6401SPS_Hours" displayName="_6401SPS_Hours" ref="C18:D24" totalsRowShown="0" headerRowDxfId="134" dataDxfId="133">
  <autoFilter ref="C18:D24" xr:uid="{B71A3569-AA65-4A4E-98A2-885F5C38B46D}">
    <filterColumn colId="0" hiddenButton="1"/>
    <filterColumn colId="1" hiddenButton="1"/>
  </autoFilter>
  <tableColumns count="2">
    <tableColumn id="1" xr3:uid="{DD613D1A-331B-4FD0-91B2-3BB01F5B1F40}" name="Component" dataDxfId="132"/>
    <tableColumn id="2" xr3:uid="{C0E95D7F-8DB9-4A30-B523-E4812C2D666C}" name="Contact Hours" dataDxfId="131"/>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905AEA-21AC-416A-8A59-FDBFEB2C673E}" name="_6401SPS_Mapping" displayName="_6401SPS_Mapping" ref="C45:F66" totalsRowShown="0" headerRowDxfId="130" dataDxfId="129">
  <autoFilter ref="C45:F66" xr:uid="{E0A841BB-B6D5-4048-B5F2-18CF9F502EBA}">
    <filterColumn colId="0" hiddenButton="1"/>
    <filterColumn colId="1" hiddenButton="1"/>
    <filterColumn colId="2" hiddenButton="1"/>
    <filterColumn colId="3" hiddenButton="1"/>
  </autoFilter>
  <tableColumns count="4">
    <tableColumn id="1" xr3:uid="{68FEA8A1-EEF2-48EA-ACC7-4E78BA6DFA99}" name="Assessment No" dataDxfId="128"/>
    <tableColumn id="2" xr3:uid="{2008E8A1-90F0-4A5C-A0CF-4F307DD2E2D8}" name="LO Number" dataDxfId="127"/>
    <tableColumn id="3" xr3:uid="{3A4DD78F-A393-4DAB-8994-3FEC28769F43}" name="Graduate Skills Category" dataDxfId="126"/>
    <tableColumn id="4" xr3:uid="{3CC06E09-AB6C-4DEE-8FEB-FEE7643702C5}" name="Graduate Skill" dataDxfId="125"/>
  </tableColumns>
  <tableStyleInfo name="TableStyleMedium3"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52138F-2332-4BC4-A585-0E13162881A5}" name="_6401SPS_Aims" displayName="_6401SPS_Aims" ref="F6:F8" totalsRowShown="0" headerRowDxfId="124" dataDxfId="123">
  <autoFilter ref="F6:F8" xr:uid="{9552138F-2332-4BC4-A585-0E13162881A5}"/>
  <tableColumns count="1">
    <tableColumn id="1" xr3:uid="{71044305-7275-4074-BD40-FFAF45A8E291}" name="Aims" dataDxfId="122"/>
  </tableColumns>
  <tableStyleInfo name="TableStyleMedium6"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F18F67-3F10-4F6E-A953-4FE3399B07F2}" name="_6401SPS_Syllabus" displayName="_6401SPS_Syllabus" ref="F10:F13" totalsRowShown="0" headerRowDxfId="121" dataDxfId="120">
  <autoFilter ref="F10:F13" xr:uid="{94F18F67-3F10-4F6E-A953-4FE3399B07F2}"/>
  <tableColumns count="1">
    <tableColumn id="1" xr3:uid="{409A0DF2-4B7A-4C37-A61C-CA2805617B9D}" name="Column1" dataDxfId="119"/>
  </tableColumns>
  <tableStyleInfo name="TableStyleMedium6"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2BCD7B-6C15-4B1C-86BC-48FF83D8F225}" name="_6401SPS_Overview" displayName="_6401SPS_Overview" ref="F15:F20" totalsRowShown="0" headerRowDxfId="118" dataDxfId="117">
  <autoFilter ref="F15:F20" xr:uid="{1B2BCD7B-6C15-4B1C-86BC-48FF83D8F225}"/>
  <tableColumns count="1">
    <tableColumn id="1" xr3:uid="{5E6F0374-DB3C-4DCF-968A-D7EB3D575A6B}" name="Theme 2: Theory and practice of Universal Design " dataDxfId="116"/>
  </tableColumns>
  <tableStyleInfo name="TableStyleMedium6"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968C0A-6D7E-4221-87EE-78A85A4039B3}" name="_6401SPS_Notes" displayName="_6401SPS_Notes" ref="F22:F33" totalsRowShown="0" headerRowDxfId="115" dataDxfId="114">
  <autoFilter ref="F22:F33" xr:uid="{D5968C0A-6D7E-4221-87EE-78A85A4039B3}"/>
  <tableColumns count="1">
    <tableColumn id="1" xr3:uid="{EBE60D7D-4BB5-4F06-A2E4-CFAAE9F14014}" name="Additional Information/Notes" dataDxfId="113"/>
  </tableColumns>
  <tableStyleInfo name="TableStyleMedium6"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270F11D-EB2D-4D37-A0C7-A548812199C3}" name="_6402SPS_Meta" displayName="_6402SPS_Meta" ref="C6:D14" totalsRowShown="0" headerRowDxfId="559" dataDxfId="558">
  <autoFilter ref="C6:D14" xr:uid="{CD75D2A7-14B1-4ABD-B64D-6E875F9BC652}">
    <filterColumn colId="0" hiddenButton="1"/>
    <filterColumn colId="1" hiddenButton="1"/>
  </autoFilter>
  <tableColumns count="2">
    <tableColumn id="1" xr3:uid="{29D4E0BE-5C0F-4EF3-BF95-85E95BCEF890}" name="Module Data" dataDxfId="557"/>
    <tableColumn id="2" xr3:uid="{8CF62EB8-FFB4-436A-9EE3-575FDB15387F}" name="Details" dataDxfId="556"/>
  </tableColumns>
  <tableStyleInfo name="TableStyleMedium6"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237020EB-E434-4CF8-BA7F-AAE80EFFA7DE}" name="_6402SPS_LO" displayName="_6402SPS_LO" ref="C28:D33" totalsRowShown="0" headerRowDxfId="555" dataDxfId="554">
  <autoFilter ref="C28:D33" xr:uid="{22316987-6BEB-4FAF-9619-BF9BE9909CFA}">
    <filterColumn colId="0" hiddenButton="1"/>
    <filterColumn colId="1" hiddenButton="1"/>
  </autoFilter>
  <tableColumns count="2">
    <tableColumn id="1" xr3:uid="{ABACB5F8-1C23-4668-B7BA-EF2517F6F237}" name="LO Number" dataDxfId="553"/>
    <tableColumn id="2" xr3:uid="{16EFEC94-FB26-48E6-A1CD-F272E329A036}" name="LO Description" dataDxfId="552"/>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1E80F96-254A-4374-9350-7B1F947FEA77}" name="_6402SPS_Assess" displayName="_6402SPS_Assess" ref="C37:H41" totalsRowShown="0" headerRowDxfId="551" dataDxfId="550">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0550122-E287-466F-A05A-EEEF3BC2A7B1}" name="Assessment No" dataDxfId="549"/>
    <tableColumn id="2" xr3:uid="{2BC12B11-B6CF-4E7C-B492-9E71A2A4DCFC}" name="Assessment Type" dataDxfId="548"/>
    <tableColumn id="7" xr3:uid="{F22466C0-E91B-4130-82AB-931BDD5DAFD5}" name="Assessment Specific" dataDxfId="547"/>
    <tableColumn id="3" xr3:uid="{A2D2688F-0CD2-442B-B2C4-399FA320B460}" name="Assessment Description" dataDxfId="546"/>
    <tableColumn id="4" xr3:uid="{9C3172F4-207C-490E-A1A4-3782CCE0F62E}" name="Weighting" dataDxfId="545"/>
    <tableColumn id="5" xr3:uid="{5D552087-F8C1-4DC6-AB58-461CAA57A675}" name="Due Week" dataDxfId="544"/>
  </tableColumns>
  <tableStyleInfo name="TableStyleMedium3"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A4E79B66-A399-44F9-AC05-30A8D8E4EFFC}" name="_6402SPS_Weekly" displayName="_6402SPS_Weekly" ref="B70:F94" totalsRowShown="0" headerRowDxfId="543" dataDxfId="542">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61211FD-07C5-4C60-8E49-B011DF71603B}" name="Semester " dataDxfId="541"/>
    <tableColumn id="2" xr3:uid="{C3767A97-7DDC-4C9C-BAA0-36AD5C496EEE}" name="Week Number" dataDxfId="540"/>
    <tableColumn id="3" xr3:uid="{ECEBB099-0848-4BF9-A0F1-A91B05144BDE}" name="Weekly Content 1" dataDxfId="539"/>
    <tableColumn id="4" xr3:uid="{C2073020-3A29-4533-9629-7F40A8DD2B8B}" name="Weekly Content 2" dataDxfId="538"/>
    <tableColumn id="5" xr3:uid="{6345D17D-CE7F-4BE7-9354-5B3222EE1FDE}" name="Weekly Content 3" dataDxfId="537"/>
  </tableColumns>
  <tableStyleInfo name="TableStyleMedium4"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BDFBF6B0-B509-44BE-828C-EF93C1923EC6}" name="_6402SPS_Hours" displayName="_6402SPS_Hours" ref="C18:D24" totalsRowShown="0" headerRowDxfId="536" dataDxfId="535">
  <autoFilter ref="C18:D24" xr:uid="{B71A3569-AA65-4A4E-98A2-885F5C38B46D}">
    <filterColumn colId="0" hiddenButton="1"/>
    <filterColumn colId="1" hiddenButton="1"/>
  </autoFilter>
  <tableColumns count="2">
    <tableColumn id="1" xr3:uid="{B46B0870-C95C-4D4E-B01A-05CA40485288}" name="Component" dataDxfId="534"/>
    <tableColumn id="2" xr3:uid="{A34E191B-0F4D-40A9-98C4-DFC5C0ED5B03}" name="Contact Hours" dataDxfId="533"/>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F74075A1-DA58-473A-9E54-24D876995322}" name="_6402SPS_Mapping" displayName="_6402SPS_Mapping" ref="C45:F66" totalsRowShown="0" headerRowDxfId="532" dataDxfId="531">
  <autoFilter ref="C45:F66" xr:uid="{E0A841BB-B6D5-4048-B5F2-18CF9F502EBA}">
    <filterColumn colId="0" hiddenButton="1"/>
    <filterColumn colId="1" hiddenButton="1"/>
    <filterColumn colId="2" hiddenButton="1"/>
    <filterColumn colId="3" hiddenButton="1"/>
  </autoFilter>
  <tableColumns count="4">
    <tableColumn id="1" xr3:uid="{33F03CAC-37A3-4CB5-BBBE-230DBDFC5B6B}" name="Assessment No" dataDxfId="530"/>
    <tableColumn id="2" xr3:uid="{D948967E-B1D8-422E-BC05-E5DE64BFE116}" name="LO Number" dataDxfId="529"/>
    <tableColumn id="3" xr3:uid="{41BBFD1D-FBB9-4518-8884-EB40901F4694}" name="Graduate Skills Category" dataDxfId="528"/>
    <tableColumn id="4" xr3:uid="{913662D7-6EF1-491B-A990-50699C27238F}" name="Graduate Skill" dataDxfId="527"/>
  </tableColumns>
  <tableStyleInfo name="TableStyleMedium3"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5AE026F8-16C4-406D-B110-7288CB09E506}" name="_6402SPS_Aims" displayName="_6402SPS_Aims" ref="F6:F8" totalsRowShown="0" headerRowDxfId="526" dataDxfId="525">
  <autoFilter ref="F6:F8" xr:uid="{9552138F-2332-4BC4-A585-0E13162881A5}"/>
  <tableColumns count="1">
    <tableColumn id="1" xr3:uid="{2CF6523F-40A9-456F-8FAA-4363371E379D}" name="Aims" dataDxfId="524"/>
  </tableColumns>
  <tableStyleInfo name="TableStyleMedium6"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B6B7C2B-C63A-4C91-BFC7-FEAD7D7A4AAB}" name="_6402SPS_Overview" displayName="_6402SPS_Overview" ref="F15:F20" totalsRowShown="0" headerRowDxfId="523" dataDxfId="522">
  <autoFilter ref="F15:F20" xr:uid="{1B2BCD7B-6C15-4B1C-86BC-48FF83D8F225}"/>
  <tableColumns count="1">
    <tableColumn id="1" xr3:uid="{6FA2E212-5F86-4DAE-AF6E-5A52409DCB13}" name="Outline Syllabus" dataDxfId="521"/>
  </tableColumns>
  <tableStyleInfo name="TableStyleMedium6"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8EDE4E8-58B3-4823-B749-470799FC0595}" name="_6402SPS_Notes" displayName="_6402SPS_Notes" ref="F22:F33" totalsRowShown="0" headerRowDxfId="520" dataDxfId="519">
  <autoFilter ref="F22:F33" xr:uid="{D5968C0A-6D7E-4221-87EE-78A85A4039B3}"/>
  <tableColumns count="1">
    <tableColumn id="1" xr3:uid="{8FE8F154-AB86-4DDE-9840-555725F99393}" name="Additional Information/Notes" dataDxfId="518"/>
  </tableColumns>
  <tableStyleInfo name="TableStyleMedium6"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B3195DA-61BF-4DC3-AA26-8375196AC911}" name="6403SPS_Meta" displayName="_6403SPS_Meta" ref="C6:D14" totalsRowShown="0" headerRowDxfId="112" dataDxfId="111">
  <autoFilter ref="C6:D14" xr:uid="{CD75D2A7-14B1-4ABD-B64D-6E875F9BC652}">
    <filterColumn colId="0" hiddenButton="1"/>
    <filterColumn colId="1" hiddenButton="1"/>
  </autoFilter>
  <tableColumns count="2">
    <tableColumn id="1" xr3:uid="{259296C2-F94D-4D8E-8A48-375C8B32976A}" name="Module Data" dataDxfId="110"/>
    <tableColumn id="2" xr3:uid="{FBE26AB7-C871-483E-8BF5-3102A6CBA6A9}" name="Details" dataDxfId="109"/>
  </tableColumns>
  <tableStyleInfo name="TableStyleMedium6"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B0C6758-C764-42DF-8334-275486F59160}" name="6403SPS_LO" displayName="_6403SPS_LO" ref="C28:D33" totalsRowShown="0" headerRowDxfId="108" dataDxfId="107">
  <autoFilter ref="C28:D33" xr:uid="{22316987-6BEB-4FAF-9619-BF9BE9909CFA}">
    <filterColumn colId="0" hiddenButton="1"/>
    <filterColumn colId="1" hiddenButton="1"/>
  </autoFilter>
  <tableColumns count="2">
    <tableColumn id="1" xr3:uid="{A4A042E5-B73A-4E95-83BE-374230EAEF75}" name="LO Number" dataDxfId="106"/>
    <tableColumn id="2" xr3:uid="{4CC50DE2-34DC-4FAA-BB54-72EB81C5A918}" name="LO Description" dataDxfId="105"/>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3825F8F9-FE98-45C9-AC62-4DE90913B2D5}" name="6403SPS_Assess" displayName="_6403SPS_Assess" ref="C37:H41" totalsRowShown="0" headerRowDxfId="104" dataDxfId="10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B86A69A5-1E61-43A0-B8A8-D409B7E2AEA6}" name="Assessment No" dataDxfId="102"/>
    <tableColumn id="2" xr3:uid="{846FFE48-B8E8-4A55-98C3-5451769A8EB5}" name="Assessment Type" dataDxfId="101"/>
    <tableColumn id="7" xr3:uid="{82AE06D6-F94C-441D-B6C3-297200BD5794}" name="Assessment Specific" dataDxfId="100"/>
    <tableColumn id="3" xr3:uid="{FEAAD1E7-46DD-4E01-9EEE-AB9037A04A09}" name="Assessment Description" dataDxfId="99"/>
    <tableColumn id="4" xr3:uid="{C4BFD846-DFE3-41AB-966C-3EFB00B2A790}" name="Weighting" dataDxfId="98"/>
    <tableColumn id="5" xr3:uid="{476F5563-CB55-4B33-88F8-D363824819FD}" name="Due Week" dataDxfId="97"/>
  </tableColumns>
  <tableStyleInfo name="TableStyleMedium3"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D46EDFDA-9AB0-4331-B17D-30F807C2D6D5}" name="6403SPS_Weekly" displayName="_6403SPS_Weekly" ref="B70:F102" totalsRowShown="0" headerRowDxfId="96" dataDxfId="95">
  <autoFilter ref="B70:F102" xr:uid="{3A41AF80-1AD3-44F6-93D1-6C4A16CCF943}">
    <filterColumn colId="0" hiddenButton="1"/>
    <filterColumn colId="1" hiddenButton="1"/>
    <filterColumn colId="2" hiddenButton="1"/>
    <filterColumn colId="3" hiddenButton="1"/>
    <filterColumn colId="4" hiddenButton="1"/>
  </autoFilter>
  <tableColumns count="5">
    <tableColumn id="1" xr3:uid="{A68B6C85-E233-4451-9163-94A920B533E6}" name="Semester " dataDxfId="94"/>
    <tableColumn id="2" xr3:uid="{B9620A06-7C82-4FF4-995F-02655A14B62E}" name="Week Number" dataDxfId="93"/>
    <tableColumn id="3" xr3:uid="{90BEA63A-0B10-4F26-B07B-76B2D9A73B94}" name="Weekly Content 1" dataDxfId="92"/>
    <tableColumn id="4" xr3:uid="{BA0A787E-3BAF-4419-9436-D40693419273}" name="Weekly Content 2" dataDxfId="91"/>
    <tableColumn id="5" xr3:uid="{3E95C25D-5EE2-483B-B9C6-B69D6222BD63}" name="Weekly Content 3" dataDxfId="90"/>
  </tableColumns>
  <tableStyleInfo name="TableStyleMedium4"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7F0130C-63E7-417A-B41E-9C3A0D03AD17}" name="6403SPS_Hours" displayName="_6403SPS_Hours" ref="C18:D24" totalsRowShown="0" headerRowDxfId="89" dataDxfId="88">
  <autoFilter ref="C18:D24" xr:uid="{B71A3569-AA65-4A4E-98A2-885F5C38B46D}">
    <filterColumn colId="0" hiddenButton="1"/>
    <filterColumn colId="1" hiddenButton="1"/>
  </autoFilter>
  <tableColumns count="2">
    <tableColumn id="1" xr3:uid="{17D1F957-8C58-47BC-9BD8-09011C101FC1}" name="Component" dataDxfId="87"/>
    <tableColumn id="2" xr3:uid="{F76831A8-1692-44D6-9D6D-3D5E7EBE7CB7}" name="Contact Hours" dataDxfId="86"/>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6E2263C1-7862-4289-A529-F692C072B024}" name="6403SPS_Mapping" displayName="_6403SPS_Mapping" ref="C45:F66" totalsRowShown="0" headerRowDxfId="85" dataDxfId="84">
  <autoFilter ref="C45:F66" xr:uid="{E0A841BB-B6D5-4048-B5F2-18CF9F502EBA}">
    <filterColumn colId="0" hiddenButton="1"/>
    <filterColumn colId="1" hiddenButton="1"/>
    <filterColumn colId="2" hiddenButton="1"/>
    <filterColumn colId="3" hiddenButton="1"/>
  </autoFilter>
  <tableColumns count="4">
    <tableColumn id="1" xr3:uid="{5FF07F7A-0B59-4A66-94E8-2AA6F3FABE01}" name="Assessment No" dataDxfId="83"/>
    <tableColumn id="2" xr3:uid="{AFA09957-495C-47A6-9409-B82CF20C9FEE}" name="LO Number" dataDxfId="82"/>
    <tableColumn id="3" xr3:uid="{4A6EF506-39E0-4A77-AB9A-A419A13B11BA}" name="Graduate Skills Category" dataDxfId="81"/>
    <tableColumn id="4" xr3:uid="{1CC8553E-650D-4CC9-BCBD-8A5C77CF26BC}" name="Graduate Skill" dataDxfId="80"/>
  </tableColumns>
  <tableStyleInfo name="TableStyleMedium3"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F218F218-BF90-416D-B952-D9393923801D}" name="6403SPS_Aims" displayName="_6403SPS_Aims" ref="F6:F9" totalsRowShown="0" headerRowDxfId="79" dataDxfId="78">
  <autoFilter ref="F6:F9" xr:uid="{9552138F-2332-4BC4-A585-0E13162881A5}"/>
  <tableColumns count="1">
    <tableColumn id="1" xr3:uid="{8B84DA76-C73A-484B-AB85-93CE53A85FF5}" name="Aims" dataDxfId="77"/>
  </tableColumns>
  <tableStyleInfo name="TableStyleMedium6"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405DABE-6D82-46AB-84E5-8BBBD87BD0BB}" name="6403SPS_Syllabus" displayName="_6403SPS_Syllabus" ref="F10:F13" totalsRowShown="0" headerRowDxfId="76" dataDxfId="75">
  <autoFilter ref="F10:F13" xr:uid="{94F18F67-3F10-4F6E-A953-4FE3399B07F2}"/>
  <tableColumns count="1">
    <tableColumn id="1" xr3:uid="{7BB23C35-AB5C-4E42-B2E9-C41B68F5AF1F}" name="Outline Syllabus" dataDxfId="74"/>
  </tableColumns>
  <tableStyleInfo name="TableStyleMedium6"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AFB107C-53D3-4975-A4F4-CAB65BC99D03}" name="6403SPS_Overview" displayName="_6403SPS_Overview" ref="F15:F20" totalsRowShown="0" headerRowDxfId="73" dataDxfId="72">
  <autoFilter ref="F15:F20" xr:uid="{1B2BCD7B-6C15-4B1C-86BC-48FF83D8F225}"/>
  <tableColumns count="1">
    <tableColumn id="1" xr3:uid="{A7EAB096-E6DB-40BE-B37B-256679A7DD5C}" name="Module Overview" dataDxfId="71"/>
  </tableColumns>
  <tableStyleInfo name="TableStyleMedium6"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37E2A52-3152-415A-95CE-C4D6FD7B7CAC}" name="6403SPS_Notes" displayName="_6403SPS_Notes" ref="F22:F33" totalsRowShown="0" headerRowDxfId="70" dataDxfId="69">
  <autoFilter ref="F22:F33" xr:uid="{D5968C0A-6D7E-4221-87EE-78A85A4039B3}"/>
  <tableColumns count="1">
    <tableColumn id="1" xr3:uid="{C72ADE2C-BCB8-499B-B1B7-EDB3A3B2FE5B}" name="Additional Information/Notes" dataDxfId="68"/>
  </tableColumns>
  <tableStyleInfo name="TableStyleMedium6"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40940089-4244-43F1-B97C-810AAAE444CF}" name="6097SPS_Meta" displayName="_6097SPS_Meta" ref="C6:D14" totalsRowShown="0" headerRowDxfId="67" dataDxfId="66">
  <autoFilter ref="C6:D14" xr:uid="{CD75D2A7-14B1-4ABD-B64D-6E875F9BC652}">
    <filterColumn colId="0" hiddenButton="1"/>
    <filterColumn colId="1" hiddenButton="1"/>
  </autoFilter>
  <tableColumns count="2">
    <tableColumn id="1" xr3:uid="{070BBF13-BA41-4DE1-A713-FB0E8630711C}" name="Module Data" dataDxfId="65"/>
    <tableColumn id="2" xr3:uid="{0E3F0926-B28A-4EA7-AAE9-E35BEC0A4DF5}" name="Details" dataDxfId="64"/>
  </tableColumns>
  <tableStyleInfo name="TableStyleMedium6"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696BD3D-C247-4096-9138-5992AFD94B43}" name="6097SPS_LO" displayName="_6097SPS_LO" ref="C28:D33" totalsRowShown="0" headerRowDxfId="63" dataDxfId="62">
  <autoFilter ref="C28:D33" xr:uid="{22316987-6BEB-4FAF-9619-BF9BE9909CFA}">
    <filterColumn colId="0" hiddenButton="1"/>
    <filterColumn colId="1" hiddenButton="1"/>
  </autoFilter>
  <tableColumns count="2">
    <tableColumn id="1" xr3:uid="{6088F306-C9B4-4ED7-9EEC-A674129ECCC9}" name="LO Number" dataDxfId="61"/>
    <tableColumn id="2" xr3:uid="{43834854-BE01-444E-8E1C-AE64963B358A}" name="LO Description" dataDxfId="60"/>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F396ADA4-3F6E-4C44-8B94-249567CBD6BD}" name="6097SPS_Assess" displayName="_6097SPS_Assess" ref="C37:H41" totalsRowShown="0" headerRowDxfId="59" dataDxfId="5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2E1276A-52B5-424B-9BBA-9CC123ECC641}" name="Assessment No" dataDxfId="57"/>
    <tableColumn id="2" xr3:uid="{E2407AF6-3C98-4FD1-B31B-CB85A955F2E3}" name="Assessment Type" dataDxfId="56"/>
    <tableColumn id="7" xr3:uid="{803004E8-4057-430E-BD7F-E6A122487416}" name="Assessment Specific" dataDxfId="55"/>
    <tableColumn id="3" xr3:uid="{E82EABFF-0858-4F25-A741-AD63FC636934}" name="Assessment Description" dataDxfId="54"/>
    <tableColumn id="4" xr3:uid="{C435B8B1-D65F-4F43-8C3B-45550CBDD4FC}" name="Weighting" dataDxfId="53"/>
    <tableColumn id="5" xr3:uid="{03FBD12C-63B3-45F3-8CCB-172C1C96BB7E}" name="Due Week" dataDxfId="52"/>
  </tableColumns>
  <tableStyleInfo name="TableStyleMedium3"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8359A26-B512-45F8-8655-ACB9669F3576}" name="6097SPS_Weekly" displayName="_6097SPS_Weekly" ref="B69:F93" totalsRowShown="0" headerRowDxfId="51" dataDxfId="50">
  <autoFilter ref="B69:F93" xr:uid="{3A41AF80-1AD3-44F6-93D1-6C4A16CCF943}">
    <filterColumn colId="0" hiddenButton="1"/>
    <filterColumn colId="1" hiddenButton="1"/>
    <filterColumn colId="2" hiddenButton="1"/>
    <filterColumn colId="3" hiddenButton="1"/>
    <filterColumn colId="4" hiddenButton="1"/>
  </autoFilter>
  <tableColumns count="5">
    <tableColumn id="1" xr3:uid="{92701B6C-B731-4332-A2BC-EDB90DA0F8C9}" name="Semester " dataDxfId="49"/>
    <tableColumn id="2" xr3:uid="{0DEEBD8D-895D-4DB2-9CAB-767B56867428}" name="Week Number" dataDxfId="48"/>
    <tableColumn id="3" xr3:uid="{7E2D8092-2899-4612-BA2F-D50BF49F0F02}" name="Weekly Content 1" dataDxfId="47"/>
    <tableColumn id="4" xr3:uid="{543E0828-8F90-405C-8DC4-A27DEA150475}" name="Weekly Content 2" dataDxfId="46"/>
    <tableColumn id="5" xr3:uid="{CFCB0F41-D4BE-4456-B805-D7551BF9E83C}" name="Weekly Content 3" dataDxfId="45"/>
  </tableColumns>
  <tableStyleInfo name="TableStyleMedium4"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AE8A534E-D29F-4551-AB97-6D70C45149F5}" name="6097SPS_Hours" displayName="_6097SPS_Hours" ref="C18:D24" totalsRowShown="0" headerRowDxfId="44" dataDxfId="43">
  <autoFilter ref="C18:D24" xr:uid="{B71A3569-AA65-4A4E-98A2-885F5C38B46D}">
    <filterColumn colId="0" hiddenButton="1"/>
    <filterColumn colId="1" hiddenButton="1"/>
  </autoFilter>
  <tableColumns count="2">
    <tableColumn id="1" xr3:uid="{A95790DB-8258-4803-8284-4A4A89FC1A81}" name="Component" dataDxfId="42"/>
    <tableColumn id="2" xr3:uid="{F8CDBB8B-28A2-40B8-8AB1-6707537C499B}" name="Contact Hours" dataDxfId="41"/>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6D173C9-B42C-49E7-9D87-A5745A22D1C2}" name="6097SPS_Mapping" displayName="_6097SPS_Mapping" ref="C45:F65" totalsRowShown="0" headerRowDxfId="40" dataDxfId="39">
  <autoFilter ref="C45:F65" xr:uid="{E0A841BB-B6D5-4048-B5F2-18CF9F502EBA}">
    <filterColumn colId="0" hiddenButton="1"/>
    <filterColumn colId="1" hiddenButton="1"/>
    <filterColumn colId="2" hiddenButton="1"/>
    <filterColumn colId="3" hiddenButton="1"/>
  </autoFilter>
  <tableColumns count="4">
    <tableColumn id="1" xr3:uid="{01E2F7EB-60A0-4C13-A872-0336F07EDF9F}" name="Assessment No" dataDxfId="38"/>
    <tableColumn id="2" xr3:uid="{0A9CFE48-B3C3-4D3C-9F56-3062488E96D8}" name="LO Number" dataDxfId="37"/>
    <tableColumn id="3" xr3:uid="{F14AC592-27AF-4E15-B730-92515D2D5861}" name="Graduate Skills Category" dataDxfId="36"/>
    <tableColumn id="4" xr3:uid="{33BA90E8-AAD8-435C-9AC1-A549EDBF7228}" name="Graduate Skill" dataDxfId="35"/>
  </tableColumns>
  <tableStyleInfo name="TableStyleMedium3"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059C37A-58BE-4D59-894C-B91B91BF8452}" name="6097SPS_Aims" displayName="_6097SPS_Aims" ref="F6:F8" totalsRowShown="0" headerRowDxfId="34" dataDxfId="33">
  <autoFilter ref="F6:F8" xr:uid="{9552138F-2332-4BC4-A585-0E13162881A5}"/>
  <tableColumns count="1">
    <tableColumn id="1" xr3:uid="{95B55738-9EA9-42EF-9542-C1E475114357}" name="Aims" dataDxfId="32"/>
  </tableColumns>
  <tableStyleInfo name="TableStyleMedium6"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D10F85BC-1345-43FC-B85A-FF83FDB98376}" name="6097SPS_Syllabus" displayName="_6097SPS_Syllabus" ref="F10:F13" totalsRowShown="0" headerRowDxfId="31" dataDxfId="30">
  <autoFilter ref="F10:F13" xr:uid="{94F18F67-3F10-4F6E-A953-4FE3399B07F2}"/>
  <tableColumns count="1">
    <tableColumn id="1" xr3:uid="{773F3BC1-153C-4CA9-9626-F7014E9C09FC}" name="Outline Syllabus" dataDxfId="29"/>
  </tableColumns>
  <tableStyleInfo name="TableStyleMedium6"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9361160D-E085-4AC4-8943-5386B5E8545C}" name="6097SPS_Overview" displayName="_6097SPS_Overview" ref="F15:F20" totalsRowShown="0" headerRowDxfId="28" dataDxfId="27">
  <autoFilter ref="F15:F20" xr:uid="{1B2BCD7B-6C15-4B1C-86BC-48FF83D8F225}"/>
  <tableColumns count="1">
    <tableColumn id="1" xr3:uid="{5AB497BE-0287-4B15-828E-068ECF632096}" name="Module Overview" dataDxfId="26"/>
  </tableColumns>
  <tableStyleInfo name="TableStyleMedium6"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2BD2469B-FE6E-4B79-8C1A-DBD7F029C0E0}" name="6097SPS_Notes" displayName="_6097SPS_Notes" ref="F22:F33" totalsRowShown="0" headerRowDxfId="25" dataDxfId="24">
  <autoFilter ref="F22:F33" xr:uid="{D5968C0A-6D7E-4221-87EE-78A85A4039B3}"/>
  <tableColumns count="1">
    <tableColumn id="1" xr3:uid="{050403C8-321F-4DA4-B6C6-73EFBF9C2B3A}" name="Additional Information/Notes" dataDxfId="23"/>
  </tableColumns>
  <tableStyleInfo name="TableStyleMedium6"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9A05B4E-A2BE-414F-9510-FB403533458B}" name="SC_ModuleOverview" displayName="SC_ModuleOverview" ref="A1:I23" tableType="queryTable" totalsRowShown="0">
  <autoFilter ref="A1:I23" xr:uid="{29A05B4E-A2BE-414F-9510-FB403533458B}"/>
  <tableColumns count="9">
    <tableColumn id="1" xr3:uid="{DAFBDBD6-0735-4199-A38C-A5AF643CCCF5}" uniqueName="1" name="ModuleCode" queryTableFieldId="1"/>
    <tableColumn id="2" xr3:uid="{1F8B0E8D-0362-4B5E-A60A-F8D487588C94}" uniqueName="2" name="ModuleTitle" queryTableFieldId="2" dataDxfId="0"/>
    <tableColumn id="3" xr3:uid="{89294427-53F2-484F-9A55-2F85ACC8A469}" uniqueName="3" name="Level" queryTableFieldId="3"/>
    <tableColumn id="4" xr3:uid="{96F55007-22F3-4C03-AF84-5EEA2FB8B7D5}" uniqueName="4" name="Semester" queryTableFieldId="4"/>
    <tableColumn id="5" xr3:uid="{77798F67-5B6F-45AD-8A92-ED0F419B25F1}" uniqueName="5" name="Credits" queryTableFieldId="5"/>
    <tableColumn id="6" xr3:uid="{2C9B1AAD-500B-4132-AC91-7C2B4DD7064D}" uniqueName="6" name="Module Leader" queryTableFieldId="6"/>
    <tableColumn id="7" xr3:uid="{A9134E7E-BABD-4535-A11E-4C97372EBC86}" uniqueName="7" name="Module Type" queryTableFieldId="7"/>
    <tableColumn id="8" xr3:uid="{08140E24-F229-4ED2-A4CF-F4CB15AA2FDB}" uniqueName="8" name="Total Contact Hours" queryTableFieldId="8"/>
    <tableColumn id="9" xr3:uid="{A6F7EC19-8B2E-4A95-849F-FFF64D750663}" uniqueName="9" name="Hours per Credit" queryTableFieldId="9">
      <calculatedColumnFormula>SC_ModuleOverview[[#This Row],[Total Contact Hours]] / SC_ModuleOverview[[#This Row],[Credits]]</calculatedColumnFormula>
    </tableColumn>
  </tableColumns>
  <tableStyleInfo name="TableStyleMedium7"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8F8A49C-DA38-4425-8F74-2A72BF6C05C1}" name="SC_Hours_Wide" displayName="SC_Hours_Wide" ref="A1:M23" tableType="queryTable" totalsRowShown="0">
  <autoFilter ref="A1:M23" xr:uid="{F8F8A49C-DA38-4425-8F74-2A72BF6C05C1}"/>
  <tableColumns count="13">
    <tableColumn id="1" xr3:uid="{C47043E0-F738-4170-8808-0AE8D338F84E}" uniqueName="1" name="SourceWorkbook" queryTableFieldId="1" dataDxfId="2"/>
    <tableColumn id="2" xr3:uid="{0B8A52F8-DBCD-478D-ADF7-2A47588C537C}" uniqueName="2" name="TableName" queryTableFieldId="2"/>
    <tableColumn id="3" xr3:uid="{7126A8BD-83B1-4E3B-8CDE-F71D7A59CFDC}" uniqueName="3" name="ModuleCode" queryTableFieldId="3"/>
    <tableColumn id="4" xr3:uid="{060A03D2-9EA2-4441-96A3-0C0443984522}" uniqueName="4" name="ItemSuffix" queryTableFieldId="4"/>
    <tableColumn id="5" xr3:uid="{497B155A-C077-4BC6-BA78-517499C75F51}" uniqueName="5" name="Programme" queryTableFieldId="5"/>
    <tableColumn id="6" xr3:uid="{B50A5620-E4D3-41EC-88B5-1E4A72D38D12}" uniqueName="6" name="ProgCode" queryTableFieldId="6"/>
    <tableColumn id="7" xr3:uid="{32F89B02-B216-492B-86AD-186E46348F3A}" uniqueName="7" name="ModuleTitle" queryTableFieldId="7" dataDxfId="1"/>
    <tableColumn id="8" xr3:uid="{6D043172-0BC6-44ED-AAE5-6CC73B9B2C63}" uniqueName="8" name="Lecture" queryTableFieldId="8"/>
    <tableColumn id="9" xr3:uid="{793E6675-F0EE-472A-923E-1DABE22A5EDB}" uniqueName="9" name="Seminar" queryTableFieldId="9"/>
    <tableColumn id="10" xr3:uid="{17DB9D14-9286-444E-9E3A-8A1E8D3D1B56}" uniqueName="10" name="Practical" queryTableFieldId="10"/>
    <tableColumn id="11" xr3:uid="{7F92E9C7-FCFB-4EC5-87F8-45AE4A1878D0}" uniqueName="11" name="Workshop" queryTableFieldId="11"/>
    <tableColumn id="12" xr3:uid="{A8683739-C70C-4DE1-AFA5-4C8125B7B87C}" uniqueName="12" name="Online" queryTableFieldId="12"/>
    <tableColumn id="13" xr3:uid="{2FC3FF4E-E3BA-4829-ADA4-5F94668BBAFD}" uniqueName="13" name="Total" queryTableFieldId="13"/>
  </tableColumns>
  <tableStyleInfo name="TableStyleMedium7"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60F9D81-05D1-431F-8B50-7D98978D4BE0}" name="SC_Meta_Wide" displayName="SC_Meta_Wide" ref="A1:O23" tableType="queryTable" totalsRowShown="0">
  <autoFilter ref="A1:O23" xr:uid="{660F9D81-05D1-431F-8B50-7D98978D4BE0}"/>
  <tableColumns count="15">
    <tableColumn id="1" xr3:uid="{4325F3EB-649D-41AC-A3D5-BC04579C5528}" uniqueName="1" name="SourceWorkbook" queryTableFieldId="1" dataDxfId="4"/>
    <tableColumn id="2" xr3:uid="{A28B323F-0A48-47C5-B103-2C3966ACDA40}" uniqueName="2" name="TableName" queryTableFieldId="2"/>
    <tableColumn id="3" xr3:uid="{AD87F62F-FABE-4687-ADDE-367FFB2844BB}" uniqueName="3" name="ModuleCode" queryTableFieldId="3"/>
    <tableColumn id="4" xr3:uid="{030CBC4D-DC88-4E02-99EC-ECA5D173EA9A}" uniqueName="4" name="ItemSuffix" queryTableFieldId="4"/>
    <tableColumn id="5" xr3:uid="{7A9AAC7B-44CD-48F6-BF1A-120AC449D1E2}" uniqueName="5" name="Programme" queryTableFieldId="5"/>
    <tableColumn id="6" xr3:uid="{53E62F7B-FE37-4A85-BEA4-5C136C5C1CAC}" uniqueName="6" name="ProgCode" queryTableFieldId="6"/>
    <tableColumn id="7" xr3:uid="{A526B64C-AEE8-4C2A-9C19-A7AD58A0CBC2}" uniqueName="7" name="ModuleTitle" queryTableFieldId="7" dataDxfId="3"/>
    <tableColumn id="8" xr3:uid="{E13EB157-249A-49D1-850A-A3873A866A98}" uniqueName="8" name="Module Code" queryTableFieldId="8"/>
    <tableColumn id="9" xr3:uid="{1650DE5C-4809-4485-BAFE-58CA4A6141A4}" uniqueName="9" name="Module Title" queryTableFieldId="9"/>
    <tableColumn id="10" xr3:uid="{6BB0C70E-58FD-4930-9229-90AFCD365159}" uniqueName="10" name="Credits" queryTableFieldId="10"/>
    <tableColumn id="11" xr3:uid="{2188952E-77A9-475A-9DC0-6FF836D8791E}" uniqueName="11" name="Semester" queryTableFieldId="11"/>
    <tableColumn id="12" xr3:uid="{75912810-0A4A-42FD-B575-B3C9FB115CCD}" uniqueName="12" name="Level" queryTableFieldId="12"/>
    <tableColumn id="13" xr3:uid="{D246BB4D-0CBC-41F8-BF2C-9B46346586A2}" uniqueName="13" name="Module Leader" queryTableFieldId="13"/>
    <tableColumn id="14" xr3:uid="{F4FB2FA9-DC39-4323-9E98-DA8F5E081CA6}" uniqueName="14" name="Module Type" queryTableFieldId="14"/>
    <tableColumn id="15" xr3:uid="{81D6C9B3-30D7-4096-8844-5B87290642BB}" uniqueName="15" name="Programme(s)" queryTableFieldId="15"/>
  </tableColumns>
  <tableStyleInfo name="TableStyleMedium7"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BB0A594-C6DC-4119-BCF4-CC05403E5D5A}" name="SC_SkillsCoverage" displayName="SC_SkillsCoverage" ref="A1:E65" tableType="queryTable" totalsRowShown="0">
  <autoFilter ref="A1:E65" xr:uid="{7BB0A594-C6DC-4119-BCF4-CC05403E5D5A}"/>
  <tableColumns count="5">
    <tableColumn id="1" xr3:uid="{5D82C0BC-BEE8-46DC-B9FC-19C1F0A97D44}" uniqueName="1" name="Category" queryTableFieldId="1"/>
    <tableColumn id="2" xr3:uid="{CF550D1C-4CB4-4796-8D8B-A856F5A09C0A}" uniqueName="2" name="Skill" queryTableFieldId="2"/>
    <tableColumn id="3" xr3:uid="{9814BCDE-3B45-4D25-894A-2FF9CD9F8EC3}" uniqueName="3" name="Modules Covering" queryTableFieldId="3" dataDxfId="22"/>
    <tableColumn id="4" xr3:uid="{D099B7DA-B636-4595-806C-AD4DFB639AB4}" uniqueName="4" name="Module Count" queryTableFieldId="4"/>
    <tableColumn id="5" xr3:uid="{60E8979D-FE4C-4CAD-BC07-71D1E84CD9CA}" uniqueName="5" name="Covered" queryTableFieldId="5"/>
  </tableColumns>
  <tableStyleInfo name="TableStyleMedium7"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E8724A-26FB-41F9-9A92-044B9B8BB6B5}" name="SC_Mapping" displayName="SC_Mapping" ref="A1:K218" tableType="queryTable" totalsRowShown="0">
  <autoFilter ref="A1:K218" xr:uid="{3CE8724A-26FB-41F9-9A92-044B9B8BB6B5}"/>
  <tableColumns count="11">
    <tableColumn id="1" xr3:uid="{9569AD3A-81A9-4EAE-BF44-659E63484B65}" uniqueName="1" name="SourceWorkbook" queryTableFieldId="1" dataDxfId="14"/>
    <tableColumn id="2" xr3:uid="{028177F3-C495-48F0-9954-25EE695DE9AA}" uniqueName="2" name="TableName" queryTableFieldId="2"/>
    <tableColumn id="3" xr3:uid="{8C9F983D-34B2-4580-BC3D-82E150CDCD9D}" uniqueName="3" name="Assessment No" queryTableFieldId="3"/>
    <tableColumn id="4" xr3:uid="{F2E420DB-C347-4605-8150-197A64DE74A5}" uniqueName="4" name="LO Number" queryTableFieldId="4"/>
    <tableColumn id="5" xr3:uid="{E5C900DB-2B41-4B7E-8266-CCA642CB9BE7}" uniqueName="5" name="Graduate Skills Category" queryTableFieldId="5"/>
    <tableColumn id="6" xr3:uid="{EF2719B8-81A9-4D33-B467-1ADC6066A18C}" uniqueName="6" name="Graduate Skill" queryTableFieldId="6"/>
    <tableColumn id="7" xr3:uid="{CD4AA56A-D8C3-4487-AFE1-E92BC6C19016}" uniqueName="7" name="ModuleCode" queryTableFieldId="7"/>
    <tableColumn id="8" xr3:uid="{C1FB1EDC-30A5-4AF2-BCCF-2D234EE65BB1}" uniqueName="8" name="ItemSuffix" queryTableFieldId="8"/>
    <tableColumn id="9" xr3:uid="{4D428293-8CD0-4E16-B929-D0D59F22F38C}" uniqueName="9" name="Programme" queryTableFieldId="9"/>
    <tableColumn id="10" xr3:uid="{58D8E762-A76F-41FB-826E-79AFA5DB5110}" uniqueName="10" name="ProgCode" queryTableFieldId="10"/>
    <tableColumn id="11" xr3:uid="{5079DC05-8A48-4B54-B6B8-88A0EEC7997C}" uniqueName="11" name="ModuleTitle" queryTableFieldId="11" dataDxfId="13"/>
  </tableColumns>
  <tableStyleInfo name="TableStyleMedium7"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28CEAB-EFEA-455B-B085-C8E20A0EB68A}" name="SC_Hours" displayName="SC_Hours" ref="A1:I133" tableType="queryTable" totalsRowShown="0">
  <autoFilter ref="A1:I133" xr:uid="{5928CEAB-EFEA-455B-B085-C8E20A0EB68A}"/>
  <tableColumns count="9">
    <tableColumn id="1" xr3:uid="{459A2A0D-B7D3-4171-817F-B7C3962ADBC4}" uniqueName="1" name="SourceWorkbook" queryTableFieldId="1" dataDxfId="12"/>
    <tableColumn id="2" xr3:uid="{E03CFE1B-650C-49F7-AC29-612059EDE5A4}" uniqueName="2" name="TableName" queryTableFieldId="2"/>
    <tableColumn id="3" xr3:uid="{01A510DE-313E-4090-AADA-C8D7F3585F20}" uniqueName="3" name="Component" queryTableFieldId="3"/>
    <tableColumn id="4" xr3:uid="{AC5073BD-2660-40F2-B15B-125942FF77C0}" uniqueName="4" name="Contact Hours" queryTableFieldId="4"/>
    <tableColumn id="5" xr3:uid="{1CD4500E-A438-4749-82C2-70FC7665FCB4}" uniqueName="5" name="ModuleCode" queryTableFieldId="5"/>
    <tableColumn id="6" xr3:uid="{C9ED575C-9C0A-4785-9B1B-A5B5869A31E0}" uniqueName="6" name="ItemSuffix" queryTableFieldId="6"/>
    <tableColumn id="7" xr3:uid="{FF508B1A-53EC-4133-9E8A-E20C16216E0F}" uniqueName="7" name="Programme" queryTableFieldId="7"/>
    <tableColumn id="8" xr3:uid="{B4D5E9CA-D99C-451C-B96D-22588B0A85FE}" uniqueName="8" name="ProgCode" queryTableFieldId="8"/>
    <tableColumn id="9" xr3:uid="{5A4C06F0-97E0-4960-9C66-5A68A05535EF}" uniqueName="9" name="ModuleTitle" queryTableFieldId="9" dataDxfId="11"/>
  </tableColumns>
  <tableStyleInfo name="TableStyleMedium7"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99E9F39-CEC1-4314-9C92-C354B3355358}" name="SC_Assess" displayName="SC_Assess" ref="A1:M39" tableType="queryTable" totalsRowShown="0">
  <autoFilter ref="A1:M39" xr:uid="{399E9F39-CEC1-4314-9C92-C354B3355358}"/>
  <tableColumns count="13">
    <tableColumn id="1" xr3:uid="{4025ACF9-8BF4-45CE-9EDC-F6309E2E7521}" uniqueName="1" name="SourceWorkbook" queryTableFieldId="1" dataDxfId="10"/>
    <tableColumn id="2" xr3:uid="{58A07DEE-C32A-43F9-B7F9-F8972701F4C0}" uniqueName="2" name="TableName" queryTableFieldId="2"/>
    <tableColumn id="3" xr3:uid="{FC280FDE-36CE-4940-B4B7-7C4A3E4D1A5C}" uniqueName="3" name="Assessment No" queryTableFieldId="3"/>
    <tableColumn id="4" xr3:uid="{B31BC9C9-D1C8-400A-8762-4FA18F465D17}" uniqueName="4" name="Assessment Type" queryTableFieldId="4"/>
    <tableColumn id="5" xr3:uid="{C0FB20AF-7EF0-4507-8B50-3A6CEB23A09A}" uniqueName="5" name="Assessment Specific" queryTableFieldId="5"/>
    <tableColumn id="6" xr3:uid="{76C0DCBC-79B0-4513-97EA-1623461577E2}" uniqueName="6" name="Assessment Description" queryTableFieldId="6"/>
    <tableColumn id="7" xr3:uid="{1708230D-2304-4BE3-9866-9318A0868E9F}" uniqueName="7" name="Weighting" queryTableFieldId="7"/>
    <tableColumn id="8" xr3:uid="{047DF282-8144-4659-9F99-936F7C4A65E8}" uniqueName="8" name="Due Week" queryTableFieldId="8"/>
    <tableColumn id="9" xr3:uid="{29B13BFD-9A26-4095-B4AF-748146F62FB5}" uniqueName="9" name="ModuleCode" queryTableFieldId="9"/>
    <tableColumn id="10" xr3:uid="{6082EC41-7892-45FF-BE87-70CFB75AC078}" uniqueName="10" name="ItemSuffix" queryTableFieldId="10"/>
    <tableColumn id="11" xr3:uid="{F0064EF7-82E7-4B4C-917E-78F94C8640FF}" uniqueName="11" name="Programme" queryTableFieldId="11"/>
    <tableColumn id="12" xr3:uid="{01F96927-73AB-45BF-8825-9561AFCA6C2F}" uniqueName="12" name="ProgCode" queryTableFieldId="12"/>
    <tableColumn id="13" xr3:uid="{4AF5328C-C21A-4EA0-A1D5-30B72FCBCA88}" uniqueName="13" name="ModuleTitle" queryTableFieldId="13" dataDxfId="9"/>
  </tableColumns>
  <tableStyleInfo name="TableStyleMedium7"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1CDC032-C00F-4D77-B819-26A211CAED24}" name="SC_LO" displayName="SC_LO" ref="A1:I62" tableType="queryTable" totalsRowShown="0">
  <autoFilter ref="A1:I62" xr:uid="{A1CDC032-C00F-4D77-B819-26A211CAED24}"/>
  <tableColumns count="9">
    <tableColumn id="1" xr3:uid="{4723A2F2-4B19-4EAB-8346-F3AA16CEC48F}" uniqueName="1" name="SourceWorkbook" queryTableFieldId="1" dataDxfId="8"/>
    <tableColumn id="2" xr3:uid="{973424F2-9987-408C-8C46-D7D004A417E7}" uniqueName="2" name="TableName" queryTableFieldId="2"/>
    <tableColumn id="3" xr3:uid="{6B3F91D6-CDAA-47D2-A010-338EC4B0DB7F}" uniqueName="3" name="LO Number" queryTableFieldId="3"/>
    <tableColumn id="4" xr3:uid="{0A3F59AB-2BCD-4CAD-B8C1-D055004A638C}" uniqueName="4" name="LO Description" queryTableFieldId="4"/>
    <tableColumn id="5" xr3:uid="{4A8BE9B3-7E5E-4DDA-860E-3D68D547B57F}" uniqueName="5" name="ModuleCode" queryTableFieldId="5"/>
    <tableColumn id="6" xr3:uid="{97B0E5D1-C526-4F02-80AF-72777F9BD27B}" uniqueName="6" name="ItemSuffix" queryTableFieldId="6"/>
    <tableColumn id="7" xr3:uid="{57E7FF86-6A11-4FD0-987B-CEC2023C66EA}" uniqueName="7" name="Programme" queryTableFieldId="7"/>
    <tableColumn id="8" xr3:uid="{019531F0-2217-4904-A6E7-0CB43AC479ED}" uniqueName="8" name="ProgCode" queryTableFieldId="8"/>
    <tableColumn id="9" xr3:uid="{853822DC-745D-4DEE-A30B-38EE8DC79780}" uniqueName="9" name="ModuleTitle" queryTableFieldId="9" dataDxfId="7"/>
  </tableColumns>
  <tableStyleInfo name="TableStyleMedium7"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9BEFBC-2334-49E6-8E30-1317A6A6EC27}" name="SC_Meta" displayName="SC_Meta" ref="A1:I177" tableType="queryTable" totalsRowShown="0">
  <autoFilter ref="A1:I177" xr:uid="{4B9BEFBC-2334-49E6-8E30-1317A6A6EC27}"/>
  <tableColumns count="9">
    <tableColumn id="1" xr3:uid="{DC0ABE09-703A-46CE-979E-1402BCB53CAD}" uniqueName="1" name="SourceWorkbook" queryTableFieldId="1" dataDxfId="6"/>
    <tableColumn id="2" xr3:uid="{DFFB0B8A-098A-40A2-BE06-C77D687EA360}" uniqueName="2" name="TableName" queryTableFieldId="2"/>
    <tableColumn id="3" xr3:uid="{D69A935E-5D07-4808-80A8-9C4D688D8125}" uniqueName="3" name="Module Data" queryTableFieldId="3"/>
    <tableColumn id="4" xr3:uid="{DA879376-AC03-4A71-8742-D8CFDF768A45}" uniqueName="4" name="Details" queryTableFieldId="4"/>
    <tableColumn id="5" xr3:uid="{115FC914-600F-4086-8A5A-989D179C9611}" uniqueName="5" name="ModuleCode" queryTableFieldId="5"/>
    <tableColumn id="6" xr3:uid="{CC13A8D2-7399-417A-8DC3-884A7047A142}" uniqueName="6" name="ItemSuffix" queryTableFieldId="6"/>
    <tableColumn id="7" xr3:uid="{547A9093-78DD-45A3-973D-406A3D7190DD}" uniqueName="7" name="Programme" queryTableFieldId="7"/>
    <tableColumn id="8" xr3:uid="{5BA5D7DE-82CA-4ACC-8166-6B26B010A6E4}" uniqueName="8" name="ProgCode" queryTableFieldId="8"/>
    <tableColumn id="9" xr3:uid="{A652A771-5B45-4FAD-B31B-C66170276C62}" uniqueName="9" name="ModuleTitle" queryTableFieldId="9" dataDxfId="5"/>
  </tableColumns>
  <tableStyleInfo name="TableStyleMedium7"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21" dataDxfId="20">
  <autoFilter ref="G14:G28" xr:uid="{A28D849E-6EFC-4A5A-932B-B6AE93050561}"/>
  <tableColumns count="1">
    <tableColumn id="1" xr3:uid="{F9243E19-CFCD-47CF-90F4-B3457FC6A715}" name="Assessment Specific" dataDxfId="19"/>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18" dataDxfId="17">
  <autoFilter ref="J19:K83" xr:uid="{EBD39377-1E4D-4F11-AC33-A85FBA00A712}"/>
  <tableColumns count="2">
    <tableColumn id="1" xr3:uid="{88D4BEFB-0FE7-43D9-9144-A385F91AD367}" name="Category" dataDxfId="16"/>
    <tableColumn id="2" xr3:uid="{F16DBD3E-74AC-4DBC-9629-934DF2FB76A6}" name="Skill"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printerSettings" Target="../printerSettings/printerSettings4.bin"/><Relationship Id="rId6" Type="http://schemas.openxmlformats.org/officeDocument/2006/relationships/table" Target="../tables/table35.xml"/><Relationship Id="rId11" Type="http://schemas.openxmlformats.org/officeDocument/2006/relationships/table" Target="../tables/table40.xml"/><Relationship Id="rId5" Type="http://schemas.openxmlformats.org/officeDocument/2006/relationships/table" Target="../tables/table34.xml"/><Relationship Id="rId10" Type="http://schemas.openxmlformats.org/officeDocument/2006/relationships/table" Target="../tables/table39.xml"/><Relationship Id="rId4" Type="http://schemas.openxmlformats.org/officeDocument/2006/relationships/table" Target="../tables/table33.xml"/><Relationship Id="rId9"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printerSettings" Target="../printerSettings/printerSettings5.bin"/><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8.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7.xml"/><Relationship Id="rId3" Type="http://schemas.openxmlformats.org/officeDocument/2006/relationships/table" Target="../tables/table82.xml"/><Relationship Id="rId7" Type="http://schemas.openxmlformats.org/officeDocument/2006/relationships/table" Target="../tables/table86.xml"/><Relationship Id="rId2" Type="http://schemas.openxmlformats.org/officeDocument/2006/relationships/table" Target="../tables/table81.xml"/><Relationship Id="rId1" Type="http://schemas.openxmlformats.org/officeDocument/2006/relationships/printerSettings" Target="../printerSettings/printerSettings9.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97.xml"/><Relationship Id="rId3" Type="http://schemas.openxmlformats.org/officeDocument/2006/relationships/table" Target="../tables/table92.xml"/><Relationship Id="rId7" Type="http://schemas.openxmlformats.org/officeDocument/2006/relationships/table" Target="../tables/table96.xml"/><Relationship Id="rId2" Type="http://schemas.openxmlformats.org/officeDocument/2006/relationships/table" Target="../tables/table91.xml"/><Relationship Id="rId1" Type="http://schemas.openxmlformats.org/officeDocument/2006/relationships/printerSettings" Target="../printerSettings/printerSettings10.bin"/><Relationship Id="rId6" Type="http://schemas.openxmlformats.org/officeDocument/2006/relationships/table" Target="../tables/table95.xml"/><Relationship Id="rId5" Type="http://schemas.openxmlformats.org/officeDocument/2006/relationships/table" Target="../tables/table9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06.xml"/><Relationship Id="rId3" Type="http://schemas.openxmlformats.org/officeDocument/2006/relationships/table" Target="../tables/table101.xml"/><Relationship Id="rId7" Type="http://schemas.openxmlformats.org/officeDocument/2006/relationships/table" Target="../tables/table105.xml"/><Relationship Id="rId2" Type="http://schemas.openxmlformats.org/officeDocument/2006/relationships/table" Target="../tables/table100.xml"/><Relationship Id="rId1" Type="http://schemas.openxmlformats.org/officeDocument/2006/relationships/printerSettings" Target="../printerSettings/printerSettings11.bin"/><Relationship Id="rId6" Type="http://schemas.openxmlformats.org/officeDocument/2006/relationships/table" Target="../tables/table104.xml"/><Relationship Id="rId11" Type="http://schemas.openxmlformats.org/officeDocument/2006/relationships/table" Target="../tables/table109.xml"/><Relationship Id="rId5" Type="http://schemas.openxmlformats.org/officeDocument/2006/relationships/table" Target="../tables/table103.xml"/><Relationship Id="rId10" Type="http://schemas.openxmlformats.org/officeDocument/2006/relationships/table" Target="../tables/table108.xml"/><Relationship Id="rId4" Type="http://schemas.openxmlformats.org/officeDocument/2006/relationships/table" Target="../tables/table102.xml"/><Relationship Id="rId9" Type="http://schemas.openxmlformats.org/officeDocument/2006/relationships/table" Target="../tables/table107.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16.xml"/><Relationship Id="rId3" Type="http://schemas.openxmlformats.org/officeDocument/2006/relationships/table" Target="../tables/table111.xml"/><Relationship Id="rId7" Type="http://schemas.openxmlformats.org/officeDocument/2006/relationships/table" Target="../tables/table115.xml"/><Relationship Id="rId2" Type="http://schemas.openxmlformats.org/officeDocument/2006/relationships/table" Target="../tables/table110.xml"/><Relationship Id="rId1" Type="http://schemas.openxmlformats.org/officeDocument/2006/relationships/printerSettings" Target="../printerSettings/printerSettings12.bin"/><Relationship Id="rId6" Type="http://schemas.openxmlformats.org/officeDocument/2006/relationships/table" Target="../tables/table114.xml"/><Relationship Id="rId11" Type="http://schemas.openxmlformats.org/officeDocument/2006/relationships/table" Target="../tables/table119.xml"/><Relationship Id="rId5" Type="http://schemas.openxmlformats.org/officeDocument/2006/relationships/table" Target="../tables/table113.xml"/><Relationship Id="rId10" Type="http://schemas.openxmlformats.org/officeDocument/2006/relationships/table" Target="../tables/table118.xml"/><Relationship Id="rId4" Type="http://schemas.openxmlformats.org/officeDocument/2006/relationships/table" Target="../tables/table112.xml"/><Relationship Id="rId9" Type="http://schemas.openxmlformats.org/officeDocument/2006/relationships/table" Target="../tables/table1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2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2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30.xml"/><Relationship Id="rId1" Type="http://schemas.openxmlformats.org/officeDocument/2006/relationships/table" Target="../tables/table1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7B7A-D282-4FA8-AE69-A4F29B437E85}">
  <sheetPr codeName="Sheet2"/>
  <dimension ref="B2:H94"/>
  <sheetViews>
    <sheetView showGridLines="0" topLeftCell="E22" zoomScale="85" zoomScaleNormal="85" workbookViewId="0">
      <selection activeCell="F26" sqref="F26"/>
    </sheetView>
  </sheetViews>
  <sheetFormatPr defaultColWidth="8.85546875" defaultRowHeight="15"/>
  <cols>
    <col min="1" max="2" width="8.85546875" style="89"/>
    <col min="3" max="3" width="33.28515625" style="89" customWidth="1"/>
    <col min="4" max="4" width="51.42578125" style="89" customWidth="1"/>
    <col min="5" max="5" width="67.28515625" style="89" customWidth="1"/>
    <col min="6" max="6" width="63.140625" style="89" customWidth="1"/>
    <col min="7" max="7" width="12.42578125" style="89" customWidth="1"/>
    <col min="8" max="8" width="15.42578125" style="89" customWidth="1"/>
    <col min="9" max="9" width="14.7109375" style="89" customWidth="1"/>
    <col min="10" max="16384" width="8.85546875" style="89"/>
  </cols>
  <sheetData>
    <row r="2" spans="2:6" ht="26.25">
      <c r="C2" s="90" t="str">
        <f>D7</f>
        <v>4202SPS</v>
      </c>
      <c r="D2" s="90" t="str">
        <f>D8</f>
        <v>Learning Theory and Practice 1</v>
      </c>
    </row>
    <row r="3" spans="2:6">
      <c r="B3" s="91"/>
      <c r="C3" s="91"/>
    </row>
    <row r="4" spans="2:6">
      <c r="B4" s="92"/>
      <c r="C4" s="92"/>
    </row>
    <row r="5" spans="2:6" ht="18.75">
      <c r="B5" s="92"/>
      <c r="C5" s="93" t="s">
        <v>0</v>
      </c>
    </row>
    <row r="6" spans="2:6">
      <c r="B6" s="92"/>
      <c r="C6" s="94" t="s">
        <v>1</v>
      </c>
      <c r="D6" s="95" t="s">
        <v>2</v>
      </c>
      <c r="E6" s="95"/>
      <c r="F6" s="89" t="s">
        <v>3</v>
      </c>
    </row>
    <row r="7" spans="2:6">
      <c r="B7" s="92"/>
      <c r="C7" s="96" t="s">
        <v>4</v>
      </c>
      <c r="D7" s="97" t="s">
        <v>5</v>
      </c>
      <c r="E7" s="95"/>
      <c r="F7" s="98" t="s">
        <v>6</v>
      </c>
    </row>
    <row r="8" spans="2:6">
      <c r="B8" s="92"/>
      <c r="C8" s="96" t="s">
        <v>7</v>
      </c>
      <c r="D8" s="97" t="s">
        <v>8</v>
      </c>
      <c r="E8" s="95"/>
      <c r="F8" s="98"/>
    </row>
    <row r="9" spans="2:6">
      <c r="C9" s="96" t="s">
        <v>9</v>
      </c>
      <c r="D9" s="97">
        <v>20</v>
      </c>
      <c r="E9" s="95"/>
    </row>
    <row r="10" spans="2:6">
      <c r="C10" s="96" t="s">
        <v>10</v>
      </c>
      <c r="D10" s="97">
        <v>2</v>
      </c>
      <c r="E10" s="95"/>
      <c r="F10" s="89" t="s">
        <v>11</v>
      </c>
    </row>
    <row r="11" spans="2:6" ht="15.75">
      <c r="C11" s="96" t="s">
        <v>12</v>
      </c>
      <c r="D11" s="97">
        <v>4</v>
      </c>
      <c r="E11" s="95"/>
      <c r="F11" s="99" t="s">
        <v>13</v>
      </c>
    </row>
    <row r="12" spans="2:6" ht="15.75">
      <c r="C12" s="96" t="s">
        <v>14</v>
      </c>
      <c r="D12" s="97" t="s">
        <v>15</v>
      </c>
      <c r="E12" s="95"/>
      <c r="F12" s="99" t="s">
        <v>16</v>
      </c>
    </row>
    <row r="13" spans="2:6" ht="31.5">
      <c r="C13" s="96" t="s">
        <v>17</v>
      </c>
      <c r="D13" s="97" t="s">
        <v>18</v>
      </c>
      <c r="E13" s="95"/>
      <c r="F13" s="100" t="s">
        <v>19</v>
      </c>
    </row>
    <row r="14" spans="2:6" ht="157.5">
      <c r="C14" s="96" t="s">
        <v>20</v>
      </c>
      <c r="D14" s="97" t="s">
        <v>21</v>
      </c>
      <c r="E14" s="95"/>
      <c r="F14" s="100" t="s">
        <v>22</v>
      </c>
    </row>
    <row r="15" spans="2:6">
      <c r="C15" s="96"/>
      <c r="D15" s="97"/>
      <c r="E15" s="95"/>
      <c r="F15" s="89" t="s">
        <v>23</v>
      </c>
    </row>
    <row r="16" spans="2:6" ht="15.75">
      <c r="C16" s="94"/>
      <c r="D16" s="95"/>
      <c r="E16" s="95"/>
      <c r="F16" s="101" t="s">
        <v>24</v>
      </c>
    </row>
    <row r="17" spans="3:6" ht="18.75">
      <c r="C17" s="93" t="s">
        <v>25</v>
      </c>
      <c r="D17" s="95"/>
      <c r="E17" s="95"/>
      <c r="F17" s="98"/>
    </row>
    <row r="18" spans="3:6">
      <c r="C18" s="94" t="s">
        <v>26</v>
      </c>
      <c r="D18" s="91" t="s">
        <v>25</v>
      </c>
      <c r="E18" s="95"/>
      <c r="F18" s="98"/>
    </row>
    <row r="19" spans="3:6">
      <c r="C19" s="96" t="s">
        <v>27</v>
      </c>
      <c r="D19" s="102">
        <v>10</v>
      </c>
      <c r="E19" s="95"/>
      <c r="F19" s="98"/>
    </row>
    <row r="20" spans="3:6">
      <c r="C20" s="96" t="s">
        <v>28</v>
      </c>
      <c r="D20" s="102">
        <v>10</v>
      </c>
      <c r="E20" s="95"/>
      <c r="F20" s="98"/>
    </row>
    <row r="21" spans="3:6">
      <c r="C21" s="96" t="s">
        <v>29</v>
      </c>
      <c r="D21" s="102">
        <v>20</v>
      </c>
      <c r="E21" s="95"/>
    </row>
    <row r="22" spans="3:6">
      <c r="C22" s="96" t="s">
        <v>30</v>
      </c>
      <c r="D22" s="102"/>
      <c r="E22" s="95"/>
      <c r="F22" s="89" t="s">
        <v>31</v>
      </c>
    </row>
    <row r="23" spans="3:6">
      <c r="C23" s="96" t="s">
        <v>32</v>
      </c>
      <c r="D23" s="102"/>
      <c r="E23" s="95"/>
      <c r="F23" s="98" t="s">
        <v>33</v>
      </c>
    </row>
    <row r="24" spans="3:6">
      <c r="C24" s="96" t="s">
        <v>34</v>
      </c>
      <c r="D24" s="91">
        <f>SUM(D19:D23)</f>
        <v>40</v>
      </c>
      <c r="E24" s="95"/>
      <c r="F24" s="98" t="s">
        <v>35</v>
      </c>
    </row>
    <row r="25" spans="3:6">
      <c r="F25" s="98" t="s">
        <v>36</v>
      </c>
    </row>
    <row r="26" spans="3:6">
      <c r="F26" s="98"/>
    </row>
    <row r="27" spans="3:6" ht="18.75">
      <c r="C27" s="93" t="s">
        <v>37</v>
      </c>
      <c r="D27" s="103" t="s">
        <v>38</v>
      </c>
      <c r="F27" s="98"/>
    </row>
    <row r="28" spans="3:6">
      <c r="C28" s="94" t="s">
        <v>39</v>
      </c>
      <c r="D28" s="94" t="s">
        <v>40</v>
      </c>
      <c r="E28" s="94"/>
      <c r="F28" s="98"/>
    </row>
    <row r="29" spans="3:6">
      <c r="C29" s="96" t="s">
        <v>41</v>
      </c>
      <c r="D29" s="104" t="s">
        <v>42</v>
      </c>
      <c r="E29" s="95"/>
      <c r="F29" s="98"/>
    </row>
    <row r="30" spans="3:6">
      <c r="C30" s="96" t="s">
        <v>43</v>
      </c>
      <c r="D30" s="104" t="s">
        <v>44</v>
      </c>
      <c r="E30" s="95"/>
      <c r="F30" s="98"/>
    </row>
    <row r="31" spans="3:6">
      <c r="C31" s="96" t="s">
        <v>45</v>
      </c>
      <c r="D31" s="104" t="s">
        <v>46</v>
      </c>
      <c r="E31" s="95"/>
      <c r="F31" s="98"/>
    </row>
    <row r="32" spans="3:6">
      <c r="C32" s="96" t="s">
        <v>47</v>
      </c>
      <c r="D32" s="97"/>
      <c r="E32" s="95"/>
      <c r="F32" s="98"/>
    </row>
    <row r="33" spans="3:8">
      <c r="C33" s="96" t="s">
        <v>48</v>
      </c>
      <c r="D33" s="97"/>
      <c r="E33" s="95"/>
      <c r="F33" s="98"/>
    </row>
    <row r="36" spans="3:8" ht="18.75">
      <c r="C36" s="93" t="s">
        <v>49</v>
      </c>
    </row>
    <row r="37" spans="3:8">
      <c r="C37" s="94" t="s">
        <v>50</v>
      </c>
      <c r="D37" s="94" t="s">
        <v>51</v>
      </c>
      <c r="E37" s="94" t="s">
        <v>52</v>
      </c>
      <c r="F37" s="94" t="s">
        <v>53</v>
      </c>
      <c r="G37" s="94" t="s">
        <v>54</v>
      </c>
      <c r="H37" s="94" t="s">
        <v>55</v>
      </c>
    </row>
    <row r="38" spans="3:8">
      <c r="C38" s="96" t="s">
        <v>56</v>
      </c>
      <c r="D38" s="97" t="s">
        <v>57</v>
      </c>
      <c r="E38" s="97"/>
      <c r="F38" s="97" t="s">
        <v>58</v>
      </c>
      <c r="G38" s="105">
        <v>1</v>
      </c>
      <c r="H38" s="97">
        <v>12</v>
      </c>
    </row>
    <row r="39" spans="3:8">
      <c r="C39" s="96" t="s">
        <v>59</v>
      </c>
      <c r="D39" s="97"/>
      <c r="E39" s="97"/>
      <c r="F39" s="97"/>
      <c r="G39" s="105"/>
      <c r="H39" s="97"/>
    </row>
    <row r="40" spans="3:8">
      <c r="C40" s="96" t="s">
        <v>60</v>
      </c>
      <c r="D40" s="98"/>
      <c r="E40" s="98"/>
      <c r="F40" s="98"/>
      <c r="G40" s="98"/>
      <c r="H40" s="98"/>
    </row>
    <row r="41" spans="3:8">
      <c r="C41" s="96" t="s">
        <v>61</v>
      </c>
      <c r="D41" s="98"/>
      <c r="E41" s="98"/>
      <c r="F41" s="98"/>
      <c r="G41" s="98"/>
      <c r="H41" s="98"/>
    </row>
    <row r="42" spans="3:8">
      <c r="C42" s="94"/>
    </row>
    <row r="44" spans="3:8" ht="18.75">
      <c r="C44" s="93" t="s">
        <v>62</v>
      </c>
      <c r="D44" s="103"/>
    </row>
    <row r="45" spans="3:8">
      <c r="C45" s="91" t="s">
        <v>50</v>
      </c>
      <c r="D45" s="91" t="s">
        <v>39</v>
      </c>
      <c r="E45" s="91" t="s">
        <v>63</v>
      </c>
      <c r="F45" s="91" t="s">
        <v>64</v>
      </c>
    </row>
    <row r="46" spans="3:8">
      <c r="C46" s="106" t="s">
        <v>56</v>
      </c>
      <c r="D46" s="98" t="s">
        <v>41</v>
      </c>
      <c r="E46" s="98" t="s">
        <v>65</v>
      </c>
      <c r="F46" s="98" t="s">
        <v>66</v>
      </c>
    </row>
    <row r="47" spans="3:8">
      <c r="C47" s="106" t="s">
        <v>56</v>
      </c>
      <c r="D47" s="98" t="s">
        <v>43</v>
      </c>
      <c r="E47" s="98" t="s">
        <v>65</v>
      </c>
      <c r="F47" s="98" t="s">
        <v>67</v>
      </c>
    </row>
    <row r="48" spans="3:8">
      <c r="C48" s="106" t="s">
        <v>56</v>
      </c>
      <c r="D48" s="98" t="s">
        <v>45</v>
      </c>
      <c r="E48" s="98" t="s">
        <v>65</v>
      </c>
      <c r="F48" s="98" t="s">
        <v>68</v>
      </c>
    </row>
    <row r="49" spans="3:6">
      <c r="C49" s="106" t="s">
        <v>59</v>
      </c>
      <c r="D49" s="98" t="s">
        <v>43</v>
      </c>
      <c r="E49" s="98" t="s">
        <v>69</v>
      </c>
      <c r="F49" s="98" t="s">
        <v>70</v>
      </c>
    </row>
    <row r="50" spans="3:6">
      <c r="C50" s="106" t="s">
        <v>59</v>
      </c>
      <c r="D50" s="98" t="s">
        <v>45</v>
      </c>
      <c r="E50" s="98" t="s">
        <v>71</v>
      </c>
      <c r="F50" s="98" t="s">
        <v>72</v>
      </c>
    </row>
    <row r="51" spans="3:6">
      <c r="C51" s="106" t="s">
        <v>59</v>
      </c>
      <c r="D51" s="98"/>
      <c r="E51" s="98"/>
      <c r="F51" s="98"/>
    </row>
    <row r="52" spans="3:6">
      <c r="C52" s="106" t="s">
        <v>60</v>
      </c>
      <c r="D52" s="98"/>
      <c r="E52" s="98"/>
      <c r="F52" s="98"/>
    </row>
    <row r="53" spans="3:6">
      <c r="C53" s="106" t="s">
        <v>60</v>
      </c>
      <c r="D53" s="98"/>
      <c r="E53" s="98"/>
      <c r="F53" s="98"/>
    </row>
    <row r="54" spans="3:6">
      <c r="C54" s="106" t="s">
        <v>60</v>
      </c>
      <c r="D54" s="98"/>
      <c r="E54" s="98"/>
      <c r="F54" s="98"/>
    </row>
    <row r="55" spans="3:6">
      <c r="C55" s="106" t="s">
        <v>61</v>
      </c>
      <c r="D55" s="98"/>
      <c r="E55" s="98"/>
      <c r="F55" s="98"/>
    </row>
    <row r="56" spans="3:6">
      <c r="C56" s="106" t="s">
        <v>61</v>
      </c>
      <c r="D56" s="98"/>
      <c r="E56" s="98"/>
      <c r="F56" s="98"/>
    </row>
    <row r="57" spans="3:6">
      <c r="C57" s="106"/>
      <c r="D57" s="98"/>
      <c r="E57" s="98"/>
      <c r="F57" s="98"/>
    </row>
    <row r="58" spans="3:6">
      <c r="C58" s="106"/>
      <c r="D58" s="98"/>
      <c r="E58" s="98"/>
      <c r="F58" s="98"/>
    </row>
    <row r="59" spans="3:6">
      <c r="C59" s="106"/>
      <c r="D59" s="98"/>
      <c r="E59" s="98"/>
      <c r="F59" s="98"/>
    </row>
    <row r="60" spans="3:6">
      <c r="C60" s="106"/>
      <c r="D60" s="98"/>
      <c r="E60" s="98"/>
      <c r="F60" s="98"/>
    </row>
    <row r="61" spans="3:6">
      <c r="C61" s="106"/>
      <c r="D61" s="98"/>
      <c r="E61" s="98"/>
      <c r="F61" s="98"/>
    </row>
    <row r="62" spans="3:6">
      <c r="C62" s="106"/>
      <c r="D62" s="98"/>
      <c r="E62" s="98"/>
      <c r="F62" s="98"/>
    </row>
    <row r="63" spans="3:6">
      <c r="C63" s="106"/>
      <c r="D63" s="98"/>
      <c r="E63" s="98"/>
      <c r="F63" s="98"/>
    </row>
    <row r="64" spans="3:6">
      <c r="C64" s="106"/>
      <c r="D64" s="98"/>
      <c r="E64" s="98"/>
      <c r="F64" s="98"/>
    </row>
    <row r="65" spans="2:6">
      <c r="C65" s="106"/>
      <c r="D65" s="98"/>
      <c r="E65" s="98"/>
      <c r="F65" s="98"/>
    </row>
    <row r="66" spans="2:6">
      <c r="C66" s="106"/>
      <c r="D66" s="98"/>
      <c r="E66" s="98"/>
      <c r="F66" s="98"/>
    </row>
    <row r="69" spans="2:6" ht="18.75">
      <c r="C69" s="93" t="s">
        <v>73</v>
      </c>
    </row>
    <row r="70" spans="2:6">
      <c r="B70" s="89" t="s">
        <v>74</v>
      </c>
      <c r="C70" s="91" t="s">
        <v>75</v>
      </c>
      <c r="D70" s="91" t="s">
        <v>76</v>
      </c>
      <c r="E70" s="91" t="s">
        <v>77</v>
      </c>
      <c r="F70" s="91" t="s">
        <v>78</v>
      </c>
    </row>
    <row r="71" spans="2:6">
      <c r="B71" s="107">
        <v>1</v>
      </c>
      <c r="C71" s="108">
        <v>1</v>
      </c>
      <c r="D71" s="97"/>
      <c r="E71" s="97"/>
      <c r="F71" s="97"/>
    </row>
    <row r="72" spans="2:6">
      <c r="B72" s="107">
        <v>1</v>
      </c>
      <c r="C72" s="108">
        <v>2</v>
      </c>
      <c r="D72" s="97"/>
      <c r="E72" s="97"/>
      <c r="F72" s="97"/>
    </row>
    <row r="73" spans="2:6">
      <c r="B73" s="107">
        <v>1</v>
      </c>
      <c r="C73" s="108">
        <v>3</v>
      </c>
      <c r="D73" s="97"/>
      <c r="E73" s="97"/>
      <c r="F73" s="97"/>
    </row>
    <row r="74" spans="2:6">
      <c r="B74" s="107">
        <v>1</v>
      </c>
      <c r="C74" s="108">
        <v>4</v>
      </c>
      <c r="D74" s="97"/>
      <c r="E74" s="97"/>
      <c r="F74" s="97"/>
    </row>
    <row r="75" spans="2:6">
      <c r="B75" s="107">
        <v>1</v>
      </c>
      <c r="C75" s="108">
        <v>5</v>
      </c>
      <c r="D75" s="97"/>
      <c r="E75" s="97"/>
      <c r="F75" s="97"/>
    </row>
    <row r="76" spans="2:6">
      <c r="B76" s="107">
        <v>1</v>
      </c>
      <c r="C76" s="108">
        <v>6</v>
      </c>
      <c r="D76" s="97"/>
      <c r="E76" s="97"/>
      <c r="F76" s="97"/>
    </row>
    <row r="77" spans="2:6">
      <c r="B77" s="107">
        <v>1</v>
      </c>
      <c r="C77" s="108">
        <v>7</v>
      </c>
      <c r="D77" s="97"/>
      <c r="E77" s="97"/>
      <c r="F77" s="97"/>
    </row>
    <row r="78" spans="2:6">
      <c r="B78" s="107">
        <v>1</v>
      </c>
      <c r="C78" s="108">
        <v>8</v>
      </c>
      <c r="D78" s="97"/>
      <c r="E78" s="97"/>
      <c r="F78" s="97"/>
    </row>
    <row r="79" spans="2:6">
      <c r="B79" s="107">
        <v>1</v>
      </c>
      <c r="C79" s="108">
        <v>9</v>
      </c>
      <c r="D79" s="97"/>
      <c r="E79" s="97"/>
      <c r="F79" s="97"/>
    </row>
    <row r="80" spans="2:6">
      <c r="B80" s="107">
        <v>1</v>
      </c>
      <c r="C80" s="108">
        <v>10</v>
      </c>
      <c r="D80" s="97"/>
      <c r="E80" s="97"/>
      <c r="F80" s="97"/>
    </row>
    <row r="81" spans="2:6">
      <c r="B81" s="107">
        <v>1</v>
      </c>
      <c r="C81" s="108">
        <v>11</v>
      </c>
      <c r="D81" s="97"/>
      <c r="E81" s="97"/>
      <c r="F81" s="97"/>
    </row>
    <row r="82" spans="2:6">
      <c r="B82" s="107">
        <v>1</v>
      </c>
      <c r="C82" s="108">
        <v>12</v>
      </c>
      <c r="D82" s="97"/>
      <c r="E82" s="97"/>
      <c r="F82" s="97"/>
    </row>
    <row r="83" spans="2:6">
      <c r="B83" s="107">
        <v>2</v>
      </c>
      <c r="C83" s="108">
        <v>1</v>
      </c>
      <c r="D83" s="97" t="s">
        <v>79</v>
      </c>
      <c r="E83" s="97" t="s">
        <v>80</v>
      </c>
      <c r="F83" s="97" t="s">
        <v>81</v>
      </c>
    </row>
    <row r="84" spans="2:6">
      <c r="B84" s="107">
        <v>2</v>
      </c>
      <c r="C84" s="108">
        <v>2</v>
      </c>
      <c r="D84" s="97" t="s">
        <v>82</v>
      </c>
      <c r="E84" s="97" t="s">
        <v>83</v>
      </c>
      <c r="F84" s="97" t="s">
        <v>81</v>
      </c>
    </row>
    <row r="85" spans="2:6">
      <c r="B85" s="107">
        <v>2</v>
      </c>
      <c r="C85" s="108">
        <v>3</v>
      </c>
      <c r="D85" s="97" t="s">
        <v>84</v>
      </c>
      <c r="E85" s="97" t="s">
        <v>85</v>
      </c>
      <c r="F85" s="97" t="s">
        <v>81</v>
      </c>
    </row>
    <row r="86" spans="2:6">
      <c r="B86" s="107">
        <v>2</v>
      </c>
      <c r="C86" s="108">
        <v>4</v>
      </c>
      <c r="D86" s="97" t="s">
        <v>86</v>
      </c>
      <c r="E86" s="97" t="s">
        <v>87</v>
      </c>
      <c r="F86" s="97" t="s">
        <v>81</v>
      </c>
    </row>
    <row r="87" spans="2:6">
      <c r="B87" s="107">
        <v>2</v>
      </c>
      <c r="C87" s="108">
        <v>5</v>
      </c>
      <c r="D87" s="97" t="s">
        <v>88</v>
      </c>
      <c r="E87" s="97" t="s">
        <v>89</v>
      </c>
      <c r="F87" s="97" t="s">
        <v>81</v>
      </c>
    </row>
    <row r="88" spans="2:6">
      <c r="B88" s="107">
        <v>2</v>
      </c>
      <c r="C88" s="108">
        <v>6</v>
      </c>
      <c r="D88" s="97" t="s">
        <v>90</v>
      </c>
      <c r="E88" s="97" t="s">
        <v>91</v>
      </c>
      <c r="F88" s="97" t="s">
        <v>81</v>
      </c>
    </row>
    <row r="89" spans="2:6">
      <c r="B89" s="107">
        <v>2</v>
      </c>
      <c r="C89" s="108">
        <v>7</v>
      </c>
      <c r="D89" s="97" t="s">
        <v>92</v>
      </c>
      <c r="E89" s="97"/>
      <c r="F89" s="97"/>
    </row>
    <row r="90" spans="2:6">
      <c r="B90" s="107">
        <v>2</v>
      </c>
      <c r="C90" s="108">
        <v>8</v>
      </c>
      <c r="D90" s="97" t="s">
        <v>93</v>
      </c>
      <c r="E90" s="97" t="s">
        <v>91</v>
      </c>
      <c r="F90" s="97" t="s">
        <v>81</v>
      </c>
    </row>
    <row r="91" spans="2:6">
      <c r="B91" s="107">
        <v>2</v>
      </c>
      <c r="C91" s="108">
        <v>9</v>
      </c>
      <c r="D91" s="97" t="s">
        <v>94</v>
      </c>
      <c r="E91" s="97" t="s">
        <v>95</v>
      </c>
      <c r="F91" s="97" t="s">
        <v>81</v>
      </c>
    </row>
    <row r="92" spans="2:6">
      <c r="B92" s="107">
        <v>2</v>
      </c>
      <c r="C92" s="108">
        <v>10</v>
      </c>
      <c r="D92" s="97" t="s">
        <v>96</v>
      </c>
      <c r="E92" s="97" t="s">
        <v>97</v>
      </c>
      <c r="F92" s="97" t="s">
        <v>81</v>
      </c>
    </row>
    <row r="93" spans="2:6">
      <c r="B93" s="107">
        <v>2</v>
      </c>
      <c r="C93" s="108">
        <v>11</v>
      </c>
      <c r="D93" s="97" t="s">
        <v>98</v>
      </c>
      <c r="E93" s="97" t="s">
        <v>99</v>
      </c>
      <c r="F93" s="97" t="s">
        <v>81</v>
      </c>
    </row>
    <row r="94" spans="2:6">
      <c r="B94" s="107">
        <v>2</v>
      </c>
      <c r="C94" s="108">
        <v>12</v>
      </c>
      <c r="D94" s="97" t="s">
        <v>100</v>
      </c>
      <c r="E94" s="97" t="s">
        <v>100</v>
      </c>
      <c r="F94" s="97" t="s">
        <v>100</v>
      </c>
    </row>
  </sheetData>
  <sheetProtection sheet="1" objects="1" scenarios="1" formatCells="0" formatColumns="0" formatRows="0" insertHyperlinks="0"/>
  <dataValidations count="4">
    <dataValidation type="list" allowBlank="1" showInputMessage="1" showErrorMessage="1" sqref="F46:F66" xr:uid="{199417CD-50E7-40D5-ADCF-61994B27264E}">
      <formula1>INDIRECT(VLOOKUP($E46, SkillNameMap, 2, FALSE))</formula1>
    </dataValidation>
    <dataValidation type="list" allowBlank="1" showInputMessage="1" showErrorMessage="1" sqref="E38:E41" xr:uid="{9A8779B4-6AB6-45B5-A32C-6D89EAF36C8E}">
      <formula1>INDIRECT("LISTAssess[Assessment Specific]")</formula1>
    </dataValidation>
    <dataValidation type="whole" showInputMessage="1" showErrorMessage="1" error="This is not a realistic number of contact hours please change" sqref="D19" xr:uid="{DA3D6AB5-532B-4E6E-B5DD-7DD3330DB48F}">
      <formula1>0</formula1>
      <formula2>80</formula2>
    </dataValidation>
    <dataValidation type="whole" showInputMessage="1" showErrorMessage="1" error="This is not a realistic number of contact hours please reduce" sqref="D20:D23" xr:uid="{3732E239-C09D-43A7-9D17-84966769CD9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5C65280C-5249-4CA6-9640-3CC5D292F59A}">
          <x14:formula1>
            <xm:f>LISTS!$J$7:$J$16</xm:f>
          </x14:formula1>
          <xm:sqref>E46:E66</xm:sqref>
        </x14:dataValidation>
        <x14:dataValidation type="list" allowBlank="1" showInputMessage="1" showErrorMessage="1" xr:uid="{009B3F76-CBC5-41A8-84DE-D4AD00A25980}">
          <x14:formula1>
            <xm:f>LISTS!$E$7:$E$11</xm:f>
          </x14:formula1>
          <xm:sqref>D46:D66</xm:sqref>
        </x14:dataValidation>
        <x14:dataValidation type="list" allowBlank="1" showInputMessage="1" showErrorMessage="1" xr:uid="{E4C466FC-4B20-43FE-83BB-6DB372D1E2AF}">
          <x14:formula1>
            <xm:f>LISTS!$G$7:$G$11</xm:f>
          </x14:formula1>
          <xm:sqref>D38:D42</xm:sqref>
        </x14:dataValidation>
        <x14:dataValidation type="list" allowBlank="1" showInputMessage="1" showErrorMessage="1" xr:uid="{FDF99DCE-273A-4E69-9925-00724A3BE75B}">
          <x14:formula1>
            <xm:f>LISTS!$C$11:$C$15</xm:f>
          </x14:formula1>
          <xm:sqref>D11</xm:sqref>
        </x14:dataValidation>
        <x14:dataValidation type="list" allowBlank="1" showInputMessage="1" showErrorMessage="1" xr:uid="{B71F4674-23DF-4DB6-881E-607B855CE61E}">
          <x14:formula1>
            <xm:f>LISTS!$C$7:$C$9</xm:f>
          </x14:formula1>
          <xm:sqref>D10</xm:sqref>
        </x14:dataValidation>
        <x14:dataValidation type="list" allowBlank="1" showInputMessage="1" showErrorMessage="1" xr:uid="{13441B70-6771-46A0-B42D-7619C487A66C}">
          <x14:formula1>
            <xm:f>LISTS!$C$17:$C$22</xm:f>
          </x14:formula1>
          <xm:sqref>D13</xm:sqref>
        </x14:dataValidation>
        <x14:dataValidation type="list" allowBlank="1" showInputMessage="1" showErrorMessage="1" xr:uid="{27FAA946-26BF-4A0D-A78A-94B40A846A90}">
          <x14:formula1>
            <xm:f>LISTS!$C$26:$C$37</xm:f>
          </x14:formula1>
          <xm:sqref>D14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3"/>
  <dimension ref="B2:H94"/>
  <sheetViews>
    <sheetView showGridLines="0" topLeftCell="D20" zoomScale="85" zoomScaleNormal="85" workbookViewId="0">
      <selection activeCell="E25" sqref="E25"/>
    </sheetView>
  </sheetViews>
  <sheetFormatPr defaultColWidth="8.85546875" defaultRowHeight="15"/>
  <cols>
    <col min="3" max="3" width="33.28515625" customWidth="1"/>
    <col min="4" max="4" width="51.42578125" style="31" customWidth="1"/>
    <col min="5" max="5" width="67.28515625" customWidth="1"/>
    <col min="6" max="6" width="63.140625" style="31" customWidth="1"/>
    <col min="7" max="7" width="12.42578125" customWidth="1"/>
    <col min="8" max="8" width="15.42578125" customWidth="1"/>
    <col min="9" max="9" width="14.7109375" customWidth="1"/>
  </cols>
  <sheetData>
    <row r="2" spans="2:6" ht="52.5">
      <c r="C2" s="14" t="str">
        <f>D7</f>
        <v>4401SPS</v>
      </c>
      <c r="D2" s="30" t="str">
        <f>D8</f>
        <v xml:space="preserve">Professional Practice in Sport Coaching 1 </v>
      </c>
    </row>
    <row r="3" spans="2:6">
      <c r="B3" s="15"/>
      <c r="C3" s="15"/>
    </row>
    <row r="4" spans="2:6">
      <c r="B4" s="16"/>
      <c r="C4" s="16"/>
    </row>
    <row r="5" spans="2:6" ht="18.75">
      <c r="B5" s="16"/>
      <c r="C5" s="17" t="s">
        <v>0</v>
      </c>
    </row>
    <row r="6" spans="2:6">
      <c r="B6" s="16"/>
      <c r="C6" s="18" t="s">
        <v>1</v>
      </c>
      <c r="D6" s="19" t="s">
        <v>2</v>
      </c>
      <c r="E6" s="19"/>
      <c r="F6" s="31" t="s">
        <v>3</v>
      </c>
    </row>
    <row r="7" spans="2:6" ht="41.25">
      <c r="B7" s="16"/>
      <c r="C7" s="24" t="s">
        <v>4</v>
      </c>
      <c r="D7" s="1" t="s">
        <v>101</v>
      </c>
      <c r="E7" s="19"/>
      <c r="F7" s="33" t="s">
        <v>102</v>
      </c>
    </row>
    <row r="8" spans="2:6" ht="27.75">
      <c r="B8" s="16"/>
      <c r="C8" s="24" t="s">
        <v>7</v>
      </c>
      <c r="D8" s="8" t="s">
        <v>103</v>
      </c>
      <c r="E8" s="19"/>
      <c r="F8" s="33" t="s">
        <v>104</v>
      </c>
    </row>
    <row r="9" spans="2:6">
      <c r="C9" s="24" t="s">
        <v>9</v>
      </c>
      <c r="D9" s="1">
        <v>20</v>
      </c>
      <c r="E9" s="19"/>
      <c r="F9" s="88" t="s">
        <v>105</v>
      </c>
    </row>
    <row r="10" spans="2:6">
      <c r="C10" s="24" t="s">
        <v>10</v>
      </c>
      <c r="D10" s="1">
        <v>1</v>
      </c>
      <c r="E10" s="19"/>
      <c r="F10" s="88" t="s">
        <v>106</v>
      </c>
    </row>
    <row r="11" spans="2:6">
      <c r="C11" s="24" t="s">
        <v>12</v>
      </c>
      <c r="D11" s="1">
        <v>4</v>
      </c>
      <c r="E11" s="19"/>
      <c r="F11" s="33" t="s">
        <v>107</v>
      </c>
    </row>
    <row r="12" spans="2:6">
      <c r="C12" s="24" t="s">
        <v>14</v>
      </c>
      <c r="D12" s="1" t="s">
        <v>108</v>
      </c>
      <c r="E12" s="19"/>
      <c r="F12" s="33" t="s">
        <v>109</v>
      </c>
    </row>
    <row r="13" spans="2:6" ht="27.75">
      <c r="C13" s="24" t="s">
        <v>17</v>
      </c>
      <c r="D13" s="1" t="s">
        <v>110</v>
      </c>
      <c r="E13" s="19"/>
      <c r="F13" s="33" t="s">
        <v>111</v>
      </c>
    </row>
    <row r="14" spans="2:6">
      <c r="C14" s="24" t="s">
        <v>20</v>
      </c>
      <c r="D14" s="1" t="s">
        <v>112</v>
      </c>
      <c r="E14" s="19"/>
    </row>
    <row r="15" spans="2:6">
      <c r="C15" s="18"/>
      <c r="D15" s="19"/>
      <c r="E15" s="19"/>
      <c r="F15" s="31" t="s">
        <v>23</v>
      </c>
    </row>
    <row r="16" spans="2:6" ht="41.25">
      <c r="C16" s="18"/>
      <c r="D16" s="19"/>
      <c r="E16" s="19"/>
      <c r="F16" s="33" t="s">
        <v>113</v>
      </c>
    </row>
    <row r="17" spans="3:6" ht="27.75">
      <c r="C17" s="17" t="s">
        <v>25</v>
      </c>
      <c r="D17" s="19"/>
      <c r="E17" s="19"/>
      <c r="F17" s="33" t="s">
        <v>114</v>
      </c>
    </row>
    <row r="18" spans="3:6">
      <c r="C18" s="18" t="s">
        <v>26</v>
      </c>
      <c r="D18" s="15" t="s">
        <v>25</v>
      </c>
      <c r="E18" s="19"/>
      <c r="F18" s="6" t="s">
        <v>115</v>
      </c>
    </row>
    <row r="19" spans="3:6" ht="75">
      <c r="C19" s="24" t="s">
        <v>27</v>
      </c>
      <c r="D19" s="2">
        <v>4</v>
      </c>
      <c r="E19" s="19"/>
      <c r="F19" s="6" t="s">
        <v>116</v>
      </c>
    </row>
    <row r="20" spans="3:6">
      <c r="C20" s="24" t="s">
        <v>28</v>
      </c>
      <c r="D20" s="2"/>
      <c r="E20" s="19"/>
      <c r="F20" s="6"/>
    </row>
    <row r="21" spans="3:6">
      <c r="C21" s="24" t="s">
        <v>29</v>
      </c>
      <c r="D21" s="2">
        <v>28</v>
      </c>
      <c r="E21" s="19"/>
    </row>
    <row r="22" spans="3:6">
      <c r="C22" s="24" t="s">
        <v>30</v>
      </c>
      <c r="D22" s="2">
        <v>16</v>
      </c>
      <c r="E22" s="19"/>
      <c r="F22" s="31" t="s">
        <v>31</v>
      </c>
    </row>
    <row r="23" spans="3:6" ht="45">
      <c r="C23" s="24" t="s">
        <v>32</v>
      </c>
      <c r="D23" s="2"/>
      <c r="E23" s="19"/>
      <c r="F23" s="6" t="s">
        <v>117</v>
      </c>
    </row>
    <row r="24" spans="3:6" ht="75">
      <c r="C24" s="24" t="s">
        <v>34</v>
      </c>
      <c r="D24" s="15">
        <f>SUM(D19:D23)</f>
        <v>48</v>
      </c>
      <c r="E24" s="19"/>
      <c r="F24" s="6" t="s">
        <v>118</v>
      </c>
    </row>
    <row r="25" spans="3:6" ht="45">
      <c r="F25" s="6" t="s">
        <v>119</v>
      </c>
    </row>
    <row r="26" spans="3:6" ht="30">
      <c r="F26" s="6" t="s">
        <v>120</v>
      </c>
    </row>
    <row r="27" spans="3:6" ht="31.5">
      <c r="C27" s="17" t="s">
        <v>37</v>
      </c>
      <c r="D27" s="32" t="s">
        <v>38</v>
      </c>
      <c r="F27" s="6"/>
    </row>
    <row r="28" spans="3:6">
      <c r="C28" s="18" t="s">
        <v>39</v>
      </c>
      <c r="D28" s="18" t="s">
        <v>40</v>
      </c>
      <c r="E28" s="18"/>
      <c r="F28" s="6"/>
    </row>
    <row r="29" spans="3:6">
      <c r="C29" s="24" t="s">
        <v>41</v>
      </c>
      <c r="D29" s="33" t="s">
        <v>121</v>
      </c>
      <c r="E29" s="19"/>
      <c r="F29" s="6"/>
    </row>
    <row r="30" spans="3:6">
      <c r="C30" s="24" t="s">
        <v>43</v>
      </c>
      <c r="D30" s="33" t="s">
        <v>122</v>
      </c>
      <c r="E30" s="19"/>
      <c r="F30" s="6"/>
    </row>
    <row r="31" spans="3:6">
      <c r="C31" s="24" t="s">
        <v>45</v>
      </c>
      <c r="D31" s="34" t="s">
        <v>123</v>
      </c>
      <c r="E31" s="19"/>
      <c r="F31" s="6"/>
    </row>
    <row r="32" spans="3:6">
      <c r="C32" s="24" t="s">
        <v>47</v>
      </c>
      <c r="D32" s="1"/>
      <c r="E32" s="19"/>
      <c r="F32" s="6"/>
    </row>
    <row r="33" spans="3:8">
      <c r="C33" s="24" t="s">
        <v>48</v>
      </c>
      <c r="D33" s="1"/>
      <c r="E33" s="19"/>
      <c r="F33" s="6"/>
    </row>
    <row r="36" spans="3:8" ht="18.75">
      <c r="C36" s="17" t="s">
        <v>49</v>
      </c>
    </row>
    <row r="37" spans="3:8">
      <c r="C37" s="18" t="s">
        <v>50</v>
      </c>
      <c r="D37" s="18" t="s">
        <v>51</v>
      </c>
      <c r="E37" s="18" t="s">
        <v>52</v>
      </c>
      <c r="F37" s="18" t="s">
        <v>53</v>
      </c>
      <c r="G37" s="18" t="s">
        <v>54</v>
      </c>
      <c r="H37" s="18" t="s">
        <v>55</v>
      </c>
    </row>
    <row r="38" spans="3:8" ht="45">
      <c r="C38" s="24" t="s">
        <v>56</v>
      </c>
      <c r="D38" s="1" t="s">
        <v>29</v>
      </c>
      <c r="E38" s="1"/>
      <c r="F38" s="1" t="s">
        <v>124</v>
      </c>
      <c r="G38" s="3">
        <v>0.5</v>
      </c>
      <c r="H38" s="1">
        <v>18</v>
      </c>
    </row>
    <row r="39" spans="3:8" ht="75">
      <c r="C39" s="24" t="s">
        <v>59</v>
      </c>
      <c r="D39" s="1" t="s">
        <v>57</v>
      </c>
      <c r="E39" s="1"/>
      <c r="F39" s="1" t="s">
        <v>125</v>
      </c>
      <c r="G39" s="3">
        <v>0.5</v>
      </c>
      <c r="H39" s="1">
        <v>12</v>
      </c>
    </row>
    <row r="40" spans="3:8">
      <c r="C40" s="24" t="s">
        <v>60</v>
      </c>
      <c r="D40" s="6"/>
      <c r="E40" s="4"/>
      <c r="F40" s="6"/>
      <c r="G40" s="4"/>
      <c r="H40" s="4"/>
    </row>
    <row r="41" spans="3:8">
      <c r="C41" s="24" t="s">
        <v>61</v>
      </c>
      <c r="D41" s="6"/>
      <c r="E41" s="4"/>
      <c r="F41" s="6"/>
      <c r="G41" s="4"/>
      <c r="H41" s="4"/>
    </row>
    <row r="42" spans="3:8">
      <c r="C42" s="18"/>
    </row>
    <row r="44" spans="3:8" ht="18.75">
      <c r="C44" s="17" t="s">
        <v>62</v>
      </c>
      <c r="D44" s="32"/>
    </row>
    <row r="45" spans="3:8">
      <c r="C45" s="15" t="s">
        <v>50</v>
      </c>
      <c r="D45" s="15" t="s">
        <v>39</v>
      </c>
      <c r="E45" s="15" t="s">
        <v>63</v>
      </c>
      <c r="F45" s="15" t="s">
        <v>64</v>
      </c>
    </row>
    <row r="46" spans="3:8">
      <c r="C46" s="5" t="s">
        <v>56</v>
      </c>
      <c r="D46" s="6" t="s">
        <v>41</v>
      </c>
      <c r="E46" s="4" t="s">
        <v>126</v>
      </c>
      <c r="F46" s="6" t="s">
        <v>127</v>
      </c>
    </row>
    <row r="47" spans="3:8">
      <c r="C47" s="5" t="s">
        <v>56</v>
      </c>
      <c r="D47" s="6" t="s">
        <v>43</v>
      </c>
      <c r="E47" s="4" t="s">
        <v>128</v>
      </c>
      <c r="F47" s="6" t="s">
        <v>129</v>
      </c>
    </row>
    <row r="48" spans="3:8">
      <c r="C48" s="5" t="s">
        <v>56</v>
      </c>
      <c r="D48" s="6" t="s">
        <v>45</v>
      </c>
      <c r="E48" s="4" t="s">
        <v>126</v>
      </c>
      <c r="F48" s="6" t="s">
        <v>130</v>
      </c>
    </row>
    <row r="49" spans="3:6">
      <c r="C49" s="5" t="s">
        <v>59</v>
      </c>
      <c r="D49" s="6" t="s">
        <v>41</v>
      </c>
      <c r="E49" s="4" t="s">
        <v>126</v>
      </c>
      <c r="F49" s="6" t="s">
        <v>131</v>
      </c>
    </row>
    <row r="50" spans="3:6">
      <c r="C50" s="5" t="s">
        <v>59</v>
      </c>
      <c r="D50" s="6" t="s">
        <v>45</v>
      </c>
      <c r="E50" s="4" t="s">
        <v>65</v>
      </c>
      <c r="F50" s="6" t="s">
        <v>66</v>
      </c>
    </row>
    <row r="51" spans="3:6">
      <c r="C51" s="5" t="s">
        <v>56</v>
      </c>
      <c r="D51" s="6" t="s">
        <v>41</v>
      </c>
      <c r="E51" s="4" t="s">
        <v>132</v>
      </c>
      <c r="F51" s="6" t="s">
        <v>133</v>
      </c>
    </row>
    <row r="52" spans="3:6">
      <c r="C52" s="5" t="s">
        <v>56</v>
      </c>
      <c r="D52" s="6" t="s">
        <v>43</v>
      </c>
      <c r="E52" s="4" t="s">
        <v>134</v>
      </c>
      <c r="F52" s="6" t="s">
        <v>135</v>
      </c>
    </row>
    <row r="53" spans="3:6">
      <c r="C53" s="5" t="s">
        <v>56</v>
      </c>
      <c r="D53" s="6" t="s">
        <v>45</v>
      </c>
      <c r="E53" s="4" t="s">
        <v>132</v>
      </c>
      <c r="F53" s="6" t="s">
        <v>136</v>
      </c>
    </row>
    <row r="54" spans="3:6">
      <c r="C54" s="5" t="s">
        <v>59</v>
      </c>
      <c r="D54" s="6" t="s">
        <v>41</v>
      </c>
      <c r="E54" s="4" t="s">
        <v>137</v>
      </c>
      <c r="F54" s="6" t="s">
        <v>138</v>
      </c>
    </row>
    <row r="55" spans="3:6">
      <c r="C55" s="5" t="s">
        <v>59</v>
      </c>
      <c r="D55" s="6" t="s">
        <v>45</v>
      </c>
      <c r="E55" s="4" t="s">
        <v>65</v>
      </c>
      <c r="F55" s="6" t="s">
        <v>67</v>
      </c>
    </row>
    <row r="56" spans="3:6">
      <c r="C56" s="5" t="s">
        <v>61</v>
      </c>
      <c r="D56" s="6"/>
      <c r="E56" s="4"/>
      <c r="F56" s="6"/>
    </row>
    <row r="57" spans="3:6">
      <c r="C57" s="5"/>
      <c r="D57" s="6"/>
      <c r="E57" s="4"/>
      <c r="F57" s="6"/>
    </row>
    <row r="58" spans="3:6">
      <c r="C58" s="5"/>
      <c r="D58" s="6"/>
      <c r="E58" s="4"/>
      <c r="F58" s="6"/>
    </row>
    <row r="59" spans="3:6">
      <c r="C59" s="5"/>
      <c r="D59" s="6"/>
      <c r="E59" s="4"/>
      <c r="F59" s="6"/>
    </row>
    <row r="60" spans="3:6">
      <c r="C60" s="5"/>
      <c r="D60" s="6"/>
      <c r="E60" s="4"/>
      <c r="F60" s="6"/>
    </row>
    <row r="61" spans="3:6">
      <c r="C61" s="5"/>
      <c r="D61" s="6"/>
      <c r="E61" s="4"/>
      <c r="F61" s="6"/>
    </row>
    <row r="62" spans="3:6">
      <c r="C62" s="5"/>
      <c r="D62" s="6"/>
      <c r="E62" s="4"/>
      <c r="F62" s="6"/>
    </row>
    <row r="63" spans="3:6">
      <c r="C63" s="5"/>
      <c r="D63" s="6"/>
      <c r="E63" s="4"/>
      <c r="F63" s="6"/>
    </row>
    <row r="64" spans="3:6">
      <c r="C64" s="5"/>
      <c r="D64" s="6"/>
      <c r="E64" s="4"/>
      <c r="F64" s="6"/>
    </row>
    <row r="65" spans="2:6">
      <c r="C65" s="5"/>
      <c r="D65" s="6"/>
      <c r="E65" s="4"/>
      <c r="F65" s="6"/>
    </row>
    <row r="66" spans="2:6">
      <c r="C66" s="5"/>
      <c r="D66" s="6"/>
      <c r="E66" s="4"/>
      <c r="F66" s="6"/>
    </row>
    <row r="69" spans="2:6" ht="18.75">
      <c r="C69" s="17" t="s">
        <v>73</v>
      </c>
    </row>
    <row r="70" spans="2:6">
      <c r="B70" t="s">
        <v>74</v>
      </c>
      <c r="C70" s="15" t="s">
        <v>75</v>
      </c>
      <c r="D70" s="15" t="s">
        <v>76</v>
      </c>
      <c r="E70" s="15" t="s">
        <v>77</v>
      </c>
      <c r="F70" s="15" t="s">
        <v>78</v>
      </c>
    </row>
    <row r="71" spans="2:6" ht="15.75">
      <c r="B71" s="26">
        <v>1</v>
      </c>
      <c r="C71" s="27">
        <v>1</v>
      </c>
      <c r="D71" s="35" t="s">
        <v>139</v>
      </c>
      <c r="E71" s="1" t="s">
        <v>140</v>
      </c>
      <c r="F71" s="1" t="s">
        <v>141</v>
      </c>
    </row>
    <row r="72" spans="2:6" ht="15.75">
      <c r="B72" s="26">
        <v>1</v>
      </c>
      <c r="C72" s="27">
        <v>2</v>
      </c>
      <c r="D72" s="35" t="s">
        <v>142</v>
      </c>
      <c r="E72" s="1" t="s">
        <v>143</v>
      </c>
      <c r="F72" s="1"/>
    </row>
    <row r="73" spans="2:6" ht="30.75">
      <c r="B73" s="26">
        <v>1</v>
      </c>
      <c r="C73" s="27">
        <v>3</v>
      </c>
      <c r="D73" s="35" t="s">
        <v>144</v>
      </c>
      <c r="E73" s="1" t="s">
        <v>143</v>
      </c>
      <c r="F73" s="1"/>
    </row>
    <row r="74" spans="2:6" ht="30.75">
      <c r="B74" s="26">
        <v>1</v>
      </c>
      <c r="C74" s="27">
        <v>4</v>
      </c>
      <c r="D74" s="35" t="s">
        <v>145</v>
      </c>
      <c r="E74" s="1" t="s">
        <v>146</v>
      </c>
      <c r="F74" s="1"/>
    </row>
    <row r="75" spans="2:6" ht="15.75">
      <c r="B75" s="26">
        <v>1</v>
      </c>
      <c r="C75" s="27">
        <v>5</v>
      </c>
      <c r="D75" s="35" t="s">
        <v>147</v>
      </c>
      <c r="E75" s="1" t="s">
        <v>148</v>
      </c>
      <c r="F75" s="1"/>
    </row>
    <row r="76" spans="2:6" ht="15.75">
      <c r="B76" s="26">
        <v>1</v>
      </c>
      <c r="C76" s="27">
        <v>6</v>
      </c>
      <c r="D76" s="36" t="s">
        <v>149</v>
      </c>
      <c r="E76" s="1" t="s">
        <v>148</v>
      </c>
      <c r="F76" s="1"/>
    </row>
    <row r="77" spans="2:6">
      <c r="B77" s="26">
        <v>1</v>
      </c>
      <c r="C77" s="27">
        <v>7</v>
      </c>
      <c r="D77" s="1"/>
      <c r="E77" s="1"/>
      <c r="F77" s="1"/>
    </row>
    <row r="78" spans="2:6" ht="15.75">
      <c r="B78" s="26">
        <v>1</v>
      </c>
      <c r="C78" s="27">
        <v>8</v>
      </c>
      <c r="D78" s="35" t="s">
        <v>150</v>
      </c>
      <c r="E78" s="1" t="s">
        <v>151</v>
      </c>
      <c r="F78" s="1"/>
    </row>
    <row r="79" spans="2:6" ht="30.75">
      <c r="B79" s="26">
        <v>1</v>
      </c>
      <c r="C79" s="27">
        <v>9</v>
      </c>
      <c r="D79" s="35" t="s">
        <v>152</v>
      </c>
      <c r="E79" s="1" t="s">
        <v>153</v>
      </c>
      <c r="F79" s="1"/>
    </row>
    <row r="80" spans="2:6" ht="30.75">
      <c r="B80" s="26">
        <v>1</v>
      </c>
      <c r="C80" s="27">
        <v>10</v>
      </c>
      <c r="D80" s="35" t="s">
        <v>154</v>
      </c>
      <c r="E80" s="1" t="s">
        <v>155</v>
      </c>
      <c r="F80" s="1"/>
    </row>
    <row r="81" spans="2:6" ht="30.75">
      <c r="B81" s="26">
        <v>1</v>
      </c>
      <c r="C81" s="27">
        <v>11</v>
      </c>
      <c r="D81" s="35" t="s">
        <v>156</v>
      </c>
      <c r="E81" s="1" t="s">
        <v>155</v>
      </c>
      <c r="F81" s="1"/>
    </row>
    <row r="82" spans="2:6" ht="30.75">
      <c r="B82" s="26">
        <v>1</v>
      </c>
      <c r="C82" s="27">
        <v>12</v>
      </c>
      <c r="D82" s="35" t="s">
        <v>156</v>
      </c>
      <c r="E82" s="1" t="s">
        <v>155</v>
      </c>
      <c r="F82" s="1"/>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6524273-2360-4C43-9154-4A480587EC5E}">
      <formula1>0</formula1>
      <formula2>80</formula2>
    </dataValidation>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38:E41" xr:uid="{B9D0113D-C789-41AE-B9C8-690F6C7A67B0}">
      <formula1>INDIRECT("LISTAssess[Assessment Specific]")</formula1>
    </dataValidation>
    <dataValidation type="list" allowBlank="1" showInputMessage="1" showErrorMessage="1" sqref="F46:F66" xr:uid="{3D662EF6-94E1-4350-B3D5-9F339CA0FD80}">
      <formula1>INDIRECT(VLOOKUP($E46,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LISTS!$G$7:$G$11</xm:f>
          </x14:formula1>
          <xm:sqref>D38:D42</xm:sqref>
        </x14:dataValidation>
        <x14:dataValidation type="list" allowBlank="1" showInputMessage="1" showErrorMessage="1" xr:uid="{DD24076C-D431-4B83-8FB6-3800945C7C90}">
          <x14:formula1>
            <xm:f>LISTS!$E$7:$E$11</xm:f>
          </x14:formula1>
          <xm:sqref>D46:D66</xm:sqref>
        </x14:dataValidation>
        <x14:dataValidation type="list" allowBlank="1" showInputMessage="1" showErrorMessage="1" xr:uid="{C1ACB768-367A-4765-AEE3-B6D50718CC09}">
          <x14:formula1>
            <xm:f>LISTS!$J$7:$J$16</xm:f>
          </x14:formula1>
          <xm:sqref>E46:E66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4"/>
  <dimension ref="B2:H94"/>
  <sheetViews>
    <sheetView showGridLines="0" topLeftCell="C44" zoomScale="85" zoomScaleNormal="85" workbookViewId="0">
      <selection activeCell="F53" sqref="F53"/>
    </sheetView>
  </sheetViews>
  <sheetFormatPr defaultColWidth="8.85546875" defaultRowHeight="15"/>
  <cols>
    <col min="3" max="3" width="33.28515625" customWidth="1"/>
    <col min="4" max="4" width="51.42578125" customWidth="1"/>
    <col min="5" max="5" width="67.28515625" customWidth="1"/>
    <col min="6" max="6" width="63.140625" style="31" customWidth="1"/>
    <col min="7" max="7" width="12.42578125" customWidth="1"/>
    <col min="8" max="8" width="15.42578125" customWidth="1"/>
    <col min="9" max="9" width="14.7109375" customWidth="1"/>
  </cols>
  <sheetData>
    <row r="2" spans="2:6" ht="26.25">
      <c r="C2" s="14" t="str">
        <f>D7</f>
        <v>5401SPS</v>
      </c>
      <c r="D2" s="14" t="str">
        <f>D8</f>
        <v>Professional Practice in Sport Coaching 2</v>
      </c>
    </row>
    <row r="3" spans="2:6">
      <c r="B3" s="15"/>
      <c r="C3" s="15"/>
    </row>
    <row r="4" spans="2:6">
      <c r="B4" s="16"/>
      <c r="C4" s="16"/>
    </row>
    <row r="5" spans="2:6" ht="18.75">
      <c r="B5" s="16"/>
      <c r="C5" s="17" t="s">
        <v>0</v>
      </c>
    </row>
    <row r="6" spans="2:6">
      <c r="B6" s="16"/>
      <c r="C6" s="18" t="s">
        <v>1</v>
      </c>
      <c r="D6" s="19" t="s">
        <v>2</v>
      </c>
      <c r="E6" s="19"/>
      <c r="F6" s="31" t="s">
        <v>3</v>
      </c>
    </row>
    <row r="7" spans="2:6" ht="45.75">
      <c r="B7" s="16"/>
      <c r="C7" s="24" t="s">
        <v>4</v>
      </c>
      <c r="D7" s="1" t="s">
        <v>157</v>
      </c>
      <c r="E7" s="19"/>
      <c r="F7" s="9" t="s">
        <v>158</v>
      </c>
    </row>
    <row r="8" spans="2:6" ht="30.75">
      <c r="B8" s="16"/>
      <c r="C8" s="24" t="s">
        <v>7</v>
      </c>
      <c r="D8" s="1" t="s">
        <v>159</v>
      </c>
      <c r="E8" s="19"/>
      <c r="F8" s="9" t="s">
        <v>160</v>
      </c>
    </row>
    <row r="9" spans="2:6" ht="60.75">
      <c r="C9" s="24" t="s">
        <v>9</v>
      </c>
      <c r="D9" s="1">
        <v>20</v>
      </c>
      <c r="E9" s="19"/>
      <c r="F9" s="9" t="s">
        <v>161</v>
      </c>
    </row>
    <row r="10" spans="2:6">
      <c r="C10" s="24" t="s">
        <v>10</v>
      </c>
      <c r="D10" s="1">
        <v>1</v>
      </c>
      <c r="E10" s="19"/>
      <c r="F10" s="31" t="s">
        <v>11</v>
      </c>
    </row>
    <row r="11" spans="2:6" ht="30.75">
      <c r="C11" s="24" t="s">
        <v>12</v>
      </c>
      <c r="D11" s="1">
        <v>5</v>
      </c>
      <c r="E11" s="19"/>
      <c r="F11" s="7" t="s">
        <v>162</v>
      </c>
    </row>
    <row r="12" spans="2:6" ht="15.75">
      <c r="C12" s="24" t="s">
        <v>14</v>
      </c>
      <c r="D12" s="1" t="s">
        <v>108</v>
      </c>
      <c r="E12" s="19"/>
      <c r="F12" s="41" t="s">
        <v>163</v>
      </c>
    </row>
    <row r="13" spans="2:6" ht="15.75">
      <c r="C13" s="24" t="s">
        <v>17</v>
      </c>
      <c r="D13" s="1" t="s">
        <v>110</v>
      </c>
      <c r="E13" s="19"/>
      <c r="F13" s="7" t="s">
        <v>164</v>
      </c>
    </row>
    <row r="14" spans="2:6" ht="15.75">
      <c r="C14" s="24" t="s">
        <v>20</v>
      </c>
      <c r="D14" s="1" t="s">
        <v>112</v>
      </c>
      <c r="E14" s="19"/>
      <c r="F14" s="7" t="s">
        <v>165</v>
      </c>
    </row>
    <row r="15" spans="2:6">
      <c r="C15" s="18"/>
      <c r="D15" s="19"/>
      <c r="E15" s="19"/>
      <c r="F15" s="31" t="s">
        <v>23</v>
      </c>
    </row>
    <row r="16" spans="2:6" ht="75.75">
      <c r="C16" s="18"/>
      <c r="D16" s="19"/>
      <c r="E16" s="19"/>
      <c r="F16" s="9" t="s">
        <v>166</v>
      </c>
    </row>
    <row r="17" spans="3:6" ht="30.75">
      <c r="C17" s="17" t="s">
        <v>25</v>
      </c>
      <c r="D17" s="19"/>
      <c r="E17" s="19"/>
      <c r="F17" s="9" t="s">
        <v>167</v>
      </c>
    </row>
    <row r="18" spans="3:6" ht="45">
      <c r="C18" s="18" t="s">
        <v>26</v>
      </c>
      <c r="D18" s="15" t="s">
        <v>25</v>
      </c>
      <c r="E18" s="19"/>
      <c r="F18" s="6" t="s">
        <v>168</v>
      </c>
    </row>
    <row r="19" spans="3:6">
      <c r="C19" s="24" t="s">
        <v>27</v>
      </c>
      <c r="D19" s="2">
        <v>4</v>
      </c>
      <c r="E19" s="19"/>
      <c r="F19" s="6"/>
    </row>
    <row r="20" spans="3:6">
      <c r="C20" s="24" t="s">
        <v>28</v>
      </c>
      <c r="D20" s="2">
        <v>2</v>
      </c>
      <c r="E20" s="19"/>
      <c r="F20" s="6"/>
    </row>
    <row r="21" spans="3:6">
      <c r="C21" s="24" t="s">
        <v>29</v>
      </c>
      <c r="D21" s="2">
        <v>34</v>
      </c>
      <c r="E21" s="19"/>
    </row>
    <row r="22" spans="3:6">
      <c r="C22" s="24" t="s">
        <v>30</v>
      </c>
      <c r="D22" s="2">
        <v>30</v>
      </c>
      <c r="E22" s="19"/>
      <c r="F22" s="31" t="s">
        <v>31</v>
      </c>
    </row>
    <row r="23" spans="3:6" ht="45">
      <c r="C23" s="24" t="s">
        <v>32</v>
      </c>
      <c r="D23" s="2"/>
      <c r="E23" s="19"/>
      <c r="F23" s="6" t="s">
        <v>169</v>
      </c>
    </row>
    <row r="24" spans="3:6" ht="30">
      <c r="C24" s="24" t="s">
        <v>34</v>
      </c>
      <c r="D24" s="15">
        <f>SUM(D19:D23)</f>
        <v>70</v>
      </c>
      <c r="E24" s="19"/>
      <c r="F24" s="6" t="s">
        <v>170</v>
      </c>
    </row>
    <row r="25" spans="3:6" ht="30">
      <c r="F25" s="6" t="s">
        <v>171</v>
      </c>
    </row>
    <row r="26" spans="3:6" ht="30">
      <c r="F26" s="6" t="s">
        <v>172</v>
      </c>
    </row>
    <row r="27" spans="3:6" ht="45">
      <c r="C27" s="17" t="s">
        <v>37</v>
      </c>
      <c r="D27" s="21" t="s">
        <v>38</v>
      </c>
      <c r="F27" s="6" t="s">
        <v>173</v>
      </c>
    </row>
    <row r="28" spans="3:6">
      <c r="C28" s="18" t="s">
        <v>39</v>
      </c>
      <c r="D28" s="18" t="s">
        <v>40</v>
      </c>
      <c r="E28" s="18"/>
      <c r="F28" s="6"/>
    </row>
    <row r="29" spans="3:6" ht="15.75">
      <c r="C29" s="24" t="s">
        <v>41</v>
      </c>
      <c r="D29" s="37" t="s">
        <v>174</v>
      </c>
      <c r="E29" s="19"/>
      <c r="F29" s="6"/>
    </row>
    <row r="30" spans="3:6" ht="15.75">
      <c r="C30" s="24" t="s">
        <v>43</v>
      </c>
      <c r="D30" s="37" t="s">
        <v>175</v>
      </c>
      <c r="E30" s="19"/>
      <c r="F30" s="6"/>
    </row>
    <row r="31" spans="3:6">
      <c r="C31" s="24" t="s">
        <v>45</v>
      </c>
      <c r="D31" s="25" t="s">
        <v>176</v>
      </c>
      <c r="E31" s="19"/>
      <c r="F31" s="6"/>
    </row>
    <row r="32" spans="3:6">
      <c r="C32" s="24" t="s">
        <v>47</v>
      </c>
      <c r="D32" s="1"/>
      <c r="E32" s="19"/>
      <c r="F32" s="6"/>
    </row>
    <row r="33" spans="3:8">
      <c r="C33" s="24" t="s">
        <v>48</v>
      </c>
      <c r="D33" s="1"/>
      <c r="E33" s="19"/>
      <c r="F33" s="6"/>
    </row>
    <row r="36" spans="3:8" ht="18.75">
      <c r="C36" s="17" t="s">
        <v>49</v>
      </c>
    </row>
    <row r="37" spans="3:8">
      <c r="C37" s="18" t="s">
        <v>50</v>
      </c>
      <c r="D37" s="18" t="s">
        <v>51</v>
      </c>
      <c r="E37" s="18" t="s">
        <v>52</v>
      </c>
      <c r="F37" s="18" t="s">
        <v>53</v>
      </c>
      <c r="G37" s="18" t="s">
        <v>54</v>
      </c>
      <c r="H37" s="18" t="s">
        <v>55</v>
      </c>
    </row>
    <row r="38" spans="3:8" ht="75">
      <c r="C38" s="24" t="s">
        <v>56</v>
      </c>
      <c r="D38" s="1" t="s">
        <v>177</v>
      </c>
      <c r="E38" s="1" t="s">
        <v>178</v>
      </c>
      <c r="F38" s="1" t="s">
        <v>179</v>
      </c>
      <c r="G38" s="3">
        <v>0.5</v>
      </c>
      <c r="H38" s="1">
        <v>12</v>
      </c>
    </row>
    <row r="39" spans="3:8" ht="180">
      <c r="C39" s="24" t="s">
        <v>59</v>
      </c>
      <c r="D39" s="1" t="s">
        <v>57</v>
      </c>
      <c r="E39" s="1"/>
      <c r="F39" s="1" t="s">
        <v>180</v>
      </c>
      <c r="G39" s="3">
        <v>0.5</v>
      </c>
      <c r="H39" s="1">
        <v>18</v>
      </c>
    </row>
    <row r="40" spans="3:8">
      <c r="C40" s="24" t="s">
        <v>60</v>
      </c>
      <c r="D40" s="4"/>
      <c r="E40" s="4"/>
      <c r="F40" s="6"/>
      <c r="G40" s="4"/>
      <c r="H40" s="4"/>
    </row>
    <row r="41" spans="3:8">
      <c r="C41" s="24" t="s">
        <v>61</v>
      </c>
      <c r="D41" s="4"/>
      <c r="E41" s="4"/>
      <c r="F41" s="6"/>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69</v>
      </c>
      <c r="F46" s="6" t="s">
        <v>70</v>
      </c>
    </row>
    <row r="47" spans="3:8">
      <c r="C47" s="5" t="s">
        <v>56</v>
      </c>
      <c r="D47" s="4" t="s">
        <v>43</v>
      </c>
      <c r="E47" s="4" t="s">
        <v>65</v>
      </c>
      <c r="F47" s="6" t="s">
        <v>66</v>
      </c>
    </row>
    <row r="48" spans="3:8">
      <c r="C48" s="5" t="s">
        <v>56</v>
      </c>
      <c r="D48" s="4" t="s">
        <v>41</v>
      </c>
      <c r="E48" s="4" t="s">
        <v>132</v>
      </c>
      <c r="F48" s="6" t="s">
        <v>181</v>
      </c>
    </row>
    <row r="49" spans="3:6">
      <c r="C49" s="5" t="s">
        <v>59</v>
      </c>
      <c r="D49" s="4" t="s">
        <v>43</v>
      </c>
      <c r="E49" s="4" t="s">
        <v>134</v>
      </c>
      <c r="F49" s="6" t="s">
        <v>182</v>
      </c>
    </row>
    <row r="50" spans="3:6">
      <c r="C50" s="5" t="s">
        <v>59</v>
      </c>
      <c r="D50" s="4" t="s">
        <v>45</v>
      </c>
      <c r="E50" s="4" t="s">
        <v>126</v>
      </c>
      <c r="F50" s="6" t="s">
        <v>131</v>
      </c>
    </row>
    <row r="51" spans="3:6">
      <c r="C51" s="5" t="s">
        <v>59</v>
      </c>
      <c r="D51" s="4" t="s">
        <v>43</v>
      </c>
      <c r="E51" s="4" t="s">
        <v>137</v>
      </c>
      <c r="F51" s="6" t="s">
        <v>183</v>
      </c>
    </row>
    <row r="52" spans="3:6">
      <c r="C52" s="5" t="s">
        <v>56</v>
      </c>
      <c r="D52" s="4" t="s">
        <v>43</v>
      </c>
      <c r="E52" s="4" t="s">
        <v>184</v>
      </c>
      <c r="F52" s="6" t="s">
        <v>185</v>
      </c>
    </row>
    <row r="53" spans="3:6">
      <c r="C53" s="5" t="s">
        <v>60</v>
      </c>
      <c r="D53" s="4" t="s">
        <v>45</v>
      </c>
      <c r="E53" s="4" t="s">
        <v>65</v>
      </c>
      <c r="F53" s="6" t="s">
        <v>186</v>
      </c>
    </row>
    <row r="54" spans="3:6">
      <c r="C54" s="5" t="s">
        <v>60</v>
      </c>
      <c r="D54" s="4"/>
      <c r="E54" s="4"/>
      <c r="F54" s="6"/>
    </row>
    <row r="55" spans="3:6">
      <c r="C55" s="5" t="s">
        <v>61</v>
      </c>
      <c r="D55" s="4"/>
      <c r="E55" s="4"/>
      <c r="F55" s="6"/>
    </row>
    <row r="56" spans="3:6">
      <c r="C56" s="5" t="s">
        <v>61</v>
      </c>
      <c r="D56" s="4"/>
      <c r="E56" s="4"/>
      <c r="F56" s="6"/>
    </row>
    <row r="57" spans="3:6">
      <c r="C57" s="5"/>
      <c r="D57" s="4"/>
      <c r="E57" s="4"/>
      <c r="F57" s="6"/>
    </row>
    <row r="58" spans="3:6">
      <c r="C58" s="5"/>
      <c r="D58" s="4"/>
      <c r="E58" s="4"/>
      <c r="F58" s="6"/>
    </row>
    <row r="59" spans="3:6">
      <c r="C59" s="5"/>
      <c r="D59" s="4"/>
      <c r="E59" s="4"/>
      <c r="F59" s="6"/>
    </row>
    <row r="60" spans="3:6">
      <c r="C60" s="5"/>
      <c r="D60" s="4"/>
      <c r="E60" s="4"/>
      <c r="F60" s="6"/>
    </row>
    <row r="61" spans="3:6">
      <c r="C61" s="5"/>
      <c r="D61" s="4"/>
      <c r="E61" s="4"/>
      <c r="F61" s="6"/>
    </row>
    <row r="62" spans="3:6">
      <c r="C62" s="5"/>
      <c r="D62" s="4"/>
      <c r="E62" s="4"/>
      <c r="F62" s="6"/>
    </row>
    <row r="63" spans="3:6">
      <c r="C63" s="5"/>
      <c r="D63" s="4"/>
      <c r="E63" s="4"/>
      <c r="F63" s="6"/>
    </row>
    <row r="64" spans="3:6">
      <c r="C64" s="5"/>
      <c r="D64" s="4"/>
      <c r="E64" s="4"/>
      <c r="F64" s="6"/>
    </row>
    <row r="65" spans="2:6">
      <c r="C65" s="5"/>
      <c r="D65" s="4"/>
      <c r="E65" s="4"/>
      <c r="F65" s="6"/>
    </row>
    <row r="66" spans="2:6">
      <c r="C66" s="5"/>
      <c r="D66" s="4"/>
      <c r="E66" s="4"/>
      <c r="F66" s="6"/>
    </row>
    <row r="69" spans="2:6" ht="18.75">
      <c r="C69" s="17" t="s">
        <v>73</v>
      </c>
    </row>
    <row r="70" spans="2:6">
      <c r="B70" t="s">
        <v>74</v>
      </c>
      <c r="C70" s="15" t="s">
        <v>75</v>
      </c>
      <c r="D70" s="15" t="s">
        <v>76</v>
      </c>
      <c r="E70" s="15" t="s">
        <v>77</v>
      </c>
      <c r="F70" s="15" t="s">
        <v>78</v>
      </c>
    </row>
    <row r="71" spans="2:6" ht="45.75">
      <c r="B71" s="26">
        <v>1</v>
      </c>
      <c r="C71" s="27">
        <v>1</v>
      </c>
      <c r="D71" s="38" t="s">
        <v>187</v>
      </c>
      <c r="E71" s="1" t="s">
        <v>188</v>
      </c>
      <c r="F71" s="1"/>
    </row>
    <row r="72" spans="2:6" ht="15.75">
      <c r="B72" s="26">
        <v>1</v>
      </c>
      <c r="C72" s="27">
        <v>2</v>
      </c>
      <c r="D72" s="39" t="s">
        <v>189</v>
      </c>
      <c r="E72" s="1" t="s">
        <v>188</v>
      </c>
      <c r="F72" s="1"/>
    </row>
    <row r="73" spans="2:6" ht="15.75">
      <c r="B73" s="26">
        <v>1</v>
      </c>
      <c r="C73" s="27">
        <v>3</v>
      </c>
      <c r="D73" s="39" t="s">
        <v>190</v>
      </c>
      <c r="E73" s="1" t="s">
        <v>188</v>
      </c>
      <c r="F73" s="1"/>
    </row>
    <row r="74" spans="2:6" ht="15.75">
      <c r="B74" s="26">
        <v>1</v>
      </c>
      <c r="C74" s="27">
        <v>4</v>
      </c>
      <c r="D74" s="39" t="s">
        <v>191</v>
      </c>
      <c r="E74" s="1" t="s">
        <v>188</v>
      </c>
      <c r="F74" s="1"/>
    </row>
    <row r="75" spans="2:6" ht="15.75">
      <c r="B75" s="26">
        <v>1</v>
      </c>
      <c r="C75" s="27">
        <v>5</v>
      </c>
      <c r="D75" s="39" t="s">
        <v>192</v>
      </c>
      <c r="E75" s="1" t="s">
        <v>188</v>
      </c>
      <c r="F75" s="1"/>
    </row>
    <row r="76" spans="2:6" ht="15.75">
      <c r="B76" s="26">
        <v>1</v>
      </c>
      <c r="C76" s="27">
        <v>6</v>
      </c>
      <c r="D76" s="39" t="s">
        <v>193</v>
      </c>
      <c r="E76" s="1" t="s">
        <v>188</v>
      </c>
      <c r="F76" s="1"/>
    </row>
    <row r="77" spans="2:6" ht="15.75">
      <c r="B77" s="26">
        <v>1</v>
      </c>
      <c r="C77" s="27">
        <v>7</v>
      </c>
      <c r="D77" s="39" t="s">
        <v>194</v>
      </c>
      <c r="E77" s="1" t="s">
        <v>188</v>
      </c>
      <c r="F77" s="1"/>
    </row>
    <row r="78" spans="2:6" ht="15.75">
      <c r="B78" s="26">
        <v>1</v>
      </c>
      <c r="C78" s="27">
        <v>8</v>
      </c>
      <c r="D78" s="39" t="s">
        <v>195</v>
      </c>
      <c r="E78" s="1" t="s">
        <v>188</v>
      </c>
      <c r="F78" s="1"/>
    </row>
    <row r="79" spans="2:6" ht="30">
      <c r="B79" s="26">
        <v>1</v>
      </c>
      <c r="C79" s="27">
        <v>9</v>
      </c>
      <c r="D79" s="10" t="s">
        <v>196</v>
      </c>
      <c r="E79" s="1" t="s">
        <v>188</v>
      </c>
      <c r="F79" s="1"/>
    </row>
    <row r="80" spans="2:6" ht="30">
      <c r="B80" s="26">
        <v>1</v>
      </c>
      <c r="C80" s="27">
        <v>10</v>
      </c>
      <c r="D80" s="10" t="s">
        <v>197</v>
      </c>
      <c r="E80" s="1" t="s">
        <v>198</v>
      </c>
      <c r="F80" s="1"/>
    </row>
    <row r="81" spans="2:6" ht="30.75">
      <c r="B81" s="26">
        <v>1</v>
      </c>
      <c r="C81" s="27">
        <v>11</v>
      </c>
      <c r="D81" s="39" t="s">
        <v>199</v>
      </c>
      <c r="E81" s="1" t="s">
        <v>188</v>
      </c>
      <c r="F81" s="1"/>
    </row>
    <row r="82" spans="2:6" ht="30.75">
      <c r="B82" s="26">
        <v>1</v>
      </c>
      <c r="C82" s="27">
        <v>12</v>
      </c>
      <c r="D82" s="40" t="s">
        <v>199</v>
      </c>
      <c r="E82" s="1" t="s">
        <v>188</v>
      </c>
      <c r="F82" s="1"/>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list" allowBlank="1" showInputMessage="1" showErrorMessage="1" sqref="F46:F66" xr:uid="{A6F5F47F-6866-478E-9880-CF9E3CF9BFDA}">
      <formula1>INDIRECT(VLOOKUP($E46, SkillNameMap, 2, FALSE))</formula1>
    </dataValidation>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A31BEF-5E3B-417C-9E73-D27481A5C886}">
          <x14:formula1>
            <xm:f>LISTS!$J$7:$J$16</xm:f>
          </x14:formula1>
          <xm:sqref>E46:E66</xm:sqref>
        </x14:dataValidation>
        <x14:dataValidation type="list" allowBlank="1" showInputMessage="1" showErrorMessage="1" xr:uid="{4A234C3A-C5D8-4DCE-A391-988FDC67A9B9}">
          <x14:formula1>
            <xm:f>LISTS!$E$7:$E$11</xm:f>
          </x14:formula1>
          <xm:sqref>D46:D66</xm:sqref>
        </x14:dataValidation>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5"/>
  <dimension ref="B2:H94"/>
  <sheetViews>
    <sheetView showGridLines="0" topLeftCell="D17" zoomScale="85" zoomScaleNormal="85" workbookViewId="0">
      <selection activeCell="E23" sqref="E23"/>
    </sheetView>
  </sheetViews>
  <sheetFormatPr defaultColWidth="8.85546875" defaultRowHeight="1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c r="C2" s="14" t="str">
        <f>D7</f>
        <v>5402SPS</v>
      </c>
      <c r="D2" s="14" t="str">
        <f>D8</f>
        <v>Effective Coaching in Paralympic and Disability Sport</v>
      </c>
    </row>
    <row r="3" spans="2:6">
      <c r="B3" s="15"/>
      <c r="C3" s="15"/>
    </row>
    <row r="4" spans="2:6">
      <c r="B4" s="16"/>
      <c r="C4" s="16"/>
    </row>
    <row r="5" spans="2:6" ht="18.75">
      <c r="B5" s="16"/>
      <c r="C5" s="17" t="s">
        <v>0</v>
      </c>
    </row>
    <row r="6" spans="2:6">
      <c r="B6" s="16"/>
      <c r="C6" s="18" t="s">
        <v>1</v>
      </c>
      <c r="D6" s="19" t="s">
        <v>2</v>
      </c>
      <c r="E6" s="19"/>
      <c r="F6" t="s">
        <v>3</v>
      </c>
    </row>
    <row r="7" spans="2:6">
      <c r="B7" s="16"/>
      <c r="C7" s="24" t="s">
        <v>4</v>
      </c>
      <c r="D7" s="1" t="s">
        <v>200</v>
      </c>
      <c r="E7" s="19"/>
      <c r="F7" s="62" t="s">
        <v>201</v>
      </c>
    </row>
    <row r="8" spans="2:6">
      <c r="B8" s="16"/>
      <c r="C8" s="24" t="s">
        <v>7</v>
      </c>
      <c r="D8" s="1" t="s">
        <v>202</v>
      </c>
      <c r="E8" s="19"/>
      <c r="F8" s="4"/>
    </row>
    <row r="9" spans="2:6">
      <c r="C9" s="24" t="s">
        <v>9</v>
      </c>
      <c r="D9" s="1">
        <v>20</v>
      </c>
      <c r="E9" s="19"/>
    </row>
    <row r="10" spans="2:6">
      <c r="C10" s="24" t="s">
        <v>10</v>
      </c>
      <c r="D10" s="1">
        <v>2</v>
      </c>
      <c r="E10" s="19"/>
      <c r="F10" t="s">
        <v>11</v>
      </c>
    </row>
    <row r="11" spans="2:6">
      <c r="C11" s="24" t="s">
        <v>12</v>
      </c>
      <c r="D11" s="1">
        <v>5</v>
      </c>
      <c r="E11" s="19"/>
      <c r="F11" s="42" t="s">
        <v>203</v>
      </c>
    </row>
    <row r="12" spans="2:6">
      <c r="C12" s="24" t="s">
        <v>14</v>
      </c>
      <c r="D12" s="1" t="s">
        <v>204</v>
      </c>
      <c r="E12" s="19"/>
      <c r="F12" s="43" t="s">
        <v>205</v>
      </c>
    </row>
    <row r="13" spans="2:6">
      <c r="C13" s="24" t="s">
        <v>17</v>
      </c>
      <c r="D13" s="1" t="s">
        <v>18</v>
      </c>
      <c r="E13" s="19"/>
      <c r="F13" s="43" t="s">
        <v>206</v>
      </c>
    </row>
    <row r="14" spans="2:6">
      <c r="C14" s="24" t="s">
        <v>20</v>
      </c>
      <c r="D14" s="1" t="s">
        <v>112</v>
      </c>
      <c r="E14" s="19"/>
    </row>
    <row r="15" spans="2:6">
      <c r="C15" s="18"/>
      <c r="D15" s="19"/>
      <c r="E15" s="19"/>
      <c r="F15" t="s">
        <v>23</v>
      </c>
    </row>
    <row r="16" spans="2:6">
      <c r="C16" s="18"/>
      <c r="D16" s="19"/>
      <c r="E16" s="19"/>
      <c r="F16" s="4" t="s">
        <v>207</v>
      </c>
    </row>
    <row r="17" spans="3:6" ht="18.75">
      <c r="C17" s="17" t="s">
        <v>25</v>
      </c>
      <c r="D17" s="19"/>
      <c r="E17" s="19"/>
      <c r="F17" s="4" t="s">
        <v>208</v>
      </c>
    </row>
    <row r="18" spans="3:6">
      <c r="C18" s="18" t="s">
        <v>26</v>
      </c>
      <c r="D18" s="15" t="s">
        <v>25</v>
      </c>
      <c r="E18" s="19"/>
      <c r="F18" s="4"/>
    </row>
    <row r="19" spans="3:6">
      <c r="C19" s="24" t="s">
        <v>27</v>
      </c>
      <c r="D19" s="2">
        <v>20</v>
      </c>
      <c r="E19" s="19"/>
      <c r="F19" s="4"/>
    </row>
    <row r="20" spans="3:6">
      <c r="C20" s="24" t="s">
        <v>28</v>
      </c>
      <c r="D20" s="2"/>
      <c r="E20" s="19"/>
      <c r="F20" s="4"/>
    </row>
    <row r="21" spans="3:6">
      <c r="C21" s="24" t="s">
        <v>29</v>
      </c>
      <c r="D21" s="2">
        <v>18</v>
      </c>
      <c r="E21" s="19"/>
    </row>
    <row r="22" spans="3:6">
      <c r="C22" s="24" t="s">
        <v>30</v>
      </c>
      <c r="D22" s="2">
        <v>2</v>
      </c>
      <c r="E22" s="19"/>
      <c r="F22" t="s">
        <v>31</v>
      </c>
    </row>
    <row r="23" spans="3:6">
      <c r="C23" s="24" t="s">
        <v>32</v>
      </c>
      <c r="D23" s="2"/>
      <c r="E23" s="19"/>
      <c r="F23" s="4" t="s">
        <v>209</v>
      </c>
    </row>
    <row r="24" spans="3:6">
      <c r="C24" s="24" t="s">
        <v>34</v>
      </c>
      <c r="D24" s="15">
        <f>SUM(D19:D23)</f>
        <v>40</v>
      </c>
      <c r="E24" s="19"/>
      <c r="F24" s="4" t="s">
        <v>210</v>
      </c>
    </row>
    <row r="25" spans="3:6">
      <c r="F25" s="4" t="s">
        <v>211</v>
      </c>
    </row>
    <row r="26" spans="3:6">
      <c r="F26" s="4"/>
    </row>
    <row r="27" spans="3:6" ht="18.75">
      <c r="C27" s="17" t="s">
        <v>37</v>
      </c>
      <c r="D27" s="21" t="s">
        <v>38</v>
      </c>
      <c r="F27" s="4"/>
    </row>
    <row r="28" spans="3:6">
      <c r="C28" s="18" t="s">
        <v>39</v>
      </c>
      <c r="D28" s="18" t="s">
        <v>40</v>
      </c>
      <c r="E28" s="18"/>
      <c r="F28" s="4"/>
    </row>
    <row r="29" spans="3:6">
      <c r="C29" s="24" t="s">
        <v>41</v>
      </c>
      <c r="D29" s="25" t="s">
        <v>212</v>
      </c>
      <c r="E29" s="19"/>
      <c r="F29" s="4"/>
    </row>
    <row r="30" spans="3:6">
      <c r="C30" s="24" t="s">
        <v>43</v>
      </c>
      <c r="D30" s="25" t="s">
        <v>213</v>
      </c>
      <c r="E30" s="19"/>
      <c r="F30" s="4"/>
    </row>
    <row r="31" spans="3:6">
      <c r="C31" s="24" t="s">
        <v>45</v>
      </c>
      <c r="D31" s="25" t="s">
        <v>214</v>
      </c>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c r="C38" s="24" t="s">
        <v>56</v>
      </c>
      <c r="D38" s="1" t="s">
        <v>177</v>
      </c>
      <c r="E38" s="1" t="s">
        <v>178</v>
      </c>
      <c r="F38" s="25" t="s">
        <v>215</v>
      </c>
      <c r="G38" s="3">
        <v>1</v>
      </c>
      <c r="H38" s="1">
        <v>11</v>
      </c>
    </row>
    <row r="39" spans="3:8">
      <c r="C39" s="24" t="s">
        <v>59</v>
      </c>
      <c r="D39" s="1"/>
      <c r="E39" s="1"/>
      <c r="F39" s="1"/>
      <c r="G39" s="3"/>
      <c r="H39" s="1"/>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71</v>
      </c>
      <c r="F46" s="4" t="s">
        <v>216</v>
      </c>
    </row>
    <row r="47" spans="3:8">
      <c r="C47" s="5" t="s">
        <v>56</v>
      </c>
      <c r="D47" s="4" t="s">
        <v>41</v>
      </c>
      <c r="E47" s="4" t="s">
        <v>65</v>
      </c>
      <c r="F47" s="4" t="s">
        <v>186</v>
      </c>
    </row>
    <row r="48" spans="3:8">
      <c r="C48" s="5" t="s">
        <v>56</v>
      </c>
      <c r="D48" s="4" t="s">
        <v>43</v>
      </c>
      <c r="E48" s="4" t="s">
        <v>132</v>
      </c>
      <c r="F48" s="4" t="s">
        <v>68</v>
      </c>
    </row>
    <row r="49" spans="3:6">
      <c r="C49" s="5" t="s">
        <v>59</v>
      </c>
      <c r="D49" s="4" t="s">
        <v>43</v>
      </c>
      <c r="E49" s="4" t="s">
        <v>184</v>
      </c>
      <c r="F49" s="4" t="s">
        <v>217</v>
      </c>
    </row>
    <row r="50" spans="3:6">
      <c r="C50" s="5" t="s">
        <v>59</v>
      </c>
      <c r="D50" s="4" t="s">
        <v>45</v>
      </c>
      <c r="E50" s="4" t="s">
        <v>126</v>
      </c>
      <c r="F50" s="4" t="s">
        <v>131</v>
      </c>
    </row>
    <row r="51" spans="3:6">
      <c r="C51" s="5" t="s">
        <v>59</v>
      </c>
      <c r="D51" s="4" t="s">
        <v>45</v>
      </c>
      <c r="E51" s="4" t="s">
        <v>134</v>
      </c>
      <c r="F51" s="4" t="s">
        <v>218</v>
      </c>
    </row>
    <row r="52" spans="3:6">
      <c r="C52" s="5" t="s">
        <v>60</v>
      </c>
      <c r="D52" s="4"/>
      <c r="E52" s="4"/>
      <c r="F52" s="4"/>
    </row>
    <row r="53" spans="3:6">
      <c r="C53" s="5" t="s">
        <v>60</v>
      </c>
      <c r="D53" s="4"/>
      <c r="E53" s="4"/>
      <c r="F53" s="4"/>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t="s">
        <v>219</v>
      </c>
      <c r="E71" s="1" t="s">
        <v>220</v>
      </c>
      <c r="F71" s="1"/>
    </row>
    <row r="72" spans="2:6">
      <c r="B72" s="26">
        <v>1</v>
      </c>
      <c r="C72" s="27">
        <v>2</v>
      </c>
      <c r="D72" s="1" t="s">
        <v>221</v>
      </c>
      <c r="E72" s="1" t="s">
        <v>220</v>
      </c>
      <c r="F72" s="1" t="s">
        <v>28</v>
      </c>
    </row>
    <row r="73" spans="2:6">
      <c r="B73" s="26">
        <v>1</v>
      </c>
      <c r="C73" s="27">
        <v>3</v>
      </c>
      <c r="D73" s="1" t="s">
        <v>222</v>
      </c>
      <c r="E73" s="1" t="s">
        <v>220</v>
      </c>
      <c r="F73" s="1"/>
    </row>
    <row r="74" spans="2:6">
      <c r="B74" s="26">
        <v>1</v>
      </c>
      <c r="C74" s="27">
        <v>4</v>
      </c>
      <c r="D74" s="1" t="s">
        <v>223</v>
      </c>
      <c r="E74" s="1" t="s">
        <v>220</v>
      </c>
      <c r="F74" s="1" t="s">
        <v>28</v>
      </c>
    </row>
    <row r="75" spans="2:6">
      <c r="B75" s="26">
        <v>1</v>
      </c>
      <c r="C75" s="27">
        <v>5</v>
      </c>
      <c r="D75" s="1" t="s">
        <v>224</v>
      </c>
      <c r="E75" s="1" t="s">
        <v>220</v>
      </c>
      <c r="F75" s="1"/>
    </row>
    <row r="76" spans="2:6">
      <c r="B76" s="26">
        <v>1</v>
      </c>
      <c r="C76" s="27">
        <v>6</v>
      </c>
      <c r="D76" s="1" t="s">
        <v>225</v>
      </c>
      <c r="E76" s="1" t="s">
        <v>220</v>
      </c>
      <c r="F76" s="1" t="s">
        <v>28</v>
      </c>
    </row>
    <row r="77" spans="2:6">
      <c r="B77" s="26">
        <v>1</v>
      </c>
      <c r="C77" s="27">
        <v>7</v>
      </c>
      <c r="D77" s="1" t="s">
        <v>226</v>
      </c>
      <c r="E77" s="1" t="s">
        <v>220</v>
      </c>
      <c r="F77" s="1"/>
    </row>
    <row r="78" spans="2:6">
      <c r="B78" s="26">
        <v>1</v>
      </c>
      <c r="C78" s="27">
        <v>8</v>
      </c>
      <c r="D78" s="1" t="s">
        <v>225</v>
      </c>
      <c r="E78" s="1" t="s">
        <v>220</v>
      </c>
      <c r="F78" s="1" t="s">
        <v>28</v>
      </c>
    </row>
    <row r="79" spans="2:6">
      <c r="B79" s="26">
        <v>1</v>
      </c>
      <c r="C79" s="27">
        <v>9</v>
      </c>
      <c r="D79" s="1" t="s">
        <v>227</v>
      </c>
      <c r="E79" s="1" t="s">
        <v>220</v>
      </c>
      <c r="F79" s="1"/>
    </row>
    <row r="80" spans="2:6">
      <c r="B80" s="26">
        <v>1</v>
      </c>
      <c r="C80" s="27">
        <v>10</v>
      </c>
      <c r="D80" s="1" t="s">
        <v>227</v>
      </c>
      <c r="E80" s="1" t="s">
        <v>220</v>
      </c>
      <c r="F80" s="1" t="s">
        <v>28</v>
      </c>
    </row>
    <row r="81" spans="2:6">
      <c r="B81" s="26">
        <v>1</v>
      </c>
      <c r="C81" s="27">
        <v>11</v>
      </c>
      <c r="D81" s="1" t="s">
        <v>228</v>
      </c>
      <c r="E81" s="1"/>
      <c r="F81" s="1"/>
    </row>
    <row r="82" spans="2:6">
      <c r="B82" s="26">
        <v>1</v>
      </c>
      <c r="C82" s="27">
        <v>12</v>
      </c>
      <c r="D82" s="1" t="s">
        <v>228</v>
      </c>
      <c r="E82" s="1"/>
      <c r="F82" s="1" t="s">
        <v>28</v>
      </c>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list" allowBlank="1" showInputMessage="1" showErrorMessage="1" sqref="F46:F66" xr:uid="{8CD18753-D5D5-47C9-AE29-C832814F9869}">
      <formula1>INDIRECT(VLOOKUP($E46, SkillNameMap, 2, FALSE))</formula1>
    </dataValidation>
    <dataValidation type="list" allowBlank="1" showInputMessage="1" showErrorMessage="1" sqref="E38:E41" xr:uid="{30ED3A3D-A6E5-45DA-A072-4863AA8C1558}">
      <formula1>INDIRECT("LISTAssess[Assessment Specific]")</formula1>
    </dataValidation>
    <dataValidation type="whole" showInputMessage="1" showErrorMessage="1" error="This is not a realistic number of contact hours please change" sqref="D19" xr:uid="{ED7F7914-6C28-4D8E-B268-3CD5BA4E3144}">
      <formula1>0</formula1>
      <formula2>80</formula2>
    </dataValidation>
    <dataValidation type="whole" showInputMessage="1" showErrorMessage="1" error="This is not a realistic number of contact hours please reduce" sqref="D20:D23" xr:uid="{7D2F483B-63CE-4110-AF1C-80CF6D50C7F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A1593AF-AF33-44A4-BD5D-F2DC41EAA86E}">
          <x14:formula1>
            <xm:f>LISTS!$J$7:$J$16</xm:f>
          </x14:formula1>
          <xm:sqref>E46:E66</xm:sqref>
        </x14:dataValidation>
        <x14:dataValidation type="list" allowBlank="1" showInputMessage="1" showErrorMessage="1" xr:uid="{13524674-6569-4444-A927-B70E751D7616}">
          <x14:formula1>
            <xm:f>LISTS!$E$7:$E$11</xm:f>
          </x14:formula1>
          <xm:sqref>D46:D66</xm:sqref>
        </x14:dataValidation>
        <x14:dataValidation type="list" allowBlank="1" showInputMessage="1" showErrorMessage="1" xr:uid="{BD1D28E8-E44D-43D6-AB31-6906AFB76CC7}">
          <x14:formula1>
            <xm:f>LISTS!$G$7:$G$11</xm:f>
          </x14:formula1>
          <xm:sqref>D38:D42</xm:sqref>
        </x14:dataValidation>
        <x14:dataValidation type="list" allowBlank="1" showInputMessage="1" showErrorMessage="1" xr:uid="{4307F0DB-5179-49DE-9F56-B0D376451B8E}">
          <x14:formula1>
            <xm:f>LISTS!$C$11:$C$15</xm:f>
          </x14:formula1>
          <xm:sqref>D11</xm:sqref>
        </x14:dataValidation>
        <x14:dataValidation type="list" allowBlank="1" showInputMessage="1" showErrorMessage="1" xr:uid="{881415EC-E12E-4E20-BF7A-6A7CDB9E721E}">
          <x14:formula1>
            <xm:f>LISTS!$C$7:$C$9</xm:f>
          </x14:formula1>
          <xm:sqref>D10</xm:sqref>
        </x14:dataValidation>
        <x14:dataValidation type="list" allowBlank="1" showInputMessage="1" showErrorMessage="1" xr:uid="{264E4697-DBBE-457A-A30D-C8272EF12344}">
          <x14:formula1>
            <xm:f>LISTS!$C$17:$C$22</xm:f>
          </x14:formula1>
          <xm:sqref>D13</xm:sqref>
        </x14:dataValidation>
        <x14:dataValidation type="list" allowBlank="1" showInputMessage="1" showErrorMessage="1" xr:uid="{849644AB-3E82-4044-91E7-7C031EBB1D3B}">
          <x14:formula1>
            <xm:f>LISTS!$C$26:$C$37</xm:f>
          </x14:formula1>
          <xm:sqref>D14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6"/>
  <dimension ref="B2:H94"/>
  <sheetViews>
    <sheetView showGridLines="0" topLeftCell="D16" zoomScale="85" zoomScaleNormal="85" workbookViewId="0">
      <selection activeCell="E23" sqref="E23"/>
    </sheetView>
  </sheetViews>
  <sheetFormatPr defaultColWidth="8.85546875" defaultRowHeight="1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c r="C2" s="14" t="str">
        <f>D7</f>
        <v>5403SPS</v>
      </c>
      <c r="D2" s="14" t="str">
        <f>D8</f>
        <v>Strength and Conditioning for Coaches</v>
      </c>
    </row>
    <row r="3" spans="2:6">
      <c r="B3" s="15"/>
      <c r="C3" s="15"/>
    </row>
    <row r="4" spans="2:6">
      <c r="B4" s="16"/>
      <c r="C4" s="16"/>
    </row>
    <row r="5" spans="2:6" ht="18.75">
      <c r="B5" s="16"/>
      <c r="C5" s="17" t="s">
        <v>0</v>
      </c>
    </row>
    <row r="6" spans="2:6">
      <c r="B6" s="16"/>
      <c r="C6" s="18" t="s">
        <v>1</v>
      </c>
      <c r="D6" s="19" t="s">
        <v>2</v>
      </c>
      <c r="E6" s="19"/>
      <c r="F6" t="s">
        <v>3</v>
      </c>
    </row>
    <row r="7" spans="2:6" ht="15.75">
      <c r="B7" s="16"/>
      <c r="C7" s="24" t="s">
        <v>4</v>
      </c>
      <c r="D7" s="1" t="s">
        <v>229</v>
      </c>
      <c r="E7" s="19"/>
      <c r="F7" s="80" t="s">
        <v>230</v>
      </c>
    </row>
    <row r="8" spans="2:6">
      <c r="B8" s="16"/>
      <c r="C8" s="24" t="s">
        <v>7</v>
      </c>
      <c r="D8" s="1" t="s">
        <v>231</v>
      </c>
      <c r="E8" s="19"/>
      <c r="F8" s="4"/>
    </row>
    <row r="9" spans="2:6">
      <c r="C9" s="24" t="s">
        <v>9</v>
      </c>
      <c r="D9" s="1">
        <v>20</v>
      </c>
      <c r="E9" s="19"/>
    </row>
    <row r="10" spans="2:6">
      <c r="C10" s="24" t="s">
        <v>10</v>
      </c>
      <c r="D10" s="1">
        <v>1</v>
      </c>
      <c r="E10" s="19"/>
      <c r="F10" t="s">
        <v>11</v>
      </c>
    </row>
    <row r="11" spans="2:6">
      <c r="C11" s="24" t="s">
        <v>12</v>
      </c>
      <c r="D11" s="1">
        <v>5</v>
      </c>
      <c r="E11" s="19"/>
      <c r="F11" s="81" t="s">
        <v>232</v>
      </c>
    </row>
    <row r="12" spans="2:6">
      <c r="C12" s="24" t="s">
        <v>14</v>
      </c>
      <c r="D12" s="1" t="s">
        <v>204</v>
      </c>
      <c r="E12" s="19"/>
      <c r="F12" s="4" t="s">
        <v>233</v>
      </c>
    </row>
    <row r="13" spans="2:6" ht="86.25">
      <c r="C13" s="24" t="s">
        <v>17</v>
      </c>
      <c r="D13" s="1" t="s">
        <v>18</v>
      </c>
      <c r="E13" s="19"/>
      <c r="F13" s="82" t="s">
        <v>234</v>
      </c>
    </row>
    <row r="14" spans="2:6">
      <c r="C14" s="24" t="s">
        <v>20</v>
      </c>
      <c r="D14" s="1" t="s">
        <v>112</v>
      </c>
      <c r="E14" s="19"/>
    </row>
    <row r="15" spans="2:6">
      <c r="C15" s="18"/>
      <c r="D15" s="19"/>
      <c r="E15" s="19"/>
      <c r="F15" t="s">
        <v>23</v>
      </c>
    </row>
    <row r="16" spans="2:6">
      <c r="C16" s="18"/>
      <c r="D16" s="19"/>
      <c r="E16" s="19"/>
      <c r="F16" s="85" t="s">
        <v>235</v>
      </c>
    </row>
    <row r="17" spans="3:6" ht="18.75">
      <c r="C17" s="17" t="s">
        <v>25</v>
      </c>
      <c r="D17" s="19"/>
      <c r="E17" s="19"/>
      <c r="F17" s="85" t="s">
        <v>236</v>
      </c>
    </row>
    <row r="18" spans="3:6">
      <c r="C18" s="18" t="s">
        <v>26</v>
      </c>
      <c r="D18" s="15" t="s">
        <v>25</v>
      </c>
      <c r="E18" s="19"/>
      <c r="F18" s="84"/>
    </row>
    <row r="19" spans="3:6">
      <c r="C19" s="24" t="s">
        <v>27</v>
      </c>
      <c r="D19" s="2">
        <v>20</v>
      </c>
      <c r="E19" s="19"/>
      <c r="F19" s="85"/>
    </row>
    <row r="20" spans="3:6">
      <c r="C20" s="24" t="s">
        <v>28</v>
      </c>
      <c r="D20" s="2"/>
      <c r="E20" s="19"/>
      <c r="F20" s="4"/>
    </row>
    <row r="21" spans="3:6">
      <c r="C21" s="24" t="s">
        <v>29</v>
      </c>
      <c r="D21" s="2">
        <v>20</v>
      </c>
      <c r="E21" s="19"/>
    </row>
    <row r="22" spans="3:6">
      <c r="C22" s="24" t="s">
        <v>30</v>
      </c>
      <c r="D22" s="2"/>
      <c r="E22" s="19"/>
      <c r="F22" t="s">
        <v>31</v>
      </c>
    </row>
    <row r="23" spans="3:6" ht="60">
      <c r="C23" s="24" t="s">
        <v>32</v>
      </c>
      <c r="D23" s="2"/>
      <c r="E23" s="19"/>
      <c r="F23" s="6" t="s">
        <v>237</v>
      </c>
    </row>
    <row r="24" spans="3:6">
      <c r="C24" s="24" t="s">
        <v>34</v>
      </c>
      <c r="D24" s="15">
        <f>SUM(D19:D23)</f>
        <v>40</v>
      </c>
      <c r="E24" s="19"/>
      <c r="F24" s="4" t="s">
        <v>238</v>
      </c>
    </row>
    <row r="25" spans="3:6">
      <c r="F25" s="4"/>
    </row>
    <row r="26" spans="3:6">
      <c r="F26" s="4"/>
    </row>
    <row r="27" spans="3:6" ht="18.75">
      <c r="C27" s="17" t="s">
        <v>37</v>
      </c>
      <c r="D27" s="21" t="s">
        <v>38</v>
      </c>
      <c r="F27" s="4"/>
    </row>
    <row r="28" spans="3:6">
      <c r="C28" s="18" t="s">
        <v>39</v>
      </c>
      <c r="D28" s="18" t="s">
        <v>40</v>
      </c>
      <c r="E28" s="18"/>
      <c r="F28" s="4"/>
    </row>
    <row r="29" spans="3:6">
      <c r="C29" s="24" t="s">
        <v>41</v>
      </c>
      <c r="D29" s="83" t="s">
        <v>239</v>
      </c>
      <c r="E29" s="19"/>
      <c r="F29" s="4"/>
    </row>
    <row r="30" spans="3:6">
      <c r="C30" s="24" t="s">
        <v>43</v>
      </c>
      <c r="D30" s="83" t="s">
        <v>240</v>
      </c>
      <c r="E30" s="19"/>
      <c r="F30" s="4"/>
    </row>
    <row r="31" spans="3:6">
      <c r="C31" s="24" t="s">
        <v>45</v>
      </c>
      <c r="D31" s="83" t="s">
        <v>241</v>
      </c>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ht="105">
      <c r="C38" s="24" t="s">
        <v>56</v>
      </c>
      <c r="D38" s="1" t="s">
        <v>57</v>
      </c>
      <c r="E38" s="1"/>
      <c r="F38" s="1" t="s">
        <v>242</v>
      </c>
      <c r="G38" s="3">
        <v>0.7</v>
      </c>
      <c r="H38" s="1">
        <v>11</v>
      </c>
    </row>
    <row r="39" spans="3:8" ht="45">
      <c r="C39" s="24" t="s">
        <v>59</v>
      </c>
      <c r="D39" s="1" t="s">
        <v>243</v>
      </c>
      <c r="E39" s="1"/>
      <c r="F39" s="1" t="s">
        <v>244</v>
      </c>
      <c r="G39" s="3">
        <v>0.3</v>
      </c>
      <c r="H39" s="1">
        <v>13</v>
      </c>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137</v>
      </c>
      <c r="F46" s="4" t="s">
        <v>245</v>
      </c>
    </row>
    <row r="47" spans="3:8">
      <c r="C47" s="5" t="s">
        <v>56</v>
      </c>
      <c r="D47" s="4" t="s">
        <v>41</v>
      </c>
      <c r="E47" s="4" t="s">
        <v>71</v>
      </c>
      <c r="F47" s="4" t="s">
        <v>216</v>
      </c>
    </row>
    <row r="48" spans="3:8">
      <c r="C48" s="5" t="s">
        <v>56</v>
      </c>
      <c r="D48" s="4" t="s">
        <v>43</v>
      </c>
      <c r="E48" s="4" t="s">
        <v>65</v>
      </c>
      <c r="F48" s="4" t="s">
        <v>67</v>
      </c>
    </row>
    <row r="49" spans="3:6">
      <c r="C49" s="5" t="s">
        <v>59</v>
      </c>
      <c r="D49" s="4" t="s">
        <v>43</v>
      </c>
      <c r="E49" s="4" t="s">
        <v>132</v>
      </c>
      <c r="F49" s="4" t="s">
        <v>246</v>
      </c>
    </row>
    <row r="50" spans="3:6">
      <c r="C50" s="5" t="s">
        <v>59</v>
      </c>
      <c r="D50" s="4" t="s">
        <v>45</v>
      </c>
      <c r="E50" s="4" t="s">
        <v>134</v>
      </c>
      <c r="F50" s="4" t="s">
        <v>247</v>
      </c>
    </row>
    <row r="51" spans="3:6">
      <c r="C51" s="5" t="s">
        <v>59</v>
      </c>
      <c r="D51" s="4" t="s">
        <v>45</v>
      </c>
      <c r="E51" s="4" t="s">
        <v>137</v>
      </c>
      <c r="F51" s="4" t="s">
        <v>138</v>
      </c>
    </row>
    <row r="52" spans="3:6">
      <c r="C52" s="5" t="s">
        <v>60</v>
      </c>
      <c r="D52" s="4"/>
      <c r="E52" s="4"/>
      <c r="F52" s="4"/>
    </row>
    <row r="53" spans="3:6">
      <c r="C53" s="5" t="s">
        <v>60</v>
      </c>
      <c r="D53" s="4"/>
      <c r="E53" s="4"/>
      <c r="F53" s="4"/>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t="s">
        <v>248</v>
      </c>
      <c r="E71" s="1" t="s">
        <v>248</v>
      </c>
      <c r="F71" s="1"/>
    </row>
    <row r="72" spans="2:6">
      <c r="B72" s="26">
        <v>1</v>
      </c>
      <c r="C72" s="27">
        <v>2</v>
      </c>
      <c r="D72" s="1" t="s">
        <v>248</v>
      </c>
      <c r="E72" s="1" t="s">
        <v>248</v>
      </c>
      <c r="F72" s="1" t="s">
        <v>28</v>
      </c>
    </row>
    <row r="73" spans="2:6">
      <c r="B73" s="26">
        <v>1</v>
      </c>
      <c r="C73" s="27">
        <v>3</v>
      </c>
      <c r="D73" s="1" t="s">
        <v>249</v>
      </c>
      <c r="E73" s="1" t="s">
        <v>249</v>
      </c>
      <c r="F73" s="1"/>
    </row>
    <row r="74" spans="2:6">
      <c r="B74" s="26">
        <v>1</v>
      </c>
      <c r="C74" s="27">
        <v>4</v>
      </c>
      <c r="D74" s="1" t="s">
        <v>249</v>
      </c>
      <c r="E74" s="1" t="s">
        <v>249</v>
      </c>
      <c r="F74" s="1" t="s">
        <v>28</v>
      </c>
    </row>
    <row r="75" spans="2:6">
      <c r="B75" s="26">
        <v>1</v>
      </c>
      <c r="C75" s="27">
        <v>5</v>
      </c>
      <c r="D75" s="1" t="s">
        <v>250</v>
      </c>
      <c r="E75" s="1" t="s">
        <v>250</v>
      </c>
      <c r="F75" s="1"/>
    </row>
    <row r="76" spans="2:6">
      <c r="B76" s="26">
        <v>1</v>
      </c>
      <c r="C76" s="27">
        <v>6</v>
      </c>
      <c r="D76" s="1" t="s">
        <v>250</v>
      </c>
      <c r="E76" s="1" t="s">
        <v>250</v>
      </c>
      <c r="F76" s="1" t="s">
        <v>28</v>
      </c>
    </row>
    <row r="77" spans="2:6">
      <c r="B77" s="26">
        <v>1</v>
      </c>
      <c r="C77" s="27">
        <v>7</v>
      </c>
      <c r="D77" s="1" t="s">
        <v>251</v>
      </c>
      <c r="E77" s="1" t="s">
        <v>251</v>
      </c>
      <c r="F77" s="1"/>
    </row>
    <row r="78" spans="2:6">
      <c r="B78" s="26">
        <v>1</v>
      </c>
      <c r="C78" s="27">
        <v>8</v>
      </c>
      <c r="D78" s="1" t="s">
        <v>251</v>
      </c>
      <c r="E78" s="1" t="s">
        <v>251</v>
      </c>
      <c r="F78" s="1" t="s">
        <v>28</v>
      </c>
    </row>
    <row r="79" spans="2:6">
      <c r="B79" s="26">
        <v>1</v>
      </c>
      <c r="C79" s="27">
        <v>9</v>
      </c>
      <c r="D79" s="1" t="s">
        <v>252</v>
      </c>
      <c r="E79" s="1" t="s">
        <v>252</v>
      </c>
      <c r="F79" s="1"/>
    </row>
    <row r="80" spans="2:6">
      <c r="B80" s="26">
        <v>1</v>
      </c>
      <c r="C80" s="27">
        <v>10</v>
      </c>
      <c r="D80" s="1" t="s">
        <v>252</v>
      </c>
      <c r="E80" s="1" t="s">
        <v>252</v>
      </c>
      <c r="F80" s="1" t="s">
        <v>28</v>
      </c>
    </row>
    <row r="81" spans="2:6">
      <c r="B81" s="26">
        <v>1</v>
      </c>
      <c r="C81" s="27">
        <v>11</v>
      </c>
      <c r="D81" s="1" t="s">
        <v>228</v>
      </c>
      <c r="E81" s="1" t="s">
        <v>253</v>
      </c>
      <c r="F81" s="1"/>
    </row>
    <row r="82" spans="2:6">
      <c r="B82" s="26">
        <v>1</v>
      </c>
      <c r="C82" s="27">
        <v>12</v>
      </c>
      <c r="D82" s="1" t="s">
        <v>228</v>
      </c>
      <c r="E82" s="1"/>
      <c r="F82" s="1" t="s">
        <v>28</v>
      </c>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6" xr:uid="{E1682273-6EEC-4437-BA8D-462547C84EF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D46:D66</xm:sqref>
        </x14:dataValidation>
        <x14:dataValidation type="list" allowBlank="1" showInputMessage="1" showErrorMessage="1" xr:uid="{BE7A30BD-1760-4896-BACE-8BCA87088F96}">
          <x14:formula1>
            <xm:f>LISTS!$J$7:$J$16</xm:f>
          </x14:formula1>
          <xm:sqref>E46:E66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4455-5C9F-407B-9192-42F597732675}">
  <sheetPr codeName="Sheet8"/>
  <dimension ref="B2:H94"/>
  <sheetViews>
    <sheetView showGridLines="0" topLeftCell="D38" zoomScale="85" zoomScaleNormal="85" workbookViewId="0">
      <selection activeCell="E59" sqref="E59"/>
    </sheetView>
  </sheetViews>
  <sheetFormatPr defaultColWidth="8.85546875" defaultRowHeight="15"/>
  <cols>
    <col min="3" max="3" width="33.28515625" customWidth="1"/>
    <col min="4" max="4" width="64.85546875" customWidth="1"/>
    <col min="5" max="5" width="50.28515625" customWidth="1"/>
    <col min="6" max="6" width="63.140625" customWidth="1"/>
    <col min="7" max="7" width="12.42578125" customWidth="1"/>
    <col min="8" max="8" width="15.42578125" customWidth="1"/>
    <col min="9" max="9" width="14.7109375" customWidth="1"/>
  </cols>
  <sheetData>
    <row r="2" spans="2:6" ht="26.25">
      <c r="C2" s="14" t="str">
        <f>D7</f>
        <v>5405SPS</v>
      </c>
      <c r="D2" s="14" t="str">
        <f>D8</f>
        <v>Youth and Community Football Coaching</v>
      </c>
    </row>
    <row r="3" spans="2:6">
      <c r="B3" s="15"/>
      <c r="C3" s="15"/>
    </row>
    <row r="4" spans="2:6">
      <c r="B4" s="16"/>
      <c r="C4" s="16"/>
    </row>
    <row r="5" spans="2:6" ht="18.75">
      <c r="B5" s="16"/>
      <c r="C5" s="17" t="s">
        <v>0</v>
      </c>
    </row>
    <row r="6" spans="2:6">
      <c r="B6" s="16"/>
      <c r="C6" s="18" t="s">
        <v>1</v>
      </c>
      <c r="D6" s="19" t="s">
        <v>2</v>
      </c>
      <c r="E6" s="19"/>
      <c r="F6" t="s">
        <v>3</v>
      </c>
    </row>
    <row r="7" spans="2:6">
      <c r="B7" s="16"/>
      <c r="C7" s="24" t="s">
        <v>4</v>
      </c>
      <c r="D7" s="1" t="s">
        <v>254</v>
      </c>
      <c r="E7" s="19"/>
      <c r="F7" s="4"/>
    </row>
    <row r="8" spans="2:6" ht="15.75">
      <c r="B8" s="16"/>
      <c r="C8" s="24" t="s">
        <v>7</v>
      </c>
      <c r="D8" s="1" t="s">
        <v>255</v>
      </c>
      <c r="E8" s="19"/>
      <c r="F8" s="29" t="s">
        <v>256</v>
      </c>
    </row>
    <row r="9" spans="2:6">
      <c r="C9" s="24" t="s">
        <v>9</v>
      </c>
      <c r="D9" s="1">
        <v>20</v>
      </c>
      <c r="E9" s="19"/>
    </row>
    <row r="10" spans="2:6">
      <c r="C10" s="24" t="s">
        <v>10</v>
      </c>
      <c r="D10" s="1">
        <v>2</v>
      </c>
      <c r="E10" s="19"/>
      <c r="F10" t="s">
        <v>11</v>
      </c>
    </row>
    <row r="11" spans="2:6">
      <c r="C11" s="24" t="s">
        <v>12</v>
      </c>
      <c r="D11" s="1">
        <v>5</v>
      </c>
      <c r="E11" s="19"/>
      <c r="F11" s="48" t="s">
        <v>257</v>
      </c>
    </row>
    <row r="12" spans="2:6">
      <c r="C12" s="24" t="s">
        <v>14</v>
      </c>
      <c r="D12" s="1" t="s">
        <v>258</v>
      </c>
      <c r="E12" s="19"/>
      <c r="F12" s="48" t="s">
        <v>259</v>
      </c>
    </row>
    <row r="13" spans="2:6">
      <c r="C13" s="24" t="s">
        <v>17</v>
      </c>
      <c r="D13" s="1" t="s">
        <v>260</v>
      </c>
      <c r="E13" s="19"/>
      <c r="F13" s="48" t="s">
        <v>261</v>
      </c>
    </row>
    <row r="14" spans="2:6">
      <c r="C14" s="24" t="s">
        <v>20</v>
      </c>
      <c r="D14" s="1" t="s">
        <v>112</v>
      </c>
      <c r="E14" s="19"/>
    </row>
    <row r="15" spans="2:6">
      <c r="C15" s="18"/>
      <c r="D15" s="19"/>
      <c r="E15" s="19"/>
      <c r="F15" t="s">
        <v>23</v>
      </c>
    </row>
    <row r="16" spans="2:6" ht="15.75">
      <c r="C16" s="18"/>
      <c r="D16" s="19"/>
      <c r="E16" s="19"/>
      <c r="F16" s="49" t="s">
        <v>262</v>
      </c>
    </row>
    <row r="17" spans="3:6" ht="18.75">
      <c r="C17" s="17" t="s">
        <v>25</v>
      </c>
      <c r="D17" s="19"/>
      <c r="E17" s="19"/>
      <c r="F17" s="49" t="s">
        <v>263</v>
      </c>
    </row>
    <row r="18" spans="3:6" ht="15.75">
      <c r="C18" s="18" t="s">
        <v>26</v>
      </c>
      <c r="D18" s="15" t="s">
        <v>25</v>
      </c>
      <c r="E18" s="19"/>
      <c r="F18" s="49" t="s">
        <v>264</v>
      </c>
    </row>
    <row r="19" spans="3:6" ht="15.75">
      <c r="C19" s="24" t="s">
        <v>27</v>
      </c>
      <c r="D19" s="2">
        <v>10</v>
      </c>
      <c r="E19" s="19"/>
      <c r="F19" s="49" t="s">
        <v>265</v>
      </c>
    </row>
    <row r="20" spans="3:6" ht="15.75">
      <c r="C20" s="24" t="s">
        <v>28</v>
      </c>
      <c r="D20" s="2">
        <v>10</v>
      </c>
      <c r="E20" s="19"/>
      <c r="F20" s="50" t="s">
        <v>266</v>
      </c>
    </row>
    <row r="21" spans="3:6" ht="15.75">
      <c r="C21" s="24" t="s">
        <v>29</v>
      </c>
      <c r="D21" s="2">
        <v>20</v>
      </c>
      <c r="E21" s="19"/>
      <c r="F21" s="20" t="s">
        <v>105</v>
      </c>
    </row>
    <row r="22" spans="3:6" ht="15.75">
      <c r="C22" s="24" t="s">
        <v>30</v>
      </c>
      <c r="D22" s="2">
        <v>0</v>
      </c>
      <c r="E22" s="19"/>
      <c r="F22" s="20" t="s">
        <v>267</v>
      </c>
    </row>
    <row r="23" spans="3:6">
      <c r="C23" s="24" t="s">
        <v>32</v>
      </c>
      <c r="D23" s="2">
        <v>0</v>
      </c>
      <c r="E23" s="19"/>
      <c r="F23" s="4"/>
    </row>
    <row r="24" spans="3:6">
      <c r="C24" s="24" t="s">
        <v>34</v>
      </c>
      <c r="D24" s="15">
        <f>SUM(D19:D23)</f>
        <v>40</v>
      </c>
      <c r="E24" s="19"/>
      <c r="F24" s="4" t="s">
        <v>268</v>
      </c>
    </row>
    <row r="25" spans="3:6">
      <c r="F25" s="4"/>
    </row>
    <row r="26" spans="3:6">
      <c r="F26" s="4"/>
    </row>
    <row r="27" spans="3:6" ht="18.75">
      <c r="C27" s="17" t="s">
        <v>37</v>
      </c>
      <c r="D27" s="21" t="s">
        <v>38</v>
      </c>
      <c r="F27" s="4"/>
    </row>
    <row r="28" spans="3:6">
      <c r="C28" s="18" t="s">
        <v>39</v>
      </c>
      <c r="D28" s="18" t="s">
        <v>40</v>
      </c>
      <c r="E28" s="18"/>
      <c r="F28" s="4"/>
    </row>
    <row r="29" spans="3:6" ht="15.75">
      <c r="C29" s="24" t="s">
        <v>41</v>
      </c>
      <c r="D29" s="41" t="s">
        <v>269</v>
      </c>
      <c r="E29" s="19"/>
      <c r="F29" s="4"/>
    </row>
    <row r="30" spans="3:6" ht="30.75">
      <c r="C30" s="24" t="s">
        <v>43</v>
      </c>
      <c r="D30" s="41" t="s">
        <v>270</v>
      </c>
      <c r="E30" s="19"/>
      <c r="F30" s="4"/>
    </row>
    <row r="31" spans="3:6" ht="15.75">
      <c r="C31" s="24" t="s">
        <v>45</v>
      </c>
      <c r="D31" s="41" t="s">
        <v>271</v>
      </c>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ht="75">
      <c r="C38" s="24" t="s">
        <v>56</v>
      </c>
      <c r="D38" s="1" t="s">
        <v>177</v>
      </c>
      <c r="E38" s="1"/>
      <c r="F38" s="1" t="s">
        <v>272</v>
      </c>
      <c r="G38" s="3">
        <v>0.8</v>
      </c>
      <c r="H38" s="1">
        <v>11</v>
      </c>
    </row>
    <row r="39" spans="3:8" ht="30">
      <c r="C39" s="24" t="s">
        <v>59</v>
      </c>
      <c r="D39" s="1" t="s">
        <v>273</v>
      </c>
      <c r="E39" s="1"/>
      <c r="F39" s="1" t="s">
        <v>274</v>
      </c>
      <c r="G39" s="3">
        <v>0.2</v>
      </c>
      <c r="H39" s="1">
        <v>12</v>
      </c>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275</v>
      </c>
      <c r="F46" s="4" t="s">
        <v>276</v>
      </c>
    </row>
    <row r="47" spans="3:8">
      <c r="C47" s="5" t="s">
        <v>56</v>
      </c>
      <c r="D47" s="4" t="s">
        <v>43</v>
      </c>
      <c r="E47" s="4" t="s">
        <v>65</v>
      </c>
      <c r="F47" s="4" t="s">
        <v>66</v>
      </c>
    </row>
    <row r="48" spans="3:8">
      <c r="C48" s="5" t="s">
        <v>56</v>
      </c>
      <c r="D48" s="4" t="s">
        <v>45</v>
      </c>
      <c r="E48" s="4" t="s">
        <v>71</v>
      </c>
      <c r="F48" s="4" t="s">
        <v>72</v>
      </c>
    </row>
    <row r="49" spans="3:6">
      <c r="C49" s="5" t="s">
        <v>59</v>
      </c>
      <c r="D49" s="4" t="s">
        <v>45</v>
      </c>
      <c r="E49" s="4" t="s">
        <v>126</v>
      </c>
      <c r="F49" s="4" t="s">
        <v>127</v>
      </c>
    </row>
    <row r="50" spans="3:6">
      <c r="C50" s="5" t="s">
        <v>59</v>
      </c>
      <c r="D50" s="4" t="s">
        <v>45</v>
      </c>
      <c r="E50" s="4" t="s">
        <v>69</v>
      </c>
      <c r="F50" s="4" t="s">
        <v>277</v>
      </c>
    </row>
    <row r="51" spans="3:6">
      <c r="C51" s="5" t="s">
        <v>56</v>
      </c>
      <c r="D51" s="4" t="s">
        <v>43</v>
      </c>
      <c r="E51" s="4" t="s">
        <v>69</v>
      </c>
      <c r="F51" s="4" t="s">
        <v>70</v>
      </c>
    </row>
    <row r="52" spans="3:6">
      <c r="C52" s="5" t="s">
        <v>56</v>
      </c>
      <c r="D52" s="4" t="s">
        <v>45</v>
      </c>
      <c r="E52" s="4" t="s">
        <v>69</v>
      </c>
      <c r="F52" s="4" t="s">
        <v>278</v>
      </c>
    </row>
    <row r="53" spans="3:6">
      <c r="C53" s="5" t="s">
        <v>56</v>
      </c>
      <c r="D53" s="4" t="s">
        <v>45</v>
      </c>
      <c r="E53" s="4" t="s">
        <v>65</v>
      </c>
      <c r="F53" s="4" t="s">
        <v>66</v>
      </c>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t="s">
        <v>279</v>
      </c>
      <c r="E71" s="1" t="s">
        <v>29</v>
      </c>
      <c r="F71" s="1" t="s">
        <v>28</v>
      </c>
    </row>
    <row r="72" spans="2:6">
      <c r="B72" s="26">
        <v>1</v>
      </c>
      <c r="C72" s="27">
        <v>2</v>
      </c>
      <c r="D72" s="1" t="s">
        <v>280</v>
      </c>
      <c r="E72" s="1" t="s">
        <v>29</v>
      </c>
      <c r="F72" s="1" t="s">
        <v>28</v>
      </c>
    </row>
    <row r="73" spans="2:6">
      <c r="B73" s="26">
        <v>1</v>
      </c>
      <c r="C73" s="27">
        <v>3</v>
      </c>
      <c r="D73" s="1" t="s">
        <v>281</v>
      </c>
      <c r="E73" s="1" t="s">
        <v>29</v>
      </c>
      <c r="F73" s="1" t="s">
        <v>28</v>
      </c>
    </row>
    <row r="74" spans="2:6">
      <c r="B74" s="26">
        <v>1</v>
      </c>
      <c r="C74" s="27">
        <v>4</v>
      </c>
      <c r="D74" s="1" t="s">
        <v>282</v>
      </c>
      <c r="E74" s="1" t="s">
        <v>29</v>
      </c>
      <c r="F74" s="1" t="s">
        <v>28</v>
      </c>
    </row>
    <row r="75" spans="2:6">
      <c r="B75" s="26">
        <v>1</v>
      </c>
      <c r="C75" s="27">
        <v>5</v>
      </c>
      <c r="D75" s="1" t="s">
        <v>283</v>
      </c>
      <c r="E75" s="1" t="s">
        <v>29</v>
      </c>
      <c r="F75" s="1" t="s">
        <v>28</v>
      </c>
    </row>
    <row r="76" spans="2:6">
      <c r="B76" s="26">
        <v>1</v>
      </c>
      <c r="C76" s="27">
        <v>6</v>
      </c>
      <c r="D76" s="1" t="s">
        <v>284</v>
      </c>
      <c r="E76" s="1" t="s">
        <v>29</v>
      </c>
      <c r="F76" s="1" t="s">
        <v>28</v>
      </c>
    </row>
    <row r="77" spans="2:6">
      <c r="B77" s="26">
        <v>1</v>
      </c>
      <c r="C77" s="27">
        <v>7</v>
      </c>
      <c r="D77" s="1" t="s">
        <v>285</v>
      </c>
      <c r="E77" s="1"/>
      <c r="F77" s="1"/>
    </row>
    <row r="78" spans="2:6">
      <c r="B78" s="26">
        <v>1</v>
      </c>
      <c r="C78" s="27">
        <v>8</v>
      </c>
      <c r="D78" s="1" t="s">
        <v>286</v>
      </c>
      <c r="E78" s="1" t="s">
        <v>29</v>
      </c>
      <c r="F78" s="1" t="s">
        <v>28</v>
      </c>
    </row>
    <row r="79" spans="2:6" ht="15.75">
      <c r="B79" s="26">
        <v>1</v>
      </c>
      <c r="C79" s="27">
        <v>9</v>
      </c>
      <c r="D79" s="28" t="s">
        <v>287</v>
      </c>
      <c r="E79" s="28" t="s">
        <v>287</v>
      </c>
      <c r="F79" s="1" t="s">
        <v>288</v>
      </c>
    </row>
    <row r="80" spans="2:6">
      <c r="B80" s="26">
        <v>1</v>
      </c>
      <c r="C80" s="27">
        <v>10</v>
      </c>
      <c r="D80" s="1" t="s">
        <v>289</v>
      </c>
      <c r="E80" s="1" t="s">
        <v>29</v>
      </c>
      <c r="F80" s="1" t="s">
        <v>28</v>
      </c>
    </row>
    <row r="81" spans="2:6">
      <c r="B81" s="26">
        <v>1</v>
      </c>
      <c r="C81" s="27">
        <v>11</v>
      </c>
      <c r="D81" s="1" t="s">
        <v>290</v>
      </c>
      <c r="E81" s="1" t="s">
        <v>29</v>
      </c>
      <c r="F81" s="1" t="s">
        <v>28</v>
      </c>
    </row>
    <row r="82" spans="2:6">
      <c r="B82" s="26">
        <v>1</v>
      </c>
      <c r="C82" s="27">
        <v>12</v>
      </c>
      <c r="D82" s="1" t="s">
        <v>291</v>
      </c>
      <c r="E82" s="1" t="s">
        <v>291</v>
      </c>
      <c r="F82" s="1" t="s">
        <v>291</v>
      </c>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list" allowBlank="1" showInputMessage="1" showErrorMessage="1" sqref="F46:F66" xr:uid="{6DEBE8EC-2B57-4380-910E-0A2154580682}">
      <formula1>INDIRECT(VLOOKUP($E46, SkillNameMap, 2, FALSE))</formula1>
    </dataValidation>
    <dataValidation type="list" allowBlank="1" showInputMessage="1" showErrorMessage="1" sqref="E38:E41" xr:uid="{6274686E-0972-4BC0-8A91-115628F0C35E}">
      <formula1>INDIRECT("LISTAssess[Assessment Specific]")</formula1>
    </dataValidation>
    <dataValidation type="whole" showInputMessage="1" showErrorMessage="1" error="This is not a realistic number of contact hours please change" sqref="D19" xr:uid="{D71B7080-AED5-4BD2-BC61-46D1FB03F689}">
      <formula1>0</formula1>
      <formula2>80</formula2>
    </dataValidation>
    <dataValidation type="whole" showInputMessage="1" showErrorMessage="1" error="This is not a realistic number of contact hours please reduce" sqref="D20:D23" xr:uid="{50629AB0-717B-48FC-8FF1-8B4D77B3991E}">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6DA8F40-9192-4741-B2FE-57A9C46482DF}">
          <x14:formula1>
            <xm:f>LISTS!$J$7:$J$16</xm:f>
          </x14:formula1>
          <xm:sqref>E46:E66</xm:sqref>
        </x14:dataValidation>
        <x14:dataValidation type="list" allowBlank="1" showInputMessage="1" showErrorMessage="1" xr:uid="{A4EF2000-8BB6-4BFE-B91D-91E943534494}">
          <x14:formula1>
            <xm:f>LISTS!$E$7:$E$11</xm:f>
          </x14:formula1>
          <xm:sqref>D46:D66</xm:sqref>
        </x14:dataValidation>
        <x14:dataValidation type="list" allowBlank="1" showInputMessage="1" showErrorMessage="1" xr:uid="{C6D73155-D6B3-465B-BEF7-0FA25E168DED}">
          <x14:formula1>
            <xm:f>LISTS!$G$7:$G$11</xm:f>
          </x14:formula1>
          <xm:sqref>D38:D42</xm:sqref>
        </x14:dataValidation>
        <x14:dataValidation type="list" allowBlank="1" showInputMessage="1" showErrorMessage="1" xr:uid="{B0028DB5-73A5-49CC-9F11-A5A6090C114A}">
          <x14:formula1>
            <xm:f>LISTS!$C$11:$C$15</xm:f>
          </x14:formula1>
          <xm:sqref>D11</xm:sqref>
        </x14:dataValidation>
        <x14:dataValidation type="list" allowBlank="1" showInputMessage="1" showErrorMessage="1" xr:uid="{B42E3CF9-1ABB-4684-872B-EC2BAFBA300F}">
          <x14:formula1>
            <xm:f>LISTS!$C$7:$C$9</xm:f>
          </x14:formula1>
          <xm:sqref>D10</xm:sqref>
        </x14:dataValidation>
        <x14:dataValidation type="list" allowBlank="1" showInputMessage="1" showErrorMessage="1" xr:uid="{A8C95E66-AD61-4BFC-ABB4-381106E7EE30}">
          <x14:formula1>
            <xm:f>LISTS!$C$17:$C$22</xm:f>
          </x14:formula1>
          <xm:sqref>D13</xm:sqref>
        </x14:dataValidation>
        <x14:dataValidation type="list" allowBlank="1" showInputMessage="1" showErrorMessage="1" xr:uid="{6D716C63-5AE4-4FD1-B40D-675960865ED5}">
          <x14:formula1>
            <xm:f>LISTS!$C$26:$C$37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7"/>
  <dimension ref="B2:H94"/>
  <sheetViews>
    <sheetView showGridLines="0" topLeftCell="A7" zoomScale="85" zoomScaleNormal="85" workbookViewId="0">
      <selection activeCell="D8" sqref="D8"/>
    </sheetView>
  </sheetViews>
  <sheetFormatPr defaultColWidth="8.85546875" defaultRowHeight="15"/>
  <cols>
    <col min="3" max="3" width="33.28515625" customWidth="1"/>
    <col min="4" max="4" width="51.42578125" customWidth="1"/>
    <col min="5" max="5" width="52.42578125" customWidth="1"/>
    <col min="6" max="6" width="63.140625" customWidth="1"/>
    <col min="7" max="7" width="12.42578125" customWidth="1"/>
    <col min="8" max="8" width="15.42578125" customWidth="1"/>
    <col min="9" max="9" width="14.7109375" customWidth="1"/>
  </cols>
  <sheetData>
    <row r="2" spans="2:6" ht="26.25">
      <c r="C2" s="14" t="str">
        <f>D7</f>
        <v>5202SPS</v>
      </c>
      <c r="D2" s="14" t="str">
        <f>D8</f>
        <v>Learning Theory and Practice 2</v>
      </c>
    </row>
    <row r="3" spans="2:6">
      <c r="B3" s="15"/>
      <c r="C3" s="15"/>
    </row>
    <row r="4" spans="2:6">
      <c r="B4" s="16"/>
      <c r="C4" s="16"/>
    </row>
    <row r="5" spans="2:6" ht="18.75">
      <c r="B5" s="16"/>
      <c r="C5" s="17" t="s">
        <v>0</v>
      </c>
    </row>
    <row r="6" spans="2:6">
      <c r="B6" s="16"/>
      <c r="C6" s="18" t="s">
        <v>1</v>
      </c>
      <c r="D6" s="19" t="s">
        <v>2</v>
      </c>
      <c r="E6" s="19"/>
      <c r="F6" t="s">
        <v>3</v>
      </c>
    </row>
    <row r="7" spans="2:6">
      <c r="B7" s="16"/>
      <c r="C7" s="24" t="s">
        <v>4</v>
      </c>
      <c r="D7" s="1" t="s">
        <v>292</v>
      </c>
      <c r="E7" s="19"/>
      <c r="F7" s="4"/>
    </row>
    <row r="8" spans="2:6" ht="105.75">
      <c r="B8" s="16"/>
      <c r="C8" s="24" t="s">
        <v>7</v>
      </c>
      <c r="D8" s="1" t="s">
        <v>293</v>
      </c>
      <c r="E8" s="19"/>
      <c r="F8" s="41" t="s">
        <v>294</v>
      </c>
    </row>
    <row r="9" spans="2:6">
      <c r="C9" s="24" t="s">
        <v>9</v>
      </c>
      <c r="D9" s="1">
        <v>20</v>
      </c>
      <c r="E9" s="19"/>
    </row>
    <row r="10" spans="2:6">
      <c r="C10" s="24" t="s">
        <v>10</v>
      </c>
      <c r="D10" s="1">
        <v>1</v>
      </c>
      <c r="E10" s="19"/>
      <c r="F10" t="s">
        <v>11</v>
      </c>
    </row>
    <row r="11" spans="2:6" ht="47.25">
      <c r="C11" s="24" t="s">
        <v>12</v>
      </c>
      <c r="D11" s="1">
        <v>5</v>
      </c>
      <c r="E11" s="19"/>
      <c r="F11" s="46" t="s">
        <v>295</v>
      </c>
    </row>
    <row r="12" spans="2:6" ht="47.25">
      <c r="C12" s="24" t="s">
        <v>14</v>
      </c>
      <c r="D12" s="1" t="s">
        <v>258</v>
      </c>
      <c r="E12" s="19"/>
      <c r="F12" s="46" t="s">
        <v>296</v>
      </c>
    </row>
    <row r="13" spans="2:6" ht="47.25">
      <c r="C13" s="24" t="s">
        <v>17</v>
      </c>
      <c r="D13" s="1" t="s">
        <v>18</v>
      </c>
      <c r="E13" s="19"/>
      <c r="F13" s="46" t="s">
        <v>297</v>
      </c>
    </row>
    <row r="14" spans="2:6">
      <c r="C14" s="24" t="s">
        <v>20</v>
      </c>
      <c r="D14" s="1" t="s">
        <v>298</v>
      </c>
      <c r="E14" s="19"/>
    </row>
    <row r="15" spans="2:6">
      <c r="C15" s="18"/>
      <c r="D15" s="19"/>
      <c r="E15" s="19"/>
      <c r="F15" t="s">
        <v>23</v>
      </c>
    </row>
    <row r="16" spans="2:6" ht="15.75">
      <c r="C16" s="18"/>
      <c r="D16" s="19"/>
      <c r="E16" s="19"/>
      <c r="F16" s="29" t="s">
        <v>299</v>
      </c>
    </row>
    <row r="17" spans="3:6" ht="30.75">
      <c r="C17" s="17" t="s">
        <v>25</v>
      </c>
      <c r="D17" s="19"/>
      <c r="E17" s="19"/>
      <c r="F17" s="41" t="s">
        <v>300</v>
      </c>
    </row>
    <row r="18" spans="3:6" ht="15.75">
      <c r="C18" s="18" t="s">
        <v>26</v>
      </c>
      <c r="D18" s="15" t="s">
        <v>25</v>
      </c>
      <c r="E18" s="19"/>
      <c r="F18" s="41" t="s">
        <v>301</v>
      </c>
    </row>
    <row r="19" spans="3:6" ht="15.75">
      <c r="C19" s="24" t="s">
        <v>27</v>
      </c>
      <c r="D19" s="2">
        <v>11</v>
      </c>
      <c r="E19" s="19"/>
      <c r="F19" s="41" t="s">
        <v>302</v>
      </c>
    </row>
    <row r="20" spans="3:6" ht="15.75">
      <c r="C20" s="24" t="s">
        <v>28</v>
      </c>
      <c r="D20" s="2">
        <v>11</v>
      </c>
      <c r="E20" s="19"/>
      <c r="F20" s="41" t="s">
        <v>303</v>
      </c>
    </row>
    <row r="21" spans="3:6">
      <c r="C21" s="24" t="s">
        <v>29</v>
      </c>
      <c r="D21" s="2">
        <v>14</v>
      </c>
      <c r="E21" s="19"/>
    </row>
    <row r="22" spans="3:6">
      <c r="C22" s="24" t="s">
        <v>30</v>
      </c>
      <c r="D22" s="2">
        <v>4</v>
      </c>
      <c r="E22" s="19"/>
      <c r="F22" t="s">
        <v>31</v>
      </c>
    </row>
    <row r="23" spans="3:6">
      <c r="C23" s="24" t="s">
        <v>32</v>
      </c>
      <c r="D23" s="2">
        <v>0</v>
      </c>
      <c r="E23" s="19"/>
      <c r="F23" s="4"/>
    </row>
    <row r="24" spans="3:6">
      <c r="C24" s="24" t="s">
        <v>34</v>
      </c>
      <c r="D24" s="15">
        <f>SUM(D19:D23)</f>
        <v>40</v>
      </c>
      <c r="E24" s="19"/>
      <c r="F24" s="4" t="s">
        <v>304</v>
      </c>
    </row>
    <row r="25" spans="3:6">
      <c r="F25" s="4"/>
    </row>
    <row r="26" spans="3:6">
      <c r="F26" s="4"/>
    </row>
    <row r="27" spans="3:6" ht="18.75">
      <c r="C27" s="17" t="s">
        <v>37</v>
      </c>
      <c r="D27" s="21" t="s">
        <v>38</v>
      </c>
      <c r="F27" s="4"/>
    </row>
    <row r="28" spans="3:6">
      <c r="C28" s="18" t="s">
        <v>39</v>
      </c>
      <c r="D28" s="18" t="s">
        <v>40</v>
      </c>
      <c r="E28" s="18"/>
      <c r="F28" s="4"/>
    </row>
    <row r="29" spans="3:6" ht="30">
      <c r="C29" s="24" t="s">
        <v>41</v>
      </c>
      <c r="D29" s="44" t="s">
        <v>305</v>
      </c>
      <c r="E29" s="19"/>
      <c r="F29" s="4"/>
    </row>
    <row r="30" spans="3:6" ht="30">
      <c r="C30" s="24" t="s">
        <v>43</v>
      </c>
      <c r="D30" s="12" t="s">
        <v>306</v>
      </c>
      <c r="E30" s="19"/>
      <c r="F30" s="4"/>
    </row>
    <row r="31" spans="3:6" ht="30">
      <c r="C31" s="24" t="s">
        <v>45</v>
      </c>
      <c r="D31" s="45" t="s">
        <v>307</v>
      </c>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ht="120">
      <c r="C38" s="24" t="s">
        <v>56</v>
      </c>
      <c r="D38" s="1" t="s">
        <v>57</v>
      </c>
      <c r="E38" s="1"/>
      <c r="F38" s="1" t="s">
        <v>308</v>
      </c>
      <c r="G38" s="3">
        <v>1</v>
      </c>
      <c r="H38" s="1">
        <v>12</v>
      </c>
    </row>
    <row r="39" spans="3:8">
      <c r="C39" s="24" t="s">
        <v>59</v>
      </c>
      <c r="D39" s="1"/>
      <c r="E39" s="1"/>
      <c r="F39" s="1"/>
      <c r="G39" s="3"/>
      <c r="H39" s="1"/>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275</v>
      </c>
      <c r="F46" s="4" t="s">
        <v>309</v>
      </c>
    </row>
    <row r="47" spans="3:8">
      <c r="C47" s="5" t="s">
        <v>56</v>
      </c>
      <c r="D47" s="4" t="s">
        <v>43</v>
      </c>
      <c r="E47" s="4" t="s">
        <v>65</v>
      </c>
      <c r="F47" s="4" t="s">
        <v>66</v>
      </c>
    </row>
    <row r="48" spans="3:8">
      <c r="C48" s="5" t="s">
        <v>56</v>
      </c>
      <c r="D48" s="4" t="s">
        <v>45</v>
      </c>
      <c r="E48" s="4" t="s">
        <v>71</v>
      </c>
      <c r="F48" s="4" t="s">
        <v>216</v>
      </c>
    </row>
    <row r="49" spans="3:6">
      <c r="C49" s="5" t="s">
        <v>59</v>
      </c>
      <c r="D49" s="4"/>
      <c r="E49" s="4"/>
      <c r="F49" s="4"/>
    </row>
    <row r="50" spans="3:6">
      <c r="C50" s="5" t="s">
        <v>59</v>
      </c>
      <c r="D50" s="4"/>
      <c r="E50" s="4"/>
      <c r="F50" s="4"/>
    </row>
    <row r="51" spans="3:6">
      <c r="C51" s="5" t="s">
        <v>59</v>
      </c>
      <c r="D51" s="4"/>
      <c r="E51" s="4"/>
      <c r="F51" s="4"/>
    </row>
    <row r="52" spans="3:6">
      <c r="C52" s="5" t="s">
        <v>60</v>
      </c>
      <c r="D52" s="4"/>
      <c r="E52" s="4"/>
      <c r="F52" s="4"/>
    </row>
    <row r="53" spans="3:6">
      <c r="C53" s="5" t="s">
        <v>60</v>
      </c>
      <c r="D53" s="4"/>
      <c r="E53" s="4"/>
      <c r="F53" s="4"/>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t="s">
        <v>310</v>
      </c>
      <c r="E71" s="1" t="s">
        <v>311</v>
      </c>
      <c r="F71" s="1" t="s">
        <v>28</v>
      </c>
    </row>
    <row r="72" spans="2:6">
      <c r="B72" s="26">
        <v>1</v>
      </c>
      <c r="C72" s="27">
        <v>2</v>
      </c>
      <c r="D72" s="1" t="s">
        <v>312</v>
      </c>
      <c r="E72" s="1" t="s">
        <v>311</v>
      </c>
      <c r="F72" s="1" t="s">
        <v>28</v>
      </c>
    </row>
    <row r="73" spans="2:6">
      <c r="B73" s="26">
        <v>1</v>
      </c>
      <c r="C73" s="27">
        <v>3</v>
      </c>
      <c r="D73" s="1" t="s">
        <v>313</v>
      </c>
      <c r="E73" s="1" t="s">
        <v>311</v>
      </c>
      <c r="F73" s="1" t="s">
        <v>28</v>
      </c>
    </row>
    <row r="74" spans="2:6" ht="30">
      <c r="B74" s="26">
        <v>1</v>
      </c>
      <c r="C74" s="27">
        <v>4</v>
      </c>
      <c r="D74" s="1" t="s">
        <v>314</v>
      </c>
      <c r="E74" s="1" t="s">
        <v>311</v>
      </c>
      <c r="F74" s="1" t="s">
        <v>28</v>
      </c>
    </row>
    <row r="75" spans="2:6" ht="30">
      <c r="B75" s="26">
        <v>1</v>
      </c>
      <c r="C75" s="27">
        <v>5</v>
      </c>
      <c r="D75" s="1" t="s">
        <v>315</v>
      </c>
      <c r="E75" s="1" t="s">
        <v>311</v>
      </c>
      <c r="F75" s="1" t="s">
        <v>28</v>
      </c>
    </row>
    <row r="76" spans="2:6">
      <c r="B76" s="26">
        <v>1</v>
      </c>
      <c r="C76" s="27">
        <v>6</v>
      </c>
      <c r="D76" s="1" t="s">
        <v>316</v>
      </c>
      <c r="E76" s="1" t="s">
        <v>311</v>
      </c>
      <c r="F76" s="1" t="s">
        <v>28</v>
      </c>
    </row>
    <row r="77" spans="2:6">
      <c r="B77" s="26">
        <v>1</v>
      </c>
      <c r="C77" s="27">
        <v>7</v>
      </c>
      <c r="D77" s="1" t="s">
        <v>285</v>
      </c>
      <c r="E77" s="1" t="s">
        <v>317</v>
      </c>
      <c r="F77" s="1"/>
    </row>
    <row r="78" spans="2:6">
      <c r="B78" s="26">
        <v>1</v>
      </c>
      <c r="C78" s="27">
        <v>8</v>
      </c>
      <c r="D78" s="1" t="s">
        <v>318</v>
      </c>
      <c r="E78" s="1" t="s">
        <v>319</v>
      </c>
      <c r="F78" s="1" t="s">
        <v>28</v>
      </c>
    </row>
    <row r="79" spans="2:6">
      <c r="B79" s="26">
        <v>1</v>
      </c>
      <c r="C79" s="27">
        <v>9</v>
      </c>
      <c r="D79" s="1" t="s">
        <v>320</v>
      </c>
      <c r="E79" s="1" t="s">
        <v>311</v>
      </c>
      <c r="F79" s="1" t="s">
        <v>28</v>
      </c>
    </row>
    <row r="80" spans="2:6">
      <c r="B80" s="26">
        <v>1</v>
      </c>
      <c r="C80" s="27">
        <v>10</v>
      </c>
      <c r="D80" s="1" t="s">
        <v>318</v>
      </c>
      <c r="E80" s="1" t="s">
        <v>321</v>
      </c>
      <c r="F80" s="1" t="s">
        <v>28</v>
      </c>
    </row>
    <row r="81" spans="2:6">
      <c r="B81" s="26">
        <v>1</v>
      </c>
      <c r="C81" s="27">
        <v>11</v>
      </c>
      <c r="D81" s="1" t="s">
        <v>322</v>
      </c>
      <c r="E81" s="1" t="s">
        <v>323</v>
      </c>
      <c r="F81" s="1" t="s">
        <v>28</v>
      </c>
    </row>
    <row r="82" spans="2:6">
      <c r="B82" s="26">
        <v>1</v>
      </c>
      <c r="C82" s="27">
        <v>12</v>
      </c>
      <c r="D82" s="1" t="s">
        <v>324</v>
      </c>
      <c r="E82" s="1" t="s">
        <v>325</v>
      </c>
      <c r="F82" s="1" t="s">
        <v>28</v>
      </c>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E38:E41" xr:uid="{DFA2EEE3-AB9D-4F7C-8E30-3C3C00872C8A}">
      <formula1>INDIRECT("LISTAssess[Assessment Specific]")</formula1>
    </dataValidation>
    <dataValidation type="list" allowBlank="1" showInputMessage="1" showErrorMessage="1" sqref="F46:F66" xr:uid="{BD0B3AD5-4A05-466E-9EAF-E466604786A1}">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D38:D42</xm:sqref>
        </x14:dataValidation>
        <x14:dataValidation type="list" allowBlank="1" showInputMessage="1" showErrorMessage="1" xr:uid="{1AB77DFB-5427-40D4-BAEB-24C786FA7A86}">
          <x14:formula1>
            <xm:f>LISTS!$E$7:$E$11</xm:f>
          </x14:formula1>
          <xm:sqref>D46:D66</xm:sqref>
        </x14:dataValidation>
        <x14:dataValidation type="list" allowBlank="1" showInputMessage="1" showErrorMessage="1" xr:uid="{EB948922-0A22-4BD6-8094-4C6953146F85}">
          <x14:formula1>
            <xm:f>LISTS!$J$7:$J$16</xm:f>
          </x14:formula1>
          <xm:sqref>E46:E66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3A61-5D91-496B-8B60-7039A69A7401}">
  <sheetPr codeName="Sheet1"/>
  <dimension ref="B2:H94"/>
  <sheetViews>
    <sheetView showGridLines="0" zoomScale="85" zoomScaleNormal="85" workbookViewId="0">
      <selection activeCell="F19" sqref="F19"/>
    </sheetView>
  </sheetViews>
  <sheetFormatPr defaultColWidth="8.85546875" defaultRowHeight="1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c r="C2" s="14" t="str">
        <f>D7</f>
        <v>5094SPS</v>
      </c>
      <c r="D2" s="14" t="str">
        <f>D8</f>
        <v>Sport , Physical Education and Society</v>
      </c>
    </row>
    <row r="3" spans="2:6">
      <c r="B3" s="15"/>
      <c r="C3" s="15"/>
    </row>
    <row r="4" spans="2:6">
      <c r="B4" s="16"/>
      <c r="C4" s="16"/>
    </row>
    <row r="5" spans="2:6" ht="18.75">
      <c r="B5" s="16"/>
      <c r="C5" s="17" t="s">
        <v>0</v>
      </c>
    </row>
    <row r="6" spans="2:6">
      <c r="B6" s="16"/>
      <c r="C6" s="18" t="s">
        <v>1</v>
      </c>
      <c r="D6" s="19" t="s">
        <v>2</v>
      </c>
      <c r="E6" s="19"/>
      <c r="F6" t="s">
        <v>3</v>
      </c>
    </row>
    <row r="7" spans="2:6">
      <c r="B7" s="16"/>
      <c r="C7" s="24" t="s">
        <v>4</v>
      </c>
      <c r="D7" s="1" t="s">
        <v>326</v>
      </c>
      <c r="E7" s="19"/>
      <c r="F7" s="4"/>
    </row>
    <row r="8" spans="2:6" ht="15.75">
      <c r="B8" s="16"/>
      <c r="C8" s="24" t="s">
        <v>7</v>
      </c>
      <c r="D8" s="1" t="s">
        <v>327</v>
      </c>
      <c r="E8" s="19"/>
      <c r="F8" s="29"/>
    </row>
    <row r="9" spans="2:6">
      <c r="C9" s="24" t="s">
        <v>9</v>
      </c>
      <c r="D9" s="1">
        <v>20</v>
      </c>
      <c r="E9" s="19"/>
    </row>
    <row r="10" spans="2:6">
      <c r="C10" s="24" t="s">
        <v>10</v>
      </c>
      <c r="D10" s="1"/>
      <c r="E10" s="19"/>
      <c r="F10" t="s">
        <v>11</v>
      </c>
    </row>
    <row r="11" spans="2:6">
      <c r="C11" s="24" t="s">
        <v>12</v>
      </c>
      <c r="D11" s="1"/>
      <c r="E11" s="19"/>
      <c r="F11" s="48"/>
    </row>
    <row r="12" spans="2:6">
      <c r="C12" s="24" t="s">
        <v>14</v>
      </c>
      <c r="D12" s="1"/>
      <c r="E12" s="19"/>
      <c r="F12" s="48"/>
    </row>
    <row r="13" spans="2:6">
      <c r="C13" s="24" t="s">
        <v>17</v>
      </c>
      <c r="D13" s="1"/>
      <c r="E13" s="19"/>
      <c r="F13" s="48"/>
    </row>
    <row r="14" spans="2:6">
      <c r="C14" s="24" t="s">
        <v>20</v>
      </c>
      <c r="D14" s="1"/>
      <c r="E14" s="19"/>
    </row>
    <row r="15" spans="2:6">
      <c r="C15" s="18"/>
      <c r="D15" s="19"/>
      <c r="E15" s="19"/>
      <c r="F15" t="s">
        <v>23</v>
      </c>
    </row>
    <row r="16" spans="2:6" ht="15.75">
      <c r="C16" s="18"/>
      <c r="D16" s="19"/>
      <c r="E16" s="19"/>
      <c r="F16" s="49"/>
    </row>
    <row r="17" spans="3:6" ht="18.75">
      <c r="C17" s="17" t="s">
        <v>25</v>
      </c>
      <c r="D17" s="19"/>
      <c r="E17" s="19"/>
      <c r="F17" s="49"/>
    </row>
    <row r="18" spans="3:6" ht="15.75">
      <c r="C18" s="18" t="s">
        <v>26</v>
      </c>
      <c r="D18" s="15" t="s">
        <v>25</v>
      </c>
      <c r="E18" s="19"/>
      <c r="F18" s="49"/>
    </row>
    <row r="19" spans="3:6" ht="15.75">
      <c r="C19" s="24" t="s">
        <v>27</v>
      </c>
      <c r="D19" s="2"/>
      <c r="E19" s="19"/>
      <c r="F19" s="49"/>
    </row>
    <row r="20" spans="3:6" ht="15.75">
      <c r="C20" s="24" t="s">
        <v>28</v>
      </c>
      <c r="D20" s="2"/>
      <c r="E20" s="19"/>
      <c r="F20" s="50"/>
    </row>
    <row r="21" spans="3:6" ht="15.75">
      <c r="C21" s="24" t="s">
        <v>29</v>
      </c>
      <c r="D21" s="2"/>
      <c r="E21" s="19"/>
      <c r="F21" s="20"/>
    </row>
    <row r="22" spans="3:6" ht="15.75">
      <c r="C22" s="24" t="s">
        <v>30</v>
      </c>
      <c r="D22" s="2"/>
      <c r="E22" s="19"/>
      <c r="F22" s="20" t="s">
        <v>267</v>
      </c>
    </row>
    <row r="23" spans="3:6">
      <c r="C23" s="24" t="s">
        <v>32</v>
      </c>
      <c r="D23" s="2"/>
      <c r="E23" s="19"/>
      <c r="F23" s="4"/>
    </row>
    <row r="24" spans="3:6">
      <c r="C24" s="24" t="s">
        <v>34</v>
      </c>
      <c r="D24" s="15">
        <f>SUM(D19:D23)</f>
        <v>0</v>
      </c>
      <c r="E24" s="19"/>
      <c r="F24" s="4"/>
    </row>
    <row r="25" spans="3:6">
      <c r="F25" s="4"/>
    </row>
    <row r="26" spans="3:6">
      <c r="F26" s="4"/>
    </row>
    <row r="27" spans="3:6" ht="18.75">
      <c r="C27" s="17" t="s">
        <v>37</v>
      </c>
      <c r="D27" s="21" t="s">
        <v>38</v>
      </c>
      <c r="F27" s="4"/>
    </row>
    <row r="28" spans="3:6">
      <c r="C28" s="18" t="s">
        <v>39</v>
      </c>
      <c r="D28" s="18" t="s">
        <v>40</v>
      </c>
      <c r="E28" s="18"/>
      <c r="F28" s="4"/>
    </row>
    <row r="29" spans="3:6" ht="15.75">
      <c r="C29" s="24" t="s">
        <v>41</v>
      </c>
      <c r="D29" s="41"/>
      <c r="E29" s="19"/>
      <c r="F29" s="4"/>
    </row>
    <row r="30" spans="3:6" ht="15.75">
      <c r="C30" s="24" t="s">
        <v>43</v>
      </c>
      <c r="D30" s="41"/>
      <c r="E30" s="19"/>
      <c r="F30" s="4"/>
    </row>
    <row r="31" spans="3:6" ht="15.75">
      <c r="C31" s="24" t="s">
        <v>45</v>
      </c>
      <c r="D31" s="41"/>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c r="C38" s="24" t="s">
        <v>56</v>
      </c>
      <c r="D38" s="1"/>
      <c r="E38" s="1"/>
      <c r="F38" s="1"/>
      <c r="G38" s="3"/>
      <c r="H38" s="1"/>
    </row>
    <row r="39" spans="3:8">
      <c r="C39" s="24" t="s">
        <v>59</v>
      </c>
      <c r="D39" s="1"/>
      <c r="E39" s="1"/>
      <c r="F39" s="1"/>
      <c r="G39" s="3"/>
      <c r="H39" s="1"/>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c r="E46" s="4"/>
      <c r="F46" s="4"/>
    </row>
    <row r="47" spans="3:8">
      <c r="C47" s="5" t="s">
        <v>56</v>
      </c>
      <c r="D47" s="4"/>
      <c r="E47" s="4"/>
      <c r="F47" s="4"/>
    </row>
    <row r="48" spans="3:8">
      <c r="C48" s="5" t="s">
        <v>56</v>
      </c>
      <c r="D48" s="4"/>
      <c r="E48" s="4"/>
      <c r="F48" s="4"/>
    </row>
    <row r="49" spans="3:6">
      <c r="C49" s="5" t="s">
        <v>59</v>
      </c>
      <c r="D49" s="4"/>
      <c r="E49" s="4"/>
      <c r="F49" s="4"/>
    </row>
    <row r="50" spans="3:6">
      <c r="C50" s="5" t="s">
        <v>59</v>
      </c>
      <c r="D50" s="4"/>
      <c r="E50" s="4"/>
      <c r="F50" s="4"/>
    </row>
    <row r="51" spans="3:6">
      <c r="C51" s="5" t="s">
        <v>59</v>
      </c>
      <c r="D51" s="4"/>
      <c r="E51" s="4"/>
      <c r="F51" s="4"/>
    </row>
    <row r="52" spans="3:6">
      <c r="C52" s="5" t="s">
        <v>60</v>
      </c>
      <c r="D52" s="4"/>
      <c r="E52" s="4"/>
      <c r="F52" s="4"/>
    </row>
    <row r="53" spans="3:6">
      <c r="C53" s="5" t="s">
        <v>60</v>
      </c>
      <c r="D53" s="4"/>
      <c r="E53" s="4"/>
      <c r="F53" s="4"/>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c r="E71" s="1"/>
      <c r="F71" s="1"/>
    </row>
    <row r="72" spans="2:6">
      <c r="B72" s="26">
        <v>1</v>
      </c>
      <c r="C72" s="27">
        <v>2</v>
      </c>
      <c r="D72" s="1"/>
      <c r="E72" s="1"/>
      <c r="F72" s="1"/>
    </row>
    <row r="73" spans="2:6">
      <c r="B73" s="26">
        <v>1</v>
      </c>
      <c r="C73" s="27">
        <v>3</v>
      </c>
      <c r="D73" s="1"/>
      <c r="E73" s="1"/>
      <c r="F73" s="1"/>
    </row>
    <row r="74" spans="2:6">
      <c r="B74" s="26">
        <v>1</v>
      </c>
      <c r="C74" s="27">
        <v>4</v>
      </c>
      <c r="D74" s="1"/>
      <c r="E74" s="1"/>
      <c r="F74" s="1"/>
    </row>
    <row r="75" spans="2:6">
      <c r="B75" s="26">
        <v>1</v>
      </c>
      <c r="C75" s="27">
        <v>5</v>
      </c>
      <c r="D75" s="1"/>
      <c r="E75" s="1"/>
      <c r="F75" s="1"/>
    </row>
    <row r="76" spans="2:6">
      <c r="B76" s="26">
        <v>1</v>
      </c>
      <c r="C76" s="27">
        <v>6</v>
      </c>
      <c r="D76" s="1"/>
      <c r="E76" s="1"/>
      <c r="F76" s="1"/>
    </row>
    <row r="77" spans="2:6">
      <c r="B77" s="26">
        <v>1</v>
      </c>
      <c r="C77" s="27">
        <v>7</v>
      </c>
      <c r="D77" s="1"/>
      <c r="E77" s="1"/>
      <c r="F77" s="1"/>
    </row>
    <row r="78" spans="2:6">
      <c r="B78" s="26">
        <v>1</v>
      </c>
      <c r="C78" s="27">
        <v>8</v>
      </c>
      <c r="D78" s="1"/>
      <c r="E78" s="1"/>
      <c r="F78" s="1"/>
    </row>
    <row r="79" spans="2:6" ht="15.75">
      <c r="B79" s="26">
        <v>1</v>
      </c>
      <c r="C79" s="27">
        <v>9</v>
      </c>
      <c r="D79" s="28"/>
      <c r="E79" s="28"/>
      <c r="F79" s="1"/>
    </row>
    <row r="80" spans="2:6">
      <c r="B80" s="26">
        <v>1</v>
      </c>
      <c r="C80" s="27">
        <v>10</v>
      </c>
      <c r="D80" s="1"/>
      <c r="E80" s="1"/>
      <c r="F80" s="1"/>
    </row>
    <row r="81" spans="2:6">
      <c r="B81" s="26">
        <v>1</v>
      </c>
      <c r="C81" s="27">
        <v>11</v>
      </c>
      <c r="D81" s="1"/>
      <c r="E81" s="1"/>
      <c r="F81" s="1"/>
    </row>
    <row r="82" spans="2:6">
      <c r="B82" s="26">
        <v>1</v>
      </c>
      <c r="C82" s="27">
        <v>12</v>
      </c>
      <c r="D82" s="1"/>
      <c r="E82" s="1"/>
      <c r="F82" s="1"/>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79E92784-BA23-4C44-B29A-FA52F2B38228}">
      <formula1>0</formula1>
      <formula2>80</formula2>
    </dataValidation>
    <dataValidation type="whole" showInputMessage="1" showErrorMessage="1" error="This is not a realistic number of contact hours please change" sqref="D19" xr:uid="{550AFEE7-1604-4977-9F98-E4B76BDA118F}">
      <formula1>0</formula1>
      <formula2>80</formula2>
    </dataValidation>
    <dataValidation type="list" allowBlank="1" showInputMessage="1" showErrorMessage="1" sqref="E38:E41" xr:uid="{D403BF25-3FB3-4384-BB39-469AF2782EAE}">
      <formula1>INDIRECT("LISTAssess[Assessment Specific]")</formula1>
    </dataValidation>
    <dataValidation type="list" allowBlank="1" showInputMessage="1" showErrorMessage="1" sqref="F46:F66" xr:uid="{745CC288-91D4-4DA8-AE69-A01CB3BE46A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D37AE88-6AD0-456F-9E3F-99B89BF5E276}">
          <x14:formula1>
            <xm:f>LISTS!$C$26:$C$37</xm:f>
          </x14:formula1>
          <xm:sqref>D14</xm:sqref>
        </x14:dataValidation>
        <x14:dataValidation type="list" allowBlank="1" showInputMessage="1" showErrorMessage="1" xr:uid="{A1F1AAA4-BD3B-421A-9F5E-028DC686CBDD}">
          <x14:formula1>
            <xm:f>LISTS!$C$17:$C$22</xm:f>
          </x14:formula1>
          <xm:sqref>D13</xm:sqref>
        </x14:dataValidation>
        <x14:dataValidation type="list" allowBlank="1" showInputMessage="1" showErrorMessage="1" xr:uid="{712CAEFC-EEFA-4E8C-A180-93AC99749803}">
          <x14:formula1>
            <xm:f>LISTS!$C$7:$C$9</xm:f>
          </x14:formula1>
          <xm:sqref>D10</xm:sqref>
        </x14:dataValidation>
        <x14:dataValidation type="list" allowBlank="1" showInputMessage="1" showErrorMessage="1" xr:uid="{C8C9089B-2B4E-4C8B-8A7C-39A0B328AD38}">
          <x14:formula1>
            <xm:f>LISTS!$C$11:$C$15</xm:f>
          </x14:formula1>
          <xm:sqref>D11</xm:sqref>
        </x14:dataValidation>
        <x14:dataValidation type="list" allowBlank="1" showInputMessage="1" showErrorMessage="1" xr:uid="{F0F0D914-5C03-419D-AC28-0AA3A3307881}">
          <x14:formula1>
            <xm:f>LISTS!$G$7:$G$11</xm:f>
          </x14:formula1>
          <xm:sqref>D38:D42</xm:sqref>
        </x14:dataValidation>
        <x14:dataValidation type="list" allowBlank="1" showInputMessage="1" showErrorMessage="1" xr:uid="{A94B2EF1-25DE-4951-8A08-5BEDCDE71BF2}">
          <x14:formula1>
            <xm:f>LISTS!$E$7:$E$11</xm:f>
          </x14:formula1>
          <xm:sqref>D46:D66</xm:sqref>
        </x14:dataValidation>
        <x14:dataValidation type="list" allowBlank="1" showInputMessage="1" showErrorMessage="1" xr:uid="{6D112B83-0FEF-4C7B-B52F-F6EA0776A917}">
          <x14:formula1>
            <xm:f>LISTS!$J$7:$J$16</xm:f>
          </x14:formula1>
          <xm:sqref>E46:E66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09C9-9296-42AF-BDD1-C02EB207C905}">
  <sheetPr codeName="Sheet31"/>
  <dimension ref="B2:H94"/>
  <sheetViews>
    <sheetView showGridLines="0" topLeftCell="D37" zoomScale="85" zoomScaleNormal="85" workbookViewId="0">
      <selection activeCell="E52" sqref="E52"/>
    </sheetView>
  </sheetViews>
  <sheetFormatPr defaultColWidth="8.85546875" defaultRowHeight="1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7" ht="26.25">
      <c r="C2" s="14" t="str">
        <f>D7</f>
        <v xml:space="preserve">6401SPS </v>
      </c>
      <c r="D2" s="14" t="str">
        <f>D8</f>
        <v xml:space="preserve">Advanced Coaching Practice </v>
      </c>
    </row>
    <row r="3" spans="2:7">
      <c r="B3" s="15"/>
      <c r="C3" s="15"/>
    </row>
    <row r="4" spans="2:7">
      <c r="B4" s="16"/>
      <c r="C4" s="16"/>
    </row>
    <row r="5" spans="2:7" ht="18.75">
      <c r="B5" s="16"/>
      <c r="C5" s="17" t="s">
        <v>0</v>
      </c>
    </row>
    <row r="6" spans="2:7">
      <c r="B6" s="16"/>
      <c r="C6" s="18" t="s">
        <v>1</v>
      </c>
      <c r="D6" s="19" t="s">
        <v>2</v>
      </c>
      <c r="E6" s="19"/>
      <c r="F6" t="s">
        <v>3</v>
      </c>
    </row>
    <row r="7" spans="2:7">
      <c r="B7" s="16"/>
      <c r="C7" s="24" t="s">
        <v>4</v>
      </c>
      <c r="D7" s="1" t="s">
        <v>328</v>
      </c>
      <c r="E7" s="19"/>
      <c r="F7" s="4"/>
    </row>
    <row r="8" spans="2:7" ht="390">
      <c r="B8" s="16"/>
      <c r="C8" s="24" t="s">
        <v>7</v>
      </c>
      <c r="D8" s="1" t="s">
        <v>329</v>
      </c>
      <c r="E8" s="19"/>
      <c r="F8" s="45" t="s">
        <v>330</v>
      </c>
    </row>
    <row r="9" spans="2:7" ht="15.75">
      <c r="C9" s="24" t="s">
        <v>9</v>
      </c>
      <c r="D9" s="1">
        <v>20</v>
      </c>
      <c r="E9" s="19"/>
      <c r="F9" s="51" t="s">
        <v>105</v>
      </c>
    </row>
    <row r="10" spans="2:7" ht="15.75">
      <c r="C10" s="24" t="s">
        <v>10</v>
      </c>
      <c r="D10" s="1">
        <v>2</v>
      </c>
      <c r="E10" s="19"/>
      <c r="F10" s="52" t="s">
        <v>331</v>
      </c>
    </row>
    <row r="11" spans="2:7" ht="15.75">
      <c r="C11" s="24" t="s">
        <v>12</v>
      </c>
      <c r="D11" s="1">
        <v>6</v>
      </c>
      <c r="E11" s="19"/>
      <c r="F11" s="57" t="s">
        <v>332</v>
      </c>
      <c r="G11" s="20"/>
    </row>
    <row r="12" spans="2:7" ht="15.75">
      <c r="C12" s="24" t="s">
        <v>14</v>
      </c>
      <c r="D12" s="1" t="s">
        <v>333</v>
      </c>
      <c r="E12" s="19"/>
      <c r="F12" s="58" t="s">
        <v>105</v>
      </c>
      <c r="G12" s="20"/>
    </row>
    <row r="13" spans="2:7">
      <c r="C13" s="24" t="s">
        <v>17</v>
      </c>
      <c r="D13" s="1" t="s">
        <v>18</v>
      </c>
      <c r="E13" s="19"/>
      <c r="F13" s="59" t="s">
        <v>334</v>
      </c>
    </row>
    <row r="14" spans="2:7" ht="15.75">
      <c r="C14" s="24" t="s">
        <v>20</v>
      </c>
      <c r="D14" s="1" t="s">
        <v>112</v>
      </c>
      <c r="E14" s="19"/>
      <c r="F14" s="47" t="s">
        <v>335</v>
      </c>
      <c r="G14" s="20"/>
    </row>
    <row r="15" spans="2:7" ht="15.75">
      <c r="C15" s="18"/>
      <c r="D15" s="19"/>
      <c r="E15" s="19"/>
      <c r="F15" s="53" t="s">
        <v>336</v>
      </c>
      <c r="G15" s="20"/>
    </row>
    <row r="16" spans="2:7" ht="15.75">
      <c r="C16" s="18"/>
      <c r="D16" s="19"/>
      <c r="E16" s="19"/>
      <c r="F16" s="50" t="s">
        <v>335</v>
      </c>
    </row>
    <row r="17" spans="3:7" ht="18.75">
      <c r="C17" s="17" t="s">
        <v>25</v>
      </c>
      <c r="D17" s="19"/>
      <c r="E17" s="19"/>
      <c r="F17" s="59" t="s">
        <v>337</v>
      </c>
      <c r="G17" s="20"/>
    </row>
    <row r="18" spans="3:7" ht="15.75">
      <c r="C18" s="18" t="s">
        <v>26</v>
      </c>
      <c r="D18" s="15" t="s">
        <v>25</v>
      </c>
      <c r="E18" s="19"/>
      <c r="F18" s="60">
        <v>6</v>
      </c>
      <c r="G18" s="20"/>
    </row>
    <row r="19" spans="3:7">
      <c r="C19" s="24" t="s">
        <v>27</v>
      </c>
      <c r="D19" s="2">
        <v>20</v>
      </c>
      <c r="E19" s="19"/>
      <c r="F19" s="4"/>
    </row>
    <row r="20" spans="3:7">
      <c r="C20" s="24" t="s">
        <v>28</v>
      </c>
      <c r="D20" s="2"/>
      <c r="E20" s="19"/>
      <c r="F20" s="4"/>
    </row>
    <row r="21" spans="3:7">
      <c r="C21" s="24" t="s">
        <v>29</v>
      </c>
      <c r="D21" s="2">
        <v>20</v>
      </c>
      <c r="E21" s="19"/>
    </row>
    <row r="22" spans="3:7">
      <c r="C22" s="24" t="s">
        <v>30</v>
      </c>
      <c r="D22" s="2"/>
      <c r="E22" s="19"/>
      <c r="F22" t="s">
        <v>31</v>
      </c>
    </row>
    <row r="23" spans="3:7">
      <c r="C23" s="24" t="s">
        <v>32</v>
      </c>
      <c r="D23" s="2">
        <v>0</v>
      </c>
      <c r="E23" s="19"/>
      <c r="F23" s="61" t="s">
        <v>338</v>
      </c>
    </row>
    <row r="24" spans="3:7">
      <c r="C24" s="24" t="s">
        <v>34</v>
      </c>
      <c r="D24" s="15">
        <f>SUM(D19:D23)</f>
        <v>40</v>
      </c>
      <c r="E24" s="19"/>
      <c r="F24" s="55" t="s">
        <v>339</v>
      </c>
    </row>
    <row r="25" spans="3:7">
      <c r="F25" s="62" t="s">
        <v>340</v>
      </c>
    </row>
    <row r="26" spans="3:7">
      <c r="F26" s="61" t="s">
        <v>341</v>
      </c>
    </row>
    <row r="27" spans="3:7" ht="18.75">
      <c r="C27" s="17" t="s">
        <v>37</v>
      </c>
      <c r="D27" s="21" t="s">
        <v>38</v>
      </c>
      <c r="F27" s="55" t="s">
        <v>342</v>
      </c>
    </row>
    <row r="28" spans="3:7">
      <c r="C28" s="18" t="s">
        <v>39</v>
      </c>
      <c r="D28" s="18" t="s">
        <v>40</v>
      </c>
      <c r="E28" s="18"/>
      <c r="F28" s="62" t="s">
        <v>343</v>
      </c>
    </row>
    <row r="29" spans="3:7" ht="15.75">
      <c r="C29" s="24" t="s">
        <v>41</v>
      </c>
      <c r="D29" s="54" t="s">
        <v>344</v>
      </c>
      <c r="E29" s="19"/>
      <c r="F29" s="61" t="s">
        <v>345</v>
      </c>
    </row>
    <row r="30" spans="3:7" ht="15.75">
      <c r="C30" s="24" t="s">
        <v>43</v>
      </c>
      <c r="D30" s="54" t="s">
        <v>346</v>
      </c>
      <c r="E30" s="19"/>
      <c r="F30" s="55" t="s">
        <v>347</v>
      </c>
    </row>
    <row r="31" spans="3:7" ht="30">
      <c r="C31" s="24" t="s">
        <v>45</v>
      </c>
      <c r="D31" s="1" t="s">
        <v>348</v>
      </c>
      <c r="E31" s="19"/>
      <c r="F31" s="62" t="s">
        <v>105</v>
      </c>
    </row>
    <row r="32" spans="3:7">
      <c r="C32" s="24" t="s">
        <v>47</v>
      </c>
      <c r="D32" s="1"/>
      <c r="E32" s="19"/>
      <c r="F32" s="61" t="s">
        <v>349</v>
      </c>
    </row>
    <row r="33" spans="3:8">
      <c r="C33" s="24" t="s">
        <v>48</v>
      </c>
      <c r="D33" s="1"/>
      <c r="E33" s="19"/>
      <c r="F33" s="55" t="s">
        <v>350</v>
      </c>
    </row>
    <row r="36" spans="3:8" ht="18.75">
      <c r="C36" s="17" t="s">
        <v>49</v>
      </c>
    </row>
    <row r="37" spans="3:8">
      <c r="C37" s="18" t="s">
        <v>50</v>
      </c>
      <c r="D37" s="18" t="s">
        <v>51</v>
      </c>
      <c r="E37" s="18" t="s">
        <v>52</v>
      </c>
      <c r="F37" s="18" t="s">
        <v>53</v>
      </c>
      <c r="G37" s="18" t="s">
        <v>54</v>
      </c>
      <c r="H37" s="18" t="s">
        <v>55</v>
      </c>
    </row>
    <row r="38" spans="3:8">
      <c r="C38" s="24" t="s">
        <v>56</v>
      </c>
      <c r="D38" s="1" t="s">
        <v>57</v>
      </c>
      <c r="E38" s="1"/>
      <c r="F38" s="1" t="s">
        <v>351</v>
      </c>
      <c r="G38" s="3">
        <v>0.5</v>
      </c>
      <c r="H38" s="1"/>
    </row>
    <row r="39" spans="3:8">
      <c r="C39" s="24" t="s">
        <v>59</v>
      </c>
      <c r="D39" s="1" t="s">
        <v>29</v>
      </c>
      <c r="E39" s="1"/>
      <c r="F39" s="1" t="s">
        <v>352</v>
      </c>
      <c r="G39" s="3">
        <v>0.5</v>
      </c>
      <c r="H39" s="1"/>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275</v>
      </c>
      <c r="F46" s="4" t="s">
        <v>353</v>
      </c>
    </row>
    <row r="47" spans="3:8">
      <c r="C47" s="5" t="s">
        <v>56</v>
      </c>
      <c r="D47" s="4" t="s">
        <v>41</v>
      </c>
      <c r="E47" s="4" t="s">
        <v>275</v>
      </c>
      <c r="F47" s="4" t="s">
        <v>276</v>
      </c>
    </row>
    <row r="48" spans="3:8">
      <c r="C48" s="5" t="s">
        <v>56</v>
      </c>
      <c r="D48" s="4" t="s">
        <v>43</v>
      </c>
      <c r="E48" s="4" t="s">
        <v>65</v>
      </c>
      <c r="F48" s="4" t="s">
        <v>68</v>
      </c>
    </row>
    <row r="49" spans="3:6">
      <c r="C49" s="5" t="s">
        <v>59</v>
      </c>
      <c r="D49" s="4" t="s">
        <v>45</v>
      </c>
      <c r="E49" s="4" t="s">
        <v>65</v>
      </c>
      <c r="F49" s="4" t="s">
        <v>354</v>
      </c>
    </row>
    <row r="50" spans="3:6">
      <c r="C50" s="5" t="s">
        <v>59</v>
      </c>
      <c r="D50" s="4" t="s">
        <v>45</v>
      </c>
      <c r="E50" s="4" t="s">
        <v>132</v>
      </c>
      <c r="F50" s="4" t="s">
        <v>246</v>
      </c>
    </row>
    <row r="51" spans="3:6">
      <c r="C51" s="5" t="s">
        <v>59</v>
      </c>
      <c r="D51" s="4" t="s">
        <v>45</v>
      </c>
      <c r="E51" s="4" t="s">
        <v>128</v>
      </c>
      <c r="F51" s="4" t="s">
        <v>129</v>
      </c>
    </row>
    <row r="52" spans="3:6">
      <c r="C52" s="5" t="s">
        <v>60</v>
      </c>
      <c r="D52" s="4"/>
      <c r="E52" s="4"/>
      <c r="F52" s="4"/>
    </row>
    <row r="53" spans="3:6">
      <c r="C53" s="5" t="s">
        <v>60</v>
      </c>
      <c r="D53" s="4"/>
      <c r="E53" s="4"/>
      <c r="F53" s="4"/>
    </row>
    <row r="54" spans="3:6">
      <c r="C54" s="5" t="s">
        <v>60</v>
      </c>
      <c r="D54" s="4"/>
      <c r="E54" s="4"/>
      <c r="F54" s="4"/>
    </row>
    <row r="55" spans="3:6">
      <c r="C55" s="5" t="s">
        <v>61</v>
      </c>
      <c r="D55" s="4"/>
      <c r="E55" s="4"/>
      <c r="F55" s="4"/>
    </row>
    <row r="56" spans="3:6">
      <c r="C56" s="5" t="s">
        <v>61</v>
      </c>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c r="B71" s="26">
        <v>1</v>
      </c>
      <c r="C71" s="27">
        <v>1</v>
      </c>
      <c r="D71" s="1"/>
      <c r="E71" s="1"/>
      <c r="F71" s="1"/>
    </row>
    <row r="72" spans="2:6">
      <c r="B72" s="26">
        <v>1</v>
      </c>
      <c r="C72" s="27">
        <v>2</v>
      </c>
      <c r="D72" s="1"/>
      <c r="E72" s="1"/>
      <c r="F72" s="1"/>
    </row>
    <row r="73" spans="2:6">
      <c r="B73" s="26">
        <v>1</v>
      </c>
      <c r="C73" s="27">
        <v>3</v>
      </c>
      <c r="D73" s="1"/>
      <c r="E73" s="1"/>
      <c r="F73" s="1"/>
    </row>
    <row r="74" spans="2:6">
      <c r="B74" s="26">
        <v>1</v>
      </c>
      <c r="C74" s="27">
        <v>4</v>
      </c>
      <c r="D74" s="1"/>
      <c r="E74" s="1"/>
      <c r="F74" s="1"/>
    </row>
    <row r="75" spans="2:6">
      <c r="B75" s="26">
        <v>1</v>
      </c>
      <c r="C75" s="27">
        <v>5</v>
      </c>
      <c r="D75" s="1"/>
      <c r="E75" s="1"/>
      <c r="F75" s="1"/>
    </row>
    <row r="76" spans="2:6">
      <c r="B76" s="26">
        <v>1</v>
      </c>
      <c r="C76" s="27">
        <v>6</v>
      </c>
      <c r="D76" s="1"/>
      <c r="E76" s="1"/>
      <c r="F76" s="1"/>
    </row>
    <row r="77" spans="2:6">
      <c r="B77" s="26">
        <v>1</v>
      </c>
      <c r="C77" s="27">
        <v>7</v>
      </c>
      <c r="D77" s="1"/>
      <c r="E77" s="1"/>
      <c r="F77" s="1"/>
    </row>
    <row r="78" spans="2:6">
      <c r="B78" s="26">
        <v>1</v>
      </c>
      <c r="C78" s="27">
        <v>8</v>
      </c>
      <c r="D78" s="1"/>
      <c r="E78" s="1"/>
      <c r="F78" s="1"/>
    </row>
    <row r="79" spans="2:6">
      <c r="B79" s="26">
        <v>1</v>
      </c>
      <c r="C79" s="27">
        <v>9</v>
      </c>
      <c r="D79" s="1"/>
      <c r="E79" s="1"/>
      <c r="F79" s="1"/>
    </row>
    <row r="80" spans="2:6">
      <c r="B80" s="26">
        <v>1</v>
      </c>
      <c r="C80" s="27">
        <v>10</v>
      </c>
      <c r="D80" s="1"/>
      <c r="E80" s="1"/>
      <c r="F80" s="1"/>
    </row>
    <row r="81" spans="2:6">
      <c r="B81" s="26">
        <v>1</v>
      </c>
      <c r="C81" s="27">
        <v>11</v>
      </c>
      <c r="D81" s="1"/>
      <c r="E81" s="1"/>
      <c r="F81" s="1"/>
    </row>
    <row r="82" spans="2:6">
      <c r="B82" s="26">
        <v>1</v>
      </c>
      <c r="C82" s="27">
        <v>12</v>
      </c>
      <c r="D82" s="1"/>
      <c r="E82" s="1"/>
      <c r="F82" s="1"/>
    </row>
    <row r="83" spans="2:6">
      <c r="B83" s="26">
        <v>2</v>
      </c>
      <c r="C83" s="27">
        <v>1</v>
      </c>
      <c r="D83" s="1" t="s">
        <v>355</v>
      </c>
      <c r="E83" s="1" t="s">
        <v>356</v>
      </c>
      <c r="F83" s="1"/>
    </row>
    <row r="84" spans="2:6">
      <c r="B84" s="26">
        <v>2</v>
      </c>
      <c r="C84" s="27">
        <v>2</v>
      </c>
      <c r="D84" s="55" t="s">
        <v>357</v>
      </c>
      <c r="E84" s="1" t="s">
        <v>356</v>
      </c>
      <c r="F84" s="1"/>
    </row>
    <row r="85" spans="2:6">
      <c r="B85" s="26">
        <v>2</v>
      </c>
      <c r="C85" s="27">
        <v>3</v>
      </c>
      <c r="D85" s="55" t="s">
        <v>358</v>
      </c>
      <c r="E85" s="1" t="s">
        <v>356</v>
      </c>
      <c r="F85" s="1"/>
    </row>
    <row r="86" spans="2:6">
      <c r="B86" s="26">
        <v>2</v>
      </c>
      <c r="C86" s="27">
        <v>4</v>
      </c>
      <c r="D86" s="55" t="s">
        <v>359</v>
      </c>
      <c r="E86" s="1" t="s">
        <v>356</v>
      </c>
      <c r="F86" s="1"/>
    </row>
    <row r="87" spans="2:6">
      <c r="B87" s="26">
        <v>2</v>
      </c>
      <c r="C87" s="27">
        <v>5</v>
      </c>
      <c r="D87" s="55" t="s">
        <v>360</v>
      </c>
      <c r="E87" s="1" t="s">
        <v>356</v>
      </c>
      <c r="F87" s="1"/>
    </row>
    <row r="88" spans="2:6">
      <c r="B88" s="26">
        <v>2</v>
      </c>
      <c r="C88" s="27">
        <v>6</v>
      </c>
      <c r="D88" s="55" t="s">
        <v>361</v>
      </c>
      <c r="E88" s="1" t="s">
        <v>356</v>
      </c>
      <c r="F88" s="1"/>
    </row>
    <row r="89" spans="2:6">
      <c r="B89" s="26">
        <v>2</v>
      </c>
      <c r="C89" s="27">
        <v>7</v>
      </c>
      <c r="D89" s="55" t="s">
        <v>362</v>
      </c>
      <c r="E89" s="1" t="s">
        <v>356</v>
      </c>
      <c r="F89" s="1"/>
    </row>
    <row r="90" spans="2:6">
      <c r="B90" s="26">
        <v>2</v>
      </c>
      <c r="C90" s="27">
        <v>8</v>
      </c>
      <c r="D90" s="55" t="s">
        <v>363</v>
      </c>
      <c r="E90" s="1" t="s">
        <v>356</v>
      </c>
      <c r="F90" s="1"/>
    </row>
    <row r="91" spans="2:6">
      <c r="B91" s="26">
        <v>2</v>
      </c>
      <c r="C91" s="27">
        <v>9</v>
      </c>
      <c r="D91" s="56" t="s">
        <v>364</v>
      </c>
      <c r="E91" s="1" t="s">
        <v>356</v>
      </c>
      <c r="F91" s="1"/>
    </row>
    <row r="92" spans="2:6">
      <c r="B92" s="26">
        <v>2</v>
      </c>
      <c r="C92" s="27">
        <v>10</v>
      </c>
      <c r="D92" s="56" t="s">
        <v>365</v>
      </c>
      <c r="E92" s="1" t="s">
        <v>356</v>
      </c>
      <c r="F92" s="1"/>
    </row>
    <row r="93" spans="2:6">
      <c r="B93" s="26">
        <v>2</v>
      </c>
      <c r="C93" s="27">
        <v>11</v>
      </c>
      <c r="D93" s="1" t="s">
        <v>366</v>
      </c>
      <c r="E93" s="1" t="s">
        <v>367</v>
      </c>
      <c r="F93" s="1"/>
    </row>
    <row r="94" spans="2:6">
      <c r="B94" s="26">
        <v>2</v>
      </c>
      <c r="C94" s="27">
        <v>12</v>
      </c>
      <c r="D94" s="1" t="s">
        <v>366</v>
      </c>
      <c r="E94" s="1" t="s">
        <v>367</v>
      </c>
      <c r="F94" s="1"/>
    </row>
  </sheetData>
  <sheetProtection sheet="1" objects="1" scenarios="1" formatCells="0" formatColumns="0" formatRows="0" insertHyperlinks="0"/>
  <phoneticPr fontId="2" type="noConversion"/>
  <dataValidations count="4">
    <dataValidation type="list" allowBlank="1" showInputMessage="1" showErrorMessage="1" sqref="F46:F66" xr:uid="{01FEA6C9-D04E-44C1-A327-802564B6B9F3}">
      <formula1>INDIRECT(VLOOKUP($E46, SkillNameMap, 2, FALSE))</formula1>
    </dataValidation>
    <dataValidation type="list" allowBlank="1" showInputMessage="1" showErrorMessage="1" sqref="E38:E41" xr:uid="{07247691-DC98-413E-B3EA-3489C3BA249B}">
      <formula1>INDIRECT("LISTAssess[Assessment Specific]")</formula1>
    </dataValidation>
    <dataValidation type="whole" showInputMessage="1" showErrorMessage="1" error="This is not a realistic number of contact hours please change" sqref="D19" xr:uid="{FC8290A5-A7DE-4C89-B56E-6D6FE33EBF36}">
      <formula1>0</formula1>
      <formula2>80</formula2>
    </dataValidation>
    <dataValidation type="whole" showInputMessage="1" showErrorMessage="1" error="This is not a realistic number of contact hours please reduce" sqref="D20:D23" xr:uid="{DE393F00-EC5E-4F3E-AE14-72CDEBB8295C}">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247F662-842E-4EE3-805A-AA5953BF083A}">
          <x14:formula1>
            <xm:f>LISTS!$J$7:$J$16</xm:f>
          </x14:formula1>
          <xm:sqref>E46:E66</xm:sqref>
        </x14:dataValidation>
        <x14:dataValidation type="list" allowBlank="1" showInputMessage="1" showErrorMessage="1" xr:uid="{44D1F96B-AB6E-4E58-B489-7D973FD9CD46}">
          <x14:formula1>
            <xm:f>LISTS!$E$7:$E$11</xm:f>
          </x14:formula1>
          <xm:sqref>D46:D66</xm:sqref>
        </x14:dataValidation>
        <x14:dataValidation type="list" allowBlank="1" showInputMessage="1" showErrorMessage="1" xr:uid="{26E9181F-EF38-45D0-9152-FBF6EC0BEB00}">
          <x14:formula1>
            <xm:f>LISTS!$G$7:$G$11</xm:f>
          </x14:formula1>
          <xm:sqref>D38:D42</xm:sqref>
        </x14:dataValidation>
        <x14:dataValidation type="list" allowBlank="1" showInputMessage="1" showErrorMessage="1" xr:uid="{E5E57D1C-21AE-4566-8E6D-957C12AE18CE}">
          <x14:formula1>
            <xm:f>LISTS!$C$11:$C$15</xm:f>
          </x14:formula1>
          <xm:sqref>D11</xm:sqref>
        </x14:dataValidation>
        <x14:dataValidation type="list" allowBlank="1" showInputMessage="1" showErrorMessage="1" xr:uid="{63FB959C-463B-47BC-9C99-DFA102385F42}">
          <x14:formula1>
            <xm:f>LISTS!$C$7:$C$9</xm:f>
          </x14:formula1>
          <xm:sqref>D10</xm:sqref>
        </x14:dataValidation>
        <x14:dataValidation type="list" allowBlank="1" showInputMessage="1" showErrorMessage="1" xr:uid="{F2631761-3E1D-4998-9158-850FB5708328}">
          <x14:formula1>
            <xm:f>LISTS!$C$17:$C$22</xm:f>
          </x14:formula1>
          <xm:sqref>D13</xm:sqref>
        </x14:dataValidation>
        <x14:dataValidation type="list" allowBlank="1" showInputMessage="1" showErrorMessage="1" xr:uid="{0FF40044-1DF8-4C09-97A1-BC6111D3174A}">
          <x14:formula1>
            <xm:f>LISTS!$C$26:$C$37</xm:f>
          </x14:formula1>
          <xm:sqref>D14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08AE-A3E7-4649-AF94-9902578E541A}">
  <sheetPr codeName="Sheet10"/>
  <dimension ref="B2:H94"/>
  <sheetViews>
    <sheetView showGridLines="0" tabSelected="1" topLeftCell="E24" zoomScale="85" zoomScaleNormal="85" workbookViewId="0">
      <selection activeCell="F26" sqref="F26"/>
    </sheetView>
  </sheetViews>
  <sheetFormatPr defaultColWidth="8.85546875" defaultRowHeight="15"/>
  <cols>
    <col min="3" max="3" width="33.28515625" customWidth="1"/>
    <col min="4" max="4" width="51.42578125" customWidth="1"/>
    <col min="5" max="5" width="67.28515625" customWidth="1"/>
    <col min="6" max="6" width="123" customWidth="1"/>
    <col min="7" max="7" width="12.42578125" customWidth="1"/>
    <col min="8" max="8" width="15.42578125" customWidth="1"/>
    <col min="9" max="9" width="14.7109375" customWidth="1"/>
  </cols>
  <sheetData>
    <row r="2" spans="2:6" ht="26.25">
      <c r="C2" s="14" t="str">
        <f>D7</f>
        <v>6402SPS</v>
      </c>
      <c r="D2" s="14" t="str">
        <f>D8</f>
        <v xml:space="preserve">Coach Development and Learning </v>
      </c>
    </row>
    <row r="3" spans="2:6">
      <c r="B3" s="15"/>
      <c r="C3" s="15"/>
    </row>
    <row r="4" spans="2:6">
      <c r="B4" s="16"/>
      <c r="C4" s="16"/>
    </row>
    <row r="5" spans="2:6" ht="18.75">
      <c r="B5" s="16"/>
      <c r="C5" s="17" t="s">
        <v>0</v>
      </c>
    </row>
    <row r="6" spans="2:6">
      <c r="B6" s="16"/>
      <c r="C6" s="18" t="s">
        <v>1</v>
      </c>
      <c r="D6" s="19" t="s">
        <v>2</v>
      </c>
      <c r="E6" s="19"/>
      <c r="F6" t="s">
        <v>3</v>
      </c>
    </row>
    <row r="7" spans="2:6" ht="13.5" customHeight="1">
      <c r="B7" s="16"/>
      <c r="C7" s="24" t="s">
        <v>4</v>
      </c>
      <c r="D7" s="1" t="s">
        <v>368</v>
      </c>
      <c r="E7" s="19"/>
      <c r="F7" s="7" t="s">
        <v>369</v>
      </c>
    </row>
    <row r="8" spans="2:6" ht="105.75">
      <c r="B8" s="16"/>
      <c r="C8" s="24" t="s">
        <v>7</v>
      </c>
      <c r="D8" s="1" t="s">
        <v>370</v>
      </c>
      <c r="E8" s="19"/>
      <c r="F8" s="7" t="s">
        <v>371</v>
      </c>
    </row>
    <row r="9" spans="2:6" ht="15.75">
      <c r="C9" s="24" t="s">
        <v>9</v>
      </c>
      <c r="D9" s="1">
        <v>20</v>
      </c>
      <c r="E9" s="19"/>
      <c r="F9" s="20"/>
    </row>
    <row r="10" spans="2:6" ht="15.75">
      <c r="C10" s="24" t="s">
        <v>10</v>
      </c>
      <c r="D10" s="1">
        <v>1</v>
      </c>
      <c r="E10" s="19"/>
      <c r="F10" s="20"/>
    </row>
    <row r="11" spans="2:6" ht="15.75">
      <c r="C11" s="24" t="s">
        <v>12</v>
      </c>
      <c r="D11" s="1">
        <v>6</v>
      </c>
      <c r="E11" s="19"/>
      <c r="F11" s="20"/>
    </row>
    <row r="12" spans="2:6" ht="15.75">
      <c r="C12" s="24" t="s">
        <v>14</v>
      </c>
      <c r="D12" s="1" t="s">
        <v>372</v>
      </c>
      <c r="E12" s="19"/>
      <c r="F12" s="20"/>
    </row>
    <row r="13" spans="2:6" ht="15.75">
      <c r="C13" s="24" t="s">
        <v>17</v>
      </c>
      <c r="D13" s="1" t="s">
        <v>18</v>
      </c>
      <c r="E13" s="19"/>
      <c r="F13" s="20"/>
    </row>
    <row r="14" spans="2:6" ht="15.75">
      <c r="C14" s="24" t="s">
        <v>20</v>
      </c>
      <c r="D14" s="1" t="s">
        <v>112</v>
      </c>
      <c r="E14" s="19"/>
      <c r="F14" s="20"/>
    </row>
    <row r="15" spans="2:6">
      <c r="C15" s="18"/>
      <c r="D15" s="19"/>
      <c r="E15" s="19"/>
      <c r="F15" t="s">
        <v>11</v>
      </c>
    </row>
    <row r="16" spans="2:6" ht="15.75">
      <c r="C16" s="18"/>
      <c r="D16" s="19"/>
      <c r="E16" s="19"/>
      <c r="F16" s="65" t="s">
        <v>373</v>
      </c>
    </row>
    <row r="17" spans="3:6" ht="18.75">
      <c r="C17" s="17" t="s">
        <v>25</v>
      </c>
      <c r="D17" s="19"/>
      <c r="E17" s="19"/>
      <c r="F17" s="65" t="s">
        <v>374</v>
      </c>
    </row>
    <row r="18" spans="3:6" ht="15.75">
      <c r="C18" s="18" t="s">
        <v>26</v>
      </c>
      <c r="D18" s="15" t="s">
        <v>25</v>
      </c>
      <c r="E18" s="19"/>
      <c r="F18" s="65" t="s">
        <v>375</v>
      </c>
    </row>
    <row r="19" spans="3:6" ht="15.75">
      <c r="C19" s="24" t="s">
        <v>27</v>
      </c>
      <c r="D19" s="2">
        <v>10</v>
      </c>
      <c r="E19" s="19"/>
      <c r="F19" s="65" t="s">
        <v>376</v>
      </c>
    </row>
    <row r="20" spans="3:6">
      <c r="C20" s="24" t="s">
        <v>28</v>
      </c>
      <c r="D20" s="2">
        <v>20</v>
      </c>
      <c r="E20" s="19"/>
      <c r="F20" s="4"/>
    </row>
    <row r="21" spans="3:6">
      <c r="C21" s="24" t="s">
        <v>29</v>
      </c>
      <c r="D21" s="2"/>
      <c r="E21" s="19"/>
    </row>
    <row r="22" spans="3:6">
      <c r="C22" s="24" t="s">
        <v>30</v>
      </c>
      <c r="D22" s="2">
        <v>10</v>
      </c>
      <c r="E22" s="19"/>
      <c r="F22" t="s">
        <v>31</v>
      </c>
    </row>
    <row r="23" spans="3:6" ht="180">
      <c r="C23" s="24" t="s">
        <v>32</v>
      </c>
      <c r="D23" s="2"/>
      <c r="E23" s="19"/>
      <c r="F23" s="6" t="s">
        <v>377</v>
      </c>
    </row>
    <row r="24" spans="3:6" ht="225">
      <c r="C24" s="24" t="s">
        <v>34</v>
      </c>
      <c r="D24" s="15">
        <f>SUM(D19:D23)</f>
        <v>40</v>
      </c>
      <c r="E24" s="19"/>
      <c r="F24" s="87" t="s">
        <v>378</v>
      </c>
    </row>
    <row r="25" spans="3:6" ht="30">
      <c r="F25" s="86" t="s">
        <v>379</v>
      </c>
    </row>
    <row r="26" spans="3:6" ht="30">
      <c r="F26" s="86" t="s">
        <v>380</v>
      </c>
    </row>
    <row r="27" spans="3:6" ht="18.75">
      <c r="C27" s="17" t="s">
        <v>37</v>
      </c>
      <c r="D27" s="21" t="s">
        <v>38</v>
      </c>
      <c r="F27" s="4"/>
    </row>
    <row r="28" spans="3:6">
      <c r="C28" s="18" t="s">
        <v>39</v>
      </c>
      <c r="D28" s="18" t="s">
        <v>40</v>
      </c>
      <c r="E28" s="18"/>
      <c r="F28" s="4"/>
    </row>
    <row r="29" spans="3:6" ht="45">
      <c r="C29" s="24" t="s">
        <v>41</v>
      </c>
      <c r="D29" s="63" t="s">
        <v>381</v>
      </c>
      <c r="E29" s="19"/>
      <c r="F29" s="4"/>
    </row>
    <row r="30" spans="3:6" ht="43.5">
      <c r="C30" s="24" t="s">
        <v>43</v>
      </c>
      <c r="D30" s="64" t="s">
        <v>382</v>
      </c>
      <c r="E30" s="19"/>
      <c r="F30" s="4"/>
    </row>
    <row r="31" spans="3:6" ht="60">
      <c r="C31" s="24" t="s">
        <v>45</v>
      </c>
      <c r="D31" s="1" t="s">
        <v>383</v>
      </c>
      <c r="E31" s="19"/>
      <c r="F31" s="4"/>
    </row>
    <row r="32" spans="3:6" ht="57.75">
      <c r="C32" s="24" t="s">
        <v>47</v>
      </c>
      <c r="D32" s="64" t="s">
        <v>384</v>
      </c>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c r="C38" s="24" t="s">
        <v>56</v>
      </c>
      <c r="D38" s="1" t="s">
        <v>273</v>
      </c>
      <c r="E38" s="1" t="s">
        <v>178</v>
      </c>
      <c r="F38" s="1" t="s">
        <v>385</v>
      </c>
      <c r="G38" s="3">
        <v>1</v>
      </c>
      <c r="H38" s="1">
        <v>12</v>
      </c>
    </row>
    <row r="39" spans="3:8">
      <c r="C39" s="24" t="s">
        <v>59</v>
      </c>
      <c r="D39" s="1"/>
      <c r="E39" s="1"/>
      <c r="F39" s="1"/>
      <c r="G39" s="3"/>
      <c r="H39" s="1"/>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275</v>
      </c>
      <c r="F46" s="4" t="s">
        <v>386</v>
      </c>
    </row>
    <row r="47" spans="3:8">
      <c r="C47" s="5" t="s">
        <v>56</v>
      </c>
      <c r="D47" s="4" t="s">
        <v>43</v>
      </c>
      <c r="E47" s="4" t="s">
        <v>275</v>
      </c>
      <c r="F47" s="4" t="s">
        <v>386</v>
      </c>
    </row>
    <row r="48" spans="3:8">
      <c r="C48" s="5" t="s">
        <v>56</v>
      </c>
      <c r="D48" s="4" t="s">
        <v>45</v>
      </c>
      <c r="E48" s="4" t="s">
        <v>65</v>
      </c>
      <c r="F48" s="4" t="s">
        <v>66</v>
      </c>
    </row>
    <row r="49" spans="3:6">
      <c r="C49" s="5" t="s">
        <v>56</v>
      </c>
      <c r="D49" s="4" t="s">
        <v>47</v>
      </c>
      <c r="E49" s="4" t="s">
        <v>65</v>
      </c>
      <c r="F49" s="4" t="s">
        <v>66</v>
      </c>
    </row>
    <row r="50" spans="3:6">
      <c r="C50" s="5"/>
      <c r="D50" s="4"/>
      <c r="E50" s="4"/>
      <c r="F50" s="4"/>
    </row>
    <row r="51" spans="3:6">
      <c r="C51" s="5"/>
      <c r="D51" s="4"/>
      <c r="E51" s="4"/>
      <c r="F51" s="4"/>
    </row>
    <row r="52" spans="3:6">
      <c r="C52" s="5"/>
      <c r="D52" s="4"/>
      <c r="E52" s="4"/>
      <c r="F52" s="4"/>
    </row>
    <row r="53" spans="3:6">
      <c r="C53" s="5"/>
      <c r="D53" s="4"/>
      <c r="E53" s="4"/>
      <c r="F53" s="4"/>
    </row>
    <row r="54" spans="3:6">
      <c r="C54" s="5"/>
      <c r="D54" s="4"/>
      <c r="E54" s="4"/>
      <c r="F54" s="4"/>
    </row>
    <row r="55" spans="3:6">
      <c r="C55" s="5"/>
      <c r="D55" s="4"/>
      <c r="E55" s="4"/>
      <c r="F55" s="4"/>
    </row>
    <row r="56" spans="3:6">
      <c r="C56" s="5"/>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6" spans="2:6">
      <c r="C66" s="5"/>
      <c r="D66" s="4"/>
      <c r="E66" s="4"/>
      <c r="F66" s="4"/>
    </row>
    <row r="69" spans="2:6" ht="18.75">
      <c r="C69" s="17" t="s">
        <v>73</v>
      </c>
    </row>
    <row r="70" spans="2:6">
      <c r="B70" t="s">
        <v>74</v>
      </c>
      <c r="C70" s="15" t="s">
        <v>75</v>
      </c>
      <c r="D70" s="15" t="s">
        <v>76</v>
      </c>
      <c r="E70" s="15" t="s">
        <v>77</v>
      </c>
      <c r="F70" s="15" t="s">
        <v>78</v>
      </c>
    </row>
    <row r="71" spans="2:6" ht="15.75">
      <c r="B71" s="26">
        <v>1</v>
      </c>
      <c r="C71" s="27">
        <v>1</v>
      </c>
      <c r="D71" s="38" t="s">
        <v>387</v>
      </c>
      <c r="E71" s="1"/>
      <c r="F71" s="1" t="s">
        <v>388</v>
      </c>
    </row>
    <row r="72" spans="2:6" ht="15.75">
      <c r="B72" s="26">
        <v>1</v>
      </c>
      <c r="C72" s="27">
        <v>2</v>
      </c>
      <c r="D72" s="39" t="s">
        <v>389</v>
      </c>
      <c r="E72" s="1"/>
      <c r="F72" s="1" t="s">
        <v>390</v>
      </c>
    </row>
    <row r="73" spans="2:6" ht="15.75">
      <c r="B73" s="26">
        <v>1</v>
      </c>
      <c r="C73" s="27">
        <v>3</v>
      </c>
      <c r="D73" s="39" t="s">
        <v>391</v>
      </c>
      <c r="E73" s="1"/>
      <c r="F73" s="1" t="s">
        <v>390</v>
      </c>
    </row>
    <row r="74" spans="2:6" ht="15.75">
      <c r="B74" s="26">
        <v>1</v>
      </c>
      <c r="C74" s="27">
        <v>4</v>
      </c>
      <c r="D74" s="39" t="s">
        <v>392</v>
      </c>
      <c r="E74" s="1"/>
      <c r="F74" s="1" t="s">
        <v>390</v>
      </c>
    </row>
    <row r="75" spans="2:6" ht="15.75">
      <c r="B75" s="26">
        <v>1</v>
      </c>
      <c r="C75" s="27">
        <v>5</v>
      </c>
      <c r="D75" s="39" t="s">
        <v>393</v>
      </c>
      <c r="E75" s="1"/>
      <c r="F75" s="1" t="s">
        <v>390</v>
      </c>
    </row>
    <row r="76" spans="2:6" ht="15.75">
      <c r="B76" s="26">
        <v>1</v>
      </c>
      <c r="C76" s="27">
        <v>6</v>
      </c>
      <c r="D76" s="39" t="s">
        <v>394</v>
      </c>
      <c r="E76" s="1"/>
      <c r="F76" s="1" t="s">
        <v>390</v>
      </c>
    </row>
    <row r="77" spans="2:6" ht="15.75">
      <c r="B77" s="26">
        <v>1</v>
      </c>
      <c r="C77" s="27">
        <v>7</v>
      </c>
      <c r="D77" s="39" t="s">
        <v>395</v>
      </c>
      <c r="E77" s="13" t="s">
        <v>396</v>
      </c>
      <c r="F77" s="1"/>
    </row>
    <row r="78" spans="2:6" ht="15.75">
      <c r="B78" s="26">
        <v>1</v>
      </c>
      <c r="C78" s="27">
        <v>8</v>
      </c>
      <c r="D78" s="38" t="s">
        <v>397</v>
      </c>
      <c r="E78" s="1"/>
      <c r="F78" s="1" t="s">
        <v>388</v>
      </c>
    </row>
    <row r="79" spans="2:6" ht="15.75">
      <c r="B79" s="26">
        <v>1</v>
      </c>
      <c r="C79" s="27">
        <v>9</v>
      </c>
      <c r="D79" s="39" t="s">
        <v>398</v>
      </c>
      <c r="E79" s="1"/>
      <c r="F79" s="1" t="s">
        <v>388</v>
      </c>
    </row>
    <row r="80" spans="2:6" ht="15.75">
      <c r="B80" s="26">
        <v>1</v>
      </c>
      <c r="C80" s="27">
        <v>10</v>
      </c>
      <c r="D80" s="39" t="s">
        <v>399</v>
      </c>
      <c r="E80" s="1"/>
      <c r="F80" s="1" t="s">
        <v>388</v>
      </c>
    </row>
    <row r="81" spans="2:6" ht="15.75">
      <c r="B81" s="26">
        <v>1</v>
      </c>
      <c r="C81" s="27">
        <v>11</v>
      </c>
      <c r="D81" s="39" t="s">
        <v>400</v>
      </c>
      <c r="E81" s="1"/>
      <c r="F81" s="1" t="s">
        <v>388</v>
      </c>
    </row>
    <row r="82" spans="2:6" ht="15.75">
      <c r="B82" s="26">
        <v>1</v>
      </c>
      <c r="C82" s="27">
        <v>12</v>
      </c>
      <c r="D82" s="29" t="s">
        <v>401</v>
      </c>
      <c r="E82" s="1"/>
      <c r="F82" s="1" t="s">
        <v>30</v>
      </c>
    </row>
    <row r="83" spans="2:6">
      <c r="B83" s="26">
        <v>2</v>
      </c>
      <c r="C83" s="27">
        <v>1</v>
      </c>
      <c r="D83" s="1"/>
      <c r="E83" s="1"/>
      <c r="F83" s="1"/>
    </row>
    <row r="84" spans="2:6">
      <c r="B84" s="26">
        <v>2</v>
      </c>
      <c r="C84" s="27">
        <v>2</v>
      </c>
      <c r="D84" s="1"/>
      <c r="E84" s="1"/>
      <c r="F84" s="1"/>
    </row>
    <row r="85" spans="2:6">
      <c r="B85" s="26">
        <v>2</v>
      </c>
      <c r="C85" s="27">
        <v>3</v>
      </c>
      <c r="D85" s="1"/>
      <c r="E85" s="1"/>
      <c r="F85" s="1"/>
    </row>
    <row r="86" spans="2:6">
      <c r="B86" s="26">
        <v>2</v>
      </c>
      <c r="C86" s="27">
        <v>4</v>
      </c>
      <c r="D86" s="1"/>
      <c r="E86" s="1"/>
      <c r="F86" s="1"/>
    </row>
    <row r="87" spans="2:6">
      <c r="B87" s="26">
        <v>2</v>
      </c>
      <c r="C87" s="27">
        <v>5</v>
      </c>
      <c r="D87" s="1"/>
      <c r="E87" s="1"/>
      <c r="F87" s="1"/>
    </row>
    <row r="88" spans="2:6">
      <c r="B88" s="26">
        <v>2</v>
      </c>
      <c r="C88" s="27">
        <v>6</v>
      </c>
      <c r="D88" s="1"/>
      <c r="E88" s="1"/>
      <c r="F88" s="1"/>
    </row>
    <row r="89" spans="2:6">
      <c r="B89" s="26">
        <v>2</v>
      </c>
      <c r="C89" s="27">
        <v>7</v>
      </c>
      <c r="D89" s="1"/>
      <c r="E89" s="1"/>
      <c r="F89" s="1"/>
    </row>
    <row r="90" spans="2:6">
      <c r="B90" s="26">
        <v>2</v>
      </c>
      <c r="C90" s="27">
        <v>8</v>
      </c>
      <c r="D90" s="1"/>
      <c r="E90" s="1"/>
      <c r="F90" s="1"/>
    </row>
    <row r="91" spans="2:6">
      <c r="B91" s="26">
        <v>2</v>
      </c>
      <c r="C91" s="27">
        <v>9</v>
      </c>
      <c r="D91" s="1"/>
      <c r="E91" s="1"/>
      <c r="F91" s="1"/>
    </row>
    <row r="92" spans="2:6">
      <c r="B92" s="26">
        <v>2</v>
      </c>
      <c r="C92" s="27">
        <v>10</v>
      </c>
      <c r="D92" s="1"/>
      <c r="E92" s="1"/>
      <c r="F92" s="1"/>
    </row>
    <row r="93" spans="2:6">
      <c r="B93" s="26">
        <v>2</v>
      </c>
      <c r="C93" s="27">
        <v>11</v>
      </c>
      <c r="D93" s="1"/>
      <c r="E93" s="1"/>
      <c r="F93" s="1"/>
    </row>
    <row r="94" spans="2:6">
      <c r="B94" s="26">
        <v>2</v>
      </c>
      <c r="C94" s="27">
        <v>12</v>
      </c>
      <c r="D94" s="1"/>
      <c r="E94" s="1"/>
      <c r="F94" s="1"/>
    </row>
  </sheetData>
  <sheetProtection sheet="1" objects="1" scenarios="1" formatCells="0" formatColumns="0" formatRows="0" insertHyperlinks="0"/>
  <dataValidations count="4">
    <dataValidation type="list" allowBlank="1" showInputMessage="1" showErrorMessage="1" sqref="F46:F66" xr:uid="{892CDF0E-15A0-43A8-BD6A-62EF4D03C7D2}">
      <formula1>INDIRECT(VLOOKUP($E46, SkillNameMap, 2, FALSE))</formula1>
    </dataValidation>
    <dataValidation type="list" allowBlank="1" showInputMessage="1" showErrorMessage="1" sqref="E38:E41" xr:uid="{7994DC66-9754-47D3-A28B-C0A83A2EAC89}">
      <formula1>INDIRECT("LISTAssess[Assessment Specific]")</formula1>
    </dataValidation>
    <dataValidation type="whole" showInputMessage="1" showErrorMessage="1" error="This is not a realistic number of contact hours please change" sqref="D19" xr:uid="{5229BE75-B0E0-4077-8EF0-412E4F64E78E}">
      <formula1>0</formula1>
      <formula2>80</formula2>
    </dataValidation>
    <dataValidation type="whole" showInputMessage="1" showErrorMessage="1" error="This is not a realistic number of contact hours please reduce" sqref="D20:D23" xr:uid="{9C89F6C0-59B0-40A4-AD9B-FF2ACAB06DA5}">
      <formula1>0</formula1>
      <formula2>80</formula2>
    </dataValidation>
  </dataValidations>
  <pageMargins left="0.7" right="0.7" top="0.75" bottom="0.75" header="0.3" footer="0.3"/>
  <pageSetup paperSize="9" orientation="portrait" horizontalDpi="4294967293" verticalDpi="0" r:id="rId1"/>
  <tableParts count="9">
    <tablePart r:id="rId2"/>
    <tablePart r:id="rId3"/>
    <tablePart r:id="rId4"/>
    <tablePart r:id="rId5"/>
    <tablePart r:id="rId6"/>
    <tablePart r:id="rId7"/>
    <tablePart r:id="rId8"/>
    <tablePart r:id="rId9"/>
    <tablePart r:id="rId10"/>
  </tableParts>
  <extLst>
    <ext xmlns:x14="http://schemas.microsoft.com/office/spreadsheetml/2009/9/main" uri="{CCE6A557-97BC-4b89-ADB6-D9C93CAAB3DF}">
      <x14:dataValidations xmlns:xm="http://schemas.microsoft.com/office/excel/2006/main" count="7">
        <x14:dataValidation type="list" allowBlank="1" showInputMessage="1" showErrorMessage="1" xr:uid="{7B9F6B16-6FF5-4E56-841A-1AD40DF95F22}">
          <x14:formula1>
            <xm:f>LISTS!$J$7:$J$16</xm:f>
          </x14:formula1>
          <xm:sqref>E46:E66</xm:sqref>
        </x14:dataValidation>
        <x14:dataValidation type="list" allowBlank="1" showInputMessage="1" showErrorMessage="1" xr:uid="{4F387FE4-F215-4DCB-AA99-F2CB3B064FA3}">
          <x14:formula1>
            <xm:f>LISTS!$E$7:$E$11</xm:f>
          </x14:formula1>
          <xm:sqref>D46:D66</xm:sqref>
        </x14:dataValidation>
        <x14:dataValidation type="list" allowBlank="1" showInputMessage="1" showErrorMessage="1" xr:uid="{A8E27691-70AC-4099-A10F-63879CDC28C5}">
          <x14:formula1>
            <xm:f>LISTS!$G$7:$G$11</xm:f>
          </x14:formula1>
          <xm:sqref>D38:D42</xm:sqref>
        </x14:dataValidation>
        <x14:dataValidation type="list" allowBlank="1" showInputMessage="1" showErrorMessage="1" xr:uid="{762F8CE2-7D51-4572-9F70-B773F934E29C}">
          <x14:formula1>
            <xm:f>LISTS!$C$11:$C$15</xm:f>
          </x14:formula1>
          <xm:sqref>D11</xm:sqref>
        </x14:dataValidation>
        <x14:dataValidation type="list" allowBlank="1" showInputMessage="1" showErrorMessage="1" xr:uid="{15E0481E-98A1-407D-8DFA-141CA07D0DE7}">
          <x14:formula1>
            <xm:f>LISTS!$C$7:$C$9</xm:f>
          </x14:formula1>
          <xm:sqref>D10</xm:sqref>
        </x14:dataValidation>
        <x14:dataValidation type="list" allowBlank="1" showInputMessage="1" showErrorMessage="1" xr:uid="{B3565A50-A55E-4ECA-ADB3-330480BE2D6B}">
          <x14:formula1>
            <xm:f>LISTS!$C$17:$C$22</xm:f>
          </x14:formula1>
          <xm:sqref>D13</xm:sqref>
        </x14:dataValidation>
        <x14:dataValidation type="list" allowBlank="1" showInputMessage="1" showErrorMessage="1" xr:uid="{37A004BF-BEA8-4BF2-93ED-5C37361A1B7D}">
          <x14:formula1>
            <xm:f>LISTS!$C$26:$C$37</xm:f>
          </x14:formula1>
          <xm:sqref>D14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408C-EE1F-4BE4-988C-DF001F53BEA1}">
  <sheetPr codeName="Sheet11"/>
  <dimension ref="B2:H102"/>
  <sheetViews>
    <sheetView showGridLines="0" topLeftCell="A20" zoomScale="85" zoomScaleNormal="85" workbookViewId="0">
      <selection activeCell="E83" sqref="E83"/>
    </sheetView>
  </sheetViews>
  <sheetFormatPr defaultColWidth="8.85546875" defaultRowHeight="15"/>
  <cols>
    <col min="3" max="3" width="33.28515625" customWidth="1"/>
    <col min="4" max="4" width="51.42578125" style="31" customWidth="1"/>
    <col min="5" max="5" width="67.28515625" customWidth="1"/>
    <col min="6" max="6" width="63.140625" style="31" customWidth="1"/>
    <col min="7" max="7" width="12.42578125" customWidth="1"/>
    <col min="8" max="8" width="15.42578125" customWidth="1"/>
    <col min="9" max="9" width="14.7109375" customWidth="1"/>
  </cols>
  <sheetData>
    <row r="2" spans="2:6" ht="52.5">
      <c r="C2" s="14" t="str">
        <f>D7</f>
        <v>6403SPS</v>
      </c>
      <c r="D2" s="30" t="str">
        <f>D8</f>
        <v xml:space="preserve">Placement/Projects in Sport for Professional Development </v>
      </c>
    </row>
    <row r="3" spans="2:6">
      <c r="B3" s="15"/>
      <c r="C3" s="15"/>
    </row>
    <row r="4" spans="2:6">
      <c r="B4" s="16"/>
      <c r="C4" s="16"/>
    </row>
    <row r="5" spans="2:6" ht="18.75">
      <c r="B5" s="16"/>
      <c r="C5" s="17" t="s">
        <v>0</v>
      </c>
    </row>
    <row r="6" spans="2:6">
      <c r="B6" s="16"/>
      <c r="C6" s="18" t="s">
        <v>1</v>
      </c>
      <c r="D6" s="19" t="s">
        <v>2</v>
      </c>
      <c r="E6" s="19"/>
      <c r="F6" s="31" t="s">
        <v>3</v>
      </c>
    </row>
    <row r="7" spans="2:6" ht="29.25">
      <c r="B7" s="16"/>
      <c r="C7" s="24" t="s">
        <v>4</v>
      </c>
      <c r="D7" s="1" t="s">
        <v>402</v>
      </c>
      <c r="E7" s="19"/>
      <c r="F7" s="11" t="s">
        <v>403</v>
      </c>
    </row>
    <row r="8" spans="2:6" ht="43.5">
      <c r="B8" s="16"/>
      <c r="C8" s="24" t="s">
        <v>7</v>
      </c>
      <c r="D8" s="1" t="s">
        <v>404</v>
      </c>
      <c r="E8" s="19"/>
      <c r="F8" s="11" t="s">
        <v>405</v>
      </c>
    </row>
    <row r="9" spans="2:6" ht="43.5">
      <c r="C9" s="24" t="s">
        <v>9</v>
      </c>
      <c r="D9" s="1">
        <v>20</v>
      </c>
      <c r="E9" s="19"/>
      <c r="F9" s="11" t="s">
        <v>406</v>
      </c>
    </row>
    <row r="10" spans="2:6">
      <c r="C10" s="24" t="s">
        <v>10</v>
      </c>
      <c r="D10" s="1" t="s">
        <v>407</v>
      </c>
      <c r="E10" s="19"/>
      <c r="F10" s="31" t="s">
        <v>11</v>
      </c>
    </row>
    <row r="11" spans="2:6" ht="45">
      <c r="C11" s="24" t="s">
        <v>12</v>
      </c>
      <c r="D11" s="1">
        <v>6</v>
      </c>
      <c r="E11" s="19"/>
      <c r="F11" s="6" t="s">
        <v>408</v>
      </c>
    </row>
    <row r="12" spans="2:6">
      <c r="C12" s="24" t="s">
        <v>14</v>
      </c>
      <c r="D12" s="1" t="s">
        <v>108</v>
      </c>
      <c r="E12" s="19"/>
      <c r="F12" s="6" t="s">
        <v>409</v>
      </c>
    </row>
    <row r="13" spans="2:6">
      <c r="C13" s="24" t="s">
        <v>17</v>
      </c>
      <c r="D13" s="1" t="s">
        <v>110</v>
      </c>
      <c r="E13" s="19"/>
      <c r="F13" s="6"/>
    </row>
    <row r="14" spans="2:6">
      <c r="C14" s="24" t="s">
        <v>20</v>
      </c>
      <c r="D14" s="1" t="s">
        <v>112</v>
      </c>
      <c r="E14" s="19"/>
    </row>
    <row r="15" spans="2:6">
      <c r="C15" s="18"/>
      <c r="D15" s="19"/>
      <c r="E15" s="19"/>
      <c r="F15" s="31" t="s">
        <v>23</v>
      </c>
    </row>
    <row r="16" spans="2:6" ht="300">
      <c r="C16" s="18"/>
      <c r="D16" s="19"/>
      <c r="E16" s="19"/>
      <c r="F16" s="6" t="s">
        <v>410</v>
      </c>
    </row>
    <row r="17" spans="3:6" ht="18.75">
      <c r="C17" s="17" t="s">
        <v>25</v>
      </c>
      <c r="D17" s="19"/>
      <c r="E17" s="19"/>
      <c r="F17" s="6"/>
    </row>
    <row r="18" spans="3:6">
      <c r="C18" s="18" t="s">
        <v>26</v>
      </c>
      <c r="D18" s="15" t="s">
        <v>25</v>
      </c>
      <c r="E18" s="19"/>
      <c r="F18" s="6"/>
    </row>
    <row r="19" spans="3:6">
      <c r="C19" s="24" t="s">
        <v>27</v>
      </c>
      <c r="D19" s="2">
        <v>4</v>
      </c>
      <c r="E19" s="19"/>
      <c r="F19" s="6"/>
    </row>
    <row r="20" spans="3:6">
      <c r="C20" s="24" t="s">
        <v>28</v>
      </c>
      <c r="D20" s="2">
        <v>6</v>
      </c>
      <c r="E20" s="19"/>
      <c r="F20" s="6"/>
    </row>
    <row r="21" spans="3:6">
      <c r="C21" s="24" t="s">
        <v>29</v>
      </c>
      <c r="D21" s="2">
        <v>60</v>
      </c>
      <c r="E21" s="19"/>
    </row>
    <row r="22" spans="3:6">
      <c r="C22" s="24" t="s">
        <v>30</v>
      </c>
      <c r="D22" s="2">
        <v>30</v>
      </c>
      <c r="E22" s="19"/>
      <c r="F22" s="31" t="s">
        <v>31</v>
      </c>
    </row>
    <row r="23" spans="3:6" ht="45">
      <c r="C23" s="24" t="s">
        <v>32</v>
      </c>
      <c r="D23" s="2"/>
      <c r="E23" s="19"/>
      <c r="F23" s="6" t="s">
        <v>411</v>
      </c>
    </row>
    <row r="24" spans="3:6">
      <c r="C24" s="24" t="s">
        <v>34</v>
      </c>
      <c r="D24" s="15">
        <f>SUM(D19:D23)</f>
        <v>100</v>
      </c>
      <c r="E24" s="19"/>
      <c r="F24" s="6"/>
    </row>
    <row r="25" spans="3:6">
      <c r="F25" s="6"/>
    </row>
    <row r="26" spans="3:6">
      <c r="F26" s="6"/>
    </row>
    <row r="27" spans="3:6" ht="18.75">
      <c r="C27" s="17"/>
      <c r="D27" s="32"/>
      <c r="F27" s="6"/>
    </row>
    <row r="28" spans="3:6">
      <c r="C28" s="18" t="s">
        <v>39</v>
      </c>
      <c r="D28" s="18" t="s">
        <v>40</v>
      </c>
      <c r="E28" s="18"/>
      <c r="F28" s="6"/>
    </row>
    <row r="29" spans="3:6" ht="47.25">
      <c r="C29" s="24" t="s">
        <v>41</v>
      </c>
      <c r="D29" s="66" t="s">
        <v>412</v>
      </c>
      <c r="E29" s="19"/>
      <c r="F29" s="6"/>
    </row>
    <row r="30" spans="3:6" ht="31.5">
      <c r="C30" s="24" t="s">
        <v>43</v>
      </c>
      <c r="D30" s="66" t="s">
        <v>413</v>
      </c>
      <c r="E30" s="19"/>
      <c r="F30" s="6"/>
    </row>
    <row r="31" spans="3:6">
      <c r="C31" s="24" t="s">
        <v>45</v>
      </c>
      <c r="D31" s="1"/>
      <c r="E31" s="19"/>
      <c r="F31" s="6"/>
    </row>
    <row r="32" spans="3:6">
      <c r="C32" s="24" t="s">
        <v>47</v>
      </c>
      <c r="D32" s="1"/>
      <c r="E32" s="19"/>
      <c r="F32" s="6"/>
    </row>
    <row r="33" spans="3:8">
      <c r="C33" s="24" t="s">
        <v>48</v>
      </c>
      <c r="D33" s="1"/>
      <c r="E33" s="19"/>
      <c r="F33" s="6"/>
    </row>
    <row r="36" spans="3:8" ht="18.75">
      <c r="C36" s="17" t="s">
        <v>49</v>
      </c>
    </row>
    <row r="37" spans="3:8">
      <c r="C37" s="18" t="s">
        <v>50</v>
      </c>
      <c r="D37" s="18" t="s">
        <v>51</v>
      </c>
      <c r="E37" s="18" t="s">
        <v>52</v>
      </c>
      <c r="F37" s="18" t="s">
        <v>53</v>
      </c>
      <c r="G37" s="18" t="s">
        <v>54</v>
      </c>
      <c r="H37" s="18" t="s">
        <v>55</v>
      </c>
    </row>
    <row r="38" spans="3:8" ht="105">
      <c r="C38" s="24" t="s">
        <v>56</v>
      </c>
      <c r="D38" s="1" t="s">
        <v>177</v>
      </c>
      <c r="E38" s="1"/>
      <c r="F38" s="1" t="s">
        <v>414</v>
      </c>
      <c r="G38" s="3">
        <v>0.5</v>
      </c>
      <c r="H38" s="1">
        <v>12</v>
      </c>
    </row>
    <row r="39" spans="3:8" ht="120">
      <c r="C39" s="24" t="s">
        <v>59</v>
      </c>
      <c r="D39" s="1" t="s">
        <v>273</v>
      </c>
      <c r="E39" s="1"/>
      <c r="F39" s="1" t="s">
        <v>415</v>
      </c>
      <c r="G39" s="3">
        <v>0.5</v>
      </c>
      <c r="H39" s="1">
        <v>13</v>
      </c>
    </row>
    <row r="40" spans="3:8">
      <c r="C40" s="24" t="s">
        <v>60</v>
      </c>
      <c r="D40" s="6"/>
      <c r="E40" s="4"/>
      <c r="F40" s="6"/>
      <c r="G40" s="4"/>
      <c r="H40" s="4"/>
    </row>
    <row r="41" spans="3:8">
      <c r="C41" s="24" t="s">
        <v>61</v>
      </c>
      <c r="D41" s="6"/>
      <c r="E41" s="4"/>
      <c r="F41" s="6"/>
      <c r="G41" s="4"/>
      <c r="H41" s="4"/>
    </row>
    <row r="42" spans="3:8">
      <c r="C42" s="18"/>
    </row>
    <row r="44" spans="3:8" ht="18.75">
      <c r="C44" s="17" t="s">
        <v>62</v>
      </c>
      <c r="D44" s="32"/>
    </row>
    <row r="45" spans="3:8">
      <c r="C45" s="15" t="s">
        <v>50</v>
      </c>
      <c r="D45" s="15" t="s">
        <v>39</v>
      </c>
      <c r="E45" s="15" t="s">
        <v>63</v>
      </c>
      <c r="F45" s="15" t="s">
        <v>64</v>
      </c>
    </row>
    <row r="46" spans="3:8">
      <c r="C46" s="5" t="s">
        <v>56</v>
      </c>
      <c r="D46" s="6" t="s">
        <v>41</v>
      </c>
      <c r="E46" s="4" t="s">
        <v>69</v>
      </c>
      <c r="F46" s="6" t="s">
        <v>70</v>
      </c>
    </row>
    <row r="47" spans="3:8">
      <c r="C47" s="5" t="s">
        <v>56</v>
      </c>
      <c r="D47" s="6" t="s">
        <v>43</v>
      </c>
      <c r="E47" s="4" t="s">
        <v>126</v>
      </c>
      <c r="F47" s="6" t="s">
        <v>131</v>
      </c>
    </row>
    <row r="48" spans="3:8">
      <c r="C48" s="5" t="s">
        <v>56</v>
      </c>
      <c r="D48" s="6" t="s">
        <v>41</v>
      </c>
      <c r="E48" s="4" t="s">
        <v>184</v>
      </c>
      <c r="F48" s="6" t="s">
        <v>185</v>
      </c>
    </row>
    <row r="49" spans="3:6">
      <c r="C49" s="5" t="s">
        <v>56</v>
      </c>
      <c r="D49" s="6" t="s">
        <v>41</v>
      </c>
      <c r="E49" s="4" t="s">
        <v>184</v>
      </c>
      <c r="F49" s="6" t="s">
        <v>217</v>
      </c>
    </row>
    <row r="50" spans="3:6">
      <c r="C50" s="5" t="s">
        <v>59</v>
      </c>
      <c r="D50" s="6" t="s">
        <v>41</v>
      </c>
      <c r="E50" s="4" t="s">
        <v>65</v>
      </c>
      <c r="F50" s="6" t="s">
        <v>67</v>
      </c>
    </row>
    <row r="51" spans="3:6">
      <c r="C51" s="5" t="s">
        <v>59</v>
      </c>
      <c r="D51" s="6" t="s">
        <v>43</v>
      </c>
      <c r="E51" s="4" t="s">
        <v>128</v>
      </c>
      <c r="F51" s="6" t="s">
        <v>416</v>
      </c>
    </row>
    <row r="52" spans="3:6">
      <c r="C52" s="5" t="s">
        <v>60</v>
      </c>
      <c r="D52" s="6"/>
      <c r="E52" s="4"/>
      <c r="F52" s="6"/>
    </row>
    <row r="53" spans="3:6">
      <c r="C53" s="5" t="s">
        <v>60</v>
      </c>
      <c r="D53" s="6"/>
      <c r="E53" s="4"/>
      <c r="F53" s="6"/>
    </row>
    <row r="54" spans="3:6">
      <c r="C54" s="5" t="s">
        <v>60</v>
      </c>
      <c r="D54" s="6"/>
      <c r="E54" s="4"/>
      <c r="F54" s="6"/>
    </row>
    <row r="55" spans="3:6">
      <c r="C55" s="5" t="s">
        <v>61</v>
      </c>
      <c r="D55" s="6"/>
      <c r="E55" s="4"/>
      <c r="F55" s="6"/>
    </row>
    <row r="56" spans="3:6">
      <c r="C56" s="5" t="s">
        <v>61</v>
      </c>
      <c r="D56" s="6"/>
      <c r="E56" s="4"/>
      <c r="F56" s="6"/>
    </row>
    <row r="57" spans="3:6">
      <c r="C57" s="5"/>
      <c r="D57" s="6"/>
      <c r="E57" s="4"/>
      <c r="F57" s="6"/>
    </row>
    <row r="58" spans="3:6">
      <c r="C58" s="5"/>
      <c r="D58" s="6"/>
      <c r="E58" s="4"/>
      <c r="F58" s="6"/>
    </row>
    <row r="59" spans="3:6">
      <c r="C59" s="5"/>
      <c r="D59" s="6"/>
      <c r="E59" s="4"/>
      <c r="F59" s="6"/>
    </row>
    <row r="60" spans="3:6">
      <c r="C60" s="5"/>
      <c r="D60" s="6"/>
      <c r="E60" s="4"/>
      <c r="F60" s="6"/>
    </row>
    <row r="61" spans="3:6">
      <c r="C61" s="5"/>
      <c r="D61" s="6"/>
      <c r="E61" s="4"/>
      <c r="F61" s="6"/>
    </row>
    <row r="62" spans="3:6">
      <c r="C62" s="5"/>
      <c r="D62" s="6"/>
      <c r="E62" s="4"/>
      <c r="F62" s="6"/>
    </row>
    <row r="63" spans="3:6">
      <c r="C63" s="5"/>
      <c r="D63" s="6"/>
      <c r="E63" s="4"/>
      <c r="F63" s="6"/>
    </row>
    <row r="64" spans="3:6">
      <c r="C64" s="5"/>
      <c r="D64" s="6"/>
      <c r="E64" s="4"/>
      <c r="F64" s="6"/>
    </row>
    <row r="65" spans="2:6">
      <c r="C65" s="5"/>
      <c r="D65" s="6"/>
      <c r="E65" s="4"/>
      <c r="F65" s="6"/>
    </row>
    <row r="66" spans="2:6">
      <c r="C66" s="5"/>
      <c r="D66" s="6"/>
      <c r="E66" s="4"/>
      <c r="F66" s="6"/>
    </row>
    <row r="69" spans="2:6" ht="18.75">
      <c r="C69" s="17" t="s">
        <v>73</v>
      </c>
    </row>
    <row r="70" spans="2:6">
      <c r="B70" t="s">
        <v>74</v>
      </c>
      <c r="C70" s="15" t="s">
        <v>75</v>
      </c>
      <c r="D70" s="15" t="s">
        <v>76</v>
      </c>
      <c r="E70" s="15" t="s">
        <v>77</v>
      </c>
      <c r="F70" s="15" t="s">
        <v>78</v>
      </c>
    </row>
    <row r="71" spans="2:6" ht="30.75">
      <c r="B71" s="26">
        <v>1</v>
      </c>
      <c r="C71" s="27">
        <v>1</v>
      </c>
      <c r="D71" s="38" t="s">
        <v>417</v>
      </c>
      <c r="E71" s="1" t="s">
        <v>188</v>
      </c>
      <c r="F71" s="1"/>
    </row>
    <row r="72" spans="2:6" ht="15.75">
      <c r="B72" s="26">
        <v>1</v>
      </c>
      <c r="C72" s="27">
        <v>2</v>
      </c>
      <c r="D72" s="67" t="s">
        <v>418</v>
      </c>
      <c r="E72" s="1" t="s">
        <v>188</v>
      </c>
      <c r="F72" s="1"/>
    </row>
    <row r="73" spans="2:6" ht="15.75">
      <c r="B73" s="26">
        <v>1</v>
      </c>
      <c r="C73" s="27">
        <v>3</v>
      </c>
      <c r="D73" s="39" t="s">
        <v>419</v>
      </c>
      <c r="E73" s="1" t="s">
        <v>188</v>
      </c>
      <c r="F73" s="1"/>
    </row>
    <row r="74" spans="2:6" ht="15.75">
      <c r="B74" s="26">
        <v>1</v>
      </c>
      <c r="C74" s="27">
        <v>4</v>
      </c>
      <c r="D74" s="39" t="s">
        <v>420</v>
      </c>
      <c r="E74" s="1" t="s">
        <v>188</v>
      </c>
      <c r="F74" s="1"/>
    </row>
    <row r="75" spans="2:6" ht="15.75">
      <c r="B75" s="26">
        <v>1</v>
      </c>
      <c r="C75" s="27">
        <v>5</v>
      </c>
      <c r="D75" s="67" t="s">
        <v>421</v>
      </c>
      <c r="E75" s="1" t="s">
        <v>188</v>
      </c>
      <c r="F75" s="1"/>
    </row>
    <row r="76" spans="2:6" ht="15.75">
      <c r="B76" s="26">
        <v>1</v>
      </c>
      <c r="C76" s="27">
        <v>6</v>
      </c>
      <c r="D76" s="67" t="s">
        <v>422</v>
      </c>
      <c r="E76" s="1" t="s">
        <v>188</v>
      </c>
      <c r="F76" s="1"/>
    </row>
    <row r="77" spans="2:6" ht="45.75">
      <c r="B77" s="26">
        <v>1</v>
      </c>
      <c r="C77" s="27">
        <v>7</v>
      </c>
      <c r="D77" s="39" t="s">
        <v>423</v>
      </c>
      <c r="E77" s="1" t="s">
        <v>188</v>
      </c>
      <c r="F77" s="1"/>
    </row>
    <row r="78" spans="2:6" ht="30.75">
      <c r="B78" s="26">
        <v>1</v>
      </c>
      <c r="C78" s="27">
        <v>8</v>
      </c>
      <c r="D78" s="67" t="s">
        <v>424</v>
      </c>
      <c r="E78" s="1" t="s">
        <v>188</v>
      </c>
      <c r="F78" s="1"/>
    </row>
    <row r="79" spans="2:6" ht="15.75">
      <c r="B79" s="26">
        <v>1</v>
      </c>
      <c r="C79" s="27">
        <v>9</v>
      </c>
      <c r="D79" s="67" t="s">
        <v>425</v>
      </c>
      <c r="E79" s="1" t="s">
        <v>188</v>
      </c>
      <c r="F79" s="1"/>
    </row>
    <row r="80" spans="2:6" ht="15.75">
      <c r="B80" s="26">
        <v>1</v>
      </c>
      <c r="C80" s="27">
        <v>10</v>
      </c>
      <c r="D80" s="67" t="s">
        <v>426</v>
      </c>
      <c r="E80" s="1" t="s">
        <v>188</v>
      </c>
      <c r="F80" s="1"/>
    </row>
    <row r="81" spans="2:6" ht="15.75">
      <c r="B81" s="26">
        <v>1</v>
      </c>
      <c r="C81" s="27">
        <v>11</v>
      </c>
      <c r="D81" s="39" t="s">
        <v>427</v>
      </c>
      <c r="E81" s="1" t="s">
        <v>188</v>
      </c>
      <c r="F81" s="1"/>
    </row>
    <row r="82" spans="2:6" ht="15.75">
      <c r="B82" s="26">
        <v>1</v>
      </c>
      <c r="C82" s="27">
        <v>12</v>
      </c>
      <c r="D82" s="39" t="s">
        <v>428</v>
      </c>
      <c r="E82" s="1" t="s">
        <v>188</v>
      </c>
      <c r="F82" s="1"/>
    </row>
    <row r="83" spans="2:6" ht="15.75">
      <c r="B83" s="26">
        <v>2</v>
      </c>
      <c r="C83" s="27">
        <v>1</v>
      </c>
      <c r="D83" s="39" t="s">
        <v>429</v>
      </c>
      <c r="E83" s="1" t="s">
        <v>188</v>
      </c>
      <c r="F83" s="1"/>
    </row>
    <row r="84" spans="2:6" ht="15.75">
      <c r="B84" s="26">
        <v>2</v>
      </c>
      <c r="C84" s="27">
        <v>2</v>
      </c>
      <c r="D84" s="39" t="s">
        <v>430</v>
      </c>
      <c r="E84" s="1" t="s">
        <v>188</v>
      </c>
      <c r="F84" s="1"/>
    </row>
    <row r="85" spans="2:6" ht="15.75">
      <c r="B85" s="26">
        <v>2</v>
      </c>
      <c r="C85" s="27">
        <v>3</v>
      </c>
      <c r="D85" s="39" t="s">
        <v>431</v>
      </c>
      <c r="E85" s="1" t="s">
        <v>188</v>
      </c>
      <c r="F85" s="1"/>
    </row>
    <row r="86" spans="2:6" ht="15.75">
      <c r="B86" s="26">
        <v>2</v>
      </c>
      <c r="C86" s="27">
        <v>4</v>
      </c>
      <c r="D86" s="39" t="s">
        <v>432</v>
      </c>
      <c r="E86" s="1" t="s">
        <v>188</v>
      </c>
      <c r="F86" s="1"/>
    </row>
    <row r="87" spans="2:6" ht="30.75">
      <c r="B87" s="26">
        <v>2</v>
      </c>
      <c r="C87" s="27">
        <v>5</v>
      </c>
      <c r="D87" s="39" t="s">
        <v>433</v>
      </c>
      <c r="E87" s="1" t="s">
        <v>188</v>
      </c>
      <c r="F87" s="1"/>
    </row>
    <row r="88" spans="2:6" ht="15.75">
      <c r="B88" s="26">
        <v>2</v>
      </c>
      <c r="C88" s="27">
        <v>6</v>
      </c>
      <c r="D88" s="39" t="s">
        <v>434</v>
      </c>
      <c r="E88" s="1" t="s">
        <v>188</v>
      </c>
      <c r="F88" s="1"/>
    </row>
    <row r="89" spans="2:6" ht="15.75">
      <c r="B89" s="26">
        <v>2</v>
      </c>
      <c r="C89" s="27">
        <v>7</v>
      </c>
      <c r="D89" s="39" t="s">
        <v>435</v>
      </c>
      <c r="E89" s="1" t="s">
        <v>188</v>
      </c>
      <c r="F89" s="1"/>
    </row>
    <row r="90" spans="2:6" ht="15.75">
      <c r="B90" s="26">
        <v>2</v>
      </c>
      <c r="C90" s="27">
        <v>8</v>
      </c>
      <c r="D90" s="39" t="s">
        <v>436</v>
      </c>
      <c r="E90" s="1" t="s">
        <v>188</v>
      </c>
      <c r="F90" s="1"/>
    </row>
    <row r="91" spans="2:6" ht="45.75">
      <c r="B91" s="26">
        <v>2</v>
      </c>
      <c r="C91" s="27">
        <v>9</v>
      </c>
      <c r="D91" s="39" t="s">
        <v>437</v>
      </c>
      <c r="E91" s="1" t="s">
        <v>188</v>
      </c>
      <c r="F91" s="1"/>
    </row>
    <row r="92" spans="2:6" ht="15.75">
      <c r="B92" s="26">
        <v>2</v>
      </c>
      <c r="C92" s="27">
        <v>10</v>
      </c>
      <c r="D92" s="39" t="s">
        <v>438</v>
      </c>
      <c r="E92" s="1" t="s">
        <v>188</v>
      </c>
      <c r="F92" s="1"/>
    </row>
    <row r="93" spans="2:6" ht="15.75">
      <c r="B93" s="26">
        <v>2</v>
      </c>
      <c r="C93" s="27">
        <v>11</v>
      </c>
      <c r="D93" s="39" t="s">
        <v>438</v>
      </c>
      <c r="E93" s="1" t="s">
        <v>188</v>
      </c>
      <c r="F93" s="1"/>
    </row>
    <row r="94" spans="2:6" ht="15.75">
      <c r="B94" s="26">
        <v>2</v>
      </c>
      <c r="C94" s="27">
        <v>12</v>
      </c>
      <c r="D94" s="40" t="s">
        <v>439</v>
      </c>
      <c r="E94" s="1" t="s">
        <v>188</v>
      </c>
      <c r="F94" s="1"/>
    </row>
    <row r="95" spans="2:6">
      <c r="B95" s="26"/>
      <c r="C95" s="27">
        <v>13</v>
      </c>
      <c r="D95" s="6" t="s">
        <v>440</v>
      </c>
      <c r="E95" s="1"/>
      <c r="F95" s="1"/>
    </row>
    <row r="96" spans="2:6">
      <c r="B96" s="26"/>
      <c r="C96" s="27"/>
      <c r="D96" s="6"/>
      <c r="E96" s="1"/>
      <c r="F96" s="1"/>
    </row>
    <row r="97" spans="2:6">
      <c r="B97" s="26"/>
      <c r="C97" s="27"/>
      <c r="D97" s="6"/>
      <c r="E97" s="1"/>
      <c r="F97" s="1"/>
    </row>
    <row r="98" spans="2:6">
      <c r="B98" s="26"/>
      <c r="C98" s="27"/>
      <c r="D98" s="6"/>
      <c r="E98" s="1"/>
      <c r="F98" s="1"/>
    </row>
    <row r="99" spans="2:6">
      <c r="B99" s="26"/>
      <c r="C99" s="27"/>
      <c r="D99" s="6"/>
      <c r="E99" s="1"/>
      <c r="F99" s="1"/>
    </row>
    <row r="100" spans="2:6">
      <c r="B100" s="26"/>
      <c r="C100" s="27"/>
      <c r="D100" s="6"/>
      <c r="E100" s="1"/>
      <c r="F100" s="1"/>
    </row>
    <row r="101" spans="2:6">
      <c r="B101" s="26"/>
      <c r="C101" s="27"/>
      <c r="D101" s="6"/>
      <c r="E101" s="1"/>
      <c r="F101" s="1"/>
    </row>
    <row r="102" spans="2:6">
      <c r="B102" s="26"/>
      <c r="C102" s="27"/>
      <c r="D102" s="6"/>
      <c r="E102" s="1"/>
      <c r="F102"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228872C6-6A06-4732-B8A1-E6B94CB81102}">
      <formula1>0</formula1>
      <formula2>80</formula2>
    </dataValidation>
    <dataValidation type="whole" showInputMessage="1" showErrorMessage="1" error="This is not a realistic number of contact hours please change" sqref="D19" xr:uid="{F79CE569-989B-479F-8826-338510A79154}">
      <formula1>0</formula1>
      <formula2>80</formula2>
    </dataValidation>
    <dataValidation type="list" allowBlank="1" showInputMessage="1" showErrorMessage="1" sqref="E38:E41" xr:uid="{6E90B7E5-5035-4F89-B270-578FA2975164}">
      <formula1>INDIRECT("LISTAssess[Assessment Specific]")</formula1>
    </dataValidation>
    <dataValidation type="list" allowBlank="1" showInputMessage="1" showErrorMessage="1" sqref="F46:F66" xr:uid="{0A41CE66-A84F-4E65-BA05-CA863B7746FB}">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261BA6EE-88F7-427A-BCD6-8C9348F9245C}">
          <x14:formula1>
            <xm:f>LISTS!$C$26:$C$37</xm:f>
          </x14:formula1>
          <xm:sqref>D14</xm:sqref>
        </x14:dataValidation>
        <x14:dataValidation type="list" allowBlank="1" showInputMessage="1" showErrorMessage="1" xr:uid="{BE38852D-057D-456A-8583-51979A3F9408}">
          <x14:formula1>
            <xm:f>LISTS!$C$17:$C$22</xm:f>
          </x14:formula1>
          <xm:sqref>D13</xm:sqref>
        </x14:dataValidation>
        <x14:dataValidation type="list" allowBlank="1" showInputMessage="1" showErrorMessage="1" xr:uid="{09331423-59E2-4171-9695-7BE4C02AFE53}">
          <x14:formula1>
            <xm:f>LISTS!$C$7:$C$9</xm:f>
          </x14:formula1>
          <xm:sqref>D10</xm:sqref>
        </x14:dataValidation>
        <x14:dataValidation type="list" allowBlank="1" showInputMessage="1" showErrorMessage="1" xr:uid="{2507034E-37B5-446A-AFCD-F99DE72488BA}">
          <x14:formula1>
            <xm:f>LISTS!$C$11:$C$15</xm:f>
          </x14:formula1>
          <xm:sqref>D11</xm:sqref>
        </x14:dataValidation>
        <x14:dataValidation type="list" allowBlank="1" showInputMessage="1" showErrorMessage="1" xr:uid="{A7BB251E-C289-4AFE-837E-75E3985C6AC4}">
          <x14:formula1>
            <xm:f>LISTS!$G$7:$G$11</xm:f>
          </x14:formula1>
          <xm:sqref>D38:D42</xm:sqref>
        </x14:dataValidation>
        <x14:dataValidation type="list" allowBlank="1" showInputMessage="1" showErrorMessage="1" xr:uid="{91A4DB0E-9988-4C67-88FE-0DC4AE014787}">
          <x14:formula1>
            <xm:f>LISTS!$E$7:$E$11</xm:f>
          </x14:formula1>
          <xm:sqref>D46:D66</xm:sqref>
        </x14:dataValidation>
        <x14:dataValidation type="list" allowBlank="1" showInputMessage="1" showErrorMessage="1" xr:uid="{431E3138-B78E-40DB-8906-C5B6A90BA4A5}">
          <x14:formula1>
            <xm:f>LISTS!$J$7:$J$16</xm:f>
          </x14:formula1>
          <xm:sqref>E46:E66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88F2-57F5-49DF-8E52-0E95DE3CFAC4}">
  <sheetPr codeName="Sheet12"/>
  <dimension ref="B2:H93"/>
  <sheetViews>
    <sheetView showGridLines="0" topLeftCell="D37" zoomScale="85" zoomScaleNormal="85" workbookViewId="0">
      <selection activeCell="F38" sqref="F38"/>
    </sheetView>
  </sheetViews>
  <sheetFormatPr defaultColWidth="8.85546875" defaultRowHeight="15"/>
  <cols>
    <col min="3" max="3" width="33.28515625" customWidth="1"/>
    <col min="4" max="4" width="50.28515625" customWidth="1"/>
    <col min="5" max="5" width="34.42578125" customWidth="1"/>
    <col min="6" max="6" width="105" customWidth="1"/>
    <col min="7" max="7" width="12.42578125" customWidth="1"/>
    <col min="8" max="8" width="15.42578125" customWidth="1"/>
    <col min="9" max="9" width="14.7109375" customWidth="1"/>
  </cols>
  <sheetData>
    <row r="2" spans="2:6" ht="26.25">
      <c r="C2" s="14" t="str">
        <f>D7</f>
        <v>6097SPS</v>
      </c>
      <c r="D2" s="14" t="str">
        <f>D8</f>
        <v>Working in High Performance Sport</v>
      </c>
    </row>
    <row r="3" spans="2:6">
      <c r="B3" s="15"/>
      <c r="C3" s="15"/>
    </row>
    <row r="4" spans="2:6">
      <c r="B4" s="16"/>
      <c r="C4" s="16"/>
    </row>
    <row r="5" spans="2:6" ht="18.75">
      <c r="B5" s="16"/>
      <c r="C5" s="17" t="s">
        <v>0</v>
      </c>
    </row>
    <row r="6" spans="2:6">
      <c r="B6" s="16"/>
      <c r="C6" s="18" t="s">
        <v>1</v>
      </c>
      <c r="D6" s="19" t="s">
        <v>2</v>
      </c>
      <c r="E6" s="19"/>
      <c r="F6" t="s">
        <v>3</v>
      </c>
    </row>
    <row r="7" spans="2:6" ht="51" customHeight="1">
      <c r="B7" s="16"/>
      <c r="C7" s="24" t="s">
        <v>4</v>
      </c>
      <c r="D7" s="1" t="s">
        <v>441</v>
      </c>
      <c r="E7" s="19"/>
      <c r="F7" s="6" t="s">
        <v>442</v>
      </c>
    </row>
    <row r="8" spans="2:6">
      <c r="B8" s="16"/>
      <c r="C8" s="24" t="s">
        <v>7</v>
      </c>
      <c r="D8" s="1" t="s">
        <v>443</v>
      </c>
      <c r="E8" s="19"/>
      <c r="F8" s="68"/>
    </row>
    <row r="9" spans="2:6">
      <c r="C9" s="24" t="s">
        <v>9</v>
      </c>
      <c r="D9" s="1">
        <v>20</v>
      </c>
      <c r="E9" s="19"/>
    </row>
    <row r="10" spans="2:6">
      <c r="C10" s="24" t="s">
        <v>10</v>
      </c>
      <c r="D10" s="1">
        <v>1</v>
      </c>
      <c r="E10" s="19"/>
      <c r="F10" t="s">
        <v>11</v>
      </c>
    </row>
    <row r="11" spans="2:6" ht="90">
      <c r="C11" s="24" t="s">
        <v>12</v>
      </c>
      <c r="D11" s="1">
        <v>6</v>
      </c>
      <c r="E11" s="19"/>
      <c r="F11" s="109" t="s">
        <v>444</v>
      </c>
    </row>
    <row r="12" spans="2:6" ht="60">
      <c r="C12" s="24" t="s">
        <v>14</v>
      </c>
      <c r="D12" s="1" t="s">
        <v>445</v>
      </c>
      <c r="E12" s="19"/>
      <c r="F12" s="109" t="s">
        <v>446</v>
      </c>
    </row>
    <row r="13" spans="2:6" ht="105">
      <c r="C13" s="24" t="s">
        <v>17</v>
      </c>
      <c r="D13" s="1" t="s">
        <v>260</v>
      </c>
      <c r="E13" s="19"/>
      <c r="F13" s="109" t="s">
        <v>447</v>
      </c>
    </row>
    <row r="14" spans="2:6">
      <c r="C14" s="24" t="s">
        <v>20</v>
      </c>
      <c r="D14" s="1" t="s">
        <v>448</v>
      </c>
      <c r="E14" s="19"/>
    </row>
    <row r="15" spans="2:6">
      <c r="C15" s="18"/>
      <c r="D15" s="19"/>
      <c r="E15" s="19"/>
      <c r="F15" t="s">
        <v>23</v>
      </c>
    </row>
    <row r="16" spans="2:6">
      <c r="C16" s="18"/>
      <c r="D16" s="19"/>
      <c r="E16" s="19"/>
      <c r="F16" s="4" t="s">
        <v>449</v>
      </c>
    </row>
    <row r="17" spans="3:6" ht="18.75">
      <c r="C17" s="17" t="s">
        <v>25</v>
      </c>
      <c r="D17" s="19"/>
      <c r="E17" s="19"/>
      <c r="F17" s="4"/>
    </row>
    <row r="18" spans="3:6">
      <c r="C18" s="18" t="s">
        <v>26</v>
      </c>
      <c r="D18" s="15" t="s">
        <v>25</v>
      </c>
      <c r="E18" s="19"/>
      <c r="F18" s="4"/>
    </row>
    <row r="19" spans="3:6">
      <c r="C19" s="24" t="s">
        <v>27</v>
      </c>
      <c r="D19" s="2">
        <v>20</v>
      </c>
      <c r="E19" s="19"/>
      <c r="F19" s="4"/>
    </row>
    <row r="20" spans="3:6">
      <c r="C20" s="24" t="s">
        <v>28</v>
      </c>
      <c r="D20" s="2">
        <v>2</v>
      </c>
      <c r="E20" s="19"/>
      <c r="F20" s="4"/>
    </row>
    <row r="21" spans="3:6">
      <c r="C21" s="24" t="s">
        <v>29</v>
      </c>
      <c r="D21" s="2">
        <v>8</v>
      </c>
      <c r="E21" s="19"/>
    </row>
    <row r="22" spans="3:6">
      <c r="C22" s="24" t="s">
        <v>30</v>
      </c>
      <c r="D22" s="2">
        <v>10</v>
      </c>
      <c r="E22" s="19"/>
      <c r="F22" t="s">
        <v>31</v>
      </c>
    </row>
    <row r="23" spans="3:6">
      <c r="C23" s="24" t="s">
        <v>32</v>
      </c>
      <c r="D23" s="2"/>
      <c r="E23" s="19"/>
      <c r="F23" s="4"/>
    </row>
    <row r="24" spans="3:6">
      <c r="C24" s="24" t="s">
        <v>34</v>
      </c>
      <c r="D24" s="15">
        <f>SUM(D19:D23)</f>
        <v>40</v>
      </c>
      <c r="E24" s="19"/>
      <c r="F24" s="4"/>
    </row>
    <row r="25" spans="3:6">
      <c r="F25" s="4"/>
    </row>
    <row r="26" spans="3:6">
      <c r="F26" s="4"/>
    </row>
    <row r="27" spans="3:6" ht="18.75">
      <c r="C27" s="17" t="s">
        <v>37</v>
      </c>
      <c r="D27" s="21" t="s">
        <v>38</v>
      </c>
      <c r="F27" s="4"/>
    </row>
    <row r="28" spans="3:6">
      <c r="C28" s="18" t="s">
        <v>39</v>
      </c>
      <c r="D28" s="18" t="s">
        <v>40</v>
      </c>
      <c r="E28" s="18"/>
      <c r="F28" s="4"/>
    </row>
    <row r="29" spans="3:6" ht="60">
      <c r="C29" s="24" t="s">
        <v>41</v>
      </c>
      <c r="D29" s="1" t="s">
        <v>450</v>
      </c>
      <c r="E29" s="19"/>
      <c r="F29" s="4"/>
    </row>
    <row r="30" spans="3:6" ht="75">
      <c r="C30" s="24" t="s">
        <v>43</v>
      </c>
      <c r="D30" s="1" t="s">
        <v>451</v>
      </c>
      <c r="E30" s="19"/>
      <c r="F30" s="4"/>
    </row>
    <row r="31" spans="3:6" ht="45">
      <c r="C31" s="24" t="s">
        <v>45</v>
      </c>
      <c r="D31" s="1" t="s">
        <v>452</v>
      </c>
      <c r="E31" s="19"/>
      <c r="F31" s="4"/>
    </row>
    <row r="32" spans="3:6">
      <c r="C32" s="24" t="s">
        <v>47</v>
      </c>
      <c r="D32" s="1"/>
      <c r="E32" s="19"/>
      <c r="F32" s="4"/>
    </row>
    <row r="33" spans="3:8">
      <c r="C33" s="24" t="s">
        <v>48</v>
      </c>
      <c r="D33" s="1"/>
      <c r="E33" s="19"/>
      <c r="F33" s="4"/>
    </row>
    <row r="36" spans="3:8" ht="18.75">
      <c r="C36" s="17" t="s">
        <v>49</v>
      </c>
    </row>
    <row r="37" spans="3:8">
      <c r="C37" s="18" t="s">
        <v>50</v>
      </c>
      <c r="D37" s="18" t="s">
        <v>51</v>
      </c>
      <c r="E37" s="18" t="s">
        <v>52</v>
      </c>
      <c r="F37" s="18" t="s">
        <v>53</v>
      </c>
      <c r="G37" s="18" t="s">
        <v>54</v>
      </c>
      <c r="H37" s="18" t="s">
        <v>55</v>
      </c>
    </row>
    <row r="38" spans="3:8" ht="195">
      <c r="C38" s="24" t="s">
        <v>56</v>
      </c>
      <c r="D38" s="1" t="s">
        <v>177</v>
      </c>
      <c r="E38" s="1" t="s">
        <v>178</v>
      </c>
      <c r="F38" s="111" t="s">
        <v>453</v>
      </c>
      <c r="G38" s="3">
        <v>0.3</v>
      </c>
      <c r="H38" s="1">
        <v>12</v>
      </c>
    </row>
    <row r="39" spans="3:8">
      <c r="C39" s="24" t="s">
        <v>59</v>
      </c>
      <c r="D39" s="1" t="s">
        <v>273</v>
      </c>
      <c r="E39" s="1"/>
      <c r="F39" s="110" t="s">
        <v>454</v>
      </c>
      <c r="G39" s="3">
        <v>0.7</v>
      </c>
      <c r="H39" s="1">
        <v>17</v>
      </c>
    </row>
    <row r="40" spans="3:8">
      <c r="C40" s="24" t="s">
        <v>60</v>
      </c>
      <c r="D40" s="4"/>
      <c r="E40" s="4"/>
      <c r="F40" s="4"/>
      <c r="G40" s="4"/>
      <c r="H40" s="4"/>
    </row>
    <row r="41" spans="3:8">
      <c r="C41" s="24" t="s">
        <v>61</v>
      </c>
      <c r="D41" s="4"/>
      <c r="E41" s="4"/>
      <c r="F41" s="4"/>
      <c r="G41" s="4"/>
      <c r="H41" s="4"/>
    </row>
    <row r="42" spans="3:8">
      <c r="C42" s="18"/>
    </row>
    <row r="44" spans="3:8" ht="18.75">
      <c r="C44" s="17" t="s">
        <v>62</v>
      </c>
      <c r="D44" s="21"/>
    </row>
    <row r="45" spans="3:8">
      <c r="C45" s="15" t="s">
        <v>50</v>
      </c>
      <c r="D45" s="15" t="s">
        <v>39</v>
      </c>
      <c r="E45" s="15" t="s">
        <v>63</v>
      </c>
      <c r="F45" s="15" t="s">
        <v>64</v>
      </c>
    </row>
    <row r="46" spans="3:8">
      <c r="C46" s="5" t="s">
        <v>56</v>
      </c>
      <c r="D46" s="4" t="s">
        <v>41</v>
      </c>
      <c r="E46" s="4" t="s">
        <v>65</v>
      </c>
      <c r="F46" s="4" t="s">
        <v>66</v>
      </c>
    </row>
    <row r="47" spans="3:8">
      <c r="C47" s="5" t="s">
        <v>56</v>
      </c>
      <c r="D47" s="4" t="s">
        <v>43</v>
      </c>
      <c r="E47" s="4" t="s">
        <v>69</v>
      </c>
      <c r="F47" s="4" t="s">
        <v>70</v>
      </c>
    </row>
    <row r="48" spans="3:8">
      <c r="C48" s="5" t="s">
        <v>59</v>
      </c>
      <c r="D48" s="4" t="s">
        <v>41</v>
      </c>
      <c r="E48" s="4" t="s">
        <v>69</v>
      </c>
      <c r="F48" s="4" t="s">
        <v>455</v>
      </c>
    </row>
    <row r="49" spans="3:6">
      <c r="C49" s="5" t="s">
        <v>59</v>
      </c>
      <c r="D49" s="4" t="s">
        <v>43</v>
      </c>
      <c r="E49" s="4" t="s">
        <v>132</v>
      </c>
      <c r="F49" s="4" t="s">
        <v>456</v>
      </c>
    </row>
    <row r="50" spans="3:6">
      <c r="C50" s="5" t="s">
        <v>59</v>
      </c>
      <c r="D50" s="4" t="s">
        <v>45</v>
      </c>
      <c r="E50" s="4" t="s">
        <v>71</v>
      </c>
      <c r="F50" s="4" t="s">
        <v>457</v>
      </c>
    </row>
    <row r="51" spans="3:6">
      <c r="C51" s="5" t="s">
        <v>60</v>
      </c>
      <c r="D51" s="4"/>
      <c r="E51" s="4"/>
      <c r="F51" s="4"/>
    </row>
    <row r="52" spans="3:6">
      <c r="C52" s="5" t="s">
        <v>60</v>
      </c>
      <c r="D52" s="4"/>
      <c r="E52" s="4"/>
      <c r="F52" s="4"/>
    </row>
    <row r="53" spans="3:6">
      <c r="C53" s="5" t="s">
        <v>60</v>
      </c>
      <c r="D53" s="4"/>
      <c r="E53" s="4"/>
      <c r="F53" s="4"/>
    </row>
    <row r="54" spans="3:6">
      <c r="C54" s="5" t="s">
        <v>61</v>
      </c>
      <c r="D54" s="4"/>
      <c r="E54" s="4"/>
      <c r="F54" s="4"/>
    </row>
    <row r="55" spans="3:6">
      <c r="C55" s="5" t="s">
        <v>61</v>
      </c>
      <c r="D55" s="4"/>
      <c r="E55" s="4"/>
      <c r="F55" s="4"/>
    </row>
    <row r="56" spans="3:6">
      <c r="C56" s="5"/>
      <c r="D56" s="4"/>
      <c r="E56" s="4"/>
      <c r="F56" s="4"/>
    </row>
    <row r="57" spans="3:6">
      <c r="C57" s="5"/>
      <c r="D57" s="4"/>
      <c r="E57" s="4"/>
      <c r="F57" s="4"/>
    </row>
    <row r="58" spans="3:6">
      <c r="C58" s="5"/>
      <c r="D58" s="4"/>
      <c r="E58" s="4"/>
      <c r="F58" s="4"/>
    </row>
    <row r="59" spans="3:6">
      <c r="C59" s="5"/>
      <c r="D59" s="4"/>
      <c r="E59" s="4"/>
      <c r="F59" s="4"/>
    </row>
    <row r="60" spans="3:6">
      <c r="C60" s="5"/>
      <c r="D60" s="4"/>
      <c r="E60" s="4"/>
      <c r="F60" s="4"/>
    </row>
    <row r="61" spans="3:6">
      <c r="C61" s="5"/>
      <c r="D61" s="4"/>
      <c r="E61" s="4"/>
      <c r="F61" s="4"/>
    </row>
    <row r="62" spans="3:6">
      <c r="C62" s="5"/>
      <c r="D62" s="4"/>
      <c r="E62" s="4"/>
      <c r="F62" s="4"/>
    </row>
    <row r="63" spans="3:6">
      <c r="C63" s="5"/>
      <c r="D63" s="4"/>
      <c r="E63" s="4"/>
      <c r="F63" s="4"/>
    </row>
    <row r="64" spans="3:6">
      <c r="C64" s="5"/>
      <c r="D64" s="4"/>
      <c r="E64" s="4"/>
      <c r="F64" s="4"/>
    </row>
    <row r="65" spans="2:6">
      <c r="C65" s="5"/>
      <c r="D65" s="4"/>
      <c r="E65" s="4"/>
      <c r="F65" s="4"/>
    </row>
    <row r="68" spans="2:6" ht="18.75">
      <c r="C68" s="17" t="s">
        <v>73</v>
      </c>
    </row>
    <row r="69" spans="2:6">
      <c r="B69" t="s">
        <v>74</v>
      </c>
      <c r="C69" s="15" t="s">
        <v>75</v>
      </c>
      <c r="D69" s="15" t="s">
        <v>76</v>
      </c>
      <c r="E69" s="15" t="s">
        <v>77</v>
      </c>
      <c r="F69" s="15" t="s">
        <v>78</v>
      </c>
    </row>
    <row r="70" spans="2:6">
      <c r="B70" s="26">
        <v>1</v>
      </c>
      <c r="C70" s="27">
        <v>1</v>
      </c>
      <c r="D70" s="1"/>
      <c r="E70" s="1"/>
      <c r="F70" s="1"/>
    </row>
    <row r="71" spans="2:6">
      <c r="B71" s="26">
        <v>1</v>
      </c>
      <c r="C71" s="27">
        <v>2</v>
      </c>
      <c r="D71" s="1"/>
      <c r="E71" s="1"/>
      <c r="F71" s="1"/>
    </row>
    <row r="72" spans="2:6">
      <c r="B72" s="26">
        <v>1</v>
      </c>
      <c r="C72" s="27">
        <v>3</v>
      </c>
      <c r="D72" s="1"/>
      <c r="E72" s="1"/>
      <c r="F72" s="1"/>
    </row>
    <row r="73" spans="2:6">
      <c r="B73" s="26">
        <v>1</v>
      </c>
      <c r="C73" s="27">
        <v>4</v>
      </c>
      <c r="D73" s="1"/>
      <c r="E73" s="1"/>
      <c r="F73" s="1"/>
    </row>
    <row r="74" spans="2:6">
      <c r="B74" s="26">
        <v>1</v>
      </c>
      <c r="C74" s="27">
        <v>5</v>
      </c>
      <c r="D74" s="1"/>
      <c r="E74" s="1"/>
      <c r="F74" s="1"/>
    </row>
    <row r="75" spans="2:6">
      <c r="B75" s="26">
        <v>1</v>
      </c>
      <c r="C75" s="27">
        <v>6</v>
      </c>
      <c r="D75" s="1"/>
      <c r="E75" s="1"/>
      <c r="F75" s="1"/>
    </row>
    <row r="76" spans="2:6">
      <c r="B76" s="26">
        <v>1</v>
      </c>
      <c r="C76" s="27">
        <v>7</v>
      </c>
      <c r="D76" s="1"/>
      <c r="E76" s="1"/>
      <c r="F76" s="1"/>
    </row>
    <row r="77" spans="2:6">
      <c r="B77" s="26">
        <v>1</v>
      </c>
      <c r="C77" s="27">
        <v>8</v>
      </c>
      <c r="D77" s="1"/>
      <c r="E77" s="1"/>
      <c r="F77" s="1"/>
    </row>
    <row r="78" spans="2:6">
      <c r="B78" s="26">
        <v>1</v>
      </c>
      <c r="C78" s="27">
        <v>9</v>
      </c>
      <c r="D78" s="1"/>
      <c r="E78" s="1"/>
      <c r="F78" s="1"/>
    </row>
    <row r="79" spans="2:6">
      <c r="B79" s="26">
        <v>1</v>
      </c>
      <c r="C79" s="27">
        <v>10</v>
      </c>
      <c r="D79" s="1"/>
      <c r="E79" s="1"/>
      <c r="F79" s="1"/>
    </row>
    <row r="80" spans="2:6">
      <c r="B80" s="26">
        <v>1</v>
      </c>
      <c r="C80" s="27">
        <v>11</v>
      </c>
      <c r="D80" s="1"/>
      <c r="E80" s="1"/>
      <c r="F80" s="1"/>
    </row>
    <row r="81" spans="2:6">
      <c r="B81" s="26">
        <v>1</v>
      </c>
      <c r="C81" s="27">
        <v>12</v>
      </c>
      <c r="D81" s="1"/>
      <c r="E81" s="1"/>
      <c r="F81" s="1"/>
    </row>
    <row r="82" spans="2:6">
      <c r="B82" s="26">
        <v>2</v>
      </c>
      <c r="C82" s="27">
        <v>1</v>
      </c>
      <c r="D82" s="1"/>
      <c r="E82" s="1"/>
      <c r="F82" s="1"/>
    </row>
    <row r="83" spans="2:6">
      <c r="B83" s="26">
        <v>2</v>
      </c>
      <c r="C83" s="27">
        <v>2</v>
      </c>
      <c r="D83" s="1"/>
      <c r="E83" s="1"/>
      <c r="F83" s="1"/>
    </row>
    <row r="84" spans="2:6">
      <c r="B84" s="26">
        <v>2</v>
      </c>
      <c r="C84" s="27">
        <v>3</v>
      </c>
      <c r="D84" s="1"/>
      <c r="E84" s="1"/>
      <c r="F84" s="1"/>
    </row>
    <row r="85" spans="2:6">
      <c r="B85" s="26">
        <v>2</v>
      </c>
      <c r="C85" s="27">
        <v>4</v>
      </c>
      <c r="D85" s="1"/>
      <c r="E85" s="1"/>
      <c r="F85" s="1"/>
    </row>
    <row r="86" spans="2:6">
      <c r="B86" s="26">
        <v>2</v>
      </c>
      <c r="C86" s="27">
        <v>5</v>
      </c>
      <c r="D86" s="1"/>
      <c r="E86" s="1"/>
      <c r="F86" s="1"/>
    </row>
    <row r="87" spans="2:6">
      <c r="B87" s="26">
        <v>2</v>
      </c>
      <c r="C87" s="27">
        <v>6</v>
      </c>
      <c r="D87" s="1"/>
      <c r="E87" s="1"/>
      <c r="F87" s="1"/>
    </row>
    <row r="88" spans="2:6">
      <c r="B88" s="26">
        <v>2</v>
      </c>
      <c r="C88" s="27">
        <v>7</v>
      </c>
      <c r="D88" s="1"/>
      <c r="E88" s="1"/>
      <c r="F88" s="1"/>
    </row>
    <row r="89" spans="2:6">
      <c r="B89" s="26">
        <v>2</v>
      </c>
      <c r="C89" s="27">
        <v>8</v>
      </c>
      <c r="D89" s="1"/>
      <c r="E89" s="1"/>
      <c r="F89" s="1"/>
    </row>
    <row r="90" spans="2:6">
      <c r="B90" s="26">
        <v>2</v>
      </c>
      <c r="C90" s="27">
        <v>9</v>
      </c>
      <c r="D90" s="1"/>
      <c r="E90" s="1"/>
      <c r="F90" s="1"/>
    </row>
    <row r="91" spans="2:6">
      <c r="B91" s="26">
        <v>2</v>
      </c>
      <c r="C91" s="27">
        <v>10</v>
      </c>
      <c r="D91" s="1"/>
      <c r="E91" s="1"/>
      <c r="F91" s="1"/>
    </row>
    <row r="92" spans="2:6">
      <c r="B92" s="26">
        <v>2</v>
      </c>
      <c r="C92" s="27">
        <v>11</v>
      </c>
      <c r="D92" s="1"/>
      <c r="E92" s="1"/>
      <c r="F92" s="1"/>
    </row>
    <row r="93" spans="2:6">
      <c r="B93" s="26">
        <v>2</v>
      </c>
      <c r="C93" s="27">
        <v>12</v>
      </c>
      <c r="D93" s="1"/>
      <c r="E93" s="1"/>
      <c r="F93" s="1"/>
    </row>
  </sheetData>
  <sheetProtection sheet="1" objects="1" scenarios="1" formatCells="0" formatColumns="0" formatRows="0" insertHyperlinks="0"/>
  <dataValidations count="4">
    <dataValidation type="list" allowBlank="1" showInputMessage="1" showErrorMessage="1" sqref="E38:E41" xr:uid="{68DC1710-8FBD-4C96-BEFB-29EEA2B38DF9}">
      <formula1>INDIRECT("LISTAssess[Assessment Specific]")</formula1>
    </dataValidation>
    <dataValidation type="whole" showInputMessage="1" showErrorMessage="1" error="This is not a realistic number of contact hours please change" sqref="D19" xr:uid="{FF705AB8-F0B5-4944-B4DB-BA562CE03F41}">
      <formula1>0</formula1>
      <formula2>80</formula2>
    </dataValidation>
    <dataValidation type="whole" showInputMessage="1" showErrorMessage="1" error="This is not a realistic number of contact hours please reduce" sqref="D20:D23" xr:uid="{B3470EF4-EDE1-4AA2-BF4E-C5217F91B39A}">
      <formula1>0</formula1>
      <formula2>80</formula2>
    </dataValidation>
    <dataValidation type="list" allowBlank="1" showInputMessage="1" showErrorMessage="1" sqref="F46:F65" xr:uid="{FBDDC197-4A14-47FE-ADCC-676A78692ED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2C1AEC8-992B-4A37-AC70-FCFCDCEAE5AF}">
          <x14:formula1>
            <xm:f>LISTS!$G$7:$G$11</xm:f>
          </x14:formula1>
          <xm:sqref>D38:D42</xm:sqref>
        </x14:dataValidation>
        <x14:dataValidation type="list" allowBlank="1" showInputMessage="1" showErrorMessage="1" xr:uid="{079859AC-8D6D-42CE-8DCE-FB75C2DF13B7}">
          <x14:formula1>
            <xm:f>LISTS!$C$11:$C$15</xm:f>
          </x14:formula1>
          <xm:sqref>D11</xm:sqref>
        </x14:dataValidation>
        <x14:dataValidation type="list" allowBlank="1" showInputMessage="1" showErrorMessage="1" xr:uid="{95BE0675-0791-40D0-9E9D-AB48C0DB89D4}">
          <x14:formula1>
            <xm:f>LISTS!$C$7:$C$9</xm:f>
          </x14:formula1>
          <xm:sqref>D10</xm:sqref>
        </x14:dataValidation>
        <x14:dataValidation type="list" allowBlank="1" showInputMessage="1" showErrorMessage="1" xr:uid="{6B48D045-2AC6-4AB5-8461-E9008DA71EAB}">
          <x14:formula1>
            <xm:f>LISTS!$C$17:$C$22</xm:f>
          </x14:formula1>
          <xm:sqref>D13</xm:sqref>
        </x14:dataValidation>
        <x14:dataValidation type="list" allowBlank="1" showInputMessage="1" showErrorMessage="1" xr:uid="{A9720BD0-513F-4B9A-9AB4-400D7A5FAEF6}">
          <x14:formula1>
            <xm:f>LISTS!$C$26:$C$37</xm:f>
          </x14:formula1>
          <xm:sqref>D14</xm:sqref>
        </x14:dataValidation>
        <x14:dataValidation type="list" allowBlank="1" showInputMessage="1" showErrorMessage="1" xr:uid="{F82EBEA9-5922-4C07-934E-470BFDA49DA7}">
          <x14:formula1>
            <xm:f>LISTS!$J$7:$J$16</xm:f>
          </x14:formula1>
          <xm:sqref>E46:E65</xm:sqref>
        </x14:dataValidation>
        <x14:dataValidation type="list" allowBlank="1" showInputMessage="1" showErrorMessage="1" xr:uid="{14DAA443-23DD-4C34-A97A-3ECF7C0E8C55}">
          <x14:formula1>
            <xm:f>LISTS!$E$7:$E$11</xm:f>
          </x14:formula1>
          <xm:sqref>D46:D65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95A1D-AA1C-4BA2-8B0A-48CE73728C66}">
  <sheetPr codeName="Sheet9"/>
  <dimension ref="A1:I23"/>
  <sheetViews>
    <sheetView workbookViewId="0">
      <selection activeCell="C48" sqref="C48"/>
    </sheetView>
  </sheetViews>
  <sheetFormatPr defaultColWidth="8.85546875" defaultRowHeight="15"/>
  <cols>
    <col min="1" max="1" width="14.85546875" bestFit="1" customWidth="1"/>
    <col min="2" max="2" width="53" bestFit="1" customWidth="1"/>
    <col min="3" max="3" width="8.140625" bestFit="1" customWidth="1"/>
    <col min="4" max="4" width="12" bestFit="1" customWidth="1"/>
    <col min="5" max="5" width="10" bestFit="1" customWidth="1"/>
    <col min="6" max="6" width="21.5703125" bestFit="1" customWidth="1"/>
    <col min="7" max="7" width="18.5703125" bestFit="1" customWidth="1"/>
    <col min="8" max="8" width="21.42578125" bestFit="1" customWidth="1"/>
    <col min="9" max="9" width="18.42578125" bestFit="1" customWidth="1"/>
  </cols>
  <sheetData>
    <row r="1" spans="1:9">
      <c r="A1" t="s">
        <v>458</v>
      </c>
      <c r="B1" t="s">
        <v>459</v>
      </c>
      <c r="C1" t="s">
        <v>12</v>
      </c>
      <c r="D1" t="s">
        <v>10</v>
      </c>
      <c r="E1" t="s">
        <v>9</v>
      </c>
      <c r="F1" t="s">
        <v>14</v>
      </c>
      <c r="G1" t="s">
        <v>17</v>
      </c>
      <c r="H1" t="s">
        <v>460</v>
      </c>
      <c r="I1" t="s">
        <v>461</v>
      </c>
    </row>
    <row r="2" spans="1:9">
      <c r="A2" t="s">
        <v>701</v>
      </c>
      <c r="B2" s="112" t="s">
        <v>702</v>
      </c>
      <c r="C2">
        <v>6</v>
      </c>
      <c r="D2">
        <v>1</v>
      </c>
      <c r="E2">
        <v>20</v>
      </c>
      <c r="F2" t="s">
        <v>751</v>
      </c>
      <c r="G2" t="s">
        <v>260</v>
      </c>
      <c r="H2">
        <v>40</v>
      </c>
      <c r="I2">
        <f>SC_ModuleOverview[[#This Row],[Total Contact Hours]] / SC_ModuleOverview[[#This Row],[Credits]]</f>
        <v>2</v>
      </c>
    </row>
    <row r="3" spans="1:9">
      <c r="A3" t="s">
        <v>5</v>
      </c>
      <c r="B3" s="112" t="s">
        <v>8</v>
      </c>
      <c r="C3">
        <v>4</v>
      </c>
      <c r="D3">
        <v>2</v>
      </c>
      <c r="E3">
        <v>20</v>
      </c>
      <c r="F3" t="s">
        <v>15</v>
      </c>
      <c r="G3" t="s">
        <v>18</v>
      </c>
      <c r="H3">
        <v>40</v>
      </c>
      <c r="I3">
        <f>SC_ModuleOverview[[#This Row],[Total Contact Hours]] / SC_ModuleOverview[[#This Row],[Credits]]</f>
        <v>2</v>
      </c>
    </row>
    <row r="4" spans="1:9">
      <c r="A4" t="s">
        <v>101</v>
      </c>
      <c r="B4" s="112" t="s">
        <v>462</v>
      </c>
      <c r="C4">
        <v>4</v>
      </c>
      <c r="D4">
        <v>1</v>
      </c>
      <c r="E4">
        <v>20</v>
      </c>
      <c r="F4" t="s">
        <v>108</v>
      </c>
      <c r="G4" t="s">
        <v>110</v>
      </c>
      <c r="H4">
        <v>48</v>
      </c>
      <c r="I4">
        <f>SC_ModuleOverview[[#This Row],[Total Contact Hours]] / SC_ModuleOverview[[#This Row],[Credits]]</f>
        <v>2.4</v>
      </c>
    </row>
    <row r="5" spans="1:9">
      <c r="A5" t="s">
        <v>157</v>
      </c>
      <c r="B5" s="112" t="s">
        <v>159</v>
      </c>
      <c r="C5">
        <v>5</v>
      </c>
      <c r="D5">
        <v>1</v>
      </c>
      <c r="E5">
        <v>20</v>
      </c>
      <c r="F5" t="s">
        <v>108</v>
      </c>
      <c r="G5" t="s">
        <v>110</v>
      </c>
      <c r="H5">
        <v>70</v>
      </c>
      <c r="I5">
        <f>SC_ModuleOverview[[#This Row],[Total Contact Hours]] / SC_ModuleOverview[[#This Row],[Credits]]</f>
        <v>3.5</v>
      </c>
    </row>
    <row r="6" spans="1:9">
      <c r="A6" t="s">
        <v>200</v>
      </c>
      <c r="B6" s="112" t="s">
        <v>202</v>
      </c>
      <c r="C6">
        <v>5</v>
      </c>
      <c r="D6">
        <v>2</v>
      </c>
      <c r="E6">
        <v>20</v>
      </c>
      <c r="F6" t="s">
        <v>204</v>
      </c>
      <c r="G6" t="s">
        <v>18</v>
      </c>
      <c r="H6">
        <v>40</v>
      </c>
      <c r="I6">
        <f>SC_ModuleOverview[[#This Row],[Total Contact Hours]] / SC_ModuleOverview[[#This Row],[Credits]]</f>
        <v>2</v>
      </c>
    </row>
    <row r="7" spans="1:9">
      <c r="A7" t="s">
        <v>229</v>
      </c>
      <c r="B7" s="112" t="s">
        <v>231</v>
      </c>
      <c r="C7">
        <v>5</v>
      </c>
      <c r="D7">
        <v>1</v>
      </c>
      <c r="E7">
        <v>20</v>
      </c>
      <c r="F7" t="s">
        <v>204</v>
      </c>
      <c r="G7" t="s">
        <v>18</v>
      </c>
      <c r="H7">
        <v>40</v>
      </c>
      <c r="I7">
        <f>SC_ModuleOverview[[#This Row],[Total Contact Hours]] / SC_ModuleOverview[[#This Row],[Credits]]</f>
        <v>2</v>
      </c>
    </row>
    <row r="8" spans="1:9">
      <c r="A8" t="s">
        <v>254</v>
      </c>
      <c r="B8" s="112" t="s">
        <v>255</v>
      </c>
      <c r="C8">
        <v>5</v>
      </c>
      <c r="D8">
        <v>2</v>
      </c>
      <c r="E8">
        <v>20</v>
      </c>
      <c r="F8" t="s">
        <v>258</v>
      </c>
      <c r="G8" t="s">
        <v>260</v>
      </c>
      <c r="H8">
        <v>40</v>
      </c>
      <c r="I8">
        <f>SC_ModuleOverview[[#This Row],[Total Contact Hours]] / SC_ModuleOverview[[#This Row],[Credits]]</f>
        <v>2</v>
      </c>
    </row>
    <row r="9" spans="1:9">
      <c r="A9" t="s">
        <v>441</v>
      </c>
      <c r="B9" s="112" t="s">
        <v>443</v>
      </c>
      <c r="C9">
        <v>6</v>
      </c>
      <c r="D9">
        <v>1</v>
      </c>
      <c r="E9">
        <v>20</v>
      </c>
      <c r="F9" t="s">
        <v>445</v>
      </c>
      <c r="G9" t="s">
        <v>260</v>
      </c>
      <c r="H9">
        <v>40</v>
      </c>
      <c r="I9">
        <f>SC_ModuleOverview[[#This Row],[Total Contact Hours]] / SC_ModuleOverview[[#This Row],[Credits]]</f>
        <v>2</v>
      </c>
    </row>
    <row r="10" spans="1:9">
      <c r="A10" t="s">
        <v>402</v>
      </c>
      <c r="B10" s="112" t="s">
        <v>463</v>
      </c>
      <c r="C10">
        <v>6</v>
      </c>
      <c r="E10">
        <v>20</v>
      </c>
      <c r="F10" t="s">
        <v>108</v>
      </c>
      <c r="G10" t="s">
        <v>110</v>
      </c>
      <c r="H10">
        <v>100</v>
      </c>
      <c r="I10">
        <f>SC_ModuleOverview[[#This Row],[Total Contact Hours]] / SC_ModuleOverview[[#This Row],[Credits]]</f>
        <v>5</v>
      </c>
    </row>
    <row r="11" spans="1:9">
      <c r="A11" t="s">
        <v>326</v>
      </c>
      <c r="B11" s="112" t="s">
        <v>464</v>
      </c>
      <c r="E11">
        <v>20</v>
      </c>
      <c r="H11">
        <v>0</v>
      </c>
      <c r="I11">
        <f>SC_ModuleOverview[[#This Row],[Total Contact Hours]] / SC_ModuleOverview[[#This Row],[Credits]]</f>
        <v>0</v>
      </c>
    </row>
    <row r="12" spans="1:9">
      <c r="A12" t="s">
        <v>292</v>
      </c>
      <c r="B12" s="112" t="s">
        <v>293</v>
      </c>
      <c r="C12">
        <v>5</v>
      </c>
      <c r="D12">
        <v>1</v>
      </c>
      <c r="E12">
        <v>20</v>
      </c>
      <c r="F12" t="s">
        <v>258</v>
      </c>
      <c r="G12" t="s">
        <v>18</v>
      </c>
      <c r="H12">
        <v>40</v>
      </c>
      <c r="I12">
        <f>SC_ModuleOverview[[#This Row],[Total Contact Hours]] / SC_ModuleOverview[[#This Row],[Credits]]</f>
        <v>2</v>
      </c>
    </row>
    <row r="13" spans="1:9">
      <c r="A13" t="s">
        <v>465</v>
      </c>
      <c r="B13" s="112" t="s">
        <v>466</v>
      </c>
      <c r="C13">
        <v>6</v>
      </c>
      <c r="D13">
        <v>2</v>
      </c>
      <c r="E13">
        <v>20</v>
      </c>
      <c r="F13" t="s">
        <v>333</v>
      </c>
      <c r="G13" t="s">
        <v>18</v>
      </c>
      <c r="H13">
        <v>40</v>
      </c>
      <c r="I13">
        <f>SC_ModuleOverview[[#This Row],[Total Contact Hours]] / SC_ModuleOverview[[#This Row],[Credits]]</f>
        <v>2</v>
      </c>
    </row>
    <row r="14" spans="1:9">
      <c r="A14" t="s">
        <v>368</v>
      </c>
      <c r="B14" s="112" t="s">
        <v>467</v>
      </c>
      <c r="C14">
        <v>6</v>
      </c>
      <c r="D14">
        <v>1</v>
      </c>
      <c r="E14">
        <v>20</v>
      </c>
      <c r="F14" t="s">
        <v>372</v>
      </c>
      <c r="G14" t="s">
        <v>18</v>
      </c>
      <c r="H14">
        <v>40</v>
      </c>
      <c r="I14">
        <f>SC_ModuleOverview[[#This Row],[Total Contact Hours]] / SC_ModuleOverview[[#This Row],[Credits]]</f>
        <v>2</v>
      </c>
    </row>
    <row r="15" spans="1:9">
      <c r="A15" t="s">
        <v>468</v>
      </c>
      <c r="B15" s="112" t="s">
        <v>469</v>
      </c>
      <c r="C15">
        <v>4</v>
      </c>
      <c r="D15">
        <v>1</v>
      </c>
      <c r="E15">
        <v>20</v>
      </c>
      <c r="F15" t="s">
        <v>470</v>
      </c>
      <c r="G15" t="s">
        <v>18</v>
      </c>
      <c r="H15">
        <v>42</v>
      </c>
      <c r="I15">
        <f>SC_ModuleOverview[[#This Row],[Total Contact Hours]] / SC_ModuleOverview[[#This Row],[Credits]]</f>
        <v>2.1</v>
      </c>
    </row>
    <row r="16" spans="1:9">
      <c r="A16" t="s">
        <v>471</v>
      </c>
      <c r="B16" s="112" t="s">
        <v>472</v>
      </c>
      <c r="C16">
        <v>5</v>
      </c>
      <c r="D16">
        <v>2</v>
      </c>
      <c r="E16">
        <v>20</v>
      </c>
      <c r="F16" t="s">
        <v>473</v>
      </c>
      <c r="G16" t="s">
        <v>18</v>
      </c>
      <c r="H16">
        <v>44</v>
      </c>
      <c r="I16">
        <f>SC_ModuleOverview[[#This Row],[Total Contact Hours]] / SC_ModuleOverview[[#This Row],[Credits]]</f>
        <v>2.2000000000000002</v>
      </c>
    </row>
    <row r="17" spans="1:9">
      <c r="A17" t="s">
        <v>474</v>
      </c>
      <c r="B17" s="112" t="s">
        <v>475</v>
      </c>
      <c r="C17">
        <v>4</v>
      </c>
      <c r="D17">
        <v>2</v>
      </c>
      <c r="E17">
        <v>20</v>
      </c>
      <c r="F17" t="s">
        <v>476</v>
      </c>
      <c r="G17" t="s">
        <v>477</v>
      </c>
      <c r="H17">
        <v>44</v>
      </c>
      <c r="I17">
        <f>SC_ModuleOverview[[#This Row],[Total Contact Hours]] / SC_ModuleOverview[[#This Row],[Credits]]</f>
        <v>2.2000000000000002</v>
      </c>
    </row>
    <row r="18" spans="1:9">
      <c r="A18" t="s">
        <v>478</v>
      </c>
      <c r="B18" s="112" t="s">
        <v>479</v>
      </c>
      <c r="C18">
        <v>4</v>
      </c>
      <c r="D18">
        <v>1</v>
      </c>
      <c r="E18">
        <v>20</v>
      </c>
      <c r="F18" t="s">
        <v>749</v>
      </c>
      <c r="G18" t="s">
        <v>18</v>
      </c>
      <c r="H18">
        <v>44</v>
      </c>
      <c r="I18">
        <f>SC_ModuleOverview[[#This Row],[Total Contact Hours]] / SC_ModuleOverview[[#This Row],[Credits]]</f>
        <v>2.2000000000000002</v>
      </c>
    </row>
    <row r="19" spans="1:9">
      <c r="A19" t="s">
        <v>480</v>
      </c>
      <c r="B19" s="112" t="s">
        <v>481</v>
      </c>
      <c r="C19">
        <v>4</v>
      </c>
      <c r="D19">
        <v>2</v>
      </c>
      <c r="E19">
        <v>20</v>
      </c>
      <c r="F19" t="s">
        <v>482</v>
      </c>
      <c r="G19" t="s">
        <v>18</v>
      </c>
      <c r="H19">
        <v>39</v>
      </c>
      <c r="I19">
        <f>SC_ModuleOverview[[#This Row],[Total Contact Hours]] / SC_ModuleOverview[[#This Row],[Credits]]</f>
        <v>1.95</v>
      </c>
    </row>
    <row r="20" spans="1:9">
      <c r="A20" t="s">
        <v>704</v>
      </c>
      <c r="B20" s="112" t="s">
        <v>705</v>
      </c>
      <c r="C20">
        <v>5</v>
      </c>
      <c r="D20">
        <v>2</v>
      </c>
      <c r="E20">
        <v>20</v>
      </c>
      <c r="F20" t="s">
        <v>753</v>
      </c>
      <c r="G20" t="s">
        <v>477</v>
      </c>
      <c r="H20">
        <v>48</v>
      </c>
      <c r="I20">
        <f>SC_ModuleOverview[[#This Row],[Total Contact Hours]] / SC_ModuleOverview[[#This Row],[Credits]]</f>
        <v>2.4</v>
      </c>
    </row>
    <row r="21" spans="1:9">
      <c r="A21" t="s">
        <v>483</v>
      </c>
      <c r="B21" s="112" t="s">
        <v>484</v>
      </c>
      <c r="C21">
        <v>6</v>
      </c>
      <c r="E21">
        <v>40</v>
      </c>
      <c r="F21" t="s">
        <v>485</v>
      </c>
      <c r="G21" t="s">
        <v>486</v>
      </c>
      <c r="H21">
        <v>22</v>
      </c>
      <c r="I21">
        <f>SC_ModuleOverview[[#This Row],[Total Contact Hours]] / SC_ModuleOverview[[#This Row],[Credits]]</f>
        <v>0.55000000000000004</v>
      </c>
    </row>
    <row r="22" spans="1:9">
      <c r="A22" t="s">
        <v>487</v>
      </c>
      <c r="B22" s="112" t="s">
        <v>488</v>
      </c>
      <c r="C22">
        <v>6</v>
      </c>
      <c r="D22">
        <v>1</v>
      </c>
      <c r="E22">
        <v>20</v>
      </c>
      <c r="F22" t="s">
        <v>489</v>
      </c>
      <c r="G22" t="s">
        <v>260</v>
      </c>
      <c r="H22">
        <v>40</v>
      </c>
      <c r="I22">
        <f>SC_ModuleOverview[[#This Row],[Total Contact Hours]] / SC_ModuleOverview[[#This Row],[Credits]]</f>
        <v>2</v>
      </c>
    </row>
    <row r="23" spans="1:9">
      <c r="A23" t="s">
        <v>707</v>
      </c>
      <c r="B23" s="112" t="s">
        <v>708</v>
      </c>
      <c r="C23">
        <v>6</v>
      </c>
      <c r="D23">
        <v>1</v>
      </c>
      <c r="E23">
        <v>20</v>
      </c>
      <c r="F23" t="s">
        <v>755</v>
      </c>
      <c r="G23" t="s">
        <v>260</v>
      </c>
      <c r="H23">
        <v>45</v>
      </c>
      <c r="I23">
        <f>SC_ModuleOverview[[#This Row],[Total Contact Hours]] / SC_ModuleOverview[[#This Row],[Credits]]</f>
        <v>2.25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F128-2042-4627-9D27-76D49043495F}">
  <sheetPr codeName="Sheet13"/>
  <dimension ref="A1:M23"/>
  <sheetViews>
    <sheetView workbookViewId="0">
      <selection activeCell="J28" sqref="J28"/>
    </sheetView>
  </sheetViews>
  <sheetFormatPr defaultColWidth="8.85546875" defaultRowHeight="15"/>
  <cols>
    <col min="1" max="1" width="49" bestFit="1" customWidth="1"/>
    <col min="2" max="2" width="15.28515625" bestFit="1" customWidth="1"/>
    <col min="3" max="3" width="14.85546875" bestFit="1" customWidth="1"/>
    <col min="4" max="4" width="12.7109375" bestFit="1" customWidth="1"/>
    <col min="5" max="5" width="14.42578125" bestFit="1" customWidth="1"/>
    <col min="6" max="6" width="12.140625" bestFit="1" customWidth="1"/>
    <col min="7" max="7" width="53" bestFit="1" customWidth="1"/>
    <col min="8" max="8" width="10.140625" bestFit="1" customWidth="1"/>
    <col min="9" max="9" width="10.7109375" bestFit="1" customWidth="1"/>
    <col min="10" max="10" width="11" bestFit="1" customWidth="1"/>
    <col min="11" max="11" width="12.42578125" bestFit="1" customWidth="1"/>
    <col min="12" max="12" width="9.28515625" bestFit="1" customWidth="1"/>
    <col min="13" max="13" width="7.7109375" bestFit="1" customWidth="1"/>
  </cols>
  <sheetData>
    <row r="1" spans="1:13">
      <c r="A1" t="s">
        <v>490</v>
      </c>
      <c r="B1" t="s">
        <v>491</v>
      </c>
      <c r="C1" t="s">
        <v>458</v>
      </c>
      <c r="D1" t="s">
        <v>492</v>
      </c>
      <c r="E1" t="s">
        <v>493</v>
      </c>
      <c r="F1" t="s">
        <v>494</v>
      </c>
      <c r="G1" t="s">
        <v>459</v>
      </c>
      <c r="H1" t="s">
        <v>27</v>
      </c>
      <c r="I1" t="s">
        <v>28</v>
      </c>
      <c r="J1" t="s">
        <v>29</v>
      </c>
      <c r="K1" t="s">
        <v>30</v>
      </c>
      <c r="L1" t="s">
        <v>32</v>
      </c>
      <c r="M1" t="s">
        <v>34</v>
      </c>
    </row>
    <row r="2" spans="1:13">
      <c r="A2" s="112" t="s">
        <v>699</v>
      </c>
      <c r="B2" t="s">
        <v>709</v>
      </c>
      <c r="C2" t="s">
        <v>701</v>
      </c>
      <c r="D2" t="s">
        <v>497</v>
      </c>
      <c r="E2" t="s">
        <v>112</v>
      </c>
      <c r="F2" t="s">
        <v>498</v>
      </c>
      <c r="G2" s="112" t="s">
        <v>702</v>
      </c>
      <c r="H2">
        <v>9</v>
      </c>
      <c r="I2">
        <v>3</v>
      </c>
      <c r="J2">
        <v>16</v>
      </c>
      <c r="K2">
        <v>6</v>
      </c>
      <c r="L2">
        <v>6</v>
      </c>
      <c r="M2">
        <v>40</v>
      </c>
    </row>
    <row r="3" spans="1:13">
      <c r="A3" s="112" t="s">
        <v>495</v>
      </c>
      <c r="B3" t="s">
        <v>496</v>
      </c>
      <c r="C3" t="s">
        <v>5</v>
      </c>
      <c r="D3" t="s">
        <v>497</v>
      </c>
      <c r="E3" t="s">
        <v>112</v>
      </c>
      <c r="F3" t="s">
        <v>498</v>
      </c>
      <c r="G3" s="112" t="s">
        <v>8</v>
      </c>
      <c r="H3">
        <v>10</v>
      </c>
      <c r="I3">
        <v>10</v>
      </c>
      <c r="J3">
        <v>20</v>
      </c>
      <c r="M3">
        <v>40</v>
      </c>
    </row>
    <row r="4" spans="1:13">
      <c r="A4" s="112" t="s">
        <v>495</v>
      </c>
      <c r="B4" t="s">
        <v>499</v>
      </c>
      <c r="C4" t="s">
        <v>101</v>
      </c>
      <c r="D4" t="s">
        <v>497</v>
      </c>
      <c r="E4" t="s">
        <v>112</v>
      </c>
      <c r="F4" t="s">
        <v>498</v>
      </c>
      <c r="G4" s="112" t="s">
        <v>462</v>
      </c>
      <c r="H4">
        <v>4</v>
      </c>
      <c r="J4">
        <v>28</v>
      </c>
      <c r="K4">
        <v>16</v>
      </c>
      <c r="M4">
        <v>48</v>
      </c>
    </row>
    <row r="5" spans="1:13">
      <c r="A5" s="112" t="s">
        <v>495</v>
      </c>
      <c r="B5" t="s">
        <v>500</v>
      </c>
      <c r="C5" t="s">
        <v>157</v>
      </c>
      <c r="D5" t="s">
        <v>497</v>
      </c>
      <c r="E5" t="s">
        <v>112</v>
      </c>
      <c r="F5" t="s">
        <v>498</v>
      </c>
      <c r="G5" s="112" t="s">
        <v>159</v>
      </c>
      <c r="H5">
        <v>4</v>
      </c>
      <c r="I5">
        <v>2</v>
      </c>
      <c r="J5">
        <v>34</v>
      </c>
      <c r="K5">
        <v>30</v>
      </c>
      <c r="M5">
        <v>70</v>
      </c>
    </row>
    <row r="6" spans="1:13">
      <c r="A6" s="112" t="s">
        <v>495</v>
      </c>
      <c r="B6" t="s">
        <v>501</v>
      </c>
      <c r="C6" t="s">
        <v>200</v>
      </c>
      <c r="D6" t="s">
        <v>497</v>
      </c>
      <c r="E6" t="s">
        <v>112</v>
      </c>
      <c r="F6" t="s">
        <v>498</v>
      </c>
      <c r="G6" s="112" t="s">
        <v>202</v>
      </c>
      <c r="H6">
        <v>20</v>
      </c>
      <c r="J6">
        <v>18</v>
      </c>
      <c r="K6">
        <v>2</v>
      </c>
      <c r="M6">
        <v>40</v>
      </c>
    </row>
    <row r="7" spans="1:13">
      <c r="A7" s="112" t="s">
        <v>495</v>
      </c>
      <c r="B7" t="s">
        <v>502</v>
      </c>
      <c r="C7" t="s">
        <v>229</v>
      </c>
      <c r="D7" t="s">
        <v>497</v>
      </c>
      <c r="E7" t="s">
        <v>112</v>
      </c>
      <c r="F7" t="s">
        <v>498</v>
      </c>
      <c r="G7" s="112" t="s">
        <v>231</v>
      </c>
      <c r="H7">
        <v>20</v>
      </c>
      <c r="J7">
        <v>20</v>
      </c>
      <c r="M7">
        <v>40</v>
      </c>
    </row>
    <row r="8" spans="1:13">
      <c r="A8" s="112" t="s">
        <v>495</v>
      </c>
      <c r="B8" t="s">
        <v>503</v>
      </c>
      <c r="C8" t="s">
        <v>254</v>
      </c>
      <c r="D8" t="s">
        <v>497</v>
      </c>
      <c r="E8" t="s">
        <v>112</v>
      </c>
      <c r="F8" t="s">
        <v>498</v>
      </c>
      <c r="G8" s="112" t="s">
        <v>255</v>
      </c>
      <c r="H8">
        <v>10</v>
      </c>
      <c r="I8">
        <v>10</v>
      </c>
      <c r="J8">
        <v>20</v>
      </c>
      <c r="K8">
        <v>0</v>
      </c>
      <c r="L8">
        <v>0</v>
      </c>
      <c r="M8">
        <v>40</v>
      </c>
    </row>
    <row r="9" spans="1:13">
      <c r="A9" s="112" t="s">
        <v>495</v>
      </c>
      <c r="B9" t="s">
        <v>504</v>
      </c>
      <c r="C9" t="s">
        <v>441</v>
      </c>
      <c r="D9" t="s">
        <v>497</v>
      </c>
      <c r="E9" t="s">
        <v>112</v>
      </c>
      <c r="F9" t="s">
        <v>498</v>
      </c>
      <c r="G9" s="112" t="s">
        <v>443</v>
      </c>
      <c r="H9">
        <v>20</v>
      </c>
      <c r="I9">
        <v>2</v>
      </c>
      <c r="J9">
        <v>8</v>
      </c>
      <c r="K9">
        <v>10</v>
      </c>
      <c r="M9">
        <v>40</v>
      </c>
    </row>
    <row r="10" spans="1:13">
      <c r="A10" s="112" t="s">
        <v>495</v>
      </c>
      <c r="B10" t="s">
        <v>505</v>
      </c>
      <c r="C10" t="s">
        <v>402</v>
      </c>
      <c r="D10" t="s">
        <v>497</v>
      </c>
      <c r="E10" t="s">
        <v>112</v>
      </c>
      <c r="F10" t="s">
        <v>498</v>
      </c>
      <c r="G10" s="112" t="s">
        <v>463</v>
      </c>
      <c r="H10">
        <v>4</v>
      </c>
      <c r="I10">
        <v>6</v>
      </c>
      <c r="J10">
        <v>60</v>
      </c>
      <c r="K10">
        <v>30</v>
      </c>
      <c r="M10">
        <v>100</v>
      </c>
    </row>
    <row r="11" spans="1:13">
      <c r="A11" s="112" t="s">
        <v>495</v>
      </c>
      <c r="B11" t="s">
        <v>506</v>
      </c>
      <c r="C11" t="s">
        <v>326</v>
      </c>
      <c r="D11" t="s">
        <v>497</v>
      </c>
      <c r="E11" t="s">
        <v>112</v>
      </c>
      <c r="F11" t="s">
        <v>498</v>
      </c>
      <c r="G11" s="112" t="s">
        <v>464</v>
      </c>
      <c r="M11">
        <v>0</v>
      </c>
    </row>
    <row r="12" spans="1:13">
      <c r="A12" s="112" t="s">
        <v>495</v>
      </c>
      <c r="B12" t="s">
        <v>507</v>
      </c>
      <c r="C12" t="s">
        <v>292</v>
      </c>
      <c r="D12" t="s">
        <v>497</v>
      </c>
      <c r="E12" t="s">
        <v>112</v>
      </c>
      <c r="F12" t="s">
        <v>498</v>
      </c>
      <c r="G12" s="112" t="s">
        <v>293</v>
      </c>
      <c r="H12">
        <v>11</v>
      </c>
      <c r="I12">
        <v>11</v>
      </c>
      <c r="J12">
        <v>14</v>
      </c>
      <c r="K12">
        <v>4</v>
      </c>
      <c r="L12">
        <v>0</v>
      </c>
      <c r="M12">
        <v>40</v>
      </c>
    </row>
    <row r="13" spans="1:13">
      <c r="A13" s="112" t="s">
        <v>495</v>
      </c>
      <c r="B13" t="s">
        <v>508</v>
      </c>
      <c r="C13" t="s">
        <v>465</v>
      </c>
      <c r="D13" t="s">
        <v>497</v>
      </c>
      <c r="E13" t="s">
        <v>112</v>
      </c>
      <c r="F13" t="s">
        <v>498</v>
      </c>
      <c r="G13" s="112" t="s">
        <v>466</v>
      </c>
      <c r="H13">
        <v>20</v>
      </c>
      <c r="J13">
        <v>20</v>
      </c>
      <c r="L13">
        <v>0</v>
      </c>
      <c r="M13">
        <v>40</v>
      </c>
    </row>
    <row r="14" spans="1:13">
      <c r="A14" s="112" t="s">
        <v>495</v>
      </c>
      <c r="B14" t="s">
        <v>509</v>
      </c>
      <c r="C14" t="s">
        <v>368</v>
      </c>
      <c r="D14" t="s">
        <v>497</v>
      </c>
      <c r="E14" t="s">
        <v>112</v>
      </c>
      <c r="F14" t="s">
        <v>498</v>
      </c>
      <c r="G14" s="112" t="s">
        <v>467</v>
      </c>
      <c r="H14">
        <v>10</v>
      </c>
      <c r="I14">
        <v>20</v>
      </c>
      <c r="K14">
        <v>10</v>
      </c>
      <c r="M14">
        <v>40</v>
      </c>
    </row>
    <row r="15" spans="1:13">
      <c r="A15" s="112" t="s">
        <v>510</v>
      </c>
      <c r="B15" t="s">
        <v>511</v>
      </c>
      <c r="C15" t="s">
        <v>468</v>
      </c>
      <c r="D15" t="s">
        <v>497</v>
      </c>
      <c r="E15" t="s">
        <v>112</v>
      </c>
      <c r="F15" t="s">
        <v>498</v>
      </c>
      <c r="G15" s="112" t="s">
        <v>469</v>
      </c>
      <c r="H15">
        <v>42</v>
      </c>
      <c r="M15">
        <v>42</v>
      </c>
    </row>
    <row r="16" spans="1:13">
      <c r="A16" s="112" t="s">
        <v>510</v>
      </c>
      <c r="B16" t="s">
        <v>512</v>
      </c>
      <c r="C16" t="s">
        <v>471</v>
      </c>
      <c r="D16" t="s">
        <v>497</v>
      </c>
      <c r="E16" t="s">
        <v>112</v>
      </c>
      <c r="F16" t="s">
        <v>498</v>
      </c>
      <c r="G16" s="112" t="s">
        <v>472</v>
      </c>
      <c r="H16">
        <v>38</v>
      </c>
      <c r="I16">
        <v>6</v>
      </c>
      <c r="J16">
        <v>0</v>
      </c>
      <c r="K16">
        <v>0</v>
      </c>
      <c r="L16">
        <v>0</v>
      </c>
      <c r="M16">
        <v>44</v>
      </c>
    </row>
    <row r="17" spans="1:13">
      <c r="A17" s="112" t="s">
        <v>513</v>
      </c>
      <c r="B17" t="s">
        <v>514</v>
      </c>
      <c r="C17" t="s">
        <v>474</v>
      </c>
      <c r="D17" t="s">
        <v>497</v>
      </c>
      <c r="E17" t="s">
        <v>112</v>
      </c>
      <c r="F17" t="s">
        <v>498</v>
      </c>
      <c r="G17" s="112" t="s">
        <v>475</v>
      </c>
      <c r="H17">
        <v>34</v>
      </c>
      <c r="I17">
        <v>6</v>
      </c>
      <c r="K17">
        <v>4</v>
      </c>
      <c r="M17">
        <v>44</v>
      </c>
    </row>
    <row r="18" spans="1:13">
      <c r="A18" s="112" t="s">
        <v>513</v>
      </c>
      <c r="B18" t="s">
        <v>515</v>
      </c>
      <c r="C18" t="s">
        <v>478</v>
      </c>
      <c r="D18" t="s">
        <v>497</v>
      </c>
      <c r="E18" t="s">
        <v>112</v>
      </c>
      <c r="F18" t="s">
        <v>498</v>
      </c>
      <c r="G18" s="112" t="s">
        <v>479</v>
      </c>
      <c r="H18">
        <v>33</v>
      </c>
      <c r="I18">
        <v>1</v>
      </c>
      <c r="J18">
        <v>6</v>
      </c>
      <c r="K18">
        <v>1</v>
      </c>
      <c r="L18">
        <v>3</v>
      </c>
      <c r="M18">
        <v>44</v>
      </c>
    </row>
    <row r="19" spans="1:13">
      <c r="A19" s="112" t="s">
        <v>513</v>
      </c>
      <c r="B19" t="s">
        <v>516</v>
      </c>
      <c r="C19" t="s">
        <v>480</v>
      </c>
      <c r="D19" t="s">
        <v>497</v>
      </c>
      <c r="E19" t="s">
        <v>112</v>
      </c>
      <c r="F19" t="s">
        <v>498</v>
      </c>
      <c r="G19" s="112" t="s">
        <v>481</v>
      </c>
      <c r="H19">
        <v>13</v>
      </c>
      <c r="I19">
        <v>0</v>
      </c>
      <c r="J19">
        <v>7</v>
      </c>
      <c r="K19">
        <v>13</v>
      </c>
      <c r="L19">
        <v>6</v>
      </c>
      <c r="M19">
        <v>39</v>
      </c>
    </row>
    <row r="20" spans="1:13">
      <c r="A20" s="112" t="s">
        <v>513</v>
      </c>
      <c r="B20" t="s">
        <v>710</v>
      </c>
      <c r="C20" t="s">
        <v>704</v>
      </c>
      <c r="D20" t="s">
        <v>497</v>
      </c>
      <c r="E20" t="s">
        <v>112</v>
      </c>
      <c r="F20" t="s">
        <v>498</v>
      </c>
      <c r="G20" s="112" t="s">
        <v>705</v>
      </c>
      <c r="H20">
        <v>34</v>
      </c>
      <c r="I20">
        <v>12</v>
      </c>
      <c r="K20">
        <v>2</v>
      </c>
      <c r="M20">
        <v>48</v>
      </c>
    </row>
    <row r="21" spans="1:13">
      <c r="A21" s="112" t="s">
        <v>513</v>
      </c>
      <c r="B21" t="s">
        <v>517</v>
      </c>
      <c r="C21" t="s">
        <v>483</v>
      </c>
      <c r="D21" t="s">
        <v>497</v>
      </c>
      <c r="E21" t="s">
        <v>112</v>
      </c>
      <c r="F21" t="s">
        <v>498</v>
      </c>
      <c r="G21" s="112" t="s">
        <v>484</v>
      </c>
      <c r="H21">
        <v>12</v>
      </c>
      <c r="I21">
        <v>10</v>
      </c>
      <c r="M21">
        <v>22</v>
      </c>
    </row>
    <row r="22" spans="1:13">
      <c r="A22" s="112" t="s">
        <v>513</v>
      </c>
      <c r="B22" t="s">
        <v>518</v>
      </c>
      <c r="C22" t="s">
        <v>487</v>
      </c>
      <c r="D22" t="s">
        <v>497</v>
      </c>
      <c r="E22" t="s">
        <v>112</v>
      </c>
      <c r="F22" t="s">
        <v>498</v>
      </c>
      <c r="G22" s="112" t="s">
        <v>488</v>
      </c>
      <c r="H22">
        <v>22</v>
      </c>
      <c r="I22">
        <v>6</v>
      </c>
      <c r="J22">
        <v>12</v>
      </c>
      <c r="M22">
        <v>40</v>
      </c>
    </row>
    <row r="23" spans="1:13">
      <c r="A23" s="112" t="s">
        <v>513</v>
      </c>
      <c r="B23" t="s">
        <v>711</v>
      </c>
      <c r="C23" t="s">
        <v>707</v>
      </c>
      <c r="D23" t="s">
        <v>497</v>
      </c>
      <c r="E23" t="s">
        <v>112</v>
      </c>
      <c r="F23" t="s">
        <v>498</v>
      </c>
      <c r="G23" s="112" t="s">
        <v>708</v>
      </c>
      <c r="I23">
        <v>6</v>
      </c>
      <c r="K23">
        <v>27</v>
      </c>
      <c r="L23">
        <v>12</v>
      </c>
      <c r="M23">
        <v>45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EBF4-1277-496B-A168-7021D8D1EE40}">
  <sheetPr codeName="Sheet14"/>
  <dimension ref="A1:O23"/>
  <sheetViews>
    <sheetView workbookViewId="0">
      <selection activeCell="G30" sqref="G30"/>
    </sheetView>
  </sheetViews>
  <sheetFormatPr defaultColWidth="8.85546875" defaultRowHeight="15"/>
  <cols>
    <col min="1" max="1" width="49" bestFit="1" customWidth="1"/>
    <col min="2" max="2" width="14.28515625" bestFit="1" customWidth="1"/>
    <col min="3" max="3" width="14.85546875" bestFit="1" customWidth="1"/>
    <col min="4" max="4" width="12.7109375" bestFit="1" customWidth="1"/>
    <col min="5" max="5" width="14.42578125" bestFit="1" customWidth="1"/>
    <col min="6" max="6" width="12.140625" bestFit="1" customWidth="1"/>
    <col min="7" max="7" width="53" bestFit="1" customWidth="1"/>
    <col min="8" max="8" width="15.42578125" bestFit="1" customWidth="1"/>
    <col min="9" max="9" width="53.42578125" bestFit="1" customWidth="1"/>
    <col min="10" max="10" width="10" bestFit="1" customWidth="1"/>
    <col min="11" max="11" width="12" bestFit="1" customWidth="1"/>
    <col min="12" max="12" width="8.140625" bestFit="1" customWidth="1"/>
    <col min="13" max="13" width="21.5703125" bestFit="1" customWidth="1"/>
    <col min="14" max="14" width="18.5703125" bestFit="1" customWidth="1"/>
    <col min="15" max="15" width="18" bestFit="1" customWidth="1"/>
  </cols>
  <sheetData>
    <row r="1" spans="1:15">
      <c r="A1" t="s">
        <v>490</v>
      </c>
      <c r="B1" t="s">
        <v>491</v>
      </c>
      <c r="C1" t="s">
        <v>458</v>
      </c>
      <c r="D1" t="s">
        <v>492</v>
      </c>
      <c r="E1" t="s">
        <v>493</v>
      </c>
      <c r="F1" t="s">
        <v>494</v>
      </c>
      <c r="G1" t="s">
        <v>459</v>
      </c>
      <c r="H1" t="s">
        <v>4</v>
      </c>
      <c r="I1" t="s">
        <v>7</v>
      </c>
      <c r="J1" t="s">
        <v>9</v>
      </c>
      <c r="K1" t="s">
        <v>10</v>
      </c>
      <c r="L1" t="s">
        <v>12</v>
      </c>
      <c r="M1" t="s">
        <v>14</v>
      </c>
      <c r="N1" t="s">
        <v>17</v>
      </c>
      <c r="O1" t="s">
        <v>20</v>
      </c>
    </row>
    <row r="2" spans="1:15">
      <c r="A2" s="112" t="s">
        <v>699</v>
      </c>
      <c r="B2" t="s">
        <v>750</v>
      </c>
      <c r="C2" t="s">
        <v>701</v>
      </c>
      <c r="D2" t="s">
        <v>520</v>
      </c>
      <c r="E2" t="s">
        <v>112</v>
      </c>
      <c r="F2" t="s">
        <v>498</v>
      </c>
      <c r="G2" s="112" t="s">
        <v>702</v>
      </c>
      <c r="H2" t="s">
        <v>701</v>
      </c>
      <c r="I2" t="s">
        <v>702</v>
      </c>
      <c r="J2">
        <v>20</v>
      </c>
      <c r="K2">
        <v>1</v>
      </c>
      <c r="L2">
        <v>6</v>
      </c>
      <c r="M2" t="s">
        <v>751</v>
      </c>
      <c r="N2" t="s">
        <v>260</v>
      </c>
      <c r="O2" t="s">
        <v>540</v>
      </c>
    </row>
    <row r="3" spans="1:15">
      <c r="A3" s="112" t="s">
        <v>495</v>
      </c>
      <c r="B3" t="s">
        <v>519</v>
      </c>
      <c r="C3" t="s">
        <v>5</v>
      </c>
      <c r="D3" t="s">
        <v>520</v>
      </c>
      <c r="E3" t="s">
        <v>112</v>
      </c>
      <c r="F3" t="s">
        <v>498</v>
      </c>
      <c r="G3" s="112" t="s">
        <v>8</v>
      </c>
      <c r="H3" t="s">
        <v>5</v>
      </c>
      <c r="I3" t="s">
        <v>8</v>
      </c>
      <c r="J3">
        <v>20</v>
      </c>
      <c r="K3">
        <v>2</v>
      </c>
      <c r="L3">
        <v>4</v>
      </c>
      <c r="M3" t="s">
        <v>15</v>
      </c>
      <c r="N3" t="s">
        <v>18</v>
      </c>
      <c r="O3" t="s">
        <v>21</v>
      </c>
    </row>
    <row r="4" spans="1:15">
      <c r="A4" s="112" t="s">
        <v>495</v>
      </c>
      <c r="B4" t="s">
        <v>521</v>
      </c>
      <c r="C4" t="s">
        <v>101</v>
      </c>
      <c r="D4" t="s">
        <v>520</v>
      </c>
      <c r="E4" t="s">
        <v>112</v>
      </c>
      <c r="F4" t="s">
        <v>498</v>
      </c>
      <c r="G4" s="112" t="s">
        <v>462</v>
      </c>
      <c r="H4" t="s">
        <v>101</v>
      </c>
      <c r="I4" t="s">
        <v>103</v>
      </c>
      <c r="J4">
        <v>20</v>
      </c>
      <c r="K4">
        <v>1</v>
      </c>
      <c r="L4">
        <v>4</v>
      </c>
      <c r="M4" t="s">
        <v>108</v>
      </c>
      <c r="N4" t="s">
        <v>110</v>
      </c>
      <c r="O4" t="s">
        <v>112</v>
      </c>
    </row>
    <row r="5" spans="1:15">
      <c r="A5" s="112" t="s">
        <v>495</v>
      </c>
      <c r="B5" t="s">
        <v>522</v>
      </c>
      <c r="C5" t="s">
        <v>157</v>
      </c>
      <c r="D5" t="s">
        <v>520</v>
      </c>
      <c r="E5" t="s">
        <v>112</v>
      </c>
      <c r="F5" t="s">
        <v>498</v>
      </c>
      <c r="G5" s="112" t="s">
        <v>159</v>
      </c>
      <c r="H5" t="s">
        <v>157</v>
      </c>
      <c r="I5" t="s">
        <v>159</v>
      </c>
      <c r="J5">
        <v>20</v>
      </c>
      <c r="K5">
        <v>1</v>
      </c>
      <c r="L5">
        <v>5</v>
      </c>
      <c r="M5" t="s">
        <v>108</v>
      </c>
      <c r="N5" t="s">
        <v>110</v>
      </c>
      <c r="O5" t="s">
        <v>112</v>
      </c>
    </row>
    <row r="6" spans="1:15">
      <c r="A6" s="112" t="s">
        <v>495</v>
      </c>
      <c r="B6" t="s">
        <v>523</v>
      </c>
      <c r="C6" t="s">
        <v>200</v>
      </c>
      <c r="D6" t="s">
        <v>520</v>
      </c>
      <c r="E6" t="s">
        <v>112</v>
      </c>
      <c r="F6" t="s">
        <v>498</v>
      </c>
      <c r="G6" s="112" t="s">
        <v>202</v>
      </c>
      <c r="H6" t="s">
        <v>200</v>
      </c>
      <c r="I6" t="s">
        <v>202</v>
      </c>
      <c r="J6">
        <v>20</v>
      </c>
      <c r="K6">
        <v>2</v>
      </c>
      <c r="L6">
        <v>5</v>
      </c>
      <c r="M6" t="s">
        <v>204</v>
      </c>
      <c r="N6" t="s">
        <v>18</v>
      </c>
      <c r="O6" t="s">
        <v>112</v>
      </c>
    </row>
    <row r="7" spans="1:15">
      <c r="A7" s="112" t="s">
        <v>495</v>
      </c>
      <c r="B7" t="s">
        <v>524</v>
      </c>
      <c r="C7" t="s">
        <v>229</v>
      </c>
      <c r="D7" t="s">
        <v>520</v>
      </c>
      <c r="E7" t="s">
        <v>112</v>
      </c>
      <c r="F7" t="s">
        <v>498</v>
      </c>
      <c r="G7" s="112" t="s">
        <v>231</v>
      </c>
      <c r="H7" t="s">
        <v>229</v>
      </c>
      <c r="I7" t="s">
        <v>231</v>
      </c>
      <c r="J7">
        <v>20</v>
      </c>
      <c r="K7">
        <v>1</v>
      </c>
      <c r="L7">
        <v>5</v>
      </c>
      <c r="M7" t="s">
        <v>204</v>
      </c>
      <c r="N7" t="s">
        <v>18</v>
      </c>
      <c r="O7" t="s">
        <v>112</v>
      </c>
    </row>
    <row r="8" spans="1:15">
      <c r="A8" s="112" t="s">
        <v>495</v>
      </c>
      <c r="B8" t="s">
        <v>525</v>
      </c>
      <c r="C8" t="s">
        <v>254</v>
      </c>
      <c r="D8" t="s">
        <v>520</v>
      </c>
      <c r="E8" t="s">
        <v>112</v>
      </c>
      <c r="F8" t="s">
        <v>498</v>
      </c>
      <c r="G8" s="112" t="s">
        <v>255</v>
      </c>
      <c r="H8" t="s">
        <v>254</v>
      </c>
      <c r="I8" t="s">
        <v>255</v>
      </c>
      <c r="J8">
        <v>20</v>
      </c>
      <c r="K8">
        <v>2</v>
      </c>
      <c r="L8">
        <v>5</v>
      </c>
      <c r="M8" t="s">
        <v>258</v>
      </c>
      <c r="N8" t="s">
        <v>260</v>
      </c>
      <c r="O8" t="s">
        <v>112</v>
      </c>
    </row>
    <row r="9" spans="1:15">
      <c r="A9" s="112" t="s">
        <v>495</v>
      </c>
      <c r="B9" t="s">
        <v>526</v>
      </c>
      <c r="C9" t="s">
        <v>441</v>
      </c>
      <c r="D9" t="s">
        <v>520</v>
      </c>
      <c r="E9" t="s">
        <v>112</v>
      </c>
      <c r="F9" t="s">
        <v>498</v>
      </c>
      <c r="G9" s="112" t="s">
        <v>443</v>
      </c>
      <c r="H9" t="s">
        <v>441</v>
      </c>
      <c r="I9" t="s">
        <v>443</v>
      </c>
      <c r="J9">
        <v>20</v>
      </c>
      <c r="K9">
        <v>1</v>
      </c>
      <c r="L9">
        <v>6</v>
      </c>
      <c r="M9" t="s">
        <v>445</v>
      </c>
      <c r="N9" t="s">
        <v>260</v>
      </c>
      <c r="O9" t="s">
        <v>448</v>
      </c>
    </row>
    <row r="10" spans="1:15">
      <c r="A10" s="112" t="s">
        <v>495</v>
      </c>
      <c r="B10" t="s">
        <v>527</v>
      </c>
      <c r="C10" t="s">
        <v>402</v>
      </c>
      <c r="D10" t="s">
        <v>520</v>
      </c>
      <c r="E10" t="s">
        <v>112</v>
      </c>
      <c r="F10" t="s">
        <v>498</v>
      </c>
      <c r="G10" s="112" t="s">
        <v>463</v>
      </c>
      <c r="H10" t="s">
        <v>402</v>
      </c>
      <c r="I10" t="s">
        <v>404</v>
      </c>
      <c r="J10">
        <v>20</v>
      </c>
      <c r="K10" t="s">
        <v>407</v>
      </c>
      <c r="L10">
        <v>6</v>
      </c>
      <c r="M10" t="s">
        <v>108</v>
      </c>
      <c r="N10" t="s">
        <v>110</v>
      </c>
      <c r="O10" t="s">
        <v>112</v>
      </c>
    </row>
    <row r="11" spans="1:15">
      <c r="A11" s="112" t="s">
        <v>495</v>
      </c>
      <c r="B11" t="s">
        <v>528</v>
      </c>
      <c r="C11" t="s">
        <v>326</v>
      </c>
      <c r="D11" t="s">
        <v>520</v>
      </c>
      <c r="E11" t="s">
        <v>112</v>
      </c>
      <c r="F11" t="s">
        <v>498</v>
      </c>
      <c r="G11" s="112" t="s">
        <v>464</v>
      </c>
      <c r="H11" t="s">
        <v>326</v>
      </c>
      <c r="I11" t="s">
        <v>327</v>
      </c>
      <c r="J11">
        <v>20</v>
      </c>
    </row>
    <row r="12" spans="1:15">
      <c r="A12" s="112" t="s">
        <v>495</v>
      </c>
      <c r="B12" t="s">
        <v>529</v>
      </c>
      <c r="C12" t="s">
        <v>292</v>
      </c>
      <c r="D12" t="s">
        <v>520</v>
      </c>
      <c r="E12" t="s">
        <v>112</v>
      </c>
      <c r="F12" t="s">
        <v>498</v>
      </c>
      <c r="G12" s="112" t="s">
        <v>293</v>
      </c>
      <c r="H12" t="s">
        <v>292</v>
      </c>
      <c r="I12" t="s">
        <v>293</v>
      </c>
      <c r="J12">
        <v>20</v>
      </c>
      <c r="K12">
        <v>1</v>
      </c>
      <c r="L12">
        <v>5</v>
      </c>
      <c r="M12" t="s">
        <v>258</v>
      </c>
      <c r="N12" t="s">
        <v>18</v>
      </c>
      <c r="O12" t="s">
        <v>298</v>
      </c>
    </row>
    <row r="13" spans="1:15">
      <c r="A13" s="112" t="s">
        <v>495</v>
      </c>
      <c r="B13" t="s">
        <v>530</v>
      </c>
      <c r="C13" t="s">
        <v>465</v>
      </c>
      <c r="D13" t="s">
        <v>520</v>
      </c>
      <c r="E13" t="s">
        <v>112</v>
      </c>
      <c r="F13" t="s">
        <v>498</v>
      </c>
      <c r="G13" s="112" t="s">
        <v>466</v>
      </c>
      <c r="H13" t="s">
        <v>328</v>
      </c>
      <c r="I13" t="s">
        <v>329</v>
      </c>
      <c r="J13">
        <v>20</v>
      </c>
      <c r="K13">
        <v>2</v>
      </c>
      <c r="L13">
        <v>6</v>
      </c>
      <c r="M13" t="s">
        <v>333</v>
      </c>
      <c r="N13" t="s">
        <v>18</v>
      </c>
      <c r="O13" t="s">
        <v>112</v>
      </c>
    </row>
    <row r="14" spans="1:15">
      <c r="A14" s="112" t="s">
        <v>495</v>
      </c>
      <c r="B14" t="s">
        <v>531</v>
      </c>
      <c r="C14" t="s">
        <v>368</v>
      </c>
      <c r="D14" t="s">
        <v>520</v>
      </c>
      <c r="E14" t="s">
        <v>112</v>
      </c>
      <c r="F14" t="s">
        <v>498</v>
      </c>
      <c r="G14" s="112" t="s">
        <v>467</v>
      </c>
      <c r="H14" t="s">
        <v>368</v>
      </c>
      <c r="I14" t="s">
        <v>370</v>
      </c>
      <c r="J14">
        <v>20</v>
      </c>
      <c r="K14">
        <v>1</v>
      </c>
      <c r="L14">
        <v>6</v>
      </c>
      <c r="M14" t="s">
        <v>372</v>
      </c>
      <c r="N14" t="s">
        <v>18</v>
      </c>
      <c r="O14" t="s">
        <v>112</v>
      </c>
    </row>
    <row r="15" spans="1:15">
      <c r="A15" s="112" t="s">
        <v>510</v>
      </c>
      <c r="B15" t="s">
        <v>532</v>
      </c>
      <c r="C15" t="s">
        <v>468</v>
      </c>
      <c r="D15" t="s">
        <v>520</v>
      </c>
      <c r="E15" t="s">
        <v>112</v>
      </c>
      <c r="F15" t="s">
        <v>498</v>
      </c>
      <c r="G15" s="112" t="s">
        <v>469</v>
      </c>
      <c r="H15" t="s">
        <v>468</v>
      </c>
      <c r="I15" t="s">
        <v>469</v>
      </c>
      <c r="J15">
        <v>20</v>
      </c>
      <c r="K15">
        <v>1</v>
      </c>
      <c r="L15">
        <v>4</v>
      </c>
      <c r="M15" t="s">
        <v>470</v>
      </c>
      <c r="N15" t="s">
        <v>18</v>
      </c>
      <c r="O15" t="s">
        <v>533</v>
      </c>
    </row>
    <row r="16" spans="1:15">
      <c r="A16" s="112" t="s">
        <v>510</v>
      </c>
      <c r="B16" t="s">
        <v>534</v>
      </c>
      <c r="C16" t="s">
        <v>471</v>
      </c>
      <c r="D16" t="s">
        <v>520</v>
      </c>
      <c r="E16" t="s">
        <v>112</v>
      </c>
      <c r="F16" t="s">
        <v>498</v>
      </c>
      <c r="G16" s="112" t="s">
        <v>472</v>
      </c>
      <c r="H16" t="s">
        <v>471</v>
      </c>
      <c r="I16" t="s">
        <v>472</v>
      </c>
      <c r="J16">
        <v>20</v>
      </c>
      <c r="K16">
        <v>2</v>
      </c>
      <c r="L16">
        <v>5</v>
      </c>
      <c r="M16" t="s">
        <v>473</v>
      </c>
      <c r="N16" t="s">
        <v>18</v>
      </c>
      <c r="O16" t="s">
        <v>448</v>
      </c>
    </row>
    <row r="17" spans="1:15">
      <c r="A17" s="112" t="s">
        <v>513</v>
      </c>
      <c r="B17" t="s">
        <v>535</v>
      </c>
      <c r="C17" t="s">
        <v>474</v>
      </c>
      <c r="D17" t="s">
        <v>520</v>
      </c>
      <c r="E17" t="s">
        <v>112</v>
      </c>
      <c r="F17" t="s">
        <v>498</v>
      </c>
      <c r="G17" s="112" t="s">
        <v>475</v>
      </c>
      <c r="H17" t="s">
        <v>474</v>
      </c>
      <c r="I17" t="s">
        <v>475</v>
      </c>
      <c r="J17">
        <v>20</v>
      </c>
      <c r="K17">
        <v>2</v>
      </c>
      <c r="L17">
        <v>4</v>
      </c>
      <c r="M17" t="s">
        <v>476</v>
      </c>
      <c r="N17" t="s">
        <v>477</v>
      </c>
      <c r="O17" t="s">
        <v>448</v>
      </c>
    </row>
    <row r="18" spans="1:15">
      <c r="A18" s="112" t="s">
        <v>513</v>
      </c>
      <c r="B18" t="s">
        <v>536</v>
      </c>
      <c r="C18" t="s">
        <v>478</v>
      </c>
      <c r="D18" t="s">
        <v>520</v>
      </c>
      <c r="E18" t="s">
        <v>112</v>
      </c>
      <c r="F18" t="s">
        <v>498</v>
      </c>
      <c r="G18" s="112" t="s">
        <v>479</v>
      </c>
      <c r="H18" t="s">
        <v>478</v>
      </c>
      <c r="I18" t="s">
        <v>748</v>
      </c>
      <c r="J18">
        <v>20</v>
      </c>
      <c r="K18">
        <v>1</v>
      </c>
      <c r="L18">
        <v>4</v>
      </c>
      <c r="M18" t="s">
        <v>749</v>
      </c>
      <c r="N18" t="s">
        <v>18</v>
      </c>
      <c r="O18" t="s">
        <v>533</v>
      </c>
    </row>
    <row r="19" spans="1:15">
      <c r="A19" s="112" t="s">
        <v>513</v>
      </c>
      <c r="B19" t="s">
        <v>537</v>
      </c>
      <c r="C19" t="s">
        <v>480</v>
      </c>
      <c r="D19" t="s">
        <v>520</v>
      </c>
      <c r="E19" t="s">
        <v>112</v>
      </c>
      <c r="F19" t="s">
        <v>498</v>
      </c>
      <c r="G19" s="112" t="s">
        <v>481</v>
      </c>
      <c r="H19" t="s">
        <v>480</v>
      </c>
      <c r="I19" t="s">
        <v>481</v>
      </c>
      <c r="J19">
        <v>20</v>
      </c>
      <c r="K19">
        <v>2</v>
      </c>
      <c r="L19">
        <v>4</v>
      </c>
      <c r="M19" t="s">
        <v>482</v>
      </c>
      <c r="N19" t="s">
        <v>18</v>
      </c>
      <c r="O19" t="s">
        <v>533</v>
      </c>
    </row>
    <row r="20" spans="1:15">
      <c r="A20" s="112" t="s">
        <v>513</v>
      </c>
      <c r="B20" t="s">
        <v>752</v>
      </c>
      <c r="C20" t="s">
        <v>704</v>
      </c>
      <c r="D20" t="s">
        <v>520</v>
      </c>
      <c r="E20" t="s">
        <v>112</v>
      </c>
      <c r="F20" t="s">
        <v>498</v>
      </c>
      <c r="G20" s="112" t="s">
        <v>705</v>
      </c>
      <c r="H20" t="s">
        <v>704</v>
      </c>
      <c r="I20" t="s">
        <v>705</v>
      </c>
      <c r="J20">
        <v>20</v>
      </c>
      <c r="K20">
        <v>2</v>
      </c>
      <c r="L20">
        <v>5</v>
      </c>
      <c r="M20" t="s">
        <v>753</v>
      </c>
      <c r="N20" t="s">
        <v>477</v>
      </c>
      <c r="O20" t="s">
        <v>448</v>
      </c>
    </row>
    <row r="21" spans="1:15">
      <c r="A21" s="112" t="s">
        <v>513</v>
      </c>
      <c r="B21" t="s">
        <v>538</v>
      </c>
      <c r="C21" t="s">
        <v>483</v>
      </c>
      <c r="D21" t="s">
        <v>520</v>
      </c>
      <c r="E21" t="s">
        <v>112</v>
      </c>
      <c r="F21" t="s">
        <v>498</v>
      </c>
      <c r="G21" s="112" t="s">
        <v>484</v>
      </c>
      <c r="H21" t="s">
        <v>483</v>
      </c>
      <c r="I21" t="s">
        <v>484</v>
      </c>
      <c r="J21">
        <v>40</v>
      </c>
      <c r="K21" t="s">
        <v>407</v>
      </c>
      <c r="L21">
        <v>6</v>
      </c>
      <c r="M21" t="s">
        <v>485</v>
      </c>
      <c r="N21" t="s">
        <v>486</v>
      </c>
      <c r="O21" t="s">
        <v>448</v>
      </c>
    </row>
    <row r="22" spans="1:15">
      <c r="A22" s="112" t="s">
        <v>513</v>
      </c>
      <c r="B22" t="s">
        <v>539</v>
      </c>
      <c r="C22" t="s">
        <v>487</v>
      </c>
      <c r="D22" t="s">
        <v>520</v>
      </c>
      <c r="E22" t="s">
        <v>112</v>
      </c>
      <c r="F22" t="s">
        <v>498</v>
      </c>
      <c r="G22" s="112" t="s">
        <v>488</v>
      </c>
      <c r="H22" t="s">
        <v>487</v>
      </c>
      <c r="I22" t="s">
        <v>488</v>
      </c>
      <c r="J22">
        <v>20</v>
      </c>
      <c r="K22">
        <v>1</v>
      </c>
      <c r="L22">
        <v>6</v>
      </c>
      <c r="M22" t="s">
        <v>489</v>
      </c>
      <c r="N22" t="s">
        <v>260</v>
      </c>
      <c r="O22" t="s">
        <v>540</v>
      </c>
    </row>
    <row r="23" spans="1:15">
      <c r="A23" s="112" t="s">
        <v>513</v>
      </c>
      <c r="B23" t="s">
        <v>754</v>
      </c>
      <c r="C23" t="s">
        <v>707</v>
      </c>
      <c r="D23" t="s">
        <v>520</v>
      </c>
      <c r="E23" t="s">
        <v>112</v>
      </c>
      <c r="F23" t="s">
        <v>498</v>
      </c>
      <c r="G23" s="112" t="s">
        <v>708</v>
      </c>
      <c r="H23" t="s">
        <v>707</v>
      </c>
      <c r="I23" t="s">
        <v>708</v>
      </c>
      <c r="J23">
        <v>20</v>
      </c>
      <c r="K23">
        <v>1</v>
      </c>
      <c r="L23">
        <v>6</v>
      </c>
      <c r="M23" t="s">
        <v>755</v>
      </c>
      <c r="N23" t="s">
        <v>260</v>
      </c>
      <c r="O23" t="s">
        <v>540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35DF-6AED-43D3-9E75-611234673039}">
  <sheetPr codeName="Sheet15"/>
  <dimension ref="A1:E65"/>
  <sheetViews>
    <sheetView topLeftCell="A31" workbookViewId="0">
      <selection activeCell="F25" sqref="F25"/>
    </sheetView>
  </sheetViews>
  <sheetFormatPr defaultColWidth="8.85546875" defaultRowHeight="15"/>
  <cols>
    <col min="1" max="1" width="42.42578125" bestFit="1" customWidth="1"/>
    <col min="2" max="2" width="38" bestFit="1" customWidth="1"/>
    <col min="3" max="3" width="81.140625" bestFit="1" customWidth="1"/>
    <col min="4" max="4" width="16.140625" bestFit="1" customWidth="1"/>
    <col min="5" max="5" width="11" bestFit="1" customWidth="1"/>
  </cols>
  <sheetData>
    <row r="1" spans="1:5">
      <c r="A1" t="s">
        <v>541</v>
      </c>
      <c r="B1" t="s">
        <v>542</v>
      </c>
      <c r="C1" t="s">
        <v>543</v>
      </c>
      <c r="D1" t="s">
        <v>544</v>
      </c>
      <c r="E1" t="s">
        <v>545</v>
      </c>
    </row>
    <row r="2" spans="1:5">
      <c r="A2" t="s">
        <v>275</v>
      </c>
      <c r="B2" t="s">
        <v>386</v>
      </c>
      <c r="C2" t="s">
        <v>756</v>
      </c>
      <c r="D2">
        <v>6</v>
      </c>
      <c r="E2" t="b">
        <v>1</v>
      </c>
    </row>
    <row r="3" spans="1:5">
      <c r="A3" t="s">
        <v>275</v>
      </c>
      <c r="B3" t="s">
        <v>309</v>
      </c>
      <c r="C3" t="s">
        <v>757</v>
      </c>
      <c r="D3">
        <v>7</v>
      </c>
      <c r="E3" t="b">
        <v>1</v>
      </c>
    </row>
    <row r="4" spans="1:5">
      <c r="A4" t="s">
        <v>275</v>
      </c>
      <c r="B4" t="s">
        <v>546</v>
      </c>
      <c r="C4" t="s">
        <v>758</v>
      </c>
      <c r="D4">
        <v>5</v>
      </c>
      <c r="E4" t="b">
        <v>1</v>
      </c>
    </row>
    <row r="5" spans="1:5">
      <c r="A5" t="s">
        <v>137</v>
      </c>
      <c r="B5" t="s">
        <v>183</v>
      </c>
      <c r="C5" t="s">
        <v>759</v>
      </c>
      <c r="D5">
        <v>3</v>
      </c>
      <c r="E5" t="b">
        <v>1</v>
      </c>
    </row>
    <row r="6" spans="1:5">
      <c r="A6" t="s">
        <v>275</v>
      </c>
      <c r="B6" t="s">
        <v>353</v>
      </c>
      <c r="C6" t="s">
        <v>760</v>
      </c>
      <c r="D6">
        <v>4</v>
      </c>
      <c r="E6" t="b">
        <v>1</v>
      </c>
    </row>
    <row r="7" spans="1:5">
      <c r="A7" t="s">
        <v>65</v>
      </c>
      <c r="B7" t="s">
        <v>66</v>
      </c>
      <c r="C7" t="s">
        <v>761</v>
      </c>
      <c r="D7">
        <v>13</v>
      </c>
      <c r="E7" t="b">
        <v>1</v>
      </c>
    </row>
    <row r="8" spans="1:5">
      <c r="A8" t="s">
        <v>275</v>
      </c>
      <c r="B8" t="s">
        <v>276</v>
      </c>
      <c r="C8" t="s">
        <v>762</v>
      </c>
      <c r="D8">
        <v>4</v>
      </c>
      <c r="E8" t="b">
        <v>1</v>
      </c>
    </row>
    <row r="9" spans="1:5">
      <c r="A9" t="s">
        <v>71</v>
      </c>
      <c r="B9" t="s">
        <v>216</v>
      </c>
      <c r="C9" t="s">
        <v>763</v>
      </c>
      <c r="D9">
        <v>9</v>
      </c>
      <c r="E9" t="b">
        <v>1</v>
      </c>
    </row>
    <row r="10" spans="1:5">
      <c r="A10" t="s">
        <v>275</v>
      </c>
      <c r="B10" t="s">
        <v>547</v>
      </c>
      <c r="C10" t="s">
        <v>548</v>
      </c>
      <c r="D10">
        <v>2</v>
      </c>
      <c r="E10" t="b">
        <v>1</v>
      </c>
    </row>
    <row r="11" spans="1:5">
      <c r="A11" t="s">
        <v>126</v>
      </c>
      <c r="B11" t="s">
        <v>127</v>
      </c>
      <c r="C11" t="s">
        <v>764</v>
      </c>
      <c r="D11">
        <v>5</v>
      </c>
      <c r="E11" t="b">
        <v>1</v>
      </c>
    </row>
    <row r="12" spans="1:5">
      <c r="A12" t="s">
        <v>137</v>
      </c>
      <c r="B12" t="s">
        <v>549</v>
      </c>
      <c r="D12">
        <v>0</v>
      </c>
      <c r="E12" t="b">
        <v>0</v>
      </c>
    </row>
    <row r="13" spans="1:5">
      <c r="A13" t="s">
        <v>137</v>
      </c>
      <c r="B13" t="s">
        <v>245</v>
      </c>
      <c r="C13" t="s">
        <v>765</v>
      </c>
      <c r="D13">
        <v>4</v>
      </c>
      <c r="E13" t="b">
        <v>1</v>
      </c>
    </row>
    <row r="14" spans="1:5">
      <c r="A14" t="s">
        <v>137</v>
      </c>
      <c r="B14" t="s">
        <v>550</v>
      </c>
      <c r="D14">
        <v>0</v>
      </c>
      <c r="E14" t="b">
        <v>0</v>
      </c>
    </row>
    <row r="15" spans="1:5">
      <c r="A15" t="s">
        <v>69</v>
      </c>
      <c r="B15" t="s">
        <v>551</v>
      </c>
      <c r="C15" t="s">
        <v>479</v>
      </c>
      <c r="D15">
        <v>1</v>
      </c>
      <c r="E15" t="b">
        <v>1</v>
      </c>
    </row>
    <row r="16" spans="1:5">
      <c r="A16" t="s">
        <v>137</v>
      </c>
      <c r="B16" t="s">
        <v>552</v>
      </c>
      <c r="C16" t="s">
        <v>472</v>
      </c>
      <c r="D16">
        <v>1</v>
      </c>
      <c r="E16" t="b">
        <v>1</v>
      </c>
    </row>
    <row r="17" spans="1:5">
      <c r="A17" t="s">
        <v>65</v>
      </c>
      <c r="B17" t="s">
        <v>67</v>
      </c>
      <c r="C17" t="s">
        <v>766</v>
      </c>
      <c r="D17">
        <v>8</v>
      </c>
      <c r="E17" t="b">
        <v>1</v>
      </c>
    </row>
    <row r="18" spans="1:5">
      <c r="A18" t="s">
        <v>71</v>
      </c>
      <c r="B18" t="s">
        <v>554</v>
      </c>
      <c r="C18" t="s">
        <v>767</v>
      </c>
      <c r="D18">
        <v>2</v>
      </c>
      <c r="E18" t="b">
        <v>1</v>
      </c>
    </row>
    <row r="19" spans="1:5">
      <c r="A19" t="s">
        <v>137</v>
      </c>
      <c r="B19" t="s">
        <v>138</v>
      </c>
      <c r="C19" t="s">
        <v>768</v>
      </c>
      <c r="D19">
        <v>4</v>
      </c>
      <c r="E19" t="b">
        <v>1</v>
      </c>
    </row>
    <row r="20" spans="1:5">
      <c r="A20" t="s">
        <v>71</v>
      </c>
      <c r="B20" t="s">
        <v>457</v>
      </c>
      <c r="C20" t="s">
        <v>769</v>
      </c>
      <c r="D20">
        <v>2</v>
      </c>
      <c r="E20" t="b">
        <v>1</v>
      </c>
    </row>
    <row r="21" spans="1:5">
      <c r="A21" t="s">
        <v>65</v>
      </c>
      <c r="B21" t="s">
        <v>68</v>
      </c>
      <c r="C21" t="s">
        <v>770</v>
      </c>
      <c r="D21">
        <v>5</v>
      </c>
      <c r="E21" t="b">
        <v>1</v>
      </c>
    </row>
    <row r="22" spans="1:5">
      <c r="A22" t="s">
        <v>65</v>
      </c>
      <c r="B22" t="s">
        <v>354</v>
      </c>
      <c r="C22" t="s">
        <v>771</v>
      </c>
      <c r="D22">
        <v>2</v>
      </c>
      <c r="E22" t="b">
        <v>1</v>
      </c>
    </row>
    <row r="23" spans="1:5">
      <c r="A23" t="s">
        <v>65</v>
      </c>
      <c r="B23" t="s">
        <v>553</v>
      </c>
      <c r="C23" t="s">
        <v>772</v>
      </c>
      <c r="D23">
        <v>2</v>
      </c>
      <c r="E23" t="b">
        <v>1</v>
      </c>
    </row>
    <row r="24" spans="1:5">
      <c r="A24" t="s">
        <v>65</v>
      </c>
      <c r="B24" t="s">
        <v>186</v>
      </c>
      <c r="C24" t="s">
        <v>773</v>
      </c>
      <c r="D24">
        <v>4</v>
      </c>
      <c r="E24" t="b">
        <v>1</v>
      </c>
    </row>
    <row r="25" spans="1:5">
      <c r="A25" t="s">
        <v>69</v>
      </c>
      <c r="B25" t="s">
        <v>70</v>
      </c>
      <c r="C25" t="s">
        <v>774</v>
      </c>
      <c r="D25">
        <v>10</v>
      </c>
      <c r="E25" t="b">
        <v>1</v>
      </c>
    </row>
    <row r="26" spans="1:5">
      <c r="A26" t="s">
        <v>69</v>
      </c>
      <c r="B26" t="s">
        <v>560</v>
      </c>
      <c r="C26" t="s">
        <v>702</v>
      </c>
      <c r="D26">
        <v>1</v>
      </c>
      <c r="E26" t="b">
        <v>1</v>
      </c>
    </row>
    <row r="27" spans="1:5">
      <c r="A27" t="s">
        <v>69</v>
      </c>
      <c r="B27" t="s">
        <v>277</v>
      </c>
      <c r="C27" t="s">
        <v>775</v>
      </c>
      <c r="D27">
        <v>3</v>
      </c>
      <c r="E27" t="b">
        <v>1</v>
      </c>
    </row>
    <row r="28" spans="1:5">
      <c r="A28" t="s">
        <v>71</v>
      </c>
      <c r="B28" t="s">
        <v>575</v>
      </c>
      <c r="D28">
        <v>0</v>
      </c>
      <c r="E28" t="b">
        <v>0</v>
      </c>
    </row>
    <row r="29" spans="1:5">
      <c r="A29" t="s">
        <v>128</v>
      </c>
      <c r="B29" t="s">
        <v>562</v>
      </c>
      <c r="C29" t="s">
        <v>776</v>
      </c>
      <c r="D29">
        <v>2</v>
      </c>
      <c r="E29" t="b">
        <v>1</v>
      </c>
    </row>
    <row r="30" spans="1:5">
      <c r="A30" t="s">
        <v>128</v>
      </c>
      <c r="B30" t="s">
        <v>563</v>
      </c>
      <c r="C30" t="s">
        <v>702</v>
      </c>
      <c r="D30">
        <v>1</v>
      </c>
      <c r="E30" t="b">
        <v>1</v>
      </c>
    </row>
    <row r="31" spans="1:5">
      <c r="A31" t="s">
        <v>71</v>
      </c>
      <c r="B31" t="s">
        <v>72</v>
      </c>
      <c r="C31" t="s">
        <v>777</v>
      </c>
      <c r="D31">
        <v>4</v>
      </c>
      <c r="E31" t="b">
        <v>1</v>
      </c>
    </row>
    <row r="32" spans="1:5">
      <c r="A32" t="s">
        <v>128</v>
      </c>
      <c r="B32" t="s">
        <v>564</v>
      </c>
      <c r="C32" t="s">
        <v>778</v>
      </c>
      <c r="D32">
        <v>3</v>
      </c>
      <c r="E32" t="b">
        <v>1</v>
      </c>
    </row>
    <row r="33" spans="1:5">
      <c r="A33" t="s">
        <v>128</v>
      </c>
      <c r="B33" t="s">
        <v>566</v>
      </c>
      <c r="C33" t="s">
        <v>776</v>
      </c>
      <c r="D33">
        <v>2</v>
      </c>
      <c r="E33" t="b">
        <v>1</v>
      </c>
    </row>
    <row r="34" spans="1:5">
      <c r="A34" t="s">
        <v>128</v>
      </c>
      <c r="B34" t="s">
        <v>567</v>
      </c>
      <c r="C34" t="s">
        <v>702</v>
      </c>
      <c r="D34">
        <v>1</v>
      </c>
      <c r="E34" t="b">
        <v>1</v>
      </c>
    </row>
    <row r="35" spans="1:5">
      <c r="A35" t="s">
        <v>71</v>
      </c>
      <c r="B35" t="s">
        <v>555</v>
      </c>
      <c r="D35">
        <v>0</v>
      </c>
      <c r="E35" t="b">
        <v>0</v>
      </c>
    </row>
    <row r="36" spans="1:5">
      <c r="A36" t="s">
        <v>128</v>
      </c>
      <c r="B36" t="s">
        <v>416</v>
      </c>
      <c r="C36" t="s">
        <v>779</v>
      </c>
      <c r="D36">
        <v>2</v>
      </c>
      <c r="E36" t="b">
        <v>1</v>
      </c>
    </row>
    <row r="37" spans="1:5">
      <c r="A37" t="s">
        <v>128</v>
      </c>
      <c r="B37" t="s">
        <v>568</v>
      </c>
      <c r="C37" t="s">
        <v>702</v>
      </c>
      <c r="D37">
        <v>1</v>
      </c>
      <c r="E37" t="b">
        <v>1</v>
      </c>
    </row>
    <row r="38" spans="1:5">
      <c r="A38" t="s">
        <v>126</v>
      </c>
      <c r="B38" t="s">
        <v>131</v>
      </c>
      <c r="C38" t="s">
        <v>780</v>
      </c>
      <c r="D38">
        <v>5</v>
      </c>
      <c r="E38" t="b">
        <v>1</v>
      </c>
    </row>
    <row r="39" spans="1:5">
      <c r="A39" t="s">
        <v>126</v>
      </c>
      <c r="B39" t="s">
        <v>556</v>
      </c>
      <c r="D39">
        <v>0</v>
      </c>
      <c r="E39" t="b">
        <v>0</v>
      </c>
    </row>
    <row r="40" spans="1:5">
      <c r="A40" t="s">
        <v>126</v>
      </c>
      <c r="B40" t="s">
        <v>130</v>
      </c>
      <c r="C40" t="s">
        <v>462</v>
      </c>
      <c r="D40">
        <v>1</v>
      </c>
      <c r="E40" t="b">
        <v>1</v>
      </c>
    </row>
    <row r="41" spans="1:5">
      <c r="A41" t="s">
        <v>126</v>
      </c>
      <c r="B41" t="s">
        <v>557</v>
      </c>
      <c r="D41">
        <v>0</v>
      </c>
      <c r="E41" t="b">
        <v>0</v>
      </c>
    </row>
    <row r="42" spans="1:5">
      <c r="A42" t="s">
        <v>126</v>
      </c>
      <c r="B42" t="s">
        <v>558</v>
      </c>
      <c r="D42">
        <v>0</v>
      </c>
      <c r="E42" t="b">
        <v>0</v>
      </c>
    </row>
    <row r="43" spans="1:5">
      <c r="A43" t="s">
        <v>126</v>
      </c>
      <c r="B43" t="s">
        <v>559</v>
      </c>
      <c r="D43">
        <v>0</v>
      </c>
      <c r="E43" t="b">
        <v>0</v>
      </c>
    </row>
    <row r="44" spans="1:5">
      <c r="A44" t="s">
        <v>132</v>
      </c>
      <c r="B44" t="s">
        <v>136</v>
      </c>
      <c r="C44" t="s">
        <v>781</v>
      </c>
      <c r="D44">
        <v>4</v>
      </c>
      <c r="E44" t="b">
        <v>1</v>
      </c>
    </row>
    <row r="45" spans="1:5">
      <c r="A45" t="s">
        <v>132</v>
      </c>
      <c r="B45" t="s">
        <v>181</v>
      </c>
      <c r="C45" t="s">
        <v>782</v>
      </c>
      <c r="D45">
        <v>3</v>
      </c>
      <c r="E45" t="b">
        <v>1</v>
      </c>
    </row>
    <row r="46" spans="1:5">
      <c r="A46" t="s">
        <v>69</v>
      </c>
      <c r="B46" t="s">
        <v>455</v>
      </c>
      <c r="C46" t="s">
        <v>783</v>
      </c>
      <c r="D46">
        <v>3</v>
      </c>
      <c r="E46" t="b">
        <v>1</v>
      </c>
    </row>
    <row r="47" spans="1:5">
      <c r="A47" t="s">
        <v>132</v>
      </c>
      <c r="B47" t="s">
        <v>456</v>
      </c>
      <c r="C47" t="s">
        <v>784</v>
      </c>
      <c r="D47">
        <v>5</v>
      </c>
      <c r="E47" t="b">
        <v>1</v>
      </c>
    </row>
    <row r="48" spans="1:5">
      <c r="A48" t="s">
        <v>69</v>
      </c>
      <c r="B48" t="s">
        <v>278</v>
      </c>
      <c r="C48" t="s">
        <v>785</v>
      </c>
      <c r="D48">
        <v>3</v>
      </c>
      <c r="E48" t="b">
        <v>1</v>
      </c>
    </row>
    <row r="49" spans="1:5">
      <c r="A49" t="s">
        <v>134</v>
      </c>
      <c r="B49" t="s">
        <v>182</v>
      </c>
      <c r="C49" t="s">
        <v>786</v>
      </c>
      <c r="D49">
        <v>2</v>
      </c>
      <c r="E49" t="b">
        <v>1</v>
      </c>
    </row>
    <row r="50" spans="1:5">
      <c r="A50" t="s">
        <v>132</v>
      </c>
      <c r="B50" t="s">
        <v>246</v>
      </c>
      <c r="C50" t="s">
        <v>787</v>
      </c>
      <c r="D50">
        <v>3</v>
      </c>
      <c r="E50" t="b">
        <v>1</v>
      </c>
    </row>
    <row r="51" spans="1:5">
      <c r="A51" t="s">
        <v>134</v>
      </c>
      <c r="B51" t="s">
        <v>218</v>
      </c>
      <c r="C51" t="s">
        <v>788</v>
      </c>
      <c r="D51">
        <v>2</v>
      </c>
      <c r="E51" t="b">
        <v>1</v>
      </c>
    </row>
    <row r="52" spans="1:5">
      <c r="A52" t="s">
        <v>134</v>
      </c>
      <c r="B52" t="s">
        <v>569</v>
      </c>
      <c r="C52" t="s">
        <v>702</v>
      </c>
      <c r="D52">
        <v>1</v>
      </c>
      <c r="E52" t="b">
        <v>1</v>
      </c>
    </row>
    <row r="53" spans="1:5">
      <c r="A53" t="s">
        <v>132</v>
      </c>
      <c r="B53" t="s">
        <v>561</v>
      </c>
      <c r="C53" t="s">
        <v>481</v>
      </c>
      <c r="D53">
        <v>1</v>
      </c>
      <c r="E53" t="b">
        <v>1</v>
      </c>
    </row>
    <row r="54" spans="1:5">
      <c r="A54" t="s">
        <v>132</v>
      </c>
      <c r="B54" t="s">
        <v>133</v>
      </c>
      <c r="C54" t="s">
        <v>789</v>
      </c>
      <c r="D54">
        <v>2</v>
      </c>
      <c r="E54" t="b">
        <v>1</v>
      </c>
    </row>
    <row r="55" spans="1:5">
      <c r="A55" t="s">
        <v>128</v>
      </c>
      <c r="B55" t="s">
        <v>129</v>
      </c>
      <c r="C55" t="s">
        <v>790</v>
      </c>
      <c r="D55">
        <v>3</v>
      </c>
      <c r="E55" t="b">
        <v>1</v>
      </c>
    </row>
    <row r="56" spans="1:5">
      <c r="A56" t="s">
        <v>128</v>
      </c>
      <c r="B56" t="s">
        <v>565</v>
      </c>
      <c r="D56">
        <v>0</v>
      </c>
      <c r="E56" t="b">
        <v>0</v>
      </c>
    </row>
    <row r="57" spans="1:5">
      <c r="A57" t="s">
        <v>134</v>
      </c>
      <c r="B57" t="s">
        <v>247</v>
      </c>
      <c r="C57" t="s">
        <v>791</v>
      </c>
      <c r="D57">
        <v>2</v>
      </c>
      <c r="E57" t="b">
        <v>1</v>
      </c>
    </row>
    <row r="58" spans="1:5">
      <c r="A58" t="s">
        <v>134</v>
      </c>
      <c r="B58" t="s">
        <v>135</v>
      </c>
      <c r="C58" t="s">
        <v>792</v>
      </c>
      <c r="D58">
        <v>2</v>
      </c>
      <c r="E58" t="b">
        <v>1</v>
      </c>
    </row>
    <row r="59" spans="1:5">
      <c r="A59" t="s">
        <v>184</v>
      </c>
      <c r="B59" t="s">
        <v>570</v>
      </c>
      <c r="C59" t="s">
        <v>793</v>
      </c>
      <c r="D59">
        <v>2</v>
      </c>
      <c r="E59" t="b">
        <v>1</v>
      </c>
    </row>
    <row r="60" spans="1:5">
      <c r="A60" t="s">
        <v>184</v>
      </c>
      <c r="B60" t="s">
        <v>571</v>
      </c>
      <c r="D60">
        <v>0</v>
      </c>
      <c r="E60" t="b">
        <v>0</v>
      </c>
    </row>
    <row r="61" spans="1:5">
      <c r="A61" t="s">
        <v>184</v>
      </c>
      <c r="B61" t="s">
        <v>572</v>
      </c>
      <c r="C61" t="s">
        <v>702</v>
      </c>
      <c r="D61">
        <v>1</v>
      </c>
      <c r="E61" t="b">
        <v>1</v>
      </c>
    </row>
    <row r="62" spans="1:5">
      <c r="A62" t="s">
        <v>184</v>
      </c>
      <c r="B62" t="s">
        <v>185</v>
      </c>
      <c r="C62" t="s">
        <v>794</v>
      </c>
      <c r="D62">
        <v>4</v>
      </c>
      <c r="E62" t="b">
        <v>1</v>
      </c>
    </row>
    <row r="63" spans="1:5">
      <c r="A63" t="s">
        <v>184</v>
      </c>
      <c r="B63" t="s">
        <v>217</v>
      </c>
      <c r="C63" t="s">
        <v>795</v>
      </c>
      <c r="D63">
        <v>3</v>
      </c>
      <c r="E63" t="b">
        <v>1</v>
      </c>
    </row>
    <row r="64" spans="1:5">
      <c r="A64" t="s">
        <v>184</v>
      </c>
      <c r="B64" t="s">
        <v>573</v>
      </c>
      <c r="D64">
        <v>0</v>
      </c>
      <c r="E64" t="b">
        <v>0</v>
      </c>
    </row>
    <row r="65" spans="1:5">
      <c r="A65" t="s">
        <v>184</v>
      </c>
      <c r="B65" t="s">
        <v>574</v>
      </c>
      <c r="C65" t="s">
        <v>702</v>
      </c>
      <c r="D65">
        <v>1</v>
      </c>
      <c r="E65" t="b">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E06E-BCC5-4C84-A05B-DA3767EF2E6E}">
  <sheetPr codeName="Sheet16"/>
  <dimension ref="A1:K218"/>
  <sheetViews>
    <sheetView workbookViewId="0">
      <selection sqref="A1:K129"/>
    </sheetView>
  </sheetViews>
  <sheetFormatPr defaultColWidth="8.85546875" defaultRowHeight="15"/>
  <cols>
    <col min="1" max="1" width="49" bestFit="1" customWidth="1"/>
    <col min="2" max="2" width="17.85546875" bestFit="1" customWidth="1"/>
    <col min="3" max="3" width="17.42578125" bestFit="1" customWidth="1"/>
    <col min="4" max="4" width="13.42578125" bestFit="1" customWidth="1"/>
    <col min="5" max="5" width="42.42578125" bestFit="1" customWidth="1"/>
    <col min="6" max="6" width="34.5703125" bestFit="1" customWidth="1"/>
    <col min="7" max="7" width="14.85546875" bestFit="1" customWidth="1"/>
    <col min="8" max="8" width="12.7109375" bestFit="1" customWidth="1"/>
    <col min="9" max="9" width="14.42578125" bestFit="1" customWidth="1"/>
    <col min="10" max="10" width="12.140625" bestFit="1" customWidth="1"/>
    <col min="11" max="11" width="53" bestFit="1" customWidth="1"/>
  </cols>
  <sheetData>
    <row r="1" spans="1:11">
      <c r="A1" t="s">
        <v>490</v>
      </c>
      <c r="B1" t="s">
        <v>491</v>
      </c>
      <c r="C1" t="s">
        <v>50</v>
      </c>
      <c r="D1" t="s">
        <v>39</v>
      </c>
      <c r="E1" t="s">
        <v>63</v>
      </c>
      <c r="F1" t="s">
        <v>64</v>
      </c>
      <c r="G1" t="s">
        <v>458</v>
      </c>
      <c r="H1" t="s">
        <v>492</v>
      </c>
      <c r="I1" t="s">
        <v>493</v>
      </c>
      <c r="J1" t="s">
        <v>494</v>
      </c>
      <c r="K1" t="s">
        <v>459</v>
      </c>
    </row>
    <row r="2" spans="1:11">
      <c r="A2" s="112" t="s">
        <v>513</v>
      </c>
      <c r="B2" t="s">
        <v>576</v>
      </c>
      <c r="C2" t="s">
        <v>56</v>
      </c>
      <c r="D2" t="s">
        <v>41</v>
      </c>
      <c r="E2" t="s">
        <v>275</v>
      </c>
      <c r="F2" t="s">
        <v>309</v>
      </c>
      <c r="G2" t="s">
        <v>474</v>
      </c>
      <c r="H2" t="s">
        <v>577</v>
      </c>
      <c r="I2" t="s">
        <v>112</v>
      </c>
      <c r="J2" t="s">
        <v>498</v>
      </c>
      <c r="K2" s="112" t="s">
        <v>475</v>
      </c>
    </row>
    <row r="3" spans="1:11">
      <c r="A3" s="112" t="s">
        <v>513</v>
      </c>
      <c r="B3" t="s">
        <v>576</v>
      </c>
      <c r="C3" t="s">
        <v>56</v>
      </c>
      <c r="D3" t="s">
        <v>41</v>
      </c>
      <c r="E3" t="s">
        <v>275</v>
      </c>
      <c r="F3" t="s">
        <v>546</v>
      </c>
      <c r="G3" t="s">
        <v>474</v>
      </c>
      <c r="H3" t="s">
        <v>577</v>
      </c>
      <c r="I3" t="s">
        <v>112</v>
      </c>
      <c r="J3" t="s">
        <v>498</v>
      </c>
      <c r="K3" s="112" t="s">
        <v>475</v>
      </c>
    </row>
    <row r="4" spans="1:11">
      <c r="A4" s="112" t="s">
        <v>513</v>
      </c>
      <c r="B4" t="s">
        <v>576</v>
      </c>
      <c r="C4" t="s">
        <v>56</v>
      </c>
      <c r="D4" t="s">
        <v>43</v>
      </c>
      <c r="E4" t="s">
        <v>137</v>
      </c>
      <c r="F4" t="s">
        <v>183</v>
      </c>
      <c r="G4" t="s">
        <v>474</v>
      </c>
      <c r="H4" t="s">
        <v>577</v>
      </c>
      <c r="I4" t="s">
        <v>112</v>
      </c>
      <c r="J4" t="s">
        <v>498</v>
      </c>
      <c r="K4" s="112" t="s">
        <v>475</v>
      </c>
    </row>
    <row r="5" spans="1:11">
      <c r="A5" s="112" t="s">
        <v>513</v>
      </c>
      <c r="B5" t="s">
        <v>576</v>
      </c>
      <c r="C5" t="s">
        <v>56</v>
      </c>
      <c r="D5" t="s">
        <v>43</v>
      </c>
      <c r="E5" t="s">
        <v>65</v>
      </c>
      <c r="F5" t="s">
        <v>66</v>
      </c>
      <c r="G5" t="s">
        <v>474</v>
      </c>
      <c r="H5" t="s">
        <v>577</v>
      </c>
      <c r="I5" t="s">
        <v>112</v>
      </c>
      <c r="J5" t="s">
        <v>498</v>
      </c>
      <c r="K5" s="112" t="s">
        <v>475</v>
      </c>
    </row>
    <row r="6" spans="1:11">
      <c r="A6" s="112" t="s">
        <v>513</v>
      </c>
      <c r="B6" t="s">
        <v>576</v>
      </c>
      <c r="C6" t="s">
        <v>56</v>
      </c>
      <c r="D6" t="s">
        <v>41</v>
      </c>
      <c r="E6" t="s">
        <v>71</v>
      </c>
      <c r="F6" t="s">
        <v>216</v>
      </c>
      <c r="G6" t="s">
        <v>474</v>
      </c>
      <c r="H6" t="s">
        <v>577</v>
      </c>
      <c r="I6" t="s">
        <v>112</v>
      </c>
      <c r="J6" t="s">
        <v>498</v>
      </c>
      <c r="K6" s="112" t="s">
        <v>475</v>
      </c>
    </row>
    <row r="7" spans="1:11">
      <c r="A7" s="112" t="s">
        <v>513</v>
      </c>
      <c r="B7" t="s">
        <v>576</v>
      </c>
      <c r="C7" t="s">
        <v>56</v>
      </c>
      <c r="D7" t="s">
        <v>43</v>
      </c>
      <c r="E7" t="s">
        <v>126</v>
      </c>
      <c r="F7" t="s">
        <v>127</v>
      </c>
      <c r="G7" t="s">
        <v>474</v>
      </c>
      <c r="H7" t="s">
        <v>577</v>
      </c>
      <c r="I7" t="s">
        <v>112</v>
      </c>
      <c r="J7" t="s">
        <v>498</v>
      </c>
      <c r="K7" s="112" t="s">
        <v>475</v>
      </c>
    </row>
    <row r="8" spans="1:11">
      <c r="A8" s="112" t="s">
        <v>513</v>
      </c>
      <c r="B8" t="s">
        <v>576</v>
      </c>
      <c r="C8" t="s">
        <v>59</v>
      </c>
      <c r="D8" t="s">
        <v>41</v>
      </c>
      <c r="E8" t="s">
        <v>275</v>
      </c>
      <c r="F8" t="s">
        <v>309</v>
      </c>
      <c r="G8" t="s">
        <v>474</v>
      </c>
      <c r="H8" t="s">
        <v>577</v>
      </c>
      <c r="I8" t="s">
        <v>112</v>
      </c>
      <c r="J8" t="s">
        <v>498</v>
      </c>
      <c r="K8" s="112" t="s">
        <v>475</v>
      </c>
    </row>
    <row r="9" spans="1:11">
      <c r="A9" s="112" t="s">
        <v>513</v>
      </c>
      <c r="B9" t="s">
        <v>576</v>
      </c>
      <c r="C9" t="s">
        <v>59</v>
      </c>
      <c r="D9" t="s">
        <v>41</v>
      </c>
      <c r="E9" t="s">
        <v>275</v>
      </c>
      <c r="F9" t="s">
        <v>546</v>
      </c>
      <c r="G9" t="s">
        <v>474</v>
      </c>
      <c r="H9" t="s">
        <v>577</v>
      </c>
      <c r="I9" t="s">
        <v>112</v>
      </c>
      <c r="J9" t="s">
        <v>498</v>
      </c>
      <c r="K9" s="112" t="s">
        <v>475</v>
      </c>
    </row>
    <row r="10" spans="1:11">
      <c r="A10" s="112" t="s">
        <v>513</v>
      </c>
      <c r="B10" t="s">
        <v>576</v>
      </c>
      <c r="C10" t="s">
        <v>59</v>
      </c>
      <c r="D10" t="s">
        <v>43</v>
      </c>
      <c r="E10" t="s">
        <v>137</v>
      </c>
      <c r="F10" t="s">
        <v>183</v>
      </c>
      <c r="G10" t="s">
        <v>474</v>
      </c>
      <c r="H10" t="s">
        <v>577</v>
      </c>
      <c r="I10" t="s">
        <v>112</v>
      </c>
      <c r="J10" t="s">
        <v>498</v>
      </c>
      <c r="K10" s="112" t="s">
        <v>475</v>
      </c>
    </row>
    <row r="11" spans="1:11">
      <c r="A11" s="112" t="s">
        <v>513</v>
      </c>
      <c r="B11" t="s">
        <v>576</v>
      </c>
      <c r="C11" t="s">
        <v>59</v>
      </c>
      <c r="D11" t="s">
        <v>43</v>
      </c>
      <c r="E11" t="s">
        <v>65</v>
      </c>
      <c r="F11" t="s">
        <v>66</v>
      </c>
      <c r="G11" t="s">
        <v>474</v>
      </c>
      <c r="H11" t="s">
        <v>577</v>
      </c>
      <c r="I11" t="s">
        <v>112</v>
      </c>
      <c r="J11" t="s">
        <v>498</v>
      </c>
      <c r="K11" s="112" t="s">
        <v>475</v>
      </c>
    </row>
    <row r="12" spans="1:11">
      <c r="A12" s="112" t="s">
        <v>513</v>
      </c>
      <c r="B12" t="s">
        <v>576</v>
      </c>
      <c r="C12" t="s">
        <v>59</v>
      </c>
      <c r="D12" t="s">
        <v>41</v>
      </c>
      <c r="E12" t="s">
        <v>71</v>
      </c>
      <c r="F12" t="s">
        <v>216</v>
      </c>
      <c r="G12" t="s">
        <v>474</v>
      </c>
      <c r="H12" t="s">
        <v>577</v>
      </c>
      <c r="I12" t="s">
        <v>112</v>
      </c>
      <c r="J12" t="s">
        <v>498</v>
      </c>
      <c r="K12" s="112" t="s">
        <v>475</v>
      </c>
    </row>
    <row r="13" spans="1:11">
      <c r="A13" s="112" t="s">
        <v>513</v>
      </c>
      <c r="B13" t="s">
        <v>576</v>
      </c>
      <c r="C13" t="s">
        <v>59</v>
      </c>
      <c r="D13" t="s">
        <v>43</v>
      </c>
      <c r="E13" t="s">
        <v>126</v>
      </c>
      <c r="F13" t="s">
        <v>127</v>
      </c>
      <c r="G13" t="s">
        <v>474</v>
      </c>
      <c r="H13" t="s">
        <v>577</v>
      </c>
      <c r="I13" t="s">
        <v>112</v>
      </c>
      <c r="J13" t="s">
        <v>498</v>
      </c>
      <c r="K13" s="112" t="s">
        <v>475</v>
      </c>
    </row>
    <row r="14" spans="1:11">
      <c r="A14" s="112" t="s">
        <v>513</v>
      </c>
      <c r="B14" t="s">
        <v>578</v>
      </c>
      <c r="C14" t="s">
        <v>56</v>
      </c>
      <c r="D14" t="s">
        <v>41</v>
      </c>
      <c r="E14" t="s">
        <v>275</v>
      </c>
      <c r="F14" t="s">
        <v>546</v>
      </c>
      <c r="G14" t="s">
        <v>478</v>
      </c>
      <c r="H14" t="s">
        <v>577</v>
      </c>
      <c r="I14" t="s">
        <v>112</v>
      </c>
      <c r="J14" t="s">
        <v>498</v>
      </c>
      <c r="K14" s="112" t="s">
        <v>479</v>
      </c>
    </row>
    <row r="15" spans="1:11">
      <c r="A15" s="112" t="s">
        <v>513</v>
      </c>
      <c r="B15" t="s">
        <v>578</v>
      </c>
      <c r="C15" t="s">
        <v>56</v>
      </c>
      <c r="D15" t="s">
        <v>41</v>
      </c>
      <c r="E15" t="s">
        <v>275</v>
      </c>
      <c r="F15" t="s">
        <v>386</v>
      </c>
      <c r="G15" t="s">
        <v>478</v>
      </c>
      <c r="H15" t="s">
        <v>577</v>
      </c>
      <c r="I15" t="s">
        <v>112</v>
      </c>
      <c r="J15" t="s">
        <v>498</v>
      </c>
      <c r="K15" s="112" t="s">
        <v>479</v>
      </c>
    </row>
    <row r="16" spans="1:11">
      <c r="A16" s="112" t="s">
        <v>513</v>
      </c>
      <c r="B16" t="s">
        <v>578</v>
      </c>
      <c r="C16" t="s">
        <v>56</v>
      </c>
      <c r="D16" t="s">
        <v>43</v>
      </c>
      <c r="E16" t="s">
        <v>137</v>
      </c>
      <c r="F16" t="s">
        <v>245</v>
      </c>
      <c r="G16" t="s">
        <v>478</v>
      </c>
      <c r="H16" t="s">
        <v>577</v>
      </c>
      <c r="I16" t="s">
        <v>112</v>
      </c>
      <c r="J16" t="s">
        <v>498</v>
      </c>
      <c r="K16" s="112" t="s">
        <v>479</v>
      </c>
    </row>
    <row r="17" spans="1:11">
      <c r="A17" s="112" t="s">
        <v>513</v>
      </c>
      <c r="B17" t="s">
        <v>578</v>
      </c>
      <c r="C17" t="s">
        <v>56</v>
      </c>
      <c r="D17" t="s">
        <v>43</v>
      </c>
      <c r="E17" t="s">
        <v>71</v>
      </c>
      <c r="F17" t="s">
        <v>216</v>
      </c>
      <c r="G17" t="s">
        <v>478</v>
      </c>
      <c r="H17" t="s">
        <v>577</v>
      </c>
      <c r="I17" t="s">
        <v>112</v>
      </c>
      <c r="J17" t="s">
        <v>498</v>
      </c>
      <c r="K17" s="112" t="s">
        <v>479</v>
      </c>
    </row>
    <row r="18" spans="1:11">
      <c r="A18" s="112" t="s">
        <v>513</v>
      </c>
      <c r="B18" t="s">
        <v>578</v>
      </c>
      <c r="C18" t="s">
        <v>56</v>
      </c>
      <c r="D18" t="s">
        <v>43</v>
      </c>
      <c r="E18" t="s">
        <v>69</v>
      </c>
      <c r="F18" t="s">
        <v>551</v>
      </c>
      <c r="G18" t="s">
        <v>478</v>
      </c>
      <c r="H18" t="s">
        <v>577</v>
      </c>
      <c r="I18" t="s">
        <v>112</v>
      </c>
      <c r="J18" t="s">
        <v>498</v>
      </c>
      <c r="K18" s="112" t="s">
        <v>479</v>
      </c>
    </row>
    <row r="19" spans="1:11">
      <c r="A19" s="112" t="s">
        <v>513</v>
      </c>
      <c r="B19" t="s">
        <v>578</v>
      </c>
      <c r="C19" t="s">
        <v>56</v>
      </c>
      <c r="D19" t="s">
        <v>45</v>
      </c>
      <c r="E19" t="s">
        <v>126</v>
      </c>
      <c r="F19" t="s">
        <v>127</v>
      </c>
      <c r="G19" t="s">
        <v>478</v>
      </c>
      <c r="H19" t="s">
        <v>577</v>
      </c>
      <c r="I19" t="s">
        <v>112</v>
      </c>
      <c r="J19" t="s">
        <v>498</v>
      </c>
      <c r="K19" s="112" t="s">
        <v>479</v>
      </c>
    </row>
    <row r="20" spans="1:11">
      <c r="A20" s="112" t="s">
        <v>513</v>
      </c>
      <c r="B20" t="s">
        <v>578</v>
      </c>
      <c r="C20" t="s">
        <v>59</v>
      </c>
      <c r="D20" t="s">
        <v>41</v>
      </c>
      <c r="E20" t="s">
        <v>275</v>
      </c>
      <c r="F20" t="s">
        <v>546</v>
      </c>
      <c r="G20" t="s">
        <v>478</v>
      </c>
      <c r="H20" t="s">
        <v>577</v>
      </c>
      <c r="I20" t="s">
        <v>112</v>
      </c>
      <c r="J20" t="s">
        <v>498</v>
      </c>
      <c r="K20" s="112" t="s">
        <v>479</v>
      </c>
    </row>
    <row r="21" spans="1:11">
      <c r="A21" s="112" t="s">
        <v>513</v>
      </c>
      <c r="B21" t="s">
        <v>578</v>
      </c>
      <c r="C21" t="s">
        <v>59</v>
      </c>
      <c r="D21" t="s">
        <v>43</v>
      </c>
      <c r="E21" t="s">
        <v>275</v>
      </c>
      <c r="F21" t="s">
        <v>546</v>
      </c>
      <c r="G21" t="s">
        <v>478</v>
      </c>
      <c r="H21" t="s">
        <v>577</v>
      </c>
      <c r="I21" t="s">
        <v>112</v>
      </c>
      <c r="J21" t="s">
        <v>498</v>
      </c>
      <c r="K21" s="112" t="s">
        <v>479</v>
      </c>
    </row>
    <row r="22" spans="1:11">
      <c r="A22" s="112" t="s">
        <v>513</v>
      </c>
      <c r="B22" t="s">
        <v>578</v>
      </c>
      <c r="C22" t="s">
        <v>59</v>
      </c>
      <c r="D22" t="s">
        <v>43</v>
      </c>
      <c r="E22" t="s">
        <v>275</v>
      </c>
      <c r="F22" t="s">
        <v>386</v>
      </c>
      <c r="G22" t="s">
        <v>478</v>
      </c>
      <c r="H22" t="s">
        <v>577</v>
      </c>
      <c r="I22" t="s">
        <v>112</v>
      </c>
      <c r="J22" t="s">
        <v>498</v>
      </c>
      <c r="K22" s="112" t="s">
        <v>479</v>
      </c>
    </row>
    <row r="23" spans="1:11">
      <c r="A23" s="112" t="s">
        <v>513</v>
      </c>
      <c r="B23" t="s">
        <v>578</v>
      </c>
      <c r="C23" t="s">
        <v>59</v>
      </c>
      <c r="D23" t="s">
        <v>45</v>
      </c>
      <c r="E23" t="s">
        <v>65</v>
      </c>
      <c r="F23" t="s">
        <v>67</v>
      </c>
      <c r="G23" t="s">
        <v>478</v>
      </c>
      <c r="H23" t="s">
        <v>577</v>
      </c>
      <c r="I23" t="s">
        <v>112</v>
      </c>
      <c r="J23" t="s">
        <v>498</v>
      </c>
      <c r="K23" s="112" t="s">
        <v>479</v>
      </c>
    </row>
    <row r="24" spans="1:11">
      <c r="A24" s="112" t="s">
        <v>699</v>
      </c>
      <c r="B24" t="s">
        <v>700</v>
      </c>
      <c r="C24" t="s">
        <v>56</v>
      </c>
      <c r="D24" t="s">
        <v>41</v>
      </c>
      <c r="E24" t="s">
        <v>71</v>
      </c>
      <c r="F24" t="s">
        <v>554</v>
      </c>
      <c r="G24" t="s">
        <v>701</v>
      </c>
      <c r="H24" t="s">
        <v>577</v>
      </c>
      <c r="I24" t="s">
        <v>112</v>
      </c>
      <c r="J24" t="s">
        <v>498</v>
      </c>
      <c r="K24" s="112" t="s">
        <v>702</v>
      </c>
    </row>
    <row r="25" spans="1:11">
      <c r="A25" s="112" t="s">
        <v>699</v>
      </c>
      <c r="B25" t="s">
        <v>700</v>
      </c>
      <c r="C25" t="s">
        <v>56</v>
      </c>
      <c r="D25" t="s">
        <v>41</v>
      </c>
      <c r="E25" t="s">
        <v>71</v>
      </c>
      <c r="F25" t="s">
        <v>457</v>
      </c>
      <c r="G25" t="s">
        <v>701</v>
      </c>
      <c r="H25" t="s">
        <v>577</v>
      </c>
      <c r="I25" t="s">
        <v>112</v>
      </c>
      <c r="J25" t="s">
        <v>498</v>
      </c>
      <c r="K25" s="112" t="s">
        <v>702</v>
      </c>
    </row>
    <row r="26" spans="1:11">
      <c r="A26" s="112" t="s">
        <v>699</v>
      </c>
      <c r="B26" t="s">
        <v>700</v>
      </c>
      <c r="C26" t="s">
        <v>56</v>
      </c>
      <c r="D26" t="s">
        <v>43</v>
      </c>
      <c r="E26" t="s">
        <v>65</v>
      </c>
      <c r="F26" t="s">
        <v>68</v>
      </c>
      <c r="G26" t="s">
        <v>701</v>
      </c>
      <c r="H26" t="s">
        <v>577</v>
      </c>
      <c r="I26" t="s">
        <v>112</v>
      </c>
      <c r="J26" t="s">
        <v>498</v>
      </c>
      <c r="K26" s="112" t="s">
        <v>702</v>
      </c>
    </row>
    <row r="27" spans="1:11">
      <c r="A27" s="112" t="s">
        <v>699</v>
      </c>
      <c r="B27" t="s">
        <v>700</v>
      </c>
      <c r="C27" t="s">
        <v>56</v>
      </c>
      <c r="D27" t="s">
        <v>43</v>
      </c>
      <c r="E27" t="s">
        <v>65</v>
      </c>
      <c r="F27" t="s">
        <v>66</v>
      </c>
      <c r="G27" t="s">
        <v>701</v>
      </c>
      <c r="H27" t="s">
        <v>577</v>
      </c>
      <c r="I27" t="s">
        <v>112</v>
      </c>
      <c r="J27" t="s">
        <v>498</v>
      </c>
      <c r="K27" s="112" t="s">
        <v>702</v>
      </c>
    </row>
    <row r="28" spans="1:11">
      <c r="A28" s="112" t="s">
        <v>699</v>
      </c>
      <c r="B28" t="s">
        <v>700</v>
      </c>
      <c r="C28" t="s">
        <v>56</v>
      </c>
      <c r="D28" t="s">
        <v>43</v>
      </c>
      <c r="E28" t="s">
        <v>65</v>
      </c>
      <c r="F28" t="s">
        <v>67</v>
      </c>
      <c r="G28" t="s">
        <v>701</v>
      </c>
      <c r="H28" t="s">
        <v>577</v>
      </c>
      <c r="I28" t="s">
        <v>112</v>
      </c>
      <c r="J28" t="s">
        <v>498</v>
      </c>
      <c r="K28" s="112" t="s">
        <v>702</v>
      </c>
    </row>
    <row r="29" spans="1:11">
      <c r="A29" s="112" t="s">
        <v>699</v>
      </c>
      <c r="B29" t="s">
        <v>700</v>
      </c>
      <c r="C29" t="s">
        <v>56</v>
      </c>
      <c r="D29" t="s">
        <v>43</v>
      </c>
      <c r="E29" t="s">
        <v>65</v>
      </c>
      <c r="F29" t="s">
        <v>553</v>
      </c>
      <c r="G29" t="s">
        <v>701</v>
      </c>
      <c r="H29" t="s">
        <v>577</v>
      </c>
      <c r="I29" t="s">
        <v>112</v>
      </c>
      <c r="J29" t="s">
        <v>498</v>
      </c>
      <c r="K29" s="112" t="s">
        <v>702</v>
      </c>
    </row>
    <row r="30" spans="1:11">
      <c r="A30" s="112" t="s">
        <v>699</v>
      </c>
      <c r="B30" t="s">
        <v>700</v>
      </c>
      <c r="C30" t="s">
        <v>56</v>
      </c>
      <c r="D30" t="s">
        <v>43</v>
      </c>
      <c r="E30" t="s">
        <v>65</v>
      </c>
      <c r="F30" t="s">
        <v>68</v>
      </c>
      <c r="G30" t="s">
        <v>701</v>
      </c>
      <c r="H30" t="s">
        <v>577</v>
      </c>
      <c r="I30" t="s">
        <v>112</v>
      </c>
      <c r="J30" t="s">
        <v>498</v>
      </c>
      <c r="K30" s="112" t="s">
        <v>702</v>
      </c>
    </row>
    <row r="31" spans="1:11">
      <c r="A31" s="112" t="s">
        <v>699</v>
      </c>
      <c r="B31" t="s">
        <v>700</v>
      </c>
      <c r="C31" t="s">
        <v>56</v>
      </c>
      <c r="D31" t="s">
        <v>43</v>
      </c>
      <c r="E31" t="s">
        <v>65</v>
      </c>
      <c r="F31" t="s">
        <v>66</v>
      </c>
      <c r="G31" t="s">
        <v>701</v>
      </c>
      <c r="H31" t="s">
        <v>577</v>
      </c>
      <c r="I31" t="s">
        <v>112</v>
      </c>
      <c r="J31" t="s">
        <v>498</v>
      </c>
      <c r="K31" s="112" t="s">
        <v>702</v>
      </c>
    </row>
    <row r="32" spans="1:11">
      <c r="A32" s="112" t="s">
        <v>699</v>
      </c>
      <c r="B32" t="s">
        <v>700</v>
      </c>
      <c r="C32" t="s">
        <v>56</v>
      </c>
      <c r="D32" t="s">
        <v>43</v>
      </c>
      <c r="E32" t="s">
        <v>65</v>
      </c>
      <c r="F32" t="s">
        <v>67</v>
      </c>
      <c r="G32" t="s">
        <v>701</v>
      </c>
      <c r="H32" t="s">
        <v>577</v>
      </c>
      <c r="I32" t="s">
        <v>112</v>
      </c>
      <c r="J32" t="s">
        <v>498</v>
      </c>
      <c r="K32" s="112" t="s">
        <v>702</v>
      </c>
    </row>
    <row r="33" spans="1:11">
      <c r="A33" s="112" t="s">
        <v>699</v>
      </c>
      <c r="B33" t="s">
        <v>700</v>
      </c>
      <c r="C33" t="s">
        <v>56</v>
      </c>
      <c r="D33" t="s">
        <v>43</v>
      </c>
      <c r="E33" t="s">
        <v>65</v>
      </c>
      <c r="F33" t="s">
        <v>186</v>
      </c>
      <c r="G33" t="s">
        <v>701</v>
      </c>
      <c r="H33" t="s">
        <v>577</v>
      </c>
      <c r="I33" t="s">
        <v>112</v>
      </c>
      <c r="J33" t="s">
        <v>498</v>
      </c>
      <c r="K33" s="112" t="s">
        <v>702</v>
      </c>
    </row>
    <row r="34" spans="1:11">
      <c r="A34" s="112" t="s">
        <v>699</v>
      </c>
      <c r="B34" t="s">
        <v>700</v>
      </c>
      <c r="C34" t="s">
        <v>56</v>
      </c>
      <c r="D34" t="s">
        <v>43</v>
      </c>
      <c r="E34" t="s">
        <v>65</v>
      </c>
      <c r="F34" t="s">
        <v>553</v>
      </c>
      <c r="G34" t="s">
        <v>701</v>
      </c>
      <c r="H34" t="s">
        <v>577</v>
      </c>
      <c r="I34" t="s">
        <v>112</v>
      </c>
      <c r="J34" t="s">
        <v>498</v>
      </c>
      <c r="K34" s="112" t="s">
        <v>702</v>
      </c>
    </row>
    <row r="35" spans="1:11">
      <c r="A35" s="112" t="s">
        <v>699</v>
      </c>
      <c r="B35" t="s">
        <v>700</v>
      </c>
      <c r="C35" t="s">
        <v>56</v>
      </c>
      <c r="D35" t="s">
        <v>43</v>
      </c>
      <c r="E35" t="s">
        <v>69</v>
      </c>
      <c r="F35" t="s">
        <v>70</v>
      </c>
      <c r="G35" t="s">
        <v>701</v>
      </c>
      <c r="H35" t="s">
        <v>577</v>
      </c>
      <c r="I35" t="s">
        <v>112</v>
      </c>
      <c r="J35" t="s">
        <v>498</v>
      </c>
      <c r="K35" s="112" t="s">
        <v>702</v>
      </c>
    </row>
    <row r="36" spans="1:11">
      <c r="A36" s="112" t="s">
        <v>699</v>
      </c>
      <c r="B36" t="s">
        <v>700</v>
      </c>
      <c r="C36" t="s">
        <v>56</v>
      </c>
      <c r="D36" t="s">
        <v>43</v>
      </c>
      <c r="E36" t="s">
        <v>69</v>
      </c>
      <c r="F36" t="s">
        <v>560</v>
      </c>
      <c r="G36" t="s">
        <v>701</v>
      </c>
      <c r="H36" t="s">
        <v>577</v>
      </c>
      <c r="I36" t="s">
        <v>112</v>
      </c>
      <c r="J36" t="s">
        <v>498</v>
      </c>
      <c r="K36" s="112" t="s">
        <v>702</v>
      </c>
    </row>
    <row r="37" spans="1:11">
      <c r="A37" s="112" t="s">
        <v>699</v>
      </c>
      <c r="B37" t="s">
        <v>700</v>
      </c>
      <c r="C37" t="s">
        <v>56</v>
      </c>
      <c r="D37" t="s">
        <v>43</v>
      </c>
      <c r="E37" t="s">
        <v>69</v>
      </c>
      <c r="F37" t="s">
        <v>277</v>
      </c>
      <c r="G37" t="s">
        <v>701</v>
      </c>
      <c r="H37" t="s">
        <v>577</v>
      </c>
      <c r="I37" t="s">
        <v>112</v>
      </c>
      <c r="J37" t="s">
        <v>498</v>
      </c>
      <c r="K37" s="112" t="s">
        <v>702</v>
      </c>
    </row>
    <row r="38" spans="1:11">
      <c r="A38" s="112" t="s">
        <v>699</v>
      </c>
      <c r="B38" t="s">
        <v>700</v>
      </c>
      <c r="C38" t="s">
        <v>56</v>
      </c>
      <c r="D38" t="s">
        <v>43</v>
      </c>
      <c r="E38" t="s">
        <v>128</v>
      </c>
      <c r="F38" t="s">
        <v>562</v>
      </c>
      <c r="G38" t="s">
        <v>701</v>
      </c>
      <c r="H38" t="s">
        <v>577</v>
      </c>
      <c r="I38" t="s">
        <v>112</v>
      </c>
      <c r="J38" t="s">
        <v>498</v>
      </c>
      <c r="K38" s="112" t="s">
        <v>702</v>
      </c>
    </row>
    <row r="39" spans="1:11">
      <c r="A39" s="112" t="s">
        <v>699</v>
      </c>
      <c r="B39" t="s">
        <v>700</v>
      </c>
      <c r="C39" t="s">
        <v>56</v>
      </c>
      <c r="D39" t="s">
        <v>43</v>
      </c>
      <c r="E39" t="s">
        <v>128</v>
      </c>
      <c r="F39" t="s">
        <v>563</v>
      </c>
      <c r="G39" t="s">
        <v>701</v>
      </c>
      <c r="H39" t="s">
        <v>577</v>
      </c>
      <c r="I39" t="s">
        <v>112</v>
      </c>
      <c r="J39" t="s">
        <v>498</v>
      </c>
      <c r="K39" s="112" t="s">
        <v>702</v>
      </c>
    </row>
    <row r="40" spans="1:11">
      <c r="A40" s="112" t="s">
        <v>699</v>
      </c>
      <c r="B40" t="s">
        <v>700</v>
      </c>
      <c r="C40" t="s">
        <v>56</v>
      </c>
      <c r="D40" t="s">
        <v>43</v>
      </c>
      <c r="E40" t="s">
        <v>128</v>
      </c>
      <c r="F40" t="s">
        <v>564</v>
      </c>
      <c r="G40" t="s">
        <v>701</v>
      </c>
      <c r="H40" t="s">
        <v>577</v>
      </c>
      <c r="I40" t="s">
        <v>112</v>
      </c>
      <c r="J40" t="s">
        <v>498</v>
      </c>
      <c r="K40" s="112" t="s">
        <v>702</v>
      </c>
    </row>
    <row r="41" spans="1:11">
      <c r="A41" s="112" t="s">
        <v>699</v>
      </c>
      <c r="B41" t="s">
        <v>700</v>
      </c>
      <c r="C41" t="s">
        <v>56</v>
      </c>
      <c r="D41" t="s">
        <v>43</v>
      </c>
      <c r="E41" t="s">
        <v>128</v>
      </c>
      <c r="F41" t="s">
        <v>566</v>
      </c>
      <c r="G41" t="s">
        <v>701</v>
      </c>
      <c r="H41" t="s">
        <v>577</v>
      </c>
      <c r="I41" t="s">
        <v>112</v>
      </c>
      <c r="J41" t="s">
        <v>498</v>
      </c>
      <c r="K41" s="112" t="s">
        <v>702</v>
      </c>
    </row>
    <row r="42" spans="1:11">
      <c r="A42" s="112" t="s">
        <v>699</v>
      </c>
      <c r="B42" t="s">
        <v>700</v>
      </c>
      <c r="C42" t="s">
        <v>56</v>
      </c>
      <c r="D42" t="s">
        <v>43</v>
      </c>
      <c r="E42" t="s">
        <v>128</v>
      </c>
      <c r="F42" t="s">
        <v>567</v>
      </c>
      <c r="G42" t="s">
        <v>701</v>
      </c>
      <c r="H42" t="s">
        <v>577</v>
      </c>
      <c r="I42" t="s">
        <v>112</v>
      </c>
      <c r="J42" t="s">
        <v>498</v>
      </c>
      <c r="K42" s="112" t="s">
        <v>702</v>
      </c>
    </row>
    <row r="43" spans="1:11">
      <c r="A43" s="112" t="s">
        <v>699</v>
      </c>
      <c r="B43" t="s">
        <v>700</v>
      </c>
      <c r="C43" t="s">
        <v>56</v>
      </c>
      <c r="D43" t="s">
        <v>43</v>
      </c>
      <c r="E43" t="s">
        <v>128</v>
      </c>
      <c r="F43" t="s">
        <v>416</v>
      </c>
      <c r="G43" t="s">
        <v>701</v>
      </c>
      <c r="H43" t="s">
        <v>577</v>
      </c>
      <c r="I43" t="s">
        <v>112</v>
      </c>
      <c r="J43" t="s">
        <v>498</v>
      </c>
      <c r="K43" s="112" t="s">
        <v>702</v>
      </c>
    </row>
    <row r="44" spans="1:11">
      <c r="A44" s="112" t="s">
        <v>699</v>
      </c>
      <c r="B44" t="s">
        <v>700</v>
      </c>
      <c r="C44" t="s">
        <v>56</v>
      </c>
      <c r="D44" t="s">
        <v>43</v>
      </c>
      <c r="E44" t="s">
        <v>128</v>
      </c>
      <c r="F44" t="s">
        <v>568</v>
      </c>
      <c r="G44" t="s">
        <v>701</v>
      </c>
      <c r="H44" t="s">
        <v>577</v>
      </c>
      <c r="I44" t="s">
        <v>112</v>
      </c>
      <c r="J44" t="s">
        <v>498</v>
      </c>
      <c r="K44" s="112" t="s">
        <v>702</v>
      </c>
    </row>
    <row r="45" spans="1:11">
      <c r="A45" s="112" t="s">
        <v>699</v>
      </c>
      <c r="B45" t="s">
        <v>700</v>
      </c>
      <c r="C45" t="s">
        <v>56</v>
      </c>
      <c r="D45" t="s">
        <v>43</v>
      </c>
      <c r="E45" t="s">
        <v>134</v>
      </c>
      <c r="F45" t="s">
        <v>247</v>
      </c>
      <c r="G45" t="s">
        <v>701</v>
      </c>
      <c r="H45" t="s">
        <v>577</v>
      </c>
      <c r="I45" t="s">
        <v>112</v>
      </c>
      <c r="J45" t="s">
        <v>498</v>
      </c>
      <c r="K45" s="112" t="s">
        <v>702</v>
      </c>
    </row>
    <row r="46" spans="1:11">
      <c r="A46" s="112" t="s">
        <v>699</v>
      </c>
      <c r="B46" t="s">
        <v>700</v>
      </c>
      <c r="C46" t="s">
        <v>56</v>
      </c>
      <c r="D46" t="s">
        <v>43</v>
      </c>
      <c r="E46" t="s">
        <v>134</v>
      </c>
      <c r="F46" t="s">
        <v>135</v>
      </c>
      <c r="G46" t="s">
        <v>701</v>
      </c>
      <c r="H46" t="s">
        <v>577</v>
      </c>
      <c r="I46" t="s">
        <v>112</v>
      </c>
      <c r="J46" t="s">
        <v>498</v>
      </c>
      <c r="K46" s="112" t="s">
        <v>702</v>
      </c>
    </row>
    <row r="47" spans="1:11">
      <c r="A47" s="112" t="s">
        <v>699</v>
      </c>
      <c r="B47" t="s">
        <v>700</v>
      </c>
      <c r="C47" t="s">
        <v>56</v>
      </c>
      <c r="D47" t="s">
        <v>43</v>
      </c>
      <c r="E47" t="s">
        <v>184</v>
      </c>
      <c r="F47" t="s">
        <v>570</v>
      </c>
      <c r="G47" t="s">
        <v>701</v>
      </c>
      <c r="H47" t="s">
        <v>577</v>
      </c>
      <c r="I47" t="s">
        <v>112</v>
      </c>
      <c r="J47" t="s">
        <v>498</v>
      </c>
      <c r="K47" s="112" t="s">
        <v>702</v>
      </c>
    </row>
    <row r="48" spans="1:11">
      <c r="A48" s="112" t="s">
        <v>699</v>
      </c>
      <c r="B48" t="s">
        <v>700</v>
      </c>
      <c r="C48" t="s">
        <v>56</v>
      </c>
      <c r="D48" t="s">
        <v>43</v>
      </c>
      <c r="E48" t="s">
        <v>184</v>
      </c>
      <c r="F48" t="s">
        <v>572</v>
      </c>
      <c r="G48" t="s">
        <v>701</v>
      </c>
      <c r="H48" t="s">
        <v>577</v>
      </c>
      <c r="I48" t="s">
        <v>112</v>
      </c>
      <c r="J48" t="s">
        <v>498</v>
      </c>
      <c r="K48" s="112" t="s">
        <v>702</v>
      </c>
    </row>
    <row r="49" spans="1:11">
      <c r="A49" s="112" t="s">
        <v>699</v>
      </c>
      <c r="B49" t="s">
        <v>700</v>
      </c>
      <c r="C49" t="s">
        <v>56</v>
      </c>
      <c r="D49" t="s">
        <v>43</v>
      </c>
      <c r="E49" t="s">
        <v>184</v>
      </c>
      <c r="F49" t="s">
        <v>185</v>
      </c>
      <c r="G49" t="s">
        <v>701</v>
      </c>
      <c r="H49" t="s">
        <v>577</v>
      </c>
      <c r="I49" t="s">
        <v>112</v>
      </c>
      <c r="J49" t="s">
        <v>498</v>
      </c>
      <c r="K49" s="112" t="s">
        <v>702</v>
      </c>
    </row>
    <row r="50" spans="1:11">
      <c r="A50" s="112" t="s">
        <v>699</v>
      </c>
      <c r="B50" t="s">
        <v>700</v>
      </c>
      <c r="C50" t="s">
        <v>56</v>
      </c>
      <c r="D50" t="s">
        <v>43</v>
      </c>
      <c r="E50" t="s">
        <v>184</v>
      </c>
      <c r="F50" t="s">
        <v>217</v>
      </c>
      <c r="G50" t="s">
        <v>701</v>
      </c>
      <c r="H50" t="s">
        <v>577</v>
      </c>
      <c r="I50" t="s">
        <v>112</v>
      </c>
      <c r="J50" t="s">
        <v>498</v>
      </c>
      <c r="K50" s="112" t="s">
        <v>702</v>
      </c>
    </row>
    <row r="51" spans="1:11">
      <c r="A51" s="112" t="s">
        <v>699</v>
      </c>
      <c r="B51" t="s">
        <v>700</v>
      </c>
      <c r="C51" t="s">
        <v>56</v>
      </c>
      <c r="D51" t="s">
        <v>43</v>
      </c>
      <c r="E51" t="s">
        <v>184</v>
      </c>
      <c r="F51" t="s">
        <v>574</v>
      </c>
      <c r="G51" t="s">
        <v>701</v>
      </c>
      <c r="H51" t="s">
        <v>577</v>
      </c>
      <c r="I51" t="s">
        <v>112</v>
      </c>
      <c r="J51" t="s">
        <v>498</v>
      </c>
      <c r="K51" s="112" t="s">
        <v>702</v>
      </c>
    </row>
    <row r="52" spans="1:11">
      <c r="A52" s="112" t="s">
        <v>699</v>
      </c>
      <c r="B52" t="s">
        <v>700</v>
      </c>
      <c r="C52" t="s">
        <v>56</v>
      </c>
      <c r="D52" t="s">
        <v>43</v>
      </c>
      <c r="E52" t="s">
        <v>132</v>
      </c>
      <c r="F52" t="s">
        <v>136</v>
      </c>
      <c r="G52" t="s">
        <v>701</v>
      </c>
      <c r="H52" t="s">
        <v>577</v>
      </c>
      <c r="I52" t="s">
        <v>112</v>
      </c>
      <c r="J52" t="s">
        <v>498</v>
      </c>
      <c r="K52" s="112" t="s">
        <v>702</v>
      </c>
    </row>
    <row r="53" spans="1:11">
      <c r="A53" s="112" t="s">
        <v>699</v>
      </c>
      <c r="B53" t="s">
        <v>700</v>
      </c>
      <c r="C53" t="s">
        <v>56</v>
      </c>
      <c r="D53" t="s">
        <v>43</v>
      </c>
      <c r="E53" t="s">
        <v>132</v>
      </c>
      <c r="F53" t="s">
        <v>181</v>
      </c>
      <c r="G53" t="s">
        <v>701</v>
      </c>
      <c r="H53" t="s">
        <v>577</v>
      </c>
      <c r="I53" t="s">
        <v>112</v>
      </c>
      <c r="J53" t="s">
        <v>498</v>
      </c>
      <c r="K53" s="112" t="s">
        <v>702</v>
      </c>
    </row>
    <row r="54" spans="1:11">
      <c r="A54" s="112" t="s">
        <v>699</v>
      </c>
      <c r="B54" t="s">
        <v>700</v>
      </c>
      <c r="C54" t="s">
        <v>56</v>
      </c>
      <c r="D54" t="s">
        <v>43</v>
      </c>
      <c r="E54" t="s">
        <v>132</v>
      </c>
      <c r="F54" t="s">
        <v>456</v>
      </c>
      <c r="G54" t="s">
        <v>701</v>
      </c>
      <c r="H54" t="s">
        <v>577</v>
      </c>
      <c r="I54" t="s">
        <v>112</v>
      </c>
      <c r="J54" t="s">
        <v>498</v>
      </c>
      <c r="K54" s="112" t="s">
        <v>702</v>
      </c>
    </row>
    <row r="55" spans="1:11">
      <c r="A55" s="112" t="s">
        <v>699</v>
      </c>
      <c r="B55" t="s">
        <v>700</v>
      </c>
      <c r="C55" t="s">
        <v>59</v>
      </c>
      <c r="D55" t="s">
        <v>41</v>
      </c>
      <c r="E55" t="s">
        <v>71</v>
      </c>
      <c r="F55" t="s">
        <v>554</v>
      </c>
      <c r="G55" t="s">
        <v>701</v>
      </c>
      <c r="H55" t="s">
        <v>577</v>
      </c>
      <c r="I55" t="s">
        <v>112</v>
      </c>
      <c r="J55" t="s">
        <v>498</v>
      </c>
      <c r="K55" s="112" t="s">
        <v>702</v>
      </c>
    </row>
    <row r="56" spans="1:11">
      <c r="A56" s="112" t="s">
        <v>699</v>
      </c>
      <c r="B56" t="s">
        <v>700</v>
      </c>
      <c r="C56" t="s">
        <v>59</v>
      </c>
      <c r="D56" t="s">
        <v>41</v>
      </c>
      <c r="E56" t="s">
        <v>71</v>
      </c>
      <c r="F56" t="s">
        <v>72</v>
      </c>
      <c r="G56" t="s">
        <v>701</v>
      </c>
      <c r="H56" t="s">
        <v>577</v>
      </c>
      <c r="I56" t="s">
        <v>112</v>
      </c>
      <c r="J56" t="s">
        <v>498</v>
      </c>
      <c r="K56" s="112" t="s">
        <v>702</v>
      </c>
    </row>
    <row r="57" spans="1:11">
      <c r="A57" s="112" t="s">
        <v>699</v>
      </c>
      <c r="B57" t="s">
        <v>700</v>
      </c>
      <c r="C57" t="s">
        <v>59</v>
      </c>
      <c r="D57" t="s">
        <v>41</v>
      </c>
      <c r="E57" t="s">
        <v>71</v>
      </c>
      <c r="F57" t="s">
        <v>216</v>
      </c>
      <c r="G57" t="s">
        <v>701</v>
      </c>
      <c r="H57" t="s">
        <v>577</v>
      </c>
      <c r="I57" t="s">
        <v>112</v>
      </c>
      <c r="J57" t="s">
        <v>498</v>
      </c>
      <c r="K57" s="112" t="s">
        <v>702</v>
      </c>
    </row>
    <row r="58" spans="1:11">
      <c r="A58" s="112" t="s">
        <v>699</v>
      </c>
      <c r="B58" t="s">
        <v>700</v>
      </c>
      <c r="C58" t="s">
        <v>59</v>
      </c>
      <c r="D58" t="s">
        <v>41</v>
      </c>
      <c r="E58" t="s">
        <v>71</v>
      </c>
      <c r="F58" t="s">
        <v>457</v>
      </c>
      <c r="G58" t="s">
        <v>701</v>
      </c>
      <c r="H58" t="s">
        <v>577</v>
      </c>
      <c r="I58" t="s">
        <v>112</v>
      </c>
      <c r="J58" t="s">
        <v>498</v>
      </c>
      <c r="K58" s="112" t="s">
        <v>702</v>
      </c>
    </row>
    <row r="59" spans="1:11">
      <c r="A59" s="112" t="s">
        <v>699</v>
      </c>
      <c r="B59" t="s">
        <v>700</v>
      </c>
      <c r="C59" t="s">
        <v>59</v>
      </c>
      <c r="D59" t="s">
        <v>45</v>
      </c>
      <c r="E59" t="s">
        <v>132</v>
      </c>
      <c r="F59" t="s">
        <v>136</v>
      </c>
      <c r="G59" t="s">
        <v>701</v>
      </c>
      <c r="H59" t="s">
        <v>577</v>
      </c>
      <c r="I59" t="s">
        <v>112</v>
      </c>
      <c r="J59" t="s">
        <v>498</v>
      </c>
      <c r="K59" s="112" t="s">
        <v>702</v>
      </c>
    </row>
    <row r="60" spans="1:11">
      <c r="A60" s="112" t="s">
        <v>699</v>
      </c>
      <c r="B60" t="s">
        <v>700</v>
      </c>
      <c r="C60" t="s">
        <v>59</v>
      </c>
      <c r="D60" t="s">
        <v>45</v>
      </c>
      <c r="E60" t="s">
        <v>132</v>
      </c>
      <c r="F60" t="s">
        <v>456</v>
      </c>
      <c r="G60" t="s">
        <v>701</v>
      </c>
      <c r="H60" t="s">
        <v>577</v>
      </c>
      <c r="I60" t="s">
        <v>112</v>
      </c>
      <c r="J60" t="s">
        <v>498</v>
      </c>
      <c r="K60" s="112" t="s">
        <v>702</v>
      </c>
    </row>
    <row r="61" spans="1:11">
      <c r="A61" s="112" t="s">
        <v>699</v>
      </c>
      <c r="B61" t="s">
        <v>700</v>
      </c>
      <c r="C61" t="s">
        <v>59</v>
      </c>
      <c r="D61" t="s">
        <v>45</v>
      </c>
      <c r="E61" t="s">
        <v>134</v>
      </c>
      <c r="F61" t="s">
        <v>182</v>
      </c>
      <c r="G61" t="s">
        <v>701</v>
      </c>
      <c r="H61" t="s">
        <v>577</v>
      </c>
      <c r="I61" t="s">
        <v>112</v>
      </c>
      <c r="J61" t="s">
        <v>498</v>
      </c>
      <c r="K61" s="112" t="s">
        <v>702</v>
      </c>
    </row>
    <row r="62" spans="1:11">
      <c r="A62" s="112" t="s">
        <v>699</v>
      </c>
      <c r="B62" t="s">
        <v>700</v>
      </c>
      <c r="C62" t="s">
        <v>59</v>
      </c>
      <c r="D62" t="s">
        <v>45</v>
      </c>
      <c r="E62" t="s">
        <v>134</v>
      </c>
      <c r="F62" t="s">
        <v>218</v>
      </c>
      <c r="G62" t="s">
        <v>701</v>
      </c>
      <c r="H62" t="s">
        <v>577</v>
      </c>
      <c r="I62" t="s">
        <v>112</v>
      </c>
      <c r="J62" t="s">
        <v>498</v>
      </c>
      <c r="K62" s="112" t="s">
        <v>702</v>
      </c>
    </row>
    <row r="63" spans="1:11">
      <c r="A63" s="112" t="s">
        <v>699</v>
      </c>
      <c r="B63" t="s">
        <v>700</v>
      </c>
      <c r="C63" t="s">
        <v>59</v>
      </c>
      <c r="D63" t="s">
        <v>45</v>
      </c>
      <c r="E63" t="s">
        <v>134</v>
      </c>
      <c r="F63" t="s">
        <v>569</v>
      </c>
      <c r="G63" t="s">
        <v>701</v>
      </c>
      <c r="H63" t="s">
        <v>577</v>
      </c>
      <c r="I63" t="s">
        <v>112</v>
      </c>
      <c r="J63" t="s">
        <v>498</v>
      </c>
      <c r="K63" s="112" t="s">
        <v>702</v>
      </c>
    </row>
    <row r="64" spans="1:11">
      <c r="A64" s="112" t="s">
        <v>513</v>
      </c>
      <c r="B64" t="s">
        <v>579</v>
      </c>
      <c r="C64" t="s">
        <v>56</v>
      </c>
      <c r="D64" t="s">
        <v>41</v>
      </c>
      <c r="E64" t="s">
        <v>275</v>
      </c>
      <c r="F64" t="s">
        <v>309</v>
      </c>
      <c r="G64" t="s">
        <v>480</v>
      </c>
      <c r="H64" t="s">
        <v>577</v>
      </c>
      <c r="I64" t="s">
        <v>112</v>
      </c>
      <c r="J64" t="s">
        <v>498</v>
      </c>
      <c r="K64" s="112" t="s">
        <v>481</v>
      </c>
    </row>
    <row r="65" spans="1:11">
      <c r="A65" s="112" t="s">
        <v>513</v>
      </c>
      <c r="B65" t="s">
        <v>579</v>
      </c>
      <c r="C65" t="s">
        <v>56</v>
      </c>
      <c r="D65" t="s">
        <v>41</v>
      </c>
      <c r="E65" t="s">
        <v>65</v>
      </c>
      <c r="F65" t="s">
        <v>66</v>
      </c>
      <c r="G65" t="s">
        <v>480</v>
      </c>
      <c r="H65" t="s">
        <v>577</v>
      </c>
      <c r="I65" t="s">
        <v>112</v>
      </c>
      <c r="J65" t="s">
        <v>498</v>
      </c>
      <c r="K65" s="112" t="s">
        <v>481</v>
      </c>
    </row>
    <row r="66" spans="1:11">
      <c r="A66" s="112" t="s">
        <v>513</v>
      </c>
      <c r="B66" t="s">
        <v>579</v>
      </c>
      <c r="C66" t="s">
        <v>59</v>
      </c>
      <c r="D66" t="s">
        <v>43</v>
      </c>
      <c r="E66" t="s">
        <v>69</v>
      </c>
      <c r="F66" t="s">
        <v>278</v>
      </c>
      <c r="G66" t="s">
        <v>480</v>
      </c>
      <c r="H66" t="s">
        <v>577</v>
      </c>
      <c r="I66" t="s">
        <v>112</v>
      </c>
      <c r="J66" t="s">
        <v>498</v>
      </c>
      <c r="K66" s="112" t="s">
        <v>481</v>
      </c>
    </row>
    <row r="67" spans="1:11">
      <c r="A67" s="112" t="s">
        <v>513</v>
      </c>
      <c r="B67" t="s">
        <v>579</v>
      </c>
      <c r="C67" t="s">
        <v>59</v>
      </c>
      <c r="D67" t="s">
        <v>43</v>
      </c>
      <c r="E67" t="s">
        <v>137</v>
      </c>
      <c r="F67" t="s">
        <v>245</v>
      </c>
      <c r="G67" t="s">
        <v>480</v>
      </c>
      <c r="H67" t="s">
        <v>577</v>
      </c>
      <c r="I67" t="s">
        <v>112</v>
      </c>
      <c r="J67" t="s">
        <v>498</v>
      </c>
      <c r="K67" s="112" t="s">
        <v>481</v>
      </c>
    </row>
    <row r="68" spans="1:11">
      <c r="A68" s="112" t="s">
        <v>513</v>
      </c>
      <c r="B68" t="s">
        <v>579</v>
      </c>
      <c r="C68" t="s">
        <v>59</v>
      </c>
      <c r="D68" t="s">
        <v>43</v>
      </c>
      <c r="E68" t="s">
        <v>65</v>
      </c>
      <c r="F68" t="s">
        <v>66</v>
      </c>
      <c r="G68" t="s">
        <v>480</v>
      </c>
      <c r="H68" t="s">
        <v>577</v>
      </c>
      <c r="I68" t="s">
        <v>112</v>
      </c>
      <c r="J68" t="s">
        <v>498</v>
      </c>
      <c r="K68" s="112" t="s">
        <v>481</v>
      </c>
    </row>
    <row r="69" spans="1:11">
      <c r="A69" s="112" t="s">
        <v>513</v>
      </c>
      <c r="B69" t="s">
        <v>579</v>
      </c>
      <c r="C69" t="s">
        <v>59</v>
      </c>
      <c r="D69" t="s">
        <v>43</v>
      </c>
      <c r="E69" t="s">
        <v>132</v>
      </c>
      <c r="F69" t="s">
        <v>561</v>
      </c>
      <c r="G69" t="s">
        <v>480</v>
      </c>
      <c r="H69" t="s">
        <v>577</v>
      </c>
      <c r="I69" t="s">
        <v>112</v>
      </c>
      <c r="J69" t="s">
        <v>498</v>
      </c>
      <c r="K69" s="112" t="s">
        <v>481</v>
      </c>
    </row>
    <row r="70" spans="1:11">
      <c r="A70" s="112" t="s">
        <v>513</v>
      </c>
      <c r="B70" t="s">
        <v>579</v>
      </c>
      <c r="C70" t="s">
        <v>59</v>
      </c>
      <c r="D70" t="s">
        <v>45</v>
      </c>
      <c r="E70" t="s">
        <v>275</v>
      </c>
      <c r="F70" t="s">
        <v>353</v>
      </c>
      <c r="G70" t="s">
        <v>480</v>
      </c>
      <c r="H70" t="s">
        <v>577</v>
      </c>
      <c r="I70" t="s">
        <v>112</v>
      </c>
      <c r="J70" t="s">
        <v>498</v>
      </c>
      <c r="K70" s="112" t="s">
        <v>481</v>
      </c>
    </row>
    <row r="71" spans="1:11">
      <c r="A71" s="112" t="s">
        <v>513</v>
      </c>
      <c r="B71" t="s">
        <v>579</v>
      </c>
      <c r="C71" t="s">
        <v>59</v>
      </c>
      <c r="D71" t="s">
        <v>45</v>
      </c>
      <c r="E71" t="s">
        <v>128</v>
      </c>
      <c r="F71" t="s">
        <v>566</v>
      </c>
      <c r="G71" t="s">
        <v>480</v>
      </c>
      <c r="H71" t="s">
        <v>577</v>
      </c>
      <c r="I71" t="s">
        <v>112</v>
      </c>
      <c r="J71" t="s">
        <v>498</v>
      </c>
      <c r="K71" s="112" t="s">
        <v>481</v>
      </c>
    </row>
    <row r="72" spans="1:11">
      <c r="A72" s="112" t="s">
        <v>513</v>
      </c>
      <c r="B72" t="s">
        <v>579</v>
      </c>
      <c r="C72" t="s">
        <v>59</v>
      </c>
      <c r="D72" t="s">
        <v>45</v>
      </c>
      <c r="E72" t="s">
        <v>128</v>
      </c>
      <c r="F72" t="s">
        <v>564</v>
      </c>
      <c r="G72" t="s">
        <v>480</v>
      </c>
      <c r="H72" t="s">
        <v>577</v>
      </c>
      <c r="I72" t="s">
        <v>112</v>
      </c>
      <c r="J72" t="s">
        <v>498</v>
      </c>
      <c r="K72" s="112" t="s">
        <v>481</v>
      </c>
    </row>
    <row r="73" spans="1:11">
      <c r="A73" s="112" t="s">
        <v>513</v>
      </c>
      <c r="B73" t="s">
        <v>579</v>
      </c>
      <c r="C73" t="s">
        <v>59</v>
      </c>
      <c r="D73" t="s">
        <v>45</v>
      </c>
      <c r="E73" t="s">
        <v>128</v>
      </c>
      <c r="F73" t="s">
        <v>562</v>
      </c>
      <c r="G73" t="s">
        <v>480</v>
      </c>
      <c r="H73" t="s">
        <v>577</v>
      </c>
      <c r="I73" t="s">
        <v>112</v>
      </c>
      <c r="J73" t="s">
        <v>498</v>
      </c>
      <c r="K73" s="112" t="s">
        <v>481</v>
      </c>
    </row>
    <row r="74" spans="1:11">
      <c r="A74" s="112" t="s">
        <v>513</v>
      </c>
      <c r="B74" t="s">
        <v>703</v>
      </c>
      <c r="C74" t="s">
        <v>56</v>
      </c>
      <c r="D74" t="s">
        <v>41</v>
      </c>
      <c r="E74" t="s">
        <v>275</v>
      </c>
      <c r="F74" t="s">
        <v>309</v>
      </c>
      <c r="G74" t="s">
        <v>704</v>
      </c>
      <c r="H74" t="s">
        <v>577</v>
      </c>
      <c r="I74" t="s">
        <v>112</v>
      </c>
      <c r="J74" t="s">
        <v>498</v>
      </c>
      <c r="K74" s="112" t="s">
        <v>705</v>
      </c>
    </row>
    <row r="75" spans="1:11">
      <c r="A75" s="112" t="s">
        <v>513</v>
      </c>
      <c r="B75" t="s">
        <v>703</v>
      </c>
      <c r="C75" t="s">
        <v>56</v>
      </c>
      <c r="D75" t="s">
        <v>41</v>
      </c>
      <c r="E75" t="s">
        <v>275</v>
      </c>
      <c r="F75" t="s">
        <v>546</v>
      </c>
      <c r="G75" t="s">
        <v>704</v>
      </c>
      <c r="H75" t="s">
        <v>577</v>
      </c>
      <c r="I75" t="s">
        <v>112</v>
      </c>
      <c r="J75" t="s">
        <v>498</v>
      </c>
      <c r="K75" s="112" t="s">
        <v>705</v>
      </c>
    </row>
    <row r="76" spans="1:11">
      <c r="A76" s="112" t="s">
        <v>513</v>
      </c>
      <c r="B76" t="s">
        <v>703</v>
      </c>
      <c r="C76" t="s">
        <v>56</v>
      </c>
      <c r="D76" t="s">
        <v>41</v>
      </c>
      <c r="E76" t="s">
        <v>65</v>
      </c>
      <c r="F76" t="s">
        <v>68</v>
      </c>
      <c r="G76" t="s">
        <v>704</v>
      </c>
      <c r="H76" t="s">
        <v>577</v>
      </c>
      <c r="I76" t="s">
        <v>112</v>
      </c>
      <c r="J76" t="s">
        <v>498</v>
      </c>
      <c r="K76" s="112" t="s">
        <v>705</v>
      </c>
    </row>
    <row r="77" spans="1:11">
      <c r="A77" s="112" t="s">
        <v>513</v>
      </c>
      <c r="B77" t="s">
        <v>703</v>
      </c>
      <c r="C77" t="s">
        <v>56</v>
      </c>
      <c r="D77" t="s">
        <v>43</v>
      </c>
      <c r="E77" t="s">
        <v>69</v>
      </c>
      <c r="F77" t="s">
        <v>70</v>
      </c>
      <c r="G77" t="s">
        <v>704</v>
      </c>
      <c r="H77" t="s">
        <v>577</v>
      </c>
      <c r="I77" t="s">
        <v>112</v>
      </c>
      <c r="J77" t="s">
        <v>498</v>
      </c>
      <c r="K77" s="112" t="s">
        <v>705</v>
      </c>
    </row>
    <row r="78" spans="1:11">
      <c r="A78" s="112" t="s">
        <v>513</v>
      </c>
      <c r="B78" t="s">
        <v>703</v>
      </c>
      <c r="C78" t="s">
        <v>56</v>
      </c>
      <c r="D78" t="s">
        <v>43</v>
      </c>
      <c r="E78" t="s">
        <v>137</v>
      </c>
      <c r="F78" t="s">
        <v>183</v>
      </c>
      <c r="G78" t="s">
        <v>704</v>
      </c>
      <c r="H78" t="s">
        <v>577</v>
      </c>
      <c r="I78" t="s">
        <v>112</v>
      </c>
      <c r="J78" t="s">
        <v>498</v>
      </c>
      <c r="K78" s="112" t="s">
        <v>705</v>
      </c>
    </row>
    <row r="79" spans="1:11">
      <c r="A79" s="112" t="s">
        <v>513</v>
      </c>
      <c r="B79" t="s">
        <v>703</v>
      </c>
      <c r="C79" t="s">
        <v>56</v>
      </c>
      <c r="D79" t="s">
        <v>45</v>
      </c>
      <c r="E79" t="s">
        <v>71</v>
      </c>
      <c r="F79" t="s">
        <v>216</v>
      </c>
      <c r="G79" t="s">
        <v>704</v>
      </c>
      <c r="H79" t="s">
        <v>577</v>
      </c>
      <c r="I79" t="s">
        <v>112</v>
      </c>
      <c r="J79" t="s">
        <v>498</v>
      </c>
      <c r="K79" s="112" t="s">
        <v>705</v>
      </c>
    </row>
    <row r="80" spans="1:11">
      <c r="A80" s="112" t="s">
        <v>513</v>
      </c>
      <c r="B80" t="s">
        <v>703</v>
      </c>
      <c r="C80" t="s">
        <v>59</v>
      </c>
      <c r="D80" t="s">
        <v>43</v>
      </c>
      <c r="E80" t="s">
        <v>275</v>
      </c>
      <c r="F80" t="s">
        <v>546</v>
      </c>
      <c r="G80" t="s">
        <v>704</v>
      </c>
      <c r="H80" t="s">
        <v>577</v>
      </c>
      <c r="I80" t="s">
        <v>112</v>
      </c>
      <c r="J80" t="s">
        <v>498</v>
      </c>
      <c r="K80" s="112" t="s">
        <v>705</v>
      </c>
    </row>
    <row r="81" spans="1:11">
      <c r="A81" s="112" t="s">
        <v>513</v>
      </c>
      <c r="B81" t="s">
        <v>703</v>
      </c>
      <c r="C81" t="s">
        <v>59</v>
      </c>
      <c r="D81" t="s">
        <v>43</v>
      </c>
      <c r="E81" t="s">
        <v>65</v>
      </c>
      <c r="F81" t="s">
        <v>68</v>
      </c>
      <c r="G81" t="s">
        <v>704</v>
      </c>
      <c r="H81" t="s">
        <v>577</v>
      </c>
      <c r="I81" t="s">
        <v>112</v>
      </c>
      <c r="J81" t="s">
        <v>498</v>
      </c>
      <c r="K81" s="112" t="s">
        <v>705</v>
      </c>
    </row>
    <row r="82" spans="1:11">
      <c r="A82" s="112" t="s">
        <v>513</v>
      </c>
      <c r="B82" t="s">
        <v>703</v>
      </c>
      <c r="C82" t="s">
        <v>59</v>
      </c>
      <c r="D82" t="s">
        <v>45</v>
      </c>
      <c r="E82" t="s">
        <v>71</v>
      </c>
      <c r="F82" t="s">
        <v>554</v>
      </c>
      <c r="G82" t="s">
        <v>704</v>
      </c>
      <c r="H82" t="s">
        <v>577</v>
      </c>
      <c r="I82" t="s">
        <v>112</v>
      </c>
      <c r="J82" t="s">
        <v>498</v>
      </c>
      <c r="K82" s="112" t="s">
        <v>705</v>
      </c>
    </row>
    <row r="83" spans="1:11">
      <c r="A83" s="112" t="s">
        <v>513</v>
      </c>
      <c r="B83" t="s">
        <v>703</v>
      </c>
      <c r="C83" t="s">
        <v>59</v>
      </c>
      <c r="D83" t="s">
        <v>45</v>
      </c>
      <c r="E83" t="s">
        <v>69</v>
      </c>
      <c r="F83" t="s">
        <v>455</v>
      </c>
      <c r="G83" t="s">
        <v>704</v>
      </c>
      <c r="H83" t="s">
        <v>577</v>
      </c>
      <c r="I83" t="s">
        <v>112</v>
      </c>
      <c r="J83" t="s">
        <v>498</v>
      </c>
      <c r="K83" s="112" t="s">
        <v>705</v>
      </c>
    </row>
    <row r="84" spans="1:11">
      <c r="A84" s="112" t="s">
        <v>513</v>
      </c>
      <c r="B84" t="s">
        <v>580</v>
      </c>
      <c r="C84" t="s">
        <v>56</v>
      </c>
      <c r="D84" t="s">
        <v>41</v>
      </c>
      <c r="E84" t="s">
        <v>137</v>
      </c>
      <c r="F84" t="s">
        <v>245</v>
      </c>
      <c r="G84" t="s">
        <v>483</v>
      </c>
      <c r="H84" t="s">
        <v>577</v>
      </c>
      <c r="I84" t="s">
        <v>112</v>
      </c>
      <c r="J84" t="s">
        <v>498</v>
      </c>
      <c r="K84" s="112" t="s">
        <v>484</v>
      </c>
    </row>
    <row r="85" spans="1:11">
      <c r="A85" s="112" t="s">
        <v>513</v>
      </c>
      <c r="B85" t="s">
        <v>580</v>
      </c>
      <c r="C85" t="s">
        <v>56</v>
      </c>
      <c r="D85" t="s">
        <v>41</v>
      </c>
      <c r="E85" t="s">
        <v>137</v>
      </c>
      <c r="F85" t="s">
        <v>138</v>
      </c>
      <c r="G85" t="s">
        <v>483</v>
      </c>
      <c r="H85" t="s">
        <v>577</v>
      </c>
      <c r="I85" t="s">
        <v>112</v>
      </c>
      <c r="J85" t="s">
        <v>498</v>
      </c>
      <c r="K85" s="112" t="s">
        <v>484</v>
      </c>
    </row>
    <row r="86" spans="1:11">
      <c r="A86" s="112" t="s">
        <v>513</v>
      </c>
      <c r="B86" t="s">
        <v>580</v>
      </c>
      <c r="C86" t="s">
        <v>56</v>
      </c>
      <c r="D86" t="s">
        <v>41</v>
      </c>
      <c r="E86" t="s">
        <v>65</v>
      </c>
      <c r="F86" t="s">
        <v>553</v>
      </c>
      <c r="G86" t="s">
        <v>483</v>
      </c>
      <c r="H86" t="s">
        <v>577</v>
      </c>
      <c r="I86" t="s">
        <v>112</v>
      </c>
      <c r="J86" t="s">
        <v>498</v>
      </c>
      <c r="K86" s="112" t="s">
        <v>484</v>
      </c>
    </row>
    <row r="87" spans="1:11">
      <c r="A87" s="112" t="s">
        <v>513</v>
      </c>
      <c r="B87" t="s">
        <v>580</v>
      </c>
      <c r="C87" t="s">
        <v>59</v>
      </c>
      <c r="D87" t="s">
        <v>41</v>
      </c>
      <c r="E87" t="s">
        <v>65</v>
      </c>
      <c r="F87" t="s">
        <v>67</v>
      </c>
      <c r="G87" t="s">
        <v>483</v>
      </c>
      <c r="H87" t="s">
        <v>577</v>
      </c>
      <c r="I87" t="s">
        <v>112</v>
      </c>
      <c r="J87" t="s">
        <v>498</v>
      </c>
      <c r="K87" s="112" t="s">
        <v>484</v>
      </c>
    </row>
    <row r="88" spans="1:11">
      <c r="A88" s="112" t="s">
        <v>513</v>
      </c>
      <c r="B88" t="s">
        <v>580</v>
      </c>
      <c r="C88" t="s">
        <v>59</v>
      </c>
      <c r="D88" t="s">
        <v>43</v>
      </c>
      <c r="E88" t="s">
        <v>275</v>
      </c>
      <c r="F88" t="s">
        <v>546</v>
      </c>
      <c r="G88" t="s">
        <v>483</v>
      </c>
      <c r="H88" t="s">
        <v>577</v>
      </c>
      <c r="I88" t="s">
        <v>112</v>
      </c>
      <c r="J88" t="s">
        <v>498</v>
      </c>
      <c r="K88" s="112" t="s">
        <v>484</v>
      </c>
    </row>
    <row r="89" spans="1:11">
      <c r="A89" s="112" t="s">
        <v>513</v>
      </c>
      <c r="B89" t="s">
        <v>580</v>
      </c>
      <c r="C89" t="s">
        <v>59</v>
      </c>
      <c r="D89" t="s">
        <v>43</v>
      </c>
      <c r="E89" t="s">
        <v>275</v>
      </c>
      <c r="F89" t="s">
        <v>386</v>
      </c>
      <c r="G89" t="s">
        <v>483</v>
      </c>
      <c r="H89" t="s">
        <v>577</v>
      </c>
      <c r="I89" t="s">
        <v>112</v>
      </c>
      <c r="J89" t="s">
        <v>498</v>
      </c>
      <c r="K89" s="112" t="s">
        <v>484</v>
      </c>
    </row>
    <row r="90" spans="1:11">
      <c r="A90" s="112" t="s">
        <v>513</v>
      </c>
      <c r="B90" t="s">
        <v>580</v>
      </c>
      <c r="C90" t="s">
        <v>56</v>
      </c>
      <c r="D90" t="s">
        <v>43</v>
      </c>
      <c r="E90" t="s">
        <v>275</v>
      </c>
      <c r="F90" t="s">
        <v>353</v>
      </c>
      <c r="G90" t="s">
        <v>483</v>
      </c>
      <c r="H90" t="s">
        <v>577</v>
      </c>
      <c r="I90" t="s">
        <v>112</v>
      </c>
      <c r="J90" t="s">
        <v>498</v>
      </c>
      <c r="K90" s="112" t="s">
        <v>484</v>
      </c>
    </row>
    <row r="91" spans="1:11">
      <c r="A91" s="112" t="s">
        <v>513</v>
      </c>
      <c r="B91" t="s">
        <v>580</v>
      </c>
      <c r="C91" t="s">
        <v>59</v>
      </c>
      <c r="D91" t="s">
        <v>43</v>
      </c>
      <c r="E91" t="s">
        <v>69</v>
      </c>
      <c r="F91" t="s">
        <v>455</v>
      </c>
      <c r="G91" t="s">
        <v>483</v>
      </c>
      <c r="H91" t="s">
        <v>577</v>
      </c>
      <c r="I91" t="s">
        <v>112</v>
      </c>
      <c r="J91" t="s">
        <v>498</v>
      </c>
      <c r="K91" s="112" t="s">
        <v>484</v>
      </c>
    </row>
    <row r="92" spans="1:11">
      <c r="A92" s="112" t="s">
        <v>513</v>
      </c>
      <c r="B92" t="s">
        <v>580</v>
      </c>
      <c r="C92" t="s">
        <v>59</v>
      </c>
      <c r="D92" t="s">
        <v>45</v>
      </c>
      <c r="E92" t="s">
        <v>71</v>
      </c>
      <c r="F92" t="s">
        <v>216</v>
      </c>
      <c r="G92" t="s">
        <v>483</v>
      </c>
      <c r="H92" t="s">
        <v>577</v>
      </c>
      <c r="I92" t="s">
        <v>112</v>
      </c>
      <c r="J92" t="s">
        <v>498</v>
      </c>
      <c r="K92" s="112" t="s">
        <v>484</v>
      </c>
    </row>
    <row r="93" spans="1:11">
      <c r="A93" s="112" t="s">
        <v>513</v>
      </c>
      <c r="B93" t="s">
        <v>580</v>
      </c>
      <c r="C93" t="s">
        <v>59</v>
      </c>
      <c r="D93" t="s">
        <v>45</v>
      </c>
      <c r="E93" t="s">
        <v>69</v>
      </c>
      <c r="F93" t="s">
        <v>70</v>
      </c>
      <c r="G93" t="s">
        <v>483</v>
      </c>
      <c r="H93" t="s">
        <v>577</v>
      </c>
      <c r="I93" t="s">
        <v>112</v>
      </c>
      <c r="J93" t="s">
        <v>498</v>
      </c>
      <c r="K93" s="112" t="s">
        <v>484</v>
      </c>
    </row>
    <row r="94" spans="1:11">
      <c r="A94" s="112" t="s">
        <v>513</v>
      </c>
      <c r="B94" t="s">
        <v>580</v>
      </c>
      <c r="C94" t="s">
        <v>59</v>
      </c>
      <c r="D94" t="s">
        <v>45</v>
      </c>
      <c r="E94" t="s">
        <v>128</v>
      </c>
      <c r="F94" t="s">
        <v>564</v>
      </c>
      <c r="G94" t="s">
        <v>483</v>
      </c>
      <c r="H94" t="s">
        <v>577</v>
      </c>
      <c r="I94" t="s">
        <v>112</v>
      </c>
      <c r="J94" t="s">
        <v>498</v>
      </c>
      <c r="K94" s="112" t="s">
        <v>484</v>
      </c>
    </row>
    <row r="95" spans="1:11">
      <c r="A95" s="112" t="s">
        <v>513</v>
      </c>
      <c r="B95" t="s">
        <v>581</v>
      </c>
      <c r="C95" t="s">
        <v>56</v>
      </c>
      <c r="D95" t="s">
        <v>41</v>
      </c>
      <c r="E95" t="s">
        <v>275</v>
      </c>
      <c r="F95" t="s">
        <v>309</v>
      </c>
      <c r="G95" t="s">
        <v>487</v>
      </c>
      <c r="H95" t="s">
        <v>577</v>
      </c>
      <c r="I95" t="s">
        <v>112</v>
      </c>
      <c r="J95" t="s">
        <v>498</v>
      </c>
      <c r="K95" s="112" t="s">
        <v>488</v>
      </c>
    </row>
    <row r="96" spans="1:11">
      <c r="A96" s="112" t="s">
        <v>513</v>
      </c>
      <c r="B96" t="s">
        <v>581</v>
      </c>
      <c r="C96" t="s">
        <v>56</v>
      </c>
      <c r="D96" t="s">
        <v>41</v>
      </c>
      <c r="E96" t="s">
        <v>275</v>
      </c>
      <c r="F96" t="s">
        <v>546</v>
      </c>
      <c r="G96" t="s">
        <v>487</v>
      </c>
      <c r="H96" t="s">
        <v>577</v>
      </c>
      <c r="I96" t="s">
        <v>112</v>
      </c>
      <c r="J96" t="s">
        <v>498</v>
      </c>
      <c r="K96" s="112" t="s">
        <v>488</v>
      </c>
    </row>
    <row r="97" spans="1:11">
      <c r="A97" s="112" t="s">
        <v>513</v>
      </c>
      <c r="B97" t="s">
        <v>581</v>
      </c>
      <c r="C97" t="s">
        <v>56</v>
      </c>
      <c r="D97" t="s">
        <v>41</v>
      </c>
      <c r="E97" t="s">
        <v>71</v>
      </c>
      <c r="F97" t="s">
        <v>216</v>
      </c>
      <c r="G97" t="s">
        <v>487</v>
      </c>
      <c r="H97" t="s">
        <v>577</v>
      </c>
      <c r="I97" t="s">
        <v>112</v>
      </c>
      <c r="J97" t="s">
        <v>498</v>
      </c>
      <c r="K97" s="112" t="s">
        <v>488</v>
      </c>
    </row>
    <row r="98" spans="1:11">
      <c r="A98" s="112" t="s">
        <v>513</v>
      </c>
      <c r="B98" t="s">
        <v>581</v>
      </c>
      <c r="C98" t="s">
        <v>56</v>
      </c>
      <c r="D98" t="s">
        <v>41</v>
      </c>
      <c r="E98" t="s">
        <v>69</v>
      </c>
      <c r="F98" t="s">
        <v>70</v>
      </c>
      <c r="G98" t="s">
        <v>487</v>
      </c>
      <c r="H98" t="s">
        <v>577</v>
      </c>
      <c r="I98" t="s">
        <v>112</v>
      </c>
      <c r="J98" t="s">
        <v>498</v>
      </c>
      <c r="K98" s="112" t="s">
        <v>488</v>
      </c>
    </row>
    <row r="99" spans="1:11">
      <c r="A99" s="112" t="s">
        <v>513</v>
      </c>
      <c r="B99" t="s">
        <v>581</v>
      </c>
      <c r="C99" t="s">
        <v>59</v>
      </c>
      <c r="D99" t="s">
        <v>43</v>
      </c>
      <c r="E99" t="s">
        <v>275</v>
      </c>
      <c r="F99" t="s">
        <v>276</v>
      </c>
      <c r="G99" t="s">
        <v>487</v>
      </c>
      <c r="H99" t="s">
        <v>577</v>
      </c>
      <c r="I99" t="s">
        <v>112</v>
      </c>
      <c r="J99" t="s">
        <v>498</v>
      </c>
      <c r="K99" s="112" t="s">
        <v>488</v>
      </c>
    </row>
    <row r="100" spans="1:11">
      <c r="A100" s="112" t="s">
        <v>513</v>
      </c>
      <c r="B100" t="s">
        <v>581</v>
      </c>
      <c r="C100" t="s">
        <v>59</v>
      </c>
      <c r="D100" t="s">
        <v>43</v>
      </c>
      <c r="E100" t="s">
        <v>65</v>
      </c>
      <c r="F100" t="s">
        <v>68</v>
      </c>
      <c r="G100" t="s">
        <v>487</v>
      </c>
      <c r="H100" t="s">
        <v>577</v>
      </c>
      <c r="I100" t="s">
        <v>112</v>
      </c>
      <c r="J100" t="s">
        <v>498</v>
      </c>
      <c r="K100" s="112" t="s">
        <v>488</v>
      </c>
    </row>
    <row r="101" spans="1:11">
      <c r="A101" s="112" t="s">
        <v>513</v>
      </c>
      <c r="B101" t="s">
        <v>581</v>
      </c>
      <c r="C101" t="s">
        <v>59</v>
      </c>
      <c r="D101" t="s">
        <v>43</v>
      </c>
      <c r="E101" t="s">
        <v>275</v>
      </c>
      <c r="F101" t="s">
        <v>386</v>
      </c>
      <c r="G101" t="s">
        <v>487</v>
      </c>
      <c r="H101" t="s">
        <v>577</v>
      </c>
      <c r="I101" t="s">
        <v>112</v>
      </c>
      <c r="J101" t="s">
        <v>498</v>
      </c>
      <c r="K101" s="112" t="s">
        <v>488</v>
      </c>
    </row>
    <row r="102" spans="1:11">
      <c r="A102" s="112" t="s">
        <v>513</v>
      </c>
      <c r="B102" t="s">
        <v>581</v>
      </c>
      <c r="C102" t="s">
        <v>59</v>
      </c>
      <c r="D102" t="s">
        <v>45</v>
      </c>
      <c r="E102" t="s">
        <v>275</v>
      </c>
      <c r="F102" t="s">
        <v>276</v>
      </c>
      <c r="G102" t="s">
        <v>487</v>
      </c>
      <c r="H102" t="s">
        <v>577</v>
      </c>
      <c r="I102" t="s">
        <v>112</v>
      </c>
      <c r="J102" t="s">
        <v>498</v>
      </c>
      <c r="K102" s="112" t="s">
        <v>488</v>
      </c>
    </row>
    <row r="103" spans="1:11">
      <c r="A103" s="112" t="s">
        <v>513</v>
      </c>
      <c r="B103" t="s">
        <v>581</v>
      </c>
      <c r="C103" t="s">
        <v>59</v>
      </c>
      <c r="D103" t="s">
        <v>45</v>
      </c>
      <c r="E103" t="s">
        <v>65</v>
      </c>
      <c r="F103" t="s">
        <v>66</v>
      </c>
      <c r="G103" t="s">
        <v>487</v>
      </c>
      <c r="H103" t="s">
        <v>577</v>
      </c>
      <c r="I103" t="s">
        <v>112</v>
      </c>
      <c r="J103" t="s">
        <v>498</v>
      </c>
      <c r="K103" s="112" t="s">
        <v>488</v>
      </c>
    </row>
    <row r="104" spans="1:11">
      <c r="A104" s="112" t="s">
        <v>513</v>
      </c>
      <c r="B104" t="s">
        <v>581</v>
      </c>
      <c r="C104" t="s">
        <v>59</v>
      </c>
      <c r="D104" t="s">
        <v>45</v>
      </c>
      <c r="E104" t="s">
        <v>65</v>
      </c>
      <c r="F104" t="s">
        <v>186</v>
      </c>
      <c r="G104" t="s">
        <v>487</v>
      </c>
      <c r="H104" t="s">
        <v>577</v>
      </c>
      <c r="I104" t="s">
        <v>112</v>
      </c>
      <c r="J104" t="s">
        <v>498</v>
      </c>
      <c r="K104" s="112" t="s">
        <v>488</v>
      </c>
    </row>
    <row r="105" spans="1:11">
      <c r="A105" s="112" t="s">
        <v>513</v>
      </c>
      <c r="B105" t="s">
        <v>581</v>
      </c>
      <c r="C105" t="s">
        <v>59</v>
      </c>
      <c r="D105" t="s">
        <v>45</v>
      </c>
      <c r="E105" t="s">
        <v>132</v>
      </c>
      <c r="F105" t="s">
        <v>456</v>
      </c>
      <c r="G105" t="s">
        <v>487</v>
      </c>
      <c r="H105" t="s">
        <v>577</v>
      </c>
      <c r="I105" t="s">
        <v>112</v>
      </c>
      <c r="J105" t="s">
        <v>498</v>
      </c>
      <c r="K105" s="112" t="s">
        <v>488</v>
      </c>
    </row>
    <row r="106" spans="1:11">
      <c r="A106" s="112" t="s">
        <v>513</v>
      </c>
      <c r="B106" t="s">
        <v>706</v>
      </c>
      <c r="C106" t="s">
        <v>56</v>
      </c>
      <c r="D106" t="s">
        <v>41</v>
      </c>
      <c r="E106" t="s">
        <v>275</v>
      </c>
      <c r="F106" t="s">
        <v>386</v>
      </c>
      <c r="G106" t="s">
        <v>707</v>
      </c>
      <c r="H106" t="s">
        <v>577</v>
      </c>
      <c r="I106" t="s">
        <v>112</v>
      </c>
      <c r="J106" t="s">
        <v>498</v>
      </c>
      <c r="K106" s="112" t="s">
        <v>708</v>
      </c>
    </row>
    <row r="107" spans="1:11">
      <c r="A107" s="112" t="s">
        <v>513</v>
      </c>
      <c r="B107" t="s">
        <v>706</v>
      </c>
      <c r="C107" t="s">
        <v>56</v>
      </c>
      <c r="D107" t="s">
        <v>41</v>
      </c>
      <c r="E107" t="s">
        <v>275</v>
      </c>
      <c r="F107" t="s">
        <v>276</v>
      </c>
      <c r="G107" t="s">
        <v>707</v>
      </c>
      <c r="H107" t="s">
        <v>577</v>
      </c>
      <c r="I107" t="s">
        <v>112</v>
      </c>
      <c r="J107" t="s">
        <v>498</v>
      </c>
      <c r="K107" s="112" t="s">
        <v>708</v>
      </c>
    </row>
    <row r="108" spans="1:11">
      <c r="A108" s="112" t="s">
        <v>513</v>
      </c>
      <c r="B108" t="s">
        <v>706</v>
      </c>
      <c r="C108" t="s">
        <v>56</v>
      </c>
      <c r="D108" t="s">
        <v>41</v>
      </c>
      <c r="E108" t="s">
        <v>65</v>
      </c>
      <c r="F108" t="s">
        <v>66</v>
      </c>
      <c r="G108" t="s">
        <v>707</v>
      </c>
      <c r="H108" t="s">
        <v>577</v>
      </c>
      <c r="I108" t="s">
        <v>112</v>
      </c>
      <c r="J108" t="s">
        <v>498</v>
      </c>
      <c r="K108" s="112" t="s">
        <v>708</v>
      </c>
    </row>
    <row r="109" spans="1:11">
      <c r="A109" s="112" t="s">
        <v>513</v>
      </c>
      <c r="B109" t="s">
        <v>706</v>
      </c>
      <c r="C109" t="s">
        <v>59</v>
      </c>
      <c r="D109" t="s">
        <v>41</v>
      </c>
      <c r="E109" t="s">
        <v>69</v>
      </c>
      <c r="F109" t="s">
        <v>70</v>
      </c>
      <c r="G109" t="s">
        <v>707</v>
      </c>
      <c r="H109" t="s">
        <v>577</v>
      </c>
      <c r="I109" t="s">
        <v>112</v>
      </c>
      <c r="J109" t="s">
        <v>498</v>
      </c>
      <c r="K109" s="112" t="s">
        <v>708</v>
      </c>
    </row>
    <row r="110" spans="1:11">
      <c r="A110" s="112" t="s">
        <v>513</v>
      </c>
      <c r="B110" t="s">
        <v>706</v>
      </c>
      <c r="C110" t="s">
        <v>59</v>
      </c>
      <c r="D110" t="s">
        <v>43</v>
      </c>
      <c r="E110" t="s">
        <v>137</v>
      </c>
      <c r="F110" t="s">
        <v>138</v>
      </c>
      <c r="G110" t="s">
        <v>707</v>
      </c>
      <c r="H110" t="s">
        <v>577</v>
      </c>
      <c r="I110" t="s">
        <v>112</v>
      </c>
      <c r="J110" t="s">
        <v>498</v>
      </c>
      <c r="K110" s="112" t="s">
        <v>708</v>
      </c>
    </row>
    <row r="111" spans="1:11">
      <c r="A111" s="112" t="s">
        <v>513</v>
      </c>
      <c r="B111" t="s">
        <v>706</v>
      </c>
      <c r="C111" t="s">
        <v>59</v>
      </c>
      <c r="D111" t="s">
        <v>43</v>
      </c>
      <c r="E111" t="s">
        <v>184</v>
      </c>
      <c r="F111" t="s">
        <v>185</v>
      </c>
      <c r="G111" t="s">
        <v>707</v>
      </c>
      <c r="H111" t="s">
        <v>577</v>
      </c>
      <c r="I111" t="s">
        <v>112</v>
      </c>
      <c r="J111" t="s">
        <v>498</v>
      </c>
      <c r="K111" s="112" t="s">
        <v>708</v>
      </c>
    </row>
    <row r="112" spans="1:11">
      <c r="A112" s="112" t="s">
        <v>513</v>
      </c>
      <c r="B112" t="s">
        <v>706</v>
      </c>
      <c r="C112" t="s">
        <v>59</v>
      </c>
      <c r="D112" t="s">
        <v>43</v>
      </c>
      <c r="E112" t="s">
        <v>65</v>
      </c>
      <c r="F112" t="s">
        <v>66</v>
      </c>
      <c r="G112" t="s">
        <v>707</v>
      </c>
      <c r="H112" t="s">
        <v>577</v>
      </c>
      <c r="I112" t="s">
        <v>112</v>
      </c>
      <c r="J112" t="s">
        <v>498</v>
      </c>
      <c r="K112" s="112" t="s">
        <v>708</v>
      </c>
    </row>
    <row r="113" spans="1:11">
      <c r="A113" s="112" t="s">
        <v>513</v>
      </c>
      <c r="B113" t="s">
        <v>706</v>
      </c>
      <c r="C113" t="s">
        <v>59</v>
      </c>
      <c r="D113" t="s">
        <v>43</v>
      </c>
      <c r="E113" t="s">
        <v>128</v>
      </c>
      <c r="F113" t="s">
        <v>129</v>
      </c>
      <c r="G113" t="s">
        <v>707</v>
      </c>
      <c r="H113" t="s">
        <v>577</v>
      </c>
      <c r="I113" t="s">
        <v>112</v>
      </c>
      <c r="J113" t="s">
        <v>498</v>
      </c>
      <c r="K113" s="112" t="s">
        <v>708</v>
      </c>
    </row>
    <row r="114" spans="1:11">
      <c r="A114" s="112" t="s">
        <v>513</v>
      </c>
      <c r="B114" t="s">
        <v>706</v>
      </c>
      <c r="C114" t="s">
        <v>59</v>
      </c>
      <c r="D114" t="s">
        <v>43</v>
      </c>
      <c r="E114" t="s">
        <v>69</v>
      </c>
      <c r="F114" t="s">
        <v>277</v>
      </c>
      <c r="G114" t="s">
        <v>707</v>
      </c>
      <c r="H114" t="s">
        <v>577</v>
      </c>
      <c r="I114" t="s">
        <v>112</v>
      </c>
      <c r="J114" t="s">
        <v>498</v>
      </c>
      <c r="K114" s="112" t="s">
        <v>708</v>
      </c>
    </row>
    <row r="115" spans="1:11">
      <c r="A115" s="112" t="s">
        <v>513</v>
      </c>
      <c r="B115" t="s">
        <v>706</v>
      </c>
      <c r="C115" t="s">
        <v>59</v>
      </c>
      <c r="D115" t="s">
        <v>45</v>
      </c>
      <c r="E115" t="s">
        <v>126</v>
      </c>
      <c r="F115" t="s">
        <v>127</v>
      </c>
      <c r="G115" t="s">
        <v>707</v>
      </c>
      <c r="H115" t="s">
        <v>577</v>
      </c>
      <c r="I115" t="s">
        <v>112</v>
      </c>
      <c r="J115" t="s">
        <v>498</v>
      </c>
      <c r="K115" s="112" t="s">
        <v>708</v>
      </c>
    </row>
    <row r="116" spans="1:11">
      <c r="A116" s="112" t="s">
        <v>513</v>
      </c>
      <c r="B116" t="s">
        <v>706</v>
      </c>
      <c r="C116" t="s">
        <v>59</v>
      </c>
      <c r="D116" t="s">
        <v>45</v>
      </c>
      <c r="E116" t="s">
        <v>126</v>
      </c>
      <c r="F116" t="s">
        <v>131</v>
      </c>
      <c r="G116" t="s">
        <v>707</v>
      </c>
      <c r="H116" t="s">
        <v>577</v>
      </c>
      <c r="I116" t="s">
        <v>112</v>
      </c>
      <c r="J116" t="s">
        <v>498</v>
      </c>
      <c r="K116" s="112" t="s">
        <v>708</v>
      </c>
    </row>
    <row r="117" spans="1:11">
      <c r="A117" s="112" t="s">
        <v>495</v>
      </c>
      <c r="B117" t="s">
        <v>582</v>
      </c>
      <c r="C117" t="s">
        <v>56</v>
      </c>
      <c r="D117" t="s">
        <v>41</v>
      </c>
      <c r="E117" t="s">
        <v>65</v>
      </c>
      <c r="F117" t="s">
        <v>66</v>
      </c>
      <c r="G117" t="s">
        <v>5</v>
      </c>
      <c r="H117" t="s">
        <v>577</v>
      </c>
      <c r="I117" t="s">
        <v>112</v>
      </c>
      <c r="J117" t="s">
        <v>498</v>
      </c>
      <c r="K117" s="112" t="s">
        <v>8</v>
      </c>
    </row>
    <row r="118" spans="1:11">
      <c r="A118" s="112" t="s">
        <v>495</v>
      </c>
      <c r="B118" t="s">
        <v>582</v>
      </c>
      <c r="C118" t="s">
        <v>56</v>
      </c>
      <c r="D118" t="s">
        <v>43</v>
      </c>
      <c r="E118" t="s">
        <v>65</v>
      </c>
      <c r="F118" t="s">
        <v>67</v>
      </c>
      <c r="G118" t="s">
        <v>5</v>
      </c>
      <c r="H118" t="s">
        <v>577</v>
      </c>
      <c r="I118" t="s">
        <v>112</v>
      </c>
      <c r="J118" t="s">
        <v>498</v>
      </c>
      <c r="K118" s="112" t="s">
        <v>8</v>
      </c>
    </row>
    <row r="119" spans="1:11">
      <c r="A119" s="112" t="s">
        <v>495</v>
      </c>
      <c r="B119" t="s">
        <v>582</v>
      </c>
      <c r="C119" t="s">
        <v>56</v>
      </c>
      <c r="D119" t="s">
        <v>45</v>
      </c>
      <c r="E119" t="s">
        <v>65</v>
      </c>
      <c r="F119" t="s">
        <v>68</v>
      </c>
      <c r="G119" t="s">
        <v>5</v>
      </c>
      <c r="H119" t="s">
        <v>577</v>
      </c>
      <c r="I119" t="s">
        <v>112</v>
      </c>
      <c r="J119" t="s">
        <v>498</v>
      </c>
      <c r="K119" s="112" t="s">
        <v>8</v>
      </c>
    </row>
    <row r="120" spans="1:11">
      <c r="A120" s="112" t="s">
        <v>495</v>
      </c>
      <c r="B120" t="s">
        <v>582</v>
      </c>
      <c r="C120" t="s">
        <v>59</v>
      </c>
      <c r="D120" t="s">
        <v>43</v>
      </c>
      <c r="E120" t="s">
        <v>69</v>
      </c>
      <c r="F120" t="s">
        <v>70</v>
      </c>
      <c r="G120" t="s">
        <v>5</v>
      </c>
      <c r="H120" t="s">
        <v>577</v>
      </c>
      <c r="I120" t="s">
        <v>112</v>
      </c>
      <c r="J120" t="s">
        <v>498</v>
      </c>
      <c r="K120" s="112" t="s">
        <v>8</v>
      </c>
    </row>
    <row r="121" spans="1:11">
      <c r="A121" s="112" t="s">
        <v>495</v>
      </c>
      <c r="B121" t="s">
        <v>582</v>
      </c>
      <c r="C121" t="s">
        <v>59</v>
      </c>
      <c r="D121" t="s">
        <v>45</v>
      </c>
      <c r="E121" t="s">
        <v>71</v>
      </c>
      <c r="F121" t="s">
        <v>72</v>
      </c>
      <c r="G121" t="s">
        <v>5</v>
      </c>
      <c r="H121" t="s">
        <v>577</v>
      </c>
      <c r="I121" t="s">
        <v>112</v>
      </c>
      <c r="J121" t="s">
        <v>498</v>
      </c>
      <c r="K121" s="112" t="s">
        <v>8</v>
      </c>
    </row>
    <row r="122" spans="1:11">
      <c r="A122" s="112" t="s">
        <v>495</v>
      </c>
      <c r="B122" t="s">
        <v>583</v>
      </c>
      <c r="C122" t="s">
        <v>56</v>
      </c>
      <c r="D122" t="s">
        <v>41</v>
      </c>
      <c r="E122" t="s">
        <v>126</v>
      </c>
      <c r="F122" t="s">
        <v>127</v>
      </c>
      <c r="G122" t="s">
        <v>101</v>
      </c>
      <c r="H122" t="s">
        <v>577</v>
      </c>
      <c r="I122" t="s">
        <v>112</v>
      </c>
      <c r="J122" t="s">
        <v>498</v>
      </c>
      <c r="K122" s="112" t="s">
        <v>462</v>
      </c>
    </row>
    <row r="123" spans="1:11">
      <c r="A123" s="112" t="s">
        <v>495</v>
      </c>
      <c r="B123" t="s">
        <v>583</v>
      </c>
      <c r="C123" t="s">
        <v>56</v>
      </c>
      <c r="D123" t="s">
        <v>43</v>
      </c>
      <c r="E123" t="s">
        <v>128</v>
      </c>
      <c r="F123" t="s">
        <v>129</v>
      </c>
      <c r="G123" t="s">
        <v>101</v>
      </c>
      <c r="H123" t="s">
        <v>577</v>
      </c>
      <c r="I123" t="s">
        <v>112</v>
      </c>
      <c r="J123" t="s">
        <v>498</v>
      </c>
      <c r="K123" s="112" t="s">
        <v>462</v>
      </c>
    </row>
    <row r="124" spans="1:11">
      <c r="A124" s="112" t="s">
        <v>495</v>
      </c>
      <c r="B124" t="s">
        <v>583</v>
      </c>
      <c r="C124" t="s">
        <v>56</v>
      </c>
      <c r="D124" t="s">
        <v>45</v>
      </c>
      <c r="E124" t="s">
        <v>126</v>
      </c>
      <c r="F124" t="s">
        <v>130</v>
      </c>
      <c r="G124" t="s">
        <v>101</v>
      </c>
      <c r="H124" t="s">
        <v>577</v>
      </c>
      <c r="I124" t="s">
        <v>112</v>
      </c>
      <c r="J124" t="s">
        <v>498</v>
      </c>
      <c r="K124" s="112" t="s">
        <v>462</v>
      </c>
    </row>
    <row r="125" spans="1:11">
      <c r="A125" s="112" t="s">
        <v>495</v>
      </c>
      <c r="B125" t="s">
        <v>583</v>
      </c>
      <c r="C125" t="s">
        <v>59</v>
      </c>
      <c r="D125" t="s">
        <v>41</v>
      </c>
      <c r="E125" t="s">
        <v>126</v>
      </c>
      <c r="F125" t="s">
        <v>131</v>
      </c>
      <c r="G125" t="s">
        <v>101</v>
      </c>
      <c r="H125" t="s">
        <v>577</v>
      </c>
      <c r="I125" t="s">
        <v>112</v>
      </c>
      <c r="J125" t="s">
        <v>498</v>
      </c>
      <c r="K125" s="112" t="s">
        <v>462</v>
      </c>
    </row>
    <row r="126" spans="1:11">
      <c r="A126" s="112" t="s">
        <v>495</v>
      </c>
      <c r="B126" t="s">
        <v>583</v>
      </c>
      <c r="C126" t="s">
        <v>59</v>
      </c>
      <c r="D126" t="s">
        <v>45</v>
      </c>
      <c r="E126" t="s">
        <v>65</v>
      </c>
      <c r="F126" t="s">
        <v>66</v>
      </c>
      <c r="G126" t="s">
        <v>101</v>
      </c>
      <c r="H126" t="s">
        <v>577</v>
      </c>
      <c r="I126" t="s">
        <v>112</v>
      </c>
      <c r="J126" t="s">
        <v>498</v>
      </c>
      <c r="K126" s="112" t="s">
        <v>462</v>
      </c>
    </row>
    <row r="127" spans="1:11">
      <c r="A127" s="112" t="s">
        <v>495</v>
      </c>
      <c r="B127" t="s">
        <v>583</v>
      </c>
      <c r="C127" t="s">
        <v>56</v>
      </c>
      <c r="D127" t="s">
        <v>41</v>
      </c>
      <c r="E127" t="s">
        <v>132</v>
      </c>
      <c r="F127" t="s">
        <v>133</v>
      </c>
      <c r="G127" t="s">
        <v>101</v>
      </c>
      <c r="H127" t="s">
        <v>577</v>
      </c>
      <c r="I127" t="s">
        <v>112</v>
      </c>
      <c r="J127" t="s">
        <v>498</v>
      </c>
      <c r="K127" s="112" t="s">
        <v>462</v>
      </c>
    </row>
    <row r="128" spans="1:11">
      <c r="A128" s="112" t="s">
        <v>495</v>
      </c>
      <c r="B128" t="s">
        <v>583</v>
      </c>
      <c r="C128" t="s">
        <v>56</v>
      </c>
      <c r="D128" t="s">
        <v>43</v>
      </c>
      <c r="E128" t="s">
        <v>134</v>
      </c>
      <c r="F128" t="s">
        <v>135</v>
      </c>
      <c r="G128" t="s">
        <v>101</v>
      </c>
      <c r="H128" t="s">
        <v>577</v>
      </c>
      <c r="I128" t="s">
        <v>112</v>
      </c>
      <c r="J128" t="s">
        <v>498</v>
      </c>
      <c r="K128" s="112" t="s">
        <v>462</v>
      </c>
    </row>
    <row r="129" spans="1:11">
      <c r="A129" s="112" t="s">
        <v>495</v>
      </c>
      <c r="B129" t="s">
        <v>583</v>
      </c>
      <c r="C129" t="s">
        <v>56</v>
      </c>
      <c r="D129" t="s">
        <v>45</v>
      </c>
      <c r="E129" t="s">
        <v>132</v>
      </c>
      <c r="F129" t="s">
        <v>136</v>
      </c>
      <c r="G129" t="s">
        <v>101</v>
      </c>
      <c r="H129" t="s">
        <v>577</v>
      </c>
      <c r="I129" t="s">
        <v>112</v>
      </c>
      <c r="J129" t="s">
        <v>498</v>
      </c>
      <c r="K129" s="112" t="s">
        <v>462</v>
      </c>
    </row>
    <row r="130" spans="1:11">
      <c r="A130" s="112" t="s">
        <v>495</v>
      </c>
      <c r="B130" t="s">
        <v>583</v>
      </c>
      <c r="C130" t="s">
        <v>59</v>
      </c>
      <c r="D130" t="s">
        <v>41</v>
      </c>
      <c r="E130" t="s">
        <v>137</v>
      </c>
      <c r="F130" t="s">
        <v>138</v>
      </c>
      <c r="G130" t="s">
        <v>101</v>
      </c>
      <c r="H130" t="s">
        <v>577</v>
      </c>
      <c r="I130" t="s">
        <v>112</v>
      </c>
      <c r="J130" t="s">
        <v>498</v>
      </c>
      <c r="K130" s="112" t="s">
        <v>462</v>
      </c>
    </row>
    <row r="131" spans="1:11">
      <c r="A131" s="112" t="s">
        <v>495</v>
      </c>
      <c r="B131" t="s">
        <v>583</v>
      </c>
      <c r="C131" t="s">
        <v>59</v>
      </c>
      <c r="D131" t="s">
        <v>45</v>
      </c>
      <c r="E131" t="s">
        <v>65</v>
      </c>
      <c r="F131" t="s">
        <v>67</v>
      </c>
      <c r="G131" t="s">
        <v>101</v>
      </c>
      <c r="H131" t="s">
        <v>577</v>
      </c>
      <c r="I131" t="s">
        <v>112</v>
      </c>
      <c r="J131" t="s">
        <v>498</v>
      </c>
      <c r="K131" s="112" t="s">
        <v>462</v>
      </c>
    </row>
    <row r="132" spans="1:11">
      <c r="A132" s="112" t="s">
        <v>495</v>
      </c>
      <c r="B132" t="s">
        <v>584</v>
      </c>
      <c r="C132" t="s">
        <v>56</v>
      </c>
      <c r="D132" t="s">
        <v>41</v>
      </c>
      <c r="E132" t="s">
        <v>69</v>
      </c>
      <c r="F132" t="s">
        <v>70</v>
      </c>
      <c r="G132" t="s">
        <v>157</v>
      </c>
      <c r="H132" t="s">
        <v>577</v>
      </c>
      <c r="I132" t="s">
        <v>112</v>
      </c>
      <c r="J132" t="s">
        <v>498</v>
      </c>
      <c r="K132" s="112" t="s">
        <v>159</v>
      </c>
    </row>
    <row r="133" spans="1:11">
      <c r="A133" s="112" t="s">
        <v>495</v>
      </c>
      <c r="B133" t="s">
        <v>584</v>
      </c>
      <c r="C133" t="s">
        <v>56</v>
      </c>
      <c r="D133" t="s">
        <v>43</v>
      </c>
      <c r="E133" t="s">
        <v>65</v>
      </c>
      <c r="F133" t="s">
        <v>66</v>
      </c>
      <c r="G133" t="s">
        <v>157</v>
      </c>
      <c r="H133" t="s">
        <v>577</v>
      </c>
      <c r="I133" t="s">
        <v>112</v>
      </c>
      <c r="J133" t="s">
        <v>498</v>
      </c>
      <c r="K133" s="112" t="s">
        <v>159</v>
      </c>
    </row>
    <row r="134" spans="1:11">
      <c r="A134" s="112" t="s">
        <v>495</v>
      </c>
      <c r="B134" t="s">
        <v>584</v>
      </c>
      <c r="C134" t="s">
        <v>56</v>
      </c>
      <c r="D134" t="s">
        <v>41</v>
      </c>
      <c r="E134" t="s">
        <v>132</v>
      </c>
      <c r="F134" t="s">
        <v>181</v>
      </c>
      <c r="G134" t="s">
        <v>157</v>
      </c>
      <c r="H134" t="s">
        <v>577</v>
      </c>
      <c r="I134" t="s">
        <v>112</v>
      </c>
      <c r="J134" t="s">
        <v>498</v>
      </c>
      <c r="K134" s="112" t="s">
        <v>159</v>
      </c>
    </row>
    <row r="135" spans="1:11">
      <c r="A135" s="112" t="s">
        <v>495</v>
      </c>
      <c r="B135" t="s">
        <v>584</v>
      </c>
      <c r="C135" t="s">
        <v>59</v>
      </c>
      <c r="D135" t="s">
        <v>43</v>
      </c>
      <c r="E135" t="s">
        <v>134</v>
      </c>
      <c r="F135" t="s">
        <v>182</v>
      </c>
      <c r="G135" t="s">
        <v>157</v>
      </c>
      <c r="H135" t="s">
        <v>577</v>
      </c>
      <c r="I135" t="s">
        <v>112</v>
      </c>
      <c r="J135" t="s">
        <v>498</v>
      </c>
      <c r="K135" s="112" t="s">
        <v>159</v>
      </c>
    </row>
    <row r="136" spans="1:11">
      <c r="A136" s="112" t="s">
        <v>495</v>
      </c>
      <c r="B136" t="s">
        <v>584</v>
      </c>
      <c r="C136" t="s">
        <v>59</v>
      </c>
      <c r="D136" t="s">
        <v>45</v>
      </c>
      <c r="E136" t="s">
        <v>126</v>
      </c>
      <c r="F136" t="s">
        <v>131</v>
      </c>
      <c r="G136" t="s">
        <v>157</v>
      </c>
      <c r="H136" t="s">
        <v>577</v>
      </c>
      <c r="I136" t="s">
        <v>112</v>
      </c>
      <c r="J136" t="s">
        <v>498</v>
      </c>
      <c r="K136" s="112" t="s">
        <v>159</v>
      </c>
    </row>
    <row r="137" spans="1:11">
      <c r="A137" s="112" t="s">
        <v>495</v>
      </c>
      <c r="B137" t="s">
        <v>584</v>
      </c>
      <c r="C137" t="s">
        <v>59</v>
      </c>
      <c r="D137" t="s">
        <v>43</v>
      </c>
      <c r="E137" t="s">
        <v>137</v>
      </c>
      <c r="F137" t="s">
        <v>183</v>
      </c>
      <c r="G137" t="s">
        <v>157</v>
      </c>
      <c r="H137" t="s">
        <v>577</v>
      </c>
      <c r="I137" t="s">
        <v>112</v>
      </c>
      <c r="J137" t="s">
        <v>498</v>
      </c>
      <c r="K137" s="112" t="s">
        <v>159</v>
      </c>
    </row>
    <row r="138" spans="1:11">
      <c r="A138" s="112" t="s">
        <v>495</v>
      </c>
      <c r="B138" t="s">
        <v>584</v>
      </c>
      <c r="C138" t="s">
        <v>56</v>
      </c>
      <c r="D138" t="s">
        <v>43</v>
      </c>
      <c r="E138" t="s">
        <v>184</v>
      </c>
      <c r="F138" t="s">
        <v>185</v>
      </c>
      <c r="G138" t="s">
        <v>157</v>
      </c>
      <c r="H138" t="s">
        <v>577</v>
      </c>
      <c r="I138" t="s">
        <v>112</v>
      </c>
      <c r="J138" t="s">
        <v>498</v>
      </c>
      <c r="K138" s="112" t="s">
        <v>159</v>
      </c>
    </row>
    <row r="139" spans="1:11">
      <c r="A139" s="112" t="s">
        <v>495</v>
      </c>
      <c r="B139" t="s">
        <v>584</v>
      </c>
      <c r="C139" t="s">
        <v>60</v>
      </c>
      <c r="D139" t="s">
        <v>45</v>
      </c>
      <c r="E139" t="s">
        <v>65</v>
      </c>
      <c r="F139" t="s">
        <v>186</v>
      </c>
      <c r="G139" t="s">
        <v>157</v>
      </c>
      <c r="H139" t="s">
        <v>577</v>
      </c>
      <c r="I139" t="s">
        <v>112</v>
      </c>
      <c r="J139" t="s">
        <v>498</v>
      </c>
      <c r="K139" s="112" t="s">
        <v>159</v>
      </c>
    </row>
    <row r="140" spans="1:11">
      <c r="A140" s="112" t="s">
        <v>495</v>
      </c>
      <c r="B140" t="s">
        <v>585</v>
      </c>
      <c r="C140" t="s">
        <v>56</v>
      </c>
      <c r="D140" t="s">
        <v>41</v>
      </c>
      <c r="E140" t="s">
        <v>71</v>
      </c>
      <c r="F140" t="s">
        <v>216</v>
      </c>
      <c r="G140" t="s">
        <v>200</v>
      </c>
      <c r="H140" t="s">
        <v>577</v>
      </c>
      <c r="I140" t="s">
        <v>112</v>
      </c>
      <c r="J140" t="s">
        <v>498</v>
      </c>
      <c r="K140" s="112" t="s">
        <v>202</v>
      </c>
    </row>
    <row r="141" spans="1:11">
      <c r="A141" s="112" t="s">
        <v>495</v>
      </c>
      <c r="B141" t="s">
        <v>585</v>
      </c>
      <c r="C141" t="s">
        <v>56</v>
      </c>
      <c r="D141" t="s">
        <v>41</v>
      </c>
      <c r="E141" t="s">
        <v>65</v>
      </c>
      <c r="F141" t="s">
        <v>186</v>
      </c>
      <c r="G141" t="s">
        <v>200</v>
      </c>
      <c r="H141" t="s">
        <v>577</v>
      </c>
      <c r="I141" t="s">
        <v>112</v>
      </c>
      <c r="J141" t="s">
        <v>498</v>
      </c>
      <c r="K141" s="112" t="s">
        <v>202</v>
      </c>
    </row>
    <row r="142" spans="1:11">
      <c r="A142" s="112" t="s">
        <v>495</v>
      </c>
      <c r="B142" t="s">
        <v>585</v>
      </c>
      <c r="C142" t="s">
        <v>56</v>
      </c>
      <c r="D142" t="s">
        <v>43</v>
      </c>
      <c r="E142" t="s">
        <v>132</v>
      </c>
      <c r="F142" t="s">
        <v>68</v>
      </c>
      <c r="G142" t="s">
        <v>200</v>
      </c>
      <c r="H142" t="s">
        <v>577</v>
      </c>
      <c r="I142" t="s">
        <v>112</v>
      </c>
      <c r="J142" t="s">
        <v>498</v>
      </c>
      <c r="K142" s="112" t="s">
        <v>202</v>
      </c>
    </row>
    <row r="143" spans="1:11">
      <c r="A143" s="112" t="s">
        <v>495</v>
      </c>
      <c r="B143" t="s">
        <v>585</v>
      </c>
      <c r="C143" t="s">
        <v>59</v>
      </c>
      <c r="D143" t="s">
        <v>43</v>
      </c>
      <c r="E143" t="s">
        <v>184</v>
      </c>
      <c r="F143" t="s">
        <v>217</v>
      </c>
      <c r="G143" t="s">
        <v>200</v>
      </c>
      <c r="H143" t="s">
        <v>577</v>
      </c>
      <c r="I143" t="s">
        <v>112</v>
      </c>
      <c r="J143" t="s">
        <v>498</v>
      </c>
      <c r="K143" s="112" t="s">
        <v>202</v>
      </c>
    </row>
    <row r="144" spans="1:11">
      <c r="A144" s="112" t="s">
        <v>495</v>
      </c>
      <c r="B144" t="s">
        <v>585</v>
      </c>
      <c r="C144" t="s">
        <v>59</v>
      </c>
      <c r="D144" t="s">
        <v>45</v>
      </c>
      <c r="E144" t="s">
        <v>126</v>
      </c>
      <c r="F144" t="s">
        <v>131</v>
      </c>
      <c r="G144" t="s">
        <v>200</v>
      </c>
      <c r="H144" t="s">
        <v>577</v>
      </c>
      <c r="I144" t="s">
        <v>112</v>
      </c>
      <c r="J144" t="s">
        <v>498</v>
      </c>
      <c r="K144" s="112" t="s">
        <v>202</v>
      </c>
    </row>
    <row r="145" spans="1:11">
      <c r="A145" s="112" t="s">
        <v>495</v>
      </c>
      <c r="B145" t="s">
        <v>585</v>
      </c>
      <c r="C145" t="s">
        <v>59</v>
      </c>
      <c r="D145" t="s">
        <v>45</v>
      </c>
      <c r="E145" t="s">
        <v>134</v>
      </c>
      <c r="F145" t="s">
        <v>218</v>
      </c>
      <c r="G145" t="s">
        <v>200</v>
      </c>
      <c r="H145" t="s">
        <v>577</v>
      </c>
      <c r="I145" t="s">
        <v>112</v>
      </c>
      <c r="J145" t="s">
        <v>498</v>
      </c>
      <c r="K145" s="112" t="s">
        <v>202</v>
      </c>
    </row>
    <row r="146" spans="1:11">
      <c r="A146" s="112" t="s">
        <v>495</v>
      </c>
      <c r="B146" t="s">
        <v>586</v>
      </c>
      <c r="C146" t="s">
        <v>56</v>
      </c>
      <c r="D146" t="s">
        <v>41</v>
      </c>
      <c r="E146" t="s">
        <v>137</v>
      </c>
      <c r="F146" t="s">
        <v>245</v>
      </c>
      <c r="G146" t="s">
        <v>229</v>
      </c>
      <c r="H146" t="s">
        <v>577</v>
      </c>
      <c r="I146" t="s">
        <v>112</v>
      </c>
      <c r="J146" t="s">
        <v>498</v>
      </c>
      <c r="K146" s="112" t="s">
        <v>231</v>
      </c>
    </row>
    <row r="147" spans="1:11">
      <c r="A147" s="112" t="s">
        <v>495</v>
      </c>
      <c r="B147" t="s">
        <v>586</v>
      </c>
      <c r="C147" t="s">
        <v>56</v>
      </c>
      <c r="D147" t="s">
        <v>41</v>
      </c>
      <c r="E147" t="s">
        <v>71</v>
      </c>
      <c r="F147" t="s">
        <v>216</v>
      </c>
      <c r="G147" t="s">
        <v>229</v>
      </c>
      <c r="H147" t="s">
        <v>577</v>
      </c>
      <c r="I147" t="s">
        <v>112</v>
      </c>
      <c r="J147" t="s">
        <v>498</v>
      </c>
      <c r="K147" s="112" t="s">
        <v>231</v>
      </c>
    </row>
    <row r="148" spans="1:11">
      <c r="A148" s="112" t="s">
        <v>495</v>
      </c>
      <c r="B148" t="s">
        <v>586</v>
      </c>
      <c r="C148" t="s">
        <v>56</v>
      </c>
      <c r="D148" t="s">
        <v>43</v>
      </c>
      <c r="E148" t="s">
        <v>65</v>
      </c>
      <c r="F148" t="s">
        <v>67</v>
      </c>
      <c r="G148" t="s">
        <v>229</v>
      </c>
      <c r="H148" t="s">
        <v>577</v>
      </c>
      <c r="I148" t="s">
        <v>112</v>
      </c>
      <c r="J148" t="s">
        <v>498</v>
      </c>
      <c r="K148" s="112" t="s">
        <v>231</v>
      </c>
    </row>
    <row r="149" spans="1:11">
      <c r="A149" s="112" t="s">
        <v>495</v>
      </c>
      <c r="B149" t="s">
        <v>586</v>
      </c>
      <c r="C149" t="s">
        <v>59</v>
      </c>
      <c r="D149" t="s">
        <v>43</v>
      </c>
      <c r="E149" t="s">
        <v>132</v>
      </c>
      <c r="F149" t="s">
        <v>246</v>
      </c>
      <c r="G149" t="s">
        <v>229</v>
      </c>
      <c r="H149" t="s">
        <v>577</v>
      </c>
      <c r="I149" t="s">
        <v>112</v>
      </c>
      <c r="J149" t="s">
        <v>498</v>
      </c>
      <c r="K149" s="112" t="s">
        <v>231</v>
      </c>
    </row>
    <row r="150" spans="1:11">
      <c r="A150" s="112" t="s">
        <v>495</v>
      </c>
      <c r="B150" t="s">
        <v>586</v>
      </c>
      <c r="C150" t="s">
        <v>59</v>
      </c>
      <c r="D150" t="s">
        <v>45</v>
      </c>
      <c r="E150" t="s">
        <v>134</v>
      </c>
      <c r="F150" t="s">
        <v>247</v>
      </c>
      <c r="G150" t="s">
        <v>229</v>
      </c>
      <c r="H150" t="s">
        <v>577</v>
      </c>
      <c r="I150" t="s">
        <v>112</v>
      </c>
      <c r="J150" t="s">
        <v>498</v>
      </c>
      <c r="K150" s="112" t="s">
        <v>231</v>
      </c>
    </row>
    <row r="151" spans="1:11">
      <c r="A151" s="112" t="s">
        <v>495</v>
      </c>
      <c r="B151" t="s">
        <v>586</v>
      </c>
      <c r="C151" t="s">
        <v>59</v>
      </c>
      <c r="D151" t="s">
        <v>45</v>
      </c>
      <c r="E151" t="s">
        <v>137</v>
      </c>
      <c r="F151" t="s">
        <v>138</v>
      </c>
      <c r="G151" t="s">
        <v>229</v>
      </c>
      <c r="H151" t="s">
        <v>577</v>
      </c>
      <c r="I151" t="s">
        <v>112</v>
      </c>
      <c r="J151" t="s">
        <v>498</v>
      </c>
      <c r="K151" s="112" t="s">
        <v>231</v>
      </c>
    </row>
    <row r="152" spans="1:11">
      <c r="A152" s="112" t="s">
        <v>495</v>
      </c>
      <c r="B152" t="s">
        <v>588</v>
      </c>
      <c r="C152" t="s">
        <v>56</v>
      </c>
      <c r="D152" t="s">
        <v>41</v>
      </c>
      <c r="E152" t="s">
        <v>275</v>
      </c>
      <c r="F152" t="s">
        <v>276</v>
      </c>
      <c r="G152" t="s">
        <v>254</v>
      </c>
      <c r="H152" t="s">
        <v>577</v>
      </c>
      <c r="I152" t="s">
        <v>112</v>
      </c>
      <c r="J152" t="s">
        <v>498</v>
      </c>
      <c r="K152" s="112" t="s">
        <v>255</v>
      </c>
    </row>
    <row r="153" spans="1:11">
      <c r="A153" s="112" t="s">
        <v>495</v>
      </c>
      <c r="B153" t="s">
        <v>588</v>
      </c>
      <c r="C153" t="s">
        <v>56</v>
      </c>
      <c r="D153" t="s">
        <v>43</v>
      </c>
      <c r="E153" t="s">
        <v>65</v>
      </c>
      <c r="F153" t="s">
        <v>66</v>
      </c>
      <c r="G153" t="s">
        <v>254</v>
      </c>
      <c r="H153" t="s">
        <v>577</v>
      </c>
      <c r="I153" t="s">
        <v>112</v>
      </c>
      <c r="J153" t="s">
        <v>498</v>
      </c>
      <c r="K153" s="112" t="s">
        <v>255</v>
      </c>
    </row>
    <row r="154" spans="1:11">
      <c r="A154" s="112" t="s">
        <v>495</v>
      </c>
      <c r="B154" t="s">
        <v>588</v>
      </c>
      <c r="C154" t="s">
        <v>56</v>
      </c>
      <c r="D154" t="s">
        <v>45</v>
      </c>
      <c r="E154" t="s">
        <v>71</v>
      </c>
      <c r="F154" t="s">
        <v>72</v>
      </c>
      <c r="G154" t="s">
        <v>254</v>
      </c>
      <c r="H154" t="s">
        <v>577</v>
      </c>
      <c r="I154" t="s">
        <v>112</v>
      </c>
      <c r="J154" t="s">
        <v>498</v>
      </c>
      <c r="K154" s="112" t="s">
        <v>255</v>
      </c>
    </row>
    <row r="155" spans="1:11">
      <c r="A155" s="112" t="s">
        <v>495</v>
      </c>
      <c r="B155" t="s">
        <v>588</v>
      </c>
      <c r="C155" t="s">
        <v>59</v>
      </c>
      <c r="D155" t="s">
        <v>45</v>
      </c>
      <c r="E155" t="s">
        <v>126</v>
      </c>
      <c r="F155" t="s">
        <v>127</v>
      </c>
      <c r="G155" t="s">
        <v>254</v>
      </c>
      <c r="H155" t="s">
        <v>577</v>
      </c>
      <c r="I155" t="s">
        <v>112</v>
      </c>
      <c r="J155" t="s">
        <v>498</v>
      </c>
      <c r="K155" s="112" t="s">
        <v>255</v>
      </c>
    </row>
    <row r="156" spans="1:11">
      <c r="A156" s="112" t="s">
        <v>495</v>
      </c>
      <c r="B156" t="s">
        <v>588</v>
      </c>
      <c r="C156" t="s">
        <v>59</v>
      </c>
      <c r="D156" t="s">
        <v>45</v>
      </c>
      <c r="E156" t="s">
        <v>69</v>
      </c>
      <c r="F156" t="s">
        <v>277</v>
      </c>
      <c r="G156" t="s">
        <v>254</v>
      </c>
      <c r="H156" t="s">
        <v>577</v>
      </c>
      <c r="I156" t="s">
        <v>112</v>
      </c>
      <c r="J156" t="s">
        <v>498</v>
      </c>
      <c r="K156" s="112" t="s">
        <v>255</v>
      </c>
    </row>
    <row r="157" spans="1:11">
      <c r="A157" s="112" t="s">
        <v>495</v>
      </c>
      <c r="B157" t="s">
        <v>588</v>
      </c>
      <c r="C157" t="s">
        <v>56</v>
      </c>
      <c r="D157" t="s">
        <v>43</v>
      </c>
      <c r="E157" t="s">
        <v>69</v>
      </c>
      <c r="F157" t="s">
        <v>70</v>
      </c>
      <c r="G157" t="s">
        <v>254</v>
      </c>
      <c r="H157" t="s">
        <v>577</v>
      </c>
      <c r="I157" t="s">
        <v>112</v>
      </c>
      <c r="J157" t="s">
        <v>498</v>
      </c>
      <c r="K157" s="112" t="s">
        <v>255</v>
      </c>
    </row>
    <row r="158" spans="1:11">
      <c r="A158" s="112" t="s">
        <v>495</v>
      </c>
      <c r="B158" t="s">
        <v>588</v>
      </c>
      <c r="C158" t="s">
        <v>56</v>
      </c>
      <c r="D158" t="s">
        <v>45</v>
      </c>
      <c r="E158" t="s">
        <v>69</v>
      </c>
      <c r="F158" t="s">
        <v>278</v>
      </c>
      <c r="G158" t="s">
        <v>254</v>
      </c>
      <c r="H158" t="s">
        <v>577</v>
      </c>
      <c r="I158" t="s">
        <v>112</v>
      </c>
      <c r="J158" t="s">
        <v>498</v>
      </c>
      <c r="K158" s="112" t="s">
        <v>255</v>
      </c>
    </row>
    <row r="159" spans="1:11">
      <c r="A159" s="112" t="s">
        <v>495</v>
      </c>
      <c r="B159" t="s">
        <v>588</v>
      </c>
      <c r="C159" t="s">
        <v>56</v>
      </c>
      <c r="D159" t="s">
        <v>45</v>
      </c>
      <c r="E159" t="s">
        <v>65</v>
      </c>
      <c r="F159" t="s">
        <v>66</v>
      </c>
      <c r="G159" t="s">
        <v>254</v>
      </c>
      <c r="H159" t="s">
        <v>577</v>
      </c>
      <c r="I159" t="s">
        <v>112</v>
      </c>
      <c r="J159" t="s">
        <v>498</v>
      </c>
      <c r="K159" s="112" t="s">
        <v>255</v>
      </c>
    </row>
    <row r="160" spans="1:11">
      <c r="A160" s="112" t="s">
        <v>495</v>
      </c>
      <c r="B160" t="s">
        <v>587</v>
      </c>
      <c r="C160" t="s">
        <v>56</v>
      </c>
      <c r="D160" t="s">
        <v>41</v>
      </c>
      <c r="E160" t="s">
        <v>275</v>
      </c>
      <c r="F160" t="s">
        <v>309</v>
      </c>
      <c r="G160" t="s">
        <v>292</v>
      </c>
      <c r="H160" t="s">
        <v>577</v>
      </c>
      <c r="I160" t="s">
        <v>112</v>
      </c>
      <c r="J160" t="s">
        <v>498</v>
      </c>
      <c r="K160" s="112" t="s">
        <v>293</v>
      </c>
    </row>
    <row r="161" spans="1:11">
      <c r="A161" s="112" t="s">
        <v>495</v>
      </c>
      <c r="B161" t="s">
        <v>587</v>
      </c>
      <c r="C161" t="s">
        <v>56</v>
      </c>
      <c r="D161" t="s">
        <v>43</v>
      </c>
      <c r="E161" t="s">
        <v>65</v>
      </c>
      <c r="F161" t="s">
        <v>66</v>
      </c>
      <c r="G161" t="s">
        <v>292</v>
      </c>
      <c r="H161" t="s">
        <v>577</v>
      </c>
      <c r="I161" t="s">
        <v>112</v>
      </c>
      <c r="J161" t="s">
        <v>498</v>
      </c>
      <c r="K161" s="112" t="s">
        <v>293</v>
      </c>
    </row>
    <row r="162" spans="1:11">
      <c r="A162" s="112" t="s">
        <v>495</v>
      </c>
      <c r="B162" t="s">
        <v>587</v>
      </c>
      <c r="C162" t="s">
        <v>56</v>
      </c>
      <c r="D162" t="s">
        <v>45</v>
      </c>
      <c r="E162" t="s">
        <v>71</v>
      </c>
      <c r="F162" t="s">
        <v>216</v>
      </c>
      <c r="G162" t="s">
        <v>292</v>
      </c>
      <c r="H162" t="s">
        <v>577</v>
      </c>
      <c r="I162" t="s">
        <v>112</v>
      </c>
      <c r="J162" t="s">
        <v>498</v>
      </c>
      <c r="K162" s="112" t="s">
        <v>293</v>
      </c>
    </row>
    <row r="163" spans="1:11">
      <c r="A163" s="112" t="s">
        <v>495</v>
      </c>
      <c r="B163" t="s">
        <v>589</v>
      </c>
      <c r="C163" t="s">
        <v>56</v>
      </c>
      <c r="D163" t="s">
        <v>41</v>
      </c>
      <c r="E163" t="s">
        <v>275</v>
      </c>
      <c r="F163" t="s">
        <v>353</v>
      </c>
      <c r="G163" t="s">
        <v>465</v>
      </c>
      <c r="H163" t="s">
        <v>577</v>
      </c>
      <c r="I163" t="s">
        <v>112</v>
      </c>
      <c r="J163" t="s">
        <v>498</v>
      </c>
      <c r="K163" s="112" t="s">
        <v>466</v>
      </c>
    </row>
    <row r="164" spans="1:11">
      <c r="A164" s="112" t="s">
        <v>495</v>
      </c>
      <c r="B164" t="s">
        <v>589</v>
      </c>
      <c r="C164" t="s">
        <v>56</v>
      </c>
      <c r="D164" t="s">
        <v>41</v>
      </c>
      <c r="E164" t="s">
        <v>275</v>
      </c>
      <c r="F164" t="s">
        <v>276</v>
      </c>
      <c r="G164" t="s">
        <v>465</v>
      </c>
      <c r="H164" t="s">
        <v>577</v>
      </c>
      <c r="I164" t="s">
        <v>112</v>
      </c>
      <c r="J164" t="s">
        <v>498</v>
      </c>
      <c r="K164" s="112" t="s">
        <v>466</v>
      </c>
    </row>
    <row r="165" spans="1:11">
      <c r="A165" s="112" t="s">
        <v>495</v>
      </c>
      <c r="B165" t="s">
        <v>589</v>
      </c>
      <c r="C165" t="s">
        <v>56</v>
      </c>
      <c r="D165" t="s">
        <v>43</v>
      </c>
      <c r="E165" t="s">
        <v>65</v>
      </c>
      <c r="F165" t="s">
        <v>68</v>
      </c>
      <c r="G165" t="s">
        <v>465</v>
      </c>
      <c r="H165" t="s">
        <v>577</v>
      </c>
      <c r="I165" t="s">
        <v>112</v>
      </c>
      <c r="J165" t="s">
        <v>498</v>
      </c>
      <c r="K165" s="112" t="s">
        <v>466</v>
      </c>
    </row>
    <row r="166" spans="1:11">
      <c r="A166" s="112" t="s">
        <v>495</v>
      </c>
      <c r="B166" t="s">
        <v>589</v>
      </c>
      <c r="C166" t="s">
        <v>59</v>
      </c>
      <c r="D166" t="s">
        <v>45</v>
      </c>
      <c r="E166" t="s">
        <v>65</v>
      </c>
      <c r="F166" t="s">
        <v>354</v>
      </c>
      <c r="G166" t="s">
        <v>465</v>
      </c>
      <c r="H166" t="s">
        <v>577</v>
      </c>
      <c r="I166" t="s">
        <v>112</v>
      </c>
      <c r="J166" t="s">
        <v>498</v>
      </c>
      <c r="K166" s="112" t="s">
        <v>466</v>
      </c>
    </row>
    <row r="167" spans="1:11">
      <c r="A167" s="112" t="s">
        <v>495</v>
      </c>
      <c r="B167" t="s">
        <v>589</v>
      </c>
      <c r="C167" t="s">
        <v>59</v>
      </c>
      <c r="D167" t="s">
        <v>45</v>
      </c>
      <c r="E167" t="s">
        <v>132</v>
      </c>
      <c r="F167" t="s">
        <v>246</v>
      </c>
      <c r="G167" t="s">
        <v>465</v>
      </c>
      <c r="H167" t="s">
        <v>577</v>
      </c>
      <c r="I167" t="s">
        <v>112</v>
      </c>
      <c r="J167" t="s">
        <v>498</v>
      </c>
      <c r="K167" s="112" t="s">
        <v>466</v>
      </c>
    </row>
    <row r="168" spans="1:11">
      <c r="A168" s="112" t="s">
        <v>495</v>
      </c>
      <c r="B168" t="s">
        <v>589</v>
      </c>
      <c r="C168" t="s">
        <v>59</v>
      </c>
      <c r="D168" t="s">
        <v>45</v>
      </c>
      <c r="E168" t="s">
        <v>128</v>
      </c>
      <c r="F168" t="s">
        <v>129</v>
      </c>
      <c r="G168" t="s">
        <v>465</v>
      </c>
      <c r="H168" t="s">
        <v>577</v>
      </c>
      <c r="I168" t="s">
        <v>112</v>
      </c>
      <c r="J168" t="s">
        <v>498</v>
      </c>
      <c r="K168" s="112" t="s">
        <v>466</v>
      </c>
    </row>
    <row r="169" spans="1:11">
      <c r="A169" s="112" t="s">
        <v>495</v>
      </c>
      <c r="B169" t="s">
        <v>590</v>
      </c>
      <c r="C169" t="s">
        <v>56</v>
      </c>
      <c r="D169" t="s">
        <v>41</v>
      </c>
      <c r="E169" t="s">
        <v>275</v>
      </c>
      <c r="F169" t="s">
        <v>386</v>
      </c>
      <c r="G169" t="s">
        <v>368</v>
      </c>
      <c r="H169" t="s">
        <v>577</v>
      </c>
      <c r="I169" t="s">
        <v>112</v>
      </c>
      <c r="J169" t="s">
        <v>498</v>
      </c>
      <c r="K169" s="112" t="s">
        <v>467</v>
      </c>
    </row>
    <row r="170" spans="1:11">
      <c r="A170" s="112" t="s">
        <v>495</v>
      </c>
      <c r="B170" t="s">
        <v>590</v>
      </c>
      <c r="C170" t="s">
        <v>56</v>
      </c>
      <c r="D170" t="s">
        <v>43</v>
      </c>
      <c r="E170" t="s">
        <v>275</v>
      </c>
      <c r="F170" t="s">
        <v>386</v>
      </c>
      <c r="G170" t="s">
        <v>368</v>
      </c>
      <c r="H170" t="s">
        <v>577</v>
      </c>
      <c r="I170" t="s">
        <v>112</v>
      </c>
      <c r="J170" t="s">
        <v>498</v>
      </c>
      <c r="K170" s="112" t="s">
        <v>467</v>
      </c>
    </row>
    <row r="171" spans="1:11">
      <c r="A171" s="112" t="s">
        <v>495</v>
      </c>
      <c r="B171" t="s">
        <v>590</v>
      </c>
      <c r="C171" t="s">
        <v>56</v>
      </c>
      <c r="D171" t="s">
        <v>45</v>
      </c>
      <c r="E171" t="s">
        <v>65</v>
      </c>
      <c r="F171" t="s">
        <v>66</v>
      </c>
      <c r="G171" t="s">
        <v>368</v>
      </c>
      <c r="H171" t="s">
        <v>577</v>
      </c>
      <c r="I171" t="s">
        <v>112</v>
      </c>
      <c r="J171" t="s">
        <v>498</v>
      </c>
      <c r="K171" s="112" t="s">
        <v>467</v>
      </c>
    </row>
    <row r="172" spans="1:11">
      <c r="A172" s="112" t="s">
        <v>495</v>
      </c>
      <c r="B172" t="s">
        <v>590</v>
      </c>
      <c r="C172" t="s">
        <v>56</v>
      </c>
      <c r="D172" t="s">
        <v>47</v>
      </c>
      <c r="E172" t="s">
        <v>65</v>
      </c>
      <c r="F172" t="s">
        <v>66</v>
      </c>
      <c r="G172" t="s">
        <v>368</v>
      </c>
      <c r="H172" t="s">
        <v>577</v>
      </c>
      <c r="I172" t="s">
        <v>112</v>
      </c>
      <c r="J172" t="s">
        <v>498</v>
      </c>
      <c r="K172" s="112" t="s">
        <v>467</v>
      </c>
    </row>
    <row r="173" spans="1:11">
      <c r="A173" s="112" t="s">
        <v>495</v>
      </c>
      <c r="B173" t="s">
        <v>591</v>
      </c>
      <c r="C173" t="s">
        <v>56</v>
      </c>
      <c r="D173" t="s">
        <v>41</v>
      </c>
      <c r="E173" t="s">
        <v>69</v>
      </c>
      <c r="F173" t="s">
        <v>70</v>
      </c>
      <c r="G173" t="s">
        <v>402</v>
      </c>
      <c r="H173" t="s">
        <v>577</v>
      </c>
      <c r="I173" t="s">
        <v>112</v>
      </c>
      <c r="J173" t="s">
        <v>498</v>
      </c>
      <c r="K173" s="112" t="s">
        <v>463</v>
      </c>
    </row>
    <row r="174" spans="1:11">
      <c r="A174" s="112" t="s">
        <v>495</v>
      </c>
      <c r="B174" t="s">
        <v>591</v>
      </c>
      <c r="C174" t="s">
        <v>56</v>
      </c>
      <c r="D174" t="s">
        <v>43</v>
      </c>
      <c r="E174" t="s">
        <v>126</v>
      </c>
      <c r="F174" t="s">
        <v>131</v>
      </c>
      <c r="G174" t="s">
        <v>402</v>
      </c>
      <c r="H174" t="s">
        <v>577</v>
      </c>
      <c r="I174" t="s">
        <v>112</v>
      </c>
      <c r="J174" t="s">
        <v>498</v>
      </c>
      <c r="K174" s="112" t="s">
        <v>463</v>
      </c>
    </row>
    <row r="175" spans="1:11">
      <c r="A175" s="112" t="s">
        <v>495</v>
      </c>
      <c r="B175" t="s">
        <v>591</v>
      </c>
      <c r="C175" t="s">
        <v>56</v>
      </c>
      <c r="D175" t="s">
        <v>41</v>
      </c>
      <c r="E175" t="s">
        <v>184</v>
      </c>
      <c r="F175" t="s">
        <v>185</v>
      </c>
      <c r="G175" t="s">
        <v>402</v>
      </c>
      <c r="H175" t="s">
        <v>577</v>
      </c>
      <c r="I175" t="s">
        <v>112</v>
      </c>
      <c r="J175" t="s">
        <v>498</v>
      </c>
      <c r="K175" s="112" t="s">
        <v>463</v>
      </c>
    </row>
    <row r="176" spans="1:11">
      <c r="A176" s="112" t="s">
        <v>495</v>
      </c>
      <c r="B176" t="s">
        <v>591</v>
      </c>
      <c r="C176" t="s">
        <v>56</v>
      </c>
      <c r="D176" t="s">
        <v>41</v>
      </c>
      <c r="E176" t="s">
        <v>184</v>
      </c>
      <c r="F176" t="s">
        <v>217</v>
      </c>
      <c r="G176" t="s">
        <v>402</v>
      </c>
      <c r="H176" t="s">
        <v>577</v>
      </c>
      <c r="I176" t="s">
        <v>112</v>
      </c>
      <c r="J176" t="s">
        <v>498</v>
      </c>
      <c r="K176" s="112" t="s">
        <v>463</v>
      </c>
    </row>
    <row r="177" spans="1:11">
      <c r="A177" s="112" t="s">
        <v>495</v>
      </c>
      <c r="B177" t="s">
        <v>591</v>
      </c>
      <c r="C177" t="s">
        <v>59</v>
      </c>
      <c r="D177" t="s">
        <v>41</v>
      </c>
      <c r="E177" t="s">
        <v>65</v>
      </c>
      <c r="F177" t="s">
        <v>67</v>
      </c>
      <c r="G177" t="s">
        <v>402</v>
      </c>
      <c r="H177" t="s">
        <v>577</v>
      </c>
      <c r="I177" t="s">
        <v>112</v>
      </c>
      <c r="J177" t="s">
        <v>498</v>
      </c>
      <c r="K177" s="112" t="s">
        <v>463</v>
      </c>
    </row>
    <row r="178" spans="1:11">
      <c r="A178" s="112" t="s">
        <v>495</v>
      </c>
      <c r="B178" t="s">
        <v>591</v>
      </c>
      <c r="C178" t="s">
        <v>59</v>
      </c>
      <c r="D178" t="s">
        <v>43</v>
      </c>
      <c r="E178" t="s">
        <v>128</v>
      </c>
      <c r="F178" t="s">
        <v>416</v>
      </c>
      <c r="G178" t="s">
        <v>402</v>
      </c>
      <c r="H178" t="s">
        <v>577</v>
      </c>
      <c r="I178" t="s">
        <v>112</v>
      </c>
      <c r="J178" t="s">
        <v>498</v>
      </c>
      <c r="K178" s="112" t="s">
        <v>463</v>
      </c>
    </row>
    <row r="179" spans="1:11">
      <c r="A179" s="112" t="s">
        <v>495</v>
      </c>
      <c r="B179" t="s">
        <v>592</v>
      </c>
      <c r="C179" t="s">
        <v>56</v>
      </c>
      <c r="D179" t="s">
        <v>41</v>
      </c>
      <c r="E179" t="s">
        <v>65</v>
      </c>
      <c r="F179" t="s">
        <v>66</v>
      </c>
      <c r="G179" t="s">
        <v>441</v>
      </c>
      <c r="H179" t="s">
        <v>577</v>
      </c>
      <c r="I179" t="s">
        <v>112</v>
      </c>
      <c r="J179" t="s">
        <v>498</v>
      </c>
      <c r="K179" s="112" t="s">
        <v>443</v>
      </c>
    </row>
    <row r="180" spans="1:11">
      <c r="A180" s="112" t="s">
        <v>495</v>
      </c>
      <c r="B180" t="s">
        <v>592</v>
      </c>
      <c r="C180" t="s">
        <v>56</v>
      </c>
      <c r="D180" t="s">
        <v>43</v>
      </c>
      <c r="E180" t="s">
        <v>69</v>
      </c>
      <c r="F180" t="s">
        <v>70</v>
      </c>
      <c r="G180" t="s">
        <v>441</v>
      </c>
      <c r="H180" t="s">
        <v>577</v>
      </c>
      <c r="I180" t="s">
        <v>112</v>
      </c>
      <c r="J180" t="s">
        <v>498</v>
      </c>
      <c r="K180" s="112" t="s">
        <v>443</v>
      </c>
    </row>
    <row r="181" spans="1:11">
      <c r="A181" s="112" t="s">
        <v>495</v>
      </c>
      <c r="B181" t="s">
        <v>592</v>
      </c>
      <c r="C181" t="s">
        <v>59</v>
      </c>
      <c r="D181" t="s">
        <v>41</v>
      </c>
      <c r="E181" t="s">
        <v>69</v>
      </c>
      <c r="F181" t="s">
        <v>455</v>
      </c>
      <c r="G181" t="s">
        <v>441</v>
      </c>
      <c r="H181" t="s">
        <v>577</v>
      </c>
      <c r="I181" t="s">
        <v>112</v>
      </c>
      <c r="J181" t="s">
        <v>498</v>
      </c>
      <c r="K181" s="112" t="s">
        <v>443</v>
      </c>
    </row>
    <row r="182" spans="1:11">
      <c r="A182" s="112" t="s">
        <v>495</v>
      </c>
      <c r="B182" t="s">
        <v>592</v>
      </c>
      <c r="C182" t="s">
        <v>59</v>
      </c>
      <c r="D182" t="s">
        <v>43</v>
      </c>
      <c r="E182" t="s">
        <v>132</v>
      </c>
      <c r="F182" t="s">
        <v>456</v>
      </c>
      <c r="G182" t="s">
        <v>441</v>
      </c>
      <c r="H182" t="s">
        <v>577</v>
      </c>
      <c r="I182" t="s">
        <v>112</v>
      </c>
      <c r="J182" t="s">
        <v>498</v>
      </c>
      <c r="K182" s="112" t="s">
        <v>443</v>
      </c>
    </row>
    <row r="183" spans="1:11">
      <c r="A183" s="112" t="s">
        <v>495</v>
      </c>
      <c r="B183" t="s">
        <v>592</v>
      </c>
      <c r="C183" t="s">
        <v>59</v>
      </c>
      <c r="D183" t="s">
        <v>45</v>
      </c>
      <c r="E183" t="s">
        <v>71</v>
      </c>
      <c r="F183" t="s">
        <v>457</v>
      </c>
      <c r="G183" t="s">
        <v>441</v>
      </c>
      <c r="H183" t="s">
        <v>577</v>
      </c>
      <c r="I183" t="s">
        <v>112</v>
      </c>
      <c r="J183" t="s">
        <v>498</v>
      </c>
      <c r="K183" s="112" t="s">
        <v>443</v>
      </c>
    </row>
    <row r="184" spans="1:11">
      <c r="A184" s="112" t="s">
        <v>510</v>
      </c>
      <c r="B184" t="s">
        <v>593</v>
      </c>
      <c r="C184" t="s">
        <v>56</v>
      </c>
      <c r="D184" t="s">
        <v>41</v>
      </c>
      <c r="E184" t="s">
        <v>275</v>
      </c>
      <c r="F184" t="s">
        <v>309</v>
      </c>
      <c r="G184" t="s">
        <v>468</v>
      </c>
      <c r="H184" t="s">
        <v>577</v>
      </c>
      <c r="I184" t="s">
        <v>112</v>
      </c>
      <c r="J184" t="s">
        <v>498</v>
      </c>
      <c r="K184" s="112" t="s">
        <v>469</v>
      </c>
    </row>
    <row r="185" spans="1:11">
      <c r="A185" s="112" t="s">
        <v>510</v>
      </c>
      <c r="B185" t="s">
        <v>593</v>
      </c>
      <c r="C185" t="s">
        <v>56</v>
      </c>
      <c r="D185" t="s">
        <v>41</v>
      </c>
      <c r="E185" t="s">
        <v>275</v>
      </c>
      <c r="F185" t="s">
        <v>547</v>
      </c>
      <c r="G185" t="s">
        <v>468</v>
      </c>
      <c r="H185" t="s">
        <v>577</v>
      </c>
      <c r="I185" t="s">
        <v>112</v>
      </c>
      <c r="J185" t="s">
        <v>498</v>
      </c>
      <c r="K185" s="112" t="s">
        <v>469</v>
      </c>
    </row>
    <row r="186" spans="1:11">
      <c r="A186" s="112" t="s">
        <v>510</v>
      </c>
      <c r="B186" t="s">
        <v>593</v>
      </c>
      <c r="C186" t="s">
        <v>56</v>
      </c>
      <c r="D186" t="s">
        <v>43</v>
      </c>
      <c r="E186" t="s">
        <v>65</v>
      </c>
      <c r="F186" t="s">
        <v>67</v>
      </c>
      <c r="G186" t="s">
        <v>468</v>
      </c>
      <c r="H186" t="s">
        <v>577</v>
      </c>
      <c r="I186" t="s">
        <v>112</v>
      </c>
      <c r="J186" t="s">
        <v>498</v>
      </c>
      <c r="K186" s="112" t="s">
        <v>469</v>
      </c>
    </row>
    <row r="187" spans="1:11">
      <c r="A187" s="112" t="s">
        <v>510</v>
      </c>
      <c r="B187" t="s">
        <v>593</v>
      </c>
      <c r="C187" t="s">
        <v>56</v>
      </c>
      <c r="D187" t="s">
        <v>43</v>
      </c>
      <c r="E187" t="s">
        <v>132</v>
      </c>
      <c r="F187" t="s">
        <v>456</v>
      </c>
      <c r="G187" t="s">
        <v>468</v>
      </c>
      <c r="H187" t="s">
        <v>577</v>
      </c>
      <c r="I187" t="s">
        <v>112</v>
      </c>
      <c r="J187" t="s">
        <v>498</v>
      </c>
      <c r="K187" s="112" t="s">
        <v>469</v>
      </c>
    </row>
    <row r="188" spans="1:11">
      <c r="A188" s="112" t="s">
        <v>510</v>
      </c>
      <c r="B188" t="s">
        <v>593</v>
      </c>
      <c r="C188" t="s">
        <v>56</v>
      </c>
      <c r="D188" t="s">
        <v>43</v>
      </c>
      <c r="E188" t="s">
        <v>132</v>
      </c>
      <c r="F188" t="s">
        <v>136</v>
      </c>
      <c r="G188" t="s">
        <v>468</v>
      </c>
      <c r="H188" t="s">
        <v>577</v>
      </c>
      <c r="I188" t="s">
        <v>112</v>
      </c>
      <c r="J188" t="s">
        <v>498</v>
      </c>
      <c r="K188" s="112" t="s">
        <v>469</v>
      </c>
    </row>
    <row r="189" spans="1:11">
      <c r="A189" s="112" t="s">
        <v>510</v>
      </c>
      <c r="B189" t="s">
        <v>593</v>
      </c>
      <c r="C189" t="s">
        <v>56</v>
      </c>
      <c r="D189" t="s">
        <v>43</v>
      </c>
      <c r="E189" t="s">
        <v>275</v>
      </c>
      <c r="F189" t="s">
        <v>309</v>
      </c>
      <c r="G189" t="s">
        <v>468</v>
      </c>
      <c r="H189" t="s">
        <v>577</v>
      </c>
      <c r="I189" t="s">
        <v>112</v>
      </c>
      <c r="J189" t="s">
        <v>498</v>
      </c>
      <c r="K189" s="112" t="s">
        <v>469</v>
      </c>
    </row>
    <row r="190" spans="1:11">
      <c r="A190" s="112" t="s">
        <v>510</v>
      </c>
      <c r="B190" t="s">
        <v>593</v>
      </c>
      <c r="C190" t="s">
        <v>56</v>
      </c>
      <c r="D190" t="s">
        <v>43</v>
      </c>
      <c r="E190" t="s">
        <v>275</v>
      </c>
      <c r="F190" t="s">
        <v>547</v>
      </c>
      <c r="G190" t="s">
        <v>468</v>
      </c>
      <c r="H190" t="s">
        <v>577</v>
      </c>
      <c r="I190" t="s">
        <v>112</v>
      </c>
      <c r="J190" t="s">
        <v>498</v>
      </c>
      <c r="K190" s="112" t="s">
        <v>469</v>
      </c>
    </row>
    <row r="191" spans="1:11">
      <c r="A191" s="112" t="s">
        <v>510</v>
      </c>
      <c r="B191" t="s">
        <v>593</v>
      </c>
      <c r="C191" t="s">
        <v>59</v>
      </c>
      <c r="D191" t="s">
        <v>41</v>
      </c>
      <c r="E191" t="s">
        <v>275</v>
      </c>
      <c r="F191" t="s">
        <v>309</v>
      </c>
      <c r="G191" t="s">
        <v>468</v>
      </c>
      <c r="H191" t="s">
        <v>577</v>
      </c>
      <c r="I191" t="s">
        <v>112</v>
      </c>
      <c r="J191" t="s">
        <v>498</v>
      </c>
      <c r="K191" s="112" t="s">
        <v>469</v>
      </c>
    </row>
    <row r="192" spans="1:11">
      <c r="A192" s="112" t="s">
        <v>510</v>
      </c>
      <c r="B192" t="s">
        <v>593</v>
      </c>
      <c r="C192" t="s">
        <v>59</v>
      </c>
      <c r="D192" t="s">
        <v>41</v>
      </c>
      <c r="E192" t="s">
        <v>275</v>
      </c>
      <c r="F192" t="s">
        <v>547</v>
      </c>
      <c r="G192" t="s">
        <v>468</v>
      </c>
      <c r="H192" t="s">
        <v>577</v>
      </c>
      <c r="I192" t="s">
        <v>112</v>
      </c>
      <c r="J192" t="s">
        <v>498</v>
      </c>
      <c r="K192" s="112" t="s">
        <v>469</v>
      </c>
    </row>
    <row r="193" spans="1:11">
      <c r="A193" s="112" t="s">
        <v>510</v>
      </c>
      <c r="B193" t="s">
        <v>593</v>
      </c>
      <c r="C193" t="s">
        <v>59</v>
      </c>
      <c r="D193" t="s">
        <v>45</v>
      </c>
      <c r="E193" t="s">
        <v>65</v>
      </c>
      <c r="F193" t="s">
        <v>67</v>
      </c>
      <c r="G193" t="s">
        <v>468</v>
      </c>
      <c r="H193" t="s">
        <v>577</v>
      </c>
      <c r="I193" t="s">
        <v>112</v>
      </c>
      <c r="J193" t="s">
        <v>498</v>
      </c>
      <c r="K193" s="112" t="s">
        <v>469</v>
      </c>
    </row>
    <row r="194" spans="1:11">
      <c r="A194" s="112" t="s">
        <v>510</v>
      </c>
      <c r="B194" t="s">
        <v>593</v>
      </c>
      <c r="C194" t="s">
        <v>59</v>
      </c>
      <c r="D194" t="s">
        <v>45</v>
      </c>
      <c r="E194" t="s">
        <v>132</v>
      </c>
      <c r="F194" t="s">
        <v>456</v>
      </c>
      <c r="G194" t="s">
        <v>468</v>
      </c>
      <c r="H194" t="s">
        <v>577</v>
      </c>
      <c r="I194" t="s">
        <v>112</v>
      </c>
      <c r="J194" t="s">
        <v>498</v>
      </c>
      <c r="K194" s="112" t="s">
        <v>469</v>
      </c>
    </row>
    <row r="195" spans="1:11">
      <c r="A195" s="112" t="s">
        <v>510</v>
      </c>
      <c r="B195" t="s">
        <v>593</v>
      </c>
      <c r="C195" t="s">
        <v>59</v>
      </c>
      <c r="D195" t="s">
        <v>45</v>
      </c>
      <c r="E195" t="s">
        <v>132</v>
      </c>
      <c r="F195" t="s">
        <v>136</v>
      </c>
      <c r="G195" t="s">
        <v>468</v>
      </c>
      <c r="H195" t="s">
        <v>577</v>
      </c>
      <c r="I195" t="s">
        <v>112</v>
      </c>
      <c r="J195" t="s">
        <v>498</v>
      </c>
      <c r="K195" s="112" t="s">
        <v>469</v>
      </c>
    </row>
    <row r="196" spans="1:11">
      <c r="A196" s="112" t="s">
        <v>510</v>
      </c>
      <c r="B196" t="s">
        <v>593</v>
      </c>
      <c r="C196" t="s">
        <v>59</v>
      </c>
      <c r="D196" t="s">
        <v>45</v>
      </c>
      <c r="E196" t="s">
        <v>275</v>
      </c>
      <c r="F196" t="s">
        <v>309</v>
      </c>
      <c r="G196" t="s">
        <v>468</v>
      </c>
      <c r="H196" t="s">
        <v>577</v>
      </c>
      <c r="I196" t="s">
        <v>112</v>
      </c>
      <c r="J196" t="s">
        <v>498</v>
      </c>
      <c r="K196" s="112" t="s">
        <v>469</v>
      </c>
    </row>
    <row r="197" spans="1:11">
      <c r="A197" s="112" t="s">
        <v>510</v>
      </c>
      <c r="B197" t="s">
        <v>593</v>
      </c>
      <c r="C197" t="s">
        <v>59</v>
      </c>
      <c r="D197" t="s">
        <v>45</v>
      </c>
      <c r="E197" t="s">
        <v>275</v>
      </c>
      <c r="F197" t="s">
        <v>547</v>
      </c>
      <c r="G197" t="s">
        <v>468</v>
      </c>
      <c r="H197" t="s">
        <v>577</v>
      </c>
      <c r="I197" t="s">
        <v>112</v>
      </c>
      <c r="J197" t="s">
        <v>498</v>
      </c>
      <c r="K197" s="112" t="s">
        <v>469</v>
      </c>
    </row>
    <row r="198" spans="1:11">
      <c r="A198" s="112" t="s">
        <v>510</v>
      </c>
      <c r="B198" t="s">
        <v>594</v>
      </c>
      <c r="C198" t="s">
        <v>56</v>
      </c>
      <c r="D198" t="s">
        <v>41</v>
      </c>
      <c r="E198" t="s">
        <v>275</v>
      </c>
      <c r="F198" t="s">
        <v>386</v>
      </c>
      <c r="G198" t="s">
        <v>471</v>
      </c>
      <c r="H198" t="s">
        <v>577</v>
      </c>
      <c r="I198" t="s">
        <v>112</v>
      </c>
      <c r="J198" t="s">
        <v>498</v>
      </c>
      <c r="K198" s="112" t="s">
        <v>472</v>
      </c>
    </row>
    <row r="199" spans="1:11">
      <c r="A199" s="112" t="s">
        <v>510</v>
      </c>
      <c r="B199" t="s">
        <v>594</v>
      </c>
      <c r="C199" t="s">
        <v>56</v>
      </c>
      <c r="D199" t="s">
        <v>41</v>
      </c>
      <c r="E199" t="s">
        <v>275</v>
      </c>
      <c r="F199" t="s">
        <v>309</v>
      </c>
      <c r="G199" t="s">
        <v>471</v>
      </c>
      <c r="H199" t="s">
        <v>577</v>
      </c>
      <c r="I199" t="s">
        <v>112</v>
      </c>
      <c r="J199" t="s">
        <v>498</v>
      </c>
      <c r="K199" s="112" t="s">
        <v>472</v>
      </c>
    </row>
    <row r="200" spans="1:11">
      <c r="A200" s="112" t="s">
        <v>510</v>
      </c>
      <c r="B200" t="s">
        <v>594</v>
      </c>
      <c r="C200" t="s">
        <v>56</v>
      </c>
      <c r="D200" t="s">
        <v>41</v>
      </c>
      <c r="E200" t="s">
        <v>275</v>
      </c>
      <c r="F200" t="s">
        <v>353</v>
      </c>
      <c r="G200" t="s">
        <v>471</v>
      </c>
      <c r="H200" t="s">
        <v>577</v>
      </c>
      <c r="I200" t="s">
        <v>112</v>
      </c>
      <c r="J200" t="s">
        <v>498</v>
      </c>
      <c r="K200" s="112" t="s">
        <v>472</v>
      </c>
    </row>
    <row r="201" spans="1:11">
      <c r="A201" s="112" t="s">
        <v>510</v>
      </c>
      <c r="B201" t="s">
        <v>594</v>
      </c>
      <c r="C201" t="s">
        <v>56</v>
      </c>
      <c r="D201" t="s">
        <v>41</v>
      </c>
      <c r="E201" t="s">
        <v>65</v>
      </c>
      <c r="F201" t="s">
        <v>354</v>
      </c>
      <c r="G201" t="s">
        <v>471</v>
      </c>
      <c r="H201" t="s">
        <v>577</v>
      </c>
      <c r="I201" t="s">
        <v>112</v>
      </c>
      <c r="J201" t="s">
        <v>498</v>
      </c>
      <c r="K201" s="112" t="s">
        <v>472</v>
      </c>
    </row>
    <row r="202" spans="1:11">
      <c r="A202" s="112" t="s">
        <v>510</v>
      </c>
      <c r="B202" t="s">
        <v>594</v>
      </c>
      <c r="C202" t="s">
        <v>56</v>
      </c>
      <c r="D202" t="s">
        <v>41</v>
      </c>
      <c r="E202" t="s">
        <v>65</v>
      </c>
      <c r="F202" t="s">
        <v>66</v>
      </c>
      <c r="G202" t="s">
        <v>471</v>
      </c>
      <c r="H202" t="s">
        <v>577</v>
      </c>
      <c r="I202" t="s">
        <v>112</v>
      </c>
      <c r="J202" t="s">
        <v>498</v>
      </c>
      <c r="K202" s="112" t="s">
        <v>472</v>
      </c>
    </row>
    <row r="203" spans="1:11">
      <c r="A203" s="112" t="s">
        <v>510</v>
      </c>
      <c r="B203" t="s">
        <v>594</v>
      </c>
      <c r="C203" t="s">
        <v>56</v>
      </c>
      <c r="D203" t="s">
        <v>41</v>
      </c>
      <c r="E203" t="s">
        <v>137</v>
      </c>
      <c r="F203" t="s">
        <v>552</v>
      </c>
      <c r="G203" t="s">
        <v>471</v>
      </c>
      <c r="H203" t="s">
        <v>577</v>
      </c>
      <c r="I203" t="s">
        <v>112</v>
      </c>
      <c r="J203" t="s">
        <v>498</v>
      </c>
      <c r="K203" s="112" t="s">
        <v>472</v>
      </c>
    </row>
    <row r="204" spans="1:11">
      <c r="A204" s="112" t="s">
        <v>510</v>
      </c>
      <c r="B204" t="s">
        <v>594</v>
      </c>
      <c r="C204" t="s">
        <v>56</v>
      </c>
      <c r="D204" t="s">
        <v>41</v>
      </c>
      <c r="E204" t="s">
        <v>69</v>
      </c>
      <c r="F204" t="s">
        <v>278</v>
      </c>
      <c r="G204" t="s">
        <v>471</v>
      </c>
      <c r="H204" t="s">
        <v>577</v>
      </c>
      <c r="I204" t="s">
        <v>112</v>
      </c>
      <c r="J204" t="s">
        <v>498</v>
      </c>
      <c r="K204" s="112" t="s">
        <v>472</v>
      </c>
    </row>
    <row r="205" spans="1:11">
      <c r="A205" s="112" t="s">
        <v>510</v>
      </c>
      <c r="B205" t="s">
        <v>594</v>
      </c>
      <c r="C205" t="s">
        <v>56</v>
      </c>
      <c r="D205" t="s">
        <v>41</v>
      </c>
      <c r="E205" t="s">
        <v>132</v>
      </c>
      <c r="F205" t="s">
        <v>181</v>
      </c>
      <c r="G205" t="s">
        <v>471</v>
      </c>
      <c r="H205" t="s">
        <v>577</v>
      </c>
      <c r="I205" t="s">
        <v>112</v>
      </c>
      <c r="J205" t="s">
        <v>498</v>
      </c>
      <c r="K205" s="112" t="s">
        <v>472</v>
      </c>
    </row>
    <row r="206" spans="1:11">
      <c r="A206" s="112" t="s">
        <v>510</v>
      </c>
      <c r="B206" t="s">
        <v>594</v>
      </c>
      <c r="C206" t="s">
        <v>56</v>
      </c>
      <c r="D206" t="s">
        <v>41</v>
      </c>
      <c r="E206" t="s">
        <v>132</v>
      </c>
      <c r="F206" t="s">
        <v>456</v>
      </c>
      <c r="G206" t="s">
        <v>471</v>
      </c>
      <c r="H206" t="s">
        <v>577</v>
      </c>
      <c r="I206" t="s">
        <v>112</v>
      </c>
      <c r="J206" t="s">
        <v>498</v>
      </c>
      <c r="K206" s="112" t="s">
        <v>472</v>
      </c>
    </row>
    <row r="207" spans="1:11">
      <c r="A207" s="112" t="s">
        <v>510</v>
      </c>
      <c r="B207" t="s">
        <v>594</v>
      </c>
      <c r="C207" t="s">
        <v>56</v>
      </c>
      <c r="D207" t="s">
        <v>41</v>
      </c>
      <c r="E207" t="s">
        <v>184</v>
      </c>
      <c r="F207" t="s">
        <v>570</v>
      </c>
      <c r="G207" t="s">
        <v>471</v>
      </c>
      <c r="H207" t="s">
        <v>577</v>
      </c>
      <c r="I207" t="s">
        <v>112</v>
      </c>
      <c r="J207" t="s">
        <v>498</v>
      </c>
      <c r="K207" s="112" t="s">
        <v>472</v>
      </c>
    </row>
    <row r="208" spans="1:11">
      <c r="A208" s="112" t="s">
        <v>510</v>
      </c>
      <c r="B208" t="s">
        <v>594</v>
      </c>
      <c r="C208" t="s">
        <v>56</v>
      </c>
      <c r="D208" t="s">
        <v>41</v>
      </c>
      <c r="E208" t="s">
        <v>71</v>
      </c>
      <c r="F208" t="s">
        <v>72</v>
      </c>
      <c r="G208" t="s">
        <v>471</v>
      </c>
      <c r="H208" t="s">
        <v>577</v>
      </c>
      <c r="I208" t="s">
        <v>112</v>
      </c>
      <c r="J208" t="s">
        <v>498</v>
      </c>
      <c r="K208" s="112" t="s">
        <v>472</v>
      </c>
    </row>
    <row r="209" spans="1:11">
      <c r="A209" s="112" t="s">
        <v>510</v>
      </c>
      <c r="B209" t="s">
        <v>594</v>
      </c>
      <c r="C209" t="s">
        <v>56</v>
      </c>
      <c r="D209" t="s">
        <v>41</v>
      </c>
      <c r="E209" t="s">
        <v>132</v>
      </c>
      <c r="F209" t="s">
        <v>133</v>
      </c>
      <c r="G209" t="s">
        <v>471</v>
      </c>
      <c r="H209" t="s">
        <v>577</v>
      </c>
      <c r="I209" t="s">
        <v>112</v>
      </c>
      <c r="J209" t="s">
        <v>498</v>
      </c>
      <c r="K209" s="112" t="s">
        <v>472</v>
      </c>
    </row>
    <row r="210" spans="1:11">
      <c r="A210" s="112" t="s">
        <v>510</v>
      </c>
      <c r="B210" t="s">
        <v>594</v>
      </c>
      <c r="C210" t="s">
        <v>59</v>
      </c>
      <c r="D210" t="s">
        <v>43</v>
      </c>
      <c r="E210" t="s">
        <v>275</v>
      </c>
      <c r="F210" t="s">
        <v>386</v>
      </c>
      <c r="G210" t="s">
        <v>471</v>
      </c>
      <c r="H210" t="s">
        <v>577</v>
      </c>
      <c r="I210" t="s">
        <v>112</v>
      </c>
      <c r="J210" t="s">
        <v>498</v>
      </c>
      <c r="K210" s="112" t="s">
        <v>472</v>
      </c>
    </row>
    <row r="211" spans="1:11">
      <c r="A211" s="112" t="s">
        <v>510</v>
      </c>
      <c r="B211" t="s">
        <v>594</v>
      </c>
      <c r="C211" t="s">
        <v>59</v>
      </c>
      <c r="D211" t="s">
        <v>43</v>
      </c>
      <c r="E211" t="s">
        <v>275</v>
      </c>
      <c r="F211" t="s">
        <v>309</v>
      </c>
      <c r="G211" t="s">
        <v>471</v>
      </c>
      <c r="H211" t="s">
        <v>577</v>
      </c>
      <c r="I211" t="s">
        <v>112</v>
      </c>
      <c r="J211" t="s">
        <v>498</v>
      </c>
      <c r="K211" s="112" t="s">
        <v>472</v>
      </c>
    </row>
    <row r="212" spans="1:11">
      <c r="A212" s="112" t="s">
        <v>510</v>
      </c>
      <c r="B212" t="s">
        <v>594</v>
      </c>
      <c r="C212" t="s">
        <v>59</v>
      </c>
      <c r="D212" t="s">
        <v>43</v>
      </c>
      <c r="E212" t="s">
        <v>275</v>
      </c>
      <c r="F212" t="s">
        <v>547</v>
      </c>
      <c r="G212" t="s">
        <v>471</v>
      </c>
      <c r="H212" t="s">
        <v>577</v>
      </c>
      <c r="I212" t="s">
        <v>112</v>
      </c>
      <c r="J212" t="s">
        <v>498</v>
      </c>
      <c r="K212" s="112" t="s">
        <v>472</v>
      </c>
    </row>
    <row r="213" spans="1:11">
      <c r="A213" s="112" t="s">
        <v>510</v>
      </c>
      <c r="B213" t="s">
        <v>594</v>
      </c>
      <c r="C213" t="s">
        <v>59</v>
      </c>
      <c r="D213" t="s">
        <v>43</v>
      </c>
      <c r="E213" t="s">
        <v>65</v>
      </c>
      <c r="F213" t="s">
        <v>354</v>
      </c>
      <c r="G213" t="s">
        <v>471</v>
      </c>
      <c r="H213" t="s">
        <v>577</v>
      </c>
      <c r="I213" t="s">
        <v>112</v>
      </c>
      <c r="J213" t="s">
        <v>498</v>
      </c>
      <c r="K213" s="112" t="s">
        <v>472</v>
      </c>
    </row>
    <row r="214" spans="1:11">
      <c r="A214" s="112" t="s">
        <v>510</v>
      </c>
      <c r="B214" t="s">
        <v>594</v>
      </c>
      <c r="C214" t="s">
        <v>59</v>
      </c>
      <c r="D214" t="s">
        <v>43</v>
      </c>
      <c r="E214" t="s">
        <v>65</v>
      </c>
      <c r="F214" t="s">
        <v>66</v>
      </c>
      <c r="G214" t="s">
        <v>471</v>
      </c>
      <c r="H214" t="s">
        <v>577</v>
      </c>
      <c r="I214" t="s">
        <v>112</v>
      </c>
      <c r="J214" t="s">
        <v>498</v>
      </c>
      <c r="K214" s="112" t="s">
        <v>472</v>
      </c>
    </row>
    <row r="215" spans="1:11">
      <c r="A215" s="112" t="s">
        <v>510</v>
      </c>
      <c r="B215" t="s">
        <v>594</v>
      </c>
      <c r="C215" t="s">
        <v>59</v>
      </c>
      <c r="D215" t="s">
        <v>43</v>
      </c>
      <c r="E215" t="s">
        <v>71</v>
      </c>
      <c r="F215" t="s">
        <v>72</v>
      </c>
      <c r="G215" t="s">
        <v>471</v>
      </c>
      <c r="H215" t="s">
        <v>577</v>
      </c>
      <c r="I215" t="s">
        <v>112</v>
      </c>
      <c r="J215" t="s">
        <v>498</v>
      </c>
      <c r="K215" s="112" t="s">
        <v>472</v>
      </c>
    </row>
    <row r="216" spans="1:11">
      <c r="A216" s="112" t="s">
        <v>510</v>
      </c>
      <c r="B216" t="s">
        <v>594</v>
      </c>
      <c r="C216" t="s">
        <v>59</v>
      </c>
      <c r="D216" t="s">
        <v>43</v>
      </c>
      <c r="E216" t="s">
        <v>132</v>
      </c>
      <c r="F216" t="s">
        <v>246</v>
      </c>
      <c r="G216" t="s">
        <v>471</v>
      </c>
      <c r="H216" t="s">
        <v>577</v>
      </c>
      <c r="I216" t="s">
        <v>112</v>
      </c>
      <c r="J216" t="s">
        <v>498</v>
      </c>
      <c r="K216" s="112" t="s">
        <v>472</v>
      </c>
    </row>
    <row r="217" spans="1:11">
      <c r="A217" s="112" t="s">
        <v>510</v>
      </c>
      <c r="B217" t="s">
        <v>594</v>
      </c>
      <c r="C217" t="s">
        <v>59</v>
      </c>
      <c r="D217" t="s">
        <v>43</v>
      </c>
      <c r="E217" t="s">
        <v>132</v>
      </c>
      <c r="F217" t="s">
        <v>136</v>
      </c>
      <c r="G217" t="s">
        <v>471</v>
      </c>
      <c r="H217" t="s">
        <v>577</v>
      </c>
      <c r="I217" t="s">
        <v>112</v>
      </c>
      <c r="J217" t="s">
        <v>498</v>
      </c>
      <c r="K217" s="112" t="s">
        <v>472</v>
      </c>
    </row>
    <row r="218" spans="1:11">
      <c r="A218" s="112" t="s">
        <v>510</v>
      </c>
      <c r="B218" t="s">
        <v>594</v>
      </c>
      <c r="C218" t="s">
        <v>59</v>
      </c>
      <c r="D218" t="s">
        <v>43</v>
      </c>
      <c r="E218" t="s">
        <v>132</v>
      </c>
      <c r="F218" t="s">
        <v>456</v>
      </c>
      <c r="G218" t="s">
        <v>471</v>
      </c>
      <c r="H218" t="s">
        <v>577</v>
      </c>
      <c r="I218" t="s">
        <v>112</v>
      </c>
      <c r="J218" t="s">
        <v>498</v>
      </c>
      <c r="K218" s="112" t="s">
        <v>472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B3CB-BABF-4168-B449-7C2A7457DFD7}">
  <sheetPr codeName="Sheet17"/>
  <dimension ref="A1:I133"/>
  <sheetViews>
    <sheetView topLeftCell="A4" workbookViewId="0">
      <selection sqref="A1:I109"/>
    </sheetView>
  </sheetViews>
  <sheetFormatPr defaultColWidth="8.85546875" defaultRowHeight="15"/>
  <cols>
    <col min="1" max="1" width="49" bestFit="1" customWidth="1"/>
    <col min="2" max="2" width="15.28515625" bestFit="1" customWidth="1"/>
    <col min="3" max="3" width="14" bestFit="1" customWidth="1"/>
    <col min="4" max="4" width="16.42578125" bestFit="1" customWidth="1"/>
    <col min="5" max="5" width="14.85546875" bestFit="1" customWidth="1"/>
    <col min="6" max="6" width="12.7109375" bestFit="1" customWidth="1"/>
    <col min="7" max="7" width="14.42578125" bestFit="1" customWidth="1"/>
    <col min="8" max="8" width="12.140625" bestFit="1" customWidth="1"/>
    <col min="9" max="9" width="53" bestFit="1" customWidth="1"/>
  </cols>
  <sheetData>
    <row r="1" spans="1:9">
      <c r="A1" t="s">
        <v>490</v>
      </c>
      <c r="B1" t="s">
        <v>491</v>
      </c>
      <c r="C1" t="s">
        <v>26</v>
      </c>
      <c r="D1" t="s">
        <v>25</v>
      </c>
      <c r="E1" t="s">
        <v>458</v>
      </c>
      <c r="F1" t="s">
        <v>492</v>
      </c>
      <c r="G1" t="s">
        <v>493</v>
      </c>
      <c r="H1" t="s">
        <v>494</v>
      </c>
      <c r="I1" t="s">
        <v>459</v>
      </c>
    </row>
    <row r="2" spans="1:9">
      <c r="A2" s="112" t="s">
        <v>513</v>
      </c>
      <c r="B2" t="s">
        <v>514</v>
      </c>
      <c r="C2" t="s">
        <v>27</v>
      </c>
      <c r="D2">
        <v>34</v>
      </c>
      <c r="E2" t="s">
        <v>474</v>
      </c>
      <c r="F2" t="s">
        <v>497</v>
      </c>
      <c r="G2" t="s">
        <v>112</v>
      </c>
      <c r="H2" t="s">
        <v>498</v>
      </c>
      <c r="I2" s="112" t="s">
        <v>475</v>
      </c>
    </row>
    <row r="3" spans="1:9">
      <c r="A3" s="112" t="s">
        <v>513</v>
      </c>
      <c r="B3" t="s">
        <v>514</v>
      </c>
      <c r="C3" t="s">
        <v>28</v>
      </c>
      <c r="D3">
        <v>6</v>
      </c>
      <c r="E3" t="s">
        <v>474</v>
      </c>
      <c r="F3" t="s">
        <v>497</v>
      </c>
      <c r="G3" t="s">
        <v>112</v>
      </c>
      <c r="H3" t="s">
        <v>498</v>
      </c>
      <c r="I3" s="112" t="s">
        <v>475</v>
      </c>
    </row>
    <row r="4" spans="1:9">
      <c r="A4" s="112" t="s">
        <v>513</v>
      </c>
      <c r="B4" t="s">
        <v>514</v>
      </c>
      <c r="C4" t="s">
        <v>29</v>
      </c>
      <c r="E4" t="s">
        <v>474</v>
      </c>
      <c r="F4" t="s">
        <v>497</v>
      </c>
      <c r="G4" t="s">
        <v>112</v>
      </c>
      <c r="H4" t="s">
        <v>498</v>
      </c>
      <c r="I4" s="112" t="s">
        <v>475</v>
      </c>
    </row>
    <row r="5" spans="1:9">
      <c r="A5" s="112" t="s">
        <v>513</v>
      </c>
      <c r="B5" t="s">
        <v>514</v>
      </c>
      <c r="C5" t="s">
        <v>30</v>
      </c>
      <c r="D5">
        <v>4</v>
      </c>
      <c r="E5" t="s">
        <v>474</v>
      </c>
      <c r="F5" t="s">
        <v>497</v>
      </c>
      <c r="G5" t="s">
        <v>112</v>
      </c>
      <c r="H5" t="s">
        <v>498</v>
      </c>
      <c r="I5" s="112" t="s">
        <v>475</v>
      </c>
    </row>
    <row r="6" spans="1:9">
      <c r="A6" s="112" t="s">
        <v>513</v>
      </c>
      <c r="B6" t="s">
        <v>514</v>
      </c>
      <c r="C6" t="s">
        <v>32</v>
      </c>
      <c r="E6" t="s">
        <v>474</v>
      </c>
      <c r="F6" t="s">
        <v>497</v>
      </c>
      <c r="G6" t="s">
        <v>112</v>
      </c>
      <c r="H6" t="s">
        <v>498</v>
      </c>
      <c r="I6" s="112" t="s">
        <v>475</v>
      </c>
    </row>
    <row r="7" spans="1:9">
      <c r="A7" s="112" t="s">
        <v>513</v>
      </c>
      <c r="B7" t="s">
        <v>514</v>
      </c>
      <c r="C7" t="s">
        <v>34</v>
      </c>
      <c r="D7">
        <v>44</v>
      </c>
      <c r="E7" t="s">
        <v>474</v>
      </c>
      <c r="F7" t="s">
        <v>497</v>
      </c>
      <c r="G7" t="s">
        <v>112</v>
      </c>
      <c r="H7" t="s">
        <v>498</v>
      </c>
      <c r="I7" s="112" t="s">
        <v>475</v>
      </c>
    </row>
    <row r="8" spans="1:9">
      <c r="A8" s="112" t="s">
        <v>513</v>
      </c>
      <c r="B8" t="s">
        <v>515</v>
      </c>
      <c r="C8" t="s">
        <v>27</v>
      </c>
      <c r="D8">
        <v>33</v>
      </c>
      <c r="E8" t="s">
        <v>478</v>
      </c>
      <c r="F8" t="s">
        <v>497</v>
      </c>
      <c r="G8" t="s">
        <v>112</v>
      </c>
      <c r="H8" t="s">
        <v>498</v>
      </c>
      <c r="I8" s="112" t="s">
        <v>479</v>
      </c>
    </row>
    <row r="9" spans="1:9">
      <c r="A9" s="112" t="s">
        <v>513</v>
      </c>
      <c r="B9" t="s">
        <v>515</v>
      </c>
      <c r="C9" t="s">
        <v>28</v>
      </c>
      <c r="D9">
        <v>1</v>
      </c>
      <c r="E9" t="s">
        <v>478</v>
      </c>
      <c r="F9" t="s">
        <v>497</v>
      </c>
      <c r="G9" t="s">
        <v>112</v>
      </c>
      <c r="H9" t="s">
        <v>498</v>
      </c>
      <c r="I9" s="112" t="s">
        <v>479</v>
      </c>
    </row>
    <row r="10" spans="1:9">
      <c r="A10" s="112" t="s">
        <v>513</v>
      </c>
      <c r="B10" t="s">
        <v>515</v>
      </c>
      <c r="C10" t="s">
        <v>29</v>
      </c>
      <c r="D10">
        <v>6</v>
      </c>
      <c r="E10" t="s">
        <v>478</v>
      </c>
      <c r="F10" t="s">
        <v>497</v>
      </c>
      <c r="G10" t="s">
        <v>112</v>
      </c>
      <c r="H10" t="s">
        <v>498</v>
      </c>
      <c r="I10" s="112" t="s">
        <v>479</v>
      </c>
    </row>
    <row r="11" spans="1:9">
      <c r="A11" s="112" t="s">
        <v>513</v>
      </c>
      <c r="B11" t="s">
        <v>515</v>
      </c>
      <c r="C11" t="s">
        <v>30</v>
      </c>
      <c r="D11">
        <v>1</v>
      </c>
      <c r="E11" t="s">
        <v>478</v>
      </c>
      <c r="F11" t="s">
        <v>497</v>
      </c>
      <c r="G11" t="s">
        <v>112</v>
      </c>
      <c r="H11" t="s">
        <v>498</v>
      </c>
      <c r="I11" s="112" t="s">
        <v>479</v>
      </c>
    </row>
    <row r="12" spans="1:9">
      <c r="A12" s="112" t="s">
        <v>513</v>
      </c>
      <c r="B12" t="s">
        <v>515</v>
      </c>
      <c r="C12" t="s">
        <v>32</v>
      </c>
      <c r="D12">
        <v>3</v>
      </c>
      <c r="E12" t="s">
        <v>478</v>
      </c>
      <c r="F12" t="s">
        <v>497</v>
      </c>
      <c r="G12" t="s">
        <v>112</v>
      </c>
      <c r="H12" t="s">
        <v>498</v>
      </c>
      <c r="I12" s="112" t="s">
        <v>479</v>
      </c>
    </row>
    <row r="13" spans="1:9">
      <c r="A13" s="112" t="s">
        <v>513</v>
      </c>
      <c r="B13" t="s">
        <v>515</v>
      </c>
      <c r="C13" t="s">
        <v>34</v>
      </c>
      <c r="D13">
        <v>44</v>
      </c>
      <c r="E13" t="s">
        <v>478</v>
      </c>
      <c r="F13" t="s">
        <v>497</v>
      </c>
      <c r="G13" t="s">
        <v>112</v>
      </c>
      <c r="H13" t="s">
        <v>498</v>
      </c>
      <c r="I13" s="112" t="s">
        <v>479</v>
      </c>
    </row>
    <row r="14" spans="1:9">
      <c r="A14" s="112" t="s">
        <v>699</v>
      </c>
      <c r="B14" t="s">
        <v>709</v>
      </c>
      <c r="C14" t="s">
        <v>27</v>
      </c>
      <c r="D14">
        <v>9</v>
      </c>
      <c r="E14" t="s">
        <v>701</v>
      </c>
      <c r="F14" t="s">
        <v>497</v>
      </c>
      <c r="G14" t="s">
        <v>112</v>
      </c>
      <c r="H14" t="s">
        <v>498</v>
      </c>
      <c r="I14" s="112" t="s">
        <v>702</v>
      </c>
    </row>
    <row r="15" spans="1:9">
      <c r="A15" s="112" t="s">
        <v>699</v>
      </c>
      <c r="B15" t="s">
        <v>709</v>
      </c>
      <c r="C15" t="s">
        <v>28</v>
      </c>
      <c r="D15">
        <v>3</v>
      </c>
      <c r="E15" t="s">
        <v>701</v>
      </c>
      <c r="F15" t="s">
        <v>497</v>
      </c>
      <c r="G15" t="s">
        <v>112</v>
      </c>
      <c r="H15" t="s">
        <v>498</v>
      </c>
      <c r="I15" s="112" t="s">
        <v>702</v>
      </c>
    </row>
    <row r="16" spans="1:9">
      <c r="A16" s="112" t="s">
        <v>699</v>
      </c>
      <c r="B16" t="s">
        <v>709</v>
      </c>
      <c r="C16" t="s">
        <v>29</v>
      </c>
      <c r="D16">
        <v>16</v>
      </c>
      <c r="E16" t="s">
        <v>701</v>
      </c>
      <c r="F16" t="s">
        <v>497</v>
      </c>
      <c r="G16" t="s">
        <v>112</v>
      </c>
      <c r="H16" t="s">
        <v>498</v>
      </c>
      <c r="I16" s="112" t="s">
        <v>702</v>
      </c>
    </row>
    <row r="17" spans="1:9">
      <c r="A17" s="112" t="s">
        <v>699</v>
      </c>
      <c r="B17" t="s">
        <v>709</v>
      </c>
      <c r="C17" t="s">
        <v>30</v>
      </c>
      <c r="D17">
        <v>6</v>
      </c>
      <c r="E17" t="s">
        <v>701</v>
      </c>
      <c r="F17" t="s">
        <v>497</v>
      </c>
      <c r="G17" t="s">
        <v>112</v>
      </c>
      <c r="H17" t="s">
        <v>498</v>
      </c>
      <c r="I17" s="112" t="s">
        <v>702</v>
      </c>
    </row>
    <row r="18" spans="1:9">
      <c r="A18" s="112" t="s">
        <v>699</v>
      </c>
      <c r="B18" t="s">
        <v>709</v>
      </c>
      <c r="C18" t="s">
        <v>32</v>
      </c>
      <c r="D18">
        <v>6</v>
      </c>
      <c r="E18" t="s">
        <v>701</v>
      </c>
      <c r="F18" t="s">
        <v>497</v>
      </c>
      <c r="G18" t="s">
        <v>112</v>
      </c>
      <c r="H18" t="s">
        <v>498</v>
      </c>
      <c r="I18" s="112" t="s">
        <v>702</v>
      </c>
    </row>
    <row r="19" spans="1:9">
      <c r="A19" s="112" t="s">
        <v>699</v>
      </c>
      <c r="B19" t="s">
        <v>709</v>
      </c>
      <c r="C19" t="s">
        <v>34</v>
      </c>
      <c r="D19">
        <v>40</v>
      </c>
      <c r="E19" t="s">
        <v>701</v>
      </c>
      <c r="F19" t="s">
        <v>497</v>
      </c>
      <c r="G19" t="s">
        <v>112</v>
      </c>
      <c r="H19" t="s">
        <v>498</v>
      </c>
      <c r="I19" s="112" t="s">
        <v>702</v>
      </c>
    </row>
    <row r="20" spans="1:9">
      <c r="A20" s="112" t="s">
        <v>513</v>
      </c>
      <c r="B20" t="s">
        <v>516</v>
      </c>
      <c r="C20" t="s">
        <v>27</v>
      </c>
      <c r="D20">
        <v>13</v>
      </c>
      <c r="E20" t="s">
        <v>480</v>
      </c>
      <c r="F20" t="s">
        <v>497</v>
      </c>
      <c r="G20" t="s">
        <v>112</v>
      </c>
      <c r="H20" t="s">
        <v>498</v>
      </c>
      <c r="I20" s="112" t="s">
        <v>481</v>
      </c>
    </row>
    <row r="21" spans="1:9">
      <c r="A21" s="112" t="s">
        <v>513</v>
      </c>
      <c r="B21" t="s">
        <v>516</v>
      </c>
      <c r="C21" t="s">
        <v>28</v>
      </c>
      <c r="D21">
        <v>0</v>
      </c>
      <c r="E21" t="s">
        <v>480</v>
      </c>
      <c r="F21" t="s">
        <v>497</v>
      </c>
      <c r="G21" t="s">
        <v>112</v>
      </c>
      <c r="H21" t="s">
        <v>498</v>
      </c>
      <c r="I21" s="112" t="s">
        <v>481</v>
      </c>
    </row>
    <row r="22" spans="1:9">
      <c r="A22" s="112" t="s">
        <v>513</v>
      </c>
      <c r="B22" t="s">
        <v>516</v>
      </c>
      <c r="C22" t="s">
        <v>29</v>
      </c>
      <c r="D22">
        <v>7</v>
      </c>
      <c r="E22" t="s">
        <v>480</v>
      </c>
      <c r="F22" t="s">
        <v>497</v>
      </c>
      <c r="G22" t="s">
        <v>112</v>
      </c>
      <c r="H22" t="s">
        <v>498</v>
      </c>
      <c r="I22" s="112" t="s">
        <v>481</v>
      </c>
    </row>
    <row r="23" spans="1:9">
      <c r="A23" s="112" t="s">
        <v>513</v>
      </c>
      <c r="B23" t="s">
        <v>516</v>
      </c>
      <c r="C23" t="s">
        <v>30</v>
      </c>
      <c r="D23">
        <v>13</v>
      </c>
      <c r="E23" t="s">
        <v>480</v>
      </c>
      <c r="F23" t="s">
        <v>497</v>
      </c>
      <c r="G23" t="s">
        <v>112</v>
      </c>
      <c r="H23" t="s">
        <v>498</v>
      </c>
      <c r="I23" s="112" t="s">
        <v>481</v>
      </c>
    </row>
    <row r="24" spans="1:9">
      <c r="A24" s="112" t="s">
        <v>513</v>
      </c>
      <c r="B24" t="s">
        <v>516</v>
      </c>
      <c r="C24" t="s">
        <v>32</v>
      </c>
      <c r="D24">
        <v>6</v>
      </c>
      <c r="E24" t="s">
        <v>480</v>
      </c>
      <c r="F24" t="s">
        <v>497</v>
      </c>
      <c r="G24" t="s">
        <v>112</v>
      </c>
      <c r="H24" t="s">
        <v>498</v>
      </c>
      <c r="I24" s="112" t="s">
        <v>481</v>
      </c>
    </row>
    <row r="25" spans="1:9">
      <c r="A25" s="112" t="s">
        <v>513</v>
      </c>
      <c r="B25" t="s">
        <v>516</v>
      </c>
      <c r="C25" t="s">
        <v>34</v>
      </c>
      <c r="D25">
        <v>39</v>
      </c>
      <c r="E25" t="s">
        <v>480</v>
      </c>
      <c r="F25" t="s">
        <v>497</v>
      </c>
      <c r="G25" t="s">
        <v>112</v>
      </c>
      <c r="H25" t="s">
        <v>498</v>
      </c>
      <c r="I25" s="112" t="s">
        <v>481</v>
      </c>
    </row>
    <row r="26" spans="1:9">
      <c r="A26" s="112" t="s">
        <v>513</v>
      </c>
      <c r="B26" t="s">
        <v>710</v>
      </c>
      <c r="C26" t="s">
        <v>27</v>
      </c>
      <c r="D26">
        <v>34</v>
      </c>
      <c r="E26" t="s">
        <v>704</v>
      </c>
      <c r="F26" t="s">
        <v>497</v>
      </c>
      <c r="G26" t="s">
        <v>112</v>
      </c>
      <c r="H26" t="s">
        <v>498</v>
      </c>
      <c r="I26" s="112" t="s">
        <v>705</v>
      </c>
    </row>
    <row r="27" spans="1:9">
      <c r="A27" s="112" t="s">
        <v>513</v>
      </c>
      <c r="B27" t="s">
        <v>710</v>
      </c>
      <c r="C27" t="s">
        <v>28</v>
      </c>
      <c r="D27">
        <v>12</v>
      </c>
      <c r="E27" t="s">
        <v>704</v>
      </c>
      <c r="F27" t="s">
        <v>497</v>
      </c>
      <c r="G27" t="s">
        <v>112</v>
      </c>
      <c r="H27" t="s">
        <v>498</v>
      </c>
      <c r="I27" s="112" t="s">
        <v>705</v>
      </c>
    </row>
    <row r="28" spans="1:9">
      <c r="A28" s="112" t="s">
        <v>513</v>
      </c>
      <c r="B28" t="s">
        <v>710</v>
      </c>
      <c r="C28" t="s">
        <v>29</v>
      </c>
      <c r="E28" t="s">
        <v>704</v>
      </c>
      <c r="F28" t="s">
        <v>497</v>
      </c>
      <c r="G28" t="s">
        <v>112</v>
      </c>
      <c r="H28" t="s">
        <v>498</v>
      </c>
      <c r="I28" s="112" t="s">
        <v>705</v>
      </c>
    </row>
    <row r="29" spans="1:9">
      <c r="A29" s="112" t="s">
        <v>513</v>
      </c>
      <c r="B29" t="s">
        <v>710</v>
      </c>
      <c r="C29" t="s">
        <v>30</v>
      </c>
      <c r="D29">
        <v>2</v>
      </c>
      <c r="E29" t="s">
        <v>704</v>
      </c>
      <c r="F29" t="s">
        <v>497</v>
      </c>
      <c r="G29" t="s">
        <v>112</v>
      </c>
      <c r="H29" t="s">
        <v>498</v>
      </c>
      <c r="I29" s="112" t="s">
        <v>705</v>
      </c>
    </row>
    <row r="30" spans="1:9">
      <c r="A30" s="112" t="s">
        <v>513</v>
      </c>
      <c r="B30" t="s">
        <v>710</v>
      </c>
      <c r="C30" t="s">
        <v>32</v>
      </c>
      <c r="E30" t="s">
        <v>704</v>
      </c>
      <c r="F30" t="s">
        <v>497</v>
      </c>
      <c r="G30" t="s">
        <v>112</v>
      </c>
      <c r="H30" t="s">
        <v>498</v>
      </c>
      <c r="I30" s="112" t="s">
        <v>705</v>
      </c>
    </row>
    <row r="31" spans="1:9">
      <c r="A31" s="112" t="s">
        <v>513</v>
      </c>
      <c r="B31" t="s">
        <v>710</v>
      </c>
      <c r="C31" t="s">
        <v>34</v>
      </c>
      <c r="D31">
        <v>48</v>
      </c>
      <c r="E31" t="s">
        <v>704</v>
      </c>
      <c r="F31" t="s">
        <v>497</v>
      </c>
      <c r="G31" t="s">
        <v>112</v>
      </c>
      <c r="H31" t="s">
        <v>498</v>
      </c>
      <c r="I31" s="112" t="s">
        <v>705</v>
      </c>
    </row>
    <row r="32" spans="1:9">
      <c r="A32" s="112" t="s">
        <v>513</v>
      </c>
      <c r="B32" t="s">
        <v>517</v>
      </c>
      <c r="C32" t="s">
        <v>27</v>
      </c>
      <c r="D32">
        <v>12</v>
      </c>
      <c r="E32" t="s">
        <v>483</v>
      </c>
      <c r="F32" t="s">
        <v>497</v>
      </c>
      <c r="G32" t="s">
        <v>112</v>
      </c>
      <c r="H32" t="s">
        <v>498</v>
      </c>
      <c r="I32" s="112" t="s">
        <v>484</v>
      </c>
    </row>
    <row r="33" spans="1:9">
      <c r="A33" s="112" t="s">
        <v>513</v>
      </c>
      <c r="B33" t="s">
        <v>517</v>
      </c>
      <c r="C33" t="s">
        <v>28</v>
      </c>
      <c r="D33">
        <v>10</v>
      </c>
      <c r="E33" t="s">
        <v>483</v>
      </c>
      <c r="F33" t="s">
        <v>497</v>
      </c>
      <c r="G33" t="s">
        <v>112</v>
      </c>
      <c r="H33" t="s">
        <v>498</v>
      </c>
      <c r="I33" s="112" t="s">
        <v>484</v>
      </c>
    </row>
    <row r="34" spans="1:9">
      <c r="A34" s="112" t="s">
        <v>513</v>
      </c>
      <c r="B34" t="s">
        <v>517</v>
      </c>
      <c r="C34" t="s">
        <v>29</v>
      </c>
      <c r="E34" t="s">
        <v>483</v>
      </c>
      <c r="F34" t="s">
        <v>497</v>
      </c>
      <c r="G34" t="s">
        <v>112</v>
      </c>
      <c r="H34" t="s">
        <v>498</v>
      </c>
      <c r="I34" s="112" t="s">
        <v>484</v>
      </c>
    </row>
    <row r="35" spans="1:9">
      <c r="A35" s="112" t="s">
        <v>513</v>
      </c>
      <c r="B35" t="s">
        <v>517</v>
      </c>
      <c r="C35" t="s">
        <v>30</v>
      </c>
      <c r="E35" t="s">
        <v>483</v>
      </c>
      <c r="F35" t="s">
        <v>497</v>
      </c>
      <c r="G35" t="s">
        <v>112</v>
      </c>
      <c r="H35" t="s">
        <v>498</v>
      </c>
      <c r="I35" s="112" t="s">
        <v>484</v>
      </c>
    </row>
    <row r="36" spans="1:9">
      <c r="A36" s="112" t="s">
        <v>513</v>
      </c>
      <c r="B36" t="s">
        <v>517</v>
      </c>
      <c r="C36" t="s">
        <v>32</v>
      </c>
      <c r="E36" t="s">
        <v>483</v>
      </c>
      <c r="F36" t="s">
        <v>497</v>
      </c>
      <c r="G36" t="s">
        <v>112</v>
      </c>
      <c r="H36" t="s">
        <v>498</v>
      </c>
      <c r="I36" s="112" t="s">
        <v>484</v>
      </c>
    </row>
    <row r="37" spans="1:9">
      <c r="A37" s="112" t="s">
        <v>513</v>
      </c>
      <c r="B37" t="s">
        <v>517</v>
      </c>
      <c r="C37" t="s">
        <v>34</v>
      </c>
      <c r="D37">
        <v>22</v>
      </c>
      <c r="E37" t="s">
        <v>483</v>
      </c>
      <c r="F37" t="s">
        <v>497</v>
      </c>
      <c r="G37" t="s">
        <v>112</v>
      </c>
      <c r="H37" t="s">
        <v>498</v>
      </c>
      <c r="I37" s="112" t="s">
        <v>484</v>
      </c>
    </row>
    <row r="38" spans="1:9">
      <c r="A38" s="112" t="s">
        <v>513</v>
      </c>
      <c r="B38" t="s">
        <v>518</v>
      </c>
      <c r="C38" t="s">
        <v>27</v>
      </c>
      <c r="D38">
        <v>22</v>
      </c>
      <c r="E38" t="s">
        <v>487</v>
      </c>
      <c r="F38" t="s">
        <v>497</v>
      </c>
      <c r="G38" t="s">
        <v>112</v>
      </c>
      <c r="H38" t="s">
        <v>498</v>
      </c>
      <c r="I38" s="112" t="s">
        <v>488</v>
      </c>
    </row>
    <row r="39" spans="1:9">
      <c r="A39" s="112" t="s">
        <v>513</v>
      </c>
      <c r="B39" t="s">
        <v>518</v>
      </c>
      <c r="C39" t="s">
        <v>28</v>
      </c>
      <c r="D39">
        <v>6</v>
      </c>
      <c r="E39" t="s">
        <v>487</v>
      </c>
      <c r="F39" t="s">
        <v>497</v>
      </c>
      <c r="G39" t="s">
        <v>112</v>
      </c>
      <c r="H39" t="s">
        <v>498</v>
      </c>
      <c r="I39" s="112" t="s">
        <v>488</v>
      </c>
    </row>
    <row r="40" spans="1:9">
      <c r="A40" s="112" t="s">
        <v>513</v>
      </c>
      <c r="B40" t="s">
        <v>518</v>
      </c>
      <c r="C40" t="s">
        <v>29</v>
      </c>
      <c r="D40">
        <v>12</v>
      </c>
      <c r="E40" t="s">
        <v>487</v>
      </c>
      <c r="F40" t="s">
        <v>497</v>
      </c>
      <c r="G40" t="s">
        <v>112</v>
      </c>
      <c r="H40" t="s">
        <v>498</v>
      </c>
      <c r="I40" s="112" t="s">
        <v>488</v>
      </c>
    </row>
    <row r="41" spans="1:9">
      <c r="A41" s="112" t="s">
        <v>513</v>
      </c>
      <c r="B41" t="s">
        <v>518</v>
      </c>
      <c r="C41" t="s">
        <v>30</v>
      </c>
      <c r="E41" t="s">
        <v>487</v>
      </c>
      <c r="F41" t="s">
        <v>497</v>
      </c>
      <c r="G41" t="s">
        <v>112</v>
      </c>
      <c r="H41" t="s">
        <v>498</v>
      </c>
      <c r="I41" s="112" t="s">
        <v>488</v>
      </c>
    </row>
    <row r="42" spans="1:9">
      <c r="A42" s="112" t="s">
        <v>513</v>
      </c>
      <c r="B42" t="s">
        <v>518</v>
      </c>
      <c r="C42" t="s">
        <v>32</v>
      </c>
      <c r="E42" t="s">
        <v>487</v>
      </c>
      <c r="F42" t="s">
        <v>497</v>
      </c>
      <c r="G42" t="s">
        <v>112</v>
      </c>
      <c r="H42" t="s">
        <v>498</v>
      </c>
      <c r="I42" s="112" t="s">
        <v>488</v>
      </c>
    </row>
    <row r="43" spans="1:9">
      <c r="A43" s="112" t="s">
        <v>513</v>
      </c>
      <c r="B43" t="s">
        <v>518</v>
      </c>
      <c r="C43" t="s">
        <v>34</v>
      </c>
      <c r="D43">
        <v>40</v>
      </c>
      <c r="E43" t="s">
        <v>487</v>
      </c>
      <c r="F43" t="s">
        <v>497</v>
      </c>
      <c r="G43" t="s">
        <v>112</v>
      </c>
      <c r="H43" t="s">
        <v>498</v>
      </c>
      <c r="I43" s="112" t="s">
        <v>488</v>
      </c>
    </row>
    <row r="44" spans="1:9">
      <c r="A44" s="112" t="s">
        <v>513</v>
      </c>
      <c r="B44" t="s">
        <v>711</v>
      </c>
      <c r="C44" t="s">
        <v>27</v>
      </c>
      <c r="E44" t="s">
        <v>707</v>
      </c>
      <c r="F44" t="s">
        <v>497</v>
      </c>
      <c r="G44" t="s">
        <v>112</v>
      </c>
      <c r="H44" t="s">
        <v>498</v>
      </c>
      <c r="I44" s="112" t="s">
        <v>708</v>
      </c>
    </row>
    <row r="45" spans="1:9">
      <c r="A45" s="112" t="s">
        <v>513</v>
      </c>
      <c r="B45" t="s">
        <v>711</v>
      </c>
      <c r="C45" t="s">
        <v>28</v>
      </c>
      <c r="D45">
        <v>6</v>
      </c>
      <c r="E45" t="s">
        <v>707</v>
      </c>
      <c r="F45" t="s">
        <v>497</v>
      </c>
      <c r="G45" t="s">
        <v>112</v>
      </c>
      <c r="H45" t="s">
        <v>498</v>
      </c>
      <c r="I45" s="112" t="s">
        <v>708</v>
      </c>
    </row>
    <row r="46" spans="1:9">
      <c r="A46" s="112" t="s">
        <v>513</v>
      </c>
      <c r="B46" t="s">
        <v>711</v>
      </c>
      <c r="C46" t="s">
        <v>29</v>
      </c>
      <c r="E46" t="s">
        <v>707</v>
      </c>
      <c r="F46" t="s">
        <v>497</v>
      </c>
      <c r="G46" t="s">
        <v>112</v>
      </c>
      <c r="H46" t="s">
        <v>498</v>
      </c>
      <c r="I46" s="112" t="s">
        <v>708</v>
      </c>
    </row>
    <row r="47" spans="1:9">
      <c r="A47" s="112" t="s">
        <v>513</v>
      </c>
      <c r="B47" t="s">
        <v>711</v>
      </c>
      <c r="C47" t="s">
        <v>30</v>
      </c>
      <c r="D47">
        <v>27</v>
      </c>
      <c r="E47" t="s">
        <v>707</v>
      </c>
      <c r="F47" t="s">
        <v>497</v>
      </c>
      <c r="G47" t="s">
        <v>112</v>
      </c>
      <c r="H47" t="s">
        <v>498</v>
      </c>
      <c r="I47" s="112" t="s">
        <v>708</v>
      </c>
    </row>
    <row r="48" spans="1:9">
      <c r="A48" s="112" t="s">
        <v>513</v>
      </c>
      <c r="B48" t="s">
        <v>711</v>
      </c>
      <c r="C48" t="s">
        <v>32</v>
      </c>
      <c r="D48">
        <v>12</v>
      </c>
      <c r="E48" t="s">
        <v>707</v>
      </c>
      <c r="F48" t="s">
        <v>497</v>
      </c>
      <c r="G48" t="s">
        <v>112</v>
      </c>
      <c r="H48" t="s">
        <v>498</v>
      </c>
      <c r="I48" s="112" t="s">
        <v>708</v>
      </c>
    </row>
    <row r="49" spans="1:9">
      <c r="A49" s="112" t="s">
        <v>513</v>
      </c>
      <c r="B49" t="s">
        <v>711</v>
      </c>
      <c r="C49" t="s">
        <v>34</v>
      </c>
      <c r="D49">
        <v>45</v>
      </c>
      <c r="E49" t="s">
        <v>707</v>
      </c>
      <c r="F49" t="s">
        <v>497</v>
      </c>
      <c r="G49" t="s">
        <v>112</v>
      </c>
      <c r="H49" t="s">
        <v>498</v>
      </c>
      <c r="I49" s="112" t="s">
        <v>708</v>
      </c>
    </row>
    <row r="50" spans="1:9">
      <c r="A50" s="112" t="s">
        <v>495</v>
      </c>
      <c r="B50" t="s">
        <v>496</v>
      </c>
      <c r="C50" t="s">
        <v>27</v>
      </c>
      <c r="D50">
        <v>10</v>
      </c>
      <c r="E50" t="s">
        <v>5</v>
      </c>
      <c r="F50" t="s">
        <v>497</v>
      </c>
      <c r="G50" t="s">
        <v>112</v>
      </c>
      <c r="H50" t="s">
        <v>498</v>
      </c>
      <c r="I50" s="112" t="s">
        <v>8</v>
      </c>
    </row>
    <row r="51" spans="1:9">
      <c r="A51" s="112" t="s">
        <v>495</v>
      </c>
      <c r="B51" t="s">
        <v>496</v>
      </c>
      <c r="C51" t="s">
        <v>28</v>
      </c>
      <c r="D51">
        <v>10</v>
      </c>
      <c r="E51" t="s">
        <v>5</v>
      </c>
      <c r="F51" t="s">
        <v>497</v>
      </c>
      <c r="G51" t="s">
        <v>112</v>
      </c>
      <c r="H51" t="s">
        <v>498</v>
      </c>
      <c r="I51" s="112" t="s">
        <v>8</v>
      </c>
    </row>
    <row r="52" spans="1:9">
      <c r="A52" s="112" t="s">
        <v>495</v>
      </c>
      <c r="B52" t="s">
        <v>496</v>
      </c>
      <c r="C52" t="s">
        <v>29</v>
      </c>
      <c r="D52">
        <v>20</v>
      </c>
      <c r="E52" t="s">
        <v>5</v>
      </c>
      <c r="F52" t="s">
        <v>497</v>
      </c>
      <c r="G52" t="s">
        <v>112</v>
      </c>
      <c r="H52" t="s">
        <v>498</v>
      </c>
      <c r="I52" s="112" t="s">
        <v>8</v>
      </c>
    </row>
    <row r="53" spans="1:9">
      <c r="A53" s="112" t="s">
        <v>495</v>
      </c>
      <c r="B53" t="s">
        <v>496</v>
      </c>
      <c r="C53" t="s">
        <v>30</v>
      </c>
      <c r="E53" t="s">
        <v>5</v>
      </c>
      <c r="F53" t="s">
        <v>497</v>
      </c>
      <c r="G53" t="s">
        <v>112</v>
      </c>
      <c r="H53" t="s">
        <v>498</v>
      </c>
      <c r="I53" s="112" t="s">
        <v>8</v>
      </c>
    </row>
    <row r="54" spans="1:9">
      <c r="A54" s="112" t="s">
        <v>495</v>
      </c>
      <c r="B54" t="s">
        <v>496</v>
      </c>
      <c r="C54" t="s">
        <v>32</v>
      </c>
      <c r="E54" t="s">
        <v>5</v>
      </c>
      <c r="F54" t="s">
        <v>497</v>
      </c>
      <c r="G54" t="s">
        <v>112</v>
      </c>
      <c r="H54" t="s">
        <v>498</v>
      </c>
      <c r="I54" s="112" t="s">
        <v>8</v>
      </c>
    </row>
    <row r="55" spans="1:9">
      <c r="A55" s="112" t="s">
        <v>495</v>
      </c>
      <c r="B55" t="s">
        <v>496</v>
      </c>
      <c r="C55" t="s">
        <v>34</v>
      </c>
      <c r="D55">
        <v>40</v>
      </c>
      <c r="E55" t="s">
        <v>5</v>
      </c>
      <c r="F55" t="s">
        <v>497</v>
      </c>
      <c r="G55" t="s">
        <v>112</v>
      </c>
      <c r="H55" t="s">
        <v>498</v>
      </c>
      <c r="I55" s="112" t="s">
        <v>8</v>
      </c>
    </row>
    <row r="56" spans="1:9">
      <c r="A56" s="112" t="s">
        <v>495</v>
      </c>
      <c r="B56" t="s">
        <v>499</v>
      </c>
      <c r="C56" t="s">
        <v>27</v>
      </c>
      <c r="D56">
        <v>4</v>
      </c>
      <c r="E56" t="s">
        <v>101</v>
      </c>
      <c r="F56" t="s">
        <v>497</v>
      </c>
      <c r="G56" t="s">
        <v>112</v>
      </c>
      <c r="H56" t="s">
        <v>498</v>
      </c>
      <c r="I56" s="112" t="s">
        <v>462</v>
      </c>
    </row>
    <row r="57" spans="1:9">
      <c r="A57" s="112" t="s">
        <v>495</v>
      </c>
      <c r="B57" t="s">
        <v>499</v>
      </c>
      <c r="C57" t="s">
        <v>28</v>
      </c>
      <c r="E57" t="s">
        <v>101</v>
      </c>
      <c r="F57" t="s">
        <v>497</v>
      </c>
      <c r="G57" t="s">
        <v>112</v>
      </c>
      <c r="H57" t="s">
        <v>498</v>
      </c>
      <c r="I57" s="112" t="s">
        <v>462</v>
      </c>
    </row>
    <row r="58" spans="1:9">
      <c r="A58" s="112" t="s">
        <v>495</v>
      </c>
      <c r="B58" t="s">
        <v>499</v>
      </c>
      <c r="C58" t="s">
        <v>29</v>
      </c>
      <c r="D58">
        <v>28</v>
      </c>
      <c r="E58" t="s">
        <v>101</v>
      </c>
      <c r="F58" t="s">
        <v>497</v>
      </c>
      <c r="G58" t="s">
        <v>112</v>
      </c>
      <c r="H58" t="s">
        <v>498</v>
      </c>
      <c r="I58" s="112" t="s">
        <v>462</v>
      </c>
    </row>
    <row r="59" spans="1:9">
      <c r="A59" s="112" t="s">
        <v>495</v>
      </c>
      <c r="B59" t="s">
        <v>499</v>
      </c>
      <c r="C59" t="s">
        <v>30</v>
      </c>
      <c r="D59">
        <v>16</v>
      </c>
      <c r="E59" t="s">
        <v>101</v>
      </c>
      <c r="F59" t="s">
        <v>497</v>
      </c>
      <c r="G59" t="s">
        <v>112</v>
      </c>
      <c r="H59" t="s">
        <v>498</v>
      </c>
      <c r="I59" s="112" t="s">
        <v>462</v>
      </c>
    </row>
    <row r="60" spans="1:9">
      <c r="A60" s="112" t="s">
        <v>495</v>
      </c>
      <c r="B60" t="s">
        <v>499</v>
      </c>
      <c r="C60" t="s">
        <v>32</v>
      </c>
      <c r="E60" t="s">
        <v>101</v>
      </c>
      <c r="F60" t="s">
        <v>497</v>
      </c>
      <c r="G60" t="s">
        <v>112</v>
      </c>
      <c r="H60" t="s">
        <v>498</v>
      </c>
      <c r="I60" s="112" t="s">
        <v>462</v>
      </c>
    </row>
    <row r="61" spans="1:9">
      <c r="A61" s="112" t="s">
        <v>495</v>
      </c>
      <c r="B61" t="s">
        <v>499</v>
      </c>
      <c r="C61" t="s">
        <v>34</v>
      </c>
      <c r="D61">
        <v>48</v>
      </c>
      <c r="E61" t="s">
        <v>101</v>
      </c>
      <c r="F61" t="s">
        <v>497</v>
      </c>
      <c r="G61" t="s">
        <v>112</v>
      </c>
      <c r="H61" t="s">
        <v>498</v>
      </c>
      <c r="I61" s="112" t="s">
        <v>462</v>
      </c>
    </row>
    <row r="62" spans="1:9">
      <c r="A62" s="112" t="s">
        <v>495</v>
      </c>
      <c r="B62" t="s">
        <v>500</v>
      </c>
      <c r="C62" t="s">
        <v>27</v>
      </c>
      <c r="D62">
        <v>4</v>
      </c>
      <c r="E62" t="s">
        <v>157</v>
      </c>
      <c r="F62" t="s">
        <v>497</v>
      </c>
      <c r="G62" t="s">
        <v>112</v>
      </c>
      <c r="H62" t="s">
        <v>498</v>
      </c>
      <c r="I62" s="112" t="s">
        <v>159</v>
      </c>
    </row>
    <row r="63" spans="1:9">
      <c r="A63" s="112" t="s">
        <v>495</v>
      </c>
      <c r="B63" t="s">
        <v>500</v>
      </c>
      <c r="C63" t="s">
        <v>28</v>
      </c>
      <c r="D63">
        <v>2</v>
      </c>
      <c r="E63" t="s">
        <v>157</v>
      </c>
      <c r="F63" t="s">
        <v>497</v>
      </c>
      <c r="G63" t="s">
        <v>112</v>
      </c>
      <c r="H63" t="s">
        <v>498</v>
      </c>
      <c r="I63" s="112" t="s">
        <v>159</v>
      </c>
    </row>
    <row r="64" spans="1:9">
      <c r="A64" s="112" t="s">
        <v>495</v>
      </c>
      <c r="B64" t="s">
        <v>500</v>
      </c>
      <c r="C64" t="s">
        <v>29</v>
      </c>
      <c r="D64">
        <v>34</v>
      </c>
      <c r="E64" t="s">
        <v>157</v>
      </c>
      <c r="F64" t="s">
        <v>497</v>
      </c>
      <c r="G64" t="s">
        <v>112</v>
      </c>
      <c r="H64" t="s">
        <v>498</v>
      </c>
      <c r="I64" s="112" t="s">
        <v>159</v>
      </c>
    </row>
    <row r="65" spans="1:9">
      <c r="A65" s="112" t="s">
        <v>495</v>
      </c>
      <c r="B65" t="s">
        <v>500</v>
      </c>
      <c r="C65" t="s">
        <v>30</v>
      </c>
      <c r="D65">
        <v>30</v>
      </c>
      <c r="E65" t="s">
        <v>157</v>
      </c>
      <c r="F65" t="s">
        <v>497</v>
      </c>
      <c r="G65" t="s">
        <v>112</v>
      </c>
      <c r="H65" t="s">
        <v>498</v>
      </c>
      <c r="I65" s="112" t="s">
        <v>159</v>
      </c>
    </row>
    <row r="66" spans="1:9">
      <c r="A66" s="112" t="s">
        <v>495</v>
      </c>
      <c r="B66" t="s">
        <v>500</v>
      </c>
      <c r="C66" t="s">
        <v>32</v>
      </c>
      <c r="E66" t="s">
        <v>157</v>
      </c>
      <c r="F66" t="s">
        <v>497</v>
      </c>
      <c r="G66" t="s">
        <v>112</v>
      </c>
      <c r="H66" t="s">
        <v>498</v>
      </c>
      <c r="I66" s="112" t="s">
        <v>159</v>
      </c>
    </row>
    <row r="67" spans="1:9">
      <c r="A67" s="112" t="s">
        <v>495</v>
      </c>
      <c r="B67" t="s">
        <v>500</v>
      </c>
      <c r="C67" t="s">
        <v>34</v>
      </c>
      <c r="D67">
        <v>70</v>
      </c>
      <c r="E67" t="s">
        <v>157</v>
      </c>
      <c r="F67" t="s">
        <v>497</v>
      </c>
      <c r="G67" t="s">
        <v>112</v>
      </c>
      <c r="H67" t="s">
        <v>498</v>
      </c>
      <c r="I67" s="112" t="s">
        <v>159</v>
      </c>
    </row>
    <row r="68" spans="1:9">
      <c r="A68" s="112" t="s">
        <v>495</v>
      </c>
      <c r="B68" t="s">
        <v>501</v>
      </c>
      <c r="C68" t="s">
        <v>27</v>
      </c>
      <c r="D68">
        <v>20</v>
      </c>
      <c r="E68" t="s">
        <v>200</v>
      </c>
      <c r="F68" t="s">
        <v>497</v>
      </c>
      <c r="G68" t="s">
        <v>112</v>
      </c>
      <c r="H68" t="s">
        <v>498</v>
      </c>
      <c r="I68" s="112" t="s">
        <v>202</v>
      </c>
    </row>
    <row r="69" spans="1:9">
      <c r="A69" s="112" t="s">
        <v>495</v>
      </c>
      <c r="B69" t="s">
        <v>501</v>
      </c>
      <c r="C69" t="s">
        <v>28</v>
      </c>
      <c r="E69" t="s">
        <v>200</v>
      </c>
      <c r="F69" t="s">
        <v>497</v>
      </c>
      <c r="G69" t="s">
        <v>112</v>
      </c>
      <c r="H69" t="s">
        <v>498</v>
      </c>
      <c r="I69" s="112" t="s">
        <v>202</v>
      </c>
    </row>
    <row r="70" spans="1:9">
      <c r="A70" s="112" t="s">
        <v>495</v>
      </c>
      <c r="B70" t="s">
        <v>501</v>
      </c>
      <c r="C70" t="s">
        <v>29</v>
      </c>
      <c r="D70">
        <v>18</v>
      </c>
      <c r="E70" t="s">
        <v>200</v>
      </c>
      <c r="F70" t="s">
        <v>497</v>
      </c>
      <c r="G70" t="s">
        <v>112</v>
      </c>
      <c r="H70" t="s">
        <v>498</v>
      </c>
      <c r="I70" s="112" t="s">
        <v>202</v>
      </c>
    </row>
    <row r="71" spans="1:9">
      <c r="A71" s="112" t="s">
        <v>495</v>
      </c>
      <c r="B71" t="s">
        <v>501</v>
      </c>
      <c r="C71" t="s">
        <v>30</v>
      </c>
      <c r="D71">
        <v>2</v>
      </c>
      <c r="E71" t="s">
        <v>200</v>
      </c>
      <c r="F71" t="s">
        <v>497</v>
      </c>
      <c r="G71" t="s">
        <v>112</v>
      </c>
      <c r="H71" t="s">
        <v>498</v>
      </c>
      <c r="I71" s="112" t="s">
        <v>202</v>
      </c>
    </row>
    <row r="72" spans="1:9">
      <c r="A72" s="112" t="s">
        <v>495</v>
      </c>
      <c r="B72" t="s">
        <v>501</v>
      </c>
      <c r="C72" t="s">
        <v>32</v>
      </c>
      <c r="E72" t="s">
        <v>200</v>
      </c>
      <c r="F72" t="s">
        <v>497</v>
      </c>
      <c r="G72" t="s">
        <v>112</v>
      </c>
      <c r="H72" t="s">
        <v>498</v>
      </c>
      <c r="I72" s="112" t="s">
        <v>202</v>
      </c>
    </row>
    <row r="73" spans="1:9">
      <c r="A73" s="112" t="s">
        <v>495</v>
      </c>
      <c r="B73" t="s">
        <v>501</v>
      </c>
      <c r="C73" t="s">
        <v>34</v>
      </c>
      <c r="D73">
        <v>40</v>
      </c>
      <c r="E73" t="s">
        <v>200</v>
      </c>
      <c r="F73" t="s">
        <v>497</v>
      </c>
      <c r="G73" t="s">
        <v>112</v>
      </c>
      <c r="H73" t="s">
        <v>498</v>
      </c>
      <c r="I73" s="112" t="s">
        <v>202</v>
      </c>
    </row>
    <row r="74" spans="1:9">
      <c r="A74" s="112" t="s">
        <v>495</v>
      </c>
      <c r="B74" t="s">
        <v>502</v>
      </c>
      <c r="C74" t="s">
        <v>27</v>
      </c>
      <c r="D74">
        <v>20</v>
      </c>
      <c r="E74" t="s">
        <v>229</v>
      </c>
      <c r="F74" t="s">
        <v>497</v>
      </c>
      <c r="G74" t="s">
        <v>112</v>
      </c>
      <c r="H74" t="s">
        <v>498</v>
      </c>
      <c r="I74" s="112" t="s">
        <v>231</v>
      </c>
    </row>
    <row r="75" spans="1:9">
      <c r="A75" s="112" t="s">
        <v>495</v>
      </c>
      <c r="B75" t="s">
        <v>502</v>
      </c>
      <c r="C75" t="s">
        <v>28</v>
      </c>
      <c r="E75" t="s">
        <v>229</v>
      </c>
      <c r="F75" t="s">
        <v>497</v>
      </c>
      <c r="G75" t="s">
        <v>112</v>
      </c>
      <c r="H75" t="s">
        <v>498</v>
      </c>
      <c r="I75" s="112" t="s">
        <v>231</v>
      </c>
    </row>
    <row r="76" spans="1:9">
      <c r="A76" s="112" t="s">
        <v>495</v>
      </c>
      <c r="B76" t="s">
        <v>502</v>
      </c>
      <c r="C76" t="s">
        <v>29</v>
      </c>
      <c r="D76">
        <v>20</v>
      </c>
      <c r="E76" t="s">
        <v>229</v>
      </c>
      <c r="F76" t="s">
        <v>497</v>
      </c>
      <c r="G76" t="s">
        <v>112</v>
      </c>
      <c r="H76" t="s">
        <v>498</v>
      </c>
      <c r="I76" s="112" t="s">
        <v>231</v>
      </c>
    </row>
    <row r="77" spans="1:9">
      <c r="A77" s="112" t="s">
        <v>495</v>
      </c>
      <c r="B77" t="s">
        <v>502</v>
      </c>
      <c r="C77" t="s">
        <v>30</v>
      </c>
      <c r="E77" t="s">
        <v>229</v>
      </c>
      <c r="F77" t="s">
        <v>497</v>
      </c>
      <c r="G77" t="s">
        <v>112</v>
      </c>
      <c r="H77" t="s">
        <v>498</v>
      </c>
      <c r="I77" s="112" t="s">
        <v>231</v>
      </c>
    </row>
    <row r="78" spans="1:9">
      <c r="A78" s="112" t="s">
        <v>495</v>
      </c>
      <c r="B78" t="s">
        <v>502</v>
      </c>
      <c r="C78" t="s">
        <v>32</v>
      </c>
      <c r="E78" t="s">
        <v>229</v>
      </c>
      <c r="F78" t="s">
        <v>497</v>
      </c>
      <c r="G78" t="s">
        <v>112</v>
      </c>
      <c r="H78" t="s">
        <v>498</v>
      </c>
      <c r="I78" s="112" t="s">
        <v>231</v>
      </c>
    </row>
    <row r="79" spans="1:9">
      <c r="A79" s="112" t="s">
        <v>495</v>
      </c>
      <c r="B79" t="s">
        <v>502</v>
      </c>
      <c r="C79" t="s">
        <v>34</v>
      </c>
      <c r="D79">
        <v>40</v>
      </c>
      <c r="E79" t="s">
        <v>229</v>
      </c>
      <c r="F79" t="s">
        <v>497</v>
      </c>
      <c r="G79" t="s">
        <v>112</v>
      </c>
      <c r="H79" t="s">
        <v>498</v>
      </c>
      <c r="I79" s="112" t="s">
        <v>231</v>
      </c>
    </row>
    <row r="80" spans="1:9">
      <c r="A80" s="112" t="s">
        <v>495</v>
      </c>
      <c r="B80" t="s">
        <v>503</v>
      </c>
      <c r="C80" t="s">
        <v>27</v>
      </c>
      <c r="D80">
        <v>10</v>
      </c>
      <c r="E80" t="s">
        <v>254</v>
      </c>
      <c r="F80" t="s">
        <v>497</v>
      </c>
      <c r="G80" t="s">
        <v>112</v>
      </c>
      <c r="H80" t="s">
        <v>498</v>
      </c>
      <c r="I80" s="112" t="s">
        <v>255</v>
      </c>
    </row>
    <row r="81" spans="1:9">
      <c r="A81" s="112" t="s">
        <v>495</v>
      </c>
      <c r="B81" t="s">
        <v>503</v>
      </c>
      <c r="C81" t="s">
        <v>28</v>
      </c>
      <c r="D81">
        <v>10</v>
      </c>
      <c r="E81" t="s">
        <v>254</v>
      </c>
      <c r="F81" t="s">
        <v>497</v>
      </c>
      <c r="G81" t="s">
        <v>112</v>
      </c>
      <c r="H81" t="s">
        <v>498</v>
      </c>
      <c r="I81" s="112" t="s">
        <v>255</v>
      </c>
    </row>
    <row r="82" spans="1:9">
      <c r="A82" s="112" t="s">
        <v>495</v>
      </c>
      <c r="B82" t="s">
        <v>503</v>
      </c>
      <c r="C82" t="s">
        <v>29</v>
      </c>
      <c r="D82">
        <v>20</v>
      </c>
      <c r="E82" t="s">
        <v>254</v>
      </c>
      <c r="F82" t="s">
        <v>497</v>
      </c>
      <c r="G82" t="s">
        <v>112</v>
      </c>
      <c r="H82" t="s">
        <v>498</v>
      </c>
      <c r="I82" s="112" t="s">
        <v>255</v>
      </c>
    </row>
    <row r="83" spans="1:9">
      <c r="A83" s="112" t="s">
        <v>495</v>
      </c>
      <c r="B83" t="s">
        <v>503</v>
      </c>
      <c r="C83" t="s">
        <v>30</v>
      </c>
      <c r="D83">
        <v>0</v>
      </c>
      <c r="E83" t="s">
        <v>254</v>
      </c>
      <c r="F83" t="s">
        <v>497</v>
      </c>
      <c r="G83" t="s">
        <v>112</v>
      </c>
      <c r="H83" t="s">
        <v>498</v>
      </c>
      <c r="I83" s="112" t="s">
        <v>255</v>
      </c>
    </row>
    <row r="84" spans="1:9">
      <c r="A84" s="112" t="s">
        <v>495</v>
      </c>
      <c r="B84" t="s">
        <v>503</v>
      </c>
      <c r="C84" t="s">
        <v>32</v>
      </c>
      <c r="D84">
        <v>0</v>
      </c>
      <c r="E84" t="s">
        <v>254</v>
      </c>
      <c r="F84" t="s">
        <v>497</v>
      </c>
      <c r="G84" t="s">
        <v>112</v>
      </c>
      <c r="H84" t="s">
        <v>498</v>
      </c>
      <c r="I84" s="112" t="s">
        <v>255</v>
      </c>
    </row>
    <row r="85" spans="1:9">
      <c r="A85" s="112" t="s">
        <v>495</v>
      </c>
      <c r="B85" t="s">
        <v>503</v>
      </c>
      <c r="C85" t="s">
        <v>34</v>
      </c>
      <c r="D85">
        <v>40</v>
      </c>
      <c r="E85" t="s">
        <v>254</v>
      </c>
      <c r="F85" t="s">
        <v>497</v>
      </c>
      <c r="G85" t="s">
        <v>112</v>
      </c>
      <c r="H85" t="s">
        <v>498</v>
      </c>
      <c r="I85" s="112" t="s">
        <v>255</v>
      </c>
    </row>
    <row r="86" spans="1:9">
      <c r="A86" s="112" t="s">
        <v>495</v>
      </c>
      <c r="B86" t="s">
        <v>507</v>
      </c>
      <c r="C86" t="s">
        <v>27</v>
      </c>
      <c r="D86">
        <v>11</v>
      </c>
      <c r="E86" t="s">
        <v>292</v>
      </c>
      <c r="F86" t="s">
        <v>497</v>
      </c>
      <c r="G86" t="s">
        <v>112</v>
      </c>
      <c r="H86" t="s">
        <v>498</v>
      </c>
      <c r="I86" s="112" t="s">
        <v>293</v>
      </c>
    </row>
    <row r="87" spans="1:9">
      <c r="A87" s="112" t="s">
        <v>495</v>
      </c>
      <c r="B87" t="s">
        <v>507</v>
      </c>
      <c r="C87" t="s">
        <v>28</v>
      </c>
      <c r="D87">
        <v>11</v>
      </c>
      <c r="E87" t="s">
        <v>292</v>
      </c>
      <c r="F87" t="s">
        <v>497</v>
      </c>
      <c r="G87" t="s">
        <v>112</v>
      </c>
      <c r="H87" t="s">
        <v>498</v>
      </c>
      <c r="I87" s="112" t="s">
        <v>293</v>
      </c>
    </row>
    <row r="88" spans="1:9">
      <c r="A88" s="112" t="s">
        <v>495</v>
      </c>
      <c r="B88" t="s">
        <v>507</v>
      </c>
      <c r="C88" t="s">
        <v>29</v>
      </c>
      <c r="D88">
        <v>14</v>
      </c>
      <c r="E88" t="s">
        <v>292</v>
      </c>
      <c r="F88" t="s">
        <v>497</v>
      </c>
      <c r="G88" t="s">
        <v>112</v>
      </c>
      <c r="H88" t="s">
        <v>498</v>
      </c>
      <c r="I88" s="112" t="s">
        <v>293</v>
      </c>
    </row>
    <row r="89" spans="1:9">
      <c r="A89" s="112" t="s">
        <v>495</v>
      </c>
      <c r="B89" t="s">
        <v>507</v>
      </c>
      <c r="C89" t="s">
        <v>30</v>
      </c>
      <c r="D89">
        <v>4</v>
      </c>
      <c r="E89" t="s">
        <v>292</v>
      </c>
      <c r="F89" t="s">
        <v>497</v>
      </c>
      <c r="G89" t="s">
        <v>112</v>
      </c>
      <c r="H89" t="s">
        <v>498</v>
      </c>
      <c r="I89" s="112" t="s">
        <v>293</v>
      </c>
    </row>
    <row r="90" spans="1:9">
      <c r="A90" s="112" t="s">
        <v>495</v>
      </c>
      <c r="B90" t="s">
        <v>507</v>
      </c>
      <c r="C90" t="s">
        <v>32</v>
      </c>
      <c r="D90">
        <v>0</v>
      </c>
      <c r="E90" t="s">
        <v>292</v>
      </c>
      <c r="F90" t="s">
        <v>497</v>
      </c>
      <c r="G90" t="s">
        <v>112</v>
      </c>
      <c r="H90" t="s">
        <v>498</v>
      </c>
      <c r="I90" s="112" t="s">
        <v>293</v>
      </c>
    </row>
    <row r="91" spans="1:9">
      <c r="A91" s="112" t="s">
        <v>495</v>
      </c>
      <c r="B91" t="s">
        <v>507</v>
      </c>
      <c r="C91" t="s">
        <v>34</v>
      </c>
      <c r="D91">
        <v>40</v>
      </c>
      <c r="E91" t="s">
        <v>292</v>
      </c>
      <c r="F91" t="s">
        <v>497</v>
      </c>
      <c r="G91" t="s">
        <v>112</v>
      </c>
      <c r="H91" t="s">
        <v>498</v>
      </c>
      <c r="I91" s="112" t="s">
        <v>293</v>
      </c>
    </row>
    <row r="92" spans="1:9">
      <c r="A92" s="112" t="s">
        <v>495</v>
      </c>
      <c r="B92" t="s">
        <v>506</v>
      </c>
      <c r="C92" t="s">
        <v>27</v>
      </c>
      <c r="E92" t="s">
        <v>326</v>
      </c>
      <c r="F92" t="s">
        <v>497</v>
      </c>
      <c r="G92" t="s">
        <v>112</v>
      </c>
      <c r="H92" t="s">
        <v>498</v>
      </c>
      <c r="I92" s="112" t="s">
        <v>464</v>
      </c>
    </row>
    <row r="93" spans="1:9">
      <c r="A93" s="112" t="s">
        <v>495</v>
      </c>
      <c r="B93" t="s">
        <v>506</v>
      </c>
      <c r="C93" t="s">
        <v>28</v>
      </c>
      <c r="E93" t="s">
        <v>326</v>
      </c>
      <c r="F93" t="s">
        <v>497</v>
      </c>
      <c r="G93" t="s">
        <v>112</v>
      </c>
      <c r="H93" t="s">
        <v>498</v>
      </c>
      <c r="I93" s="112" t="s">
        <v>464</v>
      </c>
    </row>
    <row r="94" spans="1:9">
      <c r="A94" s="112" t="s">
        <v>495</v>
      </c>
      <c r="B94" t="s">
        <v>506</v>
      </c>
      <c r="C94" t="s">
        <v>29</v>
      </c>
      <c r="E94" t="s">
        <v>326</v>
      </c>
      <c r="F94" t="s">
        <v>497</v>
      </c>
      <c r="G94" t="s">
        <v>112</v>
      </c>
      <c r="H94" t="s">
        <v>498</v>
      </c>
      <c r="I94" s="112" t="s">
        <v>464</v>
      </c>
    </row>
    <row r="95" spans="1:9">
      <c r="A95" s="112" t="s">
        <v>495</v>
      </c>
      <c r="B95" t="s">
        <v>506</v>
      </c>
      <c r="C95" t="s">
        <v>30</v>
      </c>
      <c r="E95" t="s">
        <v>326</v>
      </c>
      <c r="F95" t="s">
        <v>497</v>
      </c>
      <c r="G95" t="s">
        <v>112</v>
      </c>
      <c r="H95" t="s">
        <v>498</v>
      </c>
      <c r="I95" s="112" t="s">
        <v>464</v>
      </c>
    </row>
    <row r="96" spans="1:9">
      <c r="A96" s="112" t="s">
        <v>495</v>
      </c>
      <c r="B96" t="s">
        <v>506</v>
      </c>
      <c r="C96" t="s">
        <v>32</v>
      </c>
      <c r="E96" t="s">
        <v>326</v>
      </c>
      <c r="F96" t="s">
        <v>497</v>
      </c>
      <c r="G96" t="s">
        <v>112</v>
      </c>
      <c r="H96" t="s">
        <v>498</v>
      </c>
      <c r="I96" s="112" t="s">
        <v>464</v>
      </c>
    </row>
    <row r="97" spans="1:9">
      <c r="A97" s="112" t="s">
        <v>495</v>
      </c>
      <c r="B97" t="s">
        <v>506</v>
      </c>
      <c r="C97" t="s">
        <v>34</v>
      </c>
      <c r="D97">
        <v>0</v>
      </c>
      <c r="E97" t="s">
        <v>326</v>
      </c>
      <c r="F97" t="s">
        <v>497</v>
      </c>
      <c r="G97" t="s">
        <v>112</v>
      </c>
      <c r="H97" t="s">
        <v>498</v>
      </c>
      <c r="I97" s="112" t="s">
        <v>464</v>
      </c>
    </row>
    <row r="98" spans="1:9">
      <c r="A98" s="112" t="s">
        <v>495</v>
      </c>
      <c r="B98" t="s">
        <v>508</v>
      </c>
      <c r="C98" t="s">
        <v>27</v>
      </c>
      <c r="D98">
        <v>20</v>
      </c>
      <c r="E98" t="s">
        <v>465</v>
      </c>
      <c r="F98" t="s">
        <v>497</v>
      </c>
      <c r="G98" t="s">
        <v>112</v>
      </c>
      <c r="H98" t="s">
        <v>498</v>
      </c>
      <c r="I98" s="112" t="s">
        <v>466</v>
      </c>
    </row>
    <row r="99" spans="1:9">
      <c r="A99" s="112" t="s">
        <v>495</v>
      </c>
      <c r="B99" t="s">
        <v>508</v>
      </c>
      <c r="C99" t="s">
        <v>28</v>
      </c>
      <c r="E99" t="s">
        <v>465</v>
      </c>
      <c r="F99" t="s">
        <v>497</v>
      </c>
      <c r="G99" t="s">
        <v>112</v>
      </c>
      <c r="H99" t="s">
        <v>498</v>
      </c>
      <c r="I99" s="112" t="s">
        <v>466</v>
      </c>
    </row>
    <row r="100" spans="1:9">
      <c r="A100" s="112" t="s">
        <v>495</v>
      </c>
      <c r="B100" t="s">
        <v>508</v>
      </c>
      <c r="C100" t="s">
        <v>29</v>
      </c>
      <c r="D100">
        <v>20</v>
      </c>
      <c r="E100" t="s">
        <v>465</v>
      </c>
      <c r="F100" t="s">
        <v>497</v>
      </c>
      <c r="G100" t="s">
        <v>112</v>
      </c>
      <c r="H100" t="s">
        <v>498</v>
      </c>
      <c r="I100" s="112" t="s">
        <v>466</v>
      </c>
    </row>
    <row r="101" spans="1:9">
      <c r="A101" s="112" t="s">
        <v>495</v>
      </c>
      <c r="B101" t="s">
        <v>508</v>
      </c>
      <c r="C101" t="s">
        <v>30</v>
      </c>
      <c r="E101" t="s">
        <v>465</v>
      </c>
      <c r="F101" t="s">
        <v>497</v>
      </c>
      <c r="G101" t="s">
        <v>112</v>
      </c>
      <c r="H101" t="s">
        <v>498</v>
      </c>
      <c r="I101" s="112" t="s">
        <v>466</v>
      </c>
    </row>
    <row r="102" spans="1:9">
      <c r="A102" s="112" t="s">
        <v>495</v>
      </c>
      <c r="B102" t="s">
        <v>508</v>
      </c>
      <c r="C102" t="s">
        <v>32</v>
      </c>
      <c r="D102">
        <v>0</v>
      </c>
      <c r="E102" t="s">
        <v>465</v>
      </c>
      <c r="F102" t="s">
        <v>497</v>
      </c>
      <c r="G102" t="s">
        <v>112</v>
      </c>
      <c r="H102" t="s">
        <v>498</v>
      </c>
      <c r="I102" s="112" t="s">
        <v>466</v>
      </c>
    </row>
    <row r="103" spans="1:9">
      <c r="A103" s="112" t="s">
        <v>495</v>
      </c>
      <c r="B103" t="s">
        <v>508</v>
      </c>
      <c r="C103" t="s">
        <v>34</v>
      </c>
      <c r="D103">
        <v>40</v>
      </c>
      <c r="E103" t="s">
        <v>465</v>
      </c>
      <c r="F103" t="s">
        <v>497</v>
      </c>
      <c r="G103" t="s">
        <v>112</v>
      </c>
      <c r="H103" t="s">
        <v>498</v>
      </c>
      <c r="I103" s="112" t="s">
        <v>466</v>
      </c>
    </row>
    <row r="104" spans="1:9">
      <c r="A104" s="112" t="s">
        <v>495</v>
      </c>
      <c r="B104" t="s">
        <v>509</v>
      </c>
      <c r="C104" t="s">
        <v>27</v>
      </c>
      <c r="D104">
        <v>10</v>
      </c>
      <c r="E104" t="s">
        <v>368</v>
      </c>
      <c r="F104" t="s">
        <v>497</v>
      </c>
      <c r="G104" t="s">
        <v>112</v>
      </c>
      <c r="H104" t="s">
        <v>498</v>
      </c>
      <c r="I104" s="112" t="s">
        <v>467</v>
      </c>
    </row>
    <row r="105" spans="1:9">
      <c r="A105" s="112" t="s">
        <v>495</v>
      </c>
      <c r="B105" t="s">
        <v>509</v>
      </c>
      <c r="C105" t="s">
        <v>28</v>
      </c>
      <c r="D105">
        <v>20</v>
      </c>
      <c r="E105" t="s">
        <v>368</v>
      </c>
      <c r="F105" t="s">
        <v>497</v>
      </c>
      <c r="G105" t="s">
        <v>112</v>
      </c>
      <c r="H105" t="s">
        <v>498</v>
      </c>
      <c r="I105" s="112" t="s">
        <v>467</v>
      </c>
    </row>
    <row r="106" spans="1:9">
      <c r="A106" s="112" t="s">
        <v>495</v>
      </c>
      <c r="B106" t="s">
        <v>509</v>
      </c>
      <c r="C106" t="s">
        <v>29</v>
      </c>
      <c r="E106" t="s">
        <v>368</v>
      </c>
      <c r="F106" t="s">
        <v>497</v>
      </c>
      <c r="G106" t="s">
        <v>112</v>
      </c>
      <c r="H106" t="s">
        <v>498</v>
      </c>
      <c r="I106" s="112" t="s">
        <v>467</v>
      </c>
    </row>
    <row r="107" spans="1:9">
      <c r="A107" s="112" t="s">
        <v>495</v>
      </c>
      <c r="B107" t="s">
        <v>509</v>
      </c>
      <c r="C107" t="s">
        <v>30</v>
      </c>
      <c r="D107">
        <v>10</v>
      </c>
      <c r="E107" t="s">
        <v>368</v>
      </c>
      <c r="F107" t="s">
        <v>497</v>
      </c>
      <c r="G107" t="s">
        <v>112</v>
      </c>
      <c r="H107" t="s">
        <v>498</v>
      </c>
      <c r="I107" s="112" t="s">
        <v>467</v>
      </c>
    </row>
    <row r="108" spans="1:9">
      <c r="A108" s="112" t="s">
        <v>495</v>
      </c>
      <c r="B108" t="s">
        <v>509</v>
      </c>
      <c r="C108" t="s">
        <v>32</v>
      </c>
      <c r="E108" t="s">
        <v>368</v>
      </c>
      <c r="F108" t="s">
        <v>497</v>
      </c>
      <c r="G108" t="s">
        <v>112</v>
      </c>
      <c r="H108" t="s">
        <v>498</v>
      </c>
      <c r="I108" s="112" t="s">
        <v>467</v>
      </c>
    </row>
    <row r="109" spans="1:9">
      <c r="A109" s="112" t="s">
        <v>495</v>
      </c>
      <c r="B109" t="s">
        <v>509</v>
      </c>
      <c r="C109" t="s">
        <v>34</v>
      </c>
      <c r="D109">
        <v>40</v>
      </c>
      <c r="E109" t="s">
        <v>368</v>
      </c>
      <c r="F109" t="s">
        <v>497</v>
      </c>
      <c r="G109" t="s">
        <v>112</v>
      </c>
      <c r="H109" t="s">
        <v>498</v>
      </c>
      <c r="I109" s="112" t="s">
        <v>467</v>
      </c>
    </row>
    <row r="110" spans="1:9">
      <c r="A110" s="112" t="s">
        <v>495</v>
      </c>
      <c r="B110" t="s">
        <v>505</v>
      </c>
      <c r="C110" t="s">
        <v>27</v>
      </c>
      <c r="D110">
        <v>4</v>
      </c>
      <c r="E110" t="s">
        <v>402</v>
      </c>
      <c r="F110" t="s">
        <v>497</v>
      </c>
      <c r="G110" t="s">
        <v>112</v>
      </c>
      <c r="H110" t="s">
        <v>498</v>
      </c>
      <c r="I110" s="112" t="s">
        <v>463</v>
      </c>
    </row>
    <row r="111" spans="1:9">
      <c r="A111" s="112" t="s">
        <v>495</v>
      </c>
      <c r="B111" t="s">
        <v>505</v>
      </c>
      <c r="C111" t="s">
        <v>28</v>
      </c>
      <c r="D111">
        <v>6</v>
      </c>
      <c r="E111" t="s">
        <v>402</v>
      </c>
      <c r="F111" t="s">
        <v>497</v>
      </c>
      <c r="G111" t="s">
        <v>112</v>
      </c>
      <c r="H111" t="s">
        <v>498</v>
      </c>
      <c r="I111" s="112" t="s">
        <v>463</v>
      </c>
    </row>
    <row r="112" spans="1:9">
      <c r="A112" s="112" t="s">
        <v>495</v>
      </c>
      <c r="B112" t="s">
        <v>505</v>
      </c>
      <c r="C112" t="s">
        <v>29</v>
      </c>
      <c r="D112">
        <v>60</v>
      </c>
      <c r="E112" t="s">
        <v>402</v>
      </c>
      <c r="F112" t="s">
        <v>497</v>
      </c>
      <c r="G112" t="s">
        <v>112</v>
      </c>
      <c r="H112" t="s">
        <v>498</v>
      </c>
      <c r="I112" s="112" t="s">
        <v>463</v>
      </c>
    </row>
    <row r="113" spans="1:9">
      <c r="A113" s="112" t="s">
        <v>495</v>
      </c>
      <c r="B113" t="s">
        <v>505</v>
      </c>
      <c r="C113" t="s">
        <v>30</v>
      </c>
      <c r="D113">
        <v>30</v>
      </c>
      <c r="E113" t="s">
        <v>402</v>
      </c>
      <c r="F113" t="s">
        <v>497</v>
      </c>
      <c r="G113" t="s">
        <v>112</v>
      </c>
      <c r="H113" t="s">
        <v>498</v>
      </c>
      <c r="I113" s="112" t="s">
        <v>463</v>
      </c>
    </row>
    <row r="114" spans="1:9">
      <c r="A114" s="112" t="s">
        <v>495</v>
      </c>
      <c r="B114" t="s">
        <v>505</v>
      </c>
      <c r="C114" t="s">
        <v>32</v>
      </c>
      <c r="E114" t="s">
        <v>402</v>
      </c>
      <c r="F114" t="s">
        <v>497</v>
      </c>
      <c r="G114" t="s">
        <v>112</v>
      </c>
      <c r="H114" t="s">
        <v>498</v>
      </c>
      <c r="I114" s="112" t="s">
        <v>463</v>
      </c>
    </row>
    <row r="115" spans="1:9">
      <c r="A115" s="112" t="s">
        <v>495</v>
      </c>
      <c r="B115" t="s">
        <v>505</v>
      </c>
      <c r="C115" t="s">
        <v>34</v>
      </c>
      <c r="D115">
        <v>100</v>
      </c>
      <c r="E115" t="s">
        <v>402</v>
      </c>
      <c r="F115" t="s">
        <v>497</v>
      </c>
      <c r="G115" t="s">
        <v>112</v>
      </c>
      <c r="H115" t="s">
        <v>498</v>
      </c>
      <c r="I115" s="112" t="s">
        <v>463</v>
      </c>
    </row>
    <row r="116" spans="1:9">
      <c r="A116" s="112" t="s">
        <v>495</v>
      </c>
      <c r="B116" t="s">
        <v>504</v>
      </c>
      <c r="C116" t="s">
        <v>27</v>
      </c>
      <c r="D116">
        <v>20</v>
      </c>
      <c r="E116" t="s">
        <v>441</v>
      </c>
      <c r="F116" t="s">
        <v>497</v>
      </c>
      <c r="G116" t="s">
        <v>112</v>
      </c>
      <c r="H116" t="s">
        <v>498</v>
      </c>
      <c r="I116" s="112" t="s">
        <v>443</v>
      </c>
    </row>
    <row r="117" spans="1:9">
      <c r="A117" s="112" t="s">
        <v>495</v>
      </c>
      <c r="B117" t="s">
        <v>504</v>
      </c>
      <c r="C117" t="s">
        <v>28</v>
      </c>
      <c r="D117">
        <v>2</v>
      </c>
      <c r="E117" t="s">
        <v>441</v>
      </c>
      <c r="F117" t="s">
        <v>497</v>
      </c>
      <c r="G117" t="s">
        <v>112</v>
      </c>
      <c r="H117" t="s">
        <v>498</v>
      </c>
      <c r="I117" s="112" t="s">
        <v>443</v>
      </c>
    </row>
    <row r="118" spans="1:9">
      <c r="A118" s="112" t="s">
        <v>495</v>
      </c>
      <c r="B118" t="s">
        <v>504</v>
      </c>
      <c r="C118" t="s">
        <v>29</v>
      </c>
      <c r="D118">
        <v>8</v>
      </c>
      <c r="E118" t="s">
        <v>441</v>
      </c>
      <c r="F118" t="s">
        <v>497</v>
      </c>
      <c r="G118" t="s">
        <v>112</v>
      </c>
      <c r="H118" t="s">
        <v>498</v>
      </c>
      <c r="I118" s="112" t="s">
        <v>443</v>
      </c>
    </row>
    <row r="119" spans="1:9">
      <c r="A119" s="112" t="s">
        <v>495</v>
      </c>
      <c r="B119" t="s">
        <v>504</v>
      </c>
      <c r="C119" t="s">
        <v>30</v>
      </c>
      <c r="D119">
        <v>10</v>
      </c>
      <c r="E119" t="s">
        <v>441</v>
      </c>
      <c r="F119" t="s">
        <v>497</v>
      </c>
      <c r="G119" t="s">
        <v>112</v>
      </c>
      <c r="H119" t="s">
        <v>498</v>
      </c>
      <c r="I119" s="112" t="s">
        <v>443</v>
      </c>
    </row>
    <row r="120" spans="1:9">
      <c r="A120" s="112" t="s">
        <v>495</v>
      </c>
      <c r="B120" t="s">
        <v>504</v>
      </c>
      <c r="C120" t="s">
        <v>32</v>
      </c>
      <c r="E120" t="s">
        <v>441</v>
      </c>
      <c r="F120" t="s">
        <v>497</v>
      </c>
      <c r="G120" t="s">
        <v>112</v>
      </c>
      <c r="H120" t="s">
        <v>498</v>
      </c>
      <c r="I120" s="112" t="s">
        <v>443</v>
      </c>
    </row>
    <row r="121" spans="1:9">
      <c r="A121" s="112" t="s">
        <v>495</v>
      </c>
      <c r="B121" t="s">
        <v>504</v>
      </c>
      <c r="C121" t="s">
        <v>34</v>
      </c>
      <c r="D121">
        <v>40</v>
      </c>
      <c r="E121" t="s">
        <v>441</v>
      </c>
      <c r="F121" t="s">
        <v>497</v>
      </c>
      <c r="G121" t="s">
        <v>112</v>
      </c>
      <c r="H121" t="s">
        <v>498</v>
      </c>
      <c r="I121" s="112" t="s">
        <v>443</v>
      </c>
    </row>
    <row r="122" spans="1:9">
      <c r="A122" s="112" t="s">
        <v>510</v>
      </c>
      <c r="B122" t="s">
        <v>511</v>
      </c>
      <c r="C122" t="s">
        <v>27</v>
      </c>
      <c r="D122">
        <v>42</v>
      </c>
      <c r="E122" t="s">
        <v>468</v>
      </c>
      <c r="F122" t="s">
        <v>497</v>
      </c>
      <c r="G122" t="s">
        <v>112</v>
      </c>
      <c r="H122" t="s">
        <v>498</v>
      </c>
      <c r="I122" s="112" t="s">
        <v>469</v>
      </c>
    </row>
    <row r="123" spans="1:9">
      <c r="A123" s="112" t="s">
        <v>510</v>
      </c>
      <c r="B123" t="s">
        <v>511</v>
      </c>
      <c r="C123" t="s">
        <v>28</v>
      </c>
      <c r="E123" t="s">
        <v>468</v>
      </c>
      <c r="F123" t="s">
        <v>497</v>
      </c>
      <c r="G123" t="s">
        <v>112</v>
      </c>
      <c r="H123" t="s">
        <v>498</v>
      </c>
      <c r="I123" s="112" t="s">
        <v>469</v>
      </c>
    </row>
    <row r="124" spans="1:9">
      <c r="A124" s="112" t="s">
        <v>510</v>
      </c>
      <c r="B124" t="s">
        <v>511</v>
      </c>
      <c r="C124" t="s">
        <v>29</v>
      </c>
      <c r="E124" t="s">
        <v>468</v>
      </c>
      <c r="F124" t="s">
        <v>497</v>
      </c>
      <c r="G124" t="s">
        <v>112</v>
      </c>
      <c r="H124" t="s">
        <v>498</v>
      </c>
      <c r="I124" s="112" t="s">
        <v>469</v>
      </c>
    </row>
    <row r="125" spans="1:9">
      <c r="A125" s="112" t="s">
        <v>510</v>
      </c>
      <c r="B125" t="s">
        <v>511</v>
      </c>
      <c r="C125" t="s">
        <v>30</v>
      </c>
      <c r="E125" t="s">
        <v>468</v>
      </c>
      <c r="F125" t="s">
        <v>497</v>
      </c>
      <c r="G125" t="s">
        <v>112</v>
      </c>
      <c r="H125" t="s">
        <v>498</v>
      </c>
      <c r="I125" s="112" t="s">
        <v>469</v>
      </c>
    </row>
    <row r="126" spans="1:9">
      <c r="A126" s="112" t="s">
        <v>510</v>
      </c>
      <c r="B126" t="s">
        <v>511</v>
      </c>
      <c r="C126" t="s">
        <v>32</v>
      </c>
      <c r="E126" t="s">
        <v>468</v>
      </c>
      <c r="F126" t="s">
        <v>497</v>
      </c>
      <c r="G126" t="s">
        <v>112</v>
      </c>
      <c r="H126" t="s">
        <v>498</v>
      </c>
      <c r="I126" s="112" t="s">
        <v>469</v>
      </c>
    </row>
    <row r="127" spans="1:9">
      <c r="A127" s="112" t="s">
        <v>510</v>
      </c>
      <c r="B127" t="s">
        <v>511</v>
      </c>
      <c r="C127" t="s">
        <v>34</v>
      </c>
      <c r="D127">
        <v>42</v>
      </c>
      <c r="E127" t="s">
        <v>468</v>
      </c>
      <c r="F127" t="s">
        <v>497</v>
      </c>
      <c r="G127" t="s">
        <v>112</v>
      </c>
      <c r="H127" t="s">
        <v>498</v>
      </c>
      <c r="I127" s="112" t="s">
        <v>469</v>
      </c>
    </row>
    <row r="128" spans="1:9">
      <c r="A128" s="112" t="s">
        <v>510</v>
      </c>
      <c r="B128" t="s">
        <v>512</v>
      </c>
      <c r="C128" t="s">
        <v>27</v>
      </c>
      <c r="D128">
        <v>38</v>
      </c>
      <c r="E128" t="s">
        <v>471</v>
      </c>
      <c r="F128" t="s">
        <v>497</v>
      </c>
      <c r="G128" t="s">
        <v>112</v>
      </c>
      <c r="H128" t="s">
        <v>498</v>
      </c>
      <c r="I128" s="112" t="s">
        <v>472</v>
      </c>
    </row>
    <row r="129" spans="1:9">
      <c r="A129" s="112" t="s">
        <v>510</v>
      </c>
      <c r="B129" t="s">
        <v>512</v>
      </c>
      <c r="C129" t="s">
        <v>28</v>
      </c>
      <c r="D129">
        <v>6</v>
      </c>
      <c r="E129" t="s">
        <v>471</v>
      </c>
      <c r="F129" t="s">
        <v>497</v>
      </c>
      <c r="G129" t="s">
        <v>112</v>
      </c>
      <c r="H129" t="s">
        <v>498</v>
      </c>
      <c r="I129" s="112" t="s">
        <v>472</v>
      </c>
    </row>
    <row r="130" spans="1:9">
      <c r="A130" s="112" t="s">
        <v>510</v>
      </c>
      <c r="B130" t="s">
        <v>512</v>
      </c>
      <c r="C130" t="s">
        <v>29</v>
      </c>
      <c r="D130">
        <v>0</v>
      </c>
      <c r="E130" t="s">
        <v>471</v>
      </c>
      <c r="F130" t="s">
        <v>497</v>
      </c>
      <c r="G130" t="s">
        <v>112</v>
      </c>
      <c r="H130" t="s">
        <v>498</v>
      </c>
      <c r="I130" s="112" t="s">
        <v>472</v>
      </c>
    </row>
    <row r="131" spans="1:9">
      <c r="A131" s="112" t="s">
        <v>510</v>
      </c>
      <c r="B131" t="s">
        <v>512</v>
      </c>
      <c r="C131" t="s">
        <v>30</v>
      </c>
      <c r="D131">
        <v>0</v>
      </c>
      <c r="E131" t="s">
        <v>471</v>
      </c>
      <c r="F131" t="s">
        <v>497</v>
      </c>
      <c r="G131" t="s">
        <v>112</v>
      </c>
      <c r="H131" t="s">
        <v>498</v>
      </c>
      <c r="I131" s="112" t="s">
        <v>472</v>
      </c>
    </row>
    <row r="132" spans="1:9">
      <c r="A132" s="112" t="s">
        <v>510</v>
      </c>
      <c r="B132" t="s">
        <v>512</v>
      </c>
      <c r="C132" t="s">
        <v>32</v>
      </c>
      <c r="D132">
        <v>0</v>
      </c>
      <c r="E132" t="s">
        <v>471</v>
      </c>
      <c r="F132" t="s">
        <v>497</v>
      </c>
      <c r="G132" t="s">
        <v>112</v>
      </c>
      <c r="H132" t="s">
        <v>498</v>
      </c>
      <c r="I132" s="112" t="s">
        <v>472</v>
      </c>
    </row>
    <row r="133" spans="1:9">
      <c r="A133" s="112" t="s">
        <v>510</v>
      </c>
      <c r="B133" t="s">
        <v>512</v>
      </c>
      <c r="C133" t="s">
        <v>34</v>
      </c>
      <c r="D133">
        <v>44</v>
      </c>
      <c r="E133" t="s">
        <v>471</v>
      </c>
      <c r="F133" t="s">
        <v>497</v>
      </c>
      <c r="G133" t="s">
        <v>112</v>
      </c>
      <c r="H133" t="s">
        <v>498</v>
      </c>
      <c r="I133" s="112" t="s">
        <v>472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1DBD-013D-419A-ADD6-0FF09D50A2FD}">
  <sheetPr codeName="Sheet18"/>
  <dimension ref="A1:M39"/>
  <sheetViews>
    <sheetView workbookViewId="0">
      <selection activeCell="B29" sqref="B29"/>
    </sheetView>
  </sheetViews>
  <sheetFormatPr defaultColWidth="8.85546875" defaultRowHeight="15"/>
  <cols>
    <col min="1" max="1" width="49" bestFit="1" customWidth="1"/>
    <col min="2" max="2" width="16.140625" bestFit="1" customWidth="1"/>
    <col min="3" max="3" width="17.42578125" bestFit="1" customWidth="1"/>
    <col min="4" max="4" width="19.140625" bestFit="1" customWidth="1"/>
    <col min="5" max="5" width="22.28515625" bestFit="1" customWidth="1"/>
    <col min="6" max="6" width="81.140625" bestFit="1" customWidth="1"/>
    <col min="7" max="7" width="12.42578125" bestFit="1" customWidth="1"/>
    <col min="8" max="8" width="25.5703125" bestFit="1" customWidth="1"/>
    <col min="9" max="9" width="14.85546875" bestFit="1" customWidth="1"/>
    <col min="10" max="10" width="12.7109375" bestFit="1" customWidth="1"/>
    <col min="11" max="11" width="14.42578125" bestFit="1" customWidth="1"/>
    <col min="12" max="12" width="12.140625" bestFit="1" customWidth="1"/>
    <col min="13" max="13" width="53" bestFit="1" customWidth="1"/>
  </cols>
  <sheetData>
    <row r="1" spans="1:13">
      <c r="A1" t="s">
        <v>490</v>
      </c>
      <c r="B1" t="s">
        <v>491</v>
      </c>
      <c r="C1" t="s">
        <v>50</v>
      </c>
      <c r="D1" t="s">
        <v>51</v>
      </c>
      <c r="E1" t="s">
        <v>52</v>
      </c>
      <c r="F1" t="s">
        <v>53</v>
      </c>
      <c r="G1" t="s">
        <v>54</v>
      </c>
      <c r="H1" t="s">
        <v>55</v>
      </c>
      <c r="I1" t="s">
        <v>458</v>
      </c>
      <c r="J1" t="s">
        <v>492</v>
      </c>
      <c r="K1" t="s">
        <v>493</v>
      </c>
      <c r="L1" t="s">
        <v>494</v>
      </c>
      <c r="M1" t="s">
        <v>459</v>
      </c>
    </row>
    <row r="2" spans="1:13">
      <c r="A2" s="112" t="s">
        <v>513</v>
      </c>
      <c r="B2" t="s">
        <v>595</v>
      </c>
      <c r="C2" t="s">
        <v>56</v>
      </c>
      <c r="D2" t="s">
        <v>243</v>
      </c>
      <c r="F2" t="s">
        <v>712</v>
      </c>
      <c r="G2">
        <v>0.3</v>
      </c>
      <c r="H2">
        <v>7</v>
      </c>
      <c r="I2" t="s">
        <v>474</v>
      </c>
      <c r="J2" t="s">
        <v>596</v>
      </c>
      <c r="K2" t="s">
        <v>112</v>
      </c>
      <c r="L2" t="s">
        <v>498</v>
      </c>
      <c r="M2" s="112" t="s">
        <v>475</v>
      </c>
    </row>
    <row r="3" spans="1:13">
      <c r="A3" s="112" t="s">
        <v>513</v>
      </c>
      <c r="B3" t="s">
        <v>595</v>
      </c>
      <c r="C3" t="s">
        <v>59</v>
      </c>
      <c r="D3" t="s">
        <v>243</v>
      </c>
      <c r="F3" t="s">
        <v>713</v>
      </c>
      <c r="G3">
        <v>0.7</v>
      </c>
      <c r="H3" t="s">
        <v>597</v>
      </c>
      <c r="I3" t="s">
        <v>474</v>
      </c>
      <c r="J3" t="s">
        <v>596</v>
      </c>
      <c r="K3" t="s">
        <v>112</v>
      </c>
      <c r="L3" t="s">
        <v>498</v>
      </c>
      <c r="M3" s="112" t="s">
        <v>475</v>
      </c>
    </row>
    <row r="4" spans="1:13">
      <c r="A4" s="112" t="s">
        <v>513</v>
      </c>
      <c r="B4" t="s">
        <v>598</v>
      </c>
      <c r="C4" t="s">
        <v>56</v>
      </c>
      <c r="D4" t="s">
        <v>57</v>
      </c>
      <c r="E4" t="s">
        <v>599</v>
      </c>
      <c r="F4" t="s">
        <v>600</v>
      </c>
      <c r="G4">
        <v>0.5</v>
      </c>
      <c r="H4">
        <v>12</v>
      </c>
      <c r="I4" t="s">
        <v>478</v>
      </c>
      <c r="J4" t="s">
        <v>596</v>
      </c>
      <c r="K4" t="s">
        <v>112</v>
      </c>
      <c r="L4" t="s">
        <v>498</v>
      </c>
      <c r="M4" s="112" t="s">
        <v>479</v>
      </c>
    </row>
    <row r="5" spans="1:13">
      <c r="A5" s="112" t="s">
        <v>513</v>
      </c>
      <c r="B5" t="s">
        <v>598</v>
      </c>
      <c r="C5" t="s">
        <v>59</v>
      </c>
      <c r="D5" t="s">
        <v>243</v>
      </c>
      <c r="E5" t="s">
        <v>601</v>
      </c>
      <c r="F5" t="s">
        <v>714</v>
      </c>
      <c r="G5">
        <v>0.5</v>
      </c>
      <c r="H5" t="s">
        <v>715</v>
      </c>
      <c r="I5" t="s">
        <v>478</v>
      </c>
      <c r="J5" t="s">
        <v>596</v>
      </c>
      <c r="K5" t="s">
        <v>112</v>
      </c>
      <c r="L5" t="s">
        <v>498</v>
      </c>
      <c r="M5" s="112" t="s">
        <v>479</v>
      </c>
    </row>
    <row r="6" spans="1:13">
      <c r="A6" s="112" t="s">
        <v>699</v>
      </c>
      <c r="B6" t="s">
        <v>716</v>
      </c>
      <c r="C6" t="s">
        <v>56</v>
      </c>
      <c r="D6" t="s">
        <v>177</v>
      </c>
      <c r="E6" t="s">
        <v>178</v>
      </c>
      <c r="F6" t="s">
        <v>717</v>
      </c>
      <c r="G6">
        <v>0.5</v>
      </c>
      <c r="H6">
        <v>12</v>
      </c>
      <c r="I6" t="s">
        <v>701</v>
      </c>
      <c r="J6" t="s">
        <v>596</v>
      </c>
      <c r="K6" t="s">
        <v>112</v>
      </c>
      <c r="L6" t="s">
        <v>498</v>
      </c>
      <c r="M6" s="112" t="s">
        <v>702</v>
      </c>
    </row>
    <row r="7" spans="1:13">
      <c r="A7" s="112" t="s">
        <v>699</v>
      </c>
      <c r="B7" t="s">
        <v>716</v>
      </c>
      <c r="C7" t="s">
        <v>59</v>
      </c>
      <c r="D7" t="s">
        <v>671</v>
      </c>
      <c r="E7" t="s">
        <v>671</v>
      </c>
      <c r="F7" t="s">
        <v>718</v>
      </c>
      <c r="G7">
        <v>0.5</v>
      </c>
      <c r="H7">
        <v>16</v>
      </c>
      <c r="I7" t="s">
        <v>701</v>
      </c>
      <c r="J7" t="s">
        <v>596</v>
      </c>
      <c r="K7" t="s">
        <v>112</v>
      </c>
      <c r="L7" t="s">
        <v>498</v>
      </c>
      <c r="M7" s="112" t="s">
        <v>702</v>
      </c>
    </row>
    <row r="8" spans="1:13">
      <c r="A8" s="112" t="s">
        <v>513</v>
      </c>
      <c r="B8" t="s">
        <v>602</v>
      </c>
      <c r="C8" t="s">
        <v>56</v>
      </c>
      <c r="D8" t="s">
        <v>243</v>
      </c>
      <c r="E8" t="s">
        <v>603</v>
      </c>
      <c r="F8" t="s">
        <v>604</v>
      </c>
      <c r="G8">
        <v>0.35</v>
      </c>
      <c r="H8">
        <v>6</v>
      </c>
      <c r="I8" t="s">
        <v>480</v>
      </c>
      <c r="J8" t="s">
        <v>596</v>
      </c>
      <c r="K8" t="s">
        <v>112</v>
      </c>
      <c r="L8" t="s">
        <v>498</v>
      </c>
      <c r="M8" s="112" t="s">
        <v>481</v>
      </c>
    </row>
    <row r="9" spans="1:13">
      <c r="A9" s="112" t="s">
        <v>513</v>
      </c>
      <c r="B9" t="s">
        <v>602</v>
      </c>
      <c r="C9" t="s">
        <v>59</v>
      </c>
      <c r="D9" t="s">
        <v>177</v>
      </c>
      <c r="E9" t="s">
        <v>605</v>
      </c>
      <c r="F9" t="s">
        <v>606</v>
      </c>
      <c r="G9">
        <v>0.65</v>
      </c>
      <c r="H9">
        <v>13</v>
      </c>
      <c r="I9" t="s">
        <v>480</v>
      </c>
      <c r="J9" t="s">
        <v>596</v>
      </c>
      <c r="K9" t="s">
        <v>112</v>
      </c>
      <c r="L9" t="s">
        <v>498</v>
      </c>
      <c r="M9" s="112" t="s">
        <v>481</v>
      </c>
    </row>
    <row r="10" spans="1:13">
      <c r="A10" s="112" t="s">
        <v>513</v>
      </c>
      <c r="B10" t="s">
        <v>719</v>
      </c>
      <c r="C10" t="s">
        <v>56</v>
      </c>
      <c r="D10" t="s">
        <v>177</v>
      </c>
      <c r="E10" t="s">
        <v>178</v>
      </c>
      <c r="F10" t="s">
        <v>720</v>
      </c>
      <c r="G10">
        <v>0.6</v>
      </c>
      <c r="H10">
        <v>6</v>
      </c>
      <c r="I10" t="s">
        <v>704</v>
      </c>
      <c r="J10" t="s">
        <v>596</v>
      </c>
      <c r="K10" t="s">
        <v>112</v>
      </c>
      <c r="L10" t="s">
        <v>498</v>
      </c>
      <c r="M10" s="112" t="s">
        <v>705</v>
      </c>
    </row>
    <row r="11" spans="1:13">
      <c r="A11" s="112" t="s">
        <v>513</v>
      </c>
      <c r="B11" t="s">
        <v>719</v>
      </c>
      <c r="C11" t="s">
        <v>59</v>
      </c>
      <c r="D11" t="s">
        <v>273</v>
      </c>
      <c r="E11" t="s">
        <v>671</v>
      </c>
      <c r="F11" t="s">
        <v>721</v>
      </c>
      <c r="G11">
        <v>0.4</v>
      </c>
      <c r="H11" t="s">
        <v>722</v>
      </c>
      <c r="I11" t="s">
        <v>704</v>
      </c>
      <c r="J11" t="s">
        <v>596</v>
      </c>
      <c r="K11" t="s">
        <v>112</v>
      </c>
      <c r="L11" t="s">
        <v>498</v>
      </c>
      <c r="M11" s="112" t="s">
        <v>705</v>
      </c>
    </row>
    <row r="12" spans="1:13">
      <c r="A12" s="112" t="s">
        <v>513</v>
      </c>
      <c r="B12" t="s">
        <v>607</v>
      </c>
      <c r="C12" t="s">
        <v>56</v>
      </c>
      <c r="D12" t="s">
        <v>273</v>
      </c>
      <c r="E12" t="s">
        <v>608</v>
      </c>
      <c r="F12" t="s">
        <v>723</v>
      </c>
      <c r="G12">
        <v>0.6</v>
      </c>
      <c r="H12">
        <v>28</v>
      </c>
      <c r="I12" t="s">
        <v>483</v>
      </c>
      <c r="J12" t="s">
        <v>596</v>
      </c>
      <c r="K12" t="s">
        <v>112</v>
      </c>
      <c r="L12" t="s">
        <v>498</v>
      </c>
      <c r="M12" s="112" t="s">
        <v>484</v>
      </c>
    </row>
    <row r="13" spans="1:13">
      <c r="A13" s="112" t="s">
        <v>513</v>
      </c>
      <c r="B13" t="s">
        <v>607</v>
      </c>
      <c r="C13" t="s">
        <v>59</v>
      </c>
      <c r="D13" t="s">
        <v>177</v>
      </c>
      <c r="E13" t="s">
        <v>609</v>
      </c>
      <c r="F13" t="s">
        <v>610</v>
      </c>
      <c r="G13">
        <v>0.4</v>
      </c>
      <c r="H13">
        <v>28</v>
      </c>
      <c r="I13" t="s">
        <v>483</v>
      </c>
      <c r="J13" t="s">
        <v>596</v>
      </c>
      <c r="K13" t="s">
        <v>112</v>
      </c>
      <c r="L13" t="s">
        <v>498</v>
      </c>
      <c r="M13" s="112" t="s">
        <v>484</v>
      </c>
    </row>
    <row r="14" spans="1:13">
      <c r="A14" s="112" t="s">
        <v>513</v>
      </c>
      <c r="B14" t="s">
        <v>611</v>
      </c>
      <c r="C14" t="s">
        <v>56</v>
      </c>
      <c r="D14" t="s">
        <v>177</v>
      </c>
      <c r="E14" t="s">
        <v>609</v>
      </c>
      <c r="F14" t="s">
        <v>724</v>
      </c>
      <c r="G14">
        <v>0.5</v>
      </c>
      <c r="H14">
        <v>6</v>
      </c>
      <c r="I14" t="s">
        <v>487</v>
      </c>
      <c r="J14" t="s">
        <v>596</v>
      </c>
      <c r="K14" t="s">
        <v>112</v>
      </c>
      <c r="L14" t="s">
        <v>498</v>
      </c>
      <c r="M14" s="112" t="s">
        <v>488</v>
      </c>
    </row>
    <row r="15" spans="1:13">
      <c r="A15" s="112" t="s">
        <v>513</v>
      </c>
      <c r="B15" t="s">
        <v>611</v>
      </c>
      <c r="C15" t="s">
        <v>59</v>
      </c>
      <c r="D15" t="s">
        <v>57</v>
      </c>
      <c r="E15" t="s">
        <v>612</v>
      </c>
      <c r="F15" t="s">
        <v>725</v>
      </c>
      <c r="G15">
        <v>0.5</v>
      </c>
      <c r="H15">
        <v>12</v>
      </c>
      <c r="I15" t="s">
        <v>487</v>
      </c>
      <c r="J15" t="s">
        <v>596</v>
      </c>
      <c r="K15" t="s">
        <v>112</v>
      </c>
      <c r="L15" t="s">
        <v>498</v>
      </c>
      <c r="M15" s="112" t="s">
        <v>488</v>
      </c>
    </row>
    <row r="16" spans="1:13">
      <c r="A16" s="112" t="s">
        <v>513</v>
      </c>
      <c r="B16" t="s">
        <v>726</v>
      </c>
      <c r="C16" t="s">
        <v>56</v>
      </c>
      <c r="D16" t="s">
        <v>177</v>
      </c>
      <c r="E16" t="s">
        <v>609</v>
      </c>
      <c r="F16" t="s">
        <v>727</v>
      </c>
      <c r="G16">
        <v>0.5</v>
      </c>
      <c r="H16">
        <v>8</v>
      </c>
      <c r="I16" t="s">
        <v>707</v>
      </c>
      <c r="J16" t="s">
        <v>596</v>
      </c>
      <c r="K16" t="s">
        <v>112</v>
      </c>
      <c r="L16" t="s">
        <v>498</v>
      </c>
      <c r="M16" s="112" t="s">
        <v>708</v>
      </c>
    </row>
    <row r="17" spans="1:13">
      <c r="A17" s="112" t="s">
        <v>513</v>
      </c>
      <c r="B17" t="s">
        <v>726</v>
      </c>
      <c r="C17" t="s">
        <v>59</v>
      </c>
      <c r="D17" t="s">
        <v>29</v>
      </c>
      <c r="F17" t="s">
        <v>728</v>
      </c>
      <c r="G17">
        <v>0.5</v>
      </c>
      <c r="H17">
        <v>12</v>
      </c>
      <c r="I17" t="s">
        <v>707</v>
      </c>
      <c r="J17" t="s">
        <v>596</v>
      </c>
      <c r="K17" t="s">
        <v>112</v>
      </c>
      <c r="L17" t="s">
        <v>498</v>
      </c>
      <c r="M17" s="112" t="s">
        <v>708</v>
      </c>
    </row>
    <row r="18" spans="1:13">
      <c r="A18" s="112" t="s">
        <v>495</v>
      </c>
      <c r="B18" t="s">
        <v>613</v>
      </c>
      <c r="C18" t="s">
        <v>56</v>
      </c>
      <c r="D18" t="s">
        <v>57</v>
      </c>
      <c r="F18" t="s">
        <v>58</v>
      </c>
      <c r="G18">
        <v>1</v>
      </c>
      <c r="H18">
        <v>12</v>
      </c>
      <c r="I18" t="s">
        <v>5</v>
      </c>
      <c r="J18" t="s">
        <v>596</v>
      </c>
      <c r="K18" t="s">
        <v>112</v>
      </c>
      <c r="L18" t="s">
        <v>498</v>
      </c>
      <c r="M18" s="112" t="s">
        <v>8</v>
      </c>
    </row>
    <row r="19" spans="1:13">
      <c r="A19" s="112" t="s">
        <v>495</v>
      </c>
      <c r="B19" t="s">
        <v>614</v>
      </c>
      <c r="C19" t="s">
        <v>56</v>
      </c>
      <c r="D19" t="s">
        <v>29</v>
      </c>
      <c r="F19" t="s">
        <v>124</v>
      </c>
      <c r="G19">
        <v>0.5</v>
      </c>
      <c r="H19">
        <v>18</v>
      </c>
      <c r="I19" t="s">
        <v>101</v>
      </c>
      <c r="J19" t="s">
        <v>596</v>
      </c>
      <c r="K19" t="s">
        <v>112</v>
      </c>
      <c r="L19" t="s">
        <v>498</v>
      </c>
      <c r="M19" s="112" t="s">
        <v>462</v>
      </c>
    </row>
    <row r="20" spans="1:13">
      <c r="A20" s="112" t="s">
        <v>495</v>
      </c>
      <c r="B20" t="s">
        <v>614</v>
      </c>
      <c r="C20" t="s">
        <v>59</v>
      </c>
      <c r="D20" t="s">
        <v>57</v>
      </c>
      <c r="F20" t="s">
        <v>125</v>
      </c>
      <c r="G20">
        <v>0.5</v>
      </c>
      <c r="H20">
        <v>12</v>
      </c>
      <c r="I20" t="s">
        <v>101</v>
      </c>
      <c r="J20" t="s">
        <v>596</v>
      </c>
      <c r="K20" t="s">
        <v>112</v>
      </c>
      <c r="L20" t="s">
        <v>498</v>
      </c>
      <c r="M20" s="112" t="s">
        <v>462</v>
      </c>
    </row>
    <row r="21" spans="1:13">
      <c r="A21" s="112" t="s">
        <v>495</v>
      </c>
      <c r="B21" t="s">
        <v>615</v>
      </c>
      <c r="C21" t="s">
        <v>56</v>
      </c>
      <c r="D21" t="s">
        <v>177</v>
      </c>
      <c r="E21" t="s">
        <v>178</v>
      </c>
      <c r="F21" t="s">
        <v>179</v>
      </c>
      <c r="G21">
        <v>0.5</v>
      </c>
      <c r="H21">
        <v>12</v>
      </c>
      <c r="I21" t="s">
        <v>157</v>
      </c>
      <c r="J21" t="s">
        <v>596</v>
      </c>
      <c r="K21" t="s">
        <v>112</v>
      </c>
      <c r="L21" t="s">
        <v>498</v>
      </c>
      <c r="M21" s="112" t="s">
        <v>159</v>
      </c>
    </row>
    <row r="22" spans="1:13">
      <c r="A22" s="112" t="s">
        <v>495</v>
      </c>
      <c r="B22" t="s">
        <v>615</v>
      </c>
      <c r="C22" t="s">
        <v>59</v>
      </c>
      <c r="D22" t="s">
        <v>57</v>
      </c>
      <c r="F22" t="s">
        <v>180</v>
      </c>
      <c r="G22">
        <v>0.5</v>
      </c>
      <c r="H22">
        <v>18</v>
      </c>
      <c r="I22" t="s">
        <v>157</v>
      </c>
      <c r="J22" t="s">
        <v>596</v>
      </c>
      <c r="K22" t="s">
        <v>112</v>
      </c>
      <c r="L22" t="s">
        <v>498</v>
      </c>
      <c r="M22" s="112" t="s">
        <v>159</v>
      </c>
    </row>
    <row r="23" spans="1:13">
      <c r="A23" s="112" t="s">
        <v>495</v>
      </c>
      <c r="B23" t="s">
        <v>616</v>
      </c>
      <c r="C23" t="s">
        <v>56</v>
      </c>
      <c r="D23" t="s">
        <v>177</v>
      </c>
      <c r="E23" t="s">
        <v>178</v>
      </c>
      <c r="F23" t="s">
        <v>215</v>
      </c>
      <c r="G23">
        <v>1</v>
      </c>
      <c r="H23">
        <v>11</v>
      </c>
      <c r="I23" t="s">
        <v>200</v>
      </c>
      <c r="J23" t="s">
        <v>596</v>
      </c>
      <c r="K23" t="s">
        <v>112</v>
      </c>
      <c r="L23" t="s">
        <v>498</v>
      </c>
      <c r="M23" s="112" t="s">
        <v>202</v>
      </c>
    </row>
    <row r="24" spans="1:13">
      <c r="A24" s="112" t="s">
        <v>495</v>
      </c>
      <c r="B24" t="s">
        <v>617</v>
      </c>
      <c r="C24" t="s">
        <v>56</v>
      </c>
      <c r="D24" t="s">
        <v>57</v>
      </c>
      <c r="F24" t="s">
        <v>242</v>
      </c>
      <c r="G24">
        <v>0.7</v>
      </c>
      <c r="H24">
        <v>11</v>
      </c>
      <c r="I24" t="s">
        <v>229</v>
      </c>
      <c r="J24" t="s">
        <v>596</v>
      </c>
      <c r="K24" t="s">
        <v>112</v>
      </c>
      <c r="L24" t="s">
        <v>498</v>
      </c>
      <c r="M24" s="112" t="s">
        <v>231</v>
      </c>
    </row>
    <row r="25" spans="1:13">
      <c r="A25" s="112" t="s">
        <v>495</v>
      </c>
      <c r="B25" t="s">
        <v>617</v>
      </c>
      <c r="C25" t="s">
        <v>59</v>
      </c>
      <c r="D25" t="s">
        <v>243</v>
      </c>
      <c r="F25" t="s">
        <v>244</v>
      </c>
      <c r="G25">
        <v>0.3</v>
      </c>
      <c r="H25">
        <v>13</v>
      </c>
      <c r="I25" t="s">
        <v>229</v>
      </c>
      <c r="J25" t="s">
        <v>596</v>
      </c>
      <c r="K25" t="s">
        <v>112</v>
      </c>
      <c r="L25" t="s">
        <v>498</v>
      </c>
      <c r="M25" s="112" t="s">
        <v>231</v>
      </c>
    </row>
    <row r="26" spans="1:13">
      <c r="A26" s="112" t="s">
        <v>495</v>
      </c>
      <c r="B26" t="s">
        <v>619</v>
      </c>
      <c r="C26" t="s">
        <v>56</v>
      </c>
      <c r="D26" t="s">
        <v>177</v>
      </c>
      <c r="F26" t="s">
        <v>272</v>
      </c>
      <c r="G26">
        <v>0.8</v>
      </c>
      <c r="H26">
        <v>11</v>
      </c>
      <c r="I26" t="s">
        <v>254</v>
      </c>
      <c r="J26" t="s">
        <v>596</v>
      </c>
      <c r="K26" t="s">
        <v>112</v>
      </c>
      <c r="L26" t="s">
        <v>498</v>
      </c>
      <c r="M26" s="112" t="s">
        <v>255</v>
      </c>
    </row>
    <row r="27" spans="1:13">
      <c r="A27" s="112" t="s">
        <v>495</v>
      </c>
      <c r="B27" t="s">
        <v>619</v>
      </c>
      <c r="C27" t="s">
        <v>59</v>
      </c>
      <c r="D27" t="s">
        <v>273</v>
      </c>
      <c r="F27" t="s">
        <v>274</v>
      </c>
      <c r="G27">
        <v>0.2</v>
      </c>
      <c r="H27">
        <v>12</v>
      </c>
      <c r="I27" t="s">
        <v>254</v>
      </c>
      <c r="J27" t="s">
        <v>596</v>
      </c>
      <c r="K27" t="s">
        <v>112</v>
      </c>
      <c r="L27" t="s">
        <v>498</v>
      </c>
      <c r="M27" s="112" t="s">
        <v>255</v>
      </c>
    </row>
    <row r="28" spans="1:13">
      <c r="A28" s="112" t="s">
        <v>495</v>
      </c>
      <c r="B28" t="s">
        <v>618</v>
      </c>
      <c r="C28" t="s">
        <v>56</v>
      </c>
      <c r="D28" t="s">
        <v>57</v>
      </c>
      <c r="F28" t="s">
        <v>308</v>
      </c>
      <c r="G28">
        <v>1</v>
      </c>
      <c r="H28">
        <v>12</v>
      </c>
      <c r="I28" t="s">
        <v>292</v>
      </c>
      <c r="J28" t="s">
        <v>596</v>
      </c>
      <c r="K28" t="s">
        <v>112</v>
      </c>
      <c r="L28" t="s">
        <v>498</v>
      </c>
      <c r="M28" s="112" t="s">
        <v>293</v>
      </c>
    </row>
    <row r="29" spans="1:13">
      <c r="A29" s="112" t="s">
        <v>495</v>
      </c>
      <c r="B29" t="s">
        <v>620</v>
      </c>
      <c r="C29" t="s">
        <v>56</v>
      </c>
      <c r="D29" t="s">
        <v>57</v>
      </c>
      <c r="F29" t="s">
        <v>351</v>
      </c>
      <c r="G29">
        <v>0.5</v>
      </c>
      <c r="I29" t="s">
        <v>465</v>
      </c>
      <c r="J29" t="s">
        <v>596</v>
      </c>
      <c r="K29" t="s">
        <v>112</v>
      </c>
      <c r="L29" t="s">
        <v>498</v>
      </c>
      <c r="M29" s="112" t="s">
        <v>466</v>
      </c>
    </row>
    <row r="30" spans="1:13">
      <c r="A30" s="112" t="s">
        <v>495</v>
      </c>
      <c r="B30" t="s">
        <v>620</v>
      </c>
      <c r="C30" t="s">
        <v>59</v>
      </c>
      <c r="D30" t="s">
        <v>29</v>
      </c>
      <c r="F30" t="s">
        <v>352</v>
      </c>
      <c r="G30">
        <v>0.5</v>
      </c>
      <c r="I30" t="s">
        <v>465</v>
      </c>
      <c r="J30" t="s">
        <v>596</v>
      </c>
      <c r="K30" t="s">
        <v>112</v>
      </c>
      <c r="L30" t="s">
        <v>498</v>
      </c>
      <c r="M30" s="112" t="s">
        <v>466</v>
      </c>
    </row>
    <row r="31" spans="1:13">
      <c r="A31" s="112" t="s">
        <v>495</v>
      </c>
      <c r="B31" t="s">
        <v>621</v>
      </c>
      <c r="C31" t="s">
        <v>56</v>
      </c>
      <c r="D31" t="s">
        <v>273</v>
      </c>
      <c r="E31" t="s">
        <v>178</v>
      </c>
      <c r="F31" t="s">
        <v>385</v>
      </c>
      <c r="G31">
        <v>1</v>
      </c>
      <c r="H31">
        <v>12</v>
      </c>
      <c r="I31" t="s">
        <v>368</v>
      </c>
      <c r="J31" t="s">
        <v>596</v>
      </c>
      <c r="K31" t="s">
        <v>112</v>
      </c>
      <c r="L31" t="s">
        <v>498</v>
      </c>
      <c r="M31" s="112" t="s">
        <v>467</v>
      </c>
    </row>
    <row r="32" spans="1:13">
      <c r="A32" s="112" t="s">
        <v>495</v>
      </c>
      <c r="B32" t="s">
        <v>622</v>
      </c>
      <c r="C32" t="s">
        <v>56</v>
      </c>
      <c r="D32" t="s">
        <v>177</v>
      </c>
      <c r="F32" t="s">
        <v>414</v>
      </c>
      <c r="G32">
        <v>0.5</v>
      </c>
      <c r="H32">
        <v>12</v>
      </c>
      <c r="I32" t="s">
        <v>402</v>
      </c>
      <c r="J32" t="s">
        <v>596</v>
      </c>
      <c r="K32" t="s">
        <v>112</v>
      </c>
      <c r="L32" t="s">
        <v>498</v>
      </c>
      <c r="M32" s="112" t="s">
        <v>463</v>
      </c>
    </row>
    <row r="33" spans="1:13">
      <c r="A33" s="112" t="s">
        <v>495</v>
      </c>
      <c r="B33" t="s">
        <v>622</v>
      </c>
      <c r="C33" t="s">
        <v>59</v>
      </c>
      <c r="D33" t="s">
        <v>273</v>
      </c>
      <c r="F33" t="s">
        <v>415</v>
      </c>
      <c r="G33">
        <v>0.5</v>
      </c>
      <c r="H33">
        <v>13</v>
      </c>
      <c r="I33" t="s">
        <v>402</v>
      </c>
      <c r="J33" t="s">
        <v>596</v>
      </c>
      <c r="K33" t="s">
        <v>112</v>
      </c>
      <c r="L33" t="s">
        <v>498</v>
      </c>
      <c r="M33" s="112" t="s">
        <v>463</v>
      </c>
    </row>
    <row r="34" spans="1:13">
      <c r="A34" s="112" t="s">
        <v>495</v>
      </c>
      <c r="B34" t="s">
        <v>623</v>
      </c>
      <c r="C34" t="s">
        <v>56</v>
      </c>
      <c r="D34" t="s">
        <v>177</v>
      </c>
      <c r="E34" t="s">
        <v>178</v>
      </c>
      <c r="F34" t="s">
        <v>624</v>
      </c>
      <c r="G34">
        <v>0.3</v>
      </c>
      <c r="H34">
        <v>12</v>
      </c>
      <c r="I34" t="s">
        <v>441</v>
      </c>
      <c r="J34" t="s">
        <v>596</v>
      </c>
      <c r="K34" t="s">
        <v>112</v>
      </c>
      <c r="L34" t="s">
        <v>498</v>
      </c>
      <c r="M34" s="112" t="s">
        <v>443</v>
      </c>
    </row>
    <row r="35" spans="1:13">
      <c r="A35" s="112" t="s">
        <v>495</v>
      </c>
      <c r="B35" t="s">
        <v>623</v>
      </c>
      <c r="C35" t="s">
        <v>59</v>
      </c>
      <c r="D35" t="s">
        <v>273</v>
      </c>
      <c r="F35" t="s">
        <v>625</v>
      </c>
      <c r="G35">
        <v>0.7</v>
      </c>
      <c r="H35">
        <v>17</v>
      </c>
      <c r="I35" t="s">
        <v>441</v>
      </c>
      <c r="J35" t="s">
        <v>596</v>
      </c>
      <c r="K35" t="s">
        <v>112</v>
      </c>
      <c r="L35" t="s">
        <v>498</v>
      </c>
      <c r="M35" s="112" t="s">
        <v>443</v>
      </c>
    </row>
    <row r="36" spans="1:13">
      <c r="A36" s="112" t="s">
        <v>510</v>
      </c>
      <c r="B36" t="s">
        <v>626</v>
      </c>
      <c r="C36" t="s">
        <v>56</v>
      </c>
      <c r="D36" t="s">
        <v>243</v>
      </c>
      <c r="E36" t="s">
        <v>601</v>
      </c>
      <c r="F36" t="s">
        <v>627</v>
      </c>
      <c r="G36">
        <v>0.5</v>
      </c>
      <c r="H36" t="s">
        <v>628</v>
      </c>
      <c r="I36" t="s">
        <v>468</v>
      </c>
      <c r="J36" t="s">
        <v>596</v>
      </c>
      <c r="K36" t="s">
        <v>112</v>
      </c>
      <c r="L36" t="s">
        <v>498</v>
      </c>
      <c r="M36" s="112" t="s">
        <v>469</v>
      </c>
    </row>
    <row r="37" spans="1:13">
      <c r="A37" s="112" t="s">
        <v>510</v>
      </c>
      <c r="B37" t="s">
        <v>626</v>
      </c>
      <c r="C37" t="s">
        <v>59</v>
      </c>
      <c r="D37" t="s">
        <v>243</v>
      </c>
      <c r="E37" t="s">
        <v>601</v>
      </c>
      <c r="F37" t="s">
        <v>629</v>
      </c>
      <c r="G37">
        <v>0.5</v>
      </c>
      <c r="H37" t="s">
        <v>630</v>
      </c>
      <c r="I37" t="s">
        <v>468</v>
      </c>
      <c r="J37" t="s">
        <v>596</v>
      </c>
      <c r="K37" t="s">
        <v>112</v>
      </c>
      <c r="L37" t="s">
        <v>498</v>
      </c>
      <c r="M37" s="112" t="s">
        <v>469</v>
      </c>
    </row>
    <row r="38" spans="1:13">
      <c r="A38" s="112" t="s">
        <v>510</v>
      </c>
      <c r="B38" t="s">
        <v>631</v>
      </c>
      <c r="C38" t="s">
        <v>56</v>
      </c>
      <c r="D38" t="s">
        <v>177</v>
      </c>
      <c r="E38" t="s">
        <v>729</v>
      </c>
      <c r="F38" t="s">
        <v>730</v>
      </c>
      <c r="G38">
        <v>0.5</v>
      </c>
      <c r="H38">
        <v>8</v>
      </c>
      <c r="I38" t="s">
        <v>471</v>
      </c>
      <c r="J38" t="s">
        <v>596</v>
      </c>
      <c r="K38" t="s">
        <v>112</v>
      </c>
      <c r="L38" t="s">
        <v>498</v>
      </c>
      <c r="M38" s="112" t="s">
        <v>472</v>
      </c>
    </row>
    <row r="39" spans="1:13">
      <c r="A39" s="112" t="s">
        <v>510</v>
      </c>
      <c r="B39" t="s">
        <v>631</v>
      </c>
      <c r="C39" t="s">
        <v>59</v>
      </c>
      <c r="D39" t="s">
        <v>243</v>
      </c>
      <c r="E39" t="s">
        <v>243</v>
      </c>
      <c r="F39" t="s">
        <v>731</v>
      </c>
      <c r="G39">
        <v>0.5</v>
      </c>
      <c r="H39" t="s">
        <v>632</v>
      </c>
      <c r="I39" t="s">
        <v>471</v>
      </c>
      <c r="J39" t="s">
        <v>596</v>
      </c>
      <c r="K39" t="s">
        <v>112</v>
      </c>
      <c r="L39" t="s">
        <v>498</v>
      </c>
      <c r="M39" s="112" t="s">
        <v>472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D5D9-C950-4FF1-8236-BB4EE6ECC38A}">
  <sheetPr codeName="Sheet19"/>
  <dimension ref="A1:I62"/>
  <sheetViews>
    <sheetView workbookViewId="0">
      <selection activeCell="D30" sqref="D30"/>
    </sheetView>
  </sheetViews>
  <sheetFormatPr defaultColWidth="8.85546875" defaultRowHeight="15"/>
  <cols>
    <col min="1" max="1" width="49" bestFit="1" customWidth="1"/>
    <col min="2" max="3" width="13.42578125" bestFit="1" customWidth="1"/>
    <col min="4" max="4" width="81.140625" bestFit="1" customWidth="1"/>
    <col min="5" max="5" width="14.85546875" bestFit="1" customWidth="1"/>
    <col min="6" max="6" width="12.7109375" bestFit="1" customWidth="1"/>
    <col min="7" max="7" width="14.42578125" bestFit="1" customWidth="1"/>
    <col min="8" max="8" width="12.140625" bestFit="1" customWidth="1"/>
    <col min="9" max="9" width="53" bestFit="1" customWidth="1"/>
  </cols>
  <sheetData>
    <row r="1" spans="1:9">
      <c r="A1" t="s">
        <v>490</v>
      </c>
      <c r="B1" t="s">
        <v>491</v>
      </c>
      <c r="C1" t="s">
        <v>39</v>
      </c>
      <c r="D1" t="s">
        <v>40</v>
      </c>
      <c r="E1" t="s">
        <v>458</v>
      </c>
      <c r="F1" t="s">
        <v>492</v>
      </c>
      <c r="G1" t="s">
        <v>493</v>
      </c>
      <c r="H1" t="s">
        <v>494</v>
      </c>
      <c r="I1" t="s">
        <v>459</v>
      </c>
    </row>
    <row r="2" spans="1:9">
      <c r="A2" s="112" t="s">
        <v>513</v>
      </c>
      <c r="B2" t="s">
        <v>633</v>
      </c>
      <c r="C2" t="s">
        <v>41</v>
      </c>
      <c r="D2" t="s">
        <v>634</v>
      </c>
      <c r="E2" t="s">
        <v>474</v>
      </c>
      <c r="F2" t="s">
        <v>635</v>
      </c>
      <c r="G2" t="s">
        <v>112</v>
      </c>
      <c r="H2" t="s">
        <v>498</v>
      </c>
      <c r="I2" s="112" t="s">
        <v>475</v>
      </c>
    </row>
    <row r="3" spans="1:9">
      <c r="A3" s="112" t="s">
        <v>513</v>
      </c>
      <c r="B3" t="s">
        <v>633</v>
      </c>
      <c r="C3" t="s">
        <v>43</v>
      </c>
      <c r="D3" t="s">
        <v>636</v>
      </c>
      <c r="E3" t="s">
        <v>474</v>
      </c>
      <c r="F3" t="s">
        <v>635</v>
      </c>
      <c r="G3" t="s">
        <v>112</v>
      </c>
      <c r="H3" t="s">
        <v>498</v>
      </c>
      <c r="I3" s="112" t="s">
        <v>475</v>
      </c>
    </row>
    <row r="4" spans="1:9">
      <c r="A4" s="112" t="s">
        <v>513</v>
      </c>
      <c r="B4" t="s">
        <v>637</v>
      </c>
      <c r="C4" t="s">
        <v>41</v>
      </c>
      <c r="D4" t="s">
        <v>638</v>
      </c>
      <c r="E4" t="s">
        <v>478</v>
      </c>
      <c r="F4" t="s">
        <v>635</v>
      </c>
      <c r="G4" t="s">
        <v>112</v>
      </c>
      <c r="H4" t="s">
        <v>498</v>
      </c>
      <c r="I4" s="112" t="s">
        <v>479</v>
      </c>
    </row>
    <row r="5" spans="1:9">
      <c r="A5" s="112" t="s">
        <v>513</v>
      </c>
      <c r="B5" t="s">
        <v>637</v>
      </c>
      <c r="C5" t="s">
        <v>43</v>
      </c>
      <c r="D5" t="s">
        <v>639</v>
      </c>
      <c r="E5" t="s">
        <v>478</v>
      </c>
      <c r="F5" t="s">
        <v>635</v>
      </c>
      <c r="G5" t="s">
        <v>112</v>
      </c>
      <c r="H5" t="s">
        <v>498</v>
      </c>
      <c r="I5" s="112" t="s">
        <v>479</v>
      </c>
    </row>
    <row r="6" spans="1:9">
      <c r="A6" s="112" t="s">
        <v>513</v>
      </c>
      <c r="B6" t="s">
        <v>637</v>
      </c>
      <c r="C6" t="s">
        <v>45</v>
      </c>
      <c r="D6" t="s">
        <v>640</v>
      </c>
      <c r="E6" t="s">
        <v>478</v>
      </c>
      <c r="F6" t="s">
        <v>635</v>
      </c>
      <c r="G6" t="s">
        <v>112</v>
      </c>
      <c r="H6" t="s">
        <v>498</v>
      </c>
      <c r="I6" s="112" t="s">
        <v>479</v>
      </c>
    </row>
    <row r="7" spans="1:9">
      <c r="A7" s="112" t="s">
        <v>699</v>
      </c>
      <c r="B7" t="s">
        <v>732</v>
      </c>
      <c r="C7" t="s">
        <v>41</v>
      </c>
      <c r="D7" t="s">
        <v>733</v>
      </c>
      <c r="E7" t="s">
        <v>701</v>
      </c>
      <c r="F7" t="s">
        <v>635</v>
      </c>
      <c r="G7" t="s">
        <v>112</v>
      </c>
      <c r="H7" t="s">
        <v>498</v>
      </c>
      <c r="I7" s="112" t="s">
        <v>702</v>
      </c>
    </row>
    <row r="8" spans="1:9">
      <c r="A8" s="112" t="s">
        <v>699</v>
      </c>
      <c r="B8" t="s">
        <v>732</v>
      </c>
      <c r="C8" t="s">
        <v>43</v>
      </c>
      <c r="D8" t="s">
        <v>734</v>
      </c>
      <c r="E8" t="s">
        <v>701</v>
      </c>
      <c r="F8" t="s">
        <v>635</v>
      </c>
      <c r="G8" t="s">
        <v>112</v>
      </c>
      <c r="H8" t="s">
        <v>498</v>
      </c>
      <c r="I8" s="112" t="s">
        <v>702</v>
      </c>
    </row>
    <row r="9" spans="1:9">
      <c r="A9" s="112" t="s">
        <v>699</v>
      </c>
      <c r="B9" t="s">
        <v>732</v>
      </c>
      <c r="C9" t="s">
        <v>45</v>
      </c>
      <c r="D9" t="s">
        <v>735</v>
      </c>
      <c r="E9" t="s">
        <v>701</v>
      </c>
      <c r="F9" t="s">
        <v>635</v>
      </c>
      <c r="G9" t="s">
        <v>112</v>
      </c>
      <c r="H9" t="s">
        <v>498</v>
      </c>
      <c r="I9" s="112" t="s">
        <v>702</v>
      </c>
    </row>
    <row r="10" spans="1:9">
      <c r="A10" s="112" t="s">
        <v>513</v>
      </c>
      <c r="B10" t="s">
        <v>641</v>
      </c>
      <c r="C10" t="s">
        <v>41</v>
      </c>
      <c r="D10" t="s">
        <v>642</v>
      </c>
      <c r="E10" t="s">
        <v>480</v>
      </c>
      <c r="F10" t="s">
        <v>635</v>
      </c>
      <c r="G10" t="s">
        <v>112</v>
      </c>
      <c r="H10" t="s">
        <v>498</v>
      </c>
      <c r="I10" s="112" t="s">
        <v>481</v>
      </c>
    </row>
    <row r="11" spans="1:9">
      <c r="A11" s="112" t="s">
        <v>513</v>
      </c>
      <c r="B11" t="s">
        <v>641</v>
      </c>
      <c r="C11" t="s">
        <v>43</v>
      </c>
      <c r="D11" t="s">
        <v>643</v>
      </c>
      <c r="E11" t="s">
        <v>480</v>
      </c>
      <c r="F11" t="s">
        <v>635</v>
      </c>
      <c r="G11" t="s">
        <v>112</v>
      </c>
      <c r="H11" t="s">
        <v>498</v>
      </c>
      <c r="I11" s="112" t="s">
        <v>481</v>
      </c>
    </row>
    <row r="12" spans="1:9">
      <c r="A12" s="112" t="s">
        <v>513</v>
      </c>
      <c r="B12" t="s">
        <v>641</v>
      </c>
      <c r="C12" t="s">
        <v>45</v>
      </c>
      <c r="D12" t="s">
        <v>644</v>
      </c>
      <c r="E12" t="s">
        <v>480</v>
      </c>
      <c r="F12" t="s">
        <v>635</v>
      </c>
      <c r="G12" t="s">
        <v>112</v>
      </c>
      <c r="H12" t="s">
        <v>498</v>
      </c>
      <c r="I12" s="112" t="s">
        <v>481</v>
      </c>
    </row>
    <row r="13" spans="1:9">
      <c r="A13" s="112" t="s">
        <v>513</v>
      </c>
      <c r="B13" t="s">
        <v>736</v>
      </c>
      <c r="C13" t="s">
        <v>41</v>
      </c>
      <c r="D13" t="s">
        <v>737</v>
      </c>
      <c r="E13" t="s">
        <v>704</v>
      </c>
      <c r="F13" t="s">
        <v>635</v>
      </c>
      <c r="G13" t="s">
        <v>112</v>
      </c>
      <c r="H13" t="s">
        <v>498</v>
      </c>
      <c r="I13" s="112" t="s">
        <v>705</v>
      </c>
    </row>
    <row r="14" spans="1:9">
      <c r="A14" s="112" t="s">
        <v>513</v>
      </c>
      <c r="B14" t="s">
        <v>736</v>
      </c>
      <c r="C14" t="s">
        <v>43</v>
      </c>
      <c r="D14" t="s">
        <v>738</v>
      </c>
      <c r="E14" t="s">
        <v>704</v>
      </c>
      <c r="F14" t="s">
        <v>635</v>
      </c>
      <c r="G14" t="s">
        <v>112</v>
      </c>
      <c r="H14" t="s">
        <v>498</v>
      </c>
      <c r="I14" s="112" t="s">
        <v>705</v>
      </c>
    </row>
    <row r="15" spans="1:9">
      <c r="A15" s="112" t="s">
        <v>513</v>
      </c>
      <c r="B15" t="s">
        <v>736</v>
      </c>
      <c r="C15" t="s">
        <v>45</v>
      </c>
      <c r="D15" t="s">
        <v>739</v>
      </c>
      <c r="E15" t="s">
        <v>704</v>
      </c>
      <c r="F15" t="s">
        <v>635</v>
      </c>
      <c r="G15" t="s">
        <v>112</v>
      </c>
      <c r="H15" t="s">
        <v>498</v>
      </c>
      <c r="I15" s="112" t="s">
        <v>705</v>
      </c>
    </row>
    <row r="16" spans="1:9">
      <c r="A16" s="112" t="s">
        <v>513</v>
      </c>
      <c r="B16" t="s">
        <v>645</v>
      </c>
      <c r="C16" t="s">
        <v>41</v>
      </c>
      <c r="D16" t="s">
        <v>646</v>
      </c>
      <c r="E16" t="s">
        <v>483</v>
      </c>
      <c r="F16" t="s">
        <v>635</v>
      </c>
      <c r="G16" t="s">
        <v>112</v>
      </c>
      <c r="H16" t="s">
        <v>498</v>
      </c>
      <c r="I16" s="112" t="s">
        <v>484</v>
      </c>
    </row>
    <row r="17" spans="1:9">
      <c r="A17" s="112" t="s">
        <v>513</v>
      </c>
      <c r="B17" t="s">
        <v>645</v>
      </c>
      <c r="C17" t="s">
        <v>43</v>
      </c>
      <c r="D17" t="s">
        <v>647</v>
      </c>
      <c r="E17" t="s">
        <v>483</v>
      </c>
      <c r="F17" t="s">
        <v>635</v>
      </c>
      <c r="G17" t="s">
        <v>112</v>
      </c>
      <c r="H17" t="s">
        <v>498</v>
      </c>
      <c r="I17" s="112" t="s">
        <v>484</v>
      </c>
    </row>
    <row r="18" spans="1:9">
      <c r="A18" s="112" t="s">
        <v>513</v>
      </c>
      <c r="B18" t="s">
        <v>645</v>
      </c>
      <c r="C18" t="s">
        <v>45</v>
      </c>
      <c r="D18" t="s">
        <v>648</v>
      </c>
      <c r="E18" t="s">
        <v>483</v>
      </c>
      <c r="F18" t="s">
        <v>635</v>
      </c>
      <c r="G18" t="s">
        <v>112</v>
      </c>
      <c r="H18" t="s">
        <v>498</v>
      </c>
      <c r="I18" s="112" t="s">
        <v>484</v>
      </c>
    </row>
    <row r="19" spans="1:9">
      <c r="A19" s="112" t="s">
        <v>513</v>
      </c>
      <c r="B19" t="s">
        <v>649</v>
      </c>
      <c r="C19" t="s">
        <v>41</v>
      </c>
      <c r="D19" t="s">
        <v>650</v>
      </c>
      <c r="E19" t="s">
        <v>487</v>
      </c>
      <c r="F19" t="s">
        <v>635</v>
      </c>
      <c r="G19" t="s">
        <v>112</v>
      </c>
      <c r="H19" t="s">
        <v>498</v>
      </c>
      <c r="I19" s="112" t="s">
        <v>488</v>
      </c>
    </row>
    <row r="20" spans="1:9">
      <c r="A20" s="112" t="s">
        <v>513</v>
      </c>
      <c r="B20" t="s">
        <v>649</v>
      </c>
      <c r="C20" t="s">
        <v>43</v>
      </c>
      <c r="D20" t="s">
        <v>651</v>
      </c>
      <c r="E20" t="s">
        <v>487</v>
      </c>
      <c r="F20" t="s">
        <v>635</v>
      </c>
      <c r="G20" t="s">
        <v>112</v>
      </c>
      <c r="H20" t="s">
        <v>498</v>
      </c>
      <c r="I20" s="112" t="s">
        <v>488</v>
      </c>
    </row>
    <row r="21" spans="1:9">
      <c r="A21" s="112" t="s">
        <v>513</v>
      </c>
      <c r="B21" t="s">
        <v>649</v>
      </c>
      <c r="C21" t="s">
        <v>45</v>
      </c>
      <c r="D21" t="s">
        <v>652</v>
      </c>
      <c r="E21" t="s">
        <v>487</v>
      </c>
      <c r="F21" t="s">
        <v>635</v>
      </c>
      <c r="G21" t="s">
        <v>112</v>
      </c>
      <c r="H21" t="s">
        <v>498</v>
      </c>
      <c r="I21" s="112" t="s">
        <v>488</v>
      </c>
    </row>
    <row r="22" spans="1:9">
      <c r="A22" s="112" t="s">
        <v>513</v>
      </c>
      <c r="B22" t="s">
        <v>740</v>
      </c>
      <c r="C22" t="s">
        <v>41</v>
      </c>
      <c r="D22" t="s">
        <v>741</v>
      </c>
      <c r="E22" t="s">
        <v>707</v>
      </c>
      <c r="F22" t="s">
        <v>635</v>
      </c>
      <c r="G22" t="s">
        <v>112</v>
      </c>
      <c r="H22" t="s">
        <v>498</v>
      </c>
      <c r="I22" s="112" t="s">
        <v>708</v>
      </c>
    </row>
    <row r="23" spans="1:9">
      <c r="A23" s="112" t="s">
        <v>513</v>
      </c>
      <c r="B23" t="s">
        <v>740</v>
      </c>
      <c r="C23" t="s">
        <v>43</v>
      </c>
      <c r="D23" t="s">
        <v>742</v>
      </c>
      <c r="E23" t="s">
        <v>707</v>
      </c>
      <c r="F23" t="s">
        <v>635</v>
      </c>
      <c r="G23" t="s">
        <v>112</v>
      </c>
      <c r="H23" t="s">
        <v>498</v>
      </c>
      <c r="I23" s="112" t="s">
        <v>708</v>
      </c>
    </row>
    <row r="24" spans="1:9">
      <c r="A24" s="112" t="s">
        <v>513</v>
      </c>
      <c r="B24" t="s">
        <v>740</v>
      </c>
      <c r="C24" t="s">
        <v>45</v>
      </c>
      <c r="D24" t="s">
        <v>743</v>
      </c>
      <c r="E24" t="s">
        <v>707</v>
      </c>
      <c r="F24" t="s">
        <v>635</v>
      </c>
      <c r="G24" t="s">
        <v>112</v>
      </c>
      <c r="H24" t="s">
        <v>498</v>
      </c>
      <c r="I24" s="112" t="s">
        <v>708</v>
      </c>
    </row>
    <row r="25" spans="1:9">
      <c r="A25" s="112" t="s">
        <v>495</v>
      </c>
      <c r="B25" t="s">
        <v>653</v>
      </c>
      <c r="C25" t="s">
        <v>41</v>
      </c>
      <c r="D25" t="s">
        <v>42</v>
      </c>
      <c r="E25" t="s">
        <v>5</v>
      </c>
      <c r="F25" t="s">
        <v>635</v>
      </c>
      <c r="G25" t="s">
        <v>112</v>
      </c>
      <c r="H25" t="s">
        <v>498</v>
      </c>
      <c r="I25" s="112" t="s">
        <v>8</v>
      </c>
    </row>
    <row r="26" spans="1:9">
      <c r="A26" s="112" t="s">
        <v>495</v>
      </c>
      <c r="B26" t="s">
        <v>653</v>
      </c>
      <c r="C26" t="s">
        <v>43</v>
      </c>
      <c r="D26" t="s">
        <v>44</v>
      </c>
      <c r="E26" t="s">
        <v>5</v>
      </c>
      <c r="F26" t="s">
        <v>635</v>
      </c>
      <c r="G26" t="s">
        <v>112</v>
      </c>
      <c r="H26" t="s">
        <v>498</v>
      </c>
      <c r="I26" s="112" t="s">
        <v>8</v>
      </c>
    </row>
    <row r="27" spans="1:9">
      <c r="A27" s="112" t="s">
        <v>495</v>
      </c>
      <c r="B27" t="s">
        <v>653</v>
      </c>
      <c r="C27" t="s">
        <v>45</v>
      </c>
      <c r="D27" t="s">
        <v>46</v>
      </c>
      <c r="E27" t="s">
        <v>5</v>
      </c>
      <c r="F27" t="s">
        <v>635</v>
      </c>
      <c r="G27" t="s">
        <v>112</v>
      </c>
      <c r="H27" t="s">
        <v>498</v>
      </c>
      <c r="I27" s="112" t="s">
        <v>8</v>
      </c>
    </row>
    <row r="28" spans="1:9">
      <c r="A28" s="112" t="s">
        <v>495</v>
      </c>
      <c r="B28" t="s">
        <v>654</v>
      </c>
      <c r="C28" t="s">
        <v>41</v>
      </c>
      <c r="D28" t="s">
        <v>121</v>
      </c>
      <c r="E28" t="s">
        <v>101</v>
      </c>
      <c r="F28" t="s">
        <v>635</v>
      </c>
      <c r="G28" t="s">
        <v>112</v>
      </c>
      <c r="H28" t="s">
        <v>498</v>
      </c>
      <c r="I28" s="112" t="s">
        <v>462</v>
      </c>
    </row>
    <row r="29" spans="1:9">
      <c r="A29" s="112" t="s">
        <v>495</v>
      </c>
      <c r="B29" t="s">
        <v>654</v>
      </c>
      <c r="C29" t="s">
        <v>43</v>
      </c>
      <c r="D29" t="s">
        <v>122</v>
      </c>
      <c r="E29" t="s">
        <v>101</v>
      </c>
      <c r="F29" t="s">
        <v>635</v>
      </c>
      <c r="G29" t="s">
        <v>112</v>
      </c>
      <c r="H29" t="s">
        <v>498</v>
      </c>
      <c r="I29" s="112" t="s">
        <v>462</v>
      </c>
    </row>
    <row r="30" spans="1:9">
      <c r="A30" s="112" t="s">
        <v>495</v>
      </c>
      <c r="B30" t="s">
        <v>654</v>
      </c>
      <c r="C30" t="s">
        <v>45</v>
      </c>
      <c r="D30" t="s">
        <v>123</v>
      </c>
      <c r="E30" t="s">
        <v>101</v>
      </c>
      <c r="F30" t="s">
        <v>635</v>
      </c>
      <c r="G30" t="s">
        <v>112</v>
      </c>
      <c r="H30" t="s">
        <v>498</v>
      </c>
      <c r="I30" s="112" t="s">
        <v>462</v>
      </c>
    </row>
    <row r="31" spans="1:9">
      <c r="A31" s="112" t="s">
        <v>495</v>
      </c>
      <c r="B31" t="s">
        <v>655</v>
      </c>
      <c r="C31" t="s">
        <v>41</v>
      </c>
      <c r="D31" t="s">
        <v>174</v>
      </c>
      <c r="E31" t="s">
        <v>157</v>
      </c>
      <c r="F31" t="s">
        <v>635</v>
      </c>
      <c r="G31" t="s">
        <v>112</v>
      </c>
      <c r="H31" t="s">
        <v>498</v>
      </c>
      <c r="I31" s="112" t="s">
        <v>159</v>
      </c>
    </row>
    <row r="32" spans="1:9">
      <c r="A32" s="112" t="s">
        <v>495</v>
      </c>
      <c r="B32" t="s">
        <v>655</v>
      </c>
      <c r="C32" t="s">
        <v>43</v>
      </c>
      <c r="D32" t="s">
        <v>175</v>
      </c>
      <c r="E32" t="s">
        <v>157</v>
      </c>
      <c r="F32" t="s">
        <v>635</v>
      </c>
      <c r="G32" t="s">
        <v>112</v>
      </c>
      <c r="H32" t="s">
        <v>498</v>
      </c>
      <c r="I32" s="112" t="s">
        <v>159</v>
      </c>
    </row>
    <row r="33" spans="1:9">
      <c r="A33" s="112" t="s">
        <v>495</v>
      </c>
      <c r="B33" t="s">
        <v>655</v>
      </c>
      <c r="C33" t="s">
        <v>45</v>
      </c>
      <c r="D33" t="s">
        <v>176</v>
      </c>
      <c r="E33" t="s">
        <v>157</v>
      </c>
      <c r="F33" t="s">
        <v>635</v>
      </c>
      <c r="G33" t="s">
        <v>112</v>
      </c>
      <c r="H33" t="s">
        <v>498</v>
      </c>
      <c r="I33" s="112" t="s">
        <v>159</v>
      </c>
    </row>
    <row r="34" spans="1:9">
      <c r="A34" s="112" t="s">
        <v>495</v>
      </c>
      <c r="B34" t="s">
        <v>656</v>
      </c>
      <c r="C34" t="s">
        <v>41</v>
      </c>
      <c r="D34" t="s">
        <v>212</v>
      </c>
      <c r="E34" t="s">
        <v>200</v>
      </c>
      <c r="F34" t="s">
        <v>635</v>
      </c>
      <c r="G34" t="s">
        <v>112</v>
      </c>
      <c r="H34" t="s">
        <v>498</v>
      </c>
      <c r="I34" s="112" t="s">
        <v>202</v>
      </c>
    </row>
    <row r="35" spans="1:9">
      <c r="A35" s="112" t="s">
        <v>495</v>
      </c>
      <c r="B35" t="s">
        <v>656</v>
      </c>
      <c r="C35" t="s">
        <v>43</v>
      </c>
      <c r="D35" t="s">
        <v>213</v>
      </c>
      <c r="E35" t="s">
        <v>200</v>
      </c>
      <c r="F35" t="s">
        <v>635</v>
      </c>
      <c r="G35" t="s">
        <v>112</v>
      </c>
      <c r="H35" t="s">
        <v>498</v>
      </c>
      <c r="I35" s="112" t="s">
        <v>202</v>
      </c>
    </row>
    <row r="36" spans="1:9">
      <c r="A36" s="112" t="s">
        <v>495</v>
      </c>
      <c r="B36" t="s">
        <v>656</v>
      </c>
      <c r="C36" t="s">
        <v>45</v>
      </c>
      <c r="D36" t="s">
        <v>214</v>
      </c>
      <c r="E36" t="s">
        <v>200</v>
      </c>
      <c r="F36" t="s">
        <v>635</v>
      </c>
      <c r="G36" t="s">
        <v>112</v>
      </c>
      <c r="H36" t="s">
        <v>498</v>
      </c>
      <c r="I36" s="112" t="s">
        <v>202</v>
      </c>
    </row>
    <row r="37" spans="1:9">
      <c r="A37" s="112" t="s">
        <v>495</v>
      </c>
      <c r="B37" t="s">
        <v>744</v>
      </c>
      <c r="C37" t="s">
        <v>41</v>
      </c>
      <c r="D37" t="s">
        <v>239</v>
      </c>
      <c r="E37" t="s">
        <v>229</v>
      </c>
      <c r="F37" t="s">
        <v>635</v>
      </c>
      <c r="G37" t="s">
        <v>112</v>
      </c>
      <c r="H37" t="s">
        <v>498</v>
      </c>
      <c r="I37" s="112" t="s">
        <v>231</v>
      </c>
    </row>
    <row r="38" spans="1:9">
      <c r="A38" s="112" t="s">
        <v>495</v>
      </c>
      <c r="B38" t="s">
        <v>744</v>
      </c>
      <c r="C38" t="s">
        <v>43</v>
      </c>
      <c r="D38" t="s">
        <v>240</v>
      </c>
      <c r="E38" t="s">
        <v>229</v>
      </c>
      <c r="F38" t="s">
        <v>635</v>
      </c>
      <c r="G38" t="s">
        <v>112</v>
      </c>
      <c r="H38" t="s">
        <v>498</v>
      </c>
      <c r="I38" s="112" t="s">
        <v>231</v>
      </c>
    </row>
    <row r="39" spans="1:9">
      <c r="A39" s="112" t="s">
        <v>495</v>
      </c>
      <c r="B39" t="s">
        <v>744</v>
      </c>
      <c r="C39" t="s">
        <v>45</v>
      </c>
      <c r="D39" t="s">
        <v>241</v>
      </c>
      <c r="E39" t="s">
        <v>229</v>
      </c>
      <c r="F39" t="s">
        <v>635</v>
      </c>
      <c r="G39" t="s">
        <v>112</v>
      </c>
      <c r="H39" t="s">
        <v>498</v>
      </c>
      <c r="I39" s="112" t="s">
        <v>231</v>
      </c>
    </row>
    <row r="40" spans="1:9">
      <c r="A40" s="112" t="s">
        <v>495</v>
      </c>
      <c r="B40" t="s">
        <v>658</v>
      </c>
      <c r="C40" t="s">
        <v>41</v>
      </c>
      <c r="D40" t="s">
        <v>269</v>
      </c>
      <c r="E40" t="s">
        <v>254</v>
      </c>
      <c r="F40" t="s">
        <v>635</v>
      </c>
      <c r="G40" t="s">
        <v>112</v>
      </c>
      <c r="H40" t="s">
        <v>498</v>
      </c>
      <c r="I40" s="112" t="s">
        <v>255</v>
      </c>
    </row>
    <row r="41" spans="1:9">
      <c r="A41" s="112" t="s">
        <v>495</v>
      </c>
      <c r="B41" t="s">
        <v>658</v>
      </c>
      <c r="C41" t="s">
        <v>43</v>
      </c>
      <c r="D41" t="s">
        <v>270</v>
      </c>
      <c r="E41" t="s">
        <v>254</v>
      </c>
      <c r="F41" t="s">
        <v>635</v>
      </c>
      <c r="G41" t="s">
        <v>112</v>
      </c>
      <c r="H41" t="s">
        <v>498</v>
      </c>
      <c r="I41" s="112" t="s">
        <v>255</v>
      </c>
    </row>
    <row r="42" spans="1:9">
      <c r="A42" s="112" t="s">
        <v>495</v>
      </c>
      <c r="B42" t="s">
        <v>658</v>
      </c>
      <c r="C42" t="s">
        <v>45</v>
      </c>
      <c r="D42" t="s">
        <v>271</v>
      </c>
      <c r="E42" t="s">
        <v>254</v>
      </c>
      <c r="F42" t="s">
        <v>635</v>
      </c>
      <c r="G42" t="s">
        <v>112</v>
      </c>
      <c r="H42" t="s">
        <v>498</v>
      </c>
      <c r="I42" s="112" t="s">
        <v>255</v>
      </c>
    </row>
    <row r="43" spans="1:9">
      <c r="A43" s="112" t="s">
        <v>495</v>
      </c>
      <c r="B43" t="s">
        <v>657</v>
      </c>
      <c r="C43" t="s">
        <v>41</v>
      </c>
      <c r="D43" t="s">
        <v>305</v>
      </c>
      <c r="E43" t="s">
        <v>292</v>
      </c>
      <c r="F43" t="s">
        <v>635</v>
      </c>
      <c r="G43" t="s">
        <v>112</v>
      </c>
      <c r="H43" t="s">
        <v>498</v>
      </c>
      <c r="I43" s="112" t="s">
        <v>293</v>
      </c>
    </row>
    <row r="44" spans="1:9">
      <c r="A44" s="112" t="s">
        <v>495</v>
      </c>
      <c r="B44" t="s">
        <v>657</v>
      </c>
      <c r="C44" t="s">
        <v>43</v>
      </c>
      <c r="D44" t="s">
        <v>306</v>
      </c>
      <c r="E44" t="s">
        <v>292</v>
      </c>
      <c r="F44" t="s">
        <v>635</v>
      </c>
      <c r="G44" t="s">
        <v>112</v>
      </c>
      <c r="H44" t="s">
        <v>498</v>
      </c>
      <c r="I44" s="112" t="s">
        <v>293</v>
      </c>
    </row>
    <row r="45" spans="1:9">
      <c r="A45" s="112" t="s">
        <v>495</v>
      </c>
      <c r="B45" t="s">
        <v>657</v>
      </c>
      <c r="C45" t="s">
        <v>45</v>
      </c>
      <c r="D45" t="s">
        <v>307</v>
      </c>
      <c r="E45" t="s">
        <v>292</v>
      </c>
      <c r="F45" t="s">
        <v>635</v>
      </c>
      <c r="G45" t="s">
        <v>112</v>
      </c>
      <c r="H45" t="s">
        <v>498</v>
      </c>
      <c r="I45" s="112" t="s">
        <v>293</v>
      </c>
    </row>
    <row r="46" spans="1:9">
      <c r="A46" s="112" t="s">
        <v>495</v>
      </c>
      <c r="B46" t="s">
        <v>659</v>
      </c>
      <c r="C46" t="s">
        <v>41</v>
      </c>
      <c r="D46" t="s">
        <v>344</v>
      </c>
      <c r="E46" t="s">
        <v>465</v>
      </c>
      <c r="F46" t="s">
        <v>635</v>
      </c>
      <c r="G46" t="s">
        <v>112</v>
      </c>
      <c r="H46" t="s">
        <v>498</v>
      </c>
      <c r="I46" s="112" t="s">
        <v>466</v>
      </c>
    </row>
    <row r="47" spans="1:9">
      <c r="A47" s="112" t="s">
        <v>495</v>
      </c>
      <c r="B47" t="s">
        <v>659</v>
      </c>
      <c r="C47" t="s">
        <v>43</v>
      </c>
      <c r="D47" t="s">
        <v>346</v>
      </c>
      <c r="E47" t="s">
        <v>465</v>
      </c>
      <c r="F47" t="s">
        <v>635</v>
      </c>
      <c r="G47" t="s">
        <v>112</v>
      </c>
      <c r="H47" t="s">
        <v>498</v>
      </c>
      <c r="I47" s="112" t="s">
        <v>466</v>
      </c>
    </row>
    <row r="48" spans="1:9">
      <c r="A48" s="112" t="s">
        <v>495</v>
      </c>
      <c r="B48" t="s">
        <v>659</v>
      </c>
      <c r="C48" t="s">
        <v>45</v>
      </c>
      <c r="D48" t="s">
        <v>348</v>
      </c>
      <c r="E48" t="s">
        <v>465</v>
      </c>
      <c r="F48" t="s">
        <v>635</v>
      </c>
      <c r="G48" t="s">
        <v>112</v>
      </c>
      <c r="H48" t="s">
        <v>498</v>
      </c>
      <c r="I48" s="112" t="s">
        <v>466</v>
      </c>
    </row>
    <row r="49" spans="1:9">
      <c r="A49" s="112" t="s">
        <v>495</v>
      </c>
      <c r="B49" t="s">
        <v>660</v>
      </c>
      <c r="C49" t="s">
        <v>41</v>
      </c>
      <c r="D49" t="s">
        <v>381</v>
      </c>
      <c r="E49" t="s">
        <v>368</v>
      </c>
      <c r="F49" t="s">
        <v>635</v>
      </c>
      <c r="G49" t="s">
        <v>112</v>
      </c>
      <c r="H49" t="s">
        <v>498</v>
      </c>
      <c r="I49" s="112" t="s">
        <v>467</v>
      </c>
    </row>
    <row r="50" spans="1:9">
      <c r="A50" s="112" t="s">
        <v>495</v>
      </c>
      <c r="B50" t="s">
        <v>660</v>
      </c>
      <c r="C50" t="s">
        <v>43</v>
      </c>
      <c r="D50" t="s">
        <v>661</v>
      </c>
      <c r="E50" t="s">
        <v>368</v>
      </c>
      <c r="F50" t="s">
        <v>635</v>
      </c>
      <c r="G50" t="s">
        <v>112</v>
      </c>
      <c r="H50" t="s">
        <v>498</v>
      </c>
      <c r="I50" s="112" t="s">
        <v>467</v>
      </c>
    </row>
    <row r="51" spans="1:9">
      <c r="A51" s="112" t="s">
        <v>495</v>
      </c>
      <c r="B51" t="s">
        <v>660</v>
      </c>
      <c r="C51" t="s">
        <v>45</v>
      </c>
      <c r="D51" t="s">
        <v>383</v>
      </c>
      <c r="E51" t="s">
        <v>368</v>
      </c>
      <c r="F51" t="s">
        <v>635</v>
      </c>
      <c r="G51" t="s">
        <v>112</v>
      </c>
      <c r="H51" t="s">
        <v>498</v>
      </c>
      <c r="I51" s="112" t="s">
        <v>467</v>
      </c>
    </row>
    <row r="52" spans="1:9">
      <c r="A52" s="112" t="s">
        <v>495</v>
      </c>
      <c r="B52" t="s">
        <v>660</v>
      </c>
      <c r="C52" t="s">
        <v>47</v>
      </c>
      <c r="D52" t="s">
        <v>384</v>
      </c>
      <c r="E52" t="s">
        <v>368</v>
      </c>
      <c r="F52" t="s">
        <v>635</v>
      </c>
      <c r="G52" t="s">
        <v>112</v>
      </c>
      <c r="H52" t="s">
        <v>498</v>
      </c>
      <c r="I52" s="112" t="s">
        <v>467</v>
      </c>
    </row>
    <row r="53" spans="1:9">
      <c r="A53" s="112" t="s">
        <v>495</v>
      </c>
      <c r="B53" t="s">
        <v>662</v>
      </c>
      <c r="C53" t="s">
        <v>41</v>
      </c>
      <c r="D53" t="s">
        <v>412</v>
      </c>
      <c r="E53" t="s">
        <v>402</v>
      </c>
      <c r="F53" t="s">
        <v>635</v>
      </c>
      <c r="G53" t="s">
        <v>112</v>
      </c>
      <c r="H53" t="s">
        <v>498</v>
      </c>
      <c r="I53" s="112" t="s">
        <v>463</v>
      </c>
    </row>
    <row r="54" spans="1:9">
      <c r="A54" s="112" t="s">
        <v>495</v>
      </c>
      <c r="B54" t="s">
        <v>662</v>
      </c>
      <c r="C54" t="s">
        <v>43</v>
      </c>
      <c r="D54" t="s">
        <v>413</v>
      </c>
      <c r="E54" t="s">
        <v>402</v>
      </c>
      <c r="F54" t="s">
        <v>635</v>
      </c>
      <c r="G54" t="s">
        <v>112</v>
      </c>
      <c r="H54" t="s">
        <v>498</v>
      </c>
      <c r="I54" s="112" t="s">
        <v>463</v>
      </c>
    </row>
    <row r="55" spans="1:9">
      <c r="A55" s="112" t="s">
        <v>495</v>
      </c>
      <c r="B55" t="s">
        <v>663</v>
      </c>
      <c r="C55" t="s">
        <v>41</v>
      </c>
      <c r="D55" t="s">
        <v>450</v>
      </c>
      <c r="E55" t="s">
        <v>441</v>
      </c>
      <c r="F55" t="s">
        <v>635</v>
      </c>
      <c r="G55" t="s">
        <v>112</v>
      </c>
      <c r="H55" t="s">
        <v>498</v>
      </c>
      <c r="I55" s="112" t="s">
        <v>443</v>
      </c>
    </row>
    <row r="56" spans="1:9">
      <c r="A56" s="112" t="s">
        <v>495</v>
      </c>
      <c r="B56" t="s">
        <v>663</v>
      </c>
      <c r="C56" t="s">
        <v>43</v>
      </c>
      <c r="D56" t="s">
        <v>451</v>
      </c>
      <c r="E56" t="s">
        <v>441</v>
      </c>
      <c r="F56" t="s">
        <v>635</v>
      </c>
      <c r="G56" t="s">
        <v>112</v>
      </c>
      <c r="H56" t="s">
        <v>498</v>
      </c>
      <c r="I56" s="112" t="s">
        <v>443</v>
      </c>
    </row>
    <row r="57" spans="1:9">
      <c r="A57" s="112" t="s">
        <v>495</v>
      </c>
      <c r="B57" t="s">
        <v>663</v>
      </c>
      <c r="C57" t="s">
        <v>45</v>
      </c>
      <c r="D57" t="s">
        <v>452</v>
      </c>
      <c r="E57" t="s">
        <v>441</v>
      </c>
      <c r="F57" t="s">
        <v>635</v>
      </c>
      <c r="G57" t="s">
        <v>112</v>
      </c>
      <c r="H57" t="s">
        <v>498</v>
      </c>
      <c r="I57" s="112" t="s">
        <v>443</v>
      </c>
    </row>
    <row r="58" spans="1:9">
      <c r="A58" s="112" t="s">
        <v>510</v>
      </c>
      <c r="B58" t="s">
        <v>664</v>
      </c>
      <c r="C58" t="s">
        <v>41</v>
      </c>
      <c r="D58" t="s">
        <v>745</v>
      </c>
      <c r="E58" t="s">
        <v>468</v>
      </c>
      <c r="F58" t="s">
        <v>635</v>
      </c>
      <c r="G58" t="s">
        <v>112</v>
      </c>
      <c r="H58" t="s">
        <v>498</v>
      </c>
      <c r="I58" s="112" t="s">
        <v>469</v>
      </c>
    </row>
    <row r="59" spans="1:9">
      <c r="A59" s="112" t="s">
        <v>510</v>
      </c>
      <c r="B59" t="s">
        <v>664</v>
      </c>
      <c r="C59" t="s">
        <v>43</v>
      </c>
      <c r="D59" t="s">
        <v>746</v>
      </c>
      <c r="E59" t="s">
        <v>468</v>
      </c>
      <c r="F59" t="s">
        <v>635</v>
      </c>
      <c r="G59" t="s">
        <v>112</v>
      </c>
      <c r="H59" t="s">
        <v>498</v>
      </c>
      <c r="I59" s="112" t="s">
        <v>469</v>
      </c>
    </row>
    <row r="60" spans="1:9">
      <c r="A60" s="112" t="s">
        <v>510</v>
      </c>
      <c r="B60" t="s">
        <v>664</v>
      </c>
      <c r="C60" t="s">
        <v>45</v>
      </c>
      <c r="D60" t="s">
        <v>747</v>
      </c>
      <c r="E60" t="s">
        <v>468</v>
      </c>
      <c r="F60" t="s">
        <v>635</v>
      </c>
      <c r="G60" t="s">
        <v>112</v>
      </c>
      <c r="H60" t="s">
        <v>498</v>
      </c>
      <c r="I60" s="112" t="s">
        <v>469</v>
      </c>
    </row>
    <row r="61" spans="1:9">
      <c r="A61" s="112" t="s">
        <v>510</v>
      </c>
      <c r="B61" t="s">
        <v>665</v>
      </c>
      <c r="C61" t="s">
        <v>41</v>
      </c>
      <c r="D61" t="s">
        <v>666</v>
      </c>
      <c r="E61" t="s">
        <v>471</v>
      </c>
      <c r="F61" t="s">
        <v>635</v>
      </c>
      <c r="G61" t="s">
        <v>112</v>
      </c>
      <c r="H61" t="s">
        <v>498</v>
      </c>
      <c r="I61" s="112" t="s">
        <v>472</v>
      </c>
    </row>
    <row r="62" spans="1:9">
      <c r="A62" s="112" t="s">
        <v>510</v>
      </c>
      <c r="B62" t="s">
        <v>665</v>
      </c>
      <c r="C62" t="s">
        <v>43</v>
      </c>
      <c r="D62" t="s">
        <v>667</v>
      </c>
      <c r="E62" t="s">
        <v>471</v>
      </c>
      <c r="F62" t="s">
        <v>635</v>
      </c>
      <c r="G62" t="s">
        <v>112</v>
      </c>
      <c r="H62" t="s">
        <v>498</v>
      </c>
      <c r="I62" s="112" t="s">
        <v>472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EF33-E562-46F5-958B-04F7B2B323CB}">
  <sheetPr codeName="Sheet20"/>
  <dimension ref="A1:I177"/>
  <sheetViews>
    <sheetView workbookViewId="0">
      <selection activeCell="D21" sqref="D21"/>
    </sheetView>
  </sheetViews>
  <sheetFormatPr defaultColWidth="8.85546875" defaultRowHeight="15"/>
  <cols>
    <col min="1" max="1" width="49" bestFit="1" customWidth="1"/>
    <col min="2" max="2" width="14.28515625" bestFit="1" customWidth="1"/>
    <col min="3" max="3" width="14.5703125" bestFit="1" customWidth="1"/>
    <col min="4" max="4" width="53.42578125" bestFit="1" customWidth="1"/>
    <col min="5" max="5" width="14.85546875" bestFit="1" customWidth="1"/>
    <col min="6" max="6" width="12.7109375" bestFit="1" customWidth="1"/>
    <col min="7" max="7" width="14.42578125" bestFit="1" customWidth="1"/>
    <col min="8" max="8" width="12.140625" bestFit="1" customWidth="1"/>
    <col min="9" max="9" width="53" bestFit="1" customWidth="1"/>
  </cols>
  <sheetData>
    <row r="1" spans="1:9">
      <c r="A1" t="s">
        <v>490</v>
      </c>
      <c r="B1" t="s">
        <v>491</v>
      </c>
      <c r="C1" t="s">
        <v>1</v>
      </c>
      <c r="D1" t="s">
        <v>2</v>
      </c>
      <c r="E1" t="s">
        <v>458</v>
      </c>
      <c r="F1" t="s">
        <v>492</v>
      </c>
      <c r="G1" t="s">
        <v>493</v>
      </c>
      <c r="H1" t="s">
        <v>494</v>
      </c>
      <c r="I1" t="s">
        <v>459</v>
      </c>
    </row>
    <row r="2" spans="1:9">
      <c r="A2" s="112" t="s">
        <v>513</v>
      </c>
      <c r="B2" t="s">
        <v>535</v>
      </c>
      <c r="C2" t="s">
        <v>4</v>
      </c>
      <c r="D2" t="s">
        <v>474</v>
      </c>
      <c r="E2" t="s">
        <v>474</v>
      </c>
      <c r="F2" t="s">
        <v>520</v>
      </c>
      <c r="G2" t="s">
        <v>112</v>
      </c>
      <c r="H2" t="s">
        <v>498</v>
      </c>
      <c r="I2" s="112" t="s">
        <v>475</v>
      </c>
    </row>
    <row r="3" spans="1:9">
      <c r="A3" s="112" t="s">
        <v>513</v>
      </c>
      <c r="B3" t="s">
        <v>535</v>
      </c>
      <c r="C3" t="s">
        <v>7</v>
      </c>
      <c r="D3" t="s">
        <v>475</v>
      </c>
      <c r="E3" t="s">
        <v>474</v>
      </c>
      <c r="F3" t="s">
        <v>520</v>
      </c>
      <c r="G3" t="s">
        <v>112</v>
      </c>
      <c r="H3" t="s">
        <v>498</v>
      </c>
      <c r="I3" s="112" t="s">
        <v>475</v>
      </c>
    </row>
    <row r="4" spans="1:9">
      <c r="A4" s="112" t="s">
        <v>513</v>
      </c>
      <c r="B4" t="s">
        <v>535</v>
      </c>
      <c r="C4" t="s">
        <v>9</v>
      </c>
      <c r="D4">
        <v>20</v>
      </c>
      <c r="E4" t="s">
        <v>474</v>
      </c>
      <c r="F4" t="s">
        <v>520</v>
      </c>
      <c r="G4" t="s">
        <v>112</v>
      </c>
      <c r="H4" t="s">
        <v>498</v>
      </c>
      <c r="I4" s="112" t="s">
        <v>475</v>
      </c>
    </row>
    <row r="5" spans="1:9">
      <c r="A5" s="112" t="s">
        <v>513</v>
      </c>
      <c r="B5" t="s">
        <v>535</v>
      </c>
      <c r="C5" t="s">
        <v>10</v>
      </c>
      <c r="D5">
        <v>2</v>
      </c>
      <c r="E5" t="s">
        <v>474</v>
      </c>
      <c r="F5" t="s">
        <v>520</v>
      </c>
      <c r="G5" t="s">
        <v>112</v>
      </c>
      <c r="H5" t="s">
        <v>498</v>
      </c>
      <c r="I5" s="112" t="s">
        <v>475</v>
      </c>
    </row>
    <row r="6" spans="1:9">
      <c r="A6" s="112" t="s">
        <v>513</v>
      </c>
      <c r="B6" t="s">
        <v>535</v>
      </c>
      <c r="C6" t="s">
        <v>12</v>
      </c>
      <c r="D6">
        <v>4</v>
      </c>
      <c r="E6" t="s">
        <v>474</v>
      </c>
      <c r="F6" t="s">
        <v>520</v>
      </c>
      <c r="G6" t="s">
        <v>112</v>
      </c>
      <c r="H6" t="s">
        <v>498</v>
      </c>
      <c r="I6" s="112" t="s">
        <v>475</v>
      </c>
    </row>
    <row r="7" spans="1:9">
      <c r="A7" s="112" t="s">
        <v>513</v>
      </c>
      <c r="B7" t="s">
        <v>535</v>
      </c>
      <c r="C7" t="s">
        <v>14</v>
      </c>
      <c r="D7" t="s">
        <v>476</v>
      </c>
      <c r="E7" t="s">
        <v>474</v>
      </c>
      <c r="F7" t="s">
        <v>520</v>
      </c>
      <c r="G7" t="s">
        <v>112</v>
      </c>
      <c r="H7" t="s">
        <v>498</v>
      </c>
      <c r="I7" s="112" t="s">
        <v>475</v>
      </c>
    </row>
    <row r="8" spans="1:9">
      <c r="A8" s="112" t="s">
        <v>513</v>
      </c>
      <c r="B8" t="s">
        <v>535</v>
      </c>
      <c r="C8" t="s">
        <v>17</v>
      </c>
      <c r="D8" t="s">
        <v>477</v>
      </c>
      <c r="E8" t="s">
        <v>474</v>
      </c>
      <c r="F8" t="s">
        <v>520</v>
      </c>
      <c r="G8" t="s">
        <v>112</v>
      </c>
      <c r="H8" t="s">
        <v>498</v>
      </c>
      <c r="I8" s="112" t="s">
        <v>475</v>
      </c>
    </row>
    <row r="9" spans="1:9">
      <c r="A9" s="112" t="s">
        <v>513</v>
      </c>
      <c r="B9" t="s">
        <v>535</v>
      </c>
      <c r="C9" t="s">
        <v>20</v>
      </c>
      <c r="D9" t="s">
        <v>448</v>
      </c>
      <c r="E9" t="s">
        <v>474</v>
      </c>
      <c r="F9" t="s">
        <v>520</v>
      </c>
      <c r="G9" t="s">
        <v>112</v>
      </c>
      <c r="H9" t="s">
        <v>498</v>
      </c>
      <c r="I9" s="112" t="s">
        <v>475</v>
      </c>
    </row>
    <row r="10" spans="1:9">
      <c r="A10" s="112" t="s">
        <v>513</v>
      </c>
      <c r="B10" t="s">
        <v>536</v>
      </c>
      <c r="C10" t="s">
        <v>4</v>
      </c>
      <c r="D10" t="s">
        <v>478</v>
      </c>
      <c r="E10" t="s">
        <v>478</v>
      </c>
      <c r="F10" t="s">
        <v>520</v>
      </c>
      <c r="G10" t="s">
        <v>112</v>
      </c>
      <c r="H10" t="s">
        <v>498</v>
      </c>
      <c r="I10" s="112" t="s">
        <v>479</v>
      </c>
    </row>
    <row r="11" spans="1:9">
      <c r="A11" s="112" t="s">
        <v>513</v>
      </c>
      <c r="B11" t="s">
        <v>536</v>
      </c>
      <c r="C11" t="s">
        <v>7</v>
      </c>
      <c r="D11" t="s">
        <v>748</v>
      </c>
      <c r="E11" t="s">
        <v>478</v>
      </c>
      <c r="F11" t="s">
        <v>520</v>
      </c>
      <c r="G11" t="s">
        <v>112</v>
      </c>
      <c r="H11" t="s">
        <v>498</v>
      </c>
      <c r="I11" s="112" t="s">
        <v>479</v>
      </c>
    </row>
    <row r="12" spans="1:9">
      <c r="A12" s="112" t="s">
        <v>513</v>
      </c>
      <c r="B12" t="s">
        <v>536</v>
      </c>
      <c r="C12" t="s">
        <v>9</v>
      </c>
      <c r="D12">
        <v>20</v>
      </c>
      <c r="E12" t="s">
        <v>478</v>
      </c>
      <c r="F12" t="s">
        <v>520</v>
      </c>
      <c r="G12" t="s">
        <v>112</v>
      </c>
      <c r="H12" t="s">
        <v>498</v>
      </c>
      <c r="I12" s="112" t="s">
        <v>479</v>
      </c>
    </row>
    <row r="13" spans="1:9">
      <c r="A13" s="112" t="s">
        <v>513</v>
      </c>
      <c r="B13" t="s">
        <v>536</v>
      </c>
      <c r="C13" t="s">
        <v>10</v>
      </c>
      <c r="D13">
        <v>1</v>
      </c>
      <c r="E13" t="s">
        <v>478</v>
      </c>
      <c r="F13" t="s">
        <v>520</v>
      </c>
      <c r="G13" t="s">
        <v>112</v>
      </c>
      <c r="H13" t="s">
        <v>498</v>
      </c>
      <c r="I13" s="112" t="s">
        <v>479</v>
      </c>
    </row>
    <row r="14" spans="1:9">
      <c r="A14" s="112" t="s">
        <v>513</v>
      </c>
      <c r="B14" t="s">
        <v>536</v>
      </c>
      <c r="C14" t="s">
        <v>12</v>
      </c>
      <c r="D14">
        <v>4</v>
      </c>
      <c r="E14" t="s">
        <v>478</v>
      </c>
      <c r="F14" t="s">
        <v>520</v>
      </c>
      <c r="G14" t="s">
        <v>112</v>
      </c>
      <c r="H14" t="s">
        <v>498</v>
      </c>
      <c r="I14" s="112" t="s">
        <v>479</v>
      </c>
    </row>
    <row r="15" spans="1:9">
      <c r="A15" s="112" t="s">
        <v>513</v>
      </c>
      <c r="B15" t="s">
        <v>536</v>
      </c>
      <c r="C15" t="s">
        <v>14</v>
      </c>
      <c r="D15" t="s">
        <v>749</v>
      </c>
      <c r="E15" t="s">
        <v>478</v>
      </c>
      <c r="F15" t="s">
        <v>520</v>
      </c>
      <c r="G15" t="s">
        <v>112</v>
      </c>
      <c r="H15" t="s">
        <v>498</v>
      </c>
      <c r="I15" s="112" t="s">
        <v>479</v>
      </c>
    </row>
    <row r="16" spans="1:9">
      <c r="A16" s="112" t="s">
        <v>513</v>
      </c>
      <c r="B16" t="s">
        <v>536</v>
      </c>
      <c r="C16" t="s">
        <v>17</v>
      </c>
      <c r="D16" t="s">
        <v>18</v>
      </c>
      <c r="E16" t="s">
        <v>478</v>
      </c>
      <c r="F16" t="s">
        <v>520</v>
      </c>
      <c r="G16" t="s">
        <v>112</v>
      </c>
      <c r="H16" t="s">
        <v>498</v>
      </c>
      <c r="I16" s="112" t="s">
        <v>479</v>
      </c>
    </row>
    <row r="17" spans="1:9">
      <c r="A17" s="112" t="s">
        <v>513</v>
      </c>
      <c r="B17" t="s">
        <v>536</v>
      </c>
      <c r="C17" t="s">
        <v>20</v>
      </c>
      <c r="D17" t="s">
        <v>533</v>
      </c>
      <c r="E17" t="s">
        <v>478</v>
      </c>
      <c r="F17" t="s">
        <v>520</v>
      </c>
      <c r="G17" t="s">
        <v>112</v>
      </c>
      <c r="H17" t="s">
        <v>498</v>
      </c>
      <c r="I17" s="112" t="s">
        <v>479</v>
      </c>
    </row>
    <row r="18" spans="1:9">
      <c r="A18" s="112" t="s">
        <v>699</v>
      </c>
      <c r="B18" t="s">
        <v>750</v>
      </c>
      <c r="C18" t="s">
        <v>4</v>
      </c>
      <c r="D18" t="s">
        <v>701</v>
      </c>
      <c r="E18" t="s">
        <v>701</v>
      </c>
      <c r="F18" t="s">
        <v>520</v>
      </c>
      <c r="G18" t="s">
        <v>112</v>
      </c>
      <c r="H18" t="s">
        <v>498</v>
      </c>
      <c r="I18" s="112" t="s">
        <v>702</v>
      </c>
    </row>
    <row r="19" spans="1:9">
      <c r="A19" s="112" t="s">
        <v>699</v>
      </c>
      <c r="B19" t="s">
        <v>750</v>
      </c>
      <c r="C19" t="s">
        <v>7</v>
      </c>
      <c r="D19" t="s">
        <v>702</v>
      </c>
      <c r="E19" t="s">
        <v>701</v>
      </c>
      <c r="F19" t="s">
        <v>520</v>
      </c>
      <c r="G19" t="s">
        <v>112</v>
      </c>
      <c r="H19" t="s">
        <v>498</v>
      </c>
      <c r="I19" s="112" t="s">
        <v>702</v>
      </c>
    </row>
    <row r="20" spans="1:9">
      <c r="A20" s="112" t="s">
        <v>699</v>
      </c>
      <c r="B20" t="s">
        <v>750</v>
      </c>
      <c r="C20" t="s">
        <v>9</v>
      </c>
      <c r="D20">
        <v>20</v>
      </c>
      <c r="E20" t="s">
        <v>701</v>
      </c>
      <c r="F20" t="s">
        <v>520</v>
      </c>
      <c r="G20" t="s">
        <v>112</v>
      </c>
      <c r="H20" t="s">
        <v>498</v>
      </c>
      <c r="I20" s="112" t="s">
        <v>702</v>
      </c>
    </row>
    <row r="21" spans="1:9">
      <c r="A21" s="112" t="s">
        <v>699</v>
      </c>
      <c r="B21" t="s">
        <v>750</v>
      </c>
      <c r="C21" t="s">
        <v>10</v>
      </c>
      <c r="D21">
        <v>1</v>
      </c>
      <c r="E21" t="s">
        <v>701</v>
      </c>
      <c r="F21" t="s">
        <v>520</v>
      </c>
      <c r="G21" t="s">
        <v>112</v>
      </c>
      <c r="H21" t="s">
        <v>498</v>
      </c>
      <c r="I21" s="112" t="s">
        <v>702</v>
      </c>
    </row>
    <row r="22" spans="1:9">
      <c r="A22" s="112" t="s">
        <v>699</v>
      </c>
      <c r="B22" t="s">
        <v>750</v>
      </c>
      <c r="C22" t="s">
        <v>12</v>
      </c>
      <c r="D22">
        <v>6</v>
      </c>
      <c r="E22" t="s">
        <v>701</v>
      </c>
      <c r="F22" t="s">
        <v>520</v>
      </c>
      <c r="G22" t="s">
        <v>112</v>
      </c>
      <c r="H22" t="s">
        <v>498</v>
      </c>
      <c r="I22" s="112" t="s">
        <v>702</v>
      </c>
    </row>
    <row r="23" spans="1:9">
      <c r="A23" s="112" t="s">
        <v>699</v>
      </c>
      <c r="B23" t="s">
        <v>750</v>
      </c>
      <c r="C23" t="s">
        <v>14</v>
      </c>
      <c r="D23" t="s">
        <v>751</v>
      </c>
      <c r="E23" t="s">
        <v>701</v>
      </c>
      <c r="F23" t="s">
        <v>520</v>
      </c>
      <c r="G23" t="s">
        <v>112</v>
      </c>
      <c r="H23" t="s">
        <v>498</v>
      </c>
      <c r="I23" s="112" t="s">
        <v>702</v>
      </c>
    </row>
    <row r="24" spans="1:9">
      <c r="A24" s="112" t="s">
        <v>699</v>
      </c>
      <c r="B24" t="s">
        <v>750</v>
      </c>
      <c r="C24" t="s">
        <v>17</v>
      </c>
      <c r="D24" t="s">
        <v>260</v>
      </c>
      <c r="E24" t="s">
        <v>701</v>
      </c>
      <c r="F24" t="s">
        <v>520</v>
      </c>
      <c r="G24" t="s">
        <v>112</v>
      </c>
      <c r="H24" t="s">
        <v>498</v>
      </c>
      <c r="I24" s="112" t="s">
        <v>702</v>
      </c>
    </row>
    <row r="25" spans="1:9">
      <c r="A25" s="112" t="s">
        <v>699</v>
      </c>
      <c r="B25" t="s">
        <v>750</v>
      </c>
      <c r="C25" t="s">
        <v>20</v>
      </c>
      <c r="D25" t="s">
        <v>540</v>
      </c>
      <c r="E25" t="s">
        <v>701</v>
      </c>
      <c r="F25" t="s">
        <v>520</v>
      </c>
      <c r="G25" t="s">
        <v>112</v>
      </c>
      <c r="H25" t="s">
        <v>498</v>
      </c>
      <c r="I25" s="112" t="s">
        <v>702</v>
      </c>
    </row>
    <row r="26" spans="1:9">
      <c r="A26" s="112" t="s">
        <v>513</v>
      </c>
      <c r="B26" t="s">
        <v>537</v>
      </c>
      <c r="C26" t="s">
        <v>4</v>
      </c>
      <c r="D26" t="s">
        <v>480</v>
      </c>
      <c r="E26" t="s">
        <v>480</v>
      </c>
      <c r="F26" t="s">
        <v>520</v>
      </c>
      <c r="G26" t="s">
        <v>112</v>
      </c>
      <c r="H26" t="s">
        <v>498</v>
      </c>
      <c r="I26" s="112" t="s">
        <v>481</v>
      </c>
    </row>
    <row r="27" spans="1:9">
      <c r="A27" s="112" t="s">
        <v>513</v>
      </c>
      <c r="B27" t="s">
        <v>537</v>
      </c>
      <c r="C27" t="s">
        <v>7</v>
      </c>
      <c r="D27" t="s">
        <v>481</v>
      </c>
      <c r="E27" t="s">
        <v>480</v>
      </c>
      <c r="F27" t="s">
        <v>520</v>
      </c>
      <c r="G27" t="s">
        <v>112</v>
      </c>
      <c r="H27" t="s">
        <v>498</v>
      </c>
      <c r="I27" s="112" t="s">
        <v>481</v>
      </c>
    </row>
    <row r="28" spans="1:9">
      <c r="A28" s="112" t="s">
        <v>513</v>
      </c>
      <c r="B28" t="s">
        <v>537</v>
      </c>
      <c r="C28" t="s">
        <v>9</v>
      </c>
      <c r="D28">
        <v>20</v>
      </c>
      <c r="E28" t="s">
        <v>480</v>
      </c>
      <c r="F28" t="s">
        <v>520</v>
      </c>
      <c r="G28" t="s">
        <v>112</v>
      </c>
      <c r="H28" t="s">
        <v>498</v>
      </c>
      <c r="I28" s="112" t="s">
        <v>481</v>
      </c>
    </row>
    <row r="29" spans="1:9">
      <c r="A29" s="112" t="s">
        <v>513</v>
      </c>
      <c r="B29" t="s">
        <v>537</v>
      </c>
      <c r="C29" t="s">
        <v>10</v>
      </c>
      <c r="D29">
        <v>2</v>
      </c>
      <c r="E29" t="s">
        <v>480</v>
      </c>
      <c r="F29" t="s">
        <v>520</v>
      </c>
      <c r="G29" t="s">
        <v>112</v>
      </c>
      <c r="H29" t="s">
        <v>498</v>
      </c>
      <c r="I29" s="112" t="s">
        <v>481</v>
      </c>
    </row>
    <row r="30" spans="1:9">
      <c r="A30" s="112" t="s">
        <v>513</v>
      </c>
      <c r="B30" t="s">
        <v>537</v>
      </c>
      <c r="C30" t="s">
        <v>12</v>
      </c>
      <c r="D30">
        <v>4</v>
      </c>
      <c r="E30" t="s">
        <v>480</v>
      </c>
      <c r="F30" t="s">
        <v>520</v>
      </c>
      <c r="G30" t="s">
        <v>112</v>
      </c>
      <c r="H30" t="s">
        <v>498</v>
      </c>
      <c r="I30" s="112" t="s">
        <v>481</v>
      </c>
    </row>
    <row r="31" spans="1:9">
      <c r="A31" s="112" t="s">
        <v>513</v>
      </c>
      <c r="B31" t="s">
        <v>537</v>
      </c>
      <c r="C31" t="s">
        <v>14</v>
      </c>
      <c r="D31" t="s">
        <v>482</v>
      </c>
      <c r="E31" t="s">
        <v>480</v>
      </c>
      <c r="F31" t="s">
        <v>520</v>
      </c>
      <c r="G31" t="s">
        <v>112</v>
      </c>
      <c r="H31" t="s">
        <v>498</v>
      </c>
      <c r="I31" s="112" t="s">
        <v>481</v>
      </c>
    </row>
    <row r="32" spans="1:9">
      <c r="A32" s="112" t="s">
        <v>513</v>
      </c>
      <c r="B32" t="s">
        <v>537</v>
      </c>
      <c r="C32" t="s">
        <v>17</v>
      </c>
      <c r="D32" t="s">
        <v>18</v>
      </c>
      <c r="E32" t="s">
        <v>480</v>
      </c>
      <c r="F32" t="s">
        <v>520</v>
      </c>
      <c r="G32" t="s">
        <v>112</v>
      </c>
      <c r="H32" t="s">
        <v>498</v>
      </c>
      <c r="I32" s="112" t="s">
        <v>481</v>
      </c>
    </row>
    <row r="33" spans="1:9">
      <c r="A33" s="112" t="s">
        <v>513</v>
      </c>
      <c r="B33" t="s">
        <v>537</v>
      </c>
      <c r="C33" t="s">
        <v>20</v>
      </c>
      <c r="D33" t="s">
        <v>533</v>
      </c>
      <c r="E33" t="s">
        <v>480</v>
      </c>
      <c r="F33" t="s">
        <v>520</v>
      </c>
      <c r="G33" t="s">
        <v>112</v>
      </c>
      <c r="H33" t="s">
        <v>498</v>
      </c>
      <c r="I33" s="112" t="s">
        <v>481</v>
      </c>
    </row>
    <row r="34" spans="1:9">
      <c r="A34" s="112" t="s">
        <v>513</v>
      </c>
      <c r="B34" t="s">
        <v>752</v>
      </c>
      <c r="C34" t="s">
        <v>4</v>
      </c>
      <c r="D34" t="s">
        <v>704</v>
      </c>
      <c r="E34" t="s">
        <v>704</v>
      </c>
      <c r="F34" t="s">
        <v>520</v>
      </c>
      <c r="G34" t="s">
        <v>112</v>
      </c>
      <c r="H34" t="s">
        <v>498</v>
      </c>
      <c r="I34" s="112" t="s">
        <v>705</v>
      </c>
    </row>
    <row r="35" spans="1:9">
      <c r="A35" s="112" t="s">
        <v>513</v>
      </c>
      <c r="B35" t="s">
        <v>752</v>
      </c>
      <c r="C35" t="s">
        <v>7</v>
      </c>
      <c r="D35" t="s">
        <v>705</v>
      </c>
      <c r="E35" t="s">
        <v>704</v>
      </c>
      <c r="F35" t="s">
        <v>520</v>
      </c>
      <c r="G35" t="s">
        <v>112</v>
      </c>
      <c r="H35" t="s">
        <v>498</v>
      </c>
      <c r="I35" s="112" t="s">
        <v>705</v>
      </c>
    </row>
    <row r="36" spans="1:9">
      <c r="A36" s="112" t="s">
        <v>513</v>
      </c>
      <c r="B36" t="s">
        <v>752</v>
      </c>
      <c r="C36" t="s">
        <v>9</v>
      </c>
      <c r="D36">
        <v>20</v>
      </c>
      <c r="E36" t="s">
        <v>704</v>
      </c>
      <c r="F36" t="s">
        <v>520</v>
      </c>
      <c r="G36" t="s">
        <v>112</v>
      </c>
      <c r="H36" t="s">
        <v>498</v>
      </c>
      <c r="I36" s="112" t="s">
        <v>705</v>
      </c>
    </row>
    <row r="37" spans="1:9">
      <c r="A37" s="112" t="s">
        <v>513</v>
      </c>
      <c r="B37" t="s">
        <v>752</v>
      </c>
      <c r="C37" t="s">
        <v>10</v>
      </c>
      <c r="D37">
        <v>2</v>
      </c>
      <c r="E37" t="s">
        <v>704</v>
      </c>
      <c r="F37" t="s">
        <v>520</v>
      </c>
      <c r="G37" t="s">
        <v>112</v>
      </c>
      <c r="H37" t="s">
        <v>498</v>
      </c>
      <c r="I37" s="112" t="s">
        <v>705</v>
      </c>
    </row>
    <row r="38" spans="1:9">
      <c r="A38" s="112" t="s">
        <v>513</v>
      </c>
      <c r="B38" t="s">
        <v>752</v>
      </c>
      <c r="C38" t="s">
        <v>12</v>
      </c>
      <c r="D38">
        <v>5</v>
      </c>
      <c r="E38" t="s">
        <v>704</v>
      </c>
      <c r="F38" t="s">
        <v>520</v>
      </c>
      <c r="G38" t="s">
        <v>112</v>
      </c>
      <c r="H38" t="s">
        <v>498</v>
      </c>
      <c r="I38" s="112" t="s">
        <v>705</v>
      </c>
    </row>
    <row r="39" spans="1:9">
      <c r="A39" s="112" t="s">
        <v>513</v>
      </c>
      <c r="B39" t="s">
        <v>752</v>
      </c>
      <c r="C39" t="s">
        <v>14</v>
      </c>
      <c r="D39" t="s">
        <v>753</v>
      </c>
      <c r="E39" t="s">
        <v>704</v>
      </c>
      <c r="F39" t="s">
        <v>520</v>
      </c>
      <c r="G39" t="s">
        <v>112</v>
      </c>
      <c r="H39" t="s">
        <v>498</v>
      </c>
      <c r="I39" s="112" t="s">
        <v>705</v>
      </c>
    </row>
    <row r="40" spans="1:9">
      <c r="A40" s="112" t="s">
        <v>513</v>
      </c>
      <c r="B40" t="s">
        <v>752</v>
      </c>
      <c r="C40" t="s">
        <v>17</v>
      </c>
      <c r="D40" t="s">
        <v>477</v>
      </c>
      <c r="E40" t="s">
        <v>704</v>
      </c>
      <c r="F40" t="s">
        <v>520</v>
      </c>
      <c r="G40" t="s">
        <v>112</v>
      </c>
      <c r="H40" t="s">
        <v>498</v>
      </c>
      <c r="I40" s="112" t="s">
        <v>705</v>
      </c>
    </row>
    <row r="41" spans="1:9">
      <c r="A41" s="112" t="s">
        <v>513</v>
      </c>
      <c r="B41" t="s">
        <v>752</v>
      </c>
      <c r="C41" t="s">
        <v>20</v>
      </c>
      <c r="D41" t="s">
        <v>448</v>
      </c>
      <c r="E41" t="s">
        <v>704</v>
      </c>
      <c r="F41" t="s">
        <v>520</v>
      </c>
      <c r="G41" t="s">
        <v>112</v>
      </c>
      <c r="H41" t="s">
        <v>498</v>
      </c>
      <c r="I41" s="112" t="s">
        <v>705</v>
      </c>
    </row>
    <row r="42" spans="1:9">
      <c r="A42" s="112" t="s">
        <v>513</v>
      </c>
      <c r="B42" t="s">
        <v>538</v>
      </c>
      <c r="C42" t="s">
        <v>4</v>
      </c>
      <c r="D42" t="s">
        <v>483</v>
      </c>
      <c r="E42" t="s">
        <v>483</v>
      </c>
      <c r="F42" t="s">
        <v>520</v>
      </c>
      <c r="G42" t="s">
        <v>112</v>
      </c>
      <c r="H42" t="s">
        <v>498</v>
      </c>
      <c r="I42" s="112" t="s">
        <v>484</v>
      </c>
    </row>
    <row r="43" spans="1:9">
      <c r="A43" s="112" t="s">
        <v>513</v>
      </c>
      <c r="B43" t="s">
        <v>538</v>
      </c>
      <c r="C43" t="s">
        <v>7</v>
      </c>
      <c r="D43" t="s">
        <v>484</v>
      </c>
      <c r="E43" t="s">
        <v>483</v>
      </c>
      <c r="F43" t="s">
        <v>520</v>
      </c>
      <c r="G43" t="s">
        <v>112</v>
      </c>
      <c r="H43" t="s">
        <v>498</v>
      </c>
      <c r="I43" s="112" t="s">
        <v>484</v>
      </c>
    </row>
    <row r="44" spans="1:9">
      <c r="A44" s="112" t="s">
        <v>513</v>
      </c>
      <c r="B44" t="s">
        <v>538</v>
      </c>
      <c r="C44" t="s">
        <v>9</v>
      </c>
      <c r="D44">
        <v>40</v>
      </c>
      <c r="E44" t="s">
        <v>483</v>
      </c>
      <c r="F44" t="s">
        <v>520</v>
      </c>
      <c r="G44" t="s">
        <v>112</v>
      </c>
      <c r="H44" t="s">
        <v>498</v>
      </c>
      <c r="I44" s="112" t="s">
        <v>484</v>
      </c>
    </row>
    <row r="45" spans="1:9">
      <c r="A45" s="112" t="s">
        <v>513</v>
      </c>
      <c r="B45" t="s">
        <v>538</v>
      </c>
      <c r="C45" t="s">
        <v>10</v>
      </c>
      <c r="D45" t="s">
        <v>407</v>
      </c>
      <c r="E45" t="s">
        <v>483</v>
      </c>
      <c r="F45" t="s">
        <v>520</v>
      </c>
      <c r="G45" t="s">
        <v>112</v>
      </c>
      <c r="H45" t="s">
        <v>498</v>
      </c>
      <c r="I45" s="112" t="s">
        <v>484</v>
      </c>
    </row>
    <row r="46" spans="1:9">
      <c r="A46" s="112" t="s">
        <v>513</v>
      </c>
      <c r="B46" t="s">
        <v>538</v>
      </c>
      <c r="C46" t="s">
        <v>12</v>
      </c>
      <c r="D46">
        <v>6</v>
      </c>
      <c r="E46" t="s">
        <v>483</v>
      </c>
      <c r="F46" t="s">
        <v>520</v>
      </c>
      <c r="G46" t="s">
        <v>112</v>
      </c>
      <c r="H46" t="s">
        <v>498</v>
      </c>
      <c r="I46" s="112" t="s">
        <v>484</v>
      </c>
    </row>
    <row r="47" spans="1:9">
      <c r="A47" s="112" t="s">
        <v>513</v>
      </c>
      <c r="B47" t="s">
        <v>538</v>
      </c>
      <c r="C47" t="s">
        <v>14</v>
      </c>
      <c r="D47" t="s">
        <v>485</v>
      </c>
      <c r="E47" t="s">
        <v>483</v>
      </c>
      <c r="F47" t="s">
        <v>520</v>
      </c>
      <c r="G47" t="s">
        <v>112</v>
      </c>
      <c r="H47" t="s">
        <v>498</v>
      </c>
      <c r="I47" s="112" t="s">
        <v>484</v>
      </c>
    </row>
    <row r="48" spans="1:9">
      <c r="A48" s="112" t="s">
        <v>513</v>
      </c>
      <c r="B48" t="s">
        <v>538</v>
      </c>
      <c r="C48" t="s">
        <v>17</v>
      </c>
      <c r="D48" t="s">
        <v>486</v>
      </c>
      <c r="E48" t="s">
        <v>483</v>
      </c>
      <c r="F48" t="s">
        <v>520</v>
      </c>
      <c r="G48" t="s">
        <v>112</v>
      </c>
      <c r="H48" t="s">
        <v>498</v>
      </c>
      <c r="I48" s="112" t="s">
        <v>484</v>
      </c>
    </row>
    <row r="49" spans="1:9">
      <c r="A49" s="112" t="s">
        <v>513</v>
      </c>
      <c r="B49" t="s">
        <v>538</v>
      </c>
      <c r="C49" t="s">
        <v>20</v>
      </c>
      <c r="D49" t="s">
        <v>448</v>
      </c>
      <c r="E49" t="s">
        <v>483</v>
      </c>
      <c r="F49" t="s">
        <v>520</v>
      </c>
      <c r="G49" t="s">
        <v>112</v>
      </c>
      <c r="H49" t="s">
        <v>498</v>
      </c>
      <c r="I49" s="112" t="s">
        <v>484</v>
      </c>
    </row>
    <row r="50" spans="1:9">
      <c r="A50" s="112" t="s">
        <v>513</v>
      </c>
      <c r="B50" t="s">
        <v>539</v>
      </c>
      <c r="C50" t="s">
        <v>4</v>
      </c>
      <c r="D50" t="s">
        <v>487</v>
      </c>
      <c r="E50" t="s">
        <v>487</v>
      </c>
      <c r="F50" t="s">
        <v>520</v>
      </c>
      <c r="G50" t="s">
        <v>112</v>
      </c>
      <c r="H50" t="s">
        <v>498</v>
      </c>
      <c r="I50" s="112" t="s">
        <v>488</v>
      </c>
    </row>
    <row r="51" spans="1:9">
      <c r="A51" s="112" t="s">
        <v>513</v>
      </c>
      <c r="B51" t="s">
        <v>539</v>
      </c>
      <c r="C51" t="s">
        <v>7</v>
      </c>
      <c r="D51" t="s">
        <v>488</v>
      </c>
      <c r="E51" t="s">
        <v>487</v>
      </c>
      <c r="F51" t="s">
        <v>520</v>
      </c>
      <c r="G51" t="s">
        <v>112</v>
      </c>
      <c r="H51" t="s">
        <v>498</v>
      </c>
      <c r="I51" s="112" t="s">
        <v>488</v>
      </c>
    </row>
    <row r="52" spans="1:9">
      <c r="A52" s="112" t="s">
        <v>513</v>
      </c>
      <c r="B52" t="s">
        <v>539</v>
      </c>
      <c r="C52" t="s">
        <v>9</v>
      </c>
      <c r="D52">
        <v>20</v>
      </c>
      <c r="E52" t="s">
        <v>487</v>
      </c>
      <c r="F52" t="s">
        <v>520</v>
      </c>
      <c r="G52" t="s">
        <v>112</v>
      </c>
      <c r="H52" t="s">
        <v>498</v>
      </c>
      <c r="I52" s="112" t="s">
        <v>488</v>
      </c>
    </row>
    <row r="53" spans="1:9">
      <c r="A53" s="112" t="s">
        <v>513</v>
      </c>
      <c r="B53" t="s">
        <v>539</v>
      </c>
      <c r="C53" t="s">
        <v>10</v>
      </c>
      <c r="D53">
        <v>1</v>
      </c>
      <c r="E53" t="s">
        <v>487</v>
      </c>
      <c r="F53" t="s">
        <v>520</v>
      </c>
      <c r="G53" t="s">
        <v>112</v>
      </c>
      <c r="H53" t="s">
        <v>498</v>
      </c>
      <c r="I53" s="112" t="s">
        <v>488</v>
      </c>
    </row>
    <row r="54" spans="1:9">
      <c r="A54" s="112" t="s">
        <v>513</v>
      </c>
      <c r="B54" t="s">
        <v>539</v>
      </c>
      <c r="C54" t="s">
        <v>12</v>
      </c>
      <c r="D54">
        <v>6</v>
      </c>
      <c r="E54" t="s">
        <v>487</v>
      </c>
      <c r="F54" t="s">
        <v>520</v>
      </c>
      <c r="G54" t="s">
        <v>112</v>
      </c>
      <c r="H54" t="s">
        <v>498</v>
      </c>
      <c r="I54" s="112" t="s">
        <v>488</v>
      </c>
    </row>
    <row r="55" spans="1:9">
      <c r="A55" s="112" t="s">
        <v>513</v>
      </c>
      <c r="B55" t="s">
        <v>539</v>
      </c>
      <c r="C55" t="s">
        <v>14</v>
      </c>
      <c r="D55" t="s">
        <v>489</v>
      </c>
      <c r="E55" t="s">
        <v>487</v>
      </c>
      <c r="F55" t="s">
        <v>520</v>
      </c>
      <c r="G55" t="s">
        <v>112</v>
      </c>
      <c r="H55" t="s">
        <v>498</v>
      </c>
      <c r="I55" s="112" t="s">
        <v>488</v>
      </c>
    </row>
    <row r="56" spans="1:9">
      <c r="A56" s="112" t="s">
        <v>513</v>
      </c>
      <c r="B56" t="s">
        <v>539</v>
      </c>
      <c r="C56" t="s">
        <v>17</v>
      </c>
      <c r="D56" t="s">
        <v>260</v>
      </c>
      <c r="E56" t="s">
        <v>487</v>
      </c>
      <c r="F56" t="s">
        <v>520</v>
      </c>
      <c r="G56" t="s">
        <v>112</v>
      </c>
      <c r="H56" t="s">
        <v>498</v>
      </c>
      <c r="I56" s="112" t="s">
        <v>488</v>
      </c>
    </row>
    <row r="57" spans="1:9">
      <c r="A57" s="112" t="s">
        <v>513</v>
      </c>
      <c r="B57" t="s">
        <v>539</v>
      </c>
      <c r="C57" t="s">
        <v>20</v>
      </c>
      <c r="D57" t="s">
        <v>540</v>
      </c>
      <c r="E57" t="s">
        <v>487</v>
      </c>
      <c r="F57" t="s">
        <v>520</v>
      </c>
      <c r="G57" t="s">
        <v>112</v>
      </c>
      <c r="H57" t="s">
        <v>498</v>
      </c>
      <c r="I57" s="112" t="s">
        <v>488</v>
      </c>
    </row>
    <row r="58" spans="1:9">
      <c r="A58" s="112" t="s">
        <v>513</v>
      </c>
      <c r="B58" t="s">
        <v>754</v>
      </c>
      <c r="C58" t="s">
        <v>4</v>
      </c>
      <c r="D58" t="s">
        <v>707</v>
      </c>
      <c r="E58" t="s">
        <v>707</v>
      </c>
      <c r="F58" t="s">
        <v>520</v>
      </c>
      <c r="G58" t="s">
        <v>112</v>
      </c>
      <c r="H58" t="s">
        <v>498</v>
      </c>
      <c r="I58" s="112" t="s">
        <v>708</v>
      </c>
    </row>
    <row r="59" spans="1:9">
      <c r="A59" s="112" t="s">
        <v>513</v>
      </c>
      <c r="B59" t="s">
        <v>754</v>
      </c>
      <c r="C59" t="s">
        <v>7</v>
      </c>
      <c r="D59" t="s">
        <v>708</v>
      </c>
      <c r="E59" t="s">
        <v>707</v>
      </c>
      <c r="F59" t="s">
        <v>520</v>
      </c>
      <c r="G59" t="s">
        <v>112</v>
      </c>
      <c r="H59" t="s">
        <v>498</v>
      </c>
      <c r="I59" s="112" t="s">
        <v>708</v>
      </c>
    </row>
    <row r="60" spans="1:9">
      <c r="A60" s="112" t="s">
        <v>513</v>
      </c>
      <c r="B60" t="s">
        <v>754</v>
      </c>
      <c r="C60" t="s">
        <v>9</v>
      </c>
      <c r="D60">
        <v>20</v>
      </c>
      <c r="E60" t="s">
        <v>707</v>
      </c>
      <c r="F60" t="s">
        <v>520</v>
      </c>
      <c r="G60" t="s">
        <v>112</v>
      </c>
      <c r="H60" t="s">
        <v>498</v>
      </c>
      <c r="I60" s="112" t="s">
        <v>708</v>
      </c>
    </row>
    <row r="61" spans="1:9">
      <c r="A61" s="112" t="s">
        <v>513</v>
      </c>
      <c r="B61" t="s">
        <v>754</v>
      </c>
      <c r="C61" t="s">
        <v>10</v>
      </c>
      <c r="D61">
        <v>1</v>
      </c>
      <c r="E61" t="s">
        <v>707</v>
      </c>
      <c r="F61" t="s">
        <v>520</v>
      </c>
      <c r="G61" t="s">
        <v>112</v>
      </c>
      <c r="H61" t="s">
        <v>498</v>
      </c>
      <c r="I61" s="112" t="s">
        <v>708</v>
      </c>
    </row>
    <row r="62" spans="1:9">
      <c r="A62" s="112" t="s">
        <v>513</v>
      </c>
      <c r="B62" t="s">
        <v>754</v>
      </c>
      <c r="C62" t="s">
        <v>12</v>
      </c>
      <c r="D62">
        <v>6</v>
      </c>
      <c r="E62" t="s">
        <v>707</v>
      </c>
      <c r="F62" t="s">
        <v>520</v>
      </c>
      <c r="G62" t="s">
        <v>112</v>
      </c>
      <c r="H62" t="s">
        <v>498</v>
      </c>
      <c r="I62" s="112" t="s">
        <v>708</v>
      </c>
    </row>
    <row r="63" spans="1:9">
      <c r="A63" s="112" t="s">
        <v>513</v>
      </c>
      <c r="B63" t="s">
        <v>754</v>
      </c>
      <c r="C63" t="s">
        <v>14</v>
      </c>
      <c r="D63" t="s">
        <v>755</v>
      </c>
      <c r="E63" t="s">
        <v>707</v>
      </c>
      <c r="F63" t="s">
        <v>520</v>
      </c>
      <c r="G63" t="s">
        <v>112</v>
      </c>
      <c r="H63" t="s">
        <v>498</v>
      </c>
      <c r="I63" s="112" t="s">
        <v>708</v>
      </c>
    </row>
    <row r="64" spans="1:9">
      <c r="A64" s="112" t="s">
        <v>513</v>
      </c>
      <c r="B64" t="s">
        <v>754</v>
      </c>
      <c r="C64" t="s">
        <v>17</v>
      </c>
      <c r="D64" t="s">
        <v>260</v>
      </c>
      <c r="E64" t="s">
        <v>707</v>
      </c>
      <c r="F64" t="s">
        <v>520</v>
      </c>
      <c r="G64" t="s">
        <v>112</v>
      </c>
      <c r="H64" t="s">
        <v>498</v>
      </c>
      <c r="I64" s="112" t="s">
        <v>708</v>
      </c>
    </row>
    <row r="65" spans="1:9">
      <c r="A65" s="112" t="s">
        <v>513</v>
      </c>
      <c r="B65" t="s">
        <v>754</v>
      </c>
      <c r="C65" t="s">
        <v>20</v>
      </c>
      <c r="D65" t="s">
        <v>540</v>
      </c>
      <c r="E65" t="s">
        <v>707</v>
      </c>
      <c r="F65" t="s">
        <v>520</v>
      </c>
      <c r="G65" t="s">
        <v>112</v>
      </c>
      <c r="H65" t="s">
        <v>498</v>
      </c>
      <c r="I65" s="112" t="s">
        <v>708</v>
      </c>
    </row>
    <row r="66" spans="1:9">
      <c r="A66" s="112" t="s">
        <v>495</v>
      </c>
      <c r="B66" t="s">
        <v>519</v>
      </c>
      <c r="C66" t="s">
        <v>4</v>
      </c>
      <c r="D66" t="s">
        <v>5</v>
      </c>
      <c r="E66" t="s">
        <v>5</v>
      </c>
      <c r="F66" t="s">
        <v>520</v>
      </c>
      <c r="G66" t="s">
        <v>112</v>
      </c>
      <c r="H66" t="s">
        <v>498</v>
      </c>
      <c r="I66" s="112" t="s">
        <v>8</v>
      </c>
    </row>
    <row r="67" spans="1:9">
      <c r="A67" s="112" t="s">
        <v>495</v>
      </c>
      <c r="B67" t="s">
        <v>519</v>
      </c>
      <c r="C67" t="s">
        <v>7</v>
      </c>
      <c r="D67" t="s">
        <v>8</v>
      </c>
      <c r="E67" t="s">
        <v>5</v>
      </c>
      <c r="F67" t="s">
        <v>520</v>
      </c>
      <c r="G67" t="s">
        <v>112</v>
      </c>
      <c r="H67" t="s">
        <v>498</v>
      </c>
      <c r="I67" s="112" t="s">
        <v>8</v>
      </c>
    </row>
    <row r="68" spans="1:9">
      <c r="A68" s="112" t="s">
        <v>495</v>
      </c>
      <c r="B68" t="s">
        <v>519</v>
      </c>
      <c r="C68" t="s">
        <v>9</v>
      </c>
      <c r="D68">
        <v>20</v>
      </c>
      <c r="E68" t="s">
        <v>5</v>
      </c>
      <c r="F68" t="s">
        <v>520</v>
      </c>
      <c r="G68" t="s">
        <v>112</v>
      </c>
      <c r="H68" t="s">
        <v>498</v>
      </c>
      <c r="I68" s="112" t="s">
        <v>8</v>
      </c>
    </row>
    <row r="69" spans="1:9">
      <c r="A69" s="112" t="s">
        <v>495</v>
      </c>
      <c r="B69" t="s">
        <v>519</v>
      </c>
      <c r="C69" t="s">
        <v>10</v>
      </c>
      <c r="D69">
        <v>2</v>
      </c>
      <c r="E69" t="s">
        <v>5</v>
      </c>
      <c r="F69" t="s">
        <v>520</v>
      </c>
      <c r="G69" t="s">
        <v>112</v>
      </c>
      <c r="H69" t="s">
        <v>498</v>
      </c>
      <c r="I69" s="112" t="s">
        <v>8</v>
      </c>
    </row>
    <row r="70" spans="1:9">
      <c r="A70" s="112" t="s">
        <v>495</v>
      </c>
      <c r="B70" t="s">
        <v>519</v>
      </c>
      <c r="C70" t="s">
        <v>12</v>
      </c>
      <c r="D70">
        <v>4</v>
      </c>
      <c r="E70" t="s">
        <v>5</v>
      </c>
      <c r="F70" t="s">
        <v>520</v>
      </c>
      <c r="G70" t="s">
        <v>112</v>
      </c>
      <c r="H70" t="s">
        <v>498</v>
      </c>
      <c r="I70" s="112" t="s">
        <v>8</v>
      </c>
    </row>
    <row r="71" spans="1:9">
      <c r="A71" s="112" t="s">
        <v>495</v>
      </c>
      <c r="B71" t="s">
        <v>519</v>
      </c>
      <c r="C71" t="s">
        <v>14</v>
      </c>
      <c r="D71" t="s">
        <v>15</v>
      </c>
      <c r="E71" t="s">
        <v>5</v>
      </c>
      <c r="F71" t="s">
        <v>520</v>
      </c>
      <c r="G71" t="s">
        <v>112</v>
      </c>
      <c r="H71" t="s">
        <v>498</v>
      </c>
      <c r="I71" s="112" t="s">
        <v>8</v>
      </c>
    </row>
    <row r="72" spans="1:9">
      <c r="A72" s="112" t="s">
        <v>495</v>
      </c>
      <c r="B72" t="s">
        <v>519</v>
      </c>
      <c r="C72" t="s">
        <v>17</v>
      </c>
      <c r="D72" t="s">
        <v>18</v>
      </c>
      <c r="E72" t="s">
        <v>5</v>
      </c>
      <c r="F72" t="s">
        <v>520</v>
      </c>
      <c r="G72" t="s">
        <v>112</v>
      </c>
      <c r="H72" t="s">
        <v>498</v>
      </c>
      <c r="I72" s="112" t="s">
        <v>8</v>
      </c>
    </row>
    <row r="73" spans="1:9">
      <c r="A73" s="112" t="s">
        <v>495</v>
      </c>
      <c r="B73" t="s">
        <v>519</v>
      </c>
      <c r="C73" t="s">
        <v>20</v>
      </c>
      <c r="D73" t="s">
        <v>21</v>
      </c>
      <c r="E73" t="s">
        <v>5</v>
      </c>
      <c r="F73" t="s">
        <v>520</v>
      </c>
      <c r="G73" t="s">
        <v>112</v>
      </c>
      <c r="H73" t="s">
        <v>498</v>
      </c>
      <c r="I73" s="112" t="s">
        <v>8</v>
      </c>
    </row>
    <row r="74" spans="1:9">
      <c r="A74" s="112" t="s">
        <v>495</v>
      </c>
      <c r="B74" t="s">
        <v>521</v>
      </c>
      <c r="C74" t="s">
        <v>4</v>
      </c>
      <c r="D74" t="s">
        <v>101</v>
      </c>
      <c r="E74" t="s">
        <v>101</v>
      </c>
      <c r="F74" t="s">
        <v>520</v>
      </c>
      <c r="G74" t="s">
        <v>112</v>
      </c>
      <c r="H74" t="s">
        <v>498</v>
      </c>
      <c r="I74" s="112" t="s">
        <v>462</v>
      </c>
    </row>
    <row r="75" spans="1:9">
      <c r="A75" s="112" t="s">
        <v>495</v>
      </c>
      <c r="B75" t="s">
        <v>521</v>
      </c>
      <c r="C75" t="s">
        <v>7</v>
      </c>
      <c r="D75" t="s">
        <v>103</v>
      </c>
      <c r="E75" t="s">
        <v>101</v>
      </c>
      <c r="F75" t="s">
        <v>520</v>
      </c>
      <c r="G75" t="s">
        <v>112</v>
      </c>
      <c r="H75" t="s">
        <v>498</v>
      </c>
      <c r="I75" s="112" t="s">
        <v>462</v>
      </c>
    </row>
    <row r="76" spans="1:9">
      <c r="A76" s="112" t="s">
        <v>495</v>
      </c>
      <c r="B76" t="s">
        <v>521</v>
      </c>
      <c r="C76" t="s">
        <v>9</v>
      </c>
      <c r="D76">
        <v>20</v>
      </c>
      <c r="E76" t="s">
        <v>101</v>
      </c>
      <c r="F76" t="s">
        <v>520</v>
      </c>
      <c r="G76" t="s">
        <v>112</v>
      </c>
      <c r="H76" t="s">
        <v>498</v>
      </c>
      <c r="I76" s="112" t="s">
        <v>462</v>
      </c>
    </row>
    <row r="77" spans="1:9">
      <c r="A77" s="112" t="s">
        <v>495</v>
      </c>
      <c r="B77" t="s">
        <v>521</v>
      </c>
      <c r="C77" t="s">
        <v>10</v>
      </c>
      <c r="D77">
        <v>1</v>
      </c>
      <c r="E77" t="s">
        <v>101</v>
      </c>
      <c r="F77" t="s">
        <v>520</v>
      </c>
      <c r="G77" t="s">
        <v>112</v>
      </c>
      <c r="H77" t="s">
        <v>498</v>
      </c>
      <c r="I77" s="112" t="s">
        <v>462</v>
      </c>
    </row>
    <row r="78" spans="1:9">
      <c r="A78" s="112" t="s">
        <v>495</v>
      </c>
      <c r="B78" t="s">
        <v>521</v>
      </c>
      <c r="C78" t="s">
        <v>12</v>
      </c>
      <c r="D78">
        <v>4</v>
      </c>
      <c r="E78" t="s">
        <v>101</v>
      </c>
      <c r="F78" t="s">
        <v>520</v>
      </c>
      <c r="G78" t="s">
        <v>112</v>
      </c>
      <c r="H78" t="s">
        <v>498</v>
      </c>
      <c r="I78" s="112" t="s">
        <v>462</v>
      </c>
    </row>
    <row r="79" spans="1:9">
      <c r="A79" s="112" t="s">
        <v>495</v>
      </c>
      <c r="B79" t="s">
        <v>521</v>
      </c>
      <c r="C79" t="s">
        <v>14</v>
      </c>
      <c r="D79" t="s">
        <v>108</v>
      </c>
      <c r="E79" t="s">
        <v>101</v>
      </c>
      <c r="F79" t="s">
        <v>520</v>
      </c>
      <c r="G79" t="s">
        <v>112</v>
      </c>
      <c r="H79" t="s">
        <v>498</v>
      </c>
      <c r="I79" s="112" t="s">
        <v>462</v>
      </c>
    </row>
    <row r="80" spans="1:9">
      <c r="A80" s="112" t="s">
        <v>495</v>
      </c>
      <c r="B80" t="s">
        <v>521</v>
      </c>
      <c r="C80" t="s">
        <v>17</v>
      </c>
      <c r="D80" t="s">
        <v>110</v>
      </c>
      <c r="E80" t="s">
        <v>101</v>
      </c>
      <c r="F80" t="s">
        <v>520</v>
      </c>
      <c r="G80" t="s">
        <v>112</v>
      </c>
      <c r="H80" t="s">
        <v>498</v>
      </c>
      <c r="I80" s="112" t="s">
        <v>462</v>
      </c>
    </row>
    <row r="81" spans="1:9">
      <c r="A81" s="112" t="s">
        <v>495</v>
      </c>
      <c r="B81" t="s">
        <v>521</v>
      </c>
      <c r="C81" t="s">
        <v>20</v>
      </c>
      <c r="D81" t="s">
        <v>112</v>
      </c>
      <c r="E81" t="s">
        <v>101</v>
      </c>
      <c r="F81" t="s">
        <v>520</v>
      </c>
      <c r="G81" t="s">
        <v>112</v>
      </c>
      <c r="H81" t="s">
        <v>498</v>
      </c>
      <c r="I81" s="112" t="s">
        <v>462</v>
      </c>
    </row>
    <row r="82" spans="1:9">
      <c r="A82" s="112" t="s">
        <v>495</v>
      </c>
      <c r="B82" t="s">
        <v>522</v>
      </c>
      <c r="C82" t="s">
        <v>4</v>
      </c>
      <c r="D82" t="s">
        <v>157</v>
      </c>
      <c r="E82" t="s">
        <v>157</v>
      </c>
      <c r="F82" t="s">
        <v>520</v>
      </c>
      <c r="G82" t="s">
        <v>112</v>
      </c>
      <c r="H82" t="s">
        <v>498</v>
      </c>
      <c r="I82" s="112" t="s">
        <v>159</v>
      </c>
    </row>
    <row r="83" spans="1:9">
      <c r="A83" s="112" t="s">
        <v>495</v>
      </c>
      <c r="B83" t="s">
        <v>522</v>
      </c>
      <c r="C83" t="s">
        <v>7</v>
      </c>
      <c r="D83" t="s">
        <v>159</v>
      </c>
      <c r="E83" t="s">
        <v>157</v>
      </c>
      <c r="F83" t="s">
        <v>520</v>
      </c>
      <c r="G83" t="s">
        <v>112</v>
      </c>
      <c r="H83" t="s">
        <v>498</v>
      </c>
      <c r="I83" s="112" t="s">
        <v>159</v>
      </c>
    </row>
    <row r="84" spans="1:9">
      <c r="A84" s="112" t="s">
        <v>495</v>
      </c>
      <c r="B84" t="s">
        <v>522</v>
      </c>
      <c r="C84" t="s">
        <v>9</v>
      </c>
      <c r="D84">
        <v>20</v>
      </c>
      <c r="E84" t="s">
        <v>157</v>
      </c>
      <c r="F84" t="s">
        <v>520</v>
      </c>
      <c r="G84" t="s">
        <v>112</v>
      </c>
      <c r="H84" t="s">
        <v>498</v>
      </c>
      <c r="I84" s="112" t="s">
        <v>159</v>
      </c>
    </row>
    <row r="85" spans="1:9">
      <c r="A85" s="112" t="s">
        <v>495</v>
      </c>
      <c r="B85" t="s">
        <v>522</v>
      </c>
      <c r="C85" t="s">
        <v>10</v>
      </c>
      <c r="D85">
        <v>1</v>
      </c>
      <c r="E85" t="s">
        <v>157</v>
      </c>
      <c r="F85" t="s">
        <v>520</v>
      </c>
      <c r="G85" t="s">
        <v>112</v>
      </c>
      <c r="H85" t="s">
        <v>498</v>
      </c>
      <c r="I85" s="112" t="s">
        <v>159</v>
      </c>
    </row>
    <row r="86" spans="1:9">
      <c r="A86" s="112" t="s">
        <v>495</v>
      </c>
      <c r="B86" t="s">
        <v>522</v>
      </c>
      <c r="C86" t="s">
        <v>12</v>
      </c>
      <c r="D86">
        <v>5</v>
      </c>
      <c r="E86" t="s">
        <v>157</v>
      </c>
      <c r="F86" t="s">
        <v>520</v>
      </c>
      <c r="G86" t="s">
        <v>112</v>
      </c>
      <c r="H86" t="s">
        <v>498</v>
      </c>
      <c r="I86" s="112" t="s">
        <v>159</v>
      </c>
    </row>
    <row r="87" spans="1:9">
      <c r="A87" s="112" t="s">
        <v>495</v>
      </c>
      <c r="B87" t="s">
        <v>522</v>
      </c>
      <c r="C87" t="s">
        <v>14</v>
      </c>
      <c r="D87" t="s">
        <v>108</v>
      </c>
      <c r="E87" t="s">
        <v>157</v>
      </c>
      <c r="F87" t="s">
        <v>520</v>
      </c>
      <c r="G87" t="s">
        <v>112</v>
      </c>
      <c r="H87" t="s">
        <v>498</v>
      </c>
      <c r="I87" s="112" t="s">
        <v>159</v>
      </c>
    </row>
    <row r="88" spans="1:9">
      <c r="A88" s="112" t="s">
        <v>495</v>
      </c>
      <c r="B88" t="s">
        <v>522</v>
      </c>
      <c r="C88" t="s">
        <v>17</v>
      </c>
      <c r="D88" t="s">
        <v>110</v>
      </c>
      <c r="E88" t="s">
        <v>157</v>
      </c>
      <c r="F88" t="s">
        <v>520</v>
      </c>
      <c r="G88" t="s">
        <v>112</v>
      </c>
      <c r="H88" t="s">
        <v>498</v>
      </c>
      <c r="I88" s="112" t="s">
        <v>159</v>
      </c>
    </row>
    <row r="89" spans="1:9">
      <c r="A89" s="112" t="s">
        <v>495</v>
      </c>
      <c r="B89" t="s">
        <v>522</v>
      </c>
      <c r="C89" t="s">
        <v>20</v>
      </c>
      <c r="D89" t="s">
        <v>112</v>
      </c>
      <c r="E89" t="s">
        <v>157</v>
      </c>
      <c r="F89" t="s">
        <v>520</v>
      </c>
      <c r="G89" t="s">
        <v>112</v>
      </c>
      <c r="H89" t="s">
        <v>498</v>
      </c>
      <c r="I89" s="112" t="s">
        <v>159</v>
      </c>
    </row>
    <row r="90" spans="1:9">
      <c r="A90" s="112" t="s">
        <v>495</v>
      </c>
      <c r="B90" t="s">
        <v>523</v>
      </c>
      <c r="C90" t="s">
        <v>4</v>
      </c>
      <c r="D90" t="s">
        <v>200</v>
      </c>
      <c r="E90" t="s">
        <v>200</v>
      </c>
      <c r="F90" t="s">
        <v>520</v>
      </c>
      <c r="G90" t="s">
        <v>112</v>
      </c>
      <c r="H90" t="s">
        <v>498</v>
      </c>
      <c r="I90" s="112" t="s">
        <v>202</v>
      </c>
    </row>
    <row r="91" spans="1:9">
      <c r="A91" s="112" t="s">
        <v>495</v>
      </c>
      <c r="B91" t="s">
        <v>523</v>
      </c>
      <c r="C91" t="s">
        <v>7</v>
      </c>
      <c r="D91" t="s">
        <v>202</v>
      </c>
      <c r="E91" t="s">
        <v>200</v>
      </c>
      <c r="F91" t="s">
        <v>520</v>
      </c>
      <c r="G91" t="s">
        <v>112</v>
      </c>
      <c r="H91" t="s">
        <v>498</v>
      </c>
      <c r="I91" s="112" t="s">
        <v>202</v>
      </c>
    </row>
    <row r="92" spans="1:9">
      <c r="A92" s="112" t="s">
        <v>495</v>
      </c>
      <c r="B92" t="s">
        <v>523</v>
      </c>
      <c r="C92" t="s">
        <v>9</v>
      </c>
      <c r="D92">
        <v>20</v>
      </c>
      <c r="E92" t="s">
        <v>200</v>
      </c>
      <c r="F92" t="s">
        <v>520</v>
      </c>
      <c r="G92" t="s">
        <v>112</v>
      </c>
      <c r="H92" t="s">
        <v>498</v>
      </c>
      <c r="I92" s="112" t="s">
        <v>202</v>
      </c>
    </row>
    <row r="93" spans="1:9">
      <c r="A93" s="112" t="s">
        <v>495</v>
      </c>
      <c r="B93" t="s">
        <v>523</v>
      </c>
      <c r="C93" t="s">
        <v>10</v>
      </c>
      <c r="D93">
        <v>2</v>
      </c>
      <c r="E93" t="s">
        <v>200</v>
      </c>
      <c r="F93" t="s">
        <v>520</v>
      </c>
      <c r="G93" t="s">
        <v>112</v>
      </c>
      <c r="H93" t="s">
        <v>498</v>
      </c>
      <c r="I93" s="112" t="s">
        <v>202</v>
      </c>
    </row>
    <row r="94" spans="1:9">
      <c r="A94" s="112" t="s">
        <v>495</v>
      </c>
      <c r="B94" t="s">
        <v>523</v>
      </c>
      <c r="C94" t="s">
        <v>12</v>
      </c>
      <c r="D94">
        <v>5</v>
      </c>
      <c r="E94" t="s">
        <v>200</v>
      </c>
      <c r="F94" t="s">
        <v>520</v>
      </c>
      <c r="G94" t="s">
        <v>112</v>
      </c>
      <c r="H94" t="s">
        <v>498</v>
      </c>
      <c r="I94" s="112" t="s">
        <v>202</v>
      </c>
    </row>
    <row r="95" spans="1:9">
      <c r="A95" s="112" t="s">
        <v>495</v>
      </c>
      <c r="B95" t="s">
        <v>523</v>
      </c>
      <c r="C95" t="s">
        <v>14</v>
      </c>
      <c r="D95" t="s">
        <v>204</v>
      </c>
      <c r="E95" t="s">
        <v>200</v>
      </c>
      <c r="F95" t="s">
        <v>520</v>
      </c>
      <c r="G95" t="s">
        <v>112</v>
      </c>
      <c r="H95" t="s">
        <v>498</v>
      </c>
      <c r="I95" s="112" t="s">
        <v>202</v>
      </c>
    </row>
    <row r="96" spans="1:9">
      <c r="A96" s="112" t="s">
        <v>495</v>
      </c>
      <c r="B96" t="s">
        <v>523</v>
      </c>
      <c r="C96" t="s">
        <v>17</v>
      </c>
      <c r="D96" t="s">
        <v>18</v>
      </c>
      <c r="E96" t="s">
        <v>200</v>
      </c>
      <c r="F96" t="s">
        <v>520</v>
      </c>
      <c r="G96" t="s">
        <v>112</v>
      </c>
      <c r="H96" t="s">
        <v>498</v>
      </c>
      <c r="I96" s="112" t="s">
        <v>202</v>
      </c>
    </row>
    <row r="97" spans="1:9">
      <c r="A97" s="112" t="s">
        <v>495</v>
      </c>
      <c r="B97" t="s">
        <v>523</v>
      </c>
      <c r="C97" t="s">
        <v>20</v>
      </c>
      <c r="D97" t="s">
        <v>112</v>
      </c>
      <c r="E97" t="s">
        <v>200</v>
      </c>
      <c r="F97" t="s">
        <v>520</v>
      </c>
      <c r="G97" t="s">
        <v>112</v>
      </c>
      <c r="H97" t="s">
        <v>498</v>
      </c>
      <c r="I97" s="112" t="s">
        <v>202</v>
      </c>
    </row>
    <row r="98" spans="1:9">
      <c r="A98" s="112" t="s">
        <v>495</v>
      </c>
      <c r="B98" t="s">
        <v>524</v>
      </c>
      <c r="C98" t="s">
        <v>4</v>
      </c>
      <c r="D98" t="s">
        <v>229</v>
      </c>
      <c r="E98" t="s">
        <v>229</v>
      </c>
      <c r="F98" t="s">
        <v>520</v>
      </c>
      <c r="G98" t="s">
        <v>112</v>
      </c>
      <c r="H98" t="s">
        <v>498</v>
      </c>
      <c r="I98" s="112" t="s">
        <v>231</v>
      </c>
    </row>
    <row r="99" spans="1:9">
      <c r="A99" s="112" t="s">
        <v>495</v>
      </c>
      <c r="B99" t="s">
        <v>524</v>
      </c>
      <c r="C99" t="s">
        <v>7</v>
      </c>
      <c r="D99" t="s">
        <v>231</v>
      </c>
      <c r="E99" t="s">
        <v>229</v>
      </c>
      <c r="F99" t="s">
        <v>520</v>
      </c>
      <c r="G99" t="s">
        <v>112</v>
      </c>
      <c r="H99" t="s">
        <v>498</v>
      </c>
      <c r="I99" s="112" t="s">
        <v>231</v>
      </c>
    </row>
    <row r="100" spans="1:9">
      <c r="A100" s="112" t="s">
        <v>495</v>
      </c>
      <c r="B100" t="s">
        <v>524</v>
      </c>
      <c r="C100" t="s">
        <v>9</v>
      </c>
      <c r="D100">
        <v>20</v>
      </c>
      <c r="E100" t="s">
        <v>229</v>
      </c>
      <c r="F100" t="s">
        <v>520</v>
      </c>
      <c r="G100" t="s">
        <v>112</v>
      </c>
      <c r="H100" t="s">
        <v>498</v>
      </c>
      <c r="I100" s="112" t="s">
        <v>231</v>
      </c>
    </row>
    <row r="101" spans="1:9">
      <c r="A101" s="112" t="s">
        <v>495</v>
      </c>
      <c r="B101" t="s">
        <v>524</v>
      </c>
      <c r="C101" t="s">
        <v>10</v>
      </c>
      <c r="D101">
        <v>1</v>
      </c>
      <c r="E101" t="s">
        <v>229</v>
      </c>
      <c r="F101" t="s">
        <v>520</v>
      </c>
      <c r="G101" t="s">
        <v>112</v>
      </c>
      <c r="H101" t="s">
        <v>498</v>
      </c>
      <c r="I101" s="112" t="s">
        <v>231</v>
      </c>
    </row>
    <row r="102" spans="1:9">
      <c r="A102" s="112" t="s">
        <v>495</v>
      </c>
      <c r="B102" t="s">
        <v>524</v>
      </c>
      <c r="C102" t="s">
        <v>12</v>
      </c>
      <c r="D102">
        <v>5</v>
      </c>
      <c r="E102" t="s">
        <v>229</v>
      </c>
      <c r="F102" t="s">
        <v>520</v>
      </c>
      <c r="G102" t="s">
        <v>112</v>
      </c>
      <c r="H102" t="s">
        <v>498</v>
      </c>
      <c r="I102" s="112" t="s">
        <v>231</v>
      </c>
    </row>
    <row r="103" spans="1:9">
      <c r="A103" s="112" t="s">
        <v>495</v>
      </c>
      <c r="B103" t="s">
        <v>524</v>
      </c>
      <c r="C103" t="s">
        <v>14</v>
      </c>
      <c r="D103" t="s">
        <v>204</v>
      </c>
      <c r="E103" t="s">
        <v>229</v>
      </c>
      <c r="F103" t="s">
        <v>520</v>
      </c>
      <c r="G103" t="s">
        <v>112</v>
      </c>
      <c r="H103" t="s">
        <v>498</v>
      </c>
      <c r="I103" s="112" t="s">
        <v>231</v>
      </c>
    </row>
    <row r="104" spans="1:9">
      <c r="A104" s="112" t="s">
        <v>495</v>
      </c>
      <c r="B104" t="s">
        <v>524</v>
      </c>
      <c r="C104" t="s">
        <v>17</v>
      </c>
      <c r="D104" t="s">
        <v>18</v>
      </c>
      <c r="E104" t="s">
        <v>229</v>
      </c>
      <c r="F104" t="s">
        <v>520</v>
      </c>
      <c r="G104" t="s">
        <v>112</v>
      </c>
      <c r="H104" t="s">
        <v>498</v>
      </c>
      <c r="I104" s="112" t="s">
        <v>231</v>
      </c>
    </row>
    <row r="105" spans="1:9">
      <c r="A105" s="112" t="s">
        <v>495</v>
      </c>
      <c r="B105" t="s">
        <v>524</v>
      </c>
      <c r="C105" t="s">
        <v>20</v>
      </c>
      <c r="D105" t="s">
        <v>112</v>
      </c>
      <c r="E105" t="s">
        <v>229</v>
      </c>
      <c r="F105" t="s">
        <v>520</v>
      </c>
      <c r="G105" t="s">
        <v>112</v>
      </c>
      <c r="H105" t="s">
        <v>498</v>
      </c>
      <c r="I105" s="112" t="s">
        <v>231</v>
      </c>
    </row>
    <row r="106" spans="1:9">
      <c r="A106" s="112" t="s">
        <v>495</v>
      </c>
      <c r="B106" t="s">
        <v>525</v>
      </c>
      <c r="C106" t="s">
        <v>4</v>
      </c>
      <c r="D106" t="s">
        <v>254</v>
      </c>
      <c r="E106" t="s">
        <v>254</v>
      </c>
      <c r="F106" t="s">
        <v>520</v>
      </c>
      <c r="G106" t="s">
        <v>112</v>
      </c>
      <c r="H106" t="s">
        <v>498</v>
      </c>
      <c r="I106" s="112" t="s">
        <v>255</v>
      </c>
    </row>
    <row r="107" spans="1:9">
      <c r="A107" s="112" t="s">
        <v>495</v>
      </c>
      <c r="B107" t="s">
        <v>525</v>
      </c>
      <c r="C107" t="s">
        <v>7</v>
      </c>
      <c r="D107" t="s">
        <v>255</v>
      </c>
      <c r="E107" t="s">
        <v>254</v>
      </c>
      <c r="F107" t="s">
        <v>520</v>
      </c>
      <c r="G107" t="s">
        <v>112</v>
      </c>
      <c r="H107" t="s">
        <v>498</v>
      </c>
      <c r="I107" s="112" t="s">
        <v>255</v>
      </c>
    </row>
    <row r="108" spans="1:9">
      <c r="A108" s="112" t="s">
        <v>495</v>
      </c>
      <c r="B108" t="s">
        <v>525</v>
      </c>
      <c r="C108" t="s">
        <v>9</v>
      </c>
      <c r="D108">
        <v>20</v>
      </c>
      <c r="E108" t="s">
        <v>254</v>
      </c>
      <c r="F108" t="s">
        <v>520</v>
      </c>
      <c r="G108" t="s">
        <v>112</v>
      </c>
      <c r="H108" t="s">
        <v>498</v>
      </c>
      <c r="I108" s="112" t="s">
        <v>255</v>
      </c>
    </row>
    <row r="109" spans="1:9">
      <c r="A109" s="112" t="s">
        <v>495</v>
      </c>
      <c r="B109" t="s">
        <v>525</v>
      </c>
      <c r="C109" t="s">
        <v>10</v>
      </c>
      <c r="D109">
        <v>2</v>
      </c>
      <c r="E109" t="s">
        <v>254</v>
      </c>
      <c r="F109" t="s">
        <v>520</v>
      </c>
      <c r="G109" t="s">
        <v>112</v>
      </c>
      <c r="H109" t="s">
        <v>498</v>
      </c>
      <c r="I109" s="112" t="s">
        <v>255</v>
      </c>
    </row>
    <row r="110" spans="1:9">
      <c r="A110" s="112" t="s">
        <v>495</v>
      </c>
      <c r="B110" t="s">
        <v>525</v>
      </c>
      <c r="C110" t="s">
        <v>12</v>
      </c>
      <c r="D110">
        <v>5</v>
      </c>
      <c r="E110" t="s">
        <v>254</v>
      </c>
      <c r="F110" t="s">
        <v>520</v>
      </c>
      <c r="G110" t="s">
        <v>112</v>
      </c>
      <c r="H110" t="s">
        <v>498</v>
      </c>
      <c r="I110" s="112" t="s">
        <v>255</v>
      </c>
    </row>
    <row r="111" spans="1:9">
      <c r="A111" s="112" t="s">
        <v>495</v>
      </c>
      <c r="B111" t="s">
        <v>525</v>
      </c>
      <c r="C111" t="s">
        <v>14</v>
      </c>
      <c r="D111" t="s">
        <v>258</v>
      </c>
      <c r="E111" t="s">
        <v>254</v>
      </c>
      <c r="F111" t="s">
        <v>520</v>
      </c>
      <c r="G111" t="s">
        <v>112</v>
      </c>
      <c r="H111" t="s">
        <v>498</v>
      </c>
      <c r="I111" s="112" t="s">
        <v>255</v>
      </c>
    </row>
    <row r="112" spans="1:9">
      <c r="A112" s="112" t="s">
        <v>495</v>
      </c>
      <c r="B112" t="s">
        <v>525</v>
      </c>
      <c r="C112" t="s">
        <v>17</v>
      </c>
      <c r="D112" t="s">
        <v>260</v>
      </c>
      <c r="E112" t="s">
        <v>254</v>
      </c>
      <c r="F112" t="s">
        <v>520</v>
      </c>
      <c r="G112" t="s">
        <v>112</v>
      </c>
      <c r="H112" t="s">
        <v>498</v>
      </c>
      <c r="I112" s="112" t="s">
        <v>255</v>
      </c>
    </row>
    <row r="113" spans="1:9">
      <c r="A113" s="112" t="s">
        <v>495</v>
      </c>
      <c r="B113" t="s">
        <v>525</v>
      </c>
      <c r="C113" t="s">
        <v>20</v>
      </c>
      <c r="D113" t="s">
        <v>112</v>
      </c>
      <c r="E113" t="s">
        <v>254</v>
      </c>
      <c r="F113" t="s">
        <v>520</v>
      </c>
      <c r="G113" t="s">
        <v>112</v>
      </c>
      <c r="H113" t="s">
        <v>498</v>
      </c>
      <c r="I113" s="112" t="s">
        <v>255</v>
      </c>
    </row>
    <row r="114" spans="1:9">
      <c r="A114" s="112" t="s">
        <v>495</v>
      </c>
      <c r="B114" t="s">
        <v>529</v>
      </c>
      <c r="C114" t="s">
        <v>4</v>
      </c>
      <c r="D114" t="s">
        <v>292</v>
      </c>
      <c r="E114" t="s">
        <v>292</v>
      </c>
      <c r="F114" t="s">
        <v>520</v>
      </c>
      <c r="G114" t="s">
        <v>112</v>
      </c>
      <c r="H114" t="s">
        <v>498</v>
      </c>
      <c r="I114" s="112" t="s">
        <v>293</v>
      </c>
    </row>
    <row r="115" spans="1:9">
      <c r="A115" s="112" t="s">
        <v>495</v>
      </c>
      <c r="B115" t="s">
        <v>529</v>
      </c>
      <c r="C115" t="s">
        <v>7</v>
      </c>
      <c r="D115" t="s">
        <v>293</v>
      </c>
      <c r="E115" t="s">
        <v>292</v>
      </c>
      <c r="F115" t="s">
        <v>520</v>
      </c>
      <c r="G115" t="s">
        <v>112</v>
      </c>
      <c r="H115" t="s">
        <v>498</v>
      </c>
      <c r="I115" s="112" t="s">
        <v>293</v>
      </c>
    </row>
    <row r="116" spans="1:9">
      <c r="A116" s="112" t="s">
        <v>495</v>
      </c>
      <c r="B116" t="s">
        <v>529</v>
      </c>
      <c r="C116" t="s">
        <v>9</v>
      </c>
      <c r="D116">
        <v>20</v>
      </c>
      <c r="E116" t="s">
        <v>292</v>
      </c>
      <c r="F116" t="s">
        <v>520</v>
      </c>
      <c r="G116" t="s">
        <v>112</v>
      </c>
      <c r="H116" t="s">
        <v>498</v>
      </c>
      <c r="I116" s="112" t="s">
        <v>293</v>
      </c>
    </row>
    <row r="117" spans="1:9">
      <c r="A117" s="112" t="s">
        <v>495</v>
      </c>
      <c r="B117" t="s">
        <v>529</v>
      </c>
      <c r="C117" t="s">
        <v>10</v>
      </c>
      <c r="D117">
        <v>1</v>
      </c>
      <c r="E117" t="s">
        <v>292</v>
      </c>
      <c r="F117" t="s">
        <v>520</v>
      </c>
      <c r="G117" t="s">
        <v>112</v>
      </c>
      <c r="H117" t="s">
        <v>498</v>
      </c>
      <c r="I117" s="112" t="s">
        <v>293</v>
      </c>
    </row>
    <row r="118" spans="1:9">
      <c r="A118" s="112" t="s">
        <v>495</v>
      </c>
      <c r="B118" t="s">
        <v>529</v>
      </c>
      <c r="C118" t="s">
        <v>12</v>
      </c>
      <c r="D118">
        <v>5</v>
      </c>
      <c r="E118" t="s">
        <v>292</v>
      </c>
      <c r="F118" t="s">
        <v>520</v>
      </c>
      <c r="G118" t="s">
        <v>112</v>
      </c>
      <c r="H118" t="s">
        <v>498</v>
      </c>
      <c r="I118" s="112" t="s">
        <v>293</v>
      </c>
    </row>
    <row r="119" spans="1:9">
      <c r="A119" s="112" t="s">
        <v>495</v>
      </c>
      <c r="B119" t="s">
        <v>529</v>
      </c>
      <c r="C119" t="s">
        <v>14</v>
      </c>
      <c r="D119" t="s">
        <v>258</v>
      </c>
      <c r="E119" t="s">
        <v>292</v>
      </c>
      <c r="F119" t="s">
        <v>520</v>
      </c>
      <c r="G119" t="s">
        <v>112</v>
      </c>
      <c r="H119" t="s">
        <v>498</v>
      </c>
      <c r="I119" s="112" t="s">
        <v>293</v>
      </c>
    </row>
    <row r="120" spans="1:9">
      <c r="A120" s="112" t="s">
        <v>495</v>
      </c>
      <c r="B120" t="s">
        <v>529</v>
      </c>
      <c r="C120" t="s">
        <v>17</v>
      </c>
      <c r="D120" t="s">
        <v>18</v>
      </c>
      <c r="E120" t="s">
        <v>292</v>
      </c>
      <c r="F120" t="s">
        <v>520</v>
      </c>
      <c r="G120" t="s">
        <v>112</v>
      </c>
      <c r="H120" t="s">
        <v>498</v>
      </c>
      <c r="I120" s="112" t="s">
        <v>293</v>
      </c>
    </row>
    <row r="121" spans="1:9">
      <c r="A121" s="112" t="s">
        <v>495</v>
      </c>
      <c r="B121" t="s">
        <v>529</v>
      </c>
      <c r="C121" t="s">
        <v>20</v>
      </c>
      <c r="D121" t="s">
        <v>298</v>
      </c>
      <c r="E121" t="s">
        <v>292</v>
      </c>
      <c r="F121" t="s">
        <v>520</v>
      </c>
      <c r="G121" t="s">
        <v>112</v>
      </c>
      <c r="H121" t="s">
        <v>498</v>
      </c>
      <c r="I121" s="112" t="s">
        <v>293</v>
      </c>
    </row>
    <row r="122" spans="1:9">
      <c r="A122" s="112" t="s">
        <v>495</v>
      </c>
      <c r="B122" t="s">
        <v>528</v>
      </c>
      <c r="C122" t="s">
        <v>4</v>
      </c>
      <c r="D122" t="s">
        <v>326</v>
      </c>
      <c r="E122" t="s">
        <v>326</v>
      </c>
      <c r="F122" t="s">
        <v>520</v>
      </c>
      <c r="G122" t="s">
        <v>112</v>
      </c>
      <c r="H122" t="s">
        <v>498</v>
      </c>
      <c r="I122" s="112" t="s">
        <v>464</v>
      </c>
    </row>
    <row r="123" spans="1:9">
      <c r="A123" s="112" t="s">
        <v>495</v>
      </c>
      <c r="B123" t="s">
        <v>528</v>
      </c>
      <c r="C123" t="s">
        <v>7</v>
      </c>
      <c r="D123" t="s">
        <v>327</v>
      </c>
      <c r="E123" t="s">
        <v>326</v>
      </c>
      <c r="F123" t="s">
        <v>520</v>
      </c>
      <c r="G123" t="s">
        <v>112</v>
      </c>
      <c r="H123" t="s">
        <v>498</v>
      </c>
      <c r="I123" s="112" t="s">
        <v>464</v>
      </c>
    </row>
    <row r="124" spans="1:9">
      <c r="A124" s="112" t="s">
        <v>495</v>
      </c>
      <c r="B124" t="s">
        <v>528</v>
      </c>
      <c r="C124" t="s">
        <v>9</v>
      </c>
      <c r="D124">
        <v>20</v>
      </c>
      <c r="E124" t="s">
        <v>326</v>
      </c>
      <c r="F124" t="s">
        <v>520</v>
      </c>
      <c r="G124" t="s">
        <v>112</v>
      </c>
      <c r="H124" t="s">
        <v>498</v>
      </c>
      <c r="I124" s="112" t="s">
        <v>464</v>
      </c>
    </row>
    <row r="125" spans="1:9">
      <c r="A125" s="112" t="s">
        <v>495</v>
      </c>
      <c r="B125" t="s">
        <v>528</v>
      </c>
      <c r="C125" t="s">
        <v>10</v>
      </c>
      <c r="E125" t="s">
        <v>326</v>
      </c>
      <c r="F125" t="s">
        <v>520</v>
      </c>
      <c r="G125" t="s">
        <v>112</v>
      </c>
      <c r="H125" t="s">
        <v>498</v>
      </c>
      <c r="I125" s="112" t="s">
        <v>464</v>
      </c>
    </row>
    <row r="126" spans="1:9">
      <c r="A126" s="112" t="s">
        <v>495</v>
      </c>
      <c r="B126" t="s">
        <v>528</v>
      </c>
      <c r="C126" t="s">
        <v>12</v>
      </c>
      <c r="E126" t="s">
        <v>326</v>
      </c>
      <c r="F126" t="s">
        <v>520</v>
      </c>
      <c r="G126" t="s">
        <v>112</v>
      </c>
      <c r="H126" t="s">
        <v>498</v>
      </c>
      <c r="I126" s="112" t="s">
        <v>464</v>
      </c>
    </row>
    <row r="127" spans="1:9">
      <c r="A127" s="112" t="s">
        <v>495</v>
      </c>
      <c r="B127" t="s">
        <v>528</v>
      </c>
      <c r="C127" t="s">
        <v>14</v>
      </c>
      <c r="E127" t="s">
        <v>326</v>
      </c>
      <c r="F127" t="s">
        <v>520</v>
      </c>
      <c r="G127" t="s">
        <v>112</v>
      </c>
      <c r="H127" t="s">
        <v>498</v>
      </c>
      <c r="I127" s="112" t="s">
        <v>464</v>
      </c>
    </row>
    <row r="128" spans="1:9">
      <c r="A128" s="112" t="s">
        <v>495</v>
      </c>
      <c r="B128" t="s">
        <v>528</v>
      </c>
      <c r="C128" t="s">
        <v>17</v>
      </c>
      <c r="E128" t="s">
        <v>326</v>
      </c>
      <c r="F128" t="s">
        <v>520</v>
      </c>
      <c r="G128" t="s">
        <v>112</v>
      </c>
      <c r="H128" t="s">
        <v>498</v>
      </c>
      <c r="I128" s="112" t="s">
        <v>464</v>
      </c>
    </row>
    <row r="129" spans="1:9">
      <c r="A129" s="112" t="s">
        <v>495</v>
      </c>
      <c r="B129" t="s">
        <v>528</v>
      </c>
      <c r="C129" t="s">
        <v>20</v>
      </c>
      <c r="E129" t="s">
        <v>326</v>
      </c>
      <c r="F129" t="s">
        <v>520</v>
      </c>
      <c r="G129" t="s">
        <v>112</v>
      </c>
      <c r="H129" t="s">
        <v>498</v>
      </c>
      <c r="I129" s="112" t="s">
        <v>464</v>
      </c>
    </row>
    <row r="130" spans="1:9">
      <c r="A130" s="112" t="s">
        <v>495</v>
      </c>
      <c r="B130" t="s">
        <v>530</v>
      </c>
      <c r="C130" t="s">
        <v>4</v>
      </c>
      <c r="D130" t="s">
        <v>328</v>
      </c>
      <c r="E130" t="s">
        <v>465</v>
      </c>
      <c r="F130" t="s">
        <v>520</v>
      </c>
      <c r="G130" t="s">
        <v>112</v>
      </c>
      <c r="H130" t="s">
        <v>498</v>
      </c>
      <c r="I130" s="112" t="s">
        <v>466</v>
      </c>
    </row>
    <row r="131" spans="1:9">
      <c r="A131" s="112" t="s">
        <v>495</v>
      </c>
      <c r="B131" t="s">
        <v>530</v>
      </c>
      <c r="C131" t="s">
        <v>7</v>
      </c>
      <c r="D131" t="s">
        <v>329</v>
      </c>
      <c r="E131" t="s">
        <v>465</v>
      </c>
      <c r="F131" t="s">
        <v>520</v>
      </c>
      <c r="G131" t="s">
        <v>112</v>
      </c>
      <c r="H131" t="s">
        <v>498</v>
      </c>
      <c r="I131" s="112" t="s">
        <v>466</v>
      </c>
    </row>
    <row r="132" spans="1:9">
      <c r="A132" s="112" t="s">
        <v>495</v>
      </c>
      <c r="B132" t="s">
        <v>530</v>
      </c>
      <c r="C132" t="s">
        <v>9</v>
      </c>
      <c r="D132">
        <v>20</v>
      </c>
      <c r="E132" t="s">
        <v>465</v>
      </c>
      <c r="F132" t="s">
        <v>520</v>
      </c>
      <c r="G132" t="s">
        <v>112</v>
      </c>
      <c r="H132" t="s">
        <v>498</v>
      </c>
      <c r="I132" s="112" t="s">
        <v>466</v>
      </c>
    </row>
    <row r="133" spans="1:9">
      <c r="A133" s="112" t="s">
        <v>495</v>
      </c>
      <c r="B133" t="s">
        <v>530</v>
      </c>
      <c r="C133" t="s">
        <v>10</v>
      </c>
      <c r="D133">
        <v>2</v>
      </c>
      <c r="E133" t="s">
        <v>465</v>
      </c>
      <c r="F133" t="s">
        <v>520</v>
      </c>
      <c r="G133" t="s">
        <v>112</v>
      </c>
      <c r="H133" t="s">
        <v>498</v>
      </c>
      <c r="I133" s="112" t="s">
        <v>466</v>
      </c>
    </row>
    <row r="134" spans="1:9">
      <c r="A134" s="112" t="s">
        <v>495</v>
      </c>
      <c r="B134" t="s">
        <v>530</v>
      </c>
      <c r="C134" t="s">
        <v>12</v>
      </c>
      <c r="D134">
        <v>6</v>
      </c>
      <c r="E134" t="s">
        <v>465</v>
      </c>
      <c r="F134" t="s">
        <v>520</v>
      </c>
      <c r="G134" t="s">
        <v>112</v>
      </c>
      <c r="H134" t="s">
        <v>498</v>
      </c>
      <c r="I134" s="112" t="s">
        <v>466</v>
      </c>
    </row>
    <row r="135" spans="1:9">
      <c r="A135" s="112" t="s">
        <v>495</v>
      </c>
      <c r="B135" t="s">
        <v>530</v>
      </c>
      <c r="C135" t="s">
        <v>14</v>
      </c>
      <c r="D135" t="s">
        <v>333</v>
      </c>
      <c r="E135" t="s">
        <v>465</v>
      </c>
      <c r="F135" t="s">
        <v>520</v>
      </c>
      <c r="G135" t="s">
        <v>112</v>
      </c>
      <c r="H135" t="s">
        <v>498</v>
      </c>
      <c r="I135" s="112" t="s">
        <v>466</v>
      </c>
    </row>
    <row r="136" spans="1:9">
      <c r="A136" s="112" t="s">
        <v>495</v>
      </c>
      <c r="B136" t="s">
        <v>530</v>
      </c>
      <c r="C136" t="s">
        <v>17</v>
      </c>
      <c r="D136" t="s">
        <v>18</v>
      </c>
      <c r="E136" t="s">
        <v>465</v>
      </c>
      <c r="F136" t="s">
        <v>520</v>
      </c>
      <c r="G136" t="s">
        <v>112</v>
      </c>
      <c r="H136" t="s">
        <v>498</v>
      </c>
      <c r="I136" s="112" t="s">
        <v>466</v>
      </c>
    </row>
    <row r="137" spans="1:9">
      <c r="A137" s="112" t="s">
        <v>495</v>
      </c>
      <c r="B137" t="s">
        <v>530</v>
      </c>
      <c r="C137" t="s">
        <v>20</v>
      </c>
      <c r="D137" t="s">
        <v>112</v>
      </c>
      <c r="E137" t="s">
        <v>465</v>
      </c>
      <c r="F137" t="s">
        <v>520</v>
      </c>
      <c r="G137" t="s">
        <v>112</v>
      </c>
      <c r="H137" t="s">
        <v>498</v>
      </c>
      <c r="I137" s="112" t="s">
        <v>466</v>
      </c>
    </row>
    <row r="138" spans="1:9">
      <c r="A138" s="112" t="s">
        <v>495</v>
      </c>
      <c r="B138" t="s">
        <v>531</v>
      </c>
      <c r="C138" t="s">
        <v>4</v>
      </c>
      <c r="D138" t="s">
        <v>368</v>
      </c>
      <c r="E138" t="s">
        <v>368</v>
      </c>
      <c r="F138" t="s">
        <v>520</v>
      </c>
      <c r="G138" t="s">
        <v>112</v>
      </c>
      <c r="H138" t="s">
        <v>498</v>
      </c>
      <c r="I138" s="112" t="s">
        <v>467</v>
      </c>
    </row>
    <row r="139" spans="1:9">
      <c r="A139" s="112" t="s">
        <v>495</v>
      </c>
      <c r="B139" t="s">
        <v>531</v>
      </c>
      <c r="C139" t="s">
        <v>7</v>
      </c>
      <c r="D139" t="s">
        <v>370</v>
      </c>
      <c r="E139" t="s">
        <v>368</v>
      </c>
      <c r="F139" t="s">
        <v>520</v>
      </c>
      <c r="G139" t="s">
        <v>112</v>
      </c>
      <c r="H139" t="s">
        <v>498</v>
      </c>
      <c r="I139" s="112" t="s">
        <v>467</v>
      </c>
    </row>
    <row r="140" spans="1:9">
      <c r="A140" s="112" t="s">
        <v>495</v>
      </c>
      <c r="B140" t="s">
        <v>531</v>
      </c>
      <c r="C140" t="s">
        <v>9</v>
      </c>
      <c r="D140">
        <v>20</v>
      </c>
      <c r="E140" t="s">
        <v>368</v>
      </c>
      <c r="F140" t="s">
        <v>520</v>
      </c>
      <c r="G140" t="s">
        <v>112</v>
      </c>
      <c r="H140" t="s">
        <v>498</v>
      </c>
      <c r="I140" s="112" t="s">
        <v>467</v>
      </c>
    </row>
    <row r="141" spans="1:9">
      <c r="A141" s="112" t="s">
        <v>495</v>
      </c>
      <c r="B141" t="s">
        <v>531</v>
      </c>
      <c r="C141" t="s">
        <v>10</v>
      </c>
      <c r="D141">
        <v>1</v>
      </c>
      <c r="E141" t="s">
        <v>368</v>
      </c>
      <c r="F141" t="s">
        <v>520</v>
      </c>
      <c r="G141" t="s">
        <v>112</v>
      </c>
      <c r="H141" t="s">
        <v>498</v>
      </c>
      <c r="I141" s="112" t="s">
        <v>467</v>
      </c>
    </row>
    <row r="142" spans="1:9">
      <c r="A142" s="112" t="s">
        <v>495</v>
      </c>
      <c r="B142" t="s">
        <v>531</v>
      </c>
      <c r="C142" t="s">
        <v>12</v>
      </c>
      <c r="D142">
        <v>6</v>
      </c>
      <c r="E142" t="s">
        <v>368</v>
      </c>
      <c r="F142" t="s">
        <v>520</v>
      </c>
      <c r="G142" t="s">
        <v>112</v>
      </c>
      <c r="H142" t="s">
        <v>498</v>
      </c>
      <c r="I142" s="112" t="s">
        <v>467</v>
      </c>
    </row>
    <row r="143" spans="1:9">
      <c r="A143" s="112" t="s">
        <v>495</v>
      </c>
      <c r="B143" t="s">
        <v>531</v>
      </c>
      <c r="C143" t="s">
        <v>14</v>
      </c>
      <c r="D143" t="s">
        <v>372</v>
      </c>
      <c r="E143" t="s">
        <v>368</v>
      </c>
      <c r="F143" t="s">
        <v>520</v>
      </c>
      <c r="G143" t="s">
        <v>112</v>
      </c>
      <c r="H143" t="s">
        <v>498</v>
      </c>
      <c r="I143" s="112" t="s">
        <v>467</v>
      </c>
    </row>
    <row r="144" spans="1:9">
      <c r="A144" s="112" t="s">
        <v>495</v>
      </c>
      <c r="B144" t="s">
        <v>531</v>
      </c>
      <c r="C144" t="s">
        <v>17</v>
      </c>
      <c r="D144" t="s">
        <v>18</v>
      </c>
      <c r="E144" t="s">
        <v>368</v>
      </c>
      <c r="F144" t="s">
        <v>520</v>
      </c>
      <c r="G144" t="s">
        <v>112</v>
      </c>
      <c r="H144" t="s">
        <v>498</v>
      </c>
      <c r="I144" s="112" t="s">
        <v>467</v>
      </c>
    </row>
    <row r="145" spans="1:9">
      <c r="A145" s="112" t="s">
        <v>495</v>
      </c>
      <c r="B145" t="s">
        <v>531</v>
      </c>
      <c r="C145" t="s">
        <v>20</v>
      </c>
      <c r="D145" t="s">
        <v>112</v>
      </c>
      <c r="E145" t="s">
        <v>368</v>
      </c>
      <c r="F145" t="s">
        <v>520</v>
      </c>
      <c r="G145" t="s">
        <v>112</v>
      </c>
      <c r="H145" t="s">
        <v>498</v>
      </c>
      <c r="I145" s="112" t="s">
        <v>467</v>
      </c>
    </row>
    <row r="146" spans="1:9">
      <c r="A146" s="112" t="s">
        <v>495</v>
      </c>
      <c r="B146" t="s">
        <v>527</v>
      </c>
      <c r="C146" t="s">
        <v>4</v>
      </c>
      <c r="D146" t="s">
        <v>402</v>
      </c>
      <c r="E146" t="s">
        <v>402</v>
      </c>
      <c r="F146" t="s">
        <v>520</v>
      </c>
      <c r="G146" t="s">
        <v>112</v>
      </c>
      <c r="H146" t="s">
        <v>498</v>
      </c>
      <c r="I146" s="112" t="s">
        <v>463</v>
      </c>
    </row>
    <row r="147" spans="1:9">
      <c r="A147" s="112" t="s">
        <v>495</v>
      </c>
      <c r="B147" t="s">
        <v>527</v>
      </c>
      <c r="C147" t="s">
        <v>7</v>
      </c>
      <c r="D147" t="s">
        <v>404</v>
      </c>
      <c r="E147" t="s">
        <v>402</v>
      </c>
      <c r="F147" t="s">
        <v>520</v>
      </c>
      <c r="G147" t="s">
        <v>112</v>
      </c>
      <c r="H147" t="s">
        <v>498</v>
      </c>
      <c r="I147" s="112" t="s">
        <v>463</v>
      </c>
    </row>
    <row r="148" spans="1:9">
      <c r="A148" s="112" t="s">
        <v>495</v>
      </c>
      <c r="B148" t="s">
        <v>527</v>
      </c>
      <c r="C148" t="s">
        <v>9</v>
      </c>
      <c r="D148">
        <v>20</v>
      </c>
      <c r="E148" t="s">
        <v>402</v>
      </c>
      <c r="F148" t="s">
        <v>520</v>
      </c>
      <c r="G148" t="s">
        <v>112</v>
      </c>
      <c r="H148" t="s">
        <v>498</v>
      </c>
      <c r="I148" s="112" t="s">
        <v>463</v>
      </c>
    </row>
    <row r="149" spans="1:9">
      <c r="A149" s="112" t="s">
        <v>495</v>
      </c>
      <c r="B149" t="s">
        <v>527</v>
      </c>
      <c r="C149" t="s">
        <v>10</v>
      </c>
      <c r="D149" t="s">
        <v>407</v>
      </c>
      <c r="E149" t="s">
        <v>402</v>
      </c>
      <c r="F149" t="s">
        <v>520</v>
      </c>
      <c r="G149" t="s">
        <v>112</v>
      </c>
      <c r="H149" t="s">
        <v>498</v>
      </c>
      <c r="I149" s="112" t="s">
        <v>463</v>
      </c>
    </row>
    <row r="150" spans="1:9">
      <c r="A150" s="112" t="s">
        <v>495</v>
      </c>
      <c r="B150" t="s">
        <v>527</v>
      </c>
      <c r="C150" t="s">
        <v>12</v>
      </c>
      <c r="D150">
        <v>6</v>
      </c>
      <c r="E150" t="s">
        <v>402</v>
      </c>
      <c r="F150" t="s">
        <v>520</v>
      </c>
      <c r="G150" t="s">
        <v>112</v>
      </c>
      <c r="H150" t="s">
        <v>498</v>
      </c>
      <c r="I150" s="112" t="s">
        <v>463</v>
      </c>
    </row>
    <row r="151" spans="1:9">
      <c r="A151" s="112" t="s">
        <v>495</v>
      </c>
      <c r="B151" t="s">
        <v>527</v>
      </c>
      <c r="C151" t="s">
        <v>14</v>
      </c>
      <c r="D151" t="s">
        <v>108</v>
      </c>
      <c r="E151" t="s">
        <v>402</v>
      </c>
      <c r="F151" t="s">
        <v>520</v>
      </c>
      <c r="G151" t="s">
        <v>112</v>
      </c>
      <c r="H151" t="s">
        <v>498</v>
      </c>
      <c r="I151" s="112" t="s">
        <v>463</v>
      </c>
    </row>
    <row r="152" spans="1:9">
      <c r="A152" s="112" t="s">
        <v>495</v>
      </c>
      <c r="B152" t="s">
        <v>527</v>
      </c>
      <c r="C152" t="s">
        <v>17</v>
      </c>
      <c r="D152" t="s">
        <v>110</v>
      </c>
      <c r="E152" t="s">
        <v>402</v>
      </c>
      <c r="F152" t="s">
        <v>520</v>
      </c>
      <c r="G152" t="s">
        <v>112</v>
      </c>
      <c r="H152" t="s">
        <v>498</v>
      </c>
      <c r="I152" s="112" t="s">
        <v>463</v>
      </c>
    </row>
    <row r="153" spans="1:9">
      <c r="A153" s="112" t="s">
        <v>495</v>
      </c>
      <c r="B153" t="s">
        <v>527</v>
      </c>
      <c r="C153" t="s">
        <v>20</v>
      </c>
      <c r="D153" t="s">
        <v>112</v>
      </c>
      <c r="E153" t="s">
        <v>402</v>
      </c>
      <c r="F153" t="s">
        <v>520</v>
      </c>
      <c r="G153" t="s">
        <v>112</v>
      </c>
      <c r="H153" t="s">
        <v>498</v>
      </c>
      <c r="I153" s="112" t="s">
        <v>463</v>
      </c>
    </row>
    <row r="154" spans="1:9">
      <c r="A154" s="112" t="s">
        <v>495</v>
      </c>
      <c r="B154" t="s">
        <v>526</v>
      </c>
      <c r="C154" t="s">
        <v>4</v>
      </c>
      <c r="D154" t="s">
        <v>441</v>
      </c>
      <c r="E154" t="s">
        <v>441</v>
      </c>
      <c r="F154" t="s">
        <v>520</v>
      </c>
      <c r="G154" t="s">
        <v>112</v>
      </c>
      <c r="H154" t="s">
        <v>498</v>
      </c>
      <c r="I154" s="112" t="s">
        <v>443</v>
      </c>
    </row>
    <row r="155" spans="1:9">
      <c r="A155" s="112" t="s">
        <v>495</v>
      </c>
      <c r="B155" t="s">
        <v>526</v>
      </c>
      <c r="C155" t="s">
        <v>7</v>
      </c>
      <c r="D155" t="s">
        <v>443</v>
      </c>
      <c r="E155" t="s">
        <v>441</v>
      </c>
      <c r="F155" t="s">
        <v>520</v>
      </c>
      <c r="G155" t="s">
        <v>112</v>
      </c>
      <c r="H155" t="s">
        <v>498</v>
      </c>
      <c r="I155" s="112" t="s">
        <v>443</v>
      </c>
    </row>
    <row r="156" spans="1:9">
      <c r="A156" s="112" t="s">
        <v>495</v>
      </c>
      <c r="B156" t="s">
        <v>526</v>
      </c>
      <c r="C156" t="s">
        <v>9</v>
      </c>
      <c r="D156">
        <v>20</v>
      </c>
      <c r="E156" t="s">
        <v>441</v>
      </c>
      <c r="F156" t="s">
        <v>520</v>
      </c>
      <c r="G156" t="s">
        <v>112</v>
      </c>
      <c r="H156" t="s">
        <v>498</v>
      </c>
      <c r="I156" s="112" t="s">
        <v>443</v>
      </c>
    </row>
    <row r="157" spans="1:9">
      <c r="A157" s="112" t="s">
        <v>495</v>
      </c>
      <c r="B157" t="s">
        <v>526</v>
      </c>
      <c r="C157" t="s">
        <v>10</v>
      </c>
      <c r="D157">
        <v>1</v>
      </c>
      <c r="E157" t="s">
        <v>441</v>
      </c>
      <c r="F157" t="s">
        <v>520</v>
      </c>
      <c r="G157" t="s">
        <v>112</v>
      </c>
      <c r="H157" t="s">
        <v>498</v>
      </c>
      <c r="I157" s="112" t="s">
        <v>443</v>
      </c>
    </row>
    <row r="158" spans="1:9">
      <c r="A158" s="112" t="s">
        <v>495</v>
      </c>
      <c r="B158" t="s">
        <v>526</v>
      </c>
      <c r="C158" t="s">
        <v>12</v>
      </c>
      <c r="D158">
        <v>6</v>
      </c>
      <c r="E158" t="s">
        <v>441</v>
      </c>
      <c r="F158" t="s">
        <v>520</v>
      </c>
      <c r="G158" t="s">
        <v>112</v>
      </c>
      <c r="H158" t="s">
        <v>498</v>
      </c>
      <c r="I158" s="112" t="s">
        <v>443</v>
      </c>
    </row>
    <row r="159" spans="1:9">
      <c r="A159" s="112" t="s">
        <v>495</v>
      </c>
      <c r="B159" t="s">
        <v>526</v>
      </c>
      <c r="C159" t="s">
        <v>14</v>
      </c>
      <c r="D159" t="s">
        <v>445</v>
      </c>
      <c r="E159" t="s">
        <v>441</v>
      </c>
      <c r="F159" t="s">
        <v>520</v>
      </c>
      <c r="G159" t="s">
        <v>112</v>
      </c>
      <c r="H159" t="s">
        <v>498</v>
      </c>
      <c r="I159" s="112" t="s">
        <v>443</v>
      </c>
    </row>
    <row r="160" spans="1:9">
      <c r="A160" s="112" t="s">
        <v>495</v>
      </c>
      <c r="B160" t="s">
        <v>526</v>
      </c>
      <c r="C160" t="s">
        <v>17</v>
      </c>
      <c r="D160" t="s">
        <v>260</v>
      </c>
      <c r="E160" t="s">
        <v>441</v>
      </c>
      <c r="F160" t="s">
        <v>520</v>
      </c>
      <c r="G160" t="s">
        <v>112</v>
      </c>
      <c r="H160" t="s">
        <v>498</v>
      </c>
      <c r="I160" s="112" t="s">
        <v>443</v>
      </c>
    </row>
    <row r="161" spans="1:9">
      <c r="A161" s="112" t="s">
        <v>495</v>
      </c>
      <c r="B161" t="s">
        <v>526</v>
      </c>
      <c r="C161" t="s">
        <v>20</v>
      </c>
      <c r="D161" t="s">
        <v>448</v>
      </c>
      <c r="E161" t="s">
        <v>441</v>
      </c>
      <c r="F161" t="s">
        <v>520</v>
      </c>
      <c r="G161" t="s">
        <v>112</v>
      </c>
      <c r="H161" t="s">
        <v>498</v>
      </c>
      <c r="I161" s="112" t="s">
        <v>443</v>
      </c>
    </row>
    <row r="162" spans="1:9">
      <c r="A162" s="112" t="s">
        <v>510</v>
      </c>
      <c r="B162" t="s">
        <v>532</v>
      </c>
      <c r="C162" t="s">
        <v>4</v>
      </c>
      <c r="D162" t="s">
        <v>468</v>
      </c>
      <c r="E162" t="s">
        <v>468</v>
      </c>
      <c r="F162" t="s">
        <v>520</v>
      </c>
      <c r="G162" t="s">
        <v>112</v>
      </c>
      <c r="H162" t="s">
        <v>498</v>
      </c>
      <c r="I162" s="112" t="s">
        <v>469</v>
      </c>
    </row>
    <row r="163" spans="1:9">
      <c r="A163" s="112" t="s">
        <v>510</v>
      </c>
      <c r="B163" t="s">
        <v>532</v>
      </c>
      <c r="C163" t="s">
        <v>7</v>
      </c>
      <c r="D163" t="s">
        <v>469</v>
      </c>
      <c r="E163" t="s">
        <v>468</v>
      </c>
      <c r="F163" t="s">
        <v>520</v>
      </c>
      <c r="G163" t="s">
        <v>112</v>
      </c>
      <c r="H163" t="s">
        <v>498</v>
      </c>
      <c r="I163" s="112" t="s">
        <v>469</v>
      </c>
    </row>
    <row r="164" spans="1:9">
      <c r="A164" s="112" t="s">
        <v>510</v>
      </c>
      <c r="B164" t="s">
        <v>532</v>
      </c>
      <c r="C164" t="s">
        <v>9</v>
      </c>
      <c r="D164">
        <v>20</v>
      </c>
      <c r="E164" t="s">
        <v>468</v>
      </c>
      <c r="F164" t="s">
        <v>520</v>
      </c>
      <c r="G164" t="s">
        <v>112</v>
      </c>
      <c r="H164" t="s">
        <v>498</v>
      </c>
      <c r="I164" s="112" t="s">
        <v>469</v>
      </c>
    </row>
    <row r="165" spans="1:9">
      <c r="A165" s="112" t="s">
        <v>510</v>
      </c>
      <c r="B165" t="s">
        <v>532</v>
      </c>
      <c r="C165" t="s">
        <v>10</v>
      </c>
      <c r="D165">
        <v>1</v>
      </c>
      <c r="E165" t="s">
        <v>468</v>
      </c>
      <c r="F165" t="s">
        <v>520</v>
      </c>
      <c r="G165" t="s">
        <v>112</v>
      </c>
      <c r="H165" t="s">
        <v>498</v>
      </c>
      <c r="I165" s="112" t="s">
        <v>469</v>
      </c>
    </row>
    <row r="166" spans="1:9">
      <c r="A166" s="112" t="s">
        <v>510</v>
      </c>
      <c r="B166" t="s">
        <v>532</v>
      </c>
      <c r="C166" t="s">
        <v>12</v>
      </c>
      <c r="D166">
        <v>4</v>
      </c>
      <c r="E166" t="s">
        <v>468</v>
      </c>
      <c r="F166" t="s">
        <v>520</v>
      </c>
      <c r="G166" t="s">
        <v>112</v>
      </c>
      <c r="H166" t="s">
        <v>498</v>
      </c>
      <c r="I166" s="112" t="s">
        <v>469</v>
      </c>
    </row>
    <row r="167" spans="1:9">
      <c r="A167" s="112" t="s">
        <v>510</v>
      </c>
      <c r="B167" t="s">
        <v>532</v>
      </c>
      <c r="C167" t="s">
        <v>14</v>
      </c>
      <c r="D167" t="s">
        <v>470</v>
      </c>
      <c r="E167" t="s">
        <v>468</v>
      </c>
      <c r="F167" t="s">
        <v>520</v>
      </c>
      <c r="G167" t="s">
        <v>112</v>
      </c>
      <c r="H167" t="s">
        <v>498</v>
      </c>
      <c r="I167" s="112" t="s">
        <v>469</v>
      </c>
    </row>
    <row r="168" spans="1:9">
      <c r="A168" s="112" t="s">
        <v>510</v>
      </c>
      <c r="B168" t="s">
        <v>532</v>
      </c>
      <c r="C168" t="s">
        <v>17</v>
      </c>
      <c r="D168" t="s">
        <v>18</v>
      </c>
      <c r="E168" t="s">
        <v>468</v>
      </c>
      <c r="F168" t="s">
        <v>520</v>
      </c>
      <c r="G168" t="s">
        <v>112</v>
      </c>
      <c r="H168" t="s">
        <v>498</v>
      </c>
      <c r="I168" s="112" t="s">
        <v>469</v>
      </c>
    </row>
    <row r="169" spans="1:9">
      <c r="A169" s="112" t="s">
        <v>510</v>
      </c>
      <c r="B169" t="s">
        <v>532</v>
      </c>
      <c r="C169" t="s">
        <v>20</v>
      </c>
      <c r="D169" t="s">
        <v>533</v>
      </c>
      <c r="E169" t="s">
        <v>468</v>
      </c>
      <c r="F169" t="s">
        <v>520</v>
      </c>
      <c r="G169" t="s">
        <v>112</v>
      </c>
      <c r="H169" t="s">
        <v>498</v>
      </c>
      <c r="I169" s="112" t="s">
        <v>469</v>
      </c>
    </row>
    <row r="170" spans="1:9">
      <c r="A170" s="112" t="s">
        <v>510</v>
      </c>
      <c r="B170" t="s">
        <v>534</v>
      </c>
      <c r="C170" t="s">
        <v>4</v>
      </c>
      <c r="D170" t="s">
        <v>471</v>
      </c>
      <c r="E170" t="s">
        <v>471</v>
      </c>
      <c r="F170" t="s">
        <v>520</v>
      </c>
      <c r="G170" t="s">
        <v>112</v>
      </c>
      <c r="H170" t="s">
        <v>498</v>
      </c>
      <c r="I170" s="112" t="s">
        <v>472</v>
      </c>
    </row>
    <row r="171" spans="1:9">
      <c r="A171" s="112" t="s">
        <v>510</v>
      </c>
      <c r="B171" t="s">
        <v>534</v>
      </c>
      <c r="C171" t="s">
        <v>7</v>
      </c>
      <c r="D171" t="s">
        <v>472</v>
      </c>
      <c r="E171" t="s">
        <v>471</v>
      </c>
      <c r="F171" t="s">
        <v>520</v>
      </c>
      <c r="G171" t="s">
        <v>112</v>
      </c>
      <c r="H171" t="s">
        <v>498</v>
      </c>
      <c r="I171" s="112" t="s">
        <v>472</v>
      </c>
    </row>
    <row r="172" spans="1:9">
      <c r="A172" s="112" t="s">
        <v>510</v>
      </c>
      <c r="B172" t="s">
        <v>534</v>
      </c>
      <c r="C172" t="s">
        <v>9</v>
      </c>
      <c r="D172">
        <v>20</v>
      </c>
      <c r="E172" t="s">
        <v>471</v>
      </c>
      <c r="F172" t="s">
        <v>520</v>
      </c>
      <c r="G172" t="s">
        <v>112</v>
      </c>
      <c r="H172" t="s">
        <v>498</v>
      </c>
      <c r="I172" s="112" t="s">
        <v>472</v>
      </c>
    </row>
    <row r="173" spans="1:9">
      <c r="A173" s="112" t="s">
        <v>510</v>
      </c>
      <c r="B173" t="s">
        <v>534</v>
      </c>
      <c r="C173" t="s">
        <v>10</v>
      </c>
      <c r="D173">
        <v>2</v>
      </c>
      <c r="E173" t="s">
        <v>471</v>
      </c>
      <c r="F173" t="s">
        <v>520</v>
      </c>
      <c r="G173" t="s">
        <v>112</v>
      </c>
      <c r="H173" t="s">
        <v>498</v>
      </c>
      <c r="I173" s="112" t="s">
        <v>472</v>
      </c>
    </row>
    <row r="174" spans="1:9">
      <c r="A174" s="112" t="s">
        <v>510</v>
      </c>
      <c r="B174" t="s">
        <v>534</v>
      </c>
      <c r="C174" t="s">
        <v>12</v>
      </c>
      <c r="D174">
        <v>5</v>
      </c>
      <c r="E174" t="s">
        <v>471</v>
      </c>
      <c r="F174" t="s">
        <v>520</v>
      </c>
      <c r="G174" t="s">
        <v>112</v>
      </c>
      <c r="H174" t="s">
        <v>498</v>
      </c>
      <c r="I174" s="112" t="s">
        <v>472</v>
      </c>
    </row>
    <row r="175" spans="1:9">
      <c r="A175" s="112" t="s">
        <v>510</v>
      </c>
      <c r="B175" t="s">
        <v>534</v>
      </c>
      <c r="C175" t="s">
        <v>14</v>
      </c>
      <c r="D175" t="s">
        <v>473</v>
      </c>
      <c r="E175" t="s">
        <v>471</v>
      </c>
      <c r="F175" t="s">
        <v>520</v>
      </c>
      <c r="G175" t="s">
        <v>112</v>
      </c>
      <c r="H175" t="s">
        <v>498</v>
      </c>
      <c r="I175" s="112" t="s">
        <v>472</v>
      </c>
    </row>
    <row r="176" spans="1:9">
      <c r="A176" s="112" t="s">
        <v>510</v>
      </c>
      <c r="B176" t="s">
        <v>534</v>
      </c>
      <c r="C176" t="s">
        <v>17</v>
      </c>
      <c r="D176" t="s">
        <v>18</v>
      </c>
      <c r="E176" t="s">
        <v>471</v>
      </c>
      <c r="F176" t="s">
        <v>520</v>
      </c>
      <c r="G176" t="s">
        <v>112</v>
      </c>
      <c r="H176" t="s">
        <v>498</v>
      </c>
      <c r="I176" s="112" t="s">
        <v>472</v>
      </c>
    </row>
    <row r="177" spans="1:9">
      <c r="A177" s="112" t="s">
        <v>510</v>
      </c>
      <c r="B177" t="s">
        <v>534</v>
      </c>
      <c r="C177" t="s">
        <v>20</v>
      </c>
      <c r="D177" t="s">
        <v>448</v>
      </c>
      <c r="E177" t="s">
        <v>471</v>
      </c>
      <c r="F177" t="s">
        <v>520</v>
      </c>
      <c r="G177" t="s">
        <v>112</v>
      </c>
      <c r="H177" t="s">
        <v>498</v>
      </c>
      <c r="I177" s="112" t="s">
        <v>472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32"/>
  <dimension ref="C4:T102"/>
  <sheetViews>
    <sheetView topLeftCell="A48" workbookViewId="0">
      <selection activeCell="U70" sqref="U70"/>
    </sheetView>
  </sheetViews>
  <sheetFormatPr defaultColWidth="8.85546875" defaultRowHeight="15"/>
  <cols>
    <col min="7" max="7" width="11.28515625" customWidth="1"/>
    <col min="10" max="10" width="19.28515625" bestFit="1" customWidth="1"/>
    <col min="19" max="19" width="28.28515625" customWidth="1"/>
    <col min="20" max="20" width="16.140625" customWidth="1"/>
  </cols>
  <sheetData>
    <row r="4" spans="3:10">
      <c r="C4" t="s">
        <v>668</v>
      </c>
      <c r="E4" t="s">
        <v>669</v>
      </c>
      <c r="G4" t="s">
        <v>669</v>
      </c>
      <c r="J4" t="s">
        <v>670</v>
      </c>
    </row>
    <row r="7" spans="3:10" ht="15.75" customHeight="1">
      <c r="C7" s="23">
        <v>1</v>
      </c>
      <c r="E7" t="s">
        <v>41</v>
      </c>
      <c r="G7" t="s">
        <v>273</v>
      </c>
      <c r="J7" t="s">
        <v>275</v>
      </c>
    </row>
    <row r="8" spans="3:10">
      <c r="C8" s="23">
        <v>2</v>
      </c>
      <c r="E8" t="s">
        <v>43</v>
      </c>
      <c r="G8" t="s">
        <v>243</v>
      </c>
      <c r="J8" t="s">
        <v>137</v>
      </c>
    </row>
    <row r="9" spans="3:10">
      <c r="C9" s="23" t="s">
        <v>407</v>
      </c>
      <c r="E9" t="s">
        <v>45</v>
      </c>
      <c r="G9" t="s">
        <v>177</v>
      </c>
      <c r="J9" t="s">
        <v>65</v>
      </c>
    </row>
    <row r="10" spans="3:10">
      <c r="E10" t="s">
        <v>47</v>
      </c>
      <c r="G10" t="s">
        <v>29</v>
      </c>
      <c r="J10" t="s">
        <v>71</v>
      </c>
    </row>
    <row r="11" spans="3:10">
      <c r="C11" s="23">
        <v>3</v>
      </c>
      <c r="E11" t="s">
        <v>48</v>
      </c>
      <c r="G11" t="s">
        <v>57</v>
      </c>
      <c r="J11" t="s">
        <v>126</v>
      </c>
    </row>
    <row r="12" spans="3:10">
      <c r="C12" s="23">
        <v>4</v>
      </c>
      <c r="J12" t="s">
        <v>69</v>
      </c>
    </row>
    <row r="13" spans="3:10">
      <c r="C13" s="23">
        <v>5</v>
      </c>
      <c r="J13" t="s">
        <v>132</v>
      </c>
    </row>
    <row r="14" spans="3:10">
      <c r="C14" s="23">
        <v>6</v>
      </c>
      <c r="G14" t="s">
        <v>52</v>
      </c>
      <c r="J14" t="s">
        <v>128</v>
      </c>
    </row>
    <row r="15" spans="3:10">
      <c r="C15" s="23">
        <v>7</v>
      </c>
      <c r="G15" t="s">
        <v>599</v>
      </c>
      <c r="J15" t="s">
        <v>134</v>
      </c>
    </row>
    <row r="16" spans="3:10">
      <c r="G16" t="s">
        <v>612</v>
      </c>
      <c r="J16" t="s">
        <v>184</v>
      </c>
    </row>
    <row r="17" spans="3:20">
      <c r="C17" t="s">
        <v>110</v>
      </c>
      <c r="G17" t="s">
        <v>608</v>
      </c>
    </row>
    <row r="18" spans="3:20">
      <c r="C18" t="s">
        <v>477</v>
      </c>
      <c r="G18" t="s">
        <v>671</v>
      </c>
    </row>
    <row r="19" spans="3:20">
      <c r="C19" t="s">
        <v>486</v>
      </c>
      <c r="G19" t="s">
        <v>178</v>
      </c>
      <c r="J19" t="s">
        <v>541</v>
      </c>
      <c r="K19" t="s">
        <v>542</v>
      </c>
    </row>
    <row r="20" spans="3:20">
      <c r="C20" t="s">
        <v>672</v>
      </c>
      <c r="G20" t="s">
        <v>609</v>
      </c>
      <c r="J20" t="s">
        <v>275</v>
      </c>
      <c r="K20" t="s">
        <v>386</v>
      </c>
      <c r="O20" s="69" t="s">
        <v>673</v>
      </c>
      <c r="S20" s="70" t="s">
        <v>674</v>
      </c>
      <c r="T20" s="71" t="s">
        <v>675</v>
      </c>
    </row>
    <row r="21" spans="3:20">
      <c r="C21" t="s">
        <v>260</v>
      </c>
      <c r="G21" t="s">
        <v>676</v>
      </c>
      <c r="J21" t="s">
        <v>275</v>
      </c>
      <c r="K21" t="s">
        <v>546</v>
      </c>
      <c r="O21" t="str" cm="1">
        <f t="array" ref="O21:O26">_xlfn._xlws.FILTER(LISTS_Table[Skill],LISTS_Table[Category]="Scientific Knowledge")</f>
        <v>Critical thinking</v>
      </c>
      <c r="S21" s="72" t="s">
        <v>275</v>
      </c>
      <c r="T21" s="73" t="s">
        <v>677</v>
      </c>
    </row>
    <row r="22" spans="3:20">
      <c r="C22" t="s">
        <v>18</v>
      </c>
      <c r="G22" t="s">
        <v>678</v>
      </c>
      <c r="J22" t="s">
        <v>275</v>
      </c>
      <c r="K22" t="s">
        <v>309</v>
      </c>
      <c r="O22" t="str">
        <v>Scientific literacy</v>
      </c>
      <c r="S22" s="74" t="s">
        <v>137</v>
      </c>
      <c r="T22" s="75" t="s">
        <v>679</v>
      </c>
    </row>
    <row r="23" spans="3:20">
      <c r="G23" t="s">
        <v>605</v>
      </c>
      <c r="J23" t="s">
        <v>275</v>
      </c>
      <c r="K23" t="s">
        <v>353</v>
      </c>
      <c r="O23" t="str">
        <v>Information retrieval</v>
      </c>
      <c r="S23" s="72" t="s">
        <v>65</v>
      </c>
      <c r="T23" s="73" t="s">
        <v>680</v>
      </c>
    </row>
    <row r="24" spans="3:20">
      <c r="G24" t="s">
        <v>681</v>
      </c>
      <c r="J24" t="s">
        <v>275</v>
      </c>
      <c r="K24" t="s">
        <v>276</v>
      </c>
      <c r="O24" t="str">
        <v>Knowledge synthesis</v>
      </c>
      <c r="S24" s="74" t="s">
        <v>71</v>
      </c>
      <c r="T24" s="75" t="s">
        <v>682</v>
      </c>
    </row>
    <row r="25" spans="3:20">
      <c r="G25" t="s">
        <v>683</v>
      </c>
      <c r="J25" t="s">
        <v>275</v>
      </c>
      <c r="K25" t="s">
        <v>547</v>
      </c>
      <c r="O25" t="str">
        <v>Domain-specific analytical skills</v>
      </c>
      <c r="S25" s="72" t="s">
        <v>126</v>
      </c>
      <c r="T25" s="73" t="s">
        <v>684</v>
      </c>
    </row>
    <row r="26" spans="3:20">
      <c r="C26" t="s">
        <v>685</v>
      </c>
      <c r="G26" t="s">
        <v>686</v>
      </c>
      <c r="J26" t="s">
        <v>137</v>
      </c>
      <c r="K26" t="s">
        <v>549</v>
      </c>
      <c r="O26" t="str">
        <v>Evidence evaluation</v>
      </c>
      <c r="S26" s="74" t="s">
        <v>69</v>
      </c>
      <c r="T26" s="75" t="s">
        <v>69</v>
      </c>
    </row>
    <row r="27" spans="3:20">
      <c r="C27" t="s">
        <v>298</v>
      </c>
      <c r="G27" t="s">
        <v>603</v>
      </c>
      <c r="J27" t="s">
        <v>137</v>
      </c>
      <c r="K27" t="s">
        <v>245</v>
      </c>
      <c r="S27" s="72" t="s">
        <v>132</v>
      </c>
      <c r="T27" s="73" t="s">
        <v>687</v>
      </c>
    </row>
    <row r="28" spans="3:20">
      <c r="C28" t="s">
        <v>688</v>
      </c>
      <c r="G28" t="s">
        <v>601</v>
      </c>
      <c r="J28" t="s">
        <v>137</v>
      </c>
      <c r="K28" t="s">
        <v>550</v>
      </c>
      <c r="O28" s="22" t="s">
        <v>689</v>
      </c>
      <c r="S28" s="74" t="s">
        <v>128</v>
      </c>
      <c r="T28" s="75" t="s">
        <v>690</v>
      </c>
    </row>
    <row r="29" spans="3:20">
      <c r="C29" t="s">
        <v>112</v>
      </c>
      <c r="J29" t="s">
        <v>137</v>
      </c>
      <c r="K29" t="s">
        <v>552</v>
      </c>
      <c r="O29" t="str" cm="1">
        <f t="array" ref="O29:O34">_xlfn._xlws.FILTER(LISTS_Table[Skill],LISTS_Table[Category]="Technical Skills")</f>
        <v>Laboratory/clinical techniques</v>
      </c>
      <c r="S29" s="72" t="s">
        <v>134</v>
      </c>
      <c r="T29" s="73" t="s">
        <v>691</v>
      </c>
    </row>
    <row r="30" spans="3:20">
      <c r="C30" t="s">
        <v>692</v>
      </c>
      <c r="J30" t="s">
        <v>137</v>
      </c>
      <c r="K30" t="s">
        <v>183</v>
      </c>
      <c r="O30" t="str">
        <v>Data collection</v>
      </c>
      <c r="S30" s="76" t="s">
        <v>184</v>
      </c>
      <c r="T30" s="77" t="s">
        <v>693</v>
      </c>
    </row>
    <row r="31" spans="3:20">
      <c r="C31" t="s">
        <v>694</v>
      </c>
      <c r="J31" t="s">
        <v>137</v>
      </c>
      <c r="K31" t="s">
        <v>138</v>
      </c>
      <c r="O31" t="str">
        <v>Data analysis</v>
      </c>
    </row>
    <row r="32" spans="3:20">
      <c r="C32" t="s">
        <v>448</v>
      </c>
      <c r="J32" t="s">
        <v>65</v>
      </c>
      <c r="K32" t="s">
        <v>68</v>
      </c>
      <c r="O32" t="str">
        <v>Digital literacy</v>
      </c>
    </row>
    <row r="33" spans="3:15">
      <c r="C33" t="s">
        <v>695</v>
      </c>
      <c r="J33" t="s">
        <v>65</v>
      </c>
      <c r="K33" t="s">
        <v>354</v>
      </c>
      <c r="O33" t="str">
        <v>Equipment and technology utilisation</v>
      </c>
    </row>
    <row r="34" spans="3:15">
      <c r="C34" t="s">
        <v>540</v>
      </c>
      <c r="J34" t="s">
        <v>65</v>
      </c>
      <c r="K34" t="s">
        <v>66</v>
      </c>
      <c r="O34" t="str">
        <v>Technical proficiency</v>
      </c>
    </row>
    <row r="35" spans="3:15">
      <c r="C35" t="s">
        <v>696</v>
      </c>
      <c r="J35" t="s">
        <v>65</v>
      </c>
      <c r="K35" t="s">
        <v>67</v>
      </c>
    </row>
    <row r="36" spans="3:15">
      <c r="C36" t="s">
        <v>21</v>
      </c>
      <c r="J36" t="s">
        <v>65</v>
      </c>
      <c r="K36" t="s">
        <v>186</v>
      </c>
      <c r="O36" s="69" t="s">
        <v>697</v>
      </c>
    </row>
    <row r="37" spans="3:15">
      <c r="C37" t="s">
        <v>533</v>
      </c>
      <c r="J37" t="s">
        <v>65</v>
      </c>
      <c r="K37" t="s">
        <v>553</v>
      </c>
      <c r="O37" t="str" cm="1">
        <f t="array" ref="O37:O42">_xlfn._xlws.FILTER(LISTS_Table[Skill],LISTS_Table[Category]="Application of Knowledge and skills")</f>
        <v>Decision-making</v>
      </c>
    </row>
    <row r="38" spans="3:15">
      <c r="J38" t="s">
        <v>71</v>
      </c>
      <c r="K38" t="s">
        <v>575</v>
      </c>
      <c r="O38" t="str">
        <v>Translational practice</v>
      </c>
    </row>
    <row r="39" spans="3:15">
      <c r="J39" t="s">
        <v>71</v>
      </c>
      <c r="K39" t="s">
        <v>554</v>
      </c>
      <c r="O39" t="str">
        <v>Contextual application</v>
      </c>
    </row>
    <row r="40" spans="3:15">
      <c r="J40" t="s">
        <v>71</v>
      </c>
      <c r="K40" t="s">
        <v>72</v>
      </c>
      <c r="O40" t="str">
        <v>Professional judgement</v>
      </c>
    </row>
    <row r="41" spans="3:15">
      <c r="J41" t="s">
        <v>71</v>
      </c>
      <c r="K41" t="s">
        <v>216</v>
      </c>
      <c r="O41" t="str">
        <v>Adaptability</v>
      </c>
    </row>
    <row r="42" spans="3:15">
      <c r="J42" t="s">
        <v>71</v>
      </c>
      <c r="K42" t="s">
        <v>457</v>
      </c>
      <c r="O42" t="str">
        <v>Risk assessment</v>
      </c>
    </row>
    <row r="43" spans="3:15">
      <c r="J43" t="s">
        <v>71</v>
      </c>
      <c r="K43" t="s">
        <v>555</v>
      </c>
    </row>
    <row r="44" spans="3:15">
      <c r="J44" t="s">
        <v>126</v>
      </c>
      <c r="K44" t="s">
        <v>127</v>
      </c>
      <c r="O44" s="78" t="s">
        <v>71</v>
      </c>
    </row>
    <row r="45" spans="3:15">
      <c r="J45" t="s">
        <v>126</v>
      </c>
      <c r="K45" t="s">
        <v>131</v>
      </c>
      <c r="O45" t="str" cm="1">
        <f t="array" ref="O45:O50">_xlfn._xlws.FILTER(LISTS_Table[Skill],LISTS_Table[Category]="Understanding and use of research")</f>
        <v>Research literacy</v>
      </c>
    </row>
    <row r="46" spans="3:15">
      <c r="J46" t="s">
        <v>126</v>
      </c>
      <c r="K46" t="s">
        <v>556</v>
      </c>
      <c r="O46" t="str">
        <v>Literature searching</v>
      </c>
    </row>
    <row r="47" spans="3:15">
      <c r="J47" t="s">
        <v>126</v>
      </c>
      <c r="K47" t="s">
        <v>130</v>
      </c>
      <c r="O47" t="str">
        <v>Critical appraisal</v>
      </c>
    </row>
    <row r="48" spans="3:15">
      <c r="J48" t="s">
        <v>126</v>
      </c>
      <c r="K48" t="s">
        <v>557</v>
      </c>
      <c r="O48" t="str">
        <v>Data interpretation</v>
      </c>
    </row>
    <row r="49" spans="10:15">
      <c r="J49" t="s">
        <v>126</v>
      </c>
      <c r="K49" t="s">
        <v>558</v>
      </c>
      <c r="O49" t="str">
        <v>Evidence-based practice</v>
      </c>
    </row>
    <row r="50" spans="10:15">
      <c r="J50" t="s">
        <v>126</v>
      </c>
      <c r="K50" t="s">
        <v>559</v>
      </c>
      <c r="O50" t="str">
        <v>Research communication</v>
      </c>
    </row>
    <row r="51" spans="10:15">
      <c r="J51" t="s">
        <v>69</v>
      </c>
      <c r="K51" t="s">
        <v>551</v>
      </c>
    </row>
    <row r="52" spans="10:15">
      <c r="J52" t="s">
        <v>69</v>
      </c>
      <c r="K52" t="s">
        <v>70</v>
      </c>
      <c r="O52" s="78" t="s">
        <v>126</v>
      </c>
    </row>
    <row r="53" spans="10:15">
      <c r="J53" t="s">
        <v>69</v>
      </c>
      <c r="K53" t="s">
        <v>560</v>
      </c>
      <c r="O53" t="str" cm="1">
        <f t="array" ref="O53:O59">_xlfn._xlws.FILTER(LISTS_Table[Skill],LISTS_Table[Category]="Self-evaluation and professional development")</f>
        <v>Reflective practice</v>
      </c>
    </row>
    <row r="54" spans="10:15">
      <c r="J54" t="s">
        <v>69</v>
      </c>
      <c r="K54" t="s">
        <v>455</v>
      </c>
      <c r="O54" t="str">
        <v>Self-awareness</v>
      </c>
    </row>
    <row r="55" spans="10:15">
      <c r="J55" t="s">
        <v>69</v>
      </c>
      <c r="K55" t="s">
        <v>277</v>
      </c>
      <c r="O55" t="str">
        <v>Lifelong learning</v>
      </c>
    </row>
    <row r="56" spans="10:15">
      <c r="J56" t="s">
        <v>69</v>
      </c>
      <c r="K56" t="s">
        <v>278</v>
      </c>
      <c r="O56" t="str">
        <v>Personal development planning</v>
      </c>
    </row>
    <row r="57" spans="10:15">
      <c r="J57" t="s">
        <v>132</v>
      </c>
      <c r="K57" t="s">
        <v>246</v>
      </c>
      <c r="O57" t="str">
        <v>Resilience</v>
      </c>
    </row>
    <row r="58" spans="10:15">
      <c r="J58" t="s">
        <v>132</v>
      </c>
      <c r="K58" t="s">
        <v>136</v>
      </c>
      <c r="O58" t="str">
        <v>Initiative</v>
      </c>
    </row>
    <row r="59" spans="10:15">
      <c r="J59" t="s">
        <v>132</v>
      </c>
      <c r="K59" t="s">
        <v>181</v>
      </c>
      <c r="O59" t="str">
        <v>Accountability</v>
      </c>
    </row>
    <row r="60" spans="10:15">
      <c r="J60" t="s">
        <v>132</v>
      </c>
      <c r="K60" t="s">
        <v>456</v>
      </c>
    </row>
    <row r="61" spans="10:15">
      <c r="J61" t="s">
        <v>132</v>
      </c>
      <c r="K61" t="s">
        <v>133</v>
      </c>
      <c r="O61" s="79" t="s">
        <v>69</v>
      </c>
    </row>
    <row r="62" spans="10:15">
      <c r="J62" t="s">
        <v>132</v>
      </c>
      <c r="K62" t="s">
        <v>561</v>
      </c>
      <c r="O62" t="str" cm="1">
        <f t="array" ref="O62:O67">_xlfn._xlws.FILTER(LISTS_Table[Skill],LISTS_Table[Category]="Communication")</f>
        <v>Written communication</v>
      </c>
    </row>
    <row r="63" spans="10:15">
      <c r="J63" t="s">
        <v>128</v>
      </c>
      <c r="K63" t="s">
        <v>562</v>
      </c>
      <c r="O63" t="str">
        <v>Oral presentation</v>
      </c>
    </row>
    <row r="64" spans="10:15">
      <c r="J64" t="s">
        <v>128</v>
      </c>
      <c r="K64" t="s">
        <v>129</v>
      </c>
      <c r="O64" t="str">
        <v>Active listening</v>
      </c>
    </row>
    <row r="65" spans="10:15">
      <c r="J65" t="s">
        <v>128</v>
      </c>
      <c r="K65" t="s">
        <v>563</v>
      </c>
      <c r="O65" t="str">
        <v>Scientific writing</v>
      </c>
    </row>
    <row r="66" spans="10:15">
      <c r="J66" t="s">
        <v>128</v>
      </c>
      <c r="K66" t="s">
        <v>564</v>
      </c>
      <c r="O66" t="str">
        <v>Interpersonal communication</v>
      </c>
    </row>
    <row r="67" spans="10:15">
      <c r="J67" t="s">
        <v>128</v>
      </c>
      <c r="K67" t="s">
        <v>565</v>
      </c>
      <c r="O67" t="str">
        <v>Digital communication</v>
      </c>
    </row>
    <row r="68" spans="10:15">
      <c r="J68" t="s">
        <v>128</v>
      </c>
      <c r="K68" t="s">
        <v>566</v>
      </c>
    </row>
    <row r="69" spans="10:15">
      <c r="J69" t="s">
        <v>128</v>
      </c>
      <c r="K69" t="s">
        <v>567</v>
      </c>
      <c r="O69" s="79" t="s">
        <v>132</v>
      </c>
    </row>
    <row r="70" spans="10:15">
      <c r="J70" t="s">
        <v>128</v>
      </c>
      <c r="K70" t="s">
        <v>416</v>
      </c>
      <c r="O70" t="str" cm="1">
        <f t="array" ref="O70:O75">_xlfn._xlws.FILTER(LISTS_Table[Skill],LISTS_Table[Category]="Problem solving and impact")</f>
        <v>Analytical thinking</v>
      </c>
    </row>
    <row r="71" spans="10:15">
      <c r="J71" t="s">
        <v>128</v>
      </c>
      <c r="K71" t="s">
        <v>568</v>
      </c>
      <c r="O71" t="str">
        <v>problem identification</v>
      </c>
    </row>
    <row r="72" spans="10:15">
      <c r="J72" t="s">
        <v>134</v>
      </c>
      <c r="K72" t="s">
        <v>182</v>
      </c>
      <c r="O72" t="str">
        <v>Creative thinking</v>
      </c>
    </row>
    <row r="73" spans="10:15">
      <c r="J73" t="s">
        <v>134</v>
      </c>
      <c r="K73" t="s">
        <v>218</v>
      </c>
      <c r="O73" t="str">
        <v>Evidence-based decision making</v>
      </c>
    </row>
    <row r="74" spans="10:15">
      <c r="J74" t="s">
        <v>134</v>
      </c>
      <c r="K74" t="s">
        <v>569</v>
      </c>
      <c r="O74" t="str">
        <v>Innovation</v>
      </c>
    </row>
    <row r="75" spans="10:15">
      <c r="J75" t="s">
        <v>134</v>
      </c>
      <c r="K75" t="s">
        <v>247</v>
      </c>
      <c r="O75" t="str">
        <v>Evaluation of outcomes</v>
      </c>
    </row>
    <row r="76" spans="10:15">
      <c r="J76" t="s">
        <v>134</v>
      </c>
      <c r="K76" t="s">
        <v>135</v>
      </c>
    </row>
    <row r="77" spans="10:15">
      <c r="J77" t="s">
        <v>184</v>
      </c>
      <c r="K77" t="s">
        <v>570</v>
      </c>
      <c r="O77" s="79" t="s">
        <v>128</v>
      </c>
    </row>
    <row r="78" spans="10:15">
      <c r="J78" t="s">
        <v>184</v>
      </c>
      <c r="K78" t="s">
        <v>571</v>
      </c>
      <c r="O78" t="str" cm="1">
        <f t="array" ref="O78:O86">_xlfn._xlws.FILTER(LISTS_Table[Skill],LISTS_Table[Category]="Management of self and others")</f>
        <v>Leadership</v>
      </c>
    </row>
    <row r="79" spans="10:15">
      <c r="J79" t="s">
        <v>184</v>
      </c>
      <c r="K79" t="s">
        <v>572</v>
      </c>
      <c r="O79" t="str">
        <v>Coaching and mentoring</v>
      </c>
    </row>
    <row r="80" spans="10:15">
      <c r="J80" t="s">
        <v>184</v>
      </c>
      <c r="K80" t="s">
        <v>185</v>
      </c>
      <c r="O80" t="str">
        <v>Time management</v>
      </c>
    </row>
    <row r="81" spans="10:15">
      <c r="J81" t="s">
        <v>184</v>
      </c>
      <c r="K81" t="s">
        <v>217</v>
      </c>
      <c r="O81" t="str">
        <v>Organisation</v>
      </c>
    </row>
    <row r="82" spans="10:15">
      <c r="J82" t="s">
        <v>184</v>
      </c>
      <c r="K82" t="s">
        <v>573</v>
      </c>
      <c r="O82" t="str">
        <v>Delegation</v>
      </c>
    </row>
    <row r="83" spans="10:15">
      <c r="J83" t="s">
        <v>184</v>
      </c>
      <c r="K83" t="s">
        <v>574</v>
      </c>
      <c r="O83" t="str">
        <v>Conflict resolution</v>
      </c>
    </row>
    <row r="84" spans="10:15">
      <c r="O84" t="str">
        <v>Empathy</v>
      </c>
    </row>
    <row r="85" spans="10:15">
      <c r="O85" t="str">
        <v>Multi-tasking</v>
      </c>
    </row>
    <row r="86" spans="10:15">
      <c r="O86" t="str">
        <v>Resource management</v>
      </c>
    </row>
    <row r="88" spans="10:15">
      <c r="O88" s="78" t="s">
        <v>134</v>
      </c>
    </row>
    <row r="89" spans="10:15">
      <c r="O89" t="str" cm="1">
        <f t="array" ref="O89:O93">_xlfn._xlws.FILTER(LISTS_Table[Skill],LISTS_Table[Category]="Understanding the delivery environment")</f>
        <v>Organisational awareness</v>
      </c>
    </row>
    <row r="90" spans="10:15">
      <c r="O90" t="str">
        <v>Policy interpretation</v>
      </c>
    </row>
    <row r="91" spans="10:15">
      <c r="O91" t="str">
        <v>Stakeholder awareness</v>
      </c>
    </row>
    <row r="92" spans="10:15">
      <c r="O92" t="str">
        <v>Service delivery</v>
      </c>
    </row>
    <row r="93" spans="10:15">
      <c r="O93" t="str">
        <v>Professional awareness</v>
      </c>
    </row>
    <row r="95" spans="10:15">
      <c r="O95" s="79" t="s">
        <v>698</v>
      </c>
    </row>
    <row r="96" spans="10:15">
      <c r="O96" t="str" cm="1">
        <f t="array" ref="O96:O102">_xlfn._xlws.FILTER(LISTS_Table[Skill],LISTS_Table[Category]="Professional relationships and behaviours")</f>
        <v>Teamwork</v>
      </c>
    </row>
    <row r="97" spans="15:15">
      <c r="O97" t="str">
        <v>Collaboration/multi-disciplinary working</v>
      </c>
    </row>
    <row r="98" spans="15:15">
      <c r="O98" t="str">
        <v>Ethical practice</v>
      </c>
    </row>
    <row r="99" spans="15:15">
      <c r="O99" t="str">
        <v>Professionalism</v>
      </c>
    </row>
    <row r="100" spans="15:15">
      <c r="O100" t="str">
        <v>Cultural awareness and competence</v>
      </c>
    </row>
    <row r="101" spans="15:15">
      <c r="O101" t="str">
        <v>Integrity</v>
      </c>
    </row>
    <row r="102" spans="15:1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4.xml>��
</file>

<file path=customXml/itemProps1.xml><?xml version="1.0" encoding="utf-8"?>
<ds:datastoreItem xmlns:ds="http://schemas.openxmlformats.org/officeDocument/2006/customXml" ds:itemID="{32729CB6-E7A2-443D-8FAE-1E37B70441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7968BB-CDD0-4B21-8494-8F158966F0D1}">
  <ds:schemaRefs>
    <ds:schemaRef ds:uri="http://schemas.microsoft.com/sharepoint/v3/contenttype/forms"/>
  </ds:schemaRefs>
</ds:datastoreItem>
</file>

<file path=customXml/itemProps3.xml><?xml version="1.0" encoding="utf-8"?>
<ds:datastoreItem xmlns:ds="http://schemas.openxmlformats.org/officeDocument/2006/customXml" ds:itemID="{4E3FA4C3-DC25-462F-8805-09E7A0CA0332}">
  <ds:schemaRefs>
    <ds:schemaRef ds:uri="http://schemas.microsoft.com/office/infopath/2007/PartnerControls"/>
    <ds:schemaRef ds:uri="http://schemas.microsoft.com/office/2006/documentManagement/types"/>
    <ds:schemaRef ds:uri="http://www.w3.org/XML/1998/namespace"/>
    <ds:schemaRef ds:uri="http://purl.org/dc/elements/1.1/"/>
    <ds:schemaRef ds:uri="http://purl.org/dc/terms/"/>
    <ds:schemaRef ds:uri="http://purl.org/dc/dcmitype/"/>
    <ds:schemaRef ds:uri="http://schemas.openxmlformats.org/package/2006/metadata/core-properties"/>
    <ds:schemaRef ds:uri="e2acc87f-978a-4c56-9887-574fe2c7e53e"/>
    <ds:schemaRef ds:uri="f1436123-e04c-43f8-b7d8-6e3401685a6a"/>
    <ds:schemaRef ds:uri="http://schemas.microsoft.com/office/2006/metadata/properties"/>
  </ds:schemaRefs>
</ds:datastoreItem>
</file>

<file path=customXml/itemProps4.xml><?xml version="1.0" encoding="utf-8"?>
<ds:datastoreItem xmlns:ds="http://schemas.openxmlformats.org/officeDocument/2006/customXml" ds:itemID="{CAFB4C9A-7163-4267-A6CC-09970556B4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4202SPS</vt:lpstr>
      <vt:lpstr>4401SPS</vt:lpstr>
      <vt:lpstr>5401SPS</vt:lpstr>
      <vt:lpstr>5402SPS</vt:lpstr>
      <vt:lpstr>5403SPS</vt:lpstr>
      <vt:lpstr>5405SPS</vt:lpstr>
      <vt:lpstr>5202SPS</vt:lpstr>
      <vt:lpstr>5094SPS</vt:lpstr>
      <vt:lpstr>6401SPS</vt:lpstr>
      <vt:lpstr>6402SPS</vt:lpstr>
      <vt:lpstr>6403SPS</vt:lpstr>
      <vt:lpstr>6097SPS</vt:lpstr>
      <vt:lpstr>SC_ModuleOverview</vt:lpstr>
      <vt:lpstr>SC_Hours_Wide</vt:lpstr>
      <vt:lpstr>SC_Meta_Wide</vt:lpstr>
      <vt:lpstr>SC_SkillsCoverage</vt:lpstr>
      <vt:lpstr>SC_Mapping</vt:lpstr>
      <vt:lpstr>SC_Hours</vt:lpstr>
      <vt:lpstr>SC_Assess</vt:lpstr>
      <vt:lpstr>SC_LO</vt:lpstr>
      <vt:lpstr>SC_Meta</vt:lpstr>
      <vt:lpstr>LISTS</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2026-10-22T06:34:47Z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