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01.xml" ContentType="application/vnd.openxmlformats-officedocument.spreadsheetml.table+xml"/>
  <Override PartName="/xl/tables/table10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codeName="ThisWorkbook"/>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2517" documentId="8_{20AD63D6-7E4E-4EFA-BE5C-A6DF2DDE1EA8}" xr6:coauthVersionLast="47" xr6:coauthVersionMax="47" xr10:uidLastSave="{98A9B581-43D6-4365-B31A-2C3A816302DF}"/>
  <bookViews>
    <workbookView xWindow="-120" yWindow="-120" windowWidth="51840" windowHeight="21120" firstSheet="10" activeTab="10" xr2:uid="{8D7B9789-0724-4FF2-A9AF-E462B2920CAC}"/>
  </bookViews>
  <sheets>
    <sheet name="4201SPS" sheetId="78" r:id="rId1"/>
    <sheet name="4202SPS" sheetId="86" r:id="rId2"/>
    <sheet name="5201SPS" sheetId="79" r:id="rId3"/>
    <sheet name="5202SPS" sheetId="87" r:id="rId4"/>
    <sheet name="5203SPS" sheetId="75" r:id="rId5"/>
    <sheet name="5204SPS" sheetId="88" r:id="rId6"/>
    <sheet name="6201SPS" sheetId="110" r:id="rId7"/>
    <sheet name="6202SPS" sheetId="77" r:id="rId8"/>
    <sheet name="6203SPS" sheetId="80" r:id="rId9"/>
    <sheet name="6096SPS" sheetId="76" r:id="rId10"/>
    <sheet name="LISTS" sheetId="4" r:id="rId11"/>
  </sheets>
  <definedNames>
    <definedName name="ApplicationofKnowledge">_xlfn.ANCHORARRAY(LISTS!$O$37)</definedName>
    <definedName name="Communication">_xlfn.ANCHORARRAY(LISTS!$O$62)</definedName>
    <definedName name="DeliveryEnvironment">_xlfn.ANCHORARRAY(LISTS!$O$89)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10" l="1"/>
  <c r="D24" i="88"/>
  <c r="D2" i="88"/>
  <c r="C2" i="88"/>
  <c r="D24" i="87"/>
  <c r="D2" i="87"/>
  <c r="C2" i="87"/>
  <c r="D24" i="86"/>
  <c r="D2" i="86"/>
  <c r="C2" i="86"/>
  <c r="D2" i="76"/>
  <c r="D24" i="80"/>
  <c r="C2" i="80"/>
  <c r="D24" i="79"/>
  <c r="D2" i="79"/>
  <c r="C2" i="79"/>
  <c r="D24" i="78"/>
  <c r="D2" i="78"/>
  <c r="C2" i="78"/>
  <c r="D24" i="77"/>
  <c r="C2" i="77"/>
  <c r="D24" i="76"/>
  <c r="C2" i="76"/>
  <c r="D24" i="75"/>
  <c r="D2" i="75"/>
  <c r="C2" i="75"/>
  <c r="O96" i="4" a="1"/>
  <c r="O89" i="4" a="1"/>
  <c r="O78" i="4" a="1"/>
  <c r="O70" i="4" a="1"/>
  <c r="O62" i="4" a="1"/>
  <c r="O53" i="4" a="1"/>
  <c r="O45" i="4" a="1"/>
  <c r="O37" i="4" a="1"/>
  <c r="O29" i="4" a="1"/>
  <c r="O21" i="4" a="1"/>
  <c r="O96" i="4"/>
  <c r="O89" i="4"/>
  <c r="O78" i="4"/>
  <c r="O70" i="4"/>
  <c r="O62" i="4"/>
  <c r="O53" i="4"/>
  <c r="O45" i="4"/>
  <c r="O37" i="4"/>
  <c r="O29" i="4"/>
  <c r="O2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tc={A141EB10-B415-4A7A-82DA-FE0473DFBC67}</author>
  </authors>
  <commentList>
    <comment ref="F38" authorId="0" shapeId="0" xr:uid="{A141EB10-B415-4A7A-82DA-FE0473DFBC67}">
      <text>
        <t>[Threaded comment]
Your version of Excel allows you to read this threaded comment; however, any edits to it will get removed if the file is opened in a newer version of Excel. Learn more: https://go.microsoft.com/fwlink/?linkid=870924
Comment:
    make more of the lesson and the delivery, take the 6 week SOW out and/or the justification
Reply:
    highlight 5 aspects of your lesson plan, justify why you have done that, and a supportive reference.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9AD059-19A9-4696-B684-FD115241919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5189C194-AABB-47BD-88C8-4C6547AA4E49}"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AEDD71F7-B71A-4A20-9B1A-8DFF22BFA9E3}"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4" xr16:uid="{F6ADA72A-D777-4CED-B330-054273A241B3}"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5" xr16:uid="{4285CE1F-477B-4BD0-8310-1D9EC39B78C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6" xr16:uid="{72D9F627-1198-435E-AF64-12573A592383}" keepAlive="1" name="Query - PE_Hours" description="Connection to the 'PE_Hours' query in the workbook." type="5" refreshedVersion="8" background="1" saveData="1">
    <dbPr connection="Provider=Microsoft.Mashup.OleDb.1;Data Source=$Workbook$;Location=PE_Hours;Extended Properties=&quot;&quot;" command="SELECT * FROM [PE_Hours]"/>
  </connection>
  <connection id="7" xr16:uid="{B0DEBF6C-E4D3-448B-83DE-854446FCF56E}" keepAlive="1" name="Query - PE_Mapping" description="Connection to the 'PE_Mapping' query in the workbook." type="5" refreshedVersion="8" background="1" saveData="1">
    <dbPr connection="Provider=Microsoft.Mashup.OleDb.1;Data Source=$Workbook$;Location=PE_Mapping;Extended Properties=&quot;&quot;" command="SELECT * FROM [PE_Mapping]"/>
  </connection>
  <connection id="8" xr16:uid="{420F8BF1-6BD2-4894-A2D0-24019E0889A2}" keepAlive="1" name="Query - PE_Meta" description="Connection to the 'PE_Meta' query in the workbook." type="5" refreshedVersion="8" background="1" saveData="1">
    <dbPr connection="Provider=Microsoft.Mashup.OleDb.1;Data Source=$Workbook$;Location=PE_Meta;Extended Properties=&quot;&quot;" command="SELECT * FROM [PE_Meta]"/>
  </connection>
  <connection id="9" xr16:uid="{B2D5060D-B059-4283-8724-772DFE871FF8}" keepAlive="1" name="Query - RegisterBlocks" description="Connection to the 'RegisterBlocks' query in the workbook." type="5" refreshedVersion="0" background="1" saveData="1">
    <dbPr connection="Provider=Microsoft.Mashup.OleDb.1;Data Source=$Workbook$;Location=RegisterBlocks;Extended Properties=&quot;&quot;" command="SELECT * FROM [RegisterBlocks]"/>
  </connection>
  <connection id="10" xr16:uid="{AFFCE4D6-0861-4AE2-B779-1AD319840322}" keepAlive="1" name="Query - RelevantItems" description="Connection to the 'RelevantItems' query in the workbook." type="5" refreshedVersion="0" background="1" saveData="1">
    <dbPr connection="Provider=Microsoft.Mashup.OleDb.1;Data Source=$Workbook$;Location=RelevantItems;Extended Properties=&quot;&quot;" command="SELECT * FROM [RelevantItems]"/>
  </connection>
  <connection id="11" xr16:uid="{A3BDCD4C-9B43-45E3-92F8-FCEADB21C920}"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12" xr16:uid="{673E4C4D-78EF-4B9B-926F-BE9858CD1D9E}"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13" xr16:uid="{7D1ED245-AA61-4A5D-8DD9-D064915EBE04}"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<sst xmlns="http://schemas.openxmlformats.org/spreadsheetml/2006/main" count="1768" uniqueCount="413">
  <si>
    <t>Module Information</t>
  </si>
  <si>
    <t>Module Data</t>
  </si>
  <si>
    <t>Details</t>
  </si>
  <si>
    <t>Aims</t>
  </si>
  <si>
    <t>Module Code</t>
  </si>
  <si>
    <t>4201SPS</t>
  </si>
  <si>
    <t>Module Title</t>
  </si>
  <si>
    <t xml:space="preserve">Professional Practice in Physical Education </t>
  </si>
  <si>
    <t>This module aims to develop students' understanding of the learning experiences that influence professional development within physical education (PE).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Opportunities within the module to plan, deliver, evaluate, and reflect upon PE sessions with primary school-aged children will encourage students to consider how these experiences influence their developing approaches to teaching and learning in PE.</t>
  </si>
  <si>
    <t>Credits</t>
  </si>
  <si>
    <t>Semester</t>
  </si>
  <si>
    <t>Outline Syllabus</t>
  </si>
  <si>
    <t>Level</t>
  </si>
  <si>
    <t>Theme 1: Introduction to OST</t>
  </si>
  <si>
    <t>Module Leader</t>
  </si>
  <si>
    <t>Ceri Magill</t>
  </si>
  <si>
    <t xml:space="preserve">Theme 2: Planning for Teaching </t>
  </si>
  <si>
    <t>Module Type</t>
  </si>
  <si>
    <t>Prof Practice Strand</t>
  </si>
  <si>
    <t>Programme(s)</t>
  </si>
  <si>
    <t>Physical Education</t>
  </si>
  <si>
    <t>Module Overview</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</si>
  <si>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</si>
  <si>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Contact Hours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</si>
  <si>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</si>
  <si>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Component</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</si>
  <si>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</si>
  <si>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Lecture</t>
  </si>
  <si>
    <t>Seminar</t>
  </si>
  <si>
    <t>Practical</t>
  </si>
  <si>
    <t>Workshop</t>
  </si>
  <si>
    <t>Additional Information/Notes</t>
  </si>
  <si>
    <t>Online</t>
  </si>
  <si>
    <t xml:space="preserve">CIMSPA Mapped </t>
  </si>
  <si>
    <t>Total</t>
  </si>
  <si>
    <t>Learning Outcomes</t>
  </si>
  <si>
    <t>After completing the module the student should be able to:</t>
  </si>
  <si>
    <t>LO Number</t>
  </si>
  <si>
    <t>LO Description</t>
  </si>
  <si>
    <t>LO1</t>
  </si>
  <si>
    <t xml:space="preserve">Identify the key contextual experiences that influence occupational socialisation during the acculturation phase of PE teacher socialisation </t>
  </si>
  <si>
    <t>LO2</t>
  </si>
  <si>
    <t>Recognise personal and professional strengths and areas for development relevant to professional practice within PE</t>
  </si>
  <si>
    <t>LO3</t>
  </si>
  <si>
    <t>Plan, deliver and evlauate a range of high quality practical activities for primary school aged pupils</t>
  </si>
  <si>
    <t>LO4</t>
  </si>
  <si>
    <t>LO5</t>
  </si>
  <si>
    <t>Assessment</t>
  </si>
  <si>
    <t>Assessment No</t>
  </si>
  <si>
    <t>Assessment Type</t>
  </si>
  <si>
    <t>Assessment Specific</t>
  </si>
  <si>
    <t>Assessment Description</t>
  </si>
  <si>
    <t>Weighting</t>
  </si>
  <si>
    <t>Due Week</t>
  </si>
  <si>
    <t>A1</t>
  </si>
  <si>
    <t>Report</t>
  </si>
  <si>
    <t>Reflection</t>
  </si>
  <si>
    <t>Report split into 2 parts (Relfection essay and lesson plans/evaluations)</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</si>
  <si>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</si>
  <si>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</si>
  <si>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</si>
  <si>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</si>
  <si>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</si>
  <si>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</si>
  <si>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</si>
  <si>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</si>
  <si>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</si>
  <si>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</si>
  <si>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</si>
  <si>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</si>
  <si>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</si>
  <si>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</si>
  <si>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</si>
  <si>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</si>
  <si>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</si>
  <si>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</si>
  <si>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</si>
  <si>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</si>
  <si>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</si>
  <si>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 xml:space="preserve">Intro to module </t>
  </si>
  <si>
    <t>LTA Primary Teacher Award</t>
  </si>
  <si>
    <t xml:space="preserve">Lecture / Practical </t>
  </si>
  <si>
    <t>Occupational socialisation. Focus - PE learning journey. Where am I at now and why?</t>
  </si>
  <si>
    <t xml:space="preserve">Creating an effective practical learning environment </t>
  </si>
  <si>
    <t xml:space="preserve">Occupational socialisation. Focus-role model contextual influences on OST  </t>
  </si>
  <si>
    <t xml:space="preserve">Occupational socialisation. Focus-professional learning community influences on OST  </t>
  </si>
  <si>
    <t>Safeguarding in teaching/coaching award</t>
  </si>
  <si>
    <t xml:space="preserve">Lesson planning and creating an effective learning environment </t>
  </si>
  <si>
    <t>Planning for PE curriculum delivery (Key Stages 1 – 2)</t>
  </si>
  <si>
    <t>Lecture/Workshop</t>
  </si>
  <si>
    <t xml:space="preserve">Primary Delivery </t>
  </si>
  <si>
    <t>Delivery Evaluation / reflection</t>
  </si>
  <si>
    <t>Practical/Workshop</t>
  </si>
  <si>
    <t xml:space="preserve">Primary Delviery </t>
  </si>
  <si>
    <t>Professional development review</t>
  </si>
  <si>
    <t xml:space="preserve">Skills audit and essay writing </t>
  </si>
  <si>
    <t xml:space="preserve">Workshop </t>
  </si>
  <si>
    <t>4202SPS</t>
  </si>
  <si>
    <t>Learning in PE and Sport Contexts</t>
  </si>
  <si>
    <t>5201SPS</t>
  </si>
  <si>
    <t>Professional Practice in PE 2</t>
  </si>
  <si>
    <t>This module aims to develop students’ understanding of the personal and professional skills required for teaching and learning within physical education (PE). Building upon the development of subject knowledge and understanding of occupational socialisation at Level 4, students will explore the professionalisation phase of occupational socialisation through relevant theoretical and practical experiences. These experiences include a 10-day work-based placement, engagement in outdoor and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activities, and reflective learning.</t>
  </si>
  <si>
    <t xml:space="preserve">Theme 1: Occupational socialisation and the professionalisation phase of teacher socialisation in PE </t>
  </si>
  <si>
    <t>Theme 2: Knowledge and understanding of the PE National Curriulum through WBL and OAA (Key stages 1 - 4)</t>
  </si>
  <si>
    <t>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</si>
  <si>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</si>
  <si>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</si>
  <si>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</si>
  <si>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Presentation</t>
  </si>
  <si>
    <t>Individual Presentation</t>
  </si>
  <si>
    <t xml:space="preserve">Personal reflection &amp; WBL </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</si>
  <si>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</si>
  <si>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</si>
  <si>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</si>
  <si>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t>
  </si>
  <si>
    <t xml:space="preserve">OAA Field Trip </t>
  </si>
  <si>
    <t>Practical OAA delivery to school aged pupils</t>
  </si>
  <si>
    <t>Evaluating the influence of professional practice on PE teaching efficacy</t>
  </si>
  <si>
    <t>Review of placement &amp; Assessment Prep</t>
  </si>
  <si>
    <t>5202SPS</t>
  </si>
  <si>
    <t>Learning in PE and Sport Contexts 2</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</si>
  <si>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</si>
  <si>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</si>
  <si>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</si>
  <si>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The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</si>
  <si>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</si>
  <si>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</si>
  <si>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</si>
  <si>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t>CIMPSA mapped.</t>
  </si>
  <si>
    <t>Develop informed teaching and learning stratagies within a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</si>
  <si>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</si>
  <si>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</si>
  <si>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</si>
  <si>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</si>
  <si>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porfolio containing a year long curriuum plan and academic justification of planning</t>
  </si>
  <si>
    <t>Understanding and use of research</t>
  </si>
  <si>
    <t>Evidne-based practice</t>
  </si>
  <si>
    <t>Self-evaluation and professional development</t>
  </si>
  <si>
    <t>Self-awareness</t>
  </si>
  <si>
    <t>Lifelong learning</t>
  </si>
  <si>
    <t>Interpesronal communication</t>
  </si>
  <si>
    <t>Problem solving and impact</t>
  </si>
  <si>
    <t>Evidence-based decision making</t>
  </si>
  <si>
    <t>Understanding the delivery environment</t>
  </si>
  <si>
    <t>Policy interpretation</t>
  </si>
  <si>
    <t>Professional awareness</t>
  </si>
  <si>
    <t>Professional relationships and behaviours</t>
  </si>
  <si>
    <t>Teamwork</t>
  </si>
  <si>
    <t>Ethical practice</t>
  </si>
  <si>
    <t>Professionalism</t>
  </si>
  <si>
    <t>Cultural awareness and competence</t>
  </si>
  <si>
    <t>Respect</t>
  </si>
  <si>
    <t>Contextual application</t>
  </si>
  <si>
    <t>Professional judgement</t>
  </si>
  <si>
    <t>Adaptability</t>
  </si>
  <si>
    <t>Risk assessment</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</si>
  <si>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</si>
  <si>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</si>
  <si>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</si>
  <si>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</si>
  <si>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</si>
  <si>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</si>
  <si>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</si>
  <si>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</si>
  <si>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</si>
  <si>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</si>
  <si>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</si>
  <si>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</si>
  <si>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Literature searching</t>
  </si>
  <si>
    <t>Critical appraisal</t>
  </si>
  <si>
    <t>Reflective practice</t>
  </si>
  <si>
    <t>Introduction to the module and lesson planning</t>
  </si>
  <si>
    <t>Using the NCPE to create a coherant aim, objective, outcome, and warm up</t>
  </si>
  <si>
    <t>Lecture and practical</t>
  </si>
  <si>
    <t>Creative PE</t>
  </si>
  <si>
    <t>Divergent movement and creative games</t>
  </si>
  <si>
    <t>Student Delivery 1</t>
  </si>
  <si>
    <t>Adaptive practice and SEND inclusion</t>
  </si>
  <si>
    <t>Seen disabilities examples, considerations, support stratagies</t>
  </si>
  <si>
    <t>Assessment stratagies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</si>
  <si>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</si>
  <si>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</si>
  <si>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</si>
  <si>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</si>
  <si>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</si>
  <si>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critque and how to create diversity in the NCPE and why</t>
  </si>
  <si>
    <t>Creating postive learning environments and cultrual diversity</t>
  </si>
  <si>
    <t>Types of communication and behaviour stratagies, when, where, how, and why, communication critique and develop a teacher toolbox</t>
  </si>
  <si>
    <t>Student Delivery 3</t>
  </si>
  <si>
    <t>Portfolio preparation and support</t>
  </si>
  <si>
    <t>5204SPS</t>
  </si>
  <si>
    <t>This module aims to develop an understanding of the historical and socio-political influences on the development of physical education by considering how societal, political and philosophical changes have impacted on Physical Education curriculum, pedagogy and practice.</t>
  </si>
  <si>
    <t>Physical Education in Action 1</t>
  </si>
  <si>
    <t>Reflecting on experiences of Physical Education; Historical developments in education and Physical Education; Investigation of the importance of PE; Investigation of how PE supports inclusivity for marginalised groups; Changes in Physical Education that have impacted on pedagogy and practice; What is the philosophy of PE going to look like in the future; Impact of PE on the development of young people; How schools develop their philosophy for PE; and Initiatives in PE.</t>
  </si>
  <si>
    <t>Emma Ball</t>
  </si>
  <si>
    <t>This module develops students understanding of the historical and socio-political influences on the development of physical education by considering how societal, political and philosophical changes have impacted on Physical Education curriculum, pedagogy, practice and assessment.</t>
  </si>
  <si>
    <t>K5.1.1; K5.1.2; KC1.2 </t>
  </si>
  <si>
    <t>KC1.3; KC2.1; K5.1.1; K5.1.2 </t>
  </si>
  <si>
    <t>KC1.2; K5.1.2, KC5.1.3 </t>
  </si>
  <si>
    <t>Evaluate how key historical, societal, political developments have impacted on Physical Education (curriculum planning, content, pedagogy and assessment).</t>
  </si>
  <si>
    <t>Analyse how different perspectives have impacted on the development of Physical Education and opportunities for young people.</t>
  </si>
  <si>
    <t xml:space="preserve">Reflect on and analyse the structures and agencies that contribute to the development of opportunities for young people and identify implications for the future development of PE. </t>
  </si>
  <si>
    <t>Poster Presentation</t>
  </si>
  <si>
    <t>Contextual Application</t>
  </si>
  <si>
    <t>Investigation of the importance of PE: Definitions of PE, Sport and physical activity; does the NCPE provide a curriculum for diverse populations.</t>
  </si>
  <si>
    <t>Introduction and overview of the module</t>
  </si>
  <si>
    <t>Reflecting on experiences – trends in PE and the impact of PE on young people (personal, social, physical and lifelong PA).</t>
  </si>
  <si>
    <t>Reflecting on experiences of PE</t>
  </si>
  <si>
    <t xml:space="preserve">100 years of PE, NC from 1987 Critical exploration of the 2000 curriculum – how this informs planning, delivery and assessment </t>
  </si>
  <si>
    <t>Historical development of PE 1</t>
  </si>
  <si>
    <t>Critical exploration of the 2008  curriculum – how this informs planning, delivery, and assessment</t>
  </si>
  <si>
    <t>Historical development of PE 2</t>
  </si>
  <si>
    <t>Critical exploration of the 2015 curriculum – how this informs planning, delivery, and assessment</t>
  </si>
  <si>
    <t>Historical development of PE 3</t>
  </si>
  <si>
    <t>Assessment in PE (core provision, GCSE, BTEC, Core, Cambridge Nationals and A’level PE)</t>
  </si>
  <si>
    <t>How schools develop their philosophy of PE</t>
  </si>
  <si>
    <t>The influence of government (Ofsted), organisations and associations; Initiatives in primary and secondary, PE and sport premium, NGB’s, 5 hour offer, SSP, PESSYP.</t>
  </si>
  <si>
    <t xml:space="preserve">Changes in PE that impact on pedagogy and practice </t>
  </si>
  <si>
    <t>Preparation to teach: Primary and secondary ITT (planning, preparation and delivery); Staff CPD</t>
  </si>
  <si>
    <t xml:space="preserve">Preparation to teach and teacher CPD </t>
  </si>
  <si>
    <t>Critical discussion exploring the extent to which policy, provision and practice  promotes equality, diversity and inclusion; the factors that affect this in the future.</t>
  </si>
  <si>
    <t>Future philosophies of PE</t>
  </si>
  <si>
    <t>Assessment support/Peer review of poster</t>
  </si>
  <si>
    <t>Preparation for assessment and formative feedback</t>
  </si>
  <si>
    <t>Assessment Poster</t>
  </si>
  <si>
    <t>6201SPS</t>
  </si>
  <si>
    <t>PE in Action 2</t>
  </si>
  <si>
    <t>This module aims to develop a deeper understanding of the role physical education plays in the promotion of physical literacy and lifelong physical activity, health and wellbeing of young people. Students will also critically reflect on the challenges, choices and constraints that young people experience within the complexity of the primary and secondary educational environment and wider society using a range of contextual, theoretical and philosophical perspectives. This module is a progression from the level 5 module 5204SPS Education in Physical Education 1.</t>
  </si>
  <si>
    <t xml:space="preserve">Physical activity /physical literacy levels of Young People in Physical Education;  policy/provision and practice; future recommendations for the promotion of physical activity/physical literacy in physical education.  </t>
  </si>
  <si>
    <t>This module builds on the knowledge and understanding developed in Level 5 module 5204SPS Education in Physical Education 1, enabling students to explore more critically the role of physical education in promoting physical literacy, lifelong physical activity, health and wellbeing among young people. Students will examine the challenges, choices and constraints experienced by young people within the complex primary and secondary educational environment and wider society, drawing on a range of contextual, theoretical and philosophical perspectives to critically evaluate contemporary issues and their implications for physical education practice.</t>
  </si>
  <si>
    <t>Critically examine the processes and structures in physical education that contribute to the physical, social and psychological development of young people.</t>
  </si>
  <si>
    <t>Reflect on and critically analyse policy, provision and practice of physical education and the impact this has on young people.</t>
  </si>
  <si>
    <t>Critically examine the role of physical education in promoting lifelong physical activity of young people.</t>
  </si>
  <si>
    <t>Portfolio and supporting appendix</t>
  </si>
  <si>
    <t>Translational practice</t>
  </si>
  <si>
    <t xml:space="preserve">Exploring definitions of PE, PA and Sport and how they are applied to primary/secondary NCPE. Social, physical and psychological benefits of PE. How policy, provision and practice are socio-politically constructed (critical exploration of the NCPE). </t>
  </si>
  <si>
    <t xml:space="preserve">Exploration of personal philosophies of PE and exemplification of portfolios </t>
  </si>
  <si>
    <t>Contextualised observation: critical incident analysis (Brookfields four lenses).</t>
  </si>
  <si>
    <t xml:space="preserve">Observation schedule and formulation of key lines of enquiry. Exemplification of portfolio assessment </t>
  </si>
  <si>
    <t>Critical exploration of the structures in primary and secondary education that promote physical activity in young people (policy). Statutory and non-statutory guidelines. Physical literacy and physical activity recommendations.</t>
  </si>
  <si>
    <t xml:space="preserve">Consider the tensions that exist in primary and secondary education that affect physical activity levels for young people as a result of policy. </t>
  </si>
  <si>
    <t>Critical exploration of the provision and delivery of PE in primary and secondary education and the influence on physical activity levels.</t>
  </si>
  <si>
    <t>Consider the differences in provision and how they influence the development of physical literacy, physical activity, health and well-being.</t>
  </si>
  <si>
    <t>Critical exploration of the practice and delivery of PE in primary and secondary education and the influence on physical activity levels. Examining the concept of Physical literacy and Pedagogical approaches (health-based PE; Cooperative learning; TGFU and sport education) and teaching styles.</t>
  </si>
  <si>
    <t xml:space="preserve">Critically consider the value of model-based practices in the promotion of life long physical activity.  </t>
  </si>
  <si>
    <t>Exploration of the concept of Physical Literacy (differing conceptualisations)</t>
  </si>
  <si>
    <t>Critically consider the value of Physical literacy in promoting life-long PA</t>
  </si>
  <si>
    <t xml:space="preserve">Exploring future directions of PE. </t>
  </si>
  <si>
    <t xml:space="preserve">The philosophical underpinning of physical literacy and the promotion of physical activity, health and wellbeing. Exploration and consideration of assessment practices in PE. </t>
  </si>
  <si>
    <t>Evaluation of observation findings as they relate policy, provision and practice in primary and secondary settings.</t>
  </si>
  <si>
    <t xml:space="preserve">Exploration of teachers, pupils your own the literature perspectives in relation to policy, provision and practice. </t>
  </si>
  <si>
    <t xml:space="preserve">Writing Workshop – peer review of portfolio assessment </t>
  </si>
  <si>
    <t>Construction of CI’s and appendix</t>
  </si>
  <si>
    <t>Peer assessment using assessment criteria</t>
  </si>
  <si>
    <t>Learning theory and practice 3</t>
  </si>
  <si>
    <t>6202SPS</t>
  </si>
  <si>
    <t>This module aims to develop students' practical teaching competence through the planning, delivery, and critical evaluation of physical education lessons. Students will design and deliver authentic teaching episodes, applying pedagogical knowledge, subject-specific content, and effective instructional strategies within practical settings. Through structured reflection, underpinned by Kolb's Experiential Learning Cycle, students will critically analyse their teaching decisions, evaluate their impact on learner engagement and outcomes, and identify strategies for professional improvement. The module fosters reflective practitioners who are able to integrate theory with practice, enhance their teaching effectiveness, and support the learning and development of diverse learners in physical education contexts. </t>
  </si>
  <si>
    <r>
      <rPr>
        <b/>
        <sz val="12"/>
        <color rgb="FF000000"/>
        <rFont val="Arial"/>
      </rPr>
      <t xml:space="preserve">Physical Literacy: </t>
    </r>
    <r>
      <rPr>
        <sz val="12"/>
        <color rgb="FF000000"/>
        <rFont val="Arial"/>
      </rPr>
      <t>Development of knowledge and understanding of physical literacy principles. Students will explore strategies for designing inclusive, developmentally appropriate learning experiences that enhance pupils' physical literacy across a range of practical activities.</t>
    </r>
  </si>
  <si>
    <t>Colin Lewis</t>
  </si>
  <si>
    <r>
      <t xml:space="preserve">Models-Based Practice: </t>
    </r>
    <r>
      <rPr>
        <sz val="12"/>
        <color rgb="FF000000"/>
        <rFont val="Arial"/>
        <charset val="1"/>
      </rPr>
      <t>Application of models-based practice to support effective teaching and learning in physical education. Students will explore and apply appropriate pedagogical models (e.g., NLP and Gamification) to plan, deliver and evaluate practical teaching episodes aligned with intended learning outcomes. </t>
    </r>
  </si>
  <si>
    <r>
      <rPr>
        <b/>
        <sz val="12"/>
        <color rgb="FF000000"/>
        <rFont val="Arial"/>
      </rPr>
      <t xml:space="preserve">Reflective Models: </t>
    </r>
    <r>
      <rPr>
        <sz val="12"/>
        <color rgb="FF000000"/>
        <rFont val="Arial"/>
      </rPr>
      <t>Development of reflective practice through the application of Kolb's Experiential Learning Cycle. Students will critically evaluate their planning, teaching delivery and learner outcomes to identify strengths, areas for development and evidence-informed strategies for enhancing future teaching practice.</t>
    </r>
  </si>
  <si>
    <r>
      <rPr>
        <b/>
        <sz val="12"/>
        <color rgb="FF000000"/>
        <rFont val="Arial"/>
      </rPr>
      <t xml:space="preserve">Practical Activities (Multi-sports – Targeting Primary or Secondary School Aged Children): </t>
    </r>
    <r>
      <rPr>
        <sz val="12"/>
        <color rgb="FF000000"/>
        <rFont val="Arial"/>
      </rPr>
      <t>Planning, delivery and evaluation of practical teaching episodes across a range of individual and team activities appropriate for either primary or secondary school settings. Students will develop lesson planning, organisation, communication, behaviour management, differentiation, assessment for learning and feedback skills while teaching peers acting as school-aged learners.</t>
    </r>
  </si>
  <si>
    <t>Column1</t>
  </si>
  <si>
    <t>Critically examine reflective practice through the application of Kolb's Experiential Learning Theory </t>
  </si>
  <si>
    <t>Reflect on and critically analyse models-based practices to demonstrate how these can impact students in a Physical Education setting  </t>
  </si>
  <si>
    <t>Apply established learning theories to design solutions to pedagogical cases </t>
  </si>
  <si>
    <t>Invidual Presentation</t>
  </si>
  <si>
    <t>Knowledge synthesis</t>
  </si>
  <si>
    <t>Critical thinking</t>
  </si>
  <si>
    <t>Kolb Learning Theory</t>
  </si>
  <si>
    <t>Kolb Learning Theory and Pedagogical Practice in PE </t>
  </si>
  <si>
    <t>NLP </t>
  </si>
  <si>
    <t>Gamification </t>
  </si>
  <si>
    <t>Student-led Practical Activity </t>
  </si>
  <si>
    <t>Delivery Preparation </t>
  </si>
  <si>
    <t>Directed Study Week</t>
  </si>
  <si>
    <t>Practical Delivery</t>
  </si>
  <si>
    <t>Analysis of Findings </t>
  </si>
  <si>
    <t>Write-up of Findings </t>
  </si>
  <si>
    <t>Revision / Assessment</t>
  </si>
  <si>
    <t>Applied placement/work related project</t>
  </si>
  <si>
    <t>6203SPS</t>
  </si>
  <si>
    <t>Professional Practice in PE 3</t>
  </si>
  <si>
    <t>Students will have the opportunity to plan and deliver a school or community-based project within a school or community setting. In preparation for the project, students will critically review the leadership, management, and enterprise skills required for successful delivery, while building upon their understanding of the professionalisation phase of occupational socialisation theory (OST). The project will also provide insight into the organisational phase of OST through engagement with professional and community contexts. On completion of the project, students will critically review their personal and professional development and evaluate how these experiences have influenced the development of their professional identity.</t>
  </si>
  <si>
    <t>YL</t>
  </si>
  <si>
    <t xml:space="preserve">Theme 1: Project planning, management and delivery </t>
  </si>
  <si>
    <t xml:space="preserve">Theme 2: Occupational socialisation and professional identity </t>
  </si>
  <si>
    <r>
      <rPr>
        <sz val="11"/>
        <color rgb="FF000000"/>
        <rFont val="Aptos Narrow"/>
        <scheme val="minor"/>
      </rPr>
      <t>This module combines lectures, workshops, independent study, and work-based learning experiences. Students are expected to attend timetabled sessions</t>
    </r>
    <r>
      <rPr>
        <sz val="12"/>
        <color rgb="FF000000"/>
        <rFont val="Aptos Narrow"/>
        <scheme val="minor"/>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t>
    </r>
  </si>
  <si>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</si>
  <si>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</si>
  <si>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</si>
  <si>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</si>
  <si>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(with personal relfection compnents)</t>
  </si>
  <si>
    <t xml:space="preserve">Group Presentation </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</si>
  <si>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</si>
  <si>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</si>
  <si>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</si>
  <si>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</si>
  <si>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</si>
  <si>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t>
  </si>
  <si>
    <t>Project proposal feedback and confirmation of projects</t>
  </si>
  <si>
    <t>Project provider visits. What makes a successful project</t>
  </si>
  <si>
    <t>Project &amp; assessment planning</t>
  </si>
  <si>
    <r>
      <rPr>
        <sz val="11"/>
        <color rgb="FF000000"/>
        <rFont val="Aptos Narrow"/>
        <scheme val="minor"/>
      </rPr>
      <t>Expl</t>
    </r>
    <r>
      <rPr>
        <sz val="11"/>
        <color rgb="FF000000"/>
        <rFont val="Aptos Narrow"/>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</si>
  <si>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</si>
  <si>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</si>
  <si>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</si>
  <si>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</si>
  <si>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Professional identity development in PE</t>
  </si>
  <si>
    <t>Reflecting on project experiences and future professional practice</t>
  </si>
  <si>
    <t>6096SPS</t>
  </si>
  <si>
    <t>This option module aims to provide students with the knowledge and understanding of the current practices of Physical Education and school sport within the 14-19 National Curriculum. Students will also develop a critical understanding of examinations and awards within Physical Education for 14–19-year-olds. The module will enable students to plan and deliver within a 14-19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</si>
  <si>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</si>
  <si>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KS5 Physical Education examinations and/or awards.</t>
  </si>
  <si>
    <t>Option module</t>
  </si>
  <si>
    <t>SES, SC, PE</t>
  </si>
  <si>
    <t>This module will provide you with the knowledge and understanding of the current practices of Physical Education and school sport within the 14-19 National Curriculum. During the course you will also develop a critical understanding of examinations and awards within Physical Education for 14–19-year-olds. The module will enable you to plan and deliver within a 14-19 years setting thereby providing a contextual opportunity to develop personal teaching, learning and assessment approaches in Physical Education.</t>
  </si>
  <si>
    <t>Make sure this doesn't say it is CIMSPA mapped as it is an option module</t>
  </si>
  <si>
    <t>Critically analyse the structure, content, and delivery of the secondary Physical Education curriculum and the role of the PE teacher in facilitating effective learning</t>
  </si>
  <si>
    <t>Apply and evaluate pedagogical teaching and learning stratagies within a secondary Physical Education setting</t>
  </si>
  <si>
    <t>Critically evaluate the provision and processes that underpin Physical Education for learners within the 14-19 curriculum</t>
  </si>
  <si>
    <t>Group Presentation</t>
  </si>
  <si>
    <t>Group lesson plan and delivery of lesson</t>
  </si>
  <si>
    <t>Essay</t>
  </si>
  <si>
    <t>Individual essay critically evaluating a current trend in secondary PE</t>
  </si>
  <si>
    <t>Data interpretation</t>
  </si>
  <si>
    <t>Organisational awareness</t>
  </si>
  <si>
    <t>Stakeholder awareness</t>
  </si>
  <si>
    <t>Introduction to module and secondary NCPE, Example core PE lessons</t>
  </si>
  <si>
    <t>Introduce module site, support, dictionary, overview of NCPE, developing conherancy in lessons.</t>
  </si>
  <si>
    <t>Planning for progression, Example BTEC lessons</t>
  </si>
  <si>
    <t>Recap lesson cohernacy, Using NC and specifications, Ofsted requirments,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</si>
  <si>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</si>
  <si>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</si>
  <si>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</si>
  <si>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</si>
  <si>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</si>
  <si>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</si>
  <si>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</si>
  <si>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</si>
  <si>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</si>
  <si>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</si>
  <si>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</si>
  <si>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</si>
  <si>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evalaution of assessment 2. Goal setting, Writing workshop</t>
  </si>
  <si>
    <t>Booked seminars</t>
  </si>
  <si>
    <t>Table 1</t>
  </si>
  <si>
    <t>Table 3</t>
  </si>
  <si>
    <t>Table 5</t>
  </si>
  <si>
    <t>Exam</t>
  </si>
  <si>
    <t>Lab Report</t>
  </si>
  <si>
    <t>Viva</t>
  </si>
  <si>
    <t>Dissertation</t>
  </si>
  <si>
    <t>Research Strand</t>
  </si>
  <si>
    <t>Research Project</t>
  </si>
  <si>
    <t>Category</t>
  </si>
  <si>
    <t>Skill</t>
  </si>
  <si>
    <t>Placement</t>
  </si>
  <si>
    <t>Scientific Knowledge</t>
  </si>
  <si>
    <t>Category text shown to user</t>
  </si>
  <si>
    <t>Defined Name</t>
  </si>
  <si>
    <t>Case Study</t>
  </si>
  <si>
    <t>ScientificKnowledge</t>
  </si>
  <si>
    <t>Data Analysis</t>
  </si>
  <si>
    <t>TechnicalSkills</t>
  </si>
  <si>
    <t>Video</t>
  </si>
  <si>
    <t>ApplicationofKnowledge</t>
  </si>
  <si>
    <t>Infographic</t>
  </si>
  <si>
    <t>Domian-specfic analytical skills</t>
  </si>
  <si>
    <t>UnderstandingResearch</t>
  </si>
  <si>
    <t>Evidence evaluation</t>
  </si>
  <si>
    <t>SelfEvaluation</t>
  </si>
  <si>
    <t>Football Science</t>
  </si>
  <si>
    <t>Journal</t>
  </si>
  <si>
    <t>Laboratory/clinical techniques</t>
  </si>
  <si>
    <t>MCQ Online Test</t>
  </si>
  <si>
    <t>Data collection</t>
  </si>
  <si>
    <t>ProblemSolving</t>
  </si>
  <si>
    <t>Sport and Exercise Science</t>
  </si>
  <si>
    <t>In Person Exam</t>
  </si>
  <si>
    <t>Data analysis</t>
  </si>
  <si>
    <t>Technical Skills</t>
  </si>
  <si>
    <t>MgmtSelf</t>
  </si>
  <si>
    <t>Sport Coaching</t>
  </si>
  <si>
    <t>Digital literacy</t>
  </si>
  <si>
    <t>DeliveryEnvironment</t>
  </si>
  <si>
    <t>Sport Nutrition</t>
  </si>
  <si>
    <t>ProfRelationships</t>
  </si>
  <si>
    <t>Sport Psychology</t>
  </si>
  <si>
    <t>Technical proficiency</t>
  </si>
  <si>
    <t>All Programmes</t>
  </si>
  <si>
    <t>SES and FS</t>
  </si>
  <si>
    <t>SES and SN</t>
  </si>
  <si>
    <t>SC and PE</t>
  </si>
  <si>
    <t>Application of Knowledge &amp; Skills</t>
  </si>
  <si>
    <t>Other combination</t>
  </si>
  <si>
    <t>Reserch literacy</t>
  </si>
  <si>
    <t>Research communication</t>
  </si>
  <si>
    <t>Personal development planning</t>
  </si>
  <si>
    <t>Resilience</t>
  </si>
  <si>
    <t>Initiative</t>
  </si>
  <si>
    <t>Accountability</t>
  </si>
  <si>
    <t>Written communication</t>
  </si>
  <si>
    <t>Scientific writing</t>
  </si>
  <si>
    <t>Digital communication</t>
  </si>
  <si>
    <t>Analytical thinking</t>
  </si>
  <si>
    <t>Innovation</t>
  </si>
  <si>
    <t>Evaluation of outcomes</t>
  </si>
  <si>
    <t>Coaching and mentoring</t>
  </si>
  <si>
    <t>Delegation</t>
  </si>
  <si>
    <t>Collaboration/multi-disciplinary working</t>
  </si>
  <si>
    <t>Integrity</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</si>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</sst>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charset val="1"/>
    </font>
    <font>
      <sz val="11"/>
      <color rgb="FF242424"/>
      <name val="Aptos Narrow"/>
      <charset val="1"/>
    </font>
    <font>
      <sz val="11"/>
      <color theme="1"/>
      <name val="Aptos Narrow"/>
      <scheme val="minor"/>
    </font>
    <font>
      <sz val="11"/>
      <color rgb="FF000000"/>
      <name val="Aptos Narrow"/>
      <scheme val="minor"/>
    </font>
    <font>
      <sz val="11"/>
      <color rgb="FF000000"/>
      <name val="Aptos Narrow"/>
    </font>
    <font>
      <sz val="12"/>
      <color rgb="FF000000"/>
      <name val="Aptos Narrow"/>
      <scheme val="minor"/>
    </font>
    <font>
      <sz val="13.5"/>
      <color rgb="FF000000"/>
      <name val="Aptos Narrow"/>
      <family val="2"/>
      <scheme val="minor"/>
    </font>
    <font>
      <sz val="11"/>
      <color theme="1"/>
      <name val="Arial"/>
      <family val="2"/>
    </font>
    <font>
      <sz val="11"/>
      <color rgb="FF000000"/>
      <name val="Arial"/>
      <family val="2"/>
    </font>
    <font>
      <sz val="12"/>
      <color theme="1"/>
      <name val="Arial"/>
      <family val="2"/>
    </font>
    <font>
      <b/>
      <sz val="11"/>
      <color theme="1"/>
      <name val="Arial"/>
      <family val="2"/>
    </font>
    <font>
      <sz val="12"/>
      <color theme="1"/>
      <name val="Aptos Narrow"/>
      <family val="2"/>
      <scheme val="minor"/>
    </font>
    <font>
      <sz val="11"/>
      <name val="Calibri"/>
      <family val="2"/>
    </font>
    <font>
      <sz val="11"/>
      <color rgb="FF011A42"/>
      <name val="Aptos Narrow"/>
      <family val="2"/>
      <scheme val="minor"/>
    </font>
    <font>
      <sz val="10"/>
      <color rgb="FF1F3864"/>
      <name val="Aptos Narrow"/>
      <family val="2"/>
      <scheme val="minor"/>
    </font>
    <font>
      <sz val="10"/>
      <color theme="1"/>
      <name val="Aptos Narrow"/>
      <family val="2"/>
      <scheme val="minor"/>
    </font>
    <font>
      <sz val="10"/>
      <color rgb="FF011A42"/>
      <name val="Aptos Narrow"/>
      <family val="2"/>
      <scheme val="minor"/>
    </font>
    <font>
      <sz val="11"/>
      <name val="Calibri"/>
      <charset val="1"/>
    </font>
    <font>
      <sz val="12"/>
      <color rgb="FF000000"/>
      <name val="Arial"/>
      <charset val="1"/>
    </font>
    <font>
      <sz val="12"/>
      <name val="Arial"/>
      <charset val="1"/>
    </font>
    <font>
      <b/>
      <sz val="12"/>
      <name val="Arial"/>
      <charset val="1"/>
    </font>
    <font>
      <b/>
      <sz val="12"/>
      <color rgb="FF000000"/>
      <name val="Arial"/>
      <charset val="1"/>
    </font>
    <font>
      <b/>
      <sz val="12"/>
      <color rgb="FF000000"/>
      <name val="Arial"/>
    </font>
    <font>
      <sz val="12"/>
      <color rgb="FF000000"/>
      <name val="Arial"/>
    </font>
    <font>
      <sz val="11"/>
      <name val="Aptos Narrow"/>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auto="1"/>
      </top>
      <bottom style="thin">
        <color rgb="FF000000"/>
      </bottom>
      <diagonal/>
    </border>
  </borders>
  <cellStyleXfs count="1">
    <xf numFmtId="0" fontId="0" fillId="0" borderId="0"/>
  </cellStyleXfs>
  <cellXfs count="72">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3" fillId="0" borderId="0" xfId="0" applyFont="1" applyAlignment="1" applyProtection="1">
      <alignment wrapText="1"/>
      <protection locked="0"/>
    </xf>
    <xf numFmtId="0" fontId="10" fillId="0" borderId="0" xfId="0" applyFont="1" applyProtection="1">
      <protection locked="0"/>
    </xf>
    <xf numFmtId="0" fontId="12" fillId="0" borderId="0" xfId="0" applyFont="1" applyProtection="1">
      <protection locked="0"/>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xf numFmtId="0" fontId="18" fillId="0" borderId="0" xfId="0" applyFont="1" applyAlignment="1" applyProtection="1">
      <alignment horizontal="left" vertical="center"/>
      <protection locked="0"/>
    </xf>
    <xf numFmtId="0" fontId="18" fillId="0" borderId="0" xfId="0" applyFont="1" applyAlignment="1">
      <alignment vertical="center"/>
    </xf>
    <xf numFmtId="0" fontId="18" fillId="0" borderId="0" xfId="0" applyFont="1" applyAlignment="1">
      <alignment wrapText="1"/>
    </xf>
    <xf numFmtId="0" fontId="18" fillId="0" borderId="6" xfId="0" applyFont="1" applyBorder="1" applyAlignment="1">
      <alignment vertical="center" wrapText="1"/>
    </xf>
    <xf numFmtId="0" fontId="18" fillId="0" borderId="0" xfId="0" applyFont="1" applyAlignment="1">
      <alignment vertical="center" wrapText="1"/>
    </xf>
    <xf numFmtId="0" fontId="18" fillId="0" borderId="0" xfId="0" applyFont="1" applyAlignment="1" applyProtection="1">
      <alignment horizontal="left" vertical="center" wrapText="1"/>
      <protection locked="0"/>
    </xf>
    <xf numFmtId="0" fontId="18" fillId="0" borderId="0" xfId="0" applyFont="1" applyAlignment="1">
      <alignment vertical="top" wrapText="1"/>
    </xf>
    <xf numFmtId="0" fontId="19" fillId="0" borderId="0" xfId="0" applyFont="1"/>
    <xf numFmtId="0" fontId="20" fillId="0" borderId="0" xfId="0" applyFont="1" applyAlignment="1">
      <alignment horizontal="justify" vertical="center"/>
    </xf>
    <xf numFmtId="0" fontId="21" fillId="0" borderId="0" xfId="0" applyFont="1" applyAlignment="1">
      <alignment horizontal="left" vertical="center" wrapText="1" indent="1"/>
    </xf>
    <xf numFmtId="0" fontId="22" fillId="0" borderId="0" xfId="0" applyFont="1" applyAlignment="1">
      <alignment wrapText="1"/>
    </xf>
    <xf numFmtId="0" fontId="23" fillId="0" borderId="0" xfId="0" applyFont="1" applyAlignment="1">
      <alignment wrapText="1"/>
    </xf>
    <xf numFmtId="0" fontId="23" fillId="0" borderId="0" xfId="0" applyFont="1" applyAlignment="1">
      <alignment horizontal="left" vertical="center" wrapText="1"/>
    </xf>
    <xf numFmtId="0" fontId="22" fillId="0" borderId="0" xfId="0" applyFont="1" applyAlignment="1">
      <alignment vertical="center" wrapText="1"/>
    </xf>
    <xf numFmtId="0" fontId="22" fillId="0" borderId="0" xfId="0" applyFont="1"/>
    <xf numFmtId="0" fontId="22" fillId="0" borderId="0" xfId="0" applyFont="1" applyAlignment="1">
      <alignment vertical="center"/>
    </xf>
    <xf numFmtId="0" fontId="22" fillId="0" borderId="5" xfId="0" applyFont="1" applyBorder="1" applyAlignment="1">
      <alignment vertical="center" wrapText="1"/>
    </xf>
    <xf numFmtId="0" fontId="24" fillId="0" borderId="7" xfId="0" applyFont="1" applyBorder="1" applyAlignment="1">
      <alignment wrapText="1" readingOrder="1"/>
    </xf>
    <xf numFmtId="0" fontId="24" fillId="0" borderId="8" xfId="0" applyFont="1" applyBorder="1" applyAlignment="1">
      <alignment wrapText="1" readingOrder="1"/>
    </xf>
    <xf numFmtId="0" fontId="24" fillId="0" borderId="9" xfId="0" applyFont="1" applyBorder="1" applyAlignment="1">
      <alignment wrapText="1" readingOrder="1"/>
    </xf>
    <xf numFmtId="0" fontId="25" fillId="0" borderId="0" xfId="0" applyFont="1" applyAlignment="1">
      <alignment wrapText="1"/>
    </xf>
    <xf numFmtId="0" fontId="27" fillId="0" borderId="0" xfId="0" applyFont="1" applyAlignment="1">
      <alignment wrapText="1"/>
    </xf>
    <xf numFmtId="0" fontId="26" fillId="0" borderId="0" xfId="0" applyFont="1" applyAlignment="1">
      <alignment wrapText="1"/>
    </xf>
    <xf numFmtId="0" fontId="28" fillId="0" borderId="0" xfId="0" applyFont="1"/>
    <xf numFmtId="0" fontId="28" fillId="0" borderId="0" xfId="0" applyFont="1" applyAlignment="1">
      <alignment wrapText="1"/>
    </xf>
    <xf numFmtId="0" fontId="29" fillId="0" borderId="0" xfId="0" applyFont="1" applyAlignment="1">
      <alignment wrapText="1"/>
    </xf>
    <xf numFmtId="0" fontId="30" fillId="0" borderId="0" xfId="0" applyFont="1" applyAlignment="1">
      <alignment wrapText="1"/>
    </xf>
    <xf numFmtId="0" fontId="10" fillId="0" borderId="0" xfId="0" applyFont="1" applyBorder="1"/>
    <xf numFmtId="0" fontId="31" fillId="0" borderId="0" xfId="0" applyFont="1" applyBorder="1" applyAlignment="1">
      <alignment wrapText="1" readingOrder="1"/>
    </xf>
    <xf numFmtId="0" fontId="9" fillId="0" borderId="0" xfId="0" applyFont="1" applyBorder="1" applyAlignment="1" applyProtection="1">
      <alignment horizontal="left" vertical="center" wrapText="1"/>
      <protection locked="0"/>
    </xf>
  </cellXfs>
  <cellStyles count="1">
    <cellStyle name="Normal" xfId="0" builtinId="0"/>
  </cellStyles>
  <dxfs count="328">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Massey, Kelly" id="{17CCD943-2F8F-49DC-A70A-25C20F374024}" userId="S::slnkmass@ljmu.ac.uk::53f7f461-b666-429c-bfcf-3118ea7aa86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autoFilter ref="C6:D14" xr:uid="{CD75D2A7-14B1-4ABD-B64D-6E875F9BC652}">
    <filterColumn colId="0" hiddenButton="1"/>
    <filterColumn colId="1" hiddenButton="1"/>
  </autoFilter>
  <tableColumns count="2">
    <tableColumn id="1" xr3:uid="{294825A0-B000-4273-A73D-4BDF1B0EEF00}" name="Module Data" dataDxfId="327"/>
    <tableColumn id="2" xr3:uid="{BFFFACD7-D0A7-40F6-BF15-469686406C3F}" name="Details" dataDxfId="32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325">
  <autoFilter ref="C28:D33" xr:uid="{22316987-6BEB-4FAF-9619-BF9BE9909CFA}">
    <filterColumn colId="0" hiddenButton="1"/>
    <filterColumn colId="1" hiddenButton="1"/>
  </autoFilter>
  <tableColumns count="2">
    <tableColumn id="1" xr3:uid="{EB0958A2-9E66-44D9-A8DF-610B48FE0AC6}" name="LO Number" dataDxfId="324"/>
    <tableColumn id="2" xr3:uid="{0F368925-4523-471B-A68D-184E05AABCF7}" name="LO Description" dataDxfId="3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32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21"/>
    <tableColumn id="2" xr3:uid="{1FA5C130-1C0E-45D6-8735-EA79A0166F2D}" name="Assessment Type" dataDxfId="320"/>
    <tableColumn id="7" xr3:uid="{34024CC2-5A32-45FD-95BD-978953E7F41B}" name="Assessment Specific" dataDxfId="319"/>
    <tableColumn id="3" xr3:uid="{5DA2B338-CCFE-4568-ACFD-CC8F0B883170}" name="Assessment Description" dataDxfId="318"/>
    <tableColumn id="4" xr3:uid="{597ADF95-B9B9-411B-8079-7F615E89550C}" name="Weighting" dataDxfId="317"/>
    <tableColumn id="5" xr3:uid="{A0D1FD19-8DF8-4595-ADE8-675937B4A7F4}" name="Due Week" dataDxfId="316"/>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15"/>
    <tableColumn id="2" xr3:uid="{633971FF-9E7F-4A44-865E-D409908313D1}" name="Week Number" dataDxfId="314"/>
    <tableColumn id="3" xr3:uid="{77413702-BFB9-4DEA-BF99-C2A188E22509}" name="Weekly Content 1" dataDxfId="313"/>
    <tableColumn id="4" xr3:uid="{DD1B7D42-32B3-4CC2-9308-AD66B052F8DB}" name="Weekly Content 2" dataDxfId="312"/>
    <tableColumn id="5" xr3:uid="{504E9A1A-C43C-49D3-BB42-E4DD5A49EFCE}" name="Weekly Content 3" dataDxfId="311"/>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autoFilter ref="C18:D24" xr:uid="{B71A3569-AA65-4A4E-98A2-885F5C38B46D}">
    <filterColumn colId="0" hiddenButton="1"/>
    <filterColumn colId="1" hiddenButton="1"/>
  </autoFilter>
  <tableColumns count="2">
    <tableColumn id="1" xr3:uid="{5D165BDB-09FC-4AAA-91DB-E67A247DFF72}" name="Component" dataDxfId="310"/>
    <tableColumn id="2" xr3:uid="{E28A3B10-E692-47D9-A3AD-18128B6A4794}" name="Contact Hours" dataDxfId="30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66" totalsRowShown="0" headerRowDxfId="308" dataDxfId="307">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06"/>
    <tableColumn id="2" xr3:uid="{A7D6827C-7020-4950-BD3E-00625169C68E}" name="LO Number" dataDxfId="305"/>
    <tableColumn id="3" xr3:uid="{1F68EB03-6C47-4955-9791-229A42D1A45A}" name="Graduate Skills Category" dataDxfId="304"/>
    <tableColumn id="4" xr3:uid="{1FD832D4-8E97-4B72-9B09-606CF407E6C7}" name="Graduate Skill" dataDxfId="30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dataDxfId="302">
  <autoFilter ref="F6:F8" xr:uid="{9552138F-2332-4BC4-A585-0E13162881A5}"/>
  <tableColumns count="1">
    <tableColumn id="1" xr3:uid="{2EE5D059-BB6B-4406-AF24-CB56C5C24856}" name="Aims" dataDxfId="301"/>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dataDxfId="300">
  <autoFilter ref="F10:F13" xr:uid="{94F18F67-3F10-4F6E-A953-4FE3399B07F2}"/>
  <tableColumns count="1">
    <tableColumn id="1" xr3:uid="{CF8ACDF4-0E48-466C-AF99-EC810B28E6AF}" name="Outline Syllabus" dataDxfId="299"/>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dataDxfId="298">
  <autoFilter ref="F15:F20" xr:uid="{1B2BCD7B-6C15-4B1C-86BC-48FF83D8F225}"/>
  <tableColumns count="1">
    <tableColumn id="1" xr3:uid="{C16E0E90-DC44-4185-AB55-C39332B32B2D}" name="Module Overview" dataDxfId="297"/>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dataDxfId="296">
  <autoFilter ref="F22:F33" xr:uid="{D5968C0A-6D7E-4221-87EE-78A85A4039B3}"/>
  <tableColumns count="1">
    <tableColumn id="1" xr3:uid="{719B4DA9-E67A-4094-A58E-921C645096BE}" name="Additional Information/Notes" dataDxfId="295"/>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B44E3F-A15B-4DAD-8C86-5AB35452BAA4}" name="4202SPS_Meta" displayName="_4202SPS_Meta" ref="C6:D14" totalsRowShown="0">
  <autoFilter ref="C6:D14" xr:uid="{CD75D2A7-14B1-4ABD-B64D-6E875F9BC652}">
    <filterColumn colId="0" hiddenButton="1"/>
    <filterColumn colId="1" hiddenButton="1"/>
  </autoFilter>
  <tableColumns count="2">
    <tableColumn id="1" xr3:uid="{911FFA90-AD93-402D-9289-7334BA9EF594}" name="Module Data" dataDxfId="294"/>
    <tableColumn id="2" xr3:uid="{76E53F7B-D239-4801-BA94-8B66C7175008}" name="Details" dataDxfId="293"/>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BC361DD-C85F-42F2-8BC2-FCB72233D984}" name="4202SPS_LO" displayName="_4202SPS_LO" ref="C28:D33" totalsRowShown="0" headerRowDxfId="292">
  <autoFilter ref="C28:D33" xr:uid="{22316987-6BEB-4FAF-9619-BF9BE9909CFA}">
    <filterColumn colId="0" hiddenButton="1"/>
    <filterColumn colId="1" hiddenButton="1"/>
  </autoFilter>
  <tableColumns count="2">
    <tableColumn id="1" xr3:uid="{342D83AF-8BC7-418D-951F-1550F71805EE}" name="LO Number" dataDxfId="291"/>
    <tableColumn id="2" xr3:uid="{D1AF704D-E5A9-4339-9026-8FEA8E839906}" name="LO Description" dataDxfId="29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511E217-22E5-4481-A9EF-707F94050718}" name="4202SPS_Assess" displayName="_4202SPS_Assess" ref="C37:H41" totalsRowShown="0" headerRowDxfId="2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2AE6406-E781-426D-96E0-445CB0CF08DF}" name="Assessment No" dataDxfId="288"/>
    <tableColumn id="2" xr3:uid="{77573BE3-600F-4B5A-B8B7-E6F9A452B869}" name="Assessment Type" dataDxfId="287"/>
    <tableColumn id="7" xr3:uid="{D48ECF21-E6DF-4D0E-8DD3-FCECA4C04F7B}" name="Assessment Specific" dataDxfId="286"/>
    <tableColumn id="3" xr3:uid="{5DB1222D-4A21-4A76-884A-C395E9425FAF}" name="Assessment Description" dataDxfId="285"/>
    <tableColumn id="4" xr3:uid="{4CC3A7D8-8707-4D85-A91A-FC21F9ED2602}" name="Weighting" dataDxfId="284"/>
    <tableColumn id="5" xr3:uid="{C2616A4D-554C-4000-B40E-D6BB0F6892DD}" name="Due Week" dataDxfId="283"/>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E860E52-BD2F-4D5F-B320-78E9B48289B6}"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C8787BC-9F93-4635-861A-169E577041AD}" name="Semester " dataDxfId="282"/>
    <tableColumn id="2" xr3:uid="{BB89A29A-6DCD-438A-A26B-39C47A944A42}" name="Week Number" dataDxfId="281"/>
    <tableColumn id="3" xr3:uid="{55EE232B-805C-4D94-85FD-D69C804FFD35}" name="Weekly Content 1" dataDxfId="280"/>
    <tableColumn id="4" xr3:uid="{1BDBF9C7-45DB-4994-BCA5-297744D3D6E0}" name="Weekly Content 2" dataDxfId="279"/>
    <tableColumn id="5" xr3:uid="{0A094E4F-FECD-4072-843D-E51184E81756}" name="Weekly Content 3" dataDxfId="27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F880A79-C1C0-41CE-9D9E-DD4BE6237C2D}" name="4202SPS_Hours" displayName="_4202SPS_Hours" ref="C18:D24" totalsRowShown="0">
  <autoFilter ref="C18:D24" xr:uid="{B71A3569-AA65-4A4E-98A2-885F5C38B46D}">
    <filterColumn colId="0" hiddenButton="1"/>
    <filterColumn colId="1" hiddenButton="1"/>
  </autoFilter>
  <tableColumns count="2">
    <tableColumn id="1" xr3:uid="{C2E8AD25-A13C-4C7C-B890-D74E61D0A1F7}" name="Component" dataDxfId="277"/>
    <tableColumn id="2" xr3:uid="{54F0ECF9-4440-4C16-A7DF-A8F060752683}" name="Contact Hours" dataDxfId="27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F531E9-9A1D-462D-AC77-E9481604B509}" name="4202SPS_Mapping" displayName="_4202SPS_Mapping" ref="C45:F66" totalsRowShown="0" headerRowDxfId="275" dataDxfId="274">
  <autoFilter ref="C45:F66" xr:uid="{E0A841BB-B6D5-4048-B5F2-18CF9F502EBA}">
    <filterColumn colId="0" hiddenButton="1"/>
    <filterColumn colId="1" hiddenButton="1"/>
    <filterColumn colId="2" hiddenButton="1"/>
    <filterColumn colId="3" hiddenButton="1"/>
  </autoFilter>
  <tableColumns count="4">
    <tableColumn id="1" xr3:uid="{9DCECA84-0A3F-48FC-BB13-DF710360F60E}" name="Assessment No" dataDxfId="273"/>
    <tableColumn id="2" xr3:uid="{9510C734-CD9E-4F01-8C22-08006A9468EC}" name="LO Number" dataDxfId="272"/>
    <tableColumn id="3" xr3:uid="{0825DDE7-83AF-4E00-91DF-BD02D41E292B}" name="Graduate Skills Category" dataDxfId="271"/>
    <tableColumn id="4" xr3:uid="{AE1371FC-6C1E-480C-AEC7-8D608F778B17}" name="Graduate Skill" dataDxfId="270"/>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CD13701-E56B-4932-8E95-E435236E6E68}" name="4202SPS_Aims" displayName="_4202SPS_Aims" ref="F6:F8" totalsRowShown="0" dataDxfId="269">
  <autoFilter ref="F6:F8" xr:uid="{9552138F-2332-4BC4-A585-0E13162881A5}"/>
  <tableColumns count="1">
    <tableColumn id="1" xr3:uid="{CBE8E11F-E549-4889-B45D-A6B4A5344A03}" name="Aims" dataDxfId="268"/>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4FAD6A-EBA0-493E-86E9-A4F53C958548}" name="4202SPS_Syllabus" displayName="_4202SPS_Syllabus" ref="F10:F13" totalsRowShown="0" dataDxfId="267">
  <autoFilter ref="F10:F13" xr:uid="{94F18F67-3F10-4F6E-A953-4FE3399B07F2}"/>
  <tableColumns count="1">
    <tableColumn id="1" xr3:uid="{1C998F2B-1C2B-45EE-B244-E920FE529A51}" name="Outline Syllabus" dataDxfId="266"/>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30E4E-8579-4FAF-80FF-74B54C976817}" name="4202SPS_Overview" displayName="_4202SPS_Overview" ref="F15:F20" totalsRowShown="0" dataDxfId="265">
  <autoFilter ref="F15:F20" xr:uid="{1B2BCD7B-6C15-4B1C-86BC-48FF83D8F225}"/>
  <tableColumns count="1">
    <tableColumn id="1" xr3:uid="{54134588-23D4-4E5C-A65A-BADFE9B0A455}" name="Module Overview" dataDxfId="264"/>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6277003-1A2D-46B4-8286-C09BBED21BFA}" name="4202SPS_Notes" displayName="_4202SPS_Notes" ref="F22:F33" totalsRowShown="0" dataDxfId="263">
  <autoFilter ref="F22:F33" xr:uid="{D5968C0A-6D7E-4221-87EE-78A85A4039B3}"/>
  <tableColumns count="1">
    <tableColumn id="1" xr3:uid="{F2780E3F-C1B9-495E-8E57-ACF21B2D9E19}" name="Additional Information/Notes" dataDxfId="262"/>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autoFilter ref="C6:D14" xr:uid="{CD75D2A7-14B1-4ABD-B64D-6E875F9BC652}">
    <filterColumn colId="0" hiddenButton="1"/>
    <filterColumn colId="1" hiddenButton="1"/>
  </autoFilter>
  <tableColumns count="2">
    <tableColumn id="1" xr3:uid="{7833E623-ED87-40CE-93D2-B78B6A7D7E94}" name="Module Data" dataDxfId="261"/>
    <tableColumn id="2" xr3:uid="{0659839B-A1DA-4204-9267-1A4CC295A6EF}" name="Details" dataDxfId="26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259">
  <autoFilter ref="C28:D33" xr:uid="{22316987-6BEB-4FAF-9619-BF9BE9909CFA}">
    <filterColumn colId="0" hiddenButton="1"/>
    <filterColumn colId="1" hiddenButton="1"/>
  </autoFilter>
  <tableColumns count="2">
    <tableColumn id="1" xr3:uid="{FEDC5FCD-23F6-4532-A565-C979DFEE6452}" name="LO Number" dataDxfId="258"/>
    <tableColumn id="2" xr3:uid="{1F64A8B9-B360-490C-BD12-64A29F9CF82F}" name="LO Description" dataDxfId="25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25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55"/>
    <tableColumn id="2" xr3:uid="{0FE47FA8-B999-4405-B49D-E106E82A7509}" name="Assessment Type" dataDxfId="254"/>
    <tableColumn id="7" xr3:uid="{61D6D411-EDDD-4962-A754-A4B5EEB96263}" name="Assessment Specific" dataDxfId="253"/>
    <tableColumn id="3" xr3:uid="{1A288D47-FFDF-4BA0-94F1-9B647BE04DCC}" name="Assessment Description" dataDxfId="252"/>
    <tableColumn id="4" xr3:uid="{ED08857B-A938-490D-9B30-962DE64252AB}" name="Weighting" dataDxfId="251"/>
    <tableColumn id="5" xr3:uid="{581E13F4-4545-426B-8995-08E09758F5CB}" name="Due Week" dataDxfId="25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49"/>
    <tableColumn id="2" xr3:uid="{BED16F5A-D8C5-4300-A763-C0065F48E598}" name="Week Number" dataDxfId="248"/>
    <tableColumn id="3" xr3:uid="{1C3278D5-9F89-43C0-84A5-ACE6AE3BF8C8}" name="Weekly Content 1" dataDxfId="247"/>
    <tableColumn id="4" xr3:uid="{8ADEF497-35DC-4945-B42C-DCA4C8DB67C9}" name="Weekly Content 2" dataDxfId="246"/>
    <tableColumn id="5" xr3:uid="{E6B69E39-A78E-4994-8E8F-40C76F0002A1}" name="Weekly Content 3" dataDxfId="245"/>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autoFilter ref="C18:D24" xr:uid="{B71A3569-AA65-4A4E-98A2-885F5C38B46D}">
    <filterColumn colId="0" hiddenButton="1"/>
    <filterColumn colId="1" hiddenButton="1"/>
  </autoFilter>
  <tableColumns count="2">
    <tableColumn id="1" xr3:uid="{2FFE33E1-E3D8-499A-B70C-70494FCFC11F}" name="Component" dataDxfId="244"/>
    <tableColumn id="2" xr3:uid="{D8D74B7C-DED1-4107-9D9B-A69709137AF1}" name="Contact Hours" dataDxfId="24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66" totalsRowShown="0" headerRowDxfId="242" dataDxfId="241">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40"/>
    <tableColumn id="2" xr3:uid="{3DE98FE2-3138-46D6-BD99-F2FB47042775}" name="LO Number" dataDxfId="239"/>
    <tableColumn id="3" xr3:uid="{810A03D8-C153-4962-9C3C-D761D27C4A3F}" name="Graduate Skills Category" dataDxfId="238"/>
    <tableColumn id="4" xr3:uid="{C3B0D1F6-1274-4ED1-9705-01F40BB1E2F2}" name="Graduate Skill" dataDxfId="237"/>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dataDxfId="236">
  <autoFilter ref="F6:F8" xr:uid="{9552138F-2332-4BC4-A585-0E13162881A5}"/>
  <tableColumns count="1">
    <tableColumn id="1" xr3:uid="{C445F0C7-61B3-46CB-A56F-67D79AE54D5C}" name="Aims" dataDxfId="235"/>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dataDxfId="234">
  <autoFilter ref="F10:F13" xr:uid="{94F18F67-3F10-4F6E-A953-4FE3399B07F2}"/>
  <tableColumns count="1">
    <tableColumn id="1" xr3:uid="{CAABEA9D-6FBF-459A-AD97-585A17318A01}" name="Outline Syllabus" dataDxfId="233"/>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dataDxfId="232">
  <autoFilter ref="F15:F20" xr:uid="{1B2BCD7B-6C15-4B1C-86BC-48FF83D8F225}"/>
  <tableColumns count="1">
    <tableColumn id="1" xr3:uid="{A14625FC-0807-41B3-BEF3-09E7E979EFED}" name="Module Overview" dataDxfId="23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dataDxfId="230">
  <autoFilter ref="F22:F33" xr:uid="{D5968C0A-6D7E-4221-87EE-78A85A4039B3}"/>
  <tableColumns count="1">
    <tableColumn id="1" xr3:uid="{0F69CA79-BA33-4E25-8FA9-233F7FC95036}" name="Additional Information/Notes" dataDxfId="229"/>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24DE4E-04E7-4530-80BA-393719B9E8DA}" name="5202SPS_Meta" displayName="_5202SPS_Meta" ref="C6:D14" totalsRowShown="0">
  <autoFilter ref="C6:D14" xr:uid="{CD75D2A7-14B1-4ABD-B64D-6E875F9BC652}">
    <filterColumn colId="0" hiddenButton="1"/>
    <filterColumn colId="1" hiddenButton="1"/>
  </autoFilter>
  <tableColumns count="2">
    <tableColumn id="1" xr3:uid="{A658ED90-FE8F-471A-B19F-F464DA5F581E}" name="Module Data" dataDxfId="228"/>
    <tableColumn id="2" xr3:uid="{31333EF3-B6A8-4228-8098-303F8A7820F5}" name="Details" dataDxfId="22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7DF9277-21CB-4F3D-9700-0CFFA76E33BD}" name="5202SPS_LO" displayName="_5202SPS_LO" ref="C28:D33" totalsRowShown="0" headerRowDxfId="226">
  <autoFilter ref="C28:D33" xr:uid="{22316987-6BEB-4FAF-9619-BF9BE9909CFA}">
    <filterColumn colId="0" hiddenButton="1"/>
    <filterColumn colId="1" hiddenButton="1"/>
  </autoFilter>
  <tableColumns count="2">
    <tableColumn id="1" xr3:uid="{6214D75F-F769-4896-BA98-29A139F86CA1}" name="LO Number" dataDxfId="225"/>
    <tableColumn id="2" xr3:uid="{3FAA4A33-3105-426F-AD36-B25712025C90}" name="LO Description" dataDxfId="22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B2BBBF-3351-467C-85A7-F476B65CD5D9}" name="5202SPS_Assess" displayName="_5202SPS_Assess" ref="C37:H41" totalsRowShown="0" headerRowDxfId="22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5CA15E4-B948-4870-8CEA-A748A19B06FB}" name="Assessment No" dataDxfId="222"/>
    <tableColumn id="2" xr3:uid="{785DD684-AA6A-490B-89D1-9B14B151E551}" name="Assessment Type" dataDxfId="221"/>
    <tableColumn id="7" xr3:uid="{F7F1BEAE-AB5E-40D3-8100-10255286748B}" name="Assessment Specific" dataDxfId="220"/>
    <tableColumn id="3" xr3:uid="{45595B9B-093E-4051-8EBB-4786109E1BE3}" name="Assessment Description" dataDxfId="219"/>
    <tableColumn id="4" xr3:uid="{CFDB4067-4FEB-4115-9951-9BCB524DE395}" name="Weighting" dataDxfId="218"/>
    <tableColumn id="5" xr3:uid="{E7A5582A-EB1E-4298-AE79-2814AAE06317}" name="Due Week" dataDxfId="217"/>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50FAA42-C22A-4BC1-888D-C0959ACF16F9}" name="5202SPS_Weekly" displayName="_5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CA1F739-1E85-4CF6-BEFC-33966FA8092C}" name="Semester " dataDxfId="216"/>
    <tableColumn id="2" xr3:uid="{A61C95EC-D4C3-4705-BAA9-1B676BFF9E5B}" name="Week Number" dataDxfId="215"/>
    <tableColumn id="3" xr3:uid="{7E4155D3-53EB-4546-9A42-E09B5F11DCD0}" name="Weekly Content 1" dataDxfId="214"/>
    <tableColumn id="4" xr3:uid="{E2DBC395-2FE3-4076-8A2D-DF134B4166FE}" name="Weekly Content 2" dataDxfId="213"/>
    <tableColumn id="5" xr3:uid="{B1A068F5-3594-4AB6-9834-185DC2BBB6FB}" name="Weekly Content 3" dataDxfId="212"/>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0786508-D42B-46BD-AE9B-41E8B847E1A8}" name="5202SPS_Hours" displayName="_5202SPS_Hours" ref="C18:D24" totalsRowShown="0">
  <autoFilter ref="C18:D24" xr:uid="{B71A3569-AA65-4A4E-98A2-885F5C38B46D}">
    <filterColumn colId="0" hiddenButton="1"/>
    <filterColumn colId="1" hiddenButton="1"/>
  </autoFilter>
  <tableColumns count="2">
    <tableColumn id="1" xr3:uid="{81EA3FC8-B8E1-41D4-AB7F-DE462B6AFAE3}" name="Component" dataDxfId="211"/>
    <tableColumn id="2" xr3:uid="{4539851E-8F2F-422F-92BC-8698D185409E}" name="Contact Hours" dataDxfId="210"/>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215EA3F-5A92-4E57-932D-71B388A65378}" name="5202SPS_Mapping" displayName="_5202SPS_Mapping" ref="C45:F66" totalsRowShown="0" headerRowDxfId="209" dataDxfId="208">
  <autoFilter ref="C45:F66" xr:uid="{E0A841BB-B6D5-4048-B5F2-18CF9F502EBA}">
    <filterColumn colId="0" hiddenButton="1"/>
    <filterColumn colId="1" hiddenButton="1"/>
    <filterColumn colId="2" hiddenButton="1"/>
    <filterColumn colId="3" hiddenButton="1"/>
  </autoFilter>
  <tableColumns count="4">
    <tableColumn id="1" xr3:uid="{13381336-439A-40A8-8F28-FB36955ABDED}" name="Assessment No" dataDxfId="207"/>
    <tableColumn id="2" xr3:uid="{D9ED1E50-9FD8-4788-958A-C679213C852E}" name="LO Number" dataDxfId="206"/>
    <tableColumn id="3" xr3:uid="{B98B6767-B4DE-41DB-89EA-CDF9FFFAEEB7}" name="Graduate Skills Category" dataDxfId="205"/>
    <tableColumn id="4" xr3:uid="{E9359339-CED0-4A6E-8306-C3245DAC8E5B}" name="Graduate Skill" dataDxfId="204"/>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0741FBF-D6E3-4D14-84A7-D74E3829E532}" name="5202SPS_Aims" displayName="_5202SPS_Aims" ref="F6:F8" totalsRowShown="0" dataDxfId="203">
  <autoFilter ref="F6:F8" xr:uid="{9552138F-2332-4BC4-A585-0E13162881A5}"/>
  <tableColumns count="1">
    <tableColumn id="1" xr3:uid="{B1F55A27-3A3C-4A5E-979A-2E3C14A5EA8D}" name="Aims" dataDxfId="20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78FBCA9-3F76-422C-AC68-C9CB456E28D4}" name="5202SPS_Syllabus" displayName="_5202SPS_Syllabus" ref="F10:F13" totalsRowShown="0" dataDxfId="201">
  <autoFilter ref="F10:F13" xr:uid="{94F18F67-3F10-4F6E-A953-4FE3399B07F2}"/>
  <tableColumns count="1">
    <tableColumn id="1" xr3:uid="{6A7652B2-077D-48F9-8B5D-0B283C72D5FE}" name="Outline Syllabus" dataDxfId="20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7B1C7B4-C8FF-4C41-8EF0-670AA1E6505E}" name="5202SPS_Overview" displayName="_5202SPS_Overview" ref="F15:F20" totalsRowShown="0" dataDxfId="199">
  <autoFilter ref="F15:F20" xr:uid="{1B2BCD7B-6C15-4B1C-86BC-48FF83D8F225}"/>
  <tableColumns count="1">
    <tableColumn id="1" xr3:uid="{6CEF3799-990F-40C3-AB6B-C5CD918F7203}" name="Module Overview" dataDxfId="19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E75835D-FE7B-4104-8CD6-92BB0F4256B4}" name="5202SPS_Notes" displayName="_5202SPS_Notes" ref="F22:F33" totalsRowShown="0" dataDxfId="197">
  <autoFilter ref="F22:F33" xr:uid="{D5968C0A-6D7E-4221-87EE-78A85A4039B3}"/>
  <tableColumns count="1">
    <tableColumn id="1" xr3:uid="{5D7EA399-A29E-4BC2-AA56-BF3C659E9128}" name="Additional Information/Notes" dataDxfId="19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autoFilter ref="C6:D14" xr:uid="{CD75D2A7-14B1-4ABD-B64D-6E875F9BC652}">
    <filterColumn colId="0" hiddenButton="1"/>
    <filterColumn colId="1" hiddenButton="1"/>
  </autoFilter>
  <tableColumns count="2">
    <tableColumn id="1" xr3:uid="{7B568BCE-928C-447D-BD05-0832B97C0D72}" name="Module Data" dataDxfId="195"/>
    <tableColumn id="2" xr3:uid="{706D7CC6-0EB1-4219-8291-567821A0A5B8}" name="Details" dataDxfId="194"/>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193">
  <autoFilter ref="C28:D33" xr:uid="{22316987-6BEB-4FAF-9619-BF9BE9909CFA}">
    <filterColumn colId="0" hiddenButton="1"/>
    <filterColumn colId="1" hiddenButton="1"/>
  </autoFilter>
  <tableColumns count="2">
    <tableColumn id="1" xr3:uid="{C19B4674-B83E-4A42-A7E5-5468C8752F20}" name="LO Number" dataDxfId="192"/>
    <tableColumn id="2" xr3:uid="{78F135DA-0213-417E-88FD-2F76325B6D58}" name="LO Description" dataDxfId="191"/>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190">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89"/>
    <tableColumn id="2" xr3:uid="{43E55016-0B24-4AE6-8341-2CF6FE45EFE0}" name="Assessment Type" dataDxfId="188"/>
    <tableColumn id="7" xr3:uid="{74FB69C4-57FE-4D4F-92C7-425CCB32340D}" name="Assessment Specific" dataDxfId="187"/>
    <tableColumn id="3" xr3:uid="{F392CA10-65BB-49CE-8FEA-065DB3B1250A}" name="Assessment Description" dataDxfId="186"/>
    <tableColumn id="4" xr3:uid="{63105FFB-71CB-4889-BE3D-BA168F2B1D15}" name="Weighting" dataDxfId="185"/>
    <tableColumn id="5" xr3:uid="{942301B1-78DA-47AC-B487-4A82010FBC22}" name="Due Week" dataDxfId="184"/>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83"/>
    <tableColumn id="2" xr3:uid="{D37085D6-4B13-4E18-BF1D-72E1D211C5E2}" name="Week Number" dataDxfId="182"/>
    <tableColumn id="3" xr3:uid="{E63B3791-EF8C-42D0-9D20-9E40C6780395}" name="Weekly Content 1" dataDxfId="181"/>
    <tableColumn id="4" xr3:uid="{B1BA8E95-AF48-472D-8022-4FFD3C39E6FD}" name="Weekly Content 2" dataDxfId="180"/>
    <tableColumn id="5" xr3:uid="{77ED77D2-DF2D-4913-862F-82B54D142645}" name="Weekly Content 3" dataDxfId="17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autoFilter ref="C18:D24" xr:uid="{B71A3569-AA65-4A4E-98A2-885F5C38B46D}">
    <filterColumn colId="0" hiddenButton="1"/>
    <filterColumn colId="1" hiddenButton="1"/>
  </autoFilter>
  <tableColumns count="2">
    <tableColumn id="1" xr3:uid="{A4027C00-55EA-4E91-A17F-FC7D936AA12D}" name="Component" dataDxfId="178"/>
    <tableColumn id="2" xr3:uid="{2B461470-C937-400F-A861-E1EF437460FC}" name="Contact Hours" dataDxfId="177"/>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15" totalsRowShown="0" headerRowDxfId="176" dataDxfId="175">
  <autoFilter ref="C43:F11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74"/>
    <tableColumn id="2" xr3:uid="{01ED9B44-AD4B-499E-8D3C-3B9247E57323}" name="LO Number" dataDxfId="173"/>
    <tableColumn id="3" xr3:uid="{D52384A9-63E3-4ABE-86FB-4619A06E02AF}" name="Graduate Skills Category" dataDxfId="172"/>
    <tableColumn id="4" xr3:uid="{B45DCF04-04F9-4B36-A81D-CEBACC18D2E8}" name="Graduate Skill" dataDxfId="17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dataDxfId="170">
  <autoFilter ref="F6:F8" xr:uid="{9552138F-2332-4BC4-A585-0E13162881A5}"/>
  <tableColumns count="1">
    <tableColumn id="1" xr3:uid="{00C11AD8-5667-494A-85B4-23C210D1B918}" name="Aims" dataDxfId="16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dataDxfId="168">
  <autoFilter ref="F10:F13" xr:uid="{94F18F67-3F10-4F6E-A953-4FE3399B07F2}"/>
  <tableColumns count="1">
    <tableColumn id="1" xr3:uid="{8917F32D-2D78-4B3C-93BA-03E82057EA4B}" name="Outline Syllabus" dataDxfId="16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dataDxfId="166">
  <autoFilter ref="F15:F20" xr:uid="{1B2BCD7B-6C15-4B1C-86BC-48FF83D8F225}"/>
  <tableColumns count="1">
    <tableColumn id="1" xr3:uid="{B53F9EDB-3125-4C5C-A219-EFA16F274EFC}" name="Module Overview" dataDxfId="16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dataDxfId="164">
  <autoFilter ref="F22:F33" xr:uid="{D5968C0A-6D7E-4221-87EE-78A85A4039B3}"/>
  <tableColumns count="1">
    <tableColumn id="1" xr3:uid="{2E1C0BC3-8EFB-4AA5-A23B-DEAB35C7DEA7}" name="Additional Information/Notes" dataDxfId="16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autoFilter ref="C6:D14" xr:uid="{CD75D2A7-14B1-4ABD-B64D-6E875F9BC652}">
    <filterColumn colId="0" hiddenButton="1"/>
    <filterColumn colId="1" hiddenButton="1"/>
  </autoFilter>
  <tableColumns count="2">
    <tableColumn id="1" xr3:uid="{93EF9546-B1E1-4979-B62A-B2989751477E}" name="Module Data" dataDxfId="162"/>
    <tableColumn id="2" xr3:uid="{F16B111E-BD12-4F84-B4D8-F04D20DD8DBB}" name="Details" dataDxfId="161"/>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160">
  <autoFilter ref="C28:D33" xr:uid="{22316987-6BEB-4FAF-9619-BF9BE9909CFA}">
    <filterColumn colId="0" hiddenButton="1"/>
    <filterColumn colId="1" hiddenButton="1"/>
  </autoFilter>
  <tableColumns count="2">
    <tableColumn id="1" xr3:uid="{FCFA5DC6-8913-4A82-9BE3-D7C86F47B635}" name="LO Number" dataDxfId="159"/>
    <tableColumn id="2" xr3:uid="{A26107E9-F8C3-4208-9B7A-BF4BCBEBB19A}" name="LO Description" dataDxfId="158"/>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157">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156"/>
    <tableColumn id="2" xr3:uid="{8DE04119-F3E4-453B-BC3A-854F50978501}" name="Assessment Type" dataDxfId="155"/>
    <tableColumn id="7" xr3:uid="{B50A2E80-15E7-45A7-8DBE-5B45DBA0EE03}" name="Assessment Specific" dataDxfId="154"/>
    <tableColumn id="3" xr3:uid="{E8622972-E848-4085-8006-AB9BE3F8BA26}" name="Assessment Description" dataDxfId="153"/>
    <tableColumn id="4" xr3:uid="{84212026-914D-45DF-9D5F-CED7648E8DFA}" name="Weighting" dataDxfId="152"/>
    <tableColumn id="5" xr3:uid="{2541BCB1-EF73-49CB-AF8F-0A7A159BFADC}" name="Due Week" dataDxfId="151"/>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150"/>
    <tableColumn id="2" xr3:uid="{39E374F6-8FA6-4A17-B3E5-6861B7802E23}" name="Week Number" dataDxfId="149"/>
    <tableColumn id="3" xr3:uid="{0748FD0A-D483-4674-ADF4-F590E5FF84A1}" name="Weekly Content 1" dataDxfId="148"/>
    <tableColumn id="4" xr3:uid="{1C2B781D-8D14-4BB8-A73B-EE7856019F76}" name="Weekly Content 2" dataDxfId="147"/>
    <tableColumn id="5" xr3:uid="{354C8B75-DDEF-484E-BBC8-737E4723DA95}" name="Weekly Content 3" dataDxfId="146"/>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autoFilter ref="C18:D24" xr:uid="{B71A3569-AA65-4A4E-98A2-885F5C38B46D}">
    <filterColumn colId="0" hiddenButton="1"/>
    <filterColumn colId="1" hiddenButton="1"/>
  </autoFilter>
  <tableColumns count="2">
    <tableColumn id="1" xr3:uid="{B5948EAF-8B6E-46B7-9242-EFAA9A47ED34}" name="Component" dataDxfId="145"/>
    <tableColumn id="2" xr3:uid="{CE29ACD9-237F-42F2-96D8-089595857098}" name="Contact Hours" dataDxfId="14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15" totalsRowShown="0" headerRowDxfId="143" dataDxfId="142">
  <autoFilter ref="C43:F11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141"/>
    <tableColumn id="2" xr3:uid="{A9D38D67-C61A-433B-BADC-6C3E04CDA95E}" name="LO Number" dataDxfId="140"/>
    <tableColumn id="3" xr3:uid="{FE761D65-59EA-463F-9ADA-00E8680B2AA0}" name="Graduate Skills Category" dataDxfId="139"/>
    <tableColumn id="4" xr3:uid="{07A49AC4-23E7-46A1-BB21-BF25282D94C1}" name="Graduate Skill" dataDxfId="138"/>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dataDxfId="137">
  <autoFilter ref="F6:F8" xr:uid="{9552138F-2332-4BC4-A585-0E13162881A5}"/>
  <tableColumns count="1">
    <tableColumn id="1" xr3:uid="{4403EEA5-FA6D-452B-BF1F-948A0D955BC8}" name="Aims" dataDxfId="136"/>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dataDxfId="135">
  <autoFilter ref="F10:F13" xr:uid="{94F18F67-3F10-4F6E-A953-4FE3399B07F2}"/>
  <tableColumns count="1">
    <tableColumn id="1" xr3:uid="{B9B549E3-116D-4F6F-946B-85E5C7F75D02}" name="Outline Syllabus" dataDxfId="134"/>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dataDxfId="133">
  <autoFilter ref="F15:F20" xr:uid="{1B2BCD7B-6C15-4B1C-86BC-48FF83D8F225}"/>
  <tableColumns count="1">
    <tableColumn id="1" xr3:uid="{DD8C63C2-BC98-4B9C-8D44-0683709D89CB}" name="Module Overview" dataDxfId="132"/>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dataDxfId="131">
  <autoFilter ref="F22:F33" xr:uid="{D5968C0A-6D7E-4221-87EE-78A85A4039B3}"/>
  <tableColumns count="1">
    <tableColumn id="1" xr3:uid="{C74D8DE1-229C-47CE-93E3-94E58330376F}" name="Additional Information/Notes" dataDxfId="130"/>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455856-EF9F-4920-A200-6A2E12574711}" name="_6202SPS_Meta2" displayName="_6202SPS_Meta2" ref="C6:D14" totalsRowShown="0">
  <autoFilter ref="C6:D14" xr:uid="{CD75D2A7-14B1-4ABD-B64D-6E875F9BC652}">
    <filterColumn colId="0" hiddenButton="1"/>
    <filterColumn colId="1" hiddenButton="1"/>
  </autoFilter>
  <tableColumns count="2">
    <tableColumn id="1" xr3:uid="{C739DCEA-784C-428C-B443-EBBA231263CF}" name="Module Data" dataDxfId="129"/>
    <tableColumn id="2" xr3:uid="{76CA9158-7CA1-4304-8864-D32CB8DDFDA7}" name="Details" dataDxfId="128"/>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58CE16-F236-4086-8D68-86D16539DAEA}" name="_6202SPS_LO4" displayName="_6202SPS_LO4" ref="C28:D33" totalsRowShown="0" headerRowDxfId="127">
  <autoFilter ref="C28:D33" xr:uid="{22316987-6BEB-4FAF-9619-BF9BE9909CFA}">
    <filterColumn colId="0" hiddenButton="1"/>
    <filterColumn colId="1" hiddenButton="1"/>
  </autoFilter>
  <tableColumns count="2">
    <tableColumn id="1" xr3:uid="{DD77C19D-7EB7-48DF-A545-5F9715EBF87D}" name="LO Number" dataDxfId="126"/>
    <tableColumn id="2" xr3:uid="{08D2565B-250F-49F6-B58A-899EFD81E695}" name="LO Description" dataDxfId="12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7675F8-E426-4652-AD1B-52EF438C4048}" name="_6202SPS_Assess5" displayName="_6202SPS_Assess5" ref="C37:H41" totalsRowShown="0" headerRowDxfId="1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6E8BFC0-393C-4DDB-83F8-2751A35F7077}" name="Assessment No" dataDxfId="123"/>
    <tableColumn id="2" xr3:uid="{1ABD3F92-E8B8-4880-995E-67A73479D5BD}" name="Assessment Type" dataDxfId="122"/>
    <tableColumn id="7" xr3:uid="{E1BBA87E-3AEB-4C25-8F2B-7B45178A82F4}" name="Assessment Specific" dataDxfId="121"/>
    <tableColumn id="3" xr3:uid="{CDA0AA91-3A4F-4F0F-A96F-F5F4E56EF31C}" name="Assessment Description" dataDxfId="120"/>
    <tableColumn id="4" xr3:uid="{6A4120EA-AC33-4132-9156-9E0BFEBC7151}" name="Weighting" dataDxfId="119"/>
    <tableColumn id="5" xr3:uid="{5457D41C-3B56-4CDC-B15F-3BE36BFDD610}" name="Due Week" dataDxfId="118"/>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1505FC-74CA-44F1-9162-313D8C2B1DA6}" name="_6202SPS_Weekly6" displayName="_6202SPS_Weekly6" ref="B70:F82" totalsRowShown="0">
  <autoFilter ref="B70:F82" xr:uid="{3A41AF80-1AD3-44F6-93D1-6C4A16CCF943}">
    <filterColumn colId="0" hiddenButton="1"/>
    <filterColumn colId="1" hiddenButton="1"/>
    <filterColumn colId="2" hiddenButton="1"/>
    <filterColumn colId="3" hiddenButton="1"/>
    <filterColumn colId="4" hiddenButton="1"/>
  </autoFilter>
  <tableColumns count="5">
    <tableColumn id="1" xr3:uid="{D2BA7350-11C3-4604-9F4F-9AF2C8966F05}" name="Semester " dataDxfId="117"/>
    <tableColumn id="2" xr3:uid="{A2387982-D06F-4311-A957-77C4B113DCFF}" name="Week Number" dataDxfId="116"/>
    <tableColumn id="3" xr3:uid="{74B025A2-612F-4938-B991-D72E87DEC6BF}" name="Weekly Content 1" dataDxfId="115"/>
    <tableColumn id="4" xr3:uid="{EAB76976-33AF-49B1-AD33-E9BB84B77A27}" name="Weekly Content 2" dataDxfId="114"/>
    <tableColumn id="5" xr3:uid="{49128CA0-2D2A-49E2-8674-74B14A405663}" name="Weekly Content 3" dataDxfId="113"/>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089CD-0FE9-48EE-9886-5C67B7491855}" name="_6202SPS_Hours8" displayName="_6202SPS_Hours8" ref="C18:D24" totalsRowShown="0">
  <autoFilter ref="C18:D24" xr:uid="{B71A3569-AA65-4A4E-98A2-885F5C38B46D}">
    <filterColumn colId="0" hiddenButton="1"/>
    <filterColumn colId="1" hiddenButton="1"/>
  </autoFilter>
  <tableColumns count="2">
    <tableColumn id="1" xr3:uid="{B8347C7D-7016-469A-A23E-2843B0E1F21C}" name="Component" dataDxfId="112"/>
    <tableColumn id="2" xr3:uid="{8D119159-0699-4024-820B-92950ECCC6B2}" name="Contact Hours" dataDxfId="111"/>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90CC320-13B2-4A94-946B-60E52F38932B}" name="_6202SPS_Mapping10" displayName="_6202SPS_Mapping10" ref="C45:F66" totalsRowShown="0" headerRowDxfId="110" dataDxfId="109">
  <autoFilter ref="C45:F66" xr:uid="{E0A841BB-B6D5-4048-B5F2-18CF9F502EBA}">
    <filterColumn colId="0" hiddenButton="1"/>
    <filterColumn colId="1" hiddenButton="1"/>
    <filterColumn colId="2" hiddenButton="1"/>
    <filterColumn colId="3" hiddenButton="1"/>
  </autoFilter>
  <tableColumns count="4">
    <tableColumn id="1" xr3:uid="{F19236E6-E966-45A7-83E3-849E2A2CC2C4}" name="Assessment No" dataDxfId="108"/>
    <tableColumn id="2" xr3:uid="{E2C0DB60-0CC5-4512-BDC3-B823942C6FA5}" name="LO Number" dataDxfId="107"/>
    <tableColumn id="3" xr3:uid="{59BB825A-E66C-441A-A509-67909C52F570}" name="Graduate Skills Category" dataDxfId="106"/>
    <tableColumn id="4" xr3:uid="{CBD615CC-9C69-440E-9995-E28922518B78}" name="Graduate Skill" dataDxfId="105"/>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A6C0BAD-5E99-4536-80D8-04881418A912}" name="_6202SPS_Aims11" displayName="_6202SPS_Aims11" ref="F6:F8" totalsRowShown="0" dataDxfId="104">
  <autoFilter ref="F6:F8" xr:uid="{9552138F-2332-4BC4-A585-0E13162881A5}"/>
  <tableColumns count="1">
    <tableColumn id="1" xr3:uid="{64EB1662-C55F-416B-9094-45BDCAC5F632}" name="Aims" dataDxfId="103"/>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EB3927-CDF0-4967-808F-DE29382AE7A7}" name="_6202SPS_Syllabus12" displayName="_6202SPS_Syllabus12" ref="F10:F13" totalsRowShown="0" dataDxfId="102">
  <autoFilter ref="F10:F13" xr:uid="{94F18F67-3F10-4F6E-A953-4FE3399B07F2}"/>
  <tableColumns count="1">
    <tableColumn id="1" xr3:uid="{1053B4F3-B6C3-42DF-AEA8-663637BF7528}" name="Outline Syllabus" dataDxfId="101"/>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A6B2E9-E97F-400F-BB86-030D46BB5BF0}" name="_6202SPS_Overview13" displayName="_6202SPS_Overview13" ref="F15:F20" totalsRowShown="0" dataDxfId="100">
  <autoFilter ref="F15:F20" xr:uid="{1B2BCD7B-6C15-4B1C-86BC-48FF83D8F225}"/>
  <tableColumns count="1">
    <tableColumn id="1" xr3:uid="{8D8E13F6-A907-4688-971F-935A654EFDF2}" name="Module Overview" dataDxfId="99"/>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3B3D2-8FE5-4853-8D55-64770B5B4EAD}" name="_6202SPS_Notes14" displayName="_6202SPS_Notes14" ref="F22:F33" totalsRowShown="0" dataDxfId="98">
  <autoFilter ref="F22:F33" xr:uid="{D5968C0A-6D7E-4221-87EE-78A85A4039B3}"/>
  <tableColumns count="1">
    <tableColumn id="1" xr3:uid="{C35A6B9E-114C-45D9-899D-0DFD9D577E09}" name="Additional Information/Notes" dataDxfId="97"/>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autoFilter ref="C6:D14" xr:uid="{CD75D2A7-14B1-4ABD-B64D-6E875F9BC652}">
    <filterColumn colId="0" hiddenButton="1"/>
    <filterColumn colId="1" hiddenButton="1"/>
  </autoFilter>
  <tableColumns count="2">
    <tableColumn id="1" xr3:uid="{5D38FCD1-7A3F-4025-AC69-E6A90C68A79E}" name="Module Data" dataDxfId="96"/>
    <tableColumn id="2" xr3:uid="{ACE861FD-0C1D-4D19-A0A8-AC83427FA81A}" name="Details" dataDxfId="95"/>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94">
  <autoFilter ref="C28:D33" xr:uid="{22316987-6BEB-4FAF-9619-BF9BE9909CFA}">
    <filterColumn colId="0" hiddenButton="1"/>
    <filterColumn colId="1" hiddenButton="1"/>
  </autoFilter>
  <tableColumns count="2">
    <tableColumn id="1" xr3:uid="{92FDE3DF-EAC0-4CA6-A5B4-E15BAAC4A01D}" name="LO Number" dataDxfId="93"/>
    <tableColumn id="2" xr3:uid="{A384CFCB-55B0-46B7-AF9A-FAAC6022096A}" name="LO Description" dataDxfId="92"/>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90"/>
    <tableColumn id="2" xr3:uid="{390EF809-FA62-405F-B84C-B2AD571CEBAA}" name="Assessment Type" dataDxfId="89"/>
    <tableColumn id="7" xr3:uid="{2B1618E6-AA98-4A15-AE0C-79993F1BAFB7}" name="Assessment Specific" dataDxfId="88"/>
    <tableColumn id="3" xr3:uid="{138C3352-0967-40A6-A5BE-4B32DEC01ACB}" name="Assessment Description" dataDxfId="87"/>
    <tableColumn id="4" xr3:uid="{F4B4B6BF-3460-42E3-849C-1BBE242E83C3}" name="Weighting" dataDxfId="86"/>
    <tableColumn id="5" xr3:uid="{E52307F9-F56A-42FC-9A76-6A630F2C5B71}" name="Due Week" dataDxfId="85"/>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84"/>
    <tableColumn id="2" xr3:uid="{1B7B234D-0DD9-4913-9C62-18CC4E0FD5D6}" name="Week Number" dataDxfId="83"/>
    <tableColumn id="3" xr3:uid="{FDA6287D-7D09-41DC-96F1-E9BCD4B11D2E}" name="Weekly Content 1" dataDxfId="82"/>
    <tableColumn id="4" xr3:uid="{C104D628-2E09-432B-BC7A-B7E29838D1BD}" name="Weekly Content 2" dataDxfId="81"/>
    <tableColumn id="5" xr3:uid="{6CD950CC-83A5-4FD3-93FC-B284F6F6350E}" name="Weekly Content 3" dataDxfId="80"/>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autoFilter ref="C18:D24" xr:uid="{B71A3569-AA65-4A4E-98A2-885F5C38B46D}">
    <filterColumn colId="0" hiddenButton="1"/>
    <filterColumn colId="1" hiddenButton="1"/>
  </autoFilter>
  <tableColumns count="2">
    <tableColumn id="1" xr3:uid="{27F817B7-6395-4976-9120-60D5C9775BA5}" name="Component" dataDxfId="79"/>
    <tableColumn id="2" xr3:uid="{D9B68E50-AFDD-4B94-80F2-BAB157C2FF40}" name="Contact Hours" dataDxfId="78"/>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66" totalsRowShown="0" headerRowDxfId="77" dataDxfId="76">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75"/>
    <tableColumn id="2" xr3:uid="{CF29F699-8C1A-4AC4-A563-FCBB128AC8F3}" name="LO Number" dataDxfId="74"/>
    <tableColumn id="3" xr3:uid="{B1082C18-E8C1-42F9-B74D-584EBA4A0A39}" name="Graduate Skills Category" dataDxfId="73"/>
    <tableColumn id="4" xr3:uid="{BD6D6488-ABFD-45B6-B06F-748690280986}" name="Graduate Skill" dataDxfId="72"/>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dataDxfId="71">
  <autoFilter ref="F6:F8" xr:uid="{9552138F-2332-4BC4-A585-0E13162881A5}"/>
  <tableColumns count="1">
    <tableColumn id="1" xr3:uid="{E2B338AF-53C9-469A-B45D-DF4BE4CCBDD0}" name="Aims" dataDxfId="70"/>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4" totalsRowShown="0">
  <autoFilter ref="F10:F14" xr:uid="{94F18F67-3F10-4F6E-A953-4FE3399B07F2}"/>
  <tableColumns count="1">
    <tableColumn id="1" xr3:uid="{0B585185-EFA9-44AB-A953-91DF09E1C8F4}" name="Outline Syllabus"/>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dataDxfId="69">
  <autoFilter ref="F15:F20" xr:uid="{1B2BCD7B-6C15-4B1C-86BC-48FF83D8F225}"/>
  <tableColumns count="1">
    <tableColumn id="1" xr3:uid="{8DA5C005-FC9F-4CBE-A281-B2B92A53526A}" name="Column1" dataDxfId="68"/>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dataDxfId="67">
  <autoFilter ref="F22:F33" xr:uid="{D5968C0A-6D7E-4221-87EE-78A85A4039B3}"/>
  <tableColumns count="1">
    <tableColumn id="1" xr3:uid="{D67854B5-D179-408B-A477-7F6E3033D84B}" name="Additional Information/Notes" dataDxfId="66"/>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autoFilter ref="C6:D14" xr:uid="{CD75D2A7-14B1-4ABD-B64D-6E875F9BC652}">
    <filterColumn colId="0" hiddenButton="1"/>
    <filterColumn colId="1" hiddenButton="1"/>
  </autoFilter>
  <tableColumns count="2">
    <tableColumn id="1" xr3:uid="{DC5E8FB2-F1EF-4C76-ADAD-8DF1D4236058}" name="Module Data" dataDxfId="65"/>
    <tableColumn id="2" xr3:uid="{3CEC4644-C90E-484A-BB04-BC7E2522484B}" name="Details" dataDxfId="64"/>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63">
  <autoFilter ref="C28:D33" xr:uid="{22316987-6BEB-4FAF-9619-BF9BE9909CFA}">
    <filterColumn colId="0" hiddenButton="1"/>
    <filterColumn colId="1" hiddenButton="1"/>
  </autoFilter>
  <tableColumns count="2">
    <tableColumn id="1" xr3:uid="{96E1C0A4-F310-4104-877A-16C95A9DF8F8}" name="LO Number" dataDxfId="62"/>
    <tableColumn id="2" xr3:uid="{5193B932-1BB4-4665-BB60-1094CB27D2FB}" name="LO Description" dataDxfId="6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59"/>
    <tableColumn id="2" xr3:uid="{F6CC8F23-24C9-49E1-A7E1-F0C42C5E4062}" name="Assessment Type" dataDxfId="58"/>
    <tableColumn id="7" xr3:uid="{23445359-B102-481A-9626-644EC1147971}" name="Assessment Specific" dataDxfId="57"/>
    <tableColumn id="3" xr3:uid="{09F68760-DB1D-47DA-9C3B-991E85819122}" name="Assessment Description" dataDxfId="56"/>
    <tableColumn id="4" xr3:uid="{9C4EFAF0-0549-4906-AB40-C8046612A4D0}" name="Weighting" dataDxfId="55"/>
    <tableColumn id="5" xr3:uid="{6867F2EF-8B96-4C7F-A3F0-4AD115D6B611}" name="Due Week" dataDxfId="54"/>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53"/>
    <tableColumn id="2" xr3:uid="{3DC0D0B8-ED93-4FAA-ACD1-6A257B8D7D8B}" name="Week Number" dataDxfId="52"/>
    <tableColumn id="3" xr3:uid="{396A1CD9-0EA8-4576-AC19-41A37C40C78C}" name="Weekly Content 1" dataDxfId="51"/>
    <tableColumn id="4" xr3:uid="{27E6FFD2-4BB2-4380-B643-929F8059E10C}" name="Weekly Content 2" dataDxfId="50"/>
    <tableColumn id="5" xr3:uid="{5D410880-EC3B-476E-B727-61773B3F1720}" name="Weekly Content 3" dataDxfId="49"/>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autoFilter ref="C18:D24" xr:uid="{B71A3569-AA65-4A4E-98A2-885F5C38B46D}">
    <filterColumn colId="0" hiddenButton="1"/>
    <filterColumn colId="1" hiddenButton="1"/>
  </autoFilter>
  <tableColumns count="2">
    <tableColumn id="1" xr3:uid="{50ADF208-83C1-48D5-9F5C-65E697F266B7}" name="Component" dataDxfId="48"/>
    <tableColumn id="2" xr3:uid="{1EADC3A3-1557-4323-A40A-C84AEA0F188A}" name="Contact Hours" dataDxfId="47"/>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66" totalsRowShown="0" headerRowDxfId="46" dataDxfId="45">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44"/>
    <tableColumn id="2" xr3:uid="{162D175A-F572-46B3-8399-9FF334864C28}" name="LO Number" dataDxfId="43"/>
    <tableColumn id="3" xr3:uid="{4B8F87D6-8076-4256-870F-FFB0D542729A}" name="Graduate Skills Category" dataDxfId="42"/>
    <tableColumn id="4" xr3:uid="{3DB5254F-E5B1-45EA-B3FC-772579673F08}" name="Graduate Skill" dataDxfId="41"/>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dataDxfId="40">
  <autoFilter ref="F6:F8" xr:uid="{9552138F-2332-4BC4-A585-0E13162881A5}"/>
  <tableColumns count="1">
    <tableColumn id="1" xr3:uid="{D5911F00-3A12-4884-94FA-2461F2E6A773}" name="Aims" dataDxfId="39"/>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dataDxfId="38">
  <autoFilter ref="F10:F13" xr:uid="{94F18F67-3F10-4F6E-A953-4FE3399B07F2}"/>
  <tableColumns count="1">
    <tableColumn id="1" xr3:uid="{1984609B-7A7C-44AA-A114-5466EF451351}" name="Outline Syllabus" dataDxfId="37"/>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dataDxfId="36">
  <autoFilter ref="F15:F20" xr:uid="{1B2BCD7B-6C15-4B1C-86BC-48FF83D8F225}"/>
  <tableColumns count="1">
    <tableColumn id="1" xr3:uid="{19A46962-3EFC-4EE2-ACCE-5363E30EDC4F}" name="Module Overview" dataDxfId="35"/>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dataDxfId="34">
  <autoFilter ref="F22:F33" xr:uid="{D5968C0A-6D7E-4221-87EE-78A85A4039B3}"/>
  <tableColumns count="1">
    <tableColumn id="1" xr3:uid="{EEDA3204-13C4-4B95-A550-B650C09B689D}" name="Additional Information/Notes" dataDxfId="33"/>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autoFilter ref="C6:D14" xr:uid="{CD75D2A7-14B1-4ABD-B64D-6E875F9BC652}">
    <filterColumn colId="0" hiddenButton="1"/>
    <filterColumn colId="1" hiddenButton="1"/>
  </autoFilter>
  <tableColumns count="2">
    <tableColumn id="1" xr3:uid="{644E4444-F68A-4E74-BD5D-8748CD05A7D2}" name="Module Data" dataDxfId="32"/>
    <tableColumn id="2" xr3:uid="{AF6CCCE6-633B-4669-B570-EB4F893B50C4}" name="Details" dataDxfId="31"/>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30">
  <autoFilter ref="C28:D33" xr:uid="{22316987-6BEB-4FAF-9619-BF9BE9909CFA}">
    <filterColumn colId="0" hiddenButton="1"/>
    <filterColumn colId="1" hiddenButton="1"/>
  </autoFilter>
  <tableColumns count="2">
    <tableColumn id="1" xr3:uid="{589112ED-5C99-4CD7-912A-F216AEC245F3}" name="LO Number" dataDxfId="29"/>
    <tableColumn id="2" xr3:uid="{D42319CA-BEAF-49C8-8EC7-B45F24386E7A}" name="LO Description" dataDxfId="28"/>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27">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6"/>
    <tableColumn id="2" xr3:uid="{0C168E40-BC62-40F7-8494-D9D585BBF5DD}" name="Assessment Type" dataDxfId="25"/>
    <tableColumn id="7" xr3:uid="{03042C7C-BE5A-4EDB-B18A-F162688CAFDA}" name="Assessment Specific" dataDxfId="24"/>
    <tableColumn id="3" xr3:uid="{B536E57C-91CB-491F-8850-5E1F4FFB6EC2}" name="Assessment Description" dataDxfId="23"/>
    <tableColumn id="4" xr3:uid="{CFEF4DCA-7026-4AB8-9930-965F672B21EC}" name="Weighting" dataDxfId="22"/>
    <tableColumn id="5" xr3:uid="{268A91DF-58B1-43BF-A340-0E1D33705BAA}" name="Due Week" dataDxfId="21"/>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96:F108" totalsRowShown="0">
  <autoFilter ref="B96:F10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0"/>
    <tableColumn id="2" xr3:uid="{916AD303-2708-4E40-8E0C-DE9D347BA8EA}" name="Week Number" dataDxfId="19"/>
    <tableColumn id="3" xr3:uid="{66580F8A-FF82-4503-9EBF-1B44DD45F9F5}" name="Weekly Content 1" dataDxfId="18"/>
    <tableColumn id="4" xr3:uid="{5E6D35EA-634F-45B1-8A96-068CB99E3BA7}" name="Weekly Content 2" dataDxfId="17"/>
    <tableColumn id="5" xr3:uid="{25F8B45E-A68A-40F6-AADD-D3228D0F228B}" name="Weekly Content 3" dataDxfId="16"/>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autoFilter ref="C18:D24" xr:uid="{B71A3569-AA65-4A4E-98A2-885F5C38B46D}">
    <filterColumn colId="0" hiddenButton="1"/>
    <filterColumn colId="1" hiddenButton="1"/>
  </autoFilter>
  <tableColumns count="2">
    <tableColumn id="1" xr3:uid="{E6DA5AB3-0374-477C-BB37-91CD5B04A8A7}" name="Component" dataDxfId="15"/>
    <tableColumn id="2" xr3:uid="{25171EA2-F360-4480-9A69-30F0637E5E19}" name="Contact Hours" dataDxfId="14"/>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93" totalsRowShown="0" headerRowDxfId="13" dataDxfId="12">
  <autoFilter ref="C43:F9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11"/>
    <tableColumn id="2" xr3:uid="{220CCF7F-D01D-41B9-83FA-AB3772B56C47}" name="LO Number" dataDxfId="10"/>
    <tableColumn id="3" xr3:uid="{35876AFA-8C5D-4EB6-A40B-8013521A5A47}" name="Graduate Skills Category" dataDxfId="9"/>
    <tableColumn id="4" xr3:uid="{8CC8B0ED-B11D-43C6-AB11-C69764FE383C}" name="Graduate Skill" dataDxfId="8"/>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dataDxfId="7">
  <autoFilter ref="F6:F8" xr:uid="{9552138F-2332-4BC4-A585-0E13162881A5}"/>
  <tableColumns count="1">
    <tableColumn id="1" xr3:uid="{17C9A3A3-D0C1-421C-8D52-32617D054C2E}" name="Aims" dataDxfId="6"/>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dataDxfId="5">
  <autoFilter ref="F10:F13" xr:uid="{94F18F67-3F10-4F6E-A953-4FE3399B07F2}"/>
  <tableColumns count="1">
    <tableColumn id="1" xr3:uid="{D7FF23A0-D568-4D96-9868-A6319DCE887A}" name="Outline Syllabus" dataDxfId="4"/>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dataDxfId="3">
  <autoFilter ref="F15:F20" xr:uid="{1B2BCD7B-6C15-4B1C-86BC-48FF83D8F225}"/>
  <tableColumns count="1">
    <tableColumn id="1" xr3:uid="{E558D902-00D8-4FEB-8431-38F38D3FD8C5}" name="Module Overview" dataDxfId="2"/>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dataDxfId="1">
  <autoFilter ref="F22:F33" xr:uid="{D5968C0A-6D7E-4221-87EE-78A85A4039B3}"/>
  <tableColumns count="1">
    <tableColumn id="1" xr3:uid="{C6EF2F48-EFDC-40BF-8A10-F2C80BC78705}" name="Additional Information/Notes" dataDxfId="0"/>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8" dT="2026-07-21T09:39:01.88" personId="{17CCD943-2F8F-49DC-A70A-25C20F374024}" id="{A141EB10-B415-4A7A-82DA-FE0473DFBC67}">
    <text>make more of the lesson and the delivery, take the 6 week SOW out and/or the justification</text>
  </threadedComment>
  <threadedComment ref="F38" dT="2026-07-27T13:23:37.03" personId="{17CCD943-2F8F-49DC-A70A-25C20F374024}" id="{8453B69E-A466-4F26-A41C-55D3758FAFB7}" parentId="{A141EB10-B415-4A7A-82DA-FE0473DFBC67}">
    <text>highlight 5 aspects of your lesson plan, justify why you have done that, and a supportive reference.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6.xml"/><Relationship Id="rId13" Type="http://schemas.openxmlformats.org/officeDocument/2006/relationships/comments" Target="../comments1.xml"/><Relationship Id="rId3" Type="http://schemas.openxmlformats.org/officeDocument/2006/relationships/table" Target="../tables/table91.xml"/><Relationship Id="rId7" Type="http://schemas.openxmlformats.org/officeDocument/2006/relationships/table" Target="../tables/table95.xml"/><Relationship Id="rId12" Type="http://schemas.openxmlformats.org/officeDocument/2006/relationships/table" Target="../tables/table100.xml"/><Relationship Id="rId2" Type="http://schemas.openxmlformats.org/officeDocument/2006/relationships/vmlDrawing" Target="../drawings/vmlDrawing1.vml"/><Relationship Id="rId1" Type="http://schemas.openxmlformats.org/officeDocument/2006/relationships/printerSettings" Target="../printerSettings/printerSettings10.bin"/><Relationship Id="rId6" Type="http://schemas.openxmlformats.org/officeDocument/2006/relationships/table" Target="../tables/table94.xml"/><Relationship Id="rId11" Type="http://schemas.openxmlformats.org/officeDocument/2006/relationships/table" Target="../tables/table99.xml"/><Relationship Id="rId5" Type="http://schemas.openxmlformats.org/officeDocument/2006/relationships/table" Target="../tables/table93.xml"/><Relationship Id="rId10" Type="http://schemas.openxmlformats.org/officeDocument/2006/relationships/table" Target="../tables/table98.xml"/><Relationship Id="rId4" Type="http://schemas.openxmlformats.org/officeDocument/2006/relationships/table" Target="../tables/table92.xml"/><Relationship Id="rId9" Type="http://schemas.openxmlformats.org/officeDocument/2006/relationships/table" Target="../tables/table97.xm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2.xml"/><Relationship Id="rId1" Type="http://schemas.openxmlformats.org/officeDocument/2006/relationships/table" Target="../tables/table10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H94"/>
  <sheetViews>
    <sheetView showGridLines="0" zoomScale="85" zoomScaleNormal="85" workbookViewId="0">
      <selection activeCell="D14" sqref="D1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4201SPS</v>
      </c>
      <c r="D2" s="20" t="str">
        <f>D8</f>
        <v xml:space="preserve">Professional Practice in Physical Education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ht="195">
      <c r="B8" s="2"/>
      <c r="C8" s="3" t="s">
        <v>6</v>
      </c>
      <c r="D8" s="21" t="s">
        <v>7</v>
      </c>
      <c r="E8" s="4"/>
      <c r="F8" s="31" t="s">
        <v>8</v>
      </c>
    </row>
    <row r="9" spans="2:6">
      <c r="C9" s="3" t="s">
        <v>9</v>
      </c>
      <c r="D9" s="21">
        <v>20</v>
      </c>
      <c r="E9" s="4"/>
    </row>
    <row r="10" spans="2:6">
      <c r="C10" s="3" t="s">
        <v>10</v>
      </c>
      <c r="D10" s="21">
        <v>1</v>
      </c>
      <c r="E10" s="4"/>
      <c r="F10" t="s">
        <v>11</v>
      </c>
    </row>
    <row r="11" spans="2:6">
      <c r="C11" s="3" t="s">
        <v>12</v>
      </c>
      <c r="D11" s="21">
        <v>4</v>
      </c>
      <c r="E11" s="4"/>
      <c r="F11" s="24" t="s">
        <v>13</v>
      </c>
    </row>
    <row r="12" spans="2:6">
      <c r="C12" s="3" t="s">
        <v>14</v>
      </c>
      <c r="D12" s="21" t="s">
        <v>15</v>
      </c>
      <c r="E12" s="4"/>
      <c r="F12" s="24" t="s">
        <v>16</v>
      </c>
    </row>
    <row r="13" spans="2:6">
      <c r="C13" s="3" t="s">
        <v>17</v>
      </c>
      <c r="D13" s="21" t="s">
        <v>18</v>
      </c>
      <c r="E13" s="4"/>
      <c r="F13" s="24"/>
    </row>
    <row r="14" spans="2:6">
      <c r="C14" s="3" t="s">
        <v>19</v>
      </c>
      <c r="D14" s="21" t="s">
        <v>20</v>
      </c>
      <c r="E14" s="4"/>
    </row>
    <row r="15" spans="2:6">
      <c r="C15" s="3"/>
      <c r="D15" s="4"/>
      <c r="E15" s="4"/>
      <c r="F15" t="s">
        <v>21</v>
      </c>
    </row>
    <row r="16" spans="2:6" ht="90">
      <c r="C16" s="3"/>
      <c r="D16" s="4"/>
      <c r="E16" s="4"/>
      <c r="F16" s="31" t="s">
        <v>22</v>
      </c>
    </row>
    <row r="17" spans="3:6" ht="105">
      <c r="C17" s="5" t="s">
        <v>23</v>
      </c>
      <c r="D17" s="4"/>
      <c r="E17" s="4"/>
      <c r="F17" s="31" t="s">
        <v>24</v>
      </c>
    </row>
    <row r="18" spans="3:6" ht="135">
      <c r="C18" s="3" t="s">
        <v>25</v>
      </c>
      <c r="D18" s="1" t="s">
        <v>23</v>
      </c>
      <c r="E18" s="4"/>
      <c r="F18" s="31" t="s">
        <v>26</v>
      </c>
    </row>
    <row r="19" spans="3:6">
      <c r="C19" s="3" t="s">
        <v>27</v>
      </c>
      <c r="D19" s="22">
        <v>20</v>
      </c>
      <c r="E19" s="4"/>
      <c r="F19" s="24"/>
    </row>
    <row r="20" spans="3:6">
      <c r="C20" s="3" t="s">
        <v>28</v>
      </c>
      <c r="D20" s="22"/>
      <c r="E20" s="4"/>
      <c r="F20" s="24"/>
    </row>
    <row r="21" spans="3:6">
      <c r="C21" s="3" t="s">
        <v>29</v>
      </c>
      <c r="D21" s="22">
        <v>10</v>
      </c>
      <c r="E21" s="4"/>
    </row>
    <row r="22" spans="3:6">
      <c r="C22" s="3" t="s">
        <v>30</v>
      </c>
      <c r="D22" s="22">
        <v>10</v>
      </c>
      <c r="E22" s="4"/>
      <c r="F22" t="s">
        <v>31</v>
      </c>
    </row>
    <row r="23" spans="3:6">
      <c r="C23" s="3" t="s">
        <v>32</v>
      </c>
      <c r="D23" s="22"/>
      <c r="E23" s="4"/>
      <c r="F23" s="24" t="s">
        <v>33</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21" t="s">
        <v>40</v>
      </c>
      <c r="E29" s="4"/>
      <c r="F29" s="24"/>
    </row>
    <row r="30" spans="3:6" ht="45">
      <c r="C30" s="3" t="s">
        <v>41</v>
      </c>
      <c r="D30" s="21" t="s">
        <v>42</v>
      </c>
      <c r="E30" s="4"/>
      <c r="F30" s="24"/>
    </row>
    <row r="31" spans="3:6" ht="30">
      <c r="C31" s="3" t="s">
        <v>43</v>
      </c>
      <c r="D31" s="21" t="s">
        <v>44</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ht="30">
      <c r="C38" s="3" t="s">
        <v>54</v>
      </c>
      <c r="D38" s="21" t="s">
        <v>55</v>
      </c>
      <c r="E38" s="21" t="s">
        <v>56</v>
      </c>
      <c r="F38" s="21" t="s">
        <v>57</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t="s">
        <v>79</v>
      </c>
      <c r="E71" s="21" t="s">
        <v>80</v>
      </c>
      <c r="F71" s="21" t="s">
        <v>81</v>
      </c>
    </row>
    <row r="72" spans="2:6" ht="30">
      <c r="B72" s="7">
        <v>1</v>
      </c>
      <c r="C72" s="1">
        <v>2</v>
      </c>
      <c r="D72" s="31" t="s">
        <v>82</v>
      </c>
      <c r="E72" s="21" t="s">
        <v>83</v>
      </c>
      <c r="F72" s="21" t="s">
        <v>81</v>
      </c>
    </row>
    <row r="73" spans="2:6" ht="30">
      <c r="B73" s="7">
        <v>1</v>
      </c>
      <c r="C73" s="1">
        <v>3</v>
      </c>
      <c r="D73" s="31" t="s">
        <v>84</v>
      </c>
      <c r="E73" s="21" t="s">
        <v>83</v>
      </c>
      <c r="F73" s="21" t="s">
        <v>81</v>
      </c>
    </row>
    <row r="74" spans="2:6" ht="30">
      <c r="B74" s="7">
        <v>1</v>
      </c>
      <c r="C74" s="1">
        <v>4</v>
      </c>
      <c r="D74" s="31" t="s">
        <v>85</v>
      </c>
      <c r="E74" s="30" t="s">
        <v>86</v>
      </c>
      <c r="F74" s="21" t="s">
        <v>81</v>
      </c>
    </row>
    <row r="75" spans="2:6" ht="30">
      <c r="B75" s="7">
        <v>1</v>
      </c>
      <c r="C75" s="1">
        <v>5</v>
      </c>
      <c r="D75" s="31" t="s">
        <v>87</v>
      </c>
      <c r="E75" s="31" t="s">
        <v>88</v>
      </c>
      <c r="F75" s="21" t="s">
        <v>89</v>
      </c>
    </row>
    <row r="76" spans="2:6">
      <c r="B76" s="7">
        <v>1</v>
      </c>
      <c r="C76" s="1">
        <v>6</v>
      </c>
      <c r="D76" s="21" t="s">
        <v>90</v>
      </c>
      <c r="E76" s="21" t="s">
        <v>91</v>
      </c>
      <c r="F76" s="21" t="s">
        <v>92</v>
      </c>
    </row>
    <row r="77" spans="2:6">
      <c r="B77" s="7">
        <v>1</v>
      </c>
      <c r="C77" s="1">
        <v>7</v>
      </c>
      <c r="D77" s="21"/>
      <c r="E77" s="21"/>
      <c r="F77" s="21"/>
    </row>
    <row r="78" spans="2:6">
      <c r="B78" s="7">
        <v>1</v>
      </c>
      <c r="C78" s="1">
        <v>8</v>
      </c>
      <c r="D78" s="21" t="s">
        <v>93</v>
      </c>
      <c r="E78" s="21" t="s">
        <v>91</v>
      </c>
      <c r="F78" s="21" t="s">
        <v>92</v>
      </c>
    </row>
    <row r="79" spans="2:6">
      <c r="B79" s="7">
        <v>1</v>
      </c>
      <c r="C79" s="1">
        <v>9</v>
      </c>
      <c r="D79" s="21" t="s">
        <v>90</v>
      </c>
      <c r="E79" s="21" t="s">
        <v>91</v>
      </c>
      <c r="F79" s="21" t="s">
        <v>92</v>
      </c>
    </row>
    <row r="80" spans="2:6">
      <c r="B80" s="7">
        <v>1</v>
      </c>
      <c r="C80" s="1">
        <v>10</v>
      </c>
      <c r="D80" s="30" t="s">
        <v>94</v>
      </c>
      <c r="E80" s="21" t="s">
        <v>95</v>
      </c>
      <c r="F80" s="21" t="s">
        <v>89</v>
      </c>
    </row>
    <row r="81" spans="2:6">
      <c r="B81" s="7">
        <v>1</v>
      </c>
      <c r="C81" s="1">
        <v>11</v>
      </c>
      <c r="D81" s="21" t="s">
        <v>94</v>
      </c>
      <c r="E81" s="21" t="s">
        <v>95</v>
      </c>
      <c r="F81" s="21" t="s">
        <v>89</v>
      </c>
    </row>
    <row r="82" spans="2:6">
      <c r="B82" s="7">
        <v>1</v>
      </c>
      <c r="C82" s="1">
        <v>12</v>
      </c>
      <c r="D82" s="21" t="s">
        <v>94</v>
      </c>
      <c r="E82" s="21" t="s">
        <v>95</v>
      </c>
      <c r="F82" s="21" t="s">
        <v>96</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B7E33-B46B-43E7-8792-27E7807435CC}">
  <sheetPr codeName="Sheet2"/>
  <dimension ref="B2:H94"/>
  <sheetViews>
    <sheetView showGridLines="0" topLeftCell="A12" zoomScale="85" zoomScaleNormal="85" workbookViewId="0">
      <selection activeCell="D19" sqref="D1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4202SPS</v>
      </c>
      <c r="D2" s="20" t="str">
        <f>D8</f>
        <v>Learning in PE and Sport Contexts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97</v>
      </c>
      <c r="E7" s="4"/>
      <c r="F7" s="24"/>
    </row>
    <row r="8" spans="2:6">
      <c r="B8" s="2"/>
      <c r="C8" s="3" t="s">
        <v>6</v>
      </c>
      <c r="D8" s="21" t="s">
        <v>98</v>
      </c>
      <c r="E8" s="4"/>
      <c r="F8" s="31"/>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19</v>
      </c>
      <c r="D14" s="21"/>
      <c r="E14" s="4"/>
    </row>
    <row r="15" spans="2:6">
      <c r="C15" s="3"/>
      <c r="D15" s="4"/>
      <c r="E15" s="4"/>
      <c r="F15" t="s">
        <v>21</v>
      </c>
    </row>
    <row r="16" spans="2:6">
      <c r="C16" s="3"/>
      <c r="D16" s="4"/>
      <c r="E16" s="4"/>
      <c r="F16" s="31"/>
    </row>
    <row r="17" spans="3:6" ht="18.75">
      <c r="C17" s="5" t="s">
        <v>23</v>
      </c>
      <c r="D17" s="4"/>
      <c r="E17" s="4"/>
      <c r="F17" s="31"/>
    </row>
    <row r="18" spans="3:6">
      <c r="C18" s="3" t="s">
        <v>25</v>
      </c>
      <c r="D18" s="1" t="s">
        <v>23</v>
      </c>
      <c r="E18" s="4"/>
      <c r="F18" s="31"/>
    </row>
    <row r="19" spans="3:6">
      <c r="C19" s="3" t="s">
        <v>27</v>
      </c>
      <c r="D19" s="22"/>
      <c r="E19" s="4"/>
      <c r="F19" s="24"/>
    </row>
    <row r="20" spans="3:6">
      <c r="C20" s="3" t="s">
        <v>28</v>
      </c>
      <c r="D20" s="22"/>
      <c r="E20" s="4"/>
      <c r="F20" s="24"/>
    </row>
    <row r="21" spans="3:6">
      <c r="C21" s="3" t="s">
        <v>29</v>
      </c>
      <c r="D21" s="22"/>
      <c r="E21" s="4"/>
    </row>
    <row r="22" spans="3:6">
      <c r="C22" s="3" t="s">
        <v>30</v>
      </c>
      <c r="D22" s="22"/>
      <c r="E22" s="4"/>
      <c r="F22" t="s">
        <v>31</v>
      </c>
    </row>
    <row r="23" spans="3:6">
      <c r="C23" s="3" t="s">
        <v>32</v>
      </c>
      <c r="D23" s="22"/>
      <c r="E23" s="4"/>
      <c r="F23" s="24" t="s">
        <v>33</v>
      </c>
    </row>
    <row r="24" spans="3:6">
      <c r="C24" s="3" t="s">
        <v>34</v>
      </c>
      <c r="D24" s="1">
        <f>SUM(D19:D23)</f>
        <v>0</v>
      </c>
      <c r="E24" s="4"/>
      <c r="F24" s="24"/>
    </row>
    <row r="25" spans="3:6">
      <c r="F25" s="24"/>
    </row>
    <row r="26" spans="3:6">
      <c r="F26" s="24"/>
    </row>
    <row r="27" spans="3:6" ht="18.75">
      <c r="C27" s="5" t="s">
        <v>35</v>
      </c>
      <c r="D27" s="12" t="s">
        <v>36</v>
      </c>
      <c r="F27" s="24"/>
    </row>
    <row r="28" spans="3:6">
      <c r="C28" s="3" t="s">
        <v>37</v>
      </c>
      <c r="D28" s="3" t="s">
        <v>38</v>
      </c>
      <c r="E28" s="3"/>
      <c r="F28" s="24"/>
    </row>
    <row r="29" spans="3:6">
      <c r="C29" s="3" t="s">
        <v>39</v>
      </c>
      <c r="D29" s="21"/>
      <c r="E29" s="4"/>
      <c r="F29" s="24"/>
    </row>
    <row r="30" spans="3:6">
      <c r="C30" s="3" t="s">
        <v>41</v>
      </c>
      <c r="D30" s="21"/>
      <c r="E30" s="4"/>
      <c r="F30" s="24"/>
    </row>
    <row r="31" spans="3:6">
      <c r="C31" s="3" t="s">
        <v>43</v>
      </c>
      <c r="D31" s="21"/>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55</v>
      </c>
      <c r="E38" s="21"/>
      <c r="F38" s="21"/>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c r="E48" s="24"/>
      <c r="F48" s="24"/>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21"/>
      <c r="F71" s="21"/>
    </row>
    <row r="72" spans="2:6">
      <c r="B72" s="7">
        <v>1</v>
      </c>
      <c r="C72" s="1">
        <v>2</v>
      </c>
      <c r="D72" s="31"/>
      <c r="E72" s="21"/>
      <c r="F72" s="21"/>
    </row>
    <row r="73" spans="2:6">
      <c r="B73" s="7">
        <v>1</v>
      </c>
      <c r="C73" s="1">
        <v>3</v>
      </c>
      <c r="D73" s="31"/>
      <c r="E73" s="21"/>
      <c r="F73" s="21"/>
    </row>
    <row r="74" spans="2:6">
      <c r="B74" s="7">
        <v>1</v>
      </c>
      <c r="C74" s="1">
        <v>4</v>
      </c>
      <c r="D74" s="31"/>
      <c r="E74" s="30"/>
      <c r="F74" s="21"/>
    </row>
    <row r="75" spans="2:6">
      <c r="B75" s="7">
        <v>1</v>
      </c>
      <c r="C75" s="1">
        <v>5</v>
      </c>
      <c r="D75" s="31"/>
      <c r="E75" s="3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30"/>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2F5B00A4-CC7D-44F7-8FB0-EE01560D24E8}">
      <formula1>INDIRECT(VLOOKUP($E46, SkillNameMap, 2, FALSE))</formula1>
    </dataValidation>
    <dataValidation type="list" allowBlank="1" showInputMessage="1" showErrorMessage="1" sqref="E38:E41" xr:uid="{165FB68E-8BBC-4283-8BB5-0A119354C950}">
      <formula1>INDIRECT("LISTAssess[Assessment Specific]")</formula1>
    </dataValidation>
    <dataValidation type="whole" showInputMessage="1" showErrorMessage="1" error="This is not a realistic number of contact hours please change" sqref="D19" xr:uid="{EACCC191-4EDD-408C-9C51-0D6DC78B96F9}">
      <formula1>0</formula1>
      <formula2>80</formula2>
    </dataValidation>
    <dataValidation type="whole" showInputMessage="1" showErrorMessage="1" error="This is not a realistic number of contact hours please reduce" sqref="D20:D23" xr:uid="{1D667A9D-791D-4EE7-9958-37048887D8DF}">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D14279E-5C73-4210-ACBB-72634DCA03B9}">
          <x14:formula1>
            <xm:f>LISTS!$J$7:$J$16</xm:f>
          </x14:formula1>
          <xm:sqref>E46:E66</xm:sqref>
        </x14:dataValidation>
        <x14:dataValidation type="list" allowBlank="1" showInputMessage="1" showErrorMessage="1" xr:uid="{842BEC48-0817-4B7D-B59B-6FC85AB294A9}">
          <x14:formula1>
            <xm:f>LISTS!$E$7:$E$11</xm:f>
          </x14:formula1>
          <xm:sqref>D46:D66</xm:sqref>
        </x14:dataValidation>
        <x14:dataValidation type="list" allowBlank="1" showInputMessage="1" showErrorMessage="1" xr:uid="{3D36D21E-0AFD-472A-882E-CDC3D3D31DC6}">
          <x14:formula1>
            <xm:f>LISTS!$G$7:$G$11</xm:f>
          </x14:formula1>
          <xm:sqref>D38:D42</xm:sqref>
        </x14:dataValidation>
        <x14:dataValidation type="list" allowBlank="1" showInputMessage="1" showErrorMessage="1" xr:uid="{CB3521EC-6C59-4868-8B8A-6020317EFDB5}">
          <x14:formula1>
            <xm:f>LISTS!$C$11:$C$15</xm:f>
          </x14:formula1>
          <xm:sqref>D11</xm:sqref>
        </x14:dataValidation>
        <x14:dataValidation type="list" allowBlank="1" showInputMessage="1" showErrorMessage="1" xr:uid="{AFF969B0-06F9-4086-864B-817CEB8E43D9}">
          <x14:formula1>
            <xm:f>LISTS!$C$7:$C$9</xm:f>
          </x14:formula1>
          <xm:sqref>D10</xm:sqref>
        </x14:dataValidation>
        <x14:dataValidation type="list" allowBlank="1" showInputMessage="1" showErrorMessage="1" xr:uid="{8398F5B1-D6C0-4E73-AA61-6A2C00B66B54}">
          <x14:formula1>
            <xm:f>LISTS!$C$17:$C$22</xm:f>
          </x14:formula1>
          <xm:sqref>D13</xm:sqref>
        </x14:dataValidation>
        <x14:dataValidation type="list" allowBlank="1" showInputMessage="1" showErrorMessage="1" xr:uid="{E129A817-3C65-4347-867E-6E462CD5AA6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A7" zoomScale="85" zoomScaleNormal="85" workbookViewId="0">
      <selection activeCell="F16" sqref="F16"/>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5201SPS</v>
      </c>
      <c r="D2" s="20" t="str">
        <f>D8</f>
        <v>Professional Practice in PE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99</v>
      </c>
      <c r="E7" s="4"/>
      <c r="F7" s="24"/>
    </row>
    <row r="8" spans="2:6" ht="210">
      <c r="B8" s="2"/>
      <c r="C8" s="3" t="s">
        <v>6</v>
      </c>
      <c r="D8" s="21" t="s">
        <v>100</v>
      </c>
      <c r="E8" s="4"/>
      <c r="F8" s="32" t="s">
        <v>101</v>
      </c>
    </row>
    <row r="9" spans="2:6">
      <c r="C9" s="3" t="s">
        <v>9</v>
      </c>
      <c r="D9" s="21">
        <v>20</v>
      </c>
      <c r="E9" s="4"/>
    </row>
    <row r="10" spans="2:6">
      <c r="C10" s="3" t="s">
        <v>10</v>
      </c>
      <c r="D10" s="21">
        <v>2</v>
      </c>
      <c r="E10" s="4"/>
      <c r="F10" t="s">
        <v>11</v>
      </c>
    </row>
    <row r="11" spans="2:6" ht="30">
      <c r="C11" s="3" t="s">
        <v>12</v>
      </c>
      <c r="D11" s="21">
        <v>5</v>
      </c>
      <c r="E11" s="4"/>
      <c r="F11" s="27" t="s">
        <v>102</v>
      </c>
    </row>
    <row r="12" spans="2:6" ht="30">
      <c r="C12" s="3" t="s">
        <v>14</v>
      </c>
      <c r="D12" s="21" t="s">
        <v>15</v>
      </c>
      <c r="E12" s="4"/>
      <c r="F12" s="27" t="s">
        <v>103</v>
      </c>
    </row>
    <row r="13" spans="2:6">
      <c r="C13" s="3" t="s">
        <v>17</v>
      </c>
      <c r="D13" s="21" t="s">
        <v>18</v>
      </c>
      <c r="E13" s="4"/>
      <c r="F13" s="24"/>
    </row>
    <row r="14" spans="2:6">
      <c r="C14" s="3" t="s">
        <v>19</v>
      </c>
      <c r="D14" s="21" t="s">
        <v>20</v>
      </c>
      <c r="E14" s="4"/>
    </row>
    <row r="15" spans="2:6">
      <c r="C15" s="3"/>
      <c r="D15" s="4"/>
      <c r="E15" s="4"/>
      <c r="F15" t="s">
        <v>21</v>
      </c>
    </row>
    <row r="16" spans="2:6">
      <c r="C16" s="3"/>
      <c r="D16" s="4"/>
      <c r="E16" s="4"/>
      <c r="F16" s="36" t="s">
        <v>104</v>
      </c>
    </row>
    <row r="17" spans="3:6" ht="18.75">
      <c r="C17" s="5" t="s">
        <v>23</v>
      </c>
      <c r="D17" s="4"/>
      <c r="E17" s="4"/>
      <c r="F17" s="24"/>
    </row>
    <row r="18" spans="3:6">
      <c r="C18" s="3" t="s">
        <v>25</v>
      </c>
      <c r="D18" s="1" t="s">
        <v>23</v>
      </c>
      <c r="E18" s="4"/>
      <c r="F18" s="24"/>
    </row>
    <row r="19" spans="3:6">
      <c r="C19" s="3" t="s">
        <v>27</v>
      </c>
      <c r="D19" s="22">
        <v>20</v>
      </c>
      <c r="E19" s="4"/>
      <c r="F19" s="24"/>
    </row>
    <row r="20" spans="3:6">
      <c r="C20" s="3" t="s">
        <v>28</v>
      </c>
      <c r="D20" s="22"/>
      <c r="E20" s="4"/>
      <c r="F20" s="24"/>
    </row>
    <row r="21" spans="3:6">
      <c r="C21" s="3" t="s">
        <v>29</v>
      </c>
      <c r="D21" s="22">
        <v>20</v>
      </c>
      <c r="E21" s="4"/>
    </row>
    <row r="22" spans="3:6">
      <c r="C22" s="3" t="s">
        <v>30</v>
      </c>
      <c r="D22" s="22"/>
      <c r="E22" s="4"/>
      <c r="F22" t="s">
        <v>31</v>
      </c>
    </row>
    <row r="23" spans="3:6">
      <c r="C23" s="3" t="s">
        <v>32</v>
      </c>
      <c r="D23" s="22"/>
      <c r="E23" s="4"/>
      <c r="F23" s="24" t="s">
        <v>33</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31" t="s">
        <v>105</v>
      </c>
      <c r="E29" s="4"/>
      <c r="F29" s="24"/>
    </row>
    <row r="30" spans="3:6" ht="45">
      <c r="C30" s="3" t="s">
        <v>41</v>
      </c>
      <c r="D30" s="31" t="s">
        <v>106</v>
      </c>
      <c r="E30" s="4"/>
      <c r="F30" s="24"/>
    </row>
    <row r="31" spans="3:6" ht="60">
      <c r="C31" s="3" t="s">
        <v>43</v>
      </c>
      <c r="D31" s="31" t="s">
        <v>107</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t="s">
        <v>109</v>
      </c>
      <c r="F38" s="21" t="s">
        <v>110</v>
      </c>
      <c r="G38" s="23">
        <v>1</v>
      </c>
      <c r="H38" s="21">
        <v>18</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33"/>
      <c r="F71" s="21" t="s">
        <v>27</v>
      </c>
    </row>
    <row r="72" spans="2:6">
      <c r="B72" s="7">
        <v>1</v>
      </c>
      <c r="C72" s="1">
        <v>2</v>
      </c>
      <c r="D72" s="21"/>
      <c r="E72" s="21"/>
      <c r="F72" s="21" t="s">
        <v>27</v>
      </c>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30">
      <c r="B83" s="7">
        <v>2</v>
      </c>
      <c r="C83" s="1">
        <v>1</v>
      </c>
      <c r="D83" s="34" t="s">
        <v>111</v>
      </c>
      <c r="E83" s="21"/>
      <c r="F83" s="21" t="s">
        <v>27</v>
      </c>
    </row>
    <row r="84" spans="2:6" ht="30">
      <c r="B84" s="7">
        <v>2</v>
      </c>
      <c r="C84" s="1">
        <v>2</v>
      </c>
      <c r="D84" s="31" t="s">
        <v>112</v>
      </c>
      <c r="E84" s="21"/>
      <c r="F84" s="21" t="s">
        <v>27</v>
      </c>
    </row>
    <row r="85" spans="2:6" ht="30">
      <c r="B85" s="7">
        <v>2</v>
      </c>
      <c r="C85" s="1">
        <v>3</v>
      </c>
      <c r="D85" s="31" t="s">
        <v>112</v>
      </c>
      <c r="E85" s="21"/>
      <c r="F85" s="21" t="s">
        <v>27</v>
      </c>
    </row>
    <row r="86" spans="2:6" ht="30">
      <c r="B86" s="7">
        <v>2</v>
      </c>
      <c r="C86" s="1">
        <v>4</v>
      </c>
      <c r="D86" s="31" t="s">
        <v>113</v>
      </c>
      <c r="E86" s="21"/>
      <c r="F86" s="21" t="s">
        <v>27</v>
      </c>
    </row>
    <row r="87" spans="2:6">
      <c r="B87" s="7">
        <v>2</v>
      </c>
      <c r="C87" s="1">
        <v>5</v>
      </c>
      <c r="D87" s="21" t="s">
        <v>114</v>
      </c>
      <c r="E87" s="21"/>
      <c r="F87" s="21" t="s">
        <v>29</v>
      </c>
    </row>
    <row r="88" spans="2:6">
      <c r="B88" s="7">
        <v>2</v>
      </c>
      <c r="C88" s="1">
        <v>6</v>
      </c>
      <c r="D88" s="21" t="s">
        <v>114</v>
      </c>
      <c r="E88" s="21"/>
      <c r="F88" s="21" t="s">
        <v>29</v>
      </c>
    </row>
    <row r="89" spans="2:6">
      <c r="B89" s="7">
        <v>2</v>
      </c>
      <c r="C89" s="1">
        <v>7</v>
      </c>
      <c r="D89" s="21"/>
      <c r="E89" s="21"/>
      <c r="F89" s="21"/>
    </row>
    <row r="90" spans="2:6">
      <c r="B90" s="7">
        <v>2</v>
      </c>
      <c r="C90" s="1">
        <v>8</v>
      </c>
      <c r="D90" s="21" t="s">
        <v>114</v>
      </c>
      <c r="E90" s="21"/>
      <c r="F90" s="21" t="s">
        <v>29</v>
      </c>
    </row>
    <row r="91" spans="2:6">
      <c r="B91" s="7">
        <v>2</v>
      </c>
      <c r="C91" s="1">
        <v>9</v>
      </c>
      <c r="D91" s="21" t="s">
        <v>115</v>
      </c>
      <c r="E91" s="21"/>
      <c r="F91" s="21" t="s">
        <v>29</v>
      </c>
    </row>
    <row r="92" spans="2:6">
      <c r="B92" s="7">
        <v>2</v>
      </c>
      <c r="C92" s="1">
        <v>10</v>
      </c>
      <c r="D92" s="30" t="s">
        <v>116</v>
      </c>
      <c r="E92" s="21"/>
      <c r="F92" s="21" t="s">
        <v>29</v>
      </c>
    </row>
    <row r="93" spans="2:6" ht="30">
      <c r="B93" s="7">
        <v>2</v>
      </c>
      <c r="C93" s="1">
        <v>11</v>
      </c>
      <c r="D93" s="31" t="s">
        <v>117</v>
      </c>
      <c r="E93" s="21"/>
      <c r="F93" s="21" t="s">
        <v>29</v>
      </c>
    </row>
    <row r="94" spans="2:6">
      <c r="B94" s="7">
        <v>2</v>
      </c>
      <c r="C94" s="1">
        <v>12</v>
      </c>
      <c r="D94" s="30" t="s">
        <v>118</v>
      </c>
      <c r="E94" s="21"/>
      <c r="F94" s="21" t="s">
        <v>27</v>
      </c>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884BD-6278-4CE7-A889-8DDD73C24938}">
  <sheetPr codeName="Sheet5"/>
  <dimension ref="B2:H94"/>
  <sheetViews>
    <sheetView showGridLines="0" zoomScale="85" zoomScaleNormal="85" workbookViewId="0">
      <selection activeCell="E70" sqref="E7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5202SPS</v>
      </c>
      <c r="D2" s="20" t="str">
        <f>D8</f>
        <v>Learning in PE and Sport Contexts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119</v>
      </c>
      <c r="E7" s="4"/>
      <c r="F7" s="24"/>
    </row>
    <row r="8" spans="2:6">
      <c r="B8" s="2"/>
      <c r="C8" s="3" t="s">
        <v>6</v>
      </c>
      <c r="D8" s="21" t="s">
        <v>120</v>
      </c>
      <c r="E8" s="4"/>
      <c r="F8" s="32"/>
    </row>
    <row r="9" spans="2:6">
      <c r="C9" s="3" t="s">
        <v>9</v>
      </c>
      <c r="D9" s="21"/>
      <c r="E9" s="4"/>
    </row>
    <row r="10" spans="2:6">
      <c r="C10" s="3" t="s">
        <v>10</v>
      </c>
      <c r="D10" s="21"/>
      <c r="E10" s="4"/>
      <c r="F10" t="s">
        <v>11</v>
      </c>
    </row>
    <row r="11" spans="2:6">
      <c r="C11" s="3" t="s">
        <v>12</v>
      </c>
      <c r="D11" s="21"/>
      <c r="E11" s="4"/>
      <c r="F11" s="27"/>
    </row>
    <row r="12" spans="2:6">
      <c r="C12" s="3" t="s">
        <v>14</v>
      </c>
      <c r="D12" s="21"/>
      <c r="E12" s="4"/>
      <c r="F12" s="27"/>
    </row>
    <row r="13" spans="2:6">
      <c r="C13" s="3" t="s">
        <v>17</v>
      </c>
      <c r="D13" s="21"/>
      <c r="E13" s="4"/>
      <c r="F13" s="24"/>
    </row>
    <row r="14" spans="2:6">
      <c r="C14" s="3" t="s">
        <v>19</v>
      </c>
      <c r="D14" s="21"/>
      <c r="E14" s="4"/>
    </row>
    <row r="15" spans="2:6">
      <c r="C15" s="3"/>
      <c r="D15" s="4"/>
      <c r="E15" s="4"/>
      <c r="F15" t="s">
        <v>21</v>
      </c>
    </row>
    <row r="16" spans="2:6">
      <c r="C16" s="3"/>
      <c r="D16" s="4"/>
      <c r="E16" s="4"/>
      <c r="F16" s="36"/>
    </row>
    <row r="17" spans="3:6" ht="18.75">
      <c r="C17" s="5" t="s">
        <v>23</v>
      </c>
      <c r="D17" s="4"/>
      <c r="E17" s="4"/>
      <c r="F17" s="24"/>
    </row>
    <row r="18" spans="3:6">
      <c r="C18" s="3" t="s">
        <v>25</v>
      </c>
      <c r="D18" s="1" t="s">
        <v>23</v>
      </c>
      <c r="E18" s="4"/>
      <c r="F18" s="24"/>
    </row>
    <row r="19" spans="3:6">
      <c r="C19" s="3" t="s">
        <v>27</v>
      </c>
      <c r="D19" s="22"/>
      <c r="E19" s="4"/>
      <c r="F19" s="24"/>
    </row>
    <row r="20" spans="3:6">
      <c r="C20" s="3" t="s">
        <v>28</v>
      </c>
      <c r="D20" s="22"/>
      <c r="E20" s="4"/>
      <c r="F20" s="24"/>
    </row>
    <row r="21" spans="3:6">
      <c r="C21" s="3" t="s">
        <v>29</v>
      </c>
      <c r="D21" s="22"/>
      <c r="E21" s="4"/>
    </row>
    <row r="22" spans="3:6">
      <c r="C22" s="3" t="s">
        <v>30</v>
      </c>
      <c r="D22" s="22"/>
      <c r="E22" s="4"/>
      <c r="F22" t="s">
        <v>31</v>
      </c>
    </row>
    <row r="23" spans="3:6">
      <c r="C23" s="3" t="s">
        <v>32</v>
      </c>
      <c r="D23" s="22"/>
      <c r="E23" s="4"/>
      <c r="F23" s="24" t="s">
        <v>33</v>
      </c>
    </row>
    <row r="24" spans="3:6">
      <c r="C24" s="3" t="s">
        <v>34</v>
      </c>
      <c r="D24" s="1">
        <f>SUM(D19:D23)</f>
        <v>0</v>
      </c>
      <c r="E24" s="4"/>
      <c r="F24" s="24"/>
    </row>
    <row r="25" spans="3:6">
      <c r="F25" s="24"/>
    </row>
    <row r="26" spans="3:6">
      <c r="F26" s="24"/>
    </row>
    <row r="27" spans="3:6" ht="18.75">
      <c r="C27" s="5" t="s">
        <v>35</v>
      </c>
      <c r="D27" s="12" t="s">
        <v>36</v>
      </c>
      <c r="F27" s="24"/>
    </row>
    <row r="28" spans="3:6">
      <c r="C28" s="3" t="s">
        <v>37</v>
      </c>
      <c r="D28" s="3" t="s">
        <v>38</v>
      </c>
      <c r="E28" s="3"/>
      <c r="F28" s="24"/>
    </row>
    <row r="29" spans="3:6">
      <c r="C29" s="3" t="s">
        <v>39</v>
      </c>
      <c r="D29" s="31"/>
      <c r="E29" s="4"/>
      <c r="F29" s="24"/>
    </row>
    <row r="30" spans="3:6">
      <c r="C30" s="3" t="s">
        <v>41</v>
      </c>
      <c r="D30" s="31"/>
      <c r="E30" s="4"/>
      <c r="F30" s="24"/>
    </row>
    <row r="31" spans="3:6">
      <c r="C31" s="3" t="s">
        <v>43</v>
      </c>
      <c r="D31" s="31"/>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c r="G38" s="23">
        <v>1</v>
      </c>
      <c r="H38" s="21">
        <v>18</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c r="E48" s="24"/>
      <c r="F48" s="24"/>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33"/>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34"/>
      <c r="E83" s="21"/>
      <c r="F83" s="21"/>
    </row>
    <row r="84" spans="2:6">
      <c r="B84" s="7">
        <v>2</v>
      </c>
      <c r="C84" s="1">
        <v>2</v>
      </c>
      <c r="D84" s="31"/>
      <c r="E84" s="21"/>
      <c r="F84" s="21"/>
    </row>
    <row r="85" spans="2:6">
      <c r="B85" s="7">
        <v>2</v>
      </c>
      <c r="C85" s="1">
        <v>3</v>
      </c>
      <c r="D85" s="31"/>
      <c r="E85" s="21"/>
      <c r="F85" s="21"/>
    </row>
    <row r="86" spans="2:6">
      <c r="B86" s="7">
        <v>2</v>
      </c>
      <c r="C86" s="1">
        <v>4</v>
      </c>
      <c r="D86" s="3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30"/>
      <c r="E92" s="21"/>
      <c r="F92" s="21"/>
    </row>
    <row r="93" spans="2:6">
      <c r="B93" s="7">
        <v>2</v>
      </c>
      <c r="C93" s="1">
        <v>11</v>
      </c>
      <c r="D93" s="31"/>
      <c r="E93" s="21"/>
      <c r="F93" s="21"/>
    </row>
    <row r="94" spans="2:6">
      <c r="B94" s="7">
        <v>2</v>
      </c>
      <c r="C94" s="1">
        <v>12</v>
      </c>
      <c r="D94" s="30"/>
      <c r="E94" s="21"/>
      <c r="F94" s="21"/>
    </row>
  </sheetData>
  <sheetProtection selectLockedCells="1" sort="0" autoFilter="0" pivotTables="0"/>
  <dataValidations count="4">
    <dataValidation type="whole" showInputMessage="1" showErrorMessage="1" error="This is not a realistic number of contact hours please reduce" sqref="D20:D23" xr:uid="{FE45A5EA-BEFE-42EE-A656-B931B8DAE2D1}">
      <formula1>0</formula1>
      <formula2>80</formula2>
    </dataValidation>
    <dataValidation type="whole" showInputMessage="1" showErrorMessage="1" error="This is not a realistic number of contact hours please change" sqref="D19" xr:uid="{7393D505-264B-48A0-884D-0DB05B677F6E}">
      <formula1>0</formula1>
      <formula2>80</formula2>
    </dataValidation>
    <dataValidation type="list" allowBlank="1" showInputMessage="1" showErrorMessage="1" sqref="E38:E41" xr:uid="{54BEE12B-0450-4EB8-BE43-A915432B35DF}">
      <formula1>INDIRECT("LISTAssess[Assessment Specific]")</formula1>
    </dataValidation>
    <dataValidation type="list" allowBlank="1" showInputMessage="1" showErrorMessage="1" sqref="F46:F66" xr:uid="{5A44F9E5-2AA7-41DB-A7E9-D78E1FC317DB}">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8FEB5F7-DB58-4A6C-97FD-7C3EADB5679F}">
          <x14:formula1>
            <xm:f>LISTS!$C$26:$C$37</xm:f>
          </x14:formula1>
          <xm:sqref>D14</xm:sqref>
        </x14:dataValidation>
        <x14:dataValidation type="list" allowBlank="1" showInputMessage="1" showErrorMessage="1" xr:uid="{7C2436CF-19C7-4E7E-BA48-C0C23DE0E3F8}">
          <x14:formula1>
            <xm:f>LISTS!$C$17:$C$22</xm:f>
          </x14:formula1>
          <xm:sqref>D13</xm:sqref>
        </x14:dataValidation>
        <x14:dataValidation type="list" allowBlank="1" showInputMessage="1" showErrorMessage="1" xr:uid="{5E086A06-5E34-461E-A5AE-CD7FABE126BE}">
          <x14:formula1>
            <xm:f>LISTS!$C$7:$C$9</xm:f>
          </x14:formula1>
          <xm:sqref>D10</xm:sqref>
        </x14:dataValidation>
        <x14:dataValidation type="list" allowBlank="1" showInputMessage="1" showErrorMessage="1" xr:uid="{1F819FDE-D680-4C01-AB88-F60C15630AF1}">
          <x14:formula1>
            <xm:f>LISTS!$C$11:$C$15</xm:f>
          </x14:formula1>
          <xm:sqref>D11</xm:sqref>
        </x14:dataValidation>
        <x14:dataValidation type="list" allowBlank="1" showInputMessage="1" showErrorMessage="1" xr:uid="{B2D8CDA9-B2D5-4539-AD20-4F9491A7C160}">
          <x14:formula1>
            <xm:f>LISTS!$G$7:$G$11</xm:f>
          </x14:formula1>
          <xm:sqref>D38:D42</xm:sqref>
        </x14:dataValidation>
        <x14:dataValidation type="list" allowBlank="1" showInputMessage="1" showErrorMessage="1" xr:uid="{ED868237-0C64-4453-AFB3-8E41F621B071}">
          <x14:formula1>
            <xm:f>LISTS!$E$7:$E$11</xm:f>
          </x14:formula1>
          <xm:sqref>D46:D66</xm:sqref>
        </x14:dataValidation>
        <x14:dataValidation type="list" allowBlank="1" showInputMessage="1" showErrorMessage="1" xr:uid="{007BC7D6-BE84-4F4E-A94C-2023A77E1378}">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30"/>
  <sheetViews>
    <sheetView showGridLines="0" zoomScale="85" zoomScaleNormal="85" workbookViewId="0">
      <selection activeCell="D8" sqref="D8"/>
    </sheetView>
  </sheetViews>
  <sheetFormatPr defaultRowHeight="1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20" t="str">
        <f>D7</f>
        <v>5203SPS</v>
      </c>
      <c r="D2" s="20" t="str">
        <f>D8</f>
        <v>Primary PE teacher Education</v>
      </c>
    </row>
    <row r="3" spans="2:6">
      <c r="B3" s="1"/>
      <c r="C3" s="1"/>
    </row>
    <row r="4" spans="2:6">
      <c r="B4" s="2"/>
      <c r="C4" s="2"/>
    </row>
    <row r="5" spans="2:6" ht="18.75">
      <c r="B5" s="2"/>
      <c r="C5" s="5" t="s">
        <v>0</v>
      </c>
    </row>
    <row r="6" spans="2:6">
      <c r="B6" s="2"/>
      <c r="C6" s="3" t="s">
        <v>1</v>
      </c>
      <c r="D6" s="4" t="s">
        <v>2</v>
      </c>
      <c r="E6" s="4"/>
      <c r="F6" t="s">
        <v>3</v>
      </c>
    </row>
    <row r="7" spans="2:6" ht="75">
      <c r="B7" s="2"/>
      <c r="C7" s="3" t="s">
        <v>4</v>
      </c>
      <c r="D7" s="21" t="s">
        <v>121</v>
      </c>
      <c r="E7" s="4"/>
      <c r="F7" s="27" t="s">
        <v>122</v>
      </c>
    </row>
    <row r="8" spans="2:6">
      <c r="B8" s="2"/>
      <c r="C8" s="3" t="s">
        <v>6</v>
      </c>
      <c r="D8" s="21" t="s">
        <v>123</v>
      </c>
      <c r="E8" s="4"/>
      <c r="F8" s="24"/>
    </row>
    <row r="9" spans="2:6">
      <c r="C9" s="3" t="s">
        <v>9</v>
      </c>
      <c r="D9" s="21">
        <v>20</v>
      </c>
      <c r="E9" s="4"/>
    </row>
    <row r="10" spans="2:6">
      <c r="C10" s="3" t="s">
        <v>10</v>
      </c>
      <c r="D10" s="21"/>
      <c r="E10" s="4"/>
      <c r="F10" t="s">
        <v>11</v>
      </c>
    </row>
    <row r="11" spans="2:6" ht="150">
      <c r="C11" s="3" t="s">
        <v>12</v>
      </c>
      <c r="D11" s="21">
        <v>5</v>
      </c>
      <c r="E11" s="4"/>
      <c r="F11" s="27" t="s">
        <v>124</v>
      </c>
    </row>
    <row r="12" spans="2:6">
      <c r="C12" s="3" t="s">
        <v>14</v>
      </c>
      <c r="D12" s="21" t="s">
        <v>125</v>
      </c>
      <c r="E12" s="4"/>
      <c r="F12" s="24"/>
    </row>
    <row r="13" spans="2:6">
      <c r="C13" s="3" t="s">
        <v>17</v>
      </c>
      <c r="D13" s="21" t="s">
        <v>126</v>
      </c>
      <c r="E13" s="4"/>
      <c r="F13" s="24"/>
    </row>
    <row r="14" spans="2:6">
      <c r="C14" s="3" t="s">
        <v>19</v>
      </c>
      <c r="D14" s="21" t="s">
        <v>20</v>
      </c>
      <c r="E14" s="4"/>
    </row>
    <row r="15" spans="2:6">
      <c r="C15" s="3"/>
      <c r="D15" s="4"/>
      <c r="E15" s="4"/>
      <c r="F15" t="s">
        <v>21</v>
      </c>
    </row>
    <row r="16" spans="2:6" ht="75">
      <c r="C16" s="3"/>
      <c r="D16" s="4"/>
      <c r="E16" s="4"/>
      <c r="F16" s="27" t="s">
        <v>127</v>
      </c>
    </row>
    <row r="17" spans="3:6" ht="18.75">
      <c r="C17" s="5" t="s">
        <v>23</v>
      </c>
      <c r="D17" s="4"/>
      <c r="E17" s="4"/>
      <c r="F17" s="24"/>
    </row>
    <row r="18" spans="3:6">
      <c r="C18" s="3" t="s">
        <v>25</v>
      </c>
      <c r="D18" s="1" t="s">
        <v>23</v>
      </c>
      <c r="E18" s="4"/>
      <c r="F18" s="24"/>
    </row>
    <row r="19" spans="3:6">
      <c r="C19" s="3" t="s">
        <v>27</v>
      </c>
      <c r="D19" s="26">
        <v>10</v>
      </c>
      <c r="E19" s="4"/>
      <c r="F19" s="24"/>
    </row>
    <row r="20" spans="3:6">
      <c r="C20" s="3" t="s">
        <v>28</v>
      </c>
      <c r="D20" s="26">
        <v>0</v>
      </c>
      <c r="E20" s="4"/>
      <c r="F20" s="24"/>
    </row>
    <row r="21" spans="3:6">
      <c r="C21" s="3" t="s">
        <v>29</v>
      </c>
      <c r="D21" s="26">
        <v>19</v>
      </c>
      <c r="E21" s="4"/>
    </row>
    <row r="22" spans="3:6">
      <c r="C22" s="3" t="s">
        <v>30</v>
      </c>
      <c r="D22" s="26">
        <v>3</v>
      </c>
      <c r="E22" s="4"/>
      <c r="F22" t="s">
        <v>31</v>
      </c>
    </row>
    <row r="23" spans="3:6">
      <c r="C23" s="3" t="s">
        <v>32</v>
      </c>
      <c r="D23" s="26">
        <v>8</v>
      </c>
      <c r="E23" s="4"/>
      <c r="F23" s="24" t="s">
        <v>128</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30">
      <c r="C29" s="3" t="s">
        <v>39</v>
      </c>
      <c r="D29" s="21" t="s">
        <v>129</v>
      </c>
      <c r="E29" s="4"/>
      <c r="F29" s="24"/>
    </row>
    <row r="30" spans="3:6" ht="30">
      <c r="C30" s="3" t="s">
        <v>41</v>
      </c>
      <c r="D30" s="21" t="s">
        <v>130</v>
      </c>
      <c r="E30" s="4"/>
      <c r="F30" s="24"/>
    </row>
    <row r="31" spans="3:6" ht="30">
      <c r="C31" s="3" t="s">
        <v>43</v>
      </c>
      <c r="D31" s="21" t="s">
        <v>131</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ht="30">
      <c r="C38" s="3" t="s">
        <v>54</v>
      </c>
      <c r="D38" s="21" t="s">
        <v>132</v>
      </c>
      <c r="E38" s="21"/>
      <c r="F38" s="21" t="s">
        <v>133</v>
      </c>
      <c r="G38" s="23">
        <v>0.6</v>
      </c>
      <c r="H38" s="21">
        <v>12</v>
      </c>
    </row>
    <row r="39" spans="3:8" ht="30">
      <c r="C39" s="3" t="s">
        <v>58</v>
      </c>
      <c r="D39" s="21" t="s">
        <v>132</v>
      </c>
      <c r="E39" s="21"/>
      <c r="F39" s="21" t="s">
        <v>134</v>
      </c>
      <c r="G39" s="23">
        <v>0.4</v>
      </c>
      <c r="H39" s="21">
        <v>16</v>
      </c>
    </row>
    <row r="40" spans="3:8">
      <c r="C40" s="3"/>
    </row>
    <row r="41" spans="3:8" ht="18" customHeight="1"/>
    <row r="42" spans="3:8" ht="40.5" customHeight="1">
      <c r="C42" s="5" t="s">
        <v>61</v>
      </c>
      <c r="D42" s="12"/>
    </row>
    <row r="43" spans="3:8">
      <c r="C43" s="1" t="s">
        <v>48</v>
      </c>
      <c r="D43" s="1" t="s">
        <v>37</v>
      </c>
      <c r="E43" s="1" t="s">
        <v>62</v>
      </c>
      <c r="F43" s="1" t="s">
        <v>63</v>
      </c>
    </row>
    <row r="44" spans="3:8">
      <c r="C44" s="25" t="s">
        <v>54</v>
      </c>
      <c r="D44" s="24" t="s">
        <v>39</v>
      </c>
      <c r="E44" s="24" t="s">
        <v>135</v>
      </c>
      <c r="F44" s="24" t="s">
        <v>136</v>
      </c>
    </row>
    <row r="45" spans="3:8">
      <c r="C45" s="25" t="s">
        <v>54</v>
      </c>
      <c r="D45" s="24" t="s">
        <v>39</v>
      </c>
      <c r="E45" s="24" t="s">
        <v>137</v>
      </c>
      <c r="F45" s="24" t="s">
        <v>138</v>
      </c>
    </row>
    <row r="46" spans="3:8">
      <c r="C46" s="25" t="s">
        <v>54</v>
      </c>
      <c r="D46" s="24" t="s">
        <v>39</v>
      </c>
      <c r="E46" s="24" t="s">
        <v>137</v>
      </c>
      <c r="F46" s="24" t="s">
        <v>139</v>
      </c>
    </row>
    <row r="47" spans="3:8">
      <c r="C47" s="25" t="s">
        <v>54</v>
      </c>
      <c r="D47" s="24" t="s">
        <v>39</v>
      </c>
      <c r="E47" s="24" t="s">
        <v>69</v>
      </c>
      <c r="F47" s="24" t="s">
        <v>140</v>
      </c>
    </row>
    <row r="48" spans="3:8">
      <c r="C48" s="25" t="s">
        <v>54</v>
      </c>
      <c r="D48" s="24" t="s">
        <v>39</v>
      </c>
      <c r="E48" s="24" t="s">
        <v>141</v>
      </c>
      <c r="F48" s="24" t="s">
        <v>142</v>
      </c>
    </row>
    <row r="49" spans="3:6">
      <c r="C49" s="25" t="s">
        <v>54</v>
      </c>
      <c r="D49" s="24" t="s">
        <v>39</v>
      </c>
      <c r="E49" s="24" t="s">
        <v>143</v>
      </c>
      <c r="F49" s="24" t="s">
        <v>144</v>
      </c>
    </row>
    <row r="50" spans="3:6">
      <c r="C50" s="25" t="s">
        <v>54</v>
      </c>
      <c r="D50" s="24" t="s">
        <v>39</v>
      </c>
      <c r="E50" s="24" t="s">
        <v>143</v>
      </c>
      <c r="F50" s="24" t="s">
        <v>145</v>
      </c>
    </row>
    <row r="51" spans="3:6">
      <c r="C51" s="25" t="s">
        <v>54</v>
      </c>
      <c r="D51" s="24" t="s">
        <v>39</v>
      </c>
      <c r="E51" s="24" t="s">
        <v>146</v>
      </c>
      <c r="F51" s="24" t="s">
        <v>147</v>
      </c>
    </row>
    <row r="52" spans="3:6">
      <c r="C52" s="25" t="s">
        <v>54</v>
      </c>
      <c r="D52" s="24" t="s">
        <v>39</v>
      </c>
      <c r="E52" s="24" t="s">
        <v>146</v>
      </c>
      <c r="F52" s="24" t="s">
        <v>148</v>
      </c>
    </row>
    <row r="53" spans="3:6">
      <c r="C53" s="25" t="s">
        <v>54</v>
      </c>
      <c r="D53" s="24" t="s">
        <v>39</v>
      </c>
      <c r="E53" s="24" t="s">
        <v>146</v>
      </c>
      <c r="F53" s="24" t="s">
        <v>149</v>
      </c>
    </row>
    <row r="54" spans="3:6">
      <c r="C54" s="25" t="s">
        <v>54</v>
      </c>
      <c r="D54" s="24" t="s">
        <v>39</v>
      </c>
      <c r="E54" s="24" t="s">
        <v>146</v>
      </c>
      <c r="F54" s="24" t="s">
        <v>150</v>
      </c>
    </row>
    <row r="55" spans="3:6">
      <c r="C55" s="25" t="s">
        <v>54</v>
      </c>
      <c r="D55" s="24" t="s">
        <v>39</v>
      </c>
      <c r="E55" s="24" t="s">
        <v>146</v>
      </c>
      <c r="F55" s="24" t="s">
        <v>151</v>
      </c>
    </row>
    <row r="56" spans="3:6" ht="14.25" customHeight="1">
      <c r="C56" s="25" t="s">
        <v>54</v>
      </c>
      <c r="D56" s="24" t="s">
        <v>41</v>
      </c>
      <c r="E56" s="24" t="s">
        <v>67</v>
      </c>
      <c r="F56" s="24" t="s">
        <v>68</v>
      </c>
    </row>
    <row r="57" spans="3:6" ht="14.25" customHeight="1">
      <c r="C57" s="25" t="s">
        <v>54</v>
      </c>
      <c r="D57" s="24" t="s">
        <v>41</v>
      </c>
      <c r="E57" s="24" t="s">
        <v>67</v>
      </c>
      <c r="F57" s="24" t="s">
        <v>152</v>
      </c>
    </row>
    <row r="58" spans="3:6" ht="14.25" customHeight="1">
      <c r="C58" s="25" t="s">
        <v>54</v>
      </c>
      <c r="D58" s="24" t="s">
        <v>41</v>
      </c>
      <c r="E58" s="24" t="s">
        <v>67</v>
      </c>
      <c r="F58" s="24" t="s">
        <v>153</v>
      </c>
    </row>
    <row r="59" spans="3:6" ht="14.25" customHeight="1">
      <c r="C59" s="25" t="s">
        <v>54</v>
      </c>
      <c r="D59" s="24" t="s">
        <v>41</v>
      </c>
      <c r="E59" s="24" t="s">
        <v>67</v>
      </c>
      <c r="F59" s="24" t="s">
        <v>154</v>
      </c>
    </row>
    <row r="60" spans="3:6" ht="14.25" customHeight="1">
      <c r="C60" s="25" t="s">
        <v>54</v>
      </c>
      <c r="D60" s="24" t="s">
        <v>41</v>
      </c>
      <c r="E60" s="24" t="s">
        <v>67</v>
      </c>
      <c r="F60" s="24" t="s">
        <v>155</v>
      </c>
    </row>
    <row r="61" spans="3:6">
      <c r="C61" s="25" t="s">
        <v>54</v>
      </c>
      <c r="D61" s="24" t="s">
        <v>41</v>
      </c>
      <c r="E61" s="24" t="s">
        <v>69</v>
      </c>
      <c r="F61" s="24" t="s">
        <v>70</v>
      </c>
    </row>
    <row r="62" spans="3:6">
      <c r="C62" s="25" t="s">
        <v>54</v>
      </c>
      <c r="D62" s="24" t="s">
        <v>41</v>
      </c>
      <c r="E62" s="24" t="s">
        <v>69</v>
      </c>
      <c r="F62" s="24" t="s">
        <v>156</v>
      </c>
    </row>
    <row r="63" spans="3:6">
      <c r="C63" s="25" t="s">
        <v>54</v>
      </c>
      <c r="D63" s="24" t="s">
        <v>41</v>
      </c>
      <c r="E63" s="24" t="s">
        <v>69</v>
      </c>
      <c r="F63" s="24" t="s">
        <v>140</v>
      </c>
    </row>
    <row r="64" spans="3:6">
      <c r="C64" s="25" t="s">
        <v>54</v>
      </c>
      <c r="D64" s="24" t="s">
        <v>41</v>
      </c>
      <c r="E64" s="24" t="s">
        <v>157</v>
      </c>
      <c r="F64" s="24" t="s">
        <v>158</v>
      </c>
    </row>
    <row r="65" spans="3:6">
      <c r="C65" s="25" t="s">
        <v>54</v>
      </c>
      <c r="D65" s="24" t="s">
        <v>41</v>
      </c>
      <c r="E65" s="24" t="s">
        <v>157</v>
      </c>
      <c r="F65" s="24" t="s">
        <v>159</v>
      </c>
    </row>
    <row r="66" spans="3:6">
      <c r="C66" s="25" t="s">
        <v>54</v>
      </c>
      <c r="D66" s="24" t="s">
        <v>41</v>
      </c>
      <c r="E66" s="24" t="s">
        <v>157</v>
      </c>
      <c r="F66" s="24" t="s">
        <v>160</v>
      </c>
    </row>
    <row r="67" spans="3:6">
      <c r="C67" s="25" t="s">
        <v>54</v>
      </c>
      <c r="D67" s="24" t="s">
        <v>41</v>
      </c>
      <c r="E67" s="24" t="s">
        <v>157</v>
      </c>
      <c r="F67" s="24" t="s">
        <v>161</v>
      </c>
    </row>
    <row r="68" spans="3:6">
      <c r="C68" s="25" t="s">
        <v>54</v>
      </c>
      <c r="D68" s="24" t="s">
        <v>41</v>
      </c>
      <c r="E68" s="24" t="s">
        <v>157</v>
      </c>
      <c r="F68" s="24" t="s">
        <v>162</v>
      </c>
    </row>
    <row r="69" spans="3:6">
      <c r="C69" s="25" t="s">
        <v>54</v>
      </c>
      <c r="D69" s="24" t="s">
        <v>41</v>
      </c>
      <c r="E69" s="24" t="s">
        <v>157</v>
      </c>
      <c r="F69" s="24" t="s">
        <v>163</v>
      </c>
    </row>
    <row r="70" spans="3:6">
      <c r="C70" s="25" t="s">
        <v>54</v>
      </c>
      <c r="D70" s="24" t="s">
        <v>41</v>
      </c>
      <c r="E70" s="24" t="s">
        <v>157</v>
      </c>
      <c r="F70" s="24" t="s">
        <v>164</v>
      </c>
    </row>
    <row r="71" spans="3:6">
      <c r="C71" s="25" t="s">
        <v>54</v>
      </c>
      <c r="D71" s="24" t="s">
        <v>41</v>
      </c>
      <c r="E71" s="24" t="s">
        <v>143</v>
      </c>
      <c r="F71" s="24" t="s">
        <v>165</v>
      </c>
    </row>
    <row r="72" spans="3:6">
      <c r="C72" s="25" t="s">
        <v>54</v>
      </c>
      <c r="D72" s="24" t="s">
        <v>41</v>
      </c>
      <c r="E72" s="24" t="s">
        <v>143</v>
      </c>
      <c r="F72" s="24" t="s">
        <v>145</v>
      </c>
    </row>
    <row r="73" spans="3:6">
      <c r="C73" s="25" t="s">
        <v>54</v>
      </c>
      <c r="D73" s="24" t="s">
        <v>41</v>
      </c>
      <c r="E73" s="24" t="s">
        <v>146</v>
      </c>
      <c r="F73" s="24" t="s">
        <v>147</v>
      </c>
    </row>
    <row r="74" spans="3:6">
      <c r="C74" s="25" t="s">
        <v>54</v>
      </c>
      <c r="D74" s="24" t="s">
        <v>41</v>
      </c>
      <c r="E74" s="24" t="s">
        <v>146</v>
      </c>
      <c r="F74" s="24" t="s">
        <v>148</v>
      </c>
    </row>
    <row r="75" spans="3:6">
      <c r="C75" s="25" t="s">
        <v>54</v>
      </c>
      <c r="D75" s="24" t="s">
        <v>41</v>
      </c>
      <c r="E75" s="24" t="s">
        <v>146</v>
      </c>
      <c r="F75" s="24" t="s">
        <v>149</v>
      </c>
    </row>
    <row r="76" spans="3:6">
      <c r="C76" s="25" t="s">
        <v>54</v>
      </c>
      <c r="D76" s="24" t="s">
        <v>41</v>
      </c>
      <c r="E76" s="24" t="s">
        <v>146</v>
      </c>
      <c r="F76" s="24" t="s">
        <v>150</v>
      </c>
    </row>
    <row r="77" spans="3:6">
      <c r="C77" s="25" t="s">
        <v>54</v>
      </c>
      <c r="D77" s="24" t="s">
        <v>41</v>
      </c>
      <c r="E77" s="24" t="s">
        <v>146</v>
      </c>
      <c r="F77" s="24" t="s">
        <v>151</v>
      </c>
    </row>
    <row r="78" spans="3:6">
      <c r="C78" s="25" t="s">
        <v>54</v>
      </c>
      <c r="D78" s="24" t="s">
        <v>41</v>
      </c>
      <c r="E78" s="24" t="s">
        <v>141</v>
      </c>
      <c r="F78" s="24" t="s">
        <v>166</v>
      </c>
    </row>
    <row r="79" spans="3:6">
      <c r="C79" s="25" t="s">
        <v>54</v>
      </c>
      <c r="D79" s="24" t="s">
        <v>41</v>
      </c>
      <c r="E79" s="24" t="s">
        <v>141</v>
      </c>
      <c r="F79" s="24" t="s">
        <v>167</v>
      </c>
    </row>
    <row r="80" spans="3:6">
      <c r="C80" s="25" t="s">
        <v>54</v>
      </c>
      <c r="D80" s="24" t="s">
        <v>41</v>
      </c>
      <c r="E80" s="24" t="s">
        <v>141</v>
      </c>
      <c r="F80" s="24" t="s">
        <v>142</v>
      </c>
    </row>
    <row r="81" spans="3:6">
      <c r="C81" s="25" t="s">
        <v>54</v>
      </c>
      <c r="D81" s="24" t="s">
        <v>43</v>
      </c>
      <c r="E81" s="24" t="s">
        <v>67</v>
      </c>
      <c r="F81" s="24" t="s">
        <v>68</v>
      </c>
    </row>
    <row r="82" spans="3:6">
      <c r="C82" s="25" t="s">
        <v>54</v>
      </c>
      <c r="D82" s="24" t="s">
        <v>43</v>
      </c>
      <c r="E82" s="24" t="s">
        <v>67</v>
      </c>
      <c r="F82" s="24" t="s">
        <v>153</v>
      </c>
    </row>
    <row r="83" spans="3:6">
      <c r="C83" s="25" t="s">
        <v>54</v>
      </c>
      <c r="D83" s="24" t="s">
        <v>43</v>
      </c>
      <c r="E83" s="24" t="s">
        <v>67</v>
      </c>
      <c r="F83" s="24" t="s">
        <v>155</v>
      </c>
    </row>
    <row r="84" spans="3:6">
      <c r="C84" s="25" t="s">
        <v>54</v>
      </c>
      <c r="D84" s="24" t="s">
        <v>43</v>
      </c>
      <c r="E84" s="24" t="s">
        <v>135</v>
      </c>
      <c r="F84" s="24" t="s">
        <v>168</v>
      </c>
    </row>
    <row r="85" spans="3:6">
      <c r="C85" s="25" t="s">
        <v>54</v>
      </c>
      <c r="D85" s="24" t="s">
        <v>43</v>
      </c>
      <c r="E85" s="24" t="s">
        <v>135</v>
      </c>
      <c r="F85" s="24" t="s">
        <v>169</v>
      </c>
    </row>
    <row r="86" spans="3:6">
      <c r="C86" s="25" t="s">
        <v>54</v>
      </c>
      <c r="D86" s="24" t="s">
        <v>43</v>
      </c>
      <c r="E86" s="24" t="s">
        <v>137</v>
      </c>
      <c r="F86" s="24" t="s">
        <v>170</v>
      </c>
    </row>
    <row r="87" spans="3:6">
      <c r="C87" s="25" t="s">
        <v>54</v>
      </c>
      <c r="D87" s="24" t="s">
        <v>43</v>
      </c>
      <c r="E87" s="24" t="s">
        <v>143</v>
      </c>
      <c r="F87" s="24" t="s">
        <v>144</v>
      </c>
    </row>
    <row r="88" spans="3:6">
      <c r="C88" s="25" t="s">
        <v>54</v>
      </c>
      <c r="D88" s="24" t="s">
        <v>43</v>
      </c>
      <c r="E88" s="24" t="s">
        <v>143</v>
      </c>
      <c r="F88" s="24" t="s">
        <v>145</v>
      </c>
    </row>
    <row r="89" spans="3:6">
      <c r="C89" s="25" t="s">
        <v>58</v>
      </c>
      <c r="D89" s="24" t="s">
        <v>39</v>
      </c>
      <c r="E89" s="24" t="s">
        <v>135</v>
      </c>
      <c r="F89" s="24" t="s">
        <v>136</v>
      </c>
    </row>
    <row r="90" spans="3:6">
      <c r="C90" s="25" t="s">
        <v>58</v>
      </c>
      <c r="D90" s="24" t="s">
        <v>39</v>
      </c>
      <c r="E90" s="24" t="s">
        <v>137</v>
      </c>
      <c r="F90" s="24" t="s">
        <v>138</v>
      </c>
    </row>
    <row r="91" spans="3:6">
      <c r="C91" s="25" t="s">
        <v>58</v>
      </c>
      <c r="D91" s="24" t="s">
        <v>39</v>
      </c>
      <c r="E91" s="24" t="s">
        <v>137</v>
      </c>
      <c r="F91" s="24" t="s">
        <v>139</v>
      </c>
    </row>
    <row r="92" spans="3:6">
      <c r="C92" s="25" t="s">
        <v>58</v>
      </c>
      <c r="D92" s="24" t="s">
        <v>39</v>
      </c>
      <c r="E92" s="24" t="s">
        <v>69</v>
      </c>
      <c r="F92" s="24" t="s">
        <v>140</v>
      </c>
    </row>
    <row r="93" spans="3:6">
      <c r="C93" s="25" t="s">
        <v>58</v>
      </c>
      <c r="D93" s="24" t="s">
        <v>39</v>
      </c>
      <c r="E93" s="24" t="s">
        <v>141</v>
      </c>
      <c r="F93" s="24" t="s">
        <v>142</v>
      </c>
    </row>
    <row r="94" spans="3:6">
      <c r="C94" s="25" t="s">
        <v>58</v>
      </c>
      <c r="D94" s="24" t="s">
        <v>39</v>
      </c>
      <c r="E94" s="24" t="s">
        <v>143</v>
      </c>
      <c r="F94" s="24" t="s">
        <v>144</v>
      </c>
    </row>
    <row r="95" spans="3:6">
      <c r="C95" s="25" t="s">
        <v>58</v>
      </c>
      <c r="D95" s="24" t="s">
        <v>39</v>
      </c>
      <c r="E95" s="24" t="s">
        <v>143</v>
      </c>
      <c r="F95" s="24" t="s">
        <v>145</v>
      </c>
    </row>
    <row r="96" spans="3:6">
      <c r="C96" s="25" t="s">
        <v>58</v>
      </c>
      <c r="D96" s="24" t="s">
        <v>39</v>
      </c>
      <c r="E96" s="24" t="s">
        <v>146</v>
      </c>
      <c r="F96" s="24" t="s">
        <v>147</v>
      </c>
    </row>
    <row r="97" spans="3:6">
      <c r="C97" s="25" t="s">
        <v>58</v>
      </c>
      <c r="D97" s="24" t="s">
        <v>39</v>
      </c>
      <c r="E97" s="24" t="s">
        <v>146</v>
      </c>
      <c r="F97" s="24" t="s">
        <v>148</v>
      </c>
    </row>
    <row r="98" spans="3:6">
      <c r="C98" s="25" t="s">
        <v>58</v>
      </c>
      <c r="D98" s="24" t="s">
        <v>39</v>
      </c>
      <c r="E98" s="24" t="s">
        <v>146</v>
      </c>
      <c r="F98" s="24" t="s">
        <v>149</v>
      </c>
    </row>
    <row r="99" spans="3:6">
      <c r="C99" s="25" t="s">
        <v>58</v>
      </c>
      <c r="D99" s="24" t="s">
        <v>39</v>
      </c>
      <c r="E99" s="24" t="s">
        <v>146</v>
      </c>
      <c r="F99" s="24" t="s">
        <v>150</v>
      </c>
    </row>
    <row r="100" spans="3:6">
      <c r="C100" s="25" t="s">
        <v>58</v>
      </c>
      <c r="D100" s="24" t="s">
        <v>39</v>
      </c>
      <c r="E100" s="24" t="s">
        <v>146</v>
      </c>
      <c r="F100" s="24" t="s">
        <v>151</v>
      </c>
    </row>
    <row r="101" spans="3:6">
      <c r="C101" s="25" t="s">
        <v>58</v>
      </c>
      <c r="D101" s="24" t="s">
        <v>43</v>
      </c>
      <c r="E101" s="24" t="s">
        <v>67</v>
      </c>
      <c r="F101" s="24" t="s">
        <v>153</v>
      </c>
    </row>
    <row r="102" spans="3:6">
      <c r="C102" s="25" t="s">
        <v>58</v>
      </c>
      <c r="D102" s="24" t="s">
        <v>43</v>
      </c>
      <c r="E102" s="24" t="s">
        <v>135</v>
      </c>
      <c r="F102" s="24" t="s">
        <v>168</v>
      </c>
    </row>
    <row r="103" spans="3:6">
      <c r="C103" s="25" t="s">
        <v>58</v>
      </c>
      <c r="D103" s="24" t="s">
        <v>43</v>
      </c>
      <c r="E103" s="24" t="s">
        <v>135</v>
      </c>
      <c r="F103" s="24" t="s">
        <v>169</v>
      </c>
    </row>
    <row r="104" spans="3:6">
      <c r="C104" s="25" t="s">
        <v>58</v>
      </c>
      <c r="D104" s="24" t="s">
        <v>43</v>
      </c>
      <c r="E104" s="24" t="s">
        <v>143</v>
      </c>
      <c r="F104" s="24" t="s">
        <v>144</v>
      </c>
    </row>
    <row r="105" spans="3:6">
      <c r="C105" s="25" t="s">
        <v>58</v>
      </c>
      <c r="D105" s="24" t="s">
        <v>43</v>
      </c>
      <c r="E105" s="24" t="s">
        <v>143</v>
      </c>
      <c r="F105" s="24" t="s">
        <v>145</v>
      </c>
    </row>
    <row r="106" spans="3:6">
      <c r="C106" s="25"/>
      <c r="D106" s="24"/>
      <c r="E106" s="24"/>
      <c r="F106" s="24"/>
    </row>
    <row r="107" spans="3:6">
      <c r="C107" s="25"/>
      <c r="D107" s="24"/>
      <c r="E107" s="24"/>
      <c r="F107" s="24"/>
    </row>
    <row r="108" spans="3:6">
      <c r="C108" s="25"/>
      <c r="D108" s="24"/>
      <c r="E108" s="24"/>
      <c r="F108" s="24"/>
    </row>
    <row r="109" spans="3:6">
      <c r="C109" s="25"/>
      <c r="D109" s="24"/>
      <c r="E109" s="24"/>
      <c r="F109" s="24"/>
    </row>
    <row r="110" spans="3:6">
      <c r="C110" s="25"/>
      <c r="D110" s="24"/>
      <c r="E110" s="24"/>
      <c r="F110" s="24"/>
    </row>
    <row r="111" spans="3:6">
      <c r="C111" s="25"/>
      <c r="D111" s="24"/>
      <c r="E111" s="24"/>
      <c r="F111" s="24"/>
    </row>
    <row r="112" spans="3:6">
      <c r="C112" s="25"/>
      <c r="D112" s="24"/>
      <c r="E112" s="24"/>
      <c r="F112" s="24"/>
    </row>
    <row r="113" spans="2:6">
      <c r="C113" s="25"/>
      <c r="D113" s="24"/>
      <c r="E113" s="24"/>
      <c r="F113" s="24"/>
    </row>
    <row r="114" spans="2:6">
      <c r="C114" s="25"/>
      <c r="D114" s="24"/>
      <c r="E114" s="24"/>
      <c r="F114" s="24"/>
    </row>
    <row r="115" spans="2:6">
      <c r="C115" s="25"/>
      <c r="D115" s="24"/>
      <c r="E115" s="24"/>
      <c r="F115" s="24"/>
    </row>
    <row r="117" spans="2:6" ht="18.75">
      <c r="C117" s="5" t="s">
        <v>73</v>
      </c>
    </row>
    <row r="118" spans="2:6">
      <c r="B118" t="s">
        <v>74</v>
      </c>
      <c r="C118" s="1" t="s">
        <v>75</v>
      </c>
      <c r="D118" s="1" t="s">
        <v>76</v>
      </c>
      <c r="E118" s="1" t="s">
        <v>77</v>
      </c>
      <c r="F118" s="1" t="s">
        <v>78</v>
      </c>
    </row>
    <row r="119" spans="2:6" ht="30">
      <c r="B119" s="7">
        <v>1</v>
      </c>
      <c r="C119" s="1">
        <v>1</v>
      </c>
      <c r="D119" s="21" t="s">
        <v>171</v>
      </c>
      <c r="E119" s="21" t="s">
        <v>172</v>
      </c>
      <c r="F119" s="21" t="s">
        <v>173</v>
      </c>
    </row>
    <row r="120" spans="2:6">
      <c r="B120" s="7">
        <v>1</v>
      </c>
      <c r="C120" s="1">
        <v>2</v>
      </c>
      <c r="D120" s="21" t="s">
        <v>174</v>
      </c>
      <c r="E120" s="21" t="s">
        <v>175</v>
      </c>
      <c r="F120" s="21" t="s">
        <v>173</v>
      </c>
    </row>
    <row r="121" spans="2:6">
      <c r="B121" s="7">
        <v>1</v>
      </c>
      <c r="C121" s="1">
        <v>3</v>
      </c>
      <c r="D121" s="21" t="s">
        <v>176</v>
      </c>
      <c r="E121" s="21"/>
      <c r="F121" s="21" t="s">
        <v>29</v>
      </c>
    </row>
    <row r="122" spans="2:6">
      <c r="B122" s="7">
        <v>1</v>
      </c>
      <c r="C122" s="1">
        <v>4</v>
      </c>
      <c r="D122" s="21" t="s">
        <v>177</v>
      </c>
      <c r="E122" s="21" t="s">
        <v>178</v>
      </c>
      <c r="F122" s="21" t="s">
        <v>173</v>
      </c>
    </row>
    <row r="123" spans="2:6" ht="30">
      <c r="B123" s="7">
        <v>1</v>
      </c>
      <c r="C123" s="1">
        <v>5</v>
      </c>
      <c r="D123" s="21" t="s">
        <v>179</v>
      </c>
      <c r="E123" s="21" t="s">
        <v>180</v>
      </c>
      <c r="F123" s="21" t="s">
        <v>173</v>
      </c>
    </row>
    <row r="124" spans="2:6" ht="30">
      <c r="B124" s="7">
        <v>1</v>
      </c>
      <c r="C124" s="1">
        <v>6</v>
      </c>
      <c r="D124" s="21" t="s">
        <v>181</v>
      </c>
      <c r="E124" s="21" t="s">
        <v>182</v>
      </c>
      <c r="F124" s="21" t="s">
        <v>173</v>
      </c>
    </row>
    <row r="125" spans="2:6">
      <c r="B125" s="7">
        <v>1</v>
      </c>
      <c r="C125" s="1">
        <v>7</v>
      </c>
      <c r="D125" s="21" t="s">
        <v>183</v>
      </c>
      <c r="E125" s="21"/>
      <c r="F125" s="21" t="s">
        <v>29</v>
      </c>
    </row>
    <row r="126" spans="2:6" ht="30">
      <c r="B126" s="7">
        <v>1</v>
      </c>
      <c r="C126" s="1">
        <v>8</v>
      </c>
      <c r="D126" s="21" t="s">
        <v>184</v>
      </c>
      <c r="E126" s="21" t="s">
        <v>185</v>
      </c>
      <c r="F126" s="21" t="s">
        <v>173</v>
      </c>
    </row>
    <row r="127" spans="2:6" ht="45">
      <c r="B127" s="7">
        <v>1</v>
      </c>
      <c r="C127" s="1">
        <v>9</v>
      </c>
      <c r="D127" s="21" t="s">
        <v>186</v>
      </c>
      <c r="E127" s="21" t="s">
        <v>187</v>
      </c>
      <c r="F127" s="21" t="s">
        <v>173</v>
      </c>
    </row>
    <row r="128" spans="2:6">
      <c r="B128" s="7">
        <v>1</v>
      </c>
      <c r="C128" s="1">
        <v>10</v>
      </c>
      <c r="D128" s="21" t="s">
        <v>188</v>
      </c>
      <c r="E128" s="21"/>
      <c r="F128" s="21" t="s">
        <v>29</v>
      </c>
    </row>
    <row r="129" spans="2:6">
      <c r="B129" s="7">
        <v>1</v>
      </c>
      <c r="C129" s="1">
        <v>11</v>
      </c>
      <c r="D129" s="21" t="s">
        <v>189</v>
      </c>
      <c r="E129" s="21"/>
      <c r="F129" s="21" t="s">
        <v>30</v>
      </c>
    </row>
    <row r="130" spans="2:6">
      <c r="B130" s="7">
        <v>1</v>
      </c>
      <c r="C130" s="1">
        <v>12</v>
      </c>
      <c r="D130" s="21"/>
      <c r="E130" s="21"/>
      <c r="F130" s="21"/>
    </row>
  </sheetData>
  <sheetProtection selectLockedCells="1" sort="0" autoFilter="0" pivotTable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15" xr:uid="{199417CD-50E7-40D5-ADCF-61994B27264E}">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E44:E115</xm:sqref>
        </x14:dataValidation>
        <x14:dataValidation type="list" allowBlank="1" showInputMessage="1" showErrorMessage="1" xr:uid="{009B3F76-CBC5-41A8-84DE-D4AD00A25980}">
          <x14:formula1>
            <xm:f>LISTS!$E$7:$E$11</xm:f>
          </x14:formula1>
          <xm:sqref>D44:D115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30"/>
  <sheetViews>
    <sheetView showGridLines="0" topLeftCell="A29" zoomScale="85" zoomScaleNormal="85" workbookViewId="0">
      <selection activeCell="F24" sqref="F24"/>
    </sheetView>
  </sheetViews>
  <sheetFormatPr defaultRowHeight="1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20" t="str">
        <f>D7</f>
        <v>5204SPS</v>
      </c>
      <c r="D2" s="20" t="str">
        <f>D8</f>
        <v>Physical Education in Action 1</v>
      </c>
    </row>
    <row r="3" spans="2:6">
      <c r="B3" s="1"/>
      <c r="C3" s="1"/>
    </row>
    <row r="4" spans="2:6">
      <c r="B4" s="2"/>
      <c r="C4" s="2"/>
    </row>
    <row r="5" spans="2:6" ht="18.75">
      <c r="B5" s="2"/>
      <c r="C5" s="5" t="s">
        <v>0</v>
      </c>
    </row>
    <row r="6" spans="2:6">
      <c r="B6" s="2"/>
      <c r="C6" s="3" t="s">
        <v>1</v>
      </c>
      <c r="D6" s="4" t="s">
        <v>2</v>
      </c>
      <c r="E6" s="4"/>
      <c r="F6" t="s">
        <v>3</v>
      </c>
    </row>
    <row r="7" spans="2:6" ht="90.75">
      <c r="B7" s="2"/>
      <c r="C7" s="3" t="s">
        <v>4</v>
      </c>
      <c r="D7" s="21" t="s">
        <v>190</v>
      </c>
      <c r="E7" s="4"/>
      <c r="F7" s="40" t="s">
        <v>191</v>
      </c>
    </row>
    <row r="8" spans="2:6">
      <c r="B8" s="2"/>
      <c r="C8" s="3" t="s">
        <v>6</v>
      </c>
      <c r="D8" s="21" t="s">
        <v>192</v>
      </c>
      <c r="E8" s="4"/>
      <c r="F8" s="24"/>
    </row>
    <row r="9" spans="2:6">
      <c r="C9" s="3" t="s">
        <v>9</v>
      </c>
      <c r="D9" s="21">
        <v>20</v>
      </c>
      <c r="E9" s="4"/>
    </row>
    <row r="10" spans="2:6">
      <c r="C10" s="3" t="s">
        <v>10</v>
      </c>
      <c r="D10" s="21">
        <v>2</v>
      </c>
      <c r="E10" s="4"/>
      <c r="F10" t="s">
        <v>11</v>
      </c>
    </row>
    <row r="11" spans="2:6" ht="129">
      <c r="C11" s="3" t="s">
        <v>12</v>
      </c>
      <c r="D11" s="21">
        <v>5</v>
      </c>
      <c r="E11" s="4"/>
      <c r="F11" s="38" t="s">
        <v>193</v>
      </c>
    </row>
    <row r="12" spans="2:6">
      <c r="C12" s="3" t="s">
        <v>14</v>
      </c>
      <c r="D12" s="21" t="s">
        <v>194</v>
      </c>
      <c r="E12" s="4"/>
      <c r="F12" s="41"/>
    </row>
    <row r="13" spans="2:6">
      <c r="C13" s="3" t="s">
        <v>17</v>
      </c>
      <c r="D13" s="21" t="s">
        <v>126</v>
      </c>
      <c r="E13" s="4"/>
      <c r="F13" s="24"/>
    </row>
    <row r="14" spans="2:6">
      <c r="C14" s="3" t="s">
        <v>19</v>
      </c>
      <c r="D14" s="21" t="s">
        <v>20</v>
      </c>
      <c r="E14" s="4"/>
    </row>
    <row r="15" spans="2:6">
      <c r="C15" s="3"/>
      <c r="D15" s="4"/>
      <c r="E15" s="4"/>
      <c r="F15" t="s">
        <v>21</v>
      </c>
    </row>
    <row r="16" spans="2:6" ht="90.75">
      <c r="C16" s="3"/>
      <c r="D16" s="4"/>
      <c r="E16" s="4"/>
      <c r="F16" s="40" t="s">
        <v>195</v>
      </c>
    </row>
    <row r="17" spans="3:6" ht="18.75">
      <c r="C17" s="5" t="s">
        <v>23</v>
      </c>
      <c r="D17" s="4"/>
      <c r="E17" s="4"/>
      <c r="F17" s="24"/>
    </row>
    <row r="18" spans="3:6">
      <c r="C18" s="3" t="s">
        <v>25</v>
      </c>
      <c r="D18" s="1" t="s">
        <v>23</v>
      </c>
      <c r="E18" s="4"/>
      <c r="F18" s="24"/>
    </row>
    <row r="19" spans="3:6">
      <c r="C19" s="3" t="s">
        <v>27</v>
      </c>
      <c r="D19" s="26">
        <v>0</v>
      </c>
      <c r="E19" s="4"/>
      <c r="F19" s="24"/>
    </row>
    <row r="20" spans="3:6">
      <c r="C20" s="3" t="s">
        <v>28</v>
      </c>
      <c r="D20" s="26">
        <v>0</v>
      </c>
      <c r="E20" s="4"/>
      <c r="F20" s="24"/>
    </row>
    <row r="21" spans="3:6">
      <c r="C21" s="3" t="s">
        <v>29</v>
      </c>
      <c r="D21" s="26">
        <v>0</v>
      </c>
      <c r="E21" s="4"/>
    </row>
    <row r="22" spans="3:6">
      <c r="C22" s="3" t="s">
        <v>30</v>
      </c>
      <c r="D22" s="26">
        <v>40</v>
      </c>
      <c r="E22" s="4"/>
      <c r="F22" t="s">
        <v>31</v>
      </c>
    </row>
    <row r="23" spans="3:6">
      <c r="C23" s="3" t="s">
        <v>32</v>
      </c>
      <c r="D23" s="26">
        <v>0</v>
      </c>
      <c r="E23" s="4"/>
      <c r="F23" s="24" t="s">
        <v>128</v>
      </c>
    </row>
    <row r="24" spans="3:6">
      <c r="C24" s="3" t="s">
        <v>34</v>
      </c>
      <c r="D24" s="1">
        <f>SUM(D19:D23)</f>
        <v>40</v>
      </c>
      <c r="E24" s="4"/>
      <c r="F24" s="49" t="s">
        <v>196</v>
      </c>
    </row>
    <row r="25" spans="3:6">
      <c r="F25" s="49" t="s">
        <v>197</v>
      </c>
    </row>
    <row r="26" spans="3:6">
      <c r="F26" s="49" t="s">
        <v>198</v>
      </c>
    </row>
    <row r="27" spans="3:6" ht="18.75">
      <c r="C27" s="5" t="s">
        <v>35</v>
      </c>
      <c r="D27" s="12" t="s">
        <v>36</v>
      </c>
      <c r="F27" s="24"/>
    </row>
    <row r="28" spans="3:6">
      <c r="C28" s="3" t="s">
        <v>37</v>
      </c>
      <c r="D28" s="3" t="s">
        <v>38</v>
      </c>
      <c r="E28" s="3"/>
      <c r="F28" s="24"/>
    </row>
    <row r="29" spans="3:6" ht="57.75">
      <c r="C29" s="3" t="s">
        <v>39</v>
      </c>
      <c r="D29" s="38" t="s">
        <v>199</v>
      </c>
      <c r="E29" s="4"/>
      <c r="F29" s="24"/>
    </row>
    <row r="30" spans="3:6" ht="43.5">
      <c r="C30" s="3" t="s">
        <v>41</v>
      </c>
      <c r="D30" s="39" t="s">
        <v>200</v>
      </c>
      <c r="E30" s="4"/>
      <c r="F30" s="24"/>
    </row>
    <row r="31" spans="3:6" ht="57.75">
      <c r="C31" s="3" t="s">
        <v>43</v>
      </c>
      <c r="D31" s="38" t="s">
        <v>201</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t="s">
        <v>202</v>
      </c>
      <c r="G38" s="23">
        <v>1</v>
      </c>
      <c r="H38" s="21">
        <v>33</v>
      </c>
    </row>
    <row r="39" spans="3:8">
      <c r="C39" s="3" t="s">
        <v>58</v>
      </c>
      <c r="D39" s="21"/>
      <c r="E39" s="21"/>
      <c r="F39" s="21"/>
      <c r="G39" s="23"/>
      <c r="H39" s="21"/>
    </row>
    <row r="40" spans="3:8">
      <c r="C40" s="3"/>
    </row>
    <row r="41" spans="3:8" ht="18" customHeight="1"/>
    <row r="42" spans="3:8" ht="40.5" customHeight="1">
      <c r="C42" s="5" t="s">
        <v>61</v>
      </c>
      <c r="D42" s="12"/>
    </row>
    <row r="43" spans="3:8">
      <c r="C43" s="1" t="s">
        <v>48</v>
      </c>
      <c r="D43" s="1" t="s">
        <v>37</v>
      </c>
      <c r="E43" s="1" t="s">
        <v>62</v>
      </c>
      <c r="F43" s="1" t="s">
        <v>63</v>
      </c>
    </row>
    <row r="44" spans="3:8">
      <c r="C44" s="25" t="s">
        <v>54</v>
      </c>
      <c r="D44" s="24" t="s">
        <v>39</v>
      </c>
      <c r="E44" s="24" t="s">
        <v>67</v>
      </c>
      <c r="F44" s="24" t="s">
        <v>152</v>
      </c>
    </row>
    <row r="45" spans="3:8">
      <c r="C45" s="25" t="s">
        <v>54</v>
      </c>
      <c r="D45" s="24" t="s">
        <v>41</v>
      </c>
      <c r="E45" s="24" t="s">
        <v>67</v>
      </c>
      <c r="F45" s="24" t="s">
        <v>152</v>
      </c>
    </row>
    <row r="46" spans="3:8">
      <c r="C46" s="25" t="s">
        <v>54</v>
      </c>
      <c r="D46" s="24" t="s">
        <v>43</v>
      </c>
      <c r="E46" s="24" t="s">
        <v>67</v>
      </c>
      <c r="F46" s="24" t="s">
        <v>203</v>
      </c>
    </row>
    <row r="47" spans="3:8">
      <c r="C47" s="25" t="s">
        <v>54</v>
      </c>
      <c r="D47" s="24" t="s">
        <v>39</v>
      </c>
      <c r="E47" s="24" t="s">
        <v>143</v>
      </c>
      <c r="F47" s="24" t="s">
        <v>144</v>
      </c>
    </row>
    <row r="48" spans="3:8">
      <c r="C48" s="25" t="s">
        <v>54</v>
      </c>
      <c r="D48" s="24" t="s">
        <v>39</v>
      </c>
      <c r="E48" s="24" t="s">
        <v>69</v>
      </c>
      <c r="F48" s="24" t="s">
        <v>140</v>
      </c>
    </row>
    <row r="49" spans="3:6">
      <c r="C49" s="25" t="s">
        <v>54</v>
      </c>
      <c r="D49" s="24" t="s">
        <v>41</v>
      </c>
      <c r="E49" s="24" t="s">
        <v>69</v>
      </c>
      <c r="F49" s="24" t="s">
        <v>140</v>
      </c>
    </row>
    <row r="50" spans="3:6">
      <c r="C50" s="25" t="s">
        <v>54</v>
      </c>
      <c r="D50" s="24" t="s">
        <v>43</v>
      </c>
      <c r="E50" s="24" t="s">
        <v>69</v>
      </c>
      <c r="F50" s="24"/>
    </row>
    <row r="51" spans="3:6">
      <c r="C51" s="25" t="s">
        <v>54</v>
      </c>
      <c r="D51" s="24"/>
      <c r="E51" s="24"/>
      <c r="F51" s="24"/>
    </row>
    <row r="52" spans="3:6">
      <c r="C52" s="25" t="s">
        <v>54</v>
      </c>
      <c r="D52" s="24"/>
      <c r="E52" s="24"/>
      <c r="F52" s="24"/>
    </row>
    <row r="53" spans="3:6">
      <c r="C53" s="25" t="s">
        <v>54</v>
      </c>
      <c r="D53" s="24"/>
      <c r="E53" s="24"/>
      <c r="F53" s="24"/>
    </row>
    <row r="54" spans="3:6">
      <c r="C54" s="25" t="s">
        <v>54</v>
      </c>
      <c r="D54" s="24"/>
      <c r="E54" s="24"/>
      <c r="F54" s="24"/>
    </row>
    <row r="55" spans="3:6">
      <c r="C55" s="25" t="s">
        <v>54</v>
      </c>
      <c r="D55" s="24"/>
      <c r="E55" s="24"/>
      <c r="F55" s="24"/>
    </row>
    <row r="56" spans="3:6" ht="14.25" customHeight="1">
      <c r="C56" s="25" t="s">
        <v>54</v>
      </c>
      <c r="D56" s="24"/>
      <c r="E56" s="24"/>
      <c r="F56" s="24"/>
    </row>
    <row r="57" spans="3:6" ht="14.25" customHeight="1">
      <c r="C57" s="25" t="s">
        <v>54</v>
      </c>
      <c r="D57" s="24"/>
      <c r="E57" s="24"/>
      <c r="F57" s="24"/>
    </row>
    <row r="58" spans="3:6" ht="14.25" customHeight="1">
      <c r="C58" s="25" t="s">
        <v>54</v>
      </c>
      <c r="D58" s="24"/>
      <c r="E58" s="24"/>
      <c r="F58" s="24"/>
    </row>
    <row r="59" spans="3:6" ht="14.25" customHeight="1">
      <c r="C59" s="25" t="s">
        <v>54</v>
      </c>
      <c r="D59" s="24"/>
      <c r="E59" s="24"/>
      <c r="F59" s="24"/>
    </row>
    <row r="60" spans="3:6" ht="14.25" customHeight="1">
      <c r="C60" s="25" t="s">
        <v>54</v>
      </c>
      <c r="D60" s="24"/>
      <c r="E60" s="24"/>
      <c r="F60" s="24"/>
    </row>
    <row r="61" spans="3:6">
      <c r="C61" s="25" t="s">
        <v>54</v>
      </c>
      <c r="D61" s="24"/>
      <c r="E61" s="24"/>
      <c r="F61" s="24"/>
    </row>
    <row r="62" spans="3:6">
      <c r="C62" s="25" t="s">
        <v>54</v>
      </c>
      <c r="D62" s="24"/>
      <c r="E62" s="24"/>
      <c r="F62" s="24"/>
    </row>
    <row r="63" spans="3:6">
      <c r="C63" s="25" t="s">
        <v>54</v>
      </c>
      <c r="D63" s="24"/>
      <c r="E63" s="24"/>
      <c r="F63" s="24"/>
    </row>
    <row r="64" spans="3:6">
      <c r="C64" s="25" t="s">
        <v>54</v>
      </c>
      <c r="D64" s="24"/>
      <c r="E64" s="24"/>
      <c r="F64" s="24"/>
    </row>
    <row r="65" spans="3:6">
      <c r="C65" s="25" t="s">
        <v>54</v>
      </c>
      <c r="D65" s="24"/>
      <c r="E65" s="24"/>
      <c r="F65" s="24"/>
    </row>
    <row r="66" spans="3:6">
      <c r="C66" s="25" t="s">
        <v>54</v>
      </c>
      <c r="D66" s="24"/>
      <c r="E66" s="24"/>
      <c r="F66" s="24"/>
    </row>
    <row r="67" spans="3:6">
      <c r="C67" s="25" t="s">
        <v>54</v>
      </c>
      <c r="D67" s="24"/>
      <c r="E67" s="24"/>
      <c r="F67" s="24"/>
    </row>
    <row r="68" spans="3:6">
      <c r="C68" s="25" t="s">
        <v>54</v>
      </c>
      <c r="D68" s="24"/>
      <c r="E68" s="24"/>
      <c r="F68" s="24"/>
    </row>
    <row r="69" spans="3:6">
      <c r="C69" s="25" t="s">
        <v>54</v>
      </c>
      <c r="D69" s="24"/>
      <c r="E69" s="24"/>
      <c r="F69" s="24"/>
    </row>
    <row r="70" spans="3:6">
      <c r="C70" s="25" t="s">
        <v>54</v>
      </c>
      <c r="D70" s="24"/>
      <c r="E70" s="24"/>
      <c r="F70" s="24"/>
    </row>
    <row r="71" spans="3:6">
      <c r="C71" s="25" t="s">
        <v>54</v>
      </c>
      <c r="D71" s="24"/>
      <c r="E71" s="24"/>
      <c r="F71" s="24"/>
    </row>
    <row r="72" spans="3:6">
      <c r="C72" s="25" t="s">
        <v>54</v>
      </c>
      <c r="D72" s="24"/>
      <c r="E72" s="24"/>
      <c r="F72" s="24"/>
    </row>
    <row r="73" spans="3:6">
      <c r="C73" s="25" t="s">
        <v>54</v>
      </c>
      <c r="D73" s="24"/>
      <c r="E73" s="24"/>
      <c r="F73" s="24"/>
    </row>
    <row r="74" spans="3:6">
      <c r="C74" s="25" t="s">
        <v>54</v>
      </c>
      <c r="D74" s="24"/>
      <c r="E74" s="24"/>
      <c r="F74" s="24"/>
    </row>
    <row r="75" spans="3:6">
      <c r="C75" s="25" t="s">
        <v>54</v>
      </c>
      <c r="D75" s="24"/>
      <c r="E75" s="24"/>
      <c r="F75" s="24"/>
    </row>
    <row r="76" spans="3:6">
      <c r="C76" s="25" t="s">
        <v>54</v>
      </c>
      <c r="D76" s="24"/>
      <c r="E76" s="24"/>
      <c r="F76" s="24"/>
    </row>
    <row r="77" spans="3:6">
      <c r="C77" s="25" t="s">
        <v>54</v>
      </c>
      <c r="D77" s="24"/>
      <c r="E77" s="24"/>
      <c r="F77" s="24"/>
    </row>
    <row r="78" spans="3:6">
      <c r="C78" s="25" t="s">
        <v>54</v>
      </c>
      <c r="D78" s="24"/>
      <c r="E78" s="24"/>
      <c r="F78" s="24"/>
    </row>
    <row r="79" spans="3:6">
      <c r="C79" s="25" t="s">
        <v>54</v>
      </c>
      <c r="D79" s="24"/>
      <c r="E79" s="24"/>
      <c r="F79" s="24"/>
    </row>
    <row r="80" spans="3:6">
      <c r="C80" s="25" t="s">
        <v>54</v>
      </c>
      <c r="D80" s="24"/>
      <c r="E80" s="24"/>
      <c r="F80" s="24"/>
    </row>
    <row r="81" spans="3:6">
      <c r="C81" s="25" t="s">
        <v>54</v>
      </c>
      <c r="D81" s="24"/>
      <c r="E81" s="24"/>
      <c r="F81" s="24"/>
    </row>
    <row r="82" spans="3:6">
      <c r="C82" s="25" t="s">
        <v>54</v>
      </c>
      <c r="D82" s="24"/>
      <c r="E82" s="24"/>
      <c r="F82" s="24"/>
    </row>
    <row r="83" spans="3:6">
      <c r="C83" s="25" t="s">
        <v>54</v>
      </c>
      <c r="D83" s="24"/>
      <c r="E83" s="24"/>
      <c r="F83" s="24"/>
    </row>
    <row r="84" spans="3:6">
      <c r="C84" s="25" t="s">
        <v>54</v>
      </c>
      <c r="D84" s="24"/>
      <c r="E84" s="24"/>
      <c r="F84" s="24"/>
    </row>
    <row r="85" spans="3:6">
      <c r="C85" s="25" t="s">
        <v>54</v>
      </c>
      <c r="D85" s="24"/>
      <c r="E85" s="24"/>
      <c r="F85" s="24"/>
    </row>
    <row r="86" spans="3:6">
      <c r="C86" s="25" t="s">
        <v>54</v>
      </c>
      <c r="D86" s="24"/>
      <c r="E86" s="24"/>
      <c r="F86" s="24"/>
    </row>
    <row r="87" spans="3:6">
      <c r="C87" s="25" t="s">
        <v>54</v>
      </c>
      <c r="D87" s="24"/>
      <c r="E87" s="24"/>
      <c r="F87" s="24"/>
    </row>
    <row r="88" spans="3:6">
      <c r="C88" s="25" t="s">
        <v>54</v>
      </c>
      <c r="D88" s="24"/>
      <c r="E88" s="24"/>
      <c r="F88" s="24"/>
    </row>
    <row r="89" spans="3:6">
      <c r="C89" s="25" t="s">
        <v>58</v>
      </c>
      <c r="D89" s="24"/>
      <c r="E89" s="24"/>
      <c r="F89" s="24"/>
    </row>
    <row r="90" spans="3:6">
      <c r="C90" s="25" t="s">
        <v>58</v>
      </c>
      <c r="D90" s="24"/>
      <c r="E90" s="24"/>
      <c r="F90" s="24"/>
    </row>
    <row r="91" spans="3:6">
      <c r="C91" s="25" t="s">
        <v>58</v>
      </c>
      <c r="D91" s="24"/>
      <c r="E91" s="24"/>
      <c r="F91" s="24"/>
    </row>
    <row r="92" spans="3:6">
      <c r="C92" s="25" t="s">
        <v>58</v>
      </c>
      <c r="D92" s="24"/>
      <c r="E92" s="24"/>
      <c r="F92" s="24"/>
    </row>
    <row r="93" spans="3:6">
      <c r="C93" s="25" t="s">
        <v>58</v>
      </c>
      <c r="D93" s="24"/>
      <c r="E93" s="24"/>
      <c r="F93" s="24"/>
    </row>
    <row r="94" spans="3:6">
      <c r="C94" s="25" t="s">
        <v>58</v>
      </c>
      <c r="D94" s="24"/>
      <c r="E94" s="24"/>
      <c r="F94" s="24"/>
    </row>
    <row r="95" spans="3:6">
      <c r="C95" s="25" t="s">
        <v>58</v>
      </c>
      <c r="D95" s="24"/>
      <c r="E95" s="24"/>
      <c r="F95" s="24"/>
    </row>
    <row r="96" spans="3:6">
      <c r="C96" s="25" t="s">
        <v>58</v>
      </c>
      <c r="D96" s="24"/>
      <c r="E96" s="24"/>
      <c r="F96" s="24"/>
    </row>
    <row r="97" spans="3:6">
      <c r="C97" s="25" t="s">
        <v>58</v>
      </c>
      <c r="D97" s="24"/>
      <c r="E97" s="24"/>
      <c r="F97" s="24"/>
    </row>
    <row r="98" spans="3:6">
      <c r="C98" s="25" t="s">
        <v>58</v>
      </c>
      <c r="D98" s="24"/>
      <c r="E98" s="24"/>
      <c r="F98" s="24"/>
    </row>
    <row r="99" spans="3:6">
      <c r="C99" s="25" t="s">
        <v>58</v>
      </c>
      <c r="D99" s="24"/>
      <c r="E99" s="24"/>
      <c r="F99" s="24"/>
    </row>
    <row r="100" spans="3:6">
      <c r="C100" s="25" t="s">
        <v>58</v>
      </c>
      <c r="D100" s="24"/>
      <c r="E100" s="24"/>
      <c r="F100" s="24"/>
    </row>
    <row r="101" spans="3:6">
      <c r="C101" s="25" t="s">
        <v>58</v>
      </c>
      <c r="D101" s="24"/>
      <c r="E101" s="24"/>
      <c r="F101" s="24"/>
    </row>
    <row r="102" spans="3:6">
      <c r="C102" s="25" t="s">
        <v>58</v>
      </c>
      <c r="D102" s="24"/>
      <c r="E102" s="24"/>
      <c r="F102" s="24"/>
    </row>
    <row r="103" spans="3:6">
      <c r="C103" s="25" t="s">
        <v>58</v>
      </c>
      <c r="D103" s="24"/>
      <c r="E103" s="24"/>
      <c r="F103" s="24"/>
    </row>
    <row r="104" spans="3:6">
      <c r="C104" s="25" t="s">
        <v>58</v>
      </c>
      <c r="D104" s="24"/>
      <c r="E104" s="24"/>
      <c r="F104" s="24"/>
    </row>
    <row r="105" spans="3:6">
      <c r="C105" s="25" t="s">
        <v>58</v>
      </c>
      <c r="D105" s="24"/>
      <c r="E105" s="24"/>
      <c r="F105" s="24"/>
    </row>
    <row r="106" spans="3:6">
      <c r="C106" s="25"/>
      <c r="D106" s="24"/>
      <c r="E106" s="24"/>
      <c r="F106" s="24"/>
    </row>
    <row r="107" spans="3:6">
      <c r="C107" s="25"/>
      <c r="D107" s="24"/>
      <c r="E107" s="24"/>
      <c r="F107" s="24"/>
    </row>
    <row r="108" spans="3:6">
      <c r="C108" s="25"/>
      <c r="D108" s="24"/>
      <c r="E108" s="24"/>
      <c r="F108" s="24"/>
    </row>
    <row r="109" spans="3:6">
      <c r="C109" s="25"/>
      <c r="D109" s="24"/>
      <c r="E109" s="24"/>
      <c r="F109" s="24"/>
    </row>
    <row r="110" spans="3:6">
      <c r="C110" s="25"/>
      <c r="D110" s="24"/>
      <c r="E110" s="24"/>
      <c r="F110" s="24"/>
    </row>
    <row r="111" spans="3:6">
      <c r="C111" s="25"/>
      <c r="D111" s="24"/>
      <c r="E111" s="24"/>
      <c r="F111" s="24"/>
    </row>
    <row r="112" spans="3:6">
      <c r="C112" s="25"/>
      <c r="D112" s="24"/>
      <c r="E112" s="24"/>
      <c r="F112" s="24"/>
    </row>
    <row r="113" spans="2:6">
      <c r="C113" s="25"/>
      <c r="D113" s="24"/>
      <c r="E113" s="24"/>
      <c r="F113" s="24"/>
    </row>
    <row r="114" spans="2:6">
      <c r="C114" s="25"/>
      <c r="D114" s="24"/>
      <c r="E114" s="24"/>
      <c r="F114" s="24"/>
    </row>
    <row r="115" spans="2:6">
      <c r="C115" s="25"/>
      <c r="D115" s="24"/>
      <c r="E115" s="24"/>
      <c r="F115" s="24"/>
    </row>
    <row r="117" spans="2:6" ht="18.75">
      <c r="C117" s="5" t="s">
        <v>73</v>
      </c>
    </row>
    <row r="118" spans="2:6">
      <c r="B118" t="s">
        <v>74</v>
      </c>
      <c r="C118" s="1" t="s">
        <v>75</v>
      </c>
      <c r="D118" s="1" t="s">
        <v>76</v>
      </c>
      <c r="E118" s="1" t="s">
        <v>77</v>
      </c>
      <c r="F118" s="1" t="s">
        <v>78</v>
      </c>
    </row>
    <row r="119" spans="2:6" ht="47.25">
      <c r="B119" s="7">
        <v>2</v>
      </c>
      <c r="C119" s="1">
        <v>1</v>
      </c>
      <c r="D119" s="44" t="s">
        <v>204</v>
      </c>
      <c r="E119" s="43" t="s">
        <v>205</v>
      </c>
      <c r="F119" s="21"/>
    </row>
    <row r="120" spans="2:6" ht="48" thickBot="1">
      <c r="B120" s="7">
        <v>2</v>
      </c>
      <c r="C120" s="1">
        <v>2</v>
      </c>
      <c r="D120" s="45" t="s">
        <v>206</v>
      </c>
      <c r="E120" s="42" t="s">
        <v>207</v>
      </c>
      <c r="F120" s="21"/>
    </row>
    <row r="121" spans="2:6" ht="47.25">
      <c r="B121" s="7">
        <v>2</v>
      </c>
      <c r="C121" s="1">
        <v>3</v>
      </c>
      <c r="D121" s="46" t="s">
        <v>208</v>
      </c>
      <c r="E121" s="43" t="s">
        <v>209</v>
      </c>
      <c r="F121" s="21"/>
    </row>
    <row r="122" spans="2:6" ht="31.5">
      <c r="B122" s="7">
        <v>2</v>
      </c>
      <c r="C122" s="1">
        <v>4</v>
      </c>
      <c r="D122" s="44" t="s">
        <v>210</v>
      </c>
      <c r="E122" s="43" t="s">
        <v>211</v>
      </c>
      <c r="F122" s="21"/>
    </row>
    <row r="123" spans="2:6" ht="31.5">
      <c r="B123" s="7">
        <v>2</v>
      </c>
      <c r="C123" s="1">
        <v>5</v>
      </c>
      <c r="D123" s="44" t="s">
        <v>212</v>
      </c>
      <c r="E123" s="43" t="s">
        <v>213</v>
      </c>
      <c r="F123" s="21"/>
    </row>
    <row r="124" spans="2:6" ht="31.5">
      <c r="B124" s="7">
        <v>2</v>
      </c>
      <c r="C124" s="1">
        <v>6</v>
      </c>
      <c r="D124" s="44" t="s">
        <v>214</v>
      </c>
      <c r="E124" s="43" t="s">
        <v>215</v>
      </c>
      <c r="F124" s="21"/>
    </row>
    <row r="125" spans="2:6" ht="63">
      <c r="B125" s="7">
        <v>2</v>
      </c>
      <c r="C125" s="1">
        <v>7</v>
      </c>
      <c r="D125" s="48" t="s">
        <v>216</v>
      </c>
      <c r="E125" s="43" t="s">
        <v>217</v>
      </c>
      <c r="F125" s="21"/>
    </row>
    <row r="126" spans="2:6" ht="31.5">
      <c r="B126" s="7">
        <v>2</v>
      </c>
      <c r="C126" s="1">
        <v>8</v>
      </c>
      <c r="D126" s="44" t="s">
        <v>218</v>
      </c>
      <c r="E126" s="43" t="s">
        <v>219</v>
      </c>
      <c r="F126" s="21"/>
    </row>
    <row r="127" spans="2:6" ht="63">
      <c r="B127" s="7">
        <v>2</v>
      </c>
      <c r="C127" s="1">
        <v>9</v>
      </c>
      <c r="D127" s="44" t="s">
        <v>220</v>
      </c>
      <c r="E127" s="43" t="s">
        <v>221</v>
      </c>
      <c r="F127" s="21"/>
    </row>
    <row r="128" spans="2:6" ht="15.75">
      <c r="B128" s="7">
        <v>2</v>
      </c>
      <c r="C128" s="1">
        <v>10</v>
      </c>
      <c r="D128" s="47" t="s">
        <v>222</v>
      </c>
      <c r="E128" s="42" t="s">
        <v>223</v>
      </c>
      <c r="F128" s="21"/>
    </row>
    <row r="129" spans="2:6" ht="15.75">
      <c r="B129" s="7">
        <v>2</v>
      </c>
      <c r="C129" s="1">
        <v>11</v>
      </c>
      <c r="D129" s="47" t="s">
        <v>224</v>
      </c>
      <c r="E129" s="42"/>
      <c r="F129" s="21"/>
    </row>
    <row r="130" spans="2:6" ht="15.75">
      <c r="B130" s="7">
        <v>2</v>
      </c>
      <c r="C130" s="1">
        <v>12</v>
      </c>
      <c r="D130" s="42"/>
      <c r="E130" s="42"/>
      <c r="F130" s="21"/>
    </row>
  </sheetData>
  <sheetProtection selectLockedCells="1" sort="0" autoFilter="0" pivotTables="0"/>
  <dataValidations count="4">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 type="list" allowBlank="1" showInputMessage="1" showErrorMessage="1" sqref="F44:F45 F47:F115" xr:uid="{B5DA787C-69D7-4AEC-A192-7D7B15767502}">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 type="list" allowBlank="1" showInputMessage="1" showErrorMessage="1" xr:uid="{2F590632-B7AC-4867-BC22-1E98EBA3511E}">
          <x14:formula1>
            <xm:f>LISTS!$E$7:$E$11</xm:f>
          </x14:formula1>
          <xm:sqref>D44:D45 D47:D115</xm:sqref>
        </x14:dataValidation>
        <x14:dataValidation type="list" allowBlank="1" showInputMessage="1" showErrorMessage="1" xr:uid="{A7E0E6F2-B856-4D5F-9906-2391C976A427}">
          <x14:formula1>
            <xm:f>LISTS!$J$7:$J$16</xm:f>
          </x14:formula1>
          <xm:sqref>E44:E115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72A2-D3CD-4F57-8330-31E84B5C7CBF}">
  <dimension ref="B2:H82"/>
  <sheetViews>
    <sheetView showGridLines="0" topLeftCell="E1" zoomScale="117" zoomScaleNormal="117" workbookViewId="0">
      <selection activeCell="F7" sqref="F7"/>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
        <v>225</v>
      </c>
      <c r="D2" s="20" t="s">
        <v>226</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225</v>
      </c>
      <c r="E7" s="4"/>
      <c r="F7" s="50" t="s">
        <v>227</v>
      </c>
    </row>
    <row r="8" spans="2:6">
      <c r="B8" s="2"/>
      <c r="C8" s="3" t="s">
        <v>6</v>
      </c>
      <c r="D8" s="21" t="s">
        <v>226</v>
      </c>
      <c r="E8" s="4"/>
      <c r="F8" s="24"/>
    </row>
    <row r="9" spans="2:6">
      <c r="C9" s="3" t="s">
        <v>9</v>
      </c>
      <c r="D9" s="21">
        <v>20</v>
      </c>
      <c r="E9" s="4"/>
    </row>
    <row r="10" spans="2:6">
      <c r="C10" s="3" t="s">
        <v>10</v>
      </c>
      <c r="D10" s="21">
        <v>2</v>
      </c>
      <c r="E10" s="4"/>
      <c r="F10" t="s">
        <v>11</v>
      </c>
    </row>
    <row r="11" spans="2:6" ht="40.5">
      <c r="C11" s="3" t="s">
        <v>12</v>
      </c>
      <c r="D11" s="21">
        <v>6</v>
      </c>
      <c r="E11" s="4"/>
      <c r="F11" s="51" t="s">
        <v>228</v>
      </c>
    </row>
    <row r="12" spans="2:6">
      <c r="C12" s="3" t="s">
        <v>14</v>
      </c>
      <c r="D12" s="21" t="s">
        <v>194</v>
      </c>
      <c r="E12" s="4"/>
      <c r="F12" s="24"/>
    </row>
    <row r="13" spans="2:6">
      <c r="C13" s="3" t="s">
        <v>17</v>
      </c>
      <c r="D13" s="21" t="s">
        <v>126</v>
      </c>
      <c r="E13" s="4"/>
      <c r="F13" s="24"/>
    </row>
    <row r="14" spans="2:6">
      <c r="C14" s="3" t="s">
        <v>19</v>
      </c>
      <c r="D14" s="21" t="s">
        <v>20</v>
      </c>
      <c r="E14" s="4"/>
    </row>
    <row r="15" spans="2:6">
      <c r="C15" s="3"/>
      <c r="D15" s="4"/>
      <c r="E15" s="4"/>
      <c r="F15" t="s">
        <v>21</v>
      </c>
    </row>
    <row r="16" spans="2:6" ht="121.5">
      <c r="C16" s="3"/>
      <c r="D16" s="4"/>
      <c r="E16" s="4"/>
      <c r="F16" s="52" t="s">
        <v>229</v>
      </c>
    </row>
    <row r="17" spans="3:6" ht="18.75">
      <c r="C17" s="5" t="s">
        <v>23</v>
      </c>
      <c r="D17" s="4"/>
      <c r="E17" s="4"/>
      <c r="F17" s="24"/>
    </row>
    <row r="18" spans="3:6">
      <c r="C18" s="3" t="s">
        <v>25</v>
      </c>
      <c r="D18" s="1" t="s">
        <v>23</v>
      </c>
      <c r="E18" s="4"/>
      <c r="F18" s="24"/>
    </row>
    <row r="19" spans="3:6">
      <c r="C19" s="3" t="s">
        <v>27</v>
      </c>
      <c r="D19" s="22"/>
      <c r="E19" s="4"/>
      <c r="F19" s="24"/>
    </row>
    <row r="20" spans="3:6">
      <c r="C20" s="3" t="s">
        <v>28</v>
      </c>
      <c r="D20" s="22"/>
      <c r="E20" s="4"/>
      <c r="F20" s="24"/>
    </row>
    <row r="21" spans="3:6">
      <c r="C21" s="3" t="s">
        <v>29</v>
      </c>
      <c r="D21" s="22"/>
      <c r="E21" s="4"/>
    </row>
    <row r="22" spans="3:6">
      <c r="C22" s="3" t="s">
        <v>30</v>
      </c>
      <c r="D22" s="22">
        <v>20</v>
      </c>
      <c r="E22" s="4"/>
      <c r="F22" t="s">
        <v>31</v>
      </c>
    </row>
    <row r="23" spans="3:6">
      <c r="C23" s="3" t="s">
        <v>32</v>
      </c>
      <c r="D23" s="22"/>
      <c r="E23" s="4"/>
      <c r="F23" s="24"/>
    </row>
    <row r="24" spans="3:6">
      <c r="C24" s="3" t="s">
        <v>34</v>
      </c>
      <c r="D24" s="1">
        <f>SUM(D19:D23)</f>
        <v>20</v>
      </c>
      <c r="E24" s="4"/>
      <c r="F24" s="24"/>
    </row>
    <row r="25" spans="3:6">
      <c r="F25" s="24"/>
    </row>
    <row r="26" spans="3:6">
      <c r="F26" s="24"/>
    </row>
    <row r="27" spans="3:6" ht="18.75">
      <c r="C27" s="5" t="s">
        <v>35</v>
      </c>
      <c r="D27" s="12" t="s">
        <v>36</v>
      </c>
      <c r="F27" s="24"/>
    </row>
    <row r="28" spans="3:6">
      <c r="C28" s="3" t="s">
        <v>37</v>
      </c>
      <c r="D28" s="3" t="s">
        <v>38</v>
      </c>
      <c r="E28" s="3"/>
      <c r="F28" s="24"/>
    </row>
    <row r="29" spans="3:6" ht="40.5">
      <c r="C29" s="3" t="s">
        <v>39</v>
      </c>
      <c r="D29" s="53" t="s">
        <v>230</v>
      </c>
      <c r="E29" s="4"/>
      <c r="F29" s="24"/>
    </row>
    <row r="30" spans="3:6" ht="27">
      <c r="C30" s="3" t="s">
        <v>41</v>
      </c>
      <c r="D30" s="53" t="s">
        <v>231</v>
      </c>
      <c r="E30" s="4"/>
      <c r="F30" s="24"/>
    </row>
    <row r="31" spans="3:6" ht="27">
      <c r="C31" s="3" t="s">
        <v>43</v>
      </c>
      <c r="D31" s="54" t="s">
        <v>232</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132</v>
      </c>
      <c r="E38" s="21"/>
      <c r="F38" s="21" t="s">
        <v>233</v>
      </c>
      <c r="G38" s="23">
        <v>1</v>
      </c>
      <c r="H38" s="21">
        <v>31</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67</v>
      </c>
      <c r="F46" s="24" t="s">
        <v>152</v>
      </c>
    </row>
    <row r="47" spans="3:8">
      <c r="C47" s="25" t="s">
        <v>54</v>
      </c>
      <c r="D47" s="24" t="s">
        <v>41</v>
      </c>
      <c r="E47" s="24" t="s">
        <v>67</v>
      </c>
      <c r="F47" s="24" t="s">
        <v>152</v>
      </c>
    </row>
    <row r="48" spans="3:8">
      <c r="C48" s="25" t="s">
        <v>54</v>
      </c>
      <c r="D48" s="24" t="s">
        <v>43</v>
      </c>
      <c r="E48" s="24" t="s">
        <v>67</v>
      </c>
      <c r="F48" s="24" t="s">
        <v>234</v>
      </c>
    </row>
    <row r="49" spans="3:6">
      <c r="C49" s="25" t="s">
        <v>58</v>
      </c>
      <c r="D49" s="24" t="s">
        <v>39</v>
      </c>
      <c r="E49" s="24" t="s">
        <v>135</v>
      </c>
      <c r="F49" s="24" t="s">
        <v>169</v>
      </c>
    </row>
    <row r="50" spans="3:6">
      <c r="C50" s="25" t="s">
        <v>58</v>
      </c>
      <c r="D50" s="24" t="s">
        <v>41</v>
      </c>
      <c r="E50" s="24" t="s">
        <v>135</v>
      </c>
      <c r="F50" s="24" t="s">
        <v>168</v>
      </c>
    </row>
    <row r="51" spans="3:6">
      <c r="C51" s="25" t="s">
        <v>58</v>
      </c>
      <c r="D51" s="24" t="s">
        <v>43</v>
      </c>
      <c r="E51" s="24" t="s">
        <v>135</v>
      </c>
      <c r="F51" s="24" t="s">
        <v>136</v>
      </c>
    </row>
    <row r="52" spans="3:6">
      <c r="C52" s="25" t="s">
        <v>59</v>
      </c>
      <c r="D52" s="24" t="s">
        <v>41</v>
      </c>
      <c r="E52" s="24" t="s">
        <v>143</v>
      </c>
      <c r="F52" s="24" t="s">
        <v>144</v>
      </c>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ht="54">
      <c r="B71" s="7">
        <v>2</v>
      </c>
      <c r="C71" s="1">
        <v>1</v>
      </c>
      <c r="D71" s="55" t="s">
        <v>235</v>
      </c>
      <c r="E71" s="52" t="s">
        <v>236</v>
      </c>
      <c r="F71" s="21"/>
    </row>
    <row r="72" spans="2:6" ht="27">
      <c r="B72" s="7">
        <v>2</v>
      </c>
      <c r="C72" s="1">
        <v>2</v>
      </c>
      <c r="D72" s="52" t="s">
        <v>237</v>
      </c>
      <c r="E72" s="52" t="s">
        <v>238</v>
      </c>
      <c r="F72" s="21"/>
    </row>
    <row r="73" spans="2:6" ht="54">
      <c r="B73" s="7">
        <v>2</v>
      </c>
      <c r="C73" s="1">
        <v>3</v>
      </c>
      <c r="D73" s="55" t="s">
        <v>239</v>
      </c>
      <c r="E73" s="52" t="s">
        <v>240</v>
      </c>
      <c r="F73" s="21"/>
    </row>
    <row r="74" spans="2:6" ht="40.5">
      <c r="B74" s="7">
        <v>2</v>
      </c>
      <c r="C74" s="1">
        <v>4</v>
      </c>
      <c r="D74" s="55" t="s">
        <v>241</v>
      </c>
      <c r="E74" s="21"/>
      <c r="F74" s="21"/>
    </row>
    <row r="75" spans="2:6" ht="40.5">
      <c r="B75" s="7">
        <v>2</v>
      </c>
      <c r="C75" s="1">
        <v>5</v>
      </c>
      <c r="D75" s="52" t="s">
        <v>242</v>
      </c>
      <c r="E75" s="21"/>
      <c r="F75" s="21"/>
    </row>
    <row r="76" spans="2:6" ht="67.5">
      <c r="B76" s="7">
        <v>2</v>
      </c>
      <c r="C76" s="1">
        <v>6</v>
      </c>
      <c r="D76" s="55" t="s">
        <v>243</v>
      </c>
      <c r="E76" s="52" t="s">
        <v>244</v>
      </c>
      <c r="F76" s="21"/>
    </row>
    <row r="77" spans="2:6" ht="27">
      <c r="B77" s="7">
        <v>2</v>
      </c>
      <c r="C77" s="1">
        <v>7</v>
      </c>
      <c r="D77" s="55" t="s">
        <v>245</v>
      </c>
      <c r="E77" s="56" t="s">
        <v>246</v>
      </c>
      <c r="F77" s="21"/>
    </row>
    <row r="78" spans="2:6" ht="40.5">
      <c r="B78" s="7">
        <v>2</v>
      </c>
      <c r="C78" s="1">
        <v>8</v>
      </c>
      <c r="D78" s="57" t="s">
        <v>247</v>
      </c>
      <c r="E78" s="52" t="s">
        <v>248</v>
      </c>
      <c r="F78" s="21"/>
    </row>
    <row r="79" spans="2:6" ht="27">
      <c r="B79" s="7">
        <v>2</v>
      </c>
      <c r="C79" s="1">
        <v>9</v>
      </c>
      <c r="D79" s="52" t="s">
        <v>249</v>
      </c>
      <c r="E79" s="52" t="s">
        <v>250</v>
      </c>
      <c r="F79" s="21"/>
    </row>
    <row r="80" spans="2:6" ht="15.75" thickBot="1">
      <c r="B80" s="7">
        <v>2</v>
      </c>
      <c r="C80" s="1">
        <v>10</v>
      </c>
      <c r="D80" s="56" t="s">
        <v>251</v>
      </c>
      <c r="E80" s="56" t="s">
        <v>252</v>
      </c>
      <c r="F80" s="21"/>
    </row>
    <row r="81" spans="2:6" ht="15.75" thickBot="1">
      <c r="B81" s="7">
        <v>2</v>
      </c>
      <c r="C81" s="1">
        <v>11</v>
      </c>
      <c r="D81" s="58" t="s">
        <v>253</v>
      </c>
      <c r="E81" s="21"/>
      <c r="F81" s="21"/>
    </row>
    <row r="82" spans="2:6">
      <c r="B82" s="7">
        <v>2</v>
      </c>
      <c r="C82" s="1">
        <v>12</v>
      </c>
      <c r="D82" s="21"/>
      <c r="E82" s="21"/>
      <c r="F82" s="21"/>
    </row>
  </sheetData>
  <sheetProtection selectLockedCells="1" sort="0" autoFilter="0" pivotTables="0"/>
  <dataValidations count="4">
    <dataValidation type="whole" showInputMessage="1" showErrorMessage="1" error="This is not a realistic number of contact hours please reduce" sqref="D20:D23" xr:uid="{E3635C98-6BE9-46C5-AE3E-80700FE14FE2}">
      <formula1>0</formula1>
      <formula2>80</formula2>
    </dataValidation>
    <dataValidation type="whole" showInputMessage="1" showErrorMessage="1" error="This is not a realistic number of contact hours please change" sqref="D19" xr:uid="{B2533A40-EAB4-45F7-A5C9-B329560AF979}">
      <formula1>0</formula1>
      <formula2>80</formula2>
    </dataValidation>
    <dataValidation type="list" allowBlank="1" showInputMessage="1" showErrorMessage="1" sqref="E38:E41" xr:uid="{82E3F305-C93A-4803-A9A3-8DE6AF57B4D5}">
      <formula1>INDIRECT("LISTAssess[Assessment Specific]")</formula1>
    </dataValidation>
    <dataValidation type="list" allowBlank="1" showInputMessage="1" showErrorMessage="1" sqref="F46:F66" xr:uid="{850CA45C-5280-4D47-9FB6-137E06EF9533}">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C8E79981-E844-4F3D-9EB4-B2C6A4A3A3F8}">
          <x14:formula1>
            <xm:f>LISTS!$C$26:$C$37</xm:f>
          </x14:formula1>
          <xm:sqref>D14</xm:sqref>
        </x14:dataValidation>
        <x14:dataValidation type="list" allowBlank="1" showInputMessage="1" showErrorMessage="1" xr:uid="{7C2BA384-C5CE-4BAB-9CAF-B95205086409}">
          <x14:formula1>
            <xm:f>LISTS!$C$17:$C$22</xm:f>
          </x14:formula1>
          <xm:sqref>D13</xm:sqref>
        </x14:dataValidation>
        <x14:dataValidation type="list" allowBlank="1" showInputMessage="1" showErrorMessage="1" xr:uid="{1FA9D3FE-A20D-4342-9AF9-A25408600EF3}">
          <x14:formula1>
            <xm:f>LISTS!$C$7:$C$9</xm:f>
          </x14:formula1>
          <xm:sqref>D10</xm:sqref>
        </x14:dataValidation>
        <x14:dataValidation type="list" allowBlank="1" showInputMessage="1" showErrorMessage="1" xr:uid="{6E21DF8B-9E24-4E56-9ABB-04B2E82C9379}">
          <x14:formula1>
            <xm:f>LISTS!$C$11:$C$15</xm:f>
          </x14:formula1>
          <xm:sqref>D11</xm:sqref>
        </x14:dataValidation>
        <x14:dataValidation type="list" allowBlank="1" showInputMessage="1" showErrorMessage="1" xr:uid="{FF166450-CE18-422B-B4F4-026300718F6C}">
          <x14:formula1>
            <xm:f>LISTS!$G$7:$G$11</xm:f>
          </x14:formula1>
          <xm:sqref>D38:D42</xm:sqref>
        </x14:dataValidation>
        <x14:dataValidation type="list" allowBlank="1" showInputMessage="1" showErrorMessage="1" xr:uid="{D91C002B-C7A8-4291-BA31-A4A3AC1461E6}">
          <x14:formula1>
            <xm:f>LISTS!$E$7:$E$11</xm:f>
          </x14:formula1>
          <xm:sqref>D46:D66</xm:sqref>
        </x14:dataValidation>
        <x14:dataValidation type="list" allowBlank="1" showInputMessage="1" showErrorMessage="1" xr:uid="{91066FA2-49EF-4FFA-9F5C-B32EE1233672}">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94"/>
  <sheetViews>
    <sheetView showGridLines="0" topLeftCell="D1" zoomScale="85" zoomScaleNormal="85" workbookViewId="0">
      <selection activeCell="F72" sqref="F72:F82"/>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6202SPS</v>
      </c>
      <c r="D2" s="20" t="s">
        <v>254</v>
      </c>
    </row>
    <row r="3" spans="2:6">
      <c r="B3" s="1"/>
      <c r="C3" s="1"/>
    </row>
    <row r="4" spans="2:6">
      <c r="B4" s="2"/>
      <c r="C4" s="2"/>
    </row>
    <row r="5" spans="2:6" ht="18.75">
      <c r="B5" s="2"/>
      <c r="C5" s="5" t="s">
        <v>0</v>
      </c>
    </row>
    <row r="6" spans="2:6">
      <c r="B6" s="2"/>
      <c r="C6" s="3" t="s">
        <v>1</v>
      </c>
      <c r="D6" s="4" t="s">
        <v>2</v>
      </c>
      <c r="E6" s="4"/>
      <c r="F6" t="s">
        <v>3</v>
      </c>
    </row>
    <row r="7" spans="2:6" ht="230.25">
      <c r="B7" s="2"/>
      <c r="C7" s="3" t="s">
        <v>4</v>
      </c>
      <c r="D7" s="21" t="s">
        <v>255</v>
      </c>
      <c r="E7" s="4"/>
      <c r="F7" s="62" t="s">
        <v>256</v>
      </c>
    </row>
    <row r="8" spans="2:6">
      <c r="B8" s="2"/>
      <c r="C8" s="3" t="s">
        <v>6</v>
      </c>
      <c r="D8" s="21" t="s">
        <v>254</v>
      </c>
      <c r="E8" s="4"/>
      <c r="F8" s="24"/>
    </row>
    <row r="9" spans="2:6">
      <c r="C9" s="3" t="s">
        <v>9</v>
      </c>
      <c r="D9" s="21">
        <v>20</v>
      </c>
      <c r="E9" s="4"/>
    </row>
    <row r="10" spans="2:6">
      <c r="C10" s="3" t="s">
        <v>10</v>
      </c>
      <c r="D10" s="21">
        <v>1</v>
      </c>
      <c r="E10" s="4"/>
      <c r="F10" t="s">
        <v>11</v>
      </c>
    </row>
    <row r="11" spans="2:6" ht="91.5">
      <c r="C11" s="3" t="s">
        <v>12</v>
      </c>
      <c r="D11" s="21">
        <v>6</v>
      </c>
      <c r="E11" s="4"/>
      <c r="F11" s="67" t="s">
        <v>257</v>
      </c>
    </row>
    <row r="12" spans="2:6" ht="107.25">
      <c r="C12" s="3" t="s">
        <v>14</v>
      </c>
      <c r="D12" s="21" t="s">
        <v>258</v>
      </c>
      <c r="E12" s="4"/>
      <c r="F12" s="66" t="s">
        <v>259</v>
      </c>
    </row>
    <row r="13" spans="2:6" ht="91.5">
      <c r="C13" s="3" t="s">
        <v>17</v>
      </c>
      <c r="D13" s="21" t="s">
        <v>126</v>
      </c>
      <c r="E13" s="4"/>
      <c r="F13" s="67" t="s">
        <v>260</v>
      </c>
    </row>
    <row r="14" spans="2:6" ht="138">
      <c r="C14" s="3" t="s">
        <v>19</v>
      </c>
      <c r="D14" s="21" t="s">
        <v>20</v>
      </c>
      <c r="E14" s="4"/>
      <c r="F14" s="68" t="s">
        <v>261</v>
      </c>
    </row>
    <row r="15" spans="2:6">
      <c r="C15" s="3"/>
      <c r="D15" s="4"/>
      <c r="E15" s="4"/>
      <c r="F15" s="63" t="s">
        <v>262</v>
      </c>
    </row>
    <row r="16" spans="2:6" ht="15.75">
      <c r="C16" s="3"/>
      <c r="D16" s="4"/>
      <c r="E16" s="4"/>
      <c r="F16" s="65"/>
    </row>
    <row r="17" spans="3:6" ht="18">
      <c r="C17" s="5" t="s">
        <v>23</v>
      </c>
      <c r="D17" s="4"/>
      <c r="E17" s="4"/>
      <c r="F17" s="63"/>
    </row>
    <row r="18" spans="3:6" ht="15.75">
      <c r="C18" s="3" t="s">
        <v>25</v>
      </c>
      <c r="D18" s="1" t="s">
        <v>23</v>
      </c>
      <c r="E18" s="4"/>
      <c r="F18" s="64"/>
    </row>
    <row r="19" spans="3:6" ht="15.75">
      <c r="C19" s="3" t="s">
        <v>27</v>
      </c>
      <c r="D19" s="22">
        <v>15</v>
      </c>
      <c r="E19" s="4"/>
      <c r="F19" s="64"/>
    </row>
    <row r="20" spans="3:6">
      <c r="C20" s="3" t="s">
        <v>28</v>
      </c>
      <c r="D20" s="22"/>
      <c r="E20" s="4"/>
      <c r="F20" s="24"/>
    </row>
    <row r="21" spans="3:6">
      <c r="C21" s="3" t="s">
        <v>29</v>
      </c>
      <c r="D21" s="22">
        <v>10</v>
      </c>
      <c r="E21" s="4"/>
    </row>
    <row r="22" spans="3:6">
      <c r="C22" s="3" t="s">
        <v>30</v>
      </c>
      <c r="D22" s="22">
        <v>15</v>
      </c>
      <c r="E22" s="4"/>
      <c r="F22" t="s">
        <v>31</v>
      </c>
    </row>
    <row r="23" spans="3:6">
      <c r="C23" s="3" t="s">
        <v>32</v>
      </c>
      <c r="D23" s="22"/>
      <c r="E23" s="4"/>
      <c r="F23" s="24"/>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30">
      <c r="C29" s="3" t="s">
        <v>39</v>
      </c>
      <c r="D29" s="59" t="s">
        <v>263</v>
      </c>
      <c r="E29" s="4"/>
      <c r="F29" s="24"/>
    </row>
    <row r="30" spans="3:6" ht="60">
      <c r="C30" s="3" t="s">
        <v>41</v>
      </c>
      <c r="D30" s="60" t="s">
        <v>264</v>
      </c>
      <c r="E30" s="4"/>
      <c r="F30" s="24"/>
    </row>
    <row r="31" spans="3:6" ht="30">
      <c r="C31" s="3" t="s">
        <v>43</v>
      </c>
      <c r="D31" s="61" t="s">
        <v>265</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t="s">
        <v>266</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267</v>
      </c>
    </row>
    <row r="47" spans="3:8">
      <c r="C47" s="25" t="s">
        <v>54</v>
      </c>
      <c r="D47" s="24" t="s">
        <v>41</v>
      </c>
      <c r="E47" s="24" t="s">
        <v>64</v>
      </c>
      <c r="F47" s="24" t="s">
        <v>268</v>
      </c>
    </row>
    <row r="48" spans="3:8">
      <c r="C48" s="25" t="s">
        <v>54</v>
      </c>
      <c r="D48" s="24" t="s">
        <v>43</v>
      </c>
      <c r="E48" s="24" t="s">
        <v>67</v>
      </c>
      <c r="F48" s="24" t="s">
        <v>68</v>
      </c>
    </row>
    <row r="49" spans="3:6">
      <c r="C49" s="25"/>
      <c r="D49" s="24"/>
      <c r="E49" s="24"/>
      <c r="F49" s="24"/>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69" t="s">
        <v>269</v>
      </c>
      <c r="E71" s="21"/>
      <c r="F71" s="21"/>
    </row>
    <row r="72" spans="2:6">
      <c r="B72" s="7">
        <v>1</v>
      </c>
      <c r="C72" s="1">
        <v>2</v>
      </c>
      <c r="D72" s="70" t="s">
        <v>270</v>
      </c>
      <c r="E72" s="21"/>
      <c r="F72" s="21"/>
    </row>
    <row r="73" spans="2:6">
      <c r="B73" s="7">
        <v>1</v>
      </c>
      <c r="C73" s="1">
        <v>3</v>
      </c>
      <c r="D73" s="70" t="s">
        <v>271</v>
      </c>
      <c r="E73" s="21"/>
      <c r="F73" s="21"/>
    </row>
    <row r="74" spans="2:6">
      <c r="B74" s="7">
        <v>1</v>
      </c>
      <c r="C74" s="1">
        <v>4</v>
      </c>
      <c r="D74" s="70" t="s">
        <v>272</v>
      </c>
      <c r="E74" s="21"/>
      <c r="F74" s="21"/>
    </row>
    <row r="75" spans="2:6">
      <c r="B75" s="7">
        <v>1</v>
      </c>
      <c r="C75" s="1">
        <v>5</v>
      </c>
      <c r="D75" s="70" t="s">
        <v>273</v>
      </c>
      <c r="E75" s="21"/>
      <c r="F75" s="21"/>
    </row>
    <row r="76" spans="2:6">
      <c r="B76" s="7">
        <v>1</v>
      </c>
      <c r="C76" s="1">
        <v>6</v>
      </c>
      <c r="D76" s="70" t="s">
        <v>274</v>
      </c>
      <c r="E76" s="21"/>
      <c r="F76" s="21"/>
    </row>
    <row r="77" spans="2:6">
      <c r="B77" s="7">
        <v>1</v>
      </c>
      <c r="C77" s="1">
        <v>7</v>
      </c>
      <c r="D77" s="71" t="s">
        <v>275</v>
      </c>
      <c r="E77" s="21"/>
      <c r="F77" s="21"/>
    </row>
    <row r="78" spans="2:6">
      <c r="B78" s="7">
        <v>1</v>
      </c>
      <c r="C78" s="1">
        <v>8</v>
      </c>
      <c r="D78" s="71" t="s">
        <v>276</v>
      </c>
      <c r="E78" s="21"/>
      <c r="F78" s="21"/>
    </row>
    <row r="79" spans="2:6">
      <c r="B79" s="7">
        <v>1</v>
      </c>
      <c r="C79" s="1">
        <v>9</v>
      </c>
      <c r="D79" s="71" t="s">
        <v>276</v>
      </c>
      <c r="E79" s="21"/>
      <c r="F79" s="21"/>
    </row>
    <row r="80" spans="2:6">
      <c r="B80" s="7">
        <v>1</v>
      </c>
      <c r="C80" s="1">
        <v>10</v>
      </c>
      <c r="D80" s="70" t="s">
        <v>277</v>
      </c>
      <c r="E80" s="21"/>
      <c r="F80" s="21"/>
    </row>
    <row r="81" spans="2:6">
      <c r="B81" s="7">
        <v>1</v>
      </c>
      <c r="C81" s="1">
        <v>11</v>
      </c>
      <c r="D81" s="70" t="s">
        <v>278</v>
      </c>
      <c r="E81" s="21"/>
      <c r="F81" s="21"/>
    </row>
    <row r="82" spans="2:6">
      <c r="B82" s="7">
        <v>1</v>
      </c>
      <c r="C82" s="1">
        <v>12</v>
      </c>
      <c r="D82" s="71" t="s">
        <v>279</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94"/>
  <sheetViews>
    <sheetView showGridLines="0" zoomScale="85" zoomScaleNormal="85" workbookViewId="0">
      <selection activeCell="E8" sqref="E8"/>
    </sheetView>
  </sheetViews>
  <sheetFormatPr defaultRowHeight="15"/>
  <cols>
    <col min="3" max="3" width="33.28515625" customWidth="1"/>
    <col min="4" max="4" width="67" bestFit="1"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6203SPS</v>
      </c>
      <c r="D2" s="20" t="s">
        <v>280</v>
      </c>
    </row>
    <row r="3" spans="2:6">
      <c r="B3" s="1"/>
      <c r="C3" s="1"/>
    </row>
    <row r="4" spans="2:6">
      <c r="B4" s="2"/>
      <c r="C4" s="2"/>
    </row>
    <row r="5" spans="2:6" ht="18.75">
      <c r="B5" s="2"/>
      <c r="C5" s="5" t="s">
        <v>0</v>
      </c>
    </row>
    <row r="6" spans="2:6">
      <c r="B6" s="2"/>
      <c r="C6" s="3" t="s">
        <v>1</v>
      </c>
      <c r="D6" s="4" t="s">
        <v>2</v>
      </c>
      <c r="E6" s="4"/>
      <c r="F6" t="s">
        <v>3</v>
      </c>
    </row>
    <row r="7" spans="2:6">
      <c r="B7" s="2"/>
      <c r="C7" s="3" t="s">
        <v>4</v>
      </c>
      <c r="D7" s="21" t="s">
        <v>281</v>
      </c>
      <c r="E7" s="4"/>
      <c r="F7" s="24"/>
    </row>
    <row r="8" spans="2:6" ht="180">
      <c r="B8" s="2"/>
      <c r="C8" s="3" t="s">
        <v>6</v>
      </c>
      <c r="D8" s="21" t="s">
        <v>282</v>
      </c>
      <c r="E8" s="4"/>
      <c r="F8" s="32" t="s">
        <v>283</v>
      </c>
    </row>
    <row r="9" spans="2:6">
      <c r="C9" s="3" t="s">
        <v>9</v>
      </c>
      <c r="D9" s="21">
        <v>30</v>
      </c>
      <c r="E9" s="4"/>
    </row>
    <row r="10" spans="2:6">
      <c r="C10" s="3" t="s">
        <v>10</v>
      </c>
      <c r="D10" s="21" t="s">
        <v>284</v>
      </c>
      <c r="E10" s="4"/>
      <c r="F10" t="s">
        <v>11</v>
      </c>
    </row>
    <row r="11" spans="2:6">
      <c r="C11" s="3" t="s">
        <v>12</v>
      </c>
      <c r="D11" s="21">
        <v>6</v>
      </c>
      <c r="E11" s="4"/>
      <c r="F11" s="24" t="s">
        <v>285</v>
      </c>
    </row>
    <row r="12" spans="2:6">
      <c r="C12" s="3" t="s">
        <v>14</v>
      </c>
      <c r="D12" s="21" t="s">
        <v>15</v>
      </c>
      <c r="E12" s="4"/>
      <c r="F12" s="24" t="s">
        <v>286</v>
      </c>
    </row>
    <row r="13" spans="2:6">
      <c r="C13" s="3" t="s">
        <v>17</v>
      </c>
      <c r="D13" s="21" t="s">
        <v>18</v>
      </c>
      <c r="E13" s="4"/>
      <c r="F13" s="24"/>
    </row>
    <row r="14" spans="2:6">
      <c r="C14" s="3" t="s">
        <v>19</v>
      </c>
      <c r="D14" s="21" t="s">
        <v>20</v>
      </c>
      <c r="E14" s="4"/>
    </row>
    <row r="15" spans="2:6">
      <c r="C15" s="3"/>
      <c r="D15" s="4"/>
      <c r="E15" s="4"/>
      <c r="F15" t="s">
        <v>21</v>
      </c>
    </row>
    <row r="16" spans="2:6" ht="15.75">
      <c r="C16" s="3"/>
      <c r="D16" s="4"/>
      <c r="E16" s="4"/>
      <c r="F16" s="37" t="s">
        <v>287</v>
      </c>
    </row>
    <row r="17" spans="3:6" ht="18.75">
      <c r="C17" s="5" t="s">
        <v>23</v>
      </c>
      <c r="D17" s="4"/>
      <c r="E17" s="4"/>
      <c r="F17" s="24"/>
    </row>
    <row r="18" spans="3:6">
      <c r="C18" s="3" t="s">
        <v>25</v>
      </c>
      <c r="D18" s="1" t="s">
        <v>23</v>
      </c>
      <c r="E18" s="4"/>
      <c r="F18" s="24"/>
    </row>
    <row r="19" spans="3:6">
      <c r="C19" s="3" t="s">
        <v>27</v>
      </c>
      <c r="D19" s="22">
        <v>20</v>
      </c>
      <c r="E19" s="4"/>
      <c r="F19" s="24"/>
    </row>
    <row r="20" spans="3:6">
      <c r="C20" s="3" t="s">
        <v>28</v>
      </c>
      <c r="D20" s="22"/>
      <c r="E20" s="4"/>
      <c r="F20" s="24"/>
    </row>
    <row r="21" spans="3:6">
      <c r="C21" s="3" t="s">
        <v>29</v>
      </c>
      <c r="D21" s="22"/>
      <c r="E21" s="4"/>
    </row>
    <row r="22" spans="3:6">
      <c r="C22" s="3" t="s">
        <v>30</v>
      </c>
      <c r="D22" s="22">
        <v>20</v>
      </c>
      <c r="E22" s="4"/>
      <c r="F22" t="s">
        <v>31</v>
      </c>
    </row>
    <row r="23" spans="3:6">
      <c r="C23" s="3" t="s">
        <v>32</v>
      </c>
      <c r="D23" s="22"/>
      <c r="E23" s="4"/>
      <c r="F23" s="24" t="s">
        <v>288</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31" t="s">
        <v>289</v>
      </c>
      <c r="E29" s="4"/>
      <c r="F29" s="24"/>
    </row>
    <row r="30" spans="3:6" ht="30">
      <c r="C30" s="3" t="s">
        <v>41</v>
      </c>
      <c r="D30" s="31" t="s">
        <v>290</v>
      </c>
      <c r="E30" s="4"/>
      <c r="F30" s="24"/>
    </row>
    <row r="31" spans="3:6" ht="45">
      <c r="C31" s="3" t="s">
        <v>43</v>
      </c>
      <c r="D31" s="32" t="s">
        <v>291</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55</v>
      </c>
      <c r="E38" s="21"/>
      <c r="F38" s="21" t="s">
        <v>292</v>
      </c>
      <c r="G38" s="23">
        <v>0.5</v>
      </c>
      <c r="H38" s="21">
        <v>12</v>
      </c>
    </row>
    <row r="39" spans="3:8">
      <c r="C39" s="3" t="s">
        <v>58</v>
      </c>
      <c r="D39" s="21" t="s">
        <v>108</v>
      </c>
      <c r="E39" s="21"/>
      <c r="F39" s="21" t="s">
        <v>293</v>
      </c>
      <c r="G39" s="23">
        <v>0.5</v>
      </c>
      <c r="H39" s="21">
        <v>32</v>
      </c>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31" t="s">
        <v>294</v>
      </c>
      <c r="E71" s="21"/>
      <c r="F71" s="21" t="s">
        <v>295</v>
      </c>
    </row>
    <row r="72" spans="2:6">
      <c r="B72" s="7">
        <v>1</v>
      </c>
      <c r="C72" s="1">
        <v>2</v>
      </c>
      <c r="D72" s="30" t="s">
        <v>296</v>
      </c>
      <c r="E72" s="21"/>
      <c r="F72" s="21" t="s">
        <v>295</v>
      </c>
    </row>
    <row r="73" spans="2:6">
      <c r="B73" s="7">
        <v>1</v>
      </c>
      <c r="C73" s="1">
        <v>3</v>
      </c>
      <c r="D73" s="30" t="s">
        <v>297</v>
      </c>
      <c r="E73" s="21"/>
      <c r="F73" s="21" t="s">
        <v>295</v>
      </c>
    </row>
    <row r="74" spans="2:6">
      <c r="B74" s="7">
        <v>1</v>
      </c>
      <c r="C74" s="1">
        <v>4</v>
      </c>
      <c r="D74" s="30" t="s">
        <v>297</v>
      </c>
      <c r="E74" s="21"/>
      <c r="F74" s="21" t="s">
        <v>295</v>
      </c>
    </row>
    <row r="75" spans="2:6">
      <c r="B75" s="7">
        <v>1</v>
      </c>
      <c r="C75" s="1">
        <v>5</v>
      </c>
      <c r="D75" s="30" t="s">
        <v>298</v>
      </c>
      <c r="E75" s="21"/>
      <c r="F75" s="21" t="s">
        <v>295</v>
      </c>
    </row>
    <row r="76" spans="2:6">
      <c r="B76" s="7">
        <v>1</v>
      </c>
      <c r="C76" s="1">
        <v>6</v>
      </c>
      <c r="D76" s="30" t="s">
        <v>299</v>
      </c>
      <c r="E76" s="21"/>
      <c r="F76" s="21" t="s">
        <v>295</v>
      </c>
    </row>
    <row r="77" spans="2:6">
      <c r="B77" s="7">
        <v>1</v>
      </c>
      <c r="C77" s="1">
        <v>7</v>
      </c>
      <c r="D77" s="21"/>
      <c r="E77" s="21"/>
      <c r="F77" s="21"/>
    </row>
    <row r="78" spans="2:6">
      <c r="B78" s="7">
        <v>1</v>
      </c>
      <c r="C78" s="1">
        <v>8</v>
      </c>
      <c r="D78" s="30" t="s">
        <v>300</v>
      </c>
      <c r="E78" s="21"/>
      <c r="F78" s="21" t="s">
        <v>295</v>
      </c>
    </row>
    <row r="79" spans="2:6">
      <c r="B79" s="7">
        <v>1</v>
      </c>
      <c r="C79" s="1">
        <v>9</v>
      </c>
      <c r="D79" s="30" t="s">
        <v>301</v>
      </c>
      <c r="E79" s="21"/>
      <c r="F79" s="21" t="s">
        <v>295</v>
      </c>
    </row>
    <row r="80" spans="2:6">
      <c r="B80" s="7">
        <v>1</v>
      </c>
      <c r="C80" s="1">
        <v>10</v>
      </c>
      <c r="D80" s="30" t="s">
        <v>302</v>
      </c>
      <c r="E80" s="21"/>
      <c r="F80" s="21" t="s">
        <v>295</v>
      </c>
    </row>
    <row r="81" spans="2:6">
      <c r="B81" s="7">
        <v>1</v>
      </c>
      <c r="C81" s="1">
        <v>11</v>
      </c>
      <c r="D81" s="21" t="s">
        <v>302</v>
      </c>
      <c r="E81" s="21"/>
      <c r="F81" s="21" t="s">
        <v>295</v>
      </c>
    </row>
    <row r="82" spans="2:6">
      <c r="B82" s="7">
        <v>1</v>
      </c>
      <c r="C82" s="1">
        <v>12</v>
      </c>
      <c r="D82" s="21" t="s">
        <v>302</v>
      </c>
      <c r="E82" s="21"/>
      <c r="F82" s="21" t="s">
        <v>96</v>
      </c>
    </row>
    <row r="83" spans="2:6" ht="30">
      <c r="B83" s="7">
        <v>2</v>
      </c>
      <c r="C83" s="1">
        <v>1</v>
      </c>
      <c r="D83" s="34" t="s">
        <v>303</v>
      </c>
      <c r="E83" s="21"/>
      <c r="F83" s="21" t="s">
        <v>295</v>
      </c>
    </row>
    <row r="84" spans="2:6">
      <c r="B84" s="7">
        <v>2</v>
      </c>
      <c r="C84" s="1">
        <v>2</v>
      </c>
      <c r="D84" s="34" t="s">
        <v>304</v>
      </c>
      <c r="E84" s="21"/>
      <c r="F84" s="21" t="s">
        <v>295</v>
      </c>
    </row>
    <row r="85" spans="2:6">
      <c r="B85" s="7">
        <v>2</v>
      </c>
      <c r="C85" s="1">
        <v>3</v>
      </c>
      <c r="D85" s="21" t="s">
        <v>305</v>
      </c>
      <c r="E85" s="21"/>
      <c r="F85" s="21" t="s">
        <v>306</v>
      </c>
    </row>
    <row r="86" spans="2:6">
      <c r="B86" s="7">
        <v>2</v>
      </c>
      <c r="C86" s="1">
        <v>4</v>
      </c>
      <c r="D86" s="21" t="s">
        <v>305</v>
      </c>
      <c r="E86" s="21"/>
      <c r="F86" s="21" t="s">
        <v>306</v>
      </c>
    </row>
    <row r="87" spans="2:6">
      <c r="B87" s="7">
        <v>2</v>
      </c>
      <c r="C87" s="1">
        <v>5</v>
      </c>
      <c r="D87" s="21" t="s">
        <v>305</v>
      </c>
      <c r="E87" s="21"/>
      <c r="F87" s="21" t="s">
        <v>306</v>
      </c>
    </row>
    <row r="88" spans="2:6">
      <c r="B88" s="7">
        <v>2</v>
      </c>
      <c r="C88" s="1">
        <v>6</v>
      </c>
      <c r="D88" s="21" t="s">
        <v>305</v>
      </c>
      <c r="E88" s="21"/>
      <c r="F88" s="21" t="s">
        <v>306</v>
      </c>
    </row>
    <row r="89" spans="2:6">
      <c r="B89" s="7">
        <v>2</v>
      </c>
      <c r="C89" s="1">
        <v>7</v>
      </c>
      <c r="D89" s="21" t="s">
        <v>305</v>
      </c>
      <c r="E89" s="21"/>
      <c r="F89" s="21" t="s">
        <v>306</v>
      </c>
    </row>
    <row r="90" spans="2:6">
      <c r="B90" s="7">
        <v>2</v>
      </c>
      <c r="C90" s="1">
        <v>8</v>
      </c>
      <c r="D90" s="21" t="s">
        <v>305</v>
      </c>
      <c r="E90" s="21"/>
      <c r="F90" s="21" t="s">
        <v>306</v>
      </c>
    </row>
    <row r="91" spans="2:6">
      <c r="B91" s="7">
        <v>2</v>
      </c>
      <c r="C91" s="1">
        <v>9</v>
      </c>
      <c r="D91" s="21" t="s">
        <v>305</v>
      </c>
      <c r="E91" s="21"/>
      <c r="F91" s="21" t="s">
        <v>306</v>
      </c>
    </row>
    <row r="92" spans="2:6" ht="30">
      <c r="B92" s="7">
        <v>2</v>
      </c>
      <c r="C92" s="1">
        <v>10</v>
      </c>
      <c r="D92" s="31" t="s">
        <v>307</v>
      </c>
      <c r="E92" s="21"/>
      <c r="F92" s="21" t="s">
        <v>295</v>
      </c>
    </row>
    <row r="93" spans="2:6">
      <c r="B93" s="7">
        <v>2</v>
      </c>
      <c r="C93" s="1">
        <v>11</v>
      </c>
      <c r="D93" s="30" t="s">
        <v>308</v>
      </c>
      <c r="E93" s="21"/>
      <c r="F93" s="21" t="s">
        <v>295</v>
      </c>
    </row>
    <row r="94" spans="2:6">
      <c r="B94" s="7">
        <v>2</v>
      </c>
      <c r="C94" s="1">
        <v>12</v>
      </c>
      <c r="D94" s="31" t="s">
        <v>309</v>
      </c>
      <c r="E94" s="21"/>
      <c r="F94" s="21" t="s">
        <v>295</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108"/>
  <sheetViews>
    <sheetView showGridLines="0" zoomScale="85" zoomScaleNormal="85" workbookViewId="0">
      <selection activeCell="D98" sqref="D98"/>
    </sheetView>
  </sheetViews>
  <sheetFormatPr defaultRowHeight="15"/>
  <cols>
    <col min="3" max="3" width="25.5703125" customWidth="1"/>
    <col min="4" max="4" width="48.140625" customWidth="1"/>
    <col min="5" max="6" width="60.42578125" customWidth="1"/>
    <col min="7" max="7" width="11.28515625" customWidth="1"/>
    <col min="8" max="8" width="12.140625" customWidth="1"/>
    <col min="9" max="9" width="14.7109375" customWidth="1"/>
  </cols>
  <sheetData>
    <row r="2" spans="2:6" ht="26.25">
      <c r="C2" s="20" t="str">
        <f>D7</f>
        <v>6096SPS</v>
      </c>
      <c r="D2" s="20" t="str">
        <f>D8</f>
        <v>Secondary PE Teacher Education</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310</v>
      </c>
      <c r="E7" s="4"/>
      <c r="F7" s="27" t="s">
        <v>311</v>
      </c>
    </row>
    <row r="8" spans="2:6">
      <c r="B8" s="2"/>
      <c r="C8" s="3" t="s">
        <v>6</v>
      </c>
      <c r="D8" s="21" t="s">
        <v>312</v>
      </c>
      <c r="E8" s="4"/>
      <c r="F8" s="24"/>
    </row>
    <row r="9" spans="2:6">
      <c r="C9" s="3" t="s">
        <v>9</v>
      </c>
      <c r="D9" s="21">
        <v>20</v>
      </c>
      <c r="E9" s="4"/>
    </row>
    <row r="10" spans="2:6">
      <c r="C10" s="3" t="s">
        <v>10</v>
      </c>
      <c r="D10" s="21">
        <v>1</v>
      </c>
      <c r="E10" s="4"/>
      <c r="F10" t="s">
        <v>11</v>
      </c>
    </row>
    <row r="11" spans="2:6" ht="150">
      <c r="C11" s="3" t="s">
        <v>12</v>
      </c>
      <c r="D11" s="21">
        <v>6</v>
      </c>
      <c r="E11" s="4"/>
      <c r="F11" s="27" t="s">
        <v>313</v>
      </c>
    </row>
    <row r="12" spans="2:6">
      <c r="C12" s="3" t="s">
        <v>14</v>
      </c>
      <c r="D12" s="21" t="s">
        <v>125</v>
      </c>
      <c r="E12" s="4"/>
      <c r="F12" s="24"/>
    </row>
    <row r="13" spans="2:6">
      <c r="C13" s="3" t="s">
        <v>17</v>
      </c>
      <c r="D13" s="21" t="s">
        <v>314</v>
      </c>
      <c r="E13" s="4"/>
      <c r="F13" s="24"/>
    </row>
    <row r="14" spans="2:6">
      <c r="C14" s="3" t="s">
        <v>19</v>
      </c>
      <c r="D14" s="21" t="s">
        <v>315</v>
      </c>
      <c r="E14" s="4"/>
    </row>
    <row r="15" spans="2:6">
      <c r="C15" s="3"/>
      <c r="D15" s="4"/>
      <c r="E15" s="4"/>
      <c r="F15" t="s">
        <v>21</v>
      </c>
    </row>
    <row r="16" spans="2:6" ht="124.5" customHeight="1">
      <c r="C16" s="3"/>
      <c r="D16" s="4"/>
      <c r="E16" s="4"/>
      <c r="F16" s="27" t="s">
        <v>316</v>
      </c>
    </row>
    <row r="17" spans="3:6" ht="18.75">
      <c r="C17" s="5" t="s">
        <v>23</v>
      </c>
      <c r="D17" s="4"/>
      <c r="E17" s="4"/>
      <c r="F17" s="24"/>
    </row>
    <row r="18" spans="3:6">
      <c r="C18" s="3" t="s">
        <v>25</v>
      </c>
      <c r="D18" s="1" t="s">
        <v>23</v>
      </c>
      <c r="E18" s="4"/>
      <c r="F18" s="24"/>
    </row>
    <row r="19" spans="3:6">
      <c r="C19" s="3" t="s">
        <v>27</v>
      </c>
      <c r="D19" s="22">
        <v>9</v>
      </c>
      <c r="E19" s="4"/>
      <c r="F19" s="24"/>
    </row>
    <row r="20" spans="3:6">
      <c r="C20" s="3" t="s">
        <v>28</v>
      </c>
      <c r="D20" s="22">
        <v>3</v>
      </c>
      <c r="E20" s="4"/>
      <c r="F20" s="24"/>
    </row>
    <row r="21" spans="3:6">
      <c r="C21" s="3" t="s">
        <v>29</v>
      </c>
      <c r="D21" s="22">
        <v>16</v>
      </c>
      <c r="E21" s="4"/>
    </row>
    <row r="22" spans="3:6">
      <c r="C22" s="3" t="s">
        <v>30</v>
      </c>
      <c r="D22" s="22">
        <v>6</v>
      </c>
      <c r="E22" s="4"/>
      <c r="F22" t="s">
        <v>31</v>
      </c>
    </row>
    <row r="23" spans="3:6">
      <c r="C23" s="3" t="s">
        <v>32</v>
      </c>
      <c r="D23" s="22">
        <v>6</v>
      </c>
      <c r="E23" s="4"/>
      <c r="F23" s="24" t="s">
        <v>317</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60">
      <c r="C29" s="3" t="s">
        <v>39</v>
      </c>
      <c r="D29" s="21" t="s">
        <v>318</v>
      </c>
      <c r="E29" s="4"/>
      <c r="F29" s="35"/>
    </row>
    <row r="30" spans="3:6" ht="45">
      <c r="C30" s="3" t="s">
        <v>41</v>
      </c>
      <c r="D30" s="21" t="s">
        <v>319</v>
      </c>
      <c r="E30" s="4"/>
      <c r="F30" s="35"/>
    </row>
    <row r="31" spans="3:6" ht="45">
      <c r="C31" s="3" t="s">
        <v>43</v>
      </c>
      <c r="D31" s="21" t="s">
        <v>320</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t="s">
        <v>321</v>
      </c>
      <c r="F38" s="21" t="s">
        <v>322</v>
      </c>
      <c r="G38" s="23">
        <v>0.5</v>
      </c>
      <c r="H38" s="21">
        <v>12</v>
      </c>
    </row>
    <row r="39" spans="3:8" ht="30">
      <c r="C39" s="3" t="s">
        <v>58</v>
      </c>
      <c r="D39" s="21" t="s">
        <v>323</v>
      </c>
      <c r="E39" s="21" t="s">
        <v>323</v>
      </c>
      <c r="F39" s="21" t="s">
        <v>324</v>
      </c>
      <c r="G39" s="23">
        <v>0.5</v>
      </c>
      <c r="H39" s="21">
        <v>16</v>
      </c>
    </row>
    <row r="40" spans="3:8">
      <c r="C40" s="3"/>
    </row>
    <row r="42" spans="3:8" ht="37.5">
      <c r="C42" s="5" t="s">
        <v>61</v>
      </c>
      <c r="D42" s="12"/>
    </row>
    <row r="43" spans="3:8">
      <c r="C43" s="1" t="s">
        <v>48</v>
      </c>
      <c r="D43" s="1" t="s">
        <v>37</v>
      </c>
      <c r="E43" s="1" t="s">
        <v>62</v>
      </c>
      <c r="F43" s="1" t="s">
        <v>63</v>
      </c>
    </row>
    <row r="44" spans="3:8">
      <c r="C44" s="25" t="s">
        <v>54</v>
      </c>
      <c r="D44" s="24" t="s">
        <v>39</v>
      </c>
      <c r="E44" s="24" t="s">
        <v>135</v>
      </c>
      <c r="F44" s="24" t="s">
        <v>168</v>
      </c>
    </row>
    <row r="45" spans="3:8">
      <c r="C45" s="25" t="s">
        <v>54</v>
      </c>
      <c r="D45" s="24" t="s">
        <v>39</v>
      </c>
      <c r="E45" s="24" t="s">
        <v>135</v>
      </c>
      <c r="F45" s="24" t="s">
        <v>136</v>
      </c>
    </row>
    <row r="46" spans="3:8">
      <c r="C46" s="25" t="s">
        <v>54</v>
      </c>
      <c r="D46" s="24" t="s">
        <v>41</v>
      </c>
      <c r="E46" s="24" t="s">
        <v>67</v>
      </c>
      <c r="F46" s="24" t="s">
        <v>68</v>
      </c>
    </row>
    <row r="47" spans="3:8">
      <c r="C47" s="25" t="s">
        <v>54</v>
      </c>
      <c r="D47" s="24" t="s">
        <v>41</v>
      </c>
      <c r="E47" s="24" t="s">
        <v>67</v>
      </c>
      <c r="F47" s="24" t="s">
        <v>152</v>
      </c>
    </row>
    <row r="48" spans="3:8">
      <c r="C48" s="25" t="s">
        <v>54</v>
      </c>
      <c r="D48" s="24" t="s">
        <v>41</v>
      </c>
      <c r="E48" s="24" t="s">
        <v>67</v>
      </c>
      <c r="F48" s="24" t="s">
        <v>153</v>
      </c>
    </row>
    <row r="49" spans="3:6">
      <c r="C49" s="25" t="s">
        <v>54</v>
      </c>
      <c r="D49" s="24" t="s">
        <v>41</v>
      </c>
      <c r="E49" s="24" t="s">
        <v>67</v>
      </c>
      <c r="F49" s="24" t="s">
        <v>155</v>
      </c>
    </row>
    <row r="50" spans="3:6">
      <c r="C50" s="25" t="s">
        <v>54</v>
      </c>
      <c r="D50" s="24" t="s">
        <v>41</v>
      </c>
      <c r="E50" s="24" t="s">
        <v>67</v>
      </c>
      <c r="F50" s="24" t="s">
        <v>68</v>
      </c>
    </row>
    <row r="51" spans="3:6">
      <c r="C51" s="25" t="s">
        <v>54</v>
      </c>
      <c r="D51" s="24" t="s">
        <v>41</v>
      </c>
      <c r="E51" s="24" t="s">
        <v>67</v>
      </c>
      <c r="F51" s="24" t="s">
        <v>152</v>
      </c>
    </row>
    <row r="52" spans="3:6">
      <c r="C52" s="25" t="s">
        <v>54</v>
      </c>
      <c r="D52" s="24" t="s">
        <v>41</v>
      </c>
      <c r="E52" s="24" t="s">
        <v>67</v>
      </c>
      <c r="F52" s="24" t="s">
        <v>153</v>
      </c>
    </row>
    <row r="53" spans="3:6">
      <c r="C53" s="25" t="s">
        <v>54</v>
      </c>
      <c r="D53" s="24" t="s">
        <v>41</v>
      </c>
      <c r="E53" s="24" t="s">
        <v>67</v>
      </c>
      <c r="F53" s="24" t="s">
        <v>154</v>
      </c>
    </row>
    <row r="54" spans="3:6">
      <c r="C54" s="25" t="s">
        <v>54</v>
      </c>
      <c r="D54" s="24" t="s">
        <v>41</v>
      </c>
      <c r="E54" s="24" t="s">
        <v>67</v>
      </c>
      <c r="F54" s="24" t="s">
        <v>155</v>
      </c>
    </row>
    <row r="55" spans="3:6">
      <c r="C55" s="25" t="s">
        <v>54</v>
      </c>
      <c r="D55" s="24" t="s">
        <v>41</v>
      </c>
      <c r="E55" s="24" t="s">
        <v>69</v>
      </c>
      <c r="F55" s="24" t="s">
        <v>70</v>
      </c>
    </row>
    <row r="56" spans="3:6">
      <c r="C56" s="25" t="s">
        <v>54</v>
      </c>
      <c r="D56" s="24" t="s">
        <v>41</v>
      </c>
      <c r="E56" s="24" t="s">
        <v>69</v>
      </c>
      <c r="F56" s="24" t="s">
        <v>156</v>
      </c>
    </row>
    <row r="57" spans="3:6">
      <c r="C57" s="25" t="s">
        <v>54</v>
      </c>
      <c r="D57" s="24" t="s">
        <v>41</v>
      </c>
      <c r="E57" s="24" t="s">
        <v>69</v>
      </c>
      <c r="F57" s="24" t="s">
        <v>140</v>
      </c>
    </row>
    <row r="58" spans="3:6">
      <c r="C58" s="25" t="s">
        <v>54</v>
      </c>
      <c r="D58" s="24" t="s">
        <v>41</v>
      </c>
      <c r="E58" s="24" t="s">
        <v>157</v>
      </c>
      <c r="F58" s="24" t="s">
        <v>158</v>
      </c>
    </row>
    <row r="59" spans="3:6">
      <c r="C59" s="25" t="s">
        <v>54</v>
      </c>
      <c r="D59" s="24" t="s">
        <v>41</v>
      </c>
      <c r="E59" s="24" t="s">
        <v>157</v>
      </c>
      <c r="F59" s="24" t="s">
        <v>159</v>
      </c>
    </row>
    <row r="60" spans="3:6">
      <c r="C60" s="25" t="s">
        <v>54</v>
      </c>
      <c r="D60" s="24" t="s">
        <v>41</v>
      </c>
      <c r="E60" s="24" t="s">
        <v>157</v>
      </c>
      <c r="F60" s="24" t="s">
        <v>160</v>
      </c>
    </row>
    <row r="61" spans="3:6">
      <c r="C61" s="25" t="s">
        <v>54</v>
      </c>
      <c r="D61" s="24" t="s">
        <v>41</v>
      </c>
      <c r="E61" s="24" t="s">
        <v>157</v>
      </c>
      <c r="F61" s="24" t="s">
        <v>161</v>
      </c>
    </row>
    <row r="62" spans="3:6">
      <c r="C62" s="25" t="s">
        <v>54</v>
      </c>
      <c r="D62" s="24" t="s">
        <v>41</v>
      </c>
      <c r="E62" s="24" t="s">
        <v>157</v>
      </c>
      <c r="F62" s="24" t="s">
        <v>162</v>
      </c>
    </row>
    <row r="63" spans="3:6">
      <c r="C63" s="25" t="s">
        <v>54</v>
      </c>
      <c r="D63" s="24" t="s">
        <v>41</v>
      </c>
      <c r="E63" s="24" t="s">
        <v>157</v>
      </c>
      <c r="F63" s="24" t="s">
        <v>163</v>
      </c>
    </row>
    <row r="64" spans="3:6">
      <c r="C64" s="25" t="s">
        <v>54</v>
      </c>
      <c r="D64" s="24" t="s">
        <v>41</v>
      </c>
      <c r="E64" s="24" t="s">
        <v>157</v>
      </c>
      <c r="F64" s="24" t="s">
        <v>164</v>
      </c>
    </row>
    <row r="65" spans="3:6">
      <c r="C65" s="25" t="s">
        <v>54</v>
      </c>
      <c r="D65" s="24" t="s">
        <v>41</v>
      </c>
      <c r="E65" s="24" t="s">
        <v>143</v>
      </c>
      <c r="F65" s="24" t="s">
        <v>165</v>
      </c>
    </row>
    <row r="66" spans="3:6">
      <c r="C66" s="25" t="s">
        <v>54</v>
      </c>
      <c r="D66" s="24" t="s">
        <v>41</v>
      </c>
      <c r="E66" s="24" t="s">
        <v>143</v>
      </c>
      <c r="F66" s="24" t="s">
        <v>145</v>
      </c>
    </row>
    <row r="67" spans="3:6">
      <c r="C67" s="25" t="s">
        <v>54</v>
      </c>
      <c r="D67" s="24" t="s">
        <v>41</v>
      </c>
      <c r="E67" s="24" t="s">
        <v>146</v>
      </c>
      <c r="F67" s="24" t="s">
        <v>147</v>
      </c>
    </row>
    <row r="68" spans="3:6">
      <c r="C68" s="25" t="s">
        <v>54</v>
      </c>
      <c r="D68" s="24" t="s">
        <v>41</v>
      </c>
      <c r="E68" s="24" t="s">
        <v>146</v>
      </c>
      <c r="F68" s="24" t="s">
        <v>148</v>
      </c>
    </row>
    <row r="69" spans="3:6">
      <c r="C69" s="25" t="s">
        <v>54</v>
      </c>
      <c r="D69" s="24" t="s">
        <v>41</v>
      </c>
      <c r="E69" s="24" t="s">
        <v>146</v>
      </c>
      <c r="F69" s="24" t="s">
        <v>149</v>
      </c>
    </row>
    <row r="70" spans="3:6">
      <c r="C70" s="25" t="s">
        <v>54</v>
      </c>
      <c r="D70" s="24" t="s">
        <v>41</v>
      </c>
      <c r="E70" s="24" t="s">
        <v>146</v>
      </c>
      <c r="F70" s="24" t="s">
        <v>150</v>
      </c>
    </row>
    <row r="71" spans="3:6">
      <c r="C71" s="25" t="s">
        <v>54</v>
      </c>
      <c r="D71" s="24" t="s">
        <v>41</v>
      </c>
      <c r="E71" s="24" t="s">
        <v>146</v>
      </c>
      <c r="F71" s="24" t="s">
        <v>151</v>
      </c>
    </row>
    <row r="72" spans="3:6">
      <c r="C72" s="25" t="s">
        <v>54</v>
      </c>
      <c r="D72" s="24" t="s">
        <v>41</v>
      </c>
      <c r="E72" s="24" t="s">
        <v>141</v>
      </c>
      <c r="F72" s="24" t="s">
        <v>166</v>
      </c>
    </row>
    <row r="73" spans="3:6">
      <c r="C73" s="25" t="s">
        <v>54</v>
      </c>
      <c r="D73" s="24" t="s">
        <v>41</v>
      </c>
      <c r="E73" s="24" t="s">
        <v>141</v>
      </c>
      <c r="F73" s="24" t="s">
        <v>167</v>
      </c>
    </row>
    <row r="74" spans="3:6">
      <c r="C74" s="25" t="s">
        <v>54</v>
      </c>
      <c r="D74" s="24" t="s">
        <v>41</v>
      </c>
      <c r="E74" s="24" t="s">
        <v>141</v>
      </c>
      <c r="F74" s="24" t="s">
        <v>142</v>
      </c>
    </row>
    <row r="75" spans="3:6">
      <c r="C75" s="25" t="s">
        <v>58</v>
      </c>
      <c r="D75" s="24" t="s">
        <v>39</v>
      </c>
      <c r="E75" s="24" t="s">
        <v>135</v>
      </c>
      <c r="F75" s="24" t="s">
        <v>168</v>
      </c>
    </row>
    <row r="76" spans="3:6">
      <c r="C76" s="25" t="s">
        <v>58</v>
      </c>
      <c r="D76" s="24" t="s">
        <v>39</v>
      </c>
      <c r="E76" s="24" t="s">
        <v>135</v>
      </c>
      <c r="F76" s="24" t="s">
        <v>169</v>
      </c>
    </row>
    <row r="77" spans="3:6">
      <c r="C77" s="25" t="s">
        <v>58</v>
      </c>
      <c r="D77" s="24" t="s">
        <v>39</v>
      </c>
      <c r="E77" s="24" t="s">
        <v>135</v>
      </c>
      <c r="F77" s="24" t="s">
        <v>325</v>
      </c>
    </row>
    <row r="78" spans="3:6">
      <c r="C78" s="25" t="s">
        <v>58</v>
      </c>
      <c r="D78" s="24" t="s">
        <v>39</v>
      </c>
      <c r="E78" s="24" t="s">
        <v>135</v>
      </c>
      <c r="F78" s="24" t="s">
        <v>136</v>
      </c>
    </row>
    <row r="79" spans="3:6">
      <c r="C79" s="25" t="s">
        <v>58</v>
      </c>
      <c r="D79" s="24" t="s">
        <v>43</v>
      </c>
      <c r="E79" s="24" t="s">
        <v>141</v>
      </c>
      <c r="F79" s="24" t="s">
        <v>166</v>
      </c>
    </row>
    <row r="80" spans="3:6">
      <c r="C80" s="25" t="s">
        <v>58</v>
      </c>
      <c r="D80" s="24" t="s">
        <v>43</v>
      </c>
      <c r="E80" s="24" t="s">
        <v>141</v>
      </c>
      <c r="F80" s="24" t="s">
        <v>142</v>
      </c>
    </row>
    <row r="81" spans="2:6">
      <c r="C81" s="25" t="s">
        <v>58</v>
      </c>
      <c r="D81" s="24" t="s">
        <v>43</v>
      </c>
      <c r="E81" s="24" t="s">
        <v>143</v>
      </c>
      <c r="F81" s="24" t="s">
        <v>326</v>
      </c>
    </row>
    <row r="82" spans="2:6">
      <c r="C82" s="25" t="s">
        <v>58</v>
      </c>
      <c r="D82" s="24" t="s">
        <v>43</v>
      </c>
      <c r="E82" s="24" t="s">
        <v>143</v>
      </c>
      <c r="F82" s="24" t="s">
        <v>144</v>
      </c>
    </row>
    <row r="83" spans="2:6">
      <c r="C83" s="25" t="s">
        <v>58</v>
      </c>
      <c r="D83" s="24" t="s">
        <v>43</v>
      </c>
      <c r="E83" s="24" t="s">
        <v>143</v>
      </c>
      <c r="F83" s="24" t="s">
        <v>327</v>
      </c>
    </row>
    <row r="84" spans="2:6">
      <c r="C84" s="25"/>
      <c r="D84" s="24"/>
      <c r="E84" s="24"/>
      <c r="F84" s="24"/>
    </row>
    <row r="85" spans="2:6">
      <c r="C85" s="25"/>
      <c r="D85" s="24"/>
      <c r="E85" s="24"/>
      <c r="F85" s="24"/>
    </row>
    <row r="86" spans="2:6">
      <c r="C86" s="25"/>
      <c r="D86" s="24"/>
      <c r="E86" s="24"/>
      <c r="F86" s="24"/>
    </row>
    <row r="87" spans="2:6">
      <c r="C87" s="25"/>
      <c r="D87" s="24"/>
      <c r="E87" s="24"/>
      <c r="F87" s="24"/>
    </row>
    <row r="88" spans="2:6">
      <c r="C88" s="25"/>
      <c r="D88" s="24"/>
      <c r="E88" s="24"/>
      <c r="F88" s="24"/>
    </row>
    <row r="89" spans="2:6">
      <c r="C89" s="25"/>
      <c r="D89" s="24"/>
      <c r="E89" s="24"/>
      <c r="F89" s="24"/>
    </row>
    <row r="90" spans="2:6">
      <c r="C90" s="25"/>
      <c r="D90" s="24"/>
      <c r="E90" s="24"/>
      <c r="F90" s="24"/>
    </row>
    <row r="91" spans="2:6">
      <c r="C91" s="25"/>
      <c r="D91" s="24"/>
      <c r="E91" s="24"/>
      <c r="F91" s="24"/>
    </row>
    <row r="92" spans="2:6">
      <c r="C92" s="25"/>
      <c r="D92" s="24"/>
      <c r="E92" s="24"/>
      <c r="F92" s="24"/>
    </row>
    <row r="93" spans="2:6">
      <c r="C93" s="25"/>
      <c r="D93" s="24"/>
      <c r="E93" s="24"/>
      <c r="F93" s="24"/>
    </row>
    <row r="95" spans="2:6" ht="18.75">
      <c r="C95" s="5" t="s">
        <v>73</v>
      </c>
    </row>
    <row r="96" spans="2:6">
      <c r="B96" t="s">
        <v>74</v>
      </c>
      <c r="C96" s="1" t="s">
        <v>75</v>
      </c>
      <c r="D96" s="1" t="s">
        <v>76</v>
      </c>
      <c r="E96" s="1" t="s">
        <v>77</v>
      </c>
      <c r="F96" s="1" t="s">
        <v>78</v>
      </c>
    </row>
    <row r="97" spans="2:6" ht="30">
      <c r="B97" s="7">
        <v>1</v>
      </c>
      <c r="C97" s="1">
        <v>1</v>
      </c>
      <c r="D97" s="21" t="s">
        <v>328</v>
      </c>
      <c r="E97" s="21" t="s">
        <v>329</v>
      </c>
      <c r="F97" s="21" t="s">
        <v>173</v>
      </c>
    </row>
    <row r="98" spans="2:6" ht="30">
      <c r="B98" s="7">
        <v>1</v>
      </c>
      <c r="C98" s="1">
        <v>2</v>
      </c>
      <c r="D98" s="21" t="s">
        <v>330</v>
      </c>
      <c r="E98" s="21" t="s">
        <v>331</v>
      </c>
      <c r="F98" s="21" t="s">
        <v>173</v>
      </c>
    </row>
    <row r="99" spans="2:6" ht="30">
      <c r="B99" s="7">
        <v>1</v>
      </c>
      <c r="C99" s="1">
        <v>3</v>
      </c>
      <c r="D99" s="21" t="s">
        <v>332</v>
      </c>
      <c r="E99" s="21" t="s">
        <v>333</v>
      </c>
      <c r="F99" s="21" t="s">
        <v>173</v>
      </c>
    </row>
    <row r="100" spans="2:6" ht="30">
      <c r="B100" s="7">
        <v>1</v>
      </c>
      <c r="C100" s="1">
        <v>4</v>
      </c>
      <c r="D100" s="21" t="s">
        <v>334</v>
      </c>
      <c r="E100" s="21" t="s">
        <v>335</v>
      </c>
      <c r="F100" s="21" t="s">
        <v>173</v>
      </c>
    </row>
    <row r="101" spans="2:6">
      <c r="B101" s="7">
        <v>1</v>
      </c>
      <c r="C101" s="1">
        <v>5</v>
      </c>
      <c r="D101" s="21" t="s">
        <v>336</v>
      </c>
      <c r="E101" s="21" t="s">
        <v>337</v>
      </c>
      <c r="F101" s="21" t="s">
        <v>173</v>
      </c>
    </row>
    <row r="102" spans="2:6" ht="30">
      <c r="B102" s="7">
        <v>1</v>
      </c>
      <c r="C102" s="1">
        <v>6</v>
      </c>
      <c r="D102" s="21" t="s">
        <v>338</v>
      </c>
      <c r="E102" s="28" t="s">
        <v>339</v>
      </c>
      <c r="F102" s="21" t="s">
        <v>173</v>
      </c>
    </row>
    <row r="103" spans="2:6">
      <c r="B103" s="7">
        <v>1</v>
      </c>
      <c r="C103" s="1">
        <v>7</v>
      </c>
      <c r="D103" s="21" t="s">
        <v>340</v>
      </c>
      <c r="E103" s="21"/>
      <c r="F103" s="21" t="s">
        <v>29</v>
      </c>
    </row>
    <row r="104" spans="2:6">
      <c r="B104" s="7">
        <v>1</v>
      </c>
      <c r="C104" s="1">
        <v>8</v>
      </c>
      <c r="D104" s="21" t="s">
        <v>340</v>
      </c>
      <c r="E104" s="21"/>
      <c r="F104" s="21" t="s">
        <v>29</v>
      </c>
    </row>
    <row r="105" spans="2:6" ht="30">
      <c r="B105" s="7">
        <v>1</v>
      </c>
      <c r="C105" s="1">
        <v>9</v>
      </c>
      <c r="D105" s="21" t="s">
        <v>341</v>
      </c>
      <c r="E105" s="29" t="s">
        <v>342</v>
      </c>
      <c r="F105" s="21" t="s">
        <v>30</v>
      </c>
    </row>
    <row r="106" spans="2:6" ht="30">
      <c r="B106" s="7">
        <v>1</v>
      </c>
      <c r="C106" s="1">
        <v>10</v>
      </c>
      <c r="D106" s="21" t="s">
        <v>343</v>
      </c>
      <c r="E106" s="21" t="s">
        <v>344</v>
      </c>
      <c r="F106" s="21" t="s">
        <v>30</v>
      </c>
    </row>
    <row r="107" spans="2:6">
      <c r="B107" s="7">
        <v>1</v>
      </c>
      <c r="C107" s="1">
        <v>11</v>
      </c>
      <c r="D107" s="21" t="s">
        <v>345</v>
      </c>
      <c r="E107" s="21"/>
      <c r="F107" s="21" t="s">
        <v>28</v>
      </c>
    </row>
    <row r="108" spans="2:6">
      <c r="B108" s="7">
        <v>1</v>
      </c>
      <c r="C108" s="1">
        <v>12</v>
      </c>
      <c r="D108" s="21"/>
      <c r="E108" s="21"/>
      <c r="F108"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93" xr:uid="{3D662EF6-94E1-4350-B3D5-9F339CA0FD80}">
      <formula1>INDIRECT(VLOOKUP($E44, SkillNameMap, 2, FALSE))</formula1>
    </dataValidation>
  </dataValidations>
  <pageMargins left="0.7" right="0.7" top="0.75" bottom="0.75" header="0.3" footer="0.3"/>
  <pageSetup paperSize="9" orientation="portrait" horizontalDpi="4294967293"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D44:D93</xm:sqref>
        </x14:dataValidation>
        <x14:dataValidation type="list" allowBlank="1" showInputMessage="1" showErrorMessage="1" xr:uid="{C1ACB768-367A-4765-AEE3-B6D50718CC09}">
          <x14:formula1>
            <xm:f>LISTS!$J$7:$J$16</xm:f>
          </x14:formula1>
          <xm:sqref>E44:E93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tabSelected="1" workbookViewId="0">
      <selection activeCell="X41" sqref="X41"/>
    </sheetView>
  </sheetViews>
  <sheetFormatPr defaultRowHeight="15"/>
  <cols>
    <col min="7" max="7" width="11.28515625" customWidth="1"/>
    <col min="10" max="10" width="19.28515625" bestFit="1" customWidth="1"/>
    <col min="19" max="19" width="28.28515625" customWidth="1"/>
    <col min="20" max="20" width="16.140625" customWidth="1"/>
  </cols>
  <sheetData>
    <row r="4" spans="3:10">
      <c r="C4" t="s">
        <v>346</v>
      </c>
      <c r="E4" t="s">
        <v>347</v>
      </c>
      <c r="G4" t="s">
        <v>347</v>
      </c>
      <c r="J4" t="s">
        <v>348</v>
      </c>
    </row>
    <row r="7" spans="3:10" ht="15.75" customHeight="1">
      <c r="C7" s="7">
        <v>1</v>
      </c>
      <c r="E7" t="s">
        <v>39</v>
      </c>
      <c r="G7" t="s">
        <v>55</v>
      </c>
      <c r="J7" t="s">
        <v>64</v>
      </c>
    </row>
    <row r="8" spans="3:10">
      <c r="C8" s="7">
        <v>2</v>
      </c>
      <c r="E8" t="s">
        <v>41</v>
      </c>
      <c r="G8" t="s">
        <v>349</v>
      </c>
      <c r="J8" t="s">
        <v>71</v>
      </c>
    </row>
    <row r="9" spans="3:10">
      <c r="C9" s="7" t="s">
        <v>284</v>
      </c>
      <c r="E9" t="s">
        <v>43</v>
      </c>
      <c r="G9" t="s">
        <v>108</v>
      </c>
      <c r="J9" t="s">
        <v>67</v>
      </c>
    </row>
    <row r="10" spans="3:10">
      <c r="E10" t="s">
        <v>45</v>
      </c>
      <c r="G10" t="s">
        <v>29</v>
      </c>
      <c r="J10" t="s">
        <v>135</v>
      </c>
    </row>
    <row r="11" spans="3:10">
      <c r="C11" s="7">
        <v>3</v>
      </c>
      <c r="E11" t="s">
        <v>46</v>
      </c>
      <c r="G11" t="s">
        <v>132</v>
      </c>
      <c r="J11" t="s">
        <v>137</v>
      </c>
    </row>
    <row r="12" spans="3:10">
      <c r="C12" s="7">
        <v>4</v>
      </c>
      <c r="G12" t="s">
        <v>323</v>
      </c>
      <c r="J12" t="s">
        <v>69</v>
      </c>
    </row>
    <row r="13" spans="3:10">
      <c r="C13" s="7">
        <v>5</v>
      </c>
      <c r="J13" t="s">
        <v>141</v>
      </c>
    </row>
    <row r="14" spans="3:10">
      <c r="C14" s="7">
        <v>6</v>
      </c>
      <c r="G14" t="s">
        <v>50</v>
      </c>
      <c r="J14" t="s">
        <v>157</v>
      </c>
    </row>
    <row r="15" spans="3:10">
      <c r="C15" s="7">
        <v>7</v>
      </c>
      <c r="G15" t="s">
        <v>350</v>
      </c>
      <c r="J15" t="s">
        <v>143</v>
      </c>
    </row>
    <row r="16" spans="3:10">
      <c r="G16" t="s">
        <v>351</v>
      </c>
      <c r="J16" t="s">
        <v>146</v>
      </c>
    </row>
    <row r="17" spans="3:20">
      <c r="C17" t="s">
        <v>18</v>
      </c>
      <c r="G17" t="s">
        <v>352</v>
      </c>
    </row>
    <row r="18" spans="3:20">
      <c r="C18" t="s">
        <v>353</v>
      </c>
      <c r="G18" t="s">
        <v>323</v>
      </c>
    </row>
    <row r="19" spans="3:20">
      <c r="C19" t="s">
        <v>354</v>
      </c>
      <c r="G19" t="s">
        <v>321</v>
      </c>
      <c r="J19" t="s">
        <v>355</v>
      </c>
      <c r="K19" t="s">
        <v>356</v>
      </c>
    </row>
    <row r="20" spans="3:20">
      <c r="C20" t="s">
        <v>357</v>
      </c>
      <c r="G20" t="s">
        <v>109</v>
      </c>
      <c r="J20" t="s">
        <v>64</v>
      </c>
      <c r="K20" t="s">
        <v>268</v>
      </c>
      <c r="O20" s="9" t="s">
        <v>358</v>
      </c>
      <c r="S20" s="14" t="s">
        <v>359</v>
      </c>
      <c r="T20" s="15" t="s">
        <v>360</v>
      </c>
    </row>
    <row r="21" spans="3:20">
      <c r="C21" t="s">
        <v>314</v>
      </c>
      <c r="G21" t="s">
        <v>361</v>
      </c>
      <c r="J21" t="s">
        <v>64</v>
      </c>
      <c r="K21" t="s">
        <v>66</v>
      </c>
      <c r="O21" t="str" cm="1">
        <f t="array" ref="O21:O26">_xlfn._xlws.FILTER(LISTS_Table[Skill],LISTS_Table[Category]="Scientific Knowledge")</f>
        <v>Critical thinking</v>
      </c>
      <c r="S21" s="16" t="s">
        <v>64</v>
      </c>
      <c r="T21" s="17" t="s">
        <v>362</v>
      </c>
    </row>
    <row r="22" spans="3:20">
      <c r="C22" t="s">
        <v>126</v>
      </c>
      <c r="G22" t="s">
        <v>363</v>
      </c>
      <c r="J22" t="s">
        <v>64</v>
      </c>
      <c r="K22" t="s">
        <v>65</v>
      </c>
      <c r="O22" t="str">
        <v>Scientific literacy</v>
      </c>
      <c r="S22" s="18" t="s">
        <v>71</v>
      </c>
      <c r="T22" s="19" t="s">
        <v>364</v>
      </c>
    </row>
    <row r="23" spans="3:20">
      <c r="G23" t="s">
        <v>365</v>
      </c>
      <c r="J23" t="s">
        <v>64</v>
      </c>
      <c r="K23" t="s">
        <v>267</v>
      </c>
      <c r="O23" t="str">
        <v>Information retrieval</v>
      </c>
      <c r="S23" s="16" t="s">
        <v>67</v>
      </c>
      <c r="T23" s="17" t="s">
        <v>366</v>
      </c>
    </row>
    <row r="24" spans="3:20">
      <c r="G24" t="s">
        <v>367</v>
      </c>
      <c r="J24" t="s">
        <v>64</v>
      </c>
      <c r="K24" t="s">
        <v>368</v>
      </c>
      <c r="O24" t="str">
        <v>Knowledge synthesis</v>
      </c>
      <c r="S24" s="18" t="s">
        <v>135</v>
      </c>
      <c r="T24" s="19" t="s">
        <v>369</v>
      </c>
    </row>
    <row r="25" spans="3:20">
      <c r="G25" t="s">
        <v>56</v>
      </c>
      <c r="J25" t="s">
        <v>64</v>
      </c>
      <c r="K25" t="s">
        <v>370</v>
      </c>
      <c r="O25" t="str">
        <v>Domian-specfic analytical skills</v>
      </c>
      <c r="S25" s="16" t="s">
        <v>137</v>
      </c>
      <c r="T25" s="17" t="s">
        <v>371</v>
      </c>
    </row>
    <row r="26" spans="3:20">
      <c r="C26" t="s">
        <v>372</v>
      </c>
      <c r="G26" t="s">
        <v>373</v>
      </c>
      <c r="J26" t="s">
        <v>71</v>
      </c>
      <c r="K26" t="s">
        <v>374</v>
      </c>
      <c r="O26" t="str">
        <v>Evidence evaluation</v>
      </c>
      <c r="S26" s="18" t="s">
        <v>69</v>
      </c>
      <c r="T26" s="19" t="s">
        <v>69</v>
      </c>
    </row>
    <row r="27" spans="3:20">
      <c r="C27" t="s">
        <v>20</v>
      </c>
      <c r="G27" t="s">
        <v>375</v>
      </c>
      <c r="J27" t="s">
        <v>71</v>
      </c>
      <c r="K27" t="s">
        <v>376</v>
      </c>
      <c r="S27" s="16" t="s">
        <v>141</v>
      </c>
      <c r="T27" s="17" t="s">
        <v>377</v>
      </c>
    </row>
    <row r="28" spans="3:20">
      <c r="C28" t="s">
        <v>378</v>
      </c>
      <c r="G28" t="s">
        <v>379</v>
      </c>
      <c r="J28" t="s">
        <v>71</v>
      </c>
      <c r="K28" t="s">
        <v>380</v>
      </c>
      <c r="O28" s="6" t="s">
        <v>381</v>
      </c>
      <c r="S28" s="18" t="s">
        <v>157</v>
      </c>
      <c r="T28" s="19" t="s">
        <v>382</v>
      </c>
    </row>
    <row r="29" spans="3:20">
      <c r="C29" t="s">
        <v>383</v>
      </c>
      <c r="J29" t="s">
        <v>71</v>
      </c>
      <c r="K29" t="s">
        <v>384</v>
      </c>
      <c r="O29" t="str" cm="1">
        <f t="array" ref="O29:O34">_xlfn._xlws.FILTER(LISTS_Table[Skill],LISTS_Table[Category]="Technical Skills")</f>
        <v>Laboratory/clinical techniques</v>
      </c>
      <c r="S29" s="16" t="s">
        <v>143</v>
      </c>
      <c r="T29" s="17" t="s">
        <v>385</v>
      </c>
    </row>
    <row r="30" spans="3:20">
      <c r="C30" t="s">
        <v>386</v>
      </c>
      <c r="J30" t="s">
        <v>71</v>
      </c>
      <c r="K30" t="s">
        <v>72</v>
      </c>
      <c r="O30" t="str">
        <v>Data collection</v>
      </c>
      <c r="S30" s="13" t="s">
        <v>146</v>
      </c>
      <c r="T30" s="11" t="s">
        <v>387</v>
      </c>
    </row>
    <row r="31" spans="3:20">
      <c r="C31" t="s">
        <v>388</v>
      </c>
      <c r="J31" t="s">
        <v>71</v>
      </c>
      <c r="K31" t="s">
        <v>389</v>
      </c>
      <c r="O31" t="str">
        <v>Data analysis</v>
      </c>
    </row>
    <row r="32" spans="3:20">
      <c r="C32" t="s">
        <v>390</v>
      </c>
      <c r="J32" t="s">
        <v>67</v>
      </c>
      <c r="K32" t="s">
        <v>68</v>
      </c>
      <c r="O32" t="str">
        <v>Digital literacy</v>
      </c>
    </row>
    <row r="33" spans="3:15">
      <c r="C33" t="s">
        <v>391</v>
      </c>
      <c r="J33" t="s">
        <v>67</v>
      </c>
      <c r="K33" t="s">
        <v>234</v>
      </c>
      <c r="O33" t="str">
        <v>Equipment and technology utilisation</v>
      </c>
    </row>
    <row r="34" spans="3:15">
      <c r="C34" t="s">
        <v>315</v>
      </c>
      <c r="J34" t="s">
        <v>67</v>
      </c>
      <c r="K34" t="s">
        <v>152</v>
      </c>
      <c r="O34" t="str">
        <v>Technical proficiency</v>
      </c>
    </row>
    <row r="35" spans="3:15">
      <c r="C35" t="s">
        <v>392</v>
      </c>
      <c r="J35" t="s">
        <v>67</v>
      </c>
      <c r="K35" t="s">
        <v>153</v>
      </c>
    </row>
    <row r="36" spans="3:15">
      <c r="C36" t="s">
        <v>393</v>
      </c>
      <c r="J36" t="s">
        <v>67</v>
      </c>
      <c r="K36" t="s">
        <v>154</v>
      </c>
      <c r="O36" s="9" t="s">
        <v>394</v>
      </c>
    </row>
    <row r="37" spans="3:15">
      <c r="C37" t="s">
        <v>395</v>
      </c>
      <c r="J37" t="s">
        <v>67</v>
      </c>
      <c r="K37" t="s">
        <v>155</v>
      </c>
      <c r="O37" t="str" cm="1">
        <f t="array" ref="O37:O42">_xlfn._xlws.FILTER(LISTS_Table[Skill],LISTS_Table[Category]="Application of Knowledge and skills")</f>
        <v>Decision-making</v>
      </c>
    </row>
    <row r="38" spans="3:15">
      <c r="J38" t="s">
        <v>135</v>
      </c>
      <c r="K38" t="s">
        <v>396</v>
      </c>
      <c r="O38" t="str">
        <v>Translational practice</v>
      </c>
    </row>
    <row r="39" spans="3:15">
      <c r="J39" t="s">
        <v>135</v>
      </c>
      <c r="K39" t="s">
        <v>168</v>
      </c>
      <c r="O39" t="str">
        <v>Contextual application</v>
      </c>
    </row>
    <row r="40" spans="3:15">
      <c r="J40" t="s">
        <v>135</v>
      </c>
      <c r="K40" t="s">
        <v>169</v>
      </c>
      <c r="O40" t="str">
        <v>Professional judgement</v>
      </c>
    </row>
    <row r="41" spans="3:15">
      <c r="J41" t="s">
        <v>135</v>
      </c>
      <c r="K41" t="s">
        <v>325</v>
      </c>
      <c r="O41" t="str">
        <v>Adaptability</v>
      </c>
    </row>
    <row r="42" spans="3:15">
      <c r="J42" t="s">
        <v>135</v>
      </c>
      <c r="K42" t="s">
        <v>136</v>
      </c>
      <c r="O42" t="str">
        <v>Risk assessment</v>
      </c>
    </row>
    <row r="43" spans="3:15">
      <c r="J43" t="s">
        <v>135</v>
      </c>
      <c r="K43" t="s">
        <v>397</v>
      </c>
    </row>
    <row r="44" spans="3:15">
      <c r="J44" t="s">
        <v>137</v>
      </c>
      <c r="K44" t="s">
        <v>170</v>
      </c>
      <c r="O44" s="8" t="s">
        <v>135</v>
      </c>
    </row>
    <row r="45" spans="3:15">
      <c r="J45" t="s">
        <v>137</v>
      </c>
      <c r="K45" t="s">
        <v>138</v>
      </c>
      <c r="O45" t="str" cm="1">
        <f t="array" ref="O45:O50">_xlfn._xlws.FILTER(LISTS_Table[Skill],LISTS_Table[Category]="Understanding and use of research")</f>
        <v>Reserch literacy</v>
      </c>
    </row>
    <row r="46" spans="3:15">
      <c r="J46" t="s">
        <v>137</v>
      </c>
      <c r="K46" t="s">
        <v>139</v>
      </c>
      <c r="O46" t="str">
        <v>Literature searching</v>
      </c>
    </row>
    <row r="47" spans="3:15">
      <c r="J47" t="s">
        <v>137</v>
      </c>
      <c r="K47" t="s">
        <v>398</v>
      </c>
      <c r="O47" t="str">
        <v>Critical appraisal</v>
      </c>
    </row>
    <row r="48" spans="3:15">
      <c r="J48" t="s">
        <v>137</v>
      </c>
      <c r="K48" t="s">
        <v>399</v>
      </c>
      <c r="O48" t="str">
        <v>Data interpretation</v>
      </c>
    </row>
    <row r="49" spans="10:15">
      <c r="J49" t="s">
        <v>137</v>
      </c>
      <c r="K49" t="s">
        <v>400</v>
      </c>
      <c r="O49" t="str">
        <v>Evidne-based practice</v>
      </c>
    </row>
    <row r="50" spans="10:15">
      <c r="J50" t="s">
        <v>137</v>
      </c>
      <c r="K50" t="s">
        <v>401</v>
      </c>
      <c r="O50" t="str">
        <v>Research communication</v>
      </c>
    </row>
    <row r="51" spans="10:15">
      <c r="J51" t="s">
        <v>69</v>
      </c>
      <c r="K51" t="s">
        <v>402</v>
      </c>
    </row>
    <row r="52" spans="10:15">
      <c r="J52" t="s">
        <v>69</v>
      </c>
      <c r="K52" t="s">
        <v>70</v>
      </c>
      <c r="O52" s="8" t="s">
        <v>137</v>
      </c>
    </row>
    <row r="53" spans="10:15">
      <c r="J53" t="s">
        <v>69</v>
      </c>
      <c r="K53" t="s">
        <v>156</v>
      </c>
      <c r="O53" t="str" cm="1">
        <f t="array" ref="O53:O59">_xlfn._xlws.FILTER(LISTS_Table[Skill],LISTS_Table[Category]="Self-evaluation and professional development")</f>
        <v>Reflective practice</v>
      </c>
    </row>
    <row r="54" spans="10:15">
      <c r="J54" t="s">
        <v>69</v>
      </c>
      <c r="K54" t="s">
        <v>403</v>
      </c>
      <c r="O54" t="str">
        <v>Self-awareness</v>
      </c>
    </row>
    <row r="55" spans="10:15">
      <c r="J55" t="s">
        <v>69</v>
      </c>
      <c r="K55" t="s">
        <v>140</v>
      </c>
      <c r="O55" t="str">
        <v>Lifelong learning</v>
      </c>
    </row>
    <row r="56" spans="10:15">
      <c r="J56" t="s">
        <v>69</v>
      </c>
      <c r="K56" t="s">
        <v>404</v>
      </c>
      <c r="O56" t="str">
        <v>Personal development planning</v>
      </c>
    </row>
    <row r="57" spans="10:15">
      <c r="J57" t="s">
        <v>141</v>
      </c>
      <c r="K57" t="s">
        <v>405</v>
      </c>
      <c r="O57" t="str">
        <v>Resilience</v>
      </c>
    </row>
    <row r="58" spans="10:15">
      <c r="J58" t="s">
        <v>141</v>
      </c>
      <c r="K58" t="s">
        <v>166</v>
      </c>
      <c r="O58" t="str">
        <v>Initiative</v>
      </c>
    </row>
    <row r="59" spans="10:15">
      <c r="J59" t="s">
        <v>141</v>
      </c>
      <c r="K59" t="s">
        <v>167</v>
      </c>
      <c r="O59" t="str">
        <v>Accountability</v>
      </c>
    </row>
    <row r="60" spans="10:15">
      <c r="J60" t="s">
        <v>141</v>
      </c>
      <c r="K60" t="s">
        <v>142</v>
      </c>
    </row>
    <row r="61" spans="10:15">
      <c r="J61" t="s">
        <v>141</v>
      </c>
      <c r="K61" t="s">
        <v>406</v>
      </c>
      <c r="O61" s="10" t="s">
        <v>69</v>
      </c>
    </row>
    <row r="62" spans="10:15">
      <c r="J62" t="s">
        <v>141</v>
      </c>
      <c r="K62" t="s">
        <v>407</v>
      </c>
      <c r="O62" t="str" cm="1">
        <f t="array" ref="O62:O67">_xlfn._xlws.FILTER(LISTS_Table[Skill],LISTS_Table[Category]="Communication")</f>
        <v>Written communication</v>
      </c>
    </row>
    <row r="63" spans="10:15">
      <c r="J63" t="s">
        <v>157</v>
      </c>
      <c r="K63" t="s">
        <v>158</v>
      </c>
      <c r="O63" t="str">
        <v>Oral presentation</v>
      </c>
    </row>
    <row r="64" spans="10:15">
      <c r="J64" t="s">
        <v>157</v>
      </c>
      <c r="K64" t="s">
        <v>408</v>
      </c>
      <c r="O64" t="str">
        <v>Active listening</v>
      </c>
    </row>
    <row r="65" spans="10:15">
      <c r="J65" t="s">
        <v>157</v>
      </c>
      <c r="K65" t="s">
        <v>159</v>
      </c>
      <c r="O65" t="str">
        <v>Scientific writing</v>
      </c>
    </row>
    <row r="66" spans="10:15">
      <c r="J66" t="s">
        <v>157</v>
      </c>
      <c r="K66" t="s">
        <v>160</v>
      </c>
      <c r="O66" t="str">
        <v>Interpesronal communication</v>
      </c>
    </row>
    <row r="67" spans="10:15">
      <c r="J67" t="s">
        <v>157</v>
      </c>
      <c r="K67" t="s">
        <v>409</v>
      </c>
      <c r="O67" t="str">
        <v>Digital communication</v>
      </c>
    </row>
    <row r="68" spans="10:15">
      <c r="J68" t="s">
        <v>157</v>
      </c>
      <c r="K68" t="s">
        <v>161</v>
      </c>
    </row>
    <row r="69" spans="10:15">
      <c r="J69" t="s">
        <v>157</v>
      </c>
      <c r="K69" t="s">
        <v>162</v>
      </c>
      <c r="O69" s="10" t="s">
        <v>141</v>
      </c>
    </row>
    <row r="70" spans="10:15">
      <c r="J70" t="s">
        <v>157</v>
      </c>
      <c r="K70" t="s">
        <v>163</v>
      </c>
      <c r="O70" t="str" cm="1">
        <f t="array" ref="O70:O75">_xlfn._xlws.FILTER(LISTS_Table[Skill],LISTS_Table[Category]="Problem solving and impact")</f>
        <v>Analytical thinking</v>
      </c>
    </row>
    <row r="71" spans="10:15">
      <c r="J71" t="s">
        <v>157</v>
      </c>
      <c r="K71" t="s">
        <v>164</v>
      </c>
      <c r="O71" t="str">
        <v>problem identification</v>
      </c>
    </row>
    <row r="72" spans="10:15">
      <c r="J72" t="s">
        <v>143</v>
      </c>
      <c r="K72" t="s">
        <v>326</v>
      </c>
      <c r="O72" t="str">
        <v>Creative thinking</v>
      </c>
    </row>
    <row r="73" spans="10:15">
      <c r="J73" t="s">
        <v>143</v>
      </c>
      <c r="K73" t="s">
        <v>144</v>
      </c>
      <c r="O73" t="str">
        <v>Evidence-based decision making</v>
      </c>
    </row>
    <row r="74" spans="10:15">
      <c r="J74" t="s">
        <v>143</v>
      </c>
      <c r="K74" t="s">
        <v>327</v>
      </c>
      <c r="O74" t="str">
        <v>Innovation</v>
      </c>
    </row>
    <row r="75" spans="10:15">
      <c r="J75" t="s">
        <v>143</v>
      </c>
      <c r="K75" t="s">
        <v>165</v>
      </c>
      <c r="O75" t="str">
        <v>Evaluation of outcomes</v>
      </c>
    </row>
    <row r="76" spans="10:15">
      <c r="J76" t="s">
        <v>143</v>
      </c>
      <c r="K76" t="s">
        <v>145</v>
      </c>
    </row>
    <row r="77" spans="10:15">
      <c r="J77" t="s">
        <v>146</v>
      </c>
      <c r="K77" t="s">
        <v>147</v>
      </c>
      <c r="O77" s="10" t="s">
        <v>157</v>
      </c>
    </row>
    <row r="78" spans="10:15">
      <c r="J78" t="s">
        <v>146</v>
      </c>
      <c r="K78" t="s">
        <v>410</v>
      </c>
      <c r="O78" t="str" cm="1">
        <f t="array" ref="O78:O86">_xlfn._xlws.FILTER(LISTS_Table[Skill],LISTS_Table[Category]="Management of self and others")</f>
        <v>Leadership</v>
      </c>
    </row>
    <row r="79" spans="10:15">
      <c r="J79" t="s">
        <v>146</v>
      </c>
      <c r="K79" t="s">
        <v>148</v>
      </c>
      <c r="O79" t="str">
        <v>Coaching and mentoring</v>
      </c>
    </row>
    <row r="80" spans="10:15">
      <c r="J80" t="s">
        <v>146</v>
      </c>
      <c r="K80" t="s">
        <v>149</v>
      </c>
      <c r="O80" t="str">
        <v>Time management</v>
      </c>
    </row>
    <row r="81" spans="10:15">
      <c r="J81" t="s">
        <v>146</v>
      </c>
      <c r="K81" t="s">
        <v>150</v>
      </c>
      <c r="O81" t="str">
        <v>Organisation</v>
      </c>
    </row>
    <row r="82" spans="10:15">
      <c r="J82" t="s">
        <v>146</v>
      </c>
      <c r="K82" t="s">
        <v>411</v>
      </c>
      <c r="O82" t="str">
        <v>Delegation</v>
      </c>
    </row>
    <row r="83" spans="10:15">
      <c r="J83" t="s">
        <v>146</v>
      </c>
      <c r="K83" t="s">
        <v>151</v>
      </c>
      <c r="O83" t="str">
        <v>Conflict resolution</v>
      </c>
    </row>
    <row r="84" spans="10:15">
      <c r="O84" t="str">
        <v>Empathy</v>
      </c>
    </row>
    <row r="85" spans="10:15">
      <c r="O85" t="str">
        <v>Multi-tasking</v>
      </c>
    </row>
    <row r="86" spans="10:15">
      <c r="O86" t="str">
        <v>Resource management</v>
      </c>
    </row>
    <row r="88" spans="10:15">
      <c r="O88" s="8" t="s">
        <v>143</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412</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2C69AF36-9A71-44A9-91D8-06EACC9A4339}"/>
</file>

<file path=customXml/itemProps2.xml><?xml version="1.0" encoding="utf-8"?>
<ds:datastoreItem xmlns:ds="http://schemas.openxmlformats.org/officeDocument/2006/customXml" ds:itemID="{CC7876BE-FE17-4DF8-ABB3-DD1B1DB3E36E}"/>
</file>

<file path=customXml/itemProps3.xml><?xml version="1.0" encoding="utf-8"?>
<ds:datastoreItem xmlns:ds="http://schemas.openxmlformats.org/officeDocument/2006/customXml" ds:itemID="{30CD9834-CD7B-470E-AB49-7E3A258B0400}"/>
</file>

<file path=customXml/itemProps4.xml><?xml version="1.0" encoding="utf-8"?>
<ds:datastoreItem xmlns:ds="http://schemas.openxmlformats.org/officeDocument/2006/customXml" ds:itemID="{1031572F-D994-4D1C-BA99-CBE0E51EA6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Lewis, Colin</cp:lastModifiedBy>
  <cp:revision/>
  <dcterms:created xsi:type="dcterms:W3CDTF">2026-07-01T09:36:48Z</dcterms:created>
  <dcterms:modified xsi:type="dcterms:W3CDTF">2026-09-30T07:57:41Z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