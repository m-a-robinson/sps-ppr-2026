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ljmu.sharepoint.com/teams/SPSRe-validation2026Team/Shared Documents/Sport Coaching/Module Documents/"/>
    </mc:Choice>
  </mc:AlternateContent>
  <xr:revisionPtr revIDLastSave="1454" documentId="8_{20AD63D6-7E4E-4EFA-BE5C-A6DF2DDE1EA8}" xr6:coauthVersionLast="47" xr6:coauthVersionMax="47" xr10:uidLastSave="{FB168BCF-2036-4CA9-94D9-FA0D2EF681B9}"/>
  <bookViews>
    <workbookView xWindow="465" yWindow="630" windowWidth="26490" windowHeight="20235" firstSheet="5" activeTab="12" xr2:uid="{8D7B9789-0724-4FF2-A9AF-E462B2920CAC}"/>
  </bookViews>
  <sheets>
    <sheet name="4202SPS" sheetId="75" r:id="rId1"/>
    <sheet name="4401SPS" sheetId="76" r:id="rId2"/>
    <sheet name="5401SPS" sheetId="79" r:id="rId3"/>
    <sheet name="5402SPS" sheetId="77" r:id="rId4"/>
    <sheet name="5403SPS" sheetId="80" r:id="rId5"/>
    <sheet name="5XX1SPS" sheetId="78" r:id="rId6"/>
    <sheet name="5XX2SPS" sheetId="81" r:id="rId7"/>
    <sheet name="6XX1SPS" sheetId="82" r:id="rId8"/>
    <sheet name="6XX2SPS" sheetId="83" r:id="rId9"/>
    <sheet name="6403SPS" sheetId="84" r:id="rId10"/>
    <sheet name="6097SPS" sheetId="85" r:id="rId11"/>
    <sheet name="Module (13)" sheetId="86" r:id="rId12"/>
    <sheet name="Template" sheetId="7" r:id="rId13"/>
    <sheet name="LISTS" sheetId="4" r:id="rId14"/>
  </sheets>
  <definedNames>
    <definedName name="ApplicationofKnowledge">_xlfn.ANCHORARRAY(LISTS!$O$37)</definedName>
    <definedName name="Communication">_xlfn.ANCHORARRAY(LISTS!$O$62)</definedName>
    <definedName name="DeliveryEnvironment">_xlfn.ANCHORARRAY(LISTS!$O$89)</definedName>
    <definedName name="MgmtSelf">_xlfn.ANCHORARRAY(LISTS!$O$78)</definedName>
    <definedName name="ProblemSolving">_xlfn.ANCHORARRAY(LISTS!$O$70)</definedName>
    <definedName name="ProfRelationships">_xlfn.ANCHORARRAY(LISTS!$O$96)</definedName>
    <definedName name="ScientificKnowledge">_xlfn.ANCHORARRAY(LISTS!$O$21)</definedName>
    <definedName name="SelfEvaluation">_xlfn.ANCHORARRAY(LISTS!$O$53)</definedName>
    <definedName name="SkillNameMap">LISTS!$S$20:$T$30</definedName>
    <definedName name="TechnicalSkills">_xlfn.ANCHORARRAY(LISTS!$O$29)</definedName>
    <definedName name="UnderstandingResearch">_xlfn.ANCHORARRAY(LISTS!$O$45)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4" i="86" l="1"/>
  <c r="D2" i="86"/>
  <c r="C2" i="86"/>
  <c r="D24" i="85"/>
  <c r="D2" i="85"/>
  <c r="C2" i="85"/>
  <c r="D24" i="84"/>
  <c r="D2" i="84"/>
  <c r="C2" i="84"/>
  <c r="D24" i="83"/>
  <c r="D2" i="83"/>
  <c r="C2" i="83"/>
  <c r="D24" i="82"/>
  <c r="D2" i="82"/>
  <c r="C2" i="82"/>
  <c r="D24" i="81"/>
  <c r="D2" i="81"/>
  <c r="C2" i="81"/>
  <c r="D24" i="80"/>
  <c r="D2" i="80"/>
  <c r="C2" i="80"/>
  <c r="D24" i="79"/>
  <c r="D2" i="79"/>
  <c r="C2" i="79"/>
  <c r="D24" i="78"/>
  <c r="D2" i="78"/>
  <c r="C2" i="78"/>
  <c r="D24" i="77"/>
  <c r="D2" i="77"/>
  <c r="C2" i="77"/>
  <c r="D24" i="76"/>
  <c r="D2" i="76"/>
  <c r="C2" i="76"/>
  <c r="D24" i="75"/>
  <c r="D2" i="75"/>
  <c r="C2" i="75"/>
  <c r="D24" i="7"/>
  <c r="D2" i="7"/>
  <c r="C2" i="7"/>
  <c r="O96" i="4" a="1"/>
  <c r="O96" i="4" s="1"/>
  <c r="O89" i="4" a="1"/>
  <c r="O89" i="4" s="1"/>
  <c r="O78" i="4" a="1"/>
  <c r="O78" i="4" s="1"/>
  <c r="O70" i="4" a="1"/>
  <c r="O70" i="4" s="1"/>
  <c r="O62" i="4" a="1"/>
  <c r="O62" i="4" s="1"/>
  <c r="O53" i="4" a="1"/>
  <c r="O53" i="4" s="1"/>
  <c r="O45" i="4" a="1"/>
  <c r="O45" i="4" s="1"/>
  <c r="O37" i="4" a="1"/>
  <c r="O37" i="4" s="1"/>
  <c r="O29" i="4" a="1"/>
  <c r="O29" i="4" s="1"/>
  <c r="O21" i="4" a="1"/>
  <c r="O21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<sst xmlns="http://schemas.openxmlformats.org/spreadsheetml/2006/main" count="1619" uniqueCount="226">
  <si>
    <t>Module Information</t>
  </si>
  <si>
    <t>Module Data</t>
  </si>
  <si>
    <t>Details</t>
  </si>
  <si>
    <t>Aims</t>
  </si>
  <si>
    <t>Module Code</t>
  </si>
  <si>
    <t>SEM401</t>
  </si>
  <si>
    <t>Module Title</t>
  </si>
  <si>
    <t>Credits</t>
  </si>
  <si>
    <t>Semester</t>
  </si>
  <si>
    <t>Outline Syllabus</t>
  </si>
  <si>
    <t>Level</t>
  </si>
  <si>
    <t>Module Leader</t>
  </si>
  <si>
    <t>Module Type</t>
  </si>
  <si>
    <t>Programme(s)</t>
  </si>
  <si>
    <t>Module Overview</t>
  </si>
  <si>
    <t>Contact Hours</t>
  </si>
  <si>
    <t>Component</t>
  </si>
  <si>
    <t>Lecture</t>
  </si>
  <si>
    <t>Seminar</t>
  </si>
  <si>
    <t>Practical</t>
  </si>
  <si>
    <t>Workshop</t>
  </si>
  <si>
    <t>Additional Information/Notes</t>
  </si>
  <si>
    <t>Online</t>
  </si>
  <si>
    <t>Total</t>
  </si>
  <si>
    <t>Learning Outcomes</t>
  </si>
  <si>
    <t>After completing the module the student should be able to:</t>
  </si>
  <si>
    <t>LO Number</t>
  </si>
  <si>
    <t>LO Description</t>
  </si>
  <si>
    <t>LO1</t>
  </si>
  <si>
    <t>LO2</t>
  </si>
  <si>
    <t>LO3</t>
  </si>
  <si>
    <t>LO4</t>
  </si>
  <si>
    <t>LO5</t>
  </si>
  <si>
    <t>Assessment</t>
  </si>
  <si>
    <t>Assessment No</t>
  </si>
  <si>
    <t>Assessment Type</t>
  </si>
  <si>
    <t>Assessment Specific</t>
  </si>
  <si>
    <t>Assessment Description</t>
  </si>
  <si>
    <t>Weighting</t>
  </si>
  <si>
    <t>Due Week</t>
  </si>
  <si>
    <t>A1</t>
  </si>
  <si>
    <t>Presentation</t>
  </si>
  <si>
    <t>Group Presentation</t>
  </si>
  <si>
    <t>Group presentation on biomechanical principles in weightlifting</t>
  </si>
  <si>
    <t>A2</t>
  </si>
  <si>
    <t>A3</t>
  </si>
  <si>
    <t>A4</t>
  </si>
  <si>
    <t>Assessment Mapping</t>
  </si>
  <si>
    <t>Graduate Skills Category</t>
  </si>
  <si>
    <t>Graduate Skill</t>
  </si>
  <si>
    <t>Scientific knowledge</t>
  </si>
  <si>
    <t>Information retrieval</t>
  </si>
  <si>
    <t>Scientific literacy</t>
  </si>
  <si>
    <t>Application of knowledge and skills</t>
  </si>
  <si>
    <t>Decision-making</t>
  </si>
  <si>
    <t>Communication</t>
  </si>
  <si>
    <t>Oral presentation</t>
  </si>
  <si>
    <t>Technical skills</t>
  </si>
  <si>
    <t>Equipment and technology utilisation</t>
  </si>
  <si>
    <t>Weekly Content</t>
  </si>
  <si>
    <t xml:space="preserve">Semester </t>
  </si>
  <si>
    <t>Week Number</t>
  </si>
  <si>
    <t>Weekly Content 1</t>
  </si>
  <si>
    <t>Weekly Content 2</t>
  </si>
  <si>
    <t>Weekly Content 3</t>
  </si>
  <si>
    <t>Introduction to biomechanics</t>
  </si>
  <si>
    <t>Linear kinematics</t>
  </si>
  <si>
    <t>2D motion analysis practical</t>
  </si>
  <si>
    <t>Angular kinematics</t>
  </si>
  <si>
    <t>Forces and Newton’s laws</t>
  </si>
  <si>
    <t>Force platform practical</t>
  </si>
  <si>
    <t>Work, energy, and power</t>
  </si>
  <si>
    <t>Momentum and impulse</t>
  </si>
  <si>
    <t>Fluid mechanics</t>
  </si>
  <si>
    <t>Tissue mechanics</t>
  </si>
  <si>
    <t>Biomechanical modelling</t>
  </si>
  <si>
    <t>Measurement techniques</t>
  </si>
  <si>
    <t xml:space="preserve">Markerless practical </t>
  </si>
  <si>
    <t>Data analysis</t>
  </si>
  <si>
    <t>Revision / assessment preparation</t>
  </si>
  <si>
    <t>Applied Biomechanics</t>
  </si>
  <si>
    <t>Jane Smith</t>
  </si>
  <si>
    <t>Core module</t>
  </si>
  <si>
    <t>Explain the fundamental principles of biomechanics</t>
  </si>
  <si>
    <t>Analyse human movement using quantitative methods</t>
  </si>
  <si>
    <t>Apply biomechanical concepts to practical scenarios</t>
  </si>
  <si>
    <t>Exam</t>
  </si>
  <si>
    <t>In Person Exam</t>
  </si>
  <si>
    <t>Table 1</t>
  </si>
  <si>
    <t>Table 3</t>
  </si>
  <si>
    <t>Table 5</t>
  </si>
  <si>
    <t>Report</t>
  </si>
  <si>
    <t>YL</t>
  </si>
  <si>
    <t>Understanding and use of research</t>
  </si>
  <si>
    <t>Portfolio</t>
  </si>
  <si>
    <t>Self-evaluation and professional development</t>
  </si>
  <si>
    <t>Problem solving and impact</t>
  </si>
  <si>
    <t>Management of self and others</t>
  </si>
  <si>
    <t>Lab Report</t>
  </si>
  <si>
    <t>Understanding the delivery environment</t>
  </si>
  <si>
    <t>Viva</t>
  </si>
  <si>
    <t>Professional relationships and behaviours</t>
  </si>
  <si>
    <t>Prof Practice Strand</t>
  </si>
  <si>
    <t>Dissertation</t>
  </si>
  <si>
    <t>Research Strand</t>
  </si>
  <si>
    <t>Essay</t>
  </si>
  <si>
    <t>Research Project</t>
  </si>
  <si>
    <t>Category</t>
  </si>
  <si>
    <t>Skill</t>
  </si>
  <si>
    <t>Placement</t>
  </si>
  <si>
    <t>Individual Presentation</t>
  </si>
  <si>
    <t>Critical thinking</t>
  </si>
  <si>
    <t>Scientific Knowledge</t>
  </si>
  <si>
    <t>Category text shown to user</t>
  </si>
  <si>
    <t>Defined Name</t>
  </si>
  <si>
    <t>Option module</t>
  </si>
  <si>
    <t>Case Study</t>
  </si>
  <si>
    <t>ScientificKnowledge</t>
  </si>
  <si>
    <t>Data Analysis</t>
  </si>
  <si>
    <t>TechnicalSkills</t>
  </si>
  <si>
    <t>Video</t>
  </si>
  <si>
    <t>Knowledge synthesis</t>
  </si>
  <si>
    <t>ApplicationofKnowledge</t>
  </si>
  <si>
    <t>Infographic</t>
  </si>
  <si>
    <t>Domian-specfic analytical skills</t>
  </si>
  <si>
    <t>UnderstandingResearch</t>
  </si>
  <si>
    <t>Reflection</t>
  </si>
  <si>
    <t>Evidence evaluation</t>
  </si>
  <si>
    <t>SelfEvaluation</t>
  </si>
  <si>
    <t>Football Science</t>
  </si>
  <si>
    <t>Journal</t>
  </si>
  <si>
    <t>Laboratory/clinical techniques</t>
  </si>
  <si>
    <t>Physical Education</t>
  </si>
  <si>
    <t>MCQ Online Test</t>
  </si>
  <si>
    <t>Data collection</t>
  </si>
  <si>
    <t>ProblemSolving</t>
  </si>
  <si>
    <t>Sport and Exercise Science</t>
  </si>
  <si>
    <t>Technical Skills</t>
  </si>
  <si>
    <t>MgmtSelf</t>
  </si>
  <si>
    <t>Sport Coaching</t>
  </si>
  <si>
    <t>Digital literacy</t>
  </si>
  <si>
    <t>DeliveryEnvironment</t>
  </si>
  <si>
    <t>Sport Nutrition</t>
  </si>
  <si>
    <t>ProfRelationships</t>
  </si>
  <si>
    <t>Sport Psychology</t>
  </si>
  <si>
    <t>Technical proficiency</t>
  </si>
  <si>
    <t>All Programmes</t>
  </si>
  <si>
    <t>SES and FS</t>
  </si>
  <si>
    <t>Translational practice</t>
  </si>
  <si>
    <t>SES, SC, PE</t>
  </si>
  <si>
    <t>Contextual application</t>
  </si>
  <si>
    <t>SES and SN</t>
  </si>
  <si>
    <t>Professional judgement</t>
  </si>
  <si>
    <t>SC and PE</t>
  </si>
  <si>
    <t>Adaptability</t>
  </si>
  <si>
    <t>Application of Knowledge &amp; Skills</t>
  </si>
  <si>
    <t>Other combination</t>
  </si>
  <si>
    <t>Risk assessment</t>
  </si>
  <si>
    <t>Reserch literacy</t>
  </si>
  <si>
    <t>Literature searching</t>
  </si>
  <si>
    <t>Critical appraisal</t>
  </si>
  <si>
    <t>Data interpretation</t>
  </si>
  <si>
    <t>Evidne-based practice</t>
  </si>
  <si>
    <t>Research communication</t>
  </si>
  <si>
    <t>Reflective practice</t>
  </si>
  <si>
    <t>Self-awareness</t>
  </si>
  <si>
    <t>Lifelong learning</t>
  </si>
  <si>
    <t>Personal development planning</t>
  </si>
  <si>
    <t>Resilience</t>
  </si>
  <si>
    <t>Initiative</t>
  </si>
  <si>
    <t>Accountability</t>
  </si>
  <si>
    <t>Written communication</t>
  </si>
  <si>
    <t>Active listening</t>
  </si>
  <si>
    <t>Scientific writing</t>
  </si>
  <si>
    <t>Interpesronal communication</t>
  </si>
  <si>
    <t>Digital communication</t>
  </si>
  <si>
    <t>Analytical thinking</t>
  </si>
  <si>
    <t>problem identification</t>
  </si>
  <si>
    <t>Creative thinking</t>
  </si>
  <si>
    <t>Evidence-based decision making</t>
  </si>
  <si>
    <t>Innovation</t>
  </si>
  <si>
    <t>Evaluation of outcomes</t>
  </si>
  <si>
    <t>Leadership</t>
  </si>
  <si>
    <t>Coaching and mentoring</t>
  </si>
  <si>
    <t>Time management</t>
  </si>
  <si>
    <t>Organisation</t>
  </si>
  <si>
    <t>Delegation</t>
  </si>
  <si>
    <t>Conflict resolution</t>
  </si>
  <si>
    <t>Empathy</t>
  </si>
  <si>
    <t>Multi-tasking</t>
  </si>
  <si>
    <t>Resource management</t>
  </si>
  <si>
    <t>Organisational awareness</t>
  </si>
  <si>
    <t>Policy interpretation</t>
  </si>
  <si>
    <t>Stakeholder awareness</t>
  </si>
  <si>
    <t>Service delivery</t>
  </si>
  <si>
    <t>Professional awareness</t>
  </si>
  <si>
    <t>Teamwork</t>
  </si>
  <si>
    <t>Collaboration/multi-disciplinary working</t>
  </si>
  <si>
    <t>Ethical practice</t>
  </si>
  <si>
    <t>Professionalism</t>
  </si>
  <si>
    <t>Cultural awareness and competence</t>
  </si>
  <si>
    <t>Integrity</t>
  </si>
  <si>
    <t>Respect</t>
  </si>
  <si>
    <t>Professional relationships &amp; behaviours</t>
  </si>
  <si>
    <t>Learning Theory and Practice 1</t>
  </si>
  <si>
    <t>4202SPS</t>
  </si>
  <si>
    <t>4401SPS</t>
  </si>
  <si>
    <t xml:space="preserve">Professional Practice in Sport Coaching 1 </t>
  </si>
  <si>
    <t>Effective Coaching in Paralympic and Disability Sport</t>
  </si>
  <si>
    <t>5402SPS</t>
  </si>
  <si>
    <t>XXXXSPS</t>
  </si>
  <si>
    <t>Learning Theory and Practice</t>
  </si>
  <si>
    <t>Professional Practice in Sport Coaching 2</t>
  </si>
  <si>
    <t>5401SPS</t>
  </si>
  <si>
    <t>Strength and Conditioning for Coaches</t>
  </si>
  <si>
    <t>5403SPS</t>
  </si>
  <si>
    <t>Youth and Community Football Coaching</t>
  </si>
  <si>
    <t>5XX2SPS</t>
  </si>
  <si>
    <t xml:space="preserve">Advanced Coaching Practice </t>
  </si>
  <si>
    <t>6XX1SPS</t>
  </si>
  <si>
    <t xml:space="preserve">Coach Development and Learning </t>
  </si>
  <si>
    <t>6XX2SPS</t>
  </si>
  <si>
    <t xml:space="preserve">Placement/Projects in Sport for Professional Development </t>
  </si>
  <si>
    <t>6403SPS</t>
  </si>
  <si>
    <t>Working in High Performance Sport</t>
  </si>
  <si>
    <t>6097SPS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</si>
</sst>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i/>
      <sz val="12"/>
      <color theme="1"/>
      <name val="Aptos Narrow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3" fillId="0" borderId="0" xfId="0" applyFont="1" applyAlignment="1">
      <alignment vertical="center" wrapText="1"/>
    </xf>
    <xf numFmtId="0" fontId="1" fillId="0" borderId="0" xfId="0" applyFont="1"/>
    <xf numFmtId="0" fontId="0" fillId="0" borderId="0" xfId="0" applyAlignment="1">
      <alignment horizontal="center"/>
    </xf>
    <xf numFmtId="0" fontId="0" fillId="2" borderId="1" xfId="0" applyFill="1" applyBorder="1"/>
    <xf numFmtId="0" fontId="1" fillId="2" borderId="1" xfId="0" applyFont="1" applyFill="1" applyBorder="1"/>
    <xf numFmtId="0" fontId="1" fillId="0" borderId="1" xfId="0" applyFont="1" applyBorder="1"/>
    <xf numFmtId="0" fontId="0" fillId="0" borderId="2" xfId="0" applyBorder="1"/>
    <xf numFmtId="0" fontId="6" fillId="0" borderId="0" xfId="0" applyFont="1"/>
    <xf numFmtId="0" fontId="0" fillId="0" borderId="1" xfId="0" applyBorder="1"/>
    <xf numFmtId="0" fontId="5" fillId="3" borderId="3" xfId="0" applyFont="1" applyFill="1" applyBorder="1"/>
    <xf numFmtId="0" fontId="5" fillId="3" borderId="4" xfId="0" applyFont="1" applyFill="1" applyBorder="1"/>
    <xf numFmtId="0" fontId="0" fillId="2" borderId="3" xfId="0" applyFill="1" applyBorder="1"/>
    <xf numFmtId="0" fontId="0" fillId="2" borderId="4" xfId="0" applyFill="1" applyBorder="1"/>
    <xf numFmtId="0" fontId="0" fillId="0" borderId="3" xfId="0" applyBorder="1"/>
    <xf numFmtId="0" fontId="0" fillId="0" borderId="4" xfId="0" applyBorder="1"/>
    <xf numFmtId="0" fontId="4" fillId="4" borderId="0" xfId="0" applyFont="1" applyFill="1"/>
    <xf numFmtId="0" fontId="0" fillId="0" borderId="0" xfId="0" applyAlignment="1" applyProtection="1">
      <alignment horizontal="left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9" fontId="0" fillId="0" borderId="0" xfId="0" applyNumberFormat="1" applyAlignment="1" applyProtection="1">
      <alignment horizontal="left" vertical="center" wrapText="1"/>
      <protection locked="0"/>
    </xf>
    <xf numFmtId="0" fontId="0" fillId="0" borderId="0" xfId="0" applyProtection="1">
      <protection locked="0"/>
    </xf>
    <xf numFmtId="0" fontId="1" fillId="0" borderId="0" xfId="0" applyFont="1" applyProtection="1">
      <protection locked="0"/>
    </xf>
    <xf numFmtId="0" fontId="7" fillId="0" borderId="0" xfId="0" applyFont="1" applyProtection="1">
      <protection locked="0"/>
    </xf>
  </cellXfs>
  <cellStyles count="1">
    <cellStyle name="Normal" xfId="0" builtinId="0"/>
  </cellStyles>
  <dxfs count="429"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/>
      </font>
      <protection locked="0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protection locked="0" hidden="0"/>
    </dxf>
    <dxf>
      <alignment horizontal="left" vertical="center" textRotation="0" wrapText="1" indent="0" justifyLastLine="0" shrinkToFit="0" readingOrder="0"/>
      <protection locked="0" hidden="0"/>
    </dxf>
    <dxf>
      <alignment horizontal="left" vertical="center" textRotation="0" wrapText="1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/>
      </font>
      <protection locked="0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protection locked="0" hidden="0"/>
    </dxf>
    <dxf>
      <alignment horizontal="left" vertical="center" textRotation="0" wrapText="1" indent="0" justifyLastLine="0" shrinkToFit="0" readingOrder="0"/>
      <protection locked="0" hidden="0"/>
    </dxf>
    <dxf>
      <alignment horizontal="left" vertical="center" textRotation="0" wrapText="1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/>
      </font>
      <protection locked="0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protection locked="0" hidden="0"/>
    </dxf>
    <dxf>
      <alignment horizontal="left" vertical="center" textRotation="0" wrapText="1" indent="0" justifyLastLine="0" shrinkToFit="0" readingOrder="0"/>
      <protection locked="0" hidden="0"/>
    </dxf>
    <dxf>
      <alignment horizontal="left" vertical="center" textRotation="0" wrapText="1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/>
      </font>
      <protection locked="0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protection locked="0" hidden="0"/>
    </dxf>
    <dxf>
      <alignment horizontal="left" vertical="center" textRotation="0" wrapText="1" indent="0" justifyLastLine="0" shrinkToFit="0" readingOrder="0"/>
      <protection locked="0" hidden="0"/>
    </dxf>
    <dxf>
      <alignment horizontal="left" vertical="center" textRotation="0" wrapText="1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/>
      </font>
      <protection locked="0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protection locked="0" hidden="0"/>
    </dxf>
    <dxf>
      <alignment horizontal="left" vertical="center" textRotation="0" wrapText="1" indent="0" justifyLastLine="0" shrinkToFit="0" readingOrder="0"/>
      <protection locked="0" hidden="0"/>
    </dxf>
    <dxf>
      <alignment horizontal="left" vertical="center" textRotation="0" wrapText="1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/>
      </font>
      <protection locked="0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protection locked="0" hidden="0"/>
    </dxf>
    <dxf>
      <alignment horizontal="left" vertical="center" textRotation="0" wrapText="1" indent="0" justifyLastLine="0" shrinkToFit="0" readingOrder="0"/>
      <protection locked="0" hidden="0"/>
    </dxf>
    <dxf>
      <alignment horizontal="left" vertical="center" textRotation="0" wrapText="1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/>
      </font>
      <protection locked="0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protection locked="0" hidden="0"/>
    </dxf>
    <dxf>
      <alignment horizontal="left" vertical="center" textRotation="0" wrapText="1" indent="0" justifyLastLine="0" shrinkToFit="0" readingOrder="0"/>
      <protection locked="0" hidden="0"/>
    </dxf>
    <dxf>
      <alignment horizontal="left" vertical="center" textRotation="0" wrapText="1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/>
      </font>
      <protection locked="0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protection locked="0" hidden="0"/>
    </dxf>
    <dxf>
      <alignment horizontal="left" vertical="center" textRotation="0" wrapText="1" indent="0" justifyLastLine="0" shrinkToFit="0" readingOrder="0"/>
      <protection locked="0" hidden="0"/>
    </dxf>
    <dxf>
      <alignment horizontal="left" vertical="center" textRotation="0" wrapText="1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/>
      </font>
      <protection locked="0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protection locked="0" hidden="0"/>
    </dxf>
    <dxf>
      <alignment horizontal="left" vertical="center" textRotation="0" wrapText="1" indent="0" justifyLastLine="0" shrinkToFit="0" readingOrder="0"/>
      <protection locked="0" hidden="0"/>
    </dxf>
    <dxf>
      <alignment horizontal="left" vertical="center" textRotation="0" wrapText="1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/>
      </font>
      <protection locked="0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protection locked="0" hidden="0"/>
    </dxf>
    <dxf>
      <alignment horizontal="left" vertical="center" textRotation="0" wrapText="1" indent="0" justifyLastLine="0" shrinkToFit="0" readingOrder="0"/>
      <protection locked="0" hidden="0"/>
    </dxf>
    <dxf>
      <alignment horizontal="left" vertical="center" textRotation="0" wrapText="1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/>
      </font>
      <protection locked="0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protection locked="0" hidden="0"/>
    </dxf>
    <dxf>
      <alignment horizontal="left" vertical="center" textRotation="0" wrapText="1" indent="0" justifyLastLine="0" shrinkToFit="0" readingOrder="0"/>
      <protection locked="0" hidden="0"/>
    </dxf>
    <dxf>
      <alignment horizontal="left" vertical="center" textRotation="0" wrapText="1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/>
      </font>
      <protection locked="0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protection locked="0" hidden="0"/>
    </dxf>
    <dxf>
      <alignment horizontal="left" vertical="center" textRotation="0" wrapText="1" indent="0" justifyLastLine="0" shrinkToFit="0" readingOrder="0"/>
      <protection locked="0" hidden="0"/>
    </dxf>
    <dxf>
      <alignment horizontal="left" vertical="center" textRotation="0" wrapText="1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/>
      </font>
      <protection locked="0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protection locked="0" hidden="0"/>
    </dxf>
    <dxf>
      <alignment horizontal="left" vertical="center" textRotation="0" wrapText="1" indent="0" justifyLastLine="0" shrinkToFit="0" readingOrder="0"/>
      <protection locked="0" hidden="0"/>
    </dxf>
    <dxf>
      <alignment horizontal="left" vertical="center" textRotation="0" wrapText="1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F8365005-B598-4738-B9AF-07D1E238BC9C}" name="4202SPS_Meta" displayName="_4202SPS_Meta" ref="C6:D14" totalsRowShown="0">
  <autoFilter ref="C6:D14" xr:uid="{CD75D2A7-14B1-4ABD-B64D-6E875F9BC652}">
    <filterColumn colId="0" hiddenButton="1"/>
    <filterColumn colId="1" hiddenButton="1"/>
  </autoFilter>
  <tableColumns count="2">
    <tableColumn id="1" xr3:uid="{7B568BCE-928C-447D-BD05-0832B97C0D72}" name="Module Data" dataDxfId="428"/>
    <tableColumn id="2" xr3:uid="{706D7CC6-0EB1-4219-8291-567821A0A5B8}" name="Details" dataDxfId="427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A7A07E87-B596-4463-9B78-6555D43A4B3D}" name="4202SPS_LO" displayName="_4202SPS_LO" ref="C28:D33" totalsRowShown="0" headerRowDxfId="426">
  <autoFilter ref="C28:D33" xr:uid="{22316987-6BEB-4FAF-9619-BF9BE9909CFA}">
    <filterColumn colId="0" hiddenButton="1"/>
    <filterColumn colId="1" hiddenButton="1"/>
  </autoFilter>
  <tableColumns count="2">
    <tableColumn id="1" xr3:uid="{C19B4674-B83E-4A42-A7E5-5468C8752F20}" name="LO Number" dataDxfId="425"/>
    <tableColumn id="2" xr3:uid="{78F135DA-0213-417E-88FD-2F76325B6D58}" name="LO Description" dataDxfId="42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8F69EEF1-22B4-4163-8A76-0105B5FDEC70}" name="4202SPS_Assess" displayName="_4202SPS_Assess" ref="C37:H41" totalsRowShown="0" headerRowDxfId="423">
  <autoFilter ref="C37:H41" xr:uid="{39DE2F1F-0A9B-4873-A230-1AA954198F5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9892EAF8-7C5D-41E6-A727-FB21DB64B28D}" name="Assessment No" dataDxfId="422"/>
    <tableColumn id="2" xr3:uid="{43E55016-0B24-4AE6-8341-2CF6FE45EFE0}" name="Assessment Type" dataDxfId="421"/>
    <tableColumn id="7" xr3:uid="{74FB69C4-57FE-4D4F-92C7-425CCB32340D}" name="Assessment Specific" dataDxfId="420"/>
    <tableColumn id="3" xr3:uid="{F392CA10-65BB-49CE-8FEA-065DB3B1250A}" name="Assessment Description" dataDxfId="419"/>
    <tableColumn id="4" xr3:uid="{63105FFB-71CB-4889-BE3D-BA168F2B1D15}" name="Weighting" dataDxfId="418"/>
    <tableColumn id="5" xr3:uid="{942301B1-78DA-47AC-B487-4A82010FBC22}" name="Due Week" dataDxfId="417"/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D89A5C6D-23F5-46A1-94E8-CF627C641E3E}" name="4202SPS_Weekly" displayName="_4202SPS_Weekly" ref="B60:F84" totalsRowShown="0">
  <autoFilter ref="B60:F84" xr:uid="{3A41AF80-1AD3-44F6-93D1-6C4A16CCF943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1345FE91-A274-4410-84E7-94ACC245A1B0}" name="Semester " dataDxfId="416"/>
    <tableColumn id="2" xr3:uid="{D37085D6-4B13-4E18-BF1D-72E1D211C5E2}" name="Week Number" dataDxfId="415"/>
    <tableColumn id="3" xr3:uid="{E63B3791-EF8C-42D0-9D20-9E40C6780395}" name="Weekly Content 1" dataDxfId="414"/>
    <tableColumn id="4" xr3:uid="{B1BA8E95-AF48-472D-8022-4FFD3C39E6FD}" name="Weekly Content 2" dataDxfId="413"/>
    <tableColumn id="5" xr3:uid="{77ED77D2-DF2D-4913-862F-82B54D142645}" name="Weekly Content 3" dataDxfId="412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3D81E92-9BBD-40B0-B885-F022CB13A68D}" name="4202SPS_Hours" displayName="_4202SPS_Hours" ref="C18:D24" totalsRowShown="0">
  <autoFilter ref="C18:D24" xr:uid="{B71A3569-AA65-4A4E-98A2-885F5C38B46D}">
    <filterColumn colId="0" hiddenButton="1"/>
    <filterColumn colId="1" hiddenButton="1"/>
  </autoFilter>
  <tableColumns count="2">
    <tableColumn id="1" xr3:uid="{A4027C00-55EA-4E91-A17F-FC7D936AA12D}" name="Component" dataDxfId="411"/>
    <tableColumn id="2" xr3:uid="{2B461470-C937-400F-A861-E1EF437460FC}" name="Contact Hours" dataDxfId="41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93DE5F36-B6B6-48CA-B033-B6C2A61B46F8}" name="4202SPS_Mapping" displayName="_4202SPS_Mapping" ref="C45:F56" totalsRowShown="0" headerRowDxfId="409" dataDxfId="408">
  <autoFilter ref="C45:F56" xr:uid="{E0A841BB-B6D5-4048-B5F2-18CF9F502EBA}">
    <filterColumn colId="0" hiddenButton="1"/>
    <filterColumn colId="1" hiddenButton="1"/>
    <filterColumn colId="2" hiddenButton="1"/>
    <filterColumn colId="3" hiddenButton="1"/>
  </autoFilter>
  <tableColumns count="4">
    <tableColumn id="1" xr3:uid="{318F8255-76AC-4F17-ABBB-6A771AD200A7}" name="Assessment No" dataDxfId="407"/>
    <tableColumn id="2" xr3:uid="{01ED9B44-AD4B-499E-8D3C-3B9247E57323}" name="LO Number" dataDxfId="406"/>
    <tableColumn id="3" xr3:uid="{D52384A9-63E3-4ABE-86FB-4619A06E02AF}" name="Graduate Skills Category" dataDxfId="405"/>
    <tableColumn id="4" xr3:uid="{B45DCF04-04F9-4B36-A81D-CEBACC18D2E8}" name="Graduate Skill" dataDxfId="404"/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3046BD9A-2B11-4104-9334-CBD68741AB03}" name="4202SPS_Aims" displayName="_4202SPS_Aims" ref="F6:F8" totalsRowShown="0" dataDxfId="403">
  <autoFilter ref="F6:F8" xr:uid="{9552138F-2332-4BC4-A585-0E13162881A5}"/>
  <tableColumns count="1">
    <tableColumn id="1" xr3:uid="{00C11AD8-5667-494A-85B4-23C210D1B918}" name="Aims" dataDxfId="402"/>
  </tableColumns>
  <tableStyleInfo name="TableStyleMedium6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26B305FF-72A4-4559-8E2D-B9A63503D4FA}" name="4202SPS_Syllabus" displayName="_4202SPS_Syllabus" ref="F10:F13" totalsRowShown="0" dataDxfId="401">
  <autoFilter ref="F10:F13" xr:uid="{94F18F67-3F10-4F6E-A953-4FE3399B07F2}"/>
  <tableColumns count="1">
    <tableColumn id="1" xr3:uid="{8917F32D-2D78-4B3C-93BA-03E82057EA4B}" name="Outline Syllabus" dataDxfId="400"/>
  </tableColumns>
  <tableStyleInfo name="TableStyleMedium6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8A8B96ED-8A76-44E9-8A2C-4B9FD261E59C}" name="4202SPS_Overview" displayName="_4202SPS_Overview" ref="F15:F20" totalsRowShown="0" dataDxfId="399">
  <autoFilter ref="F15:F20" xr:uid="{1B2BCD7B-6C15-4B1C-86BC-48FF83D8F225}"/>
  <tableColumns count="1">
    <tableColumn id="1" xr3:uid="{B53F9EDB-3125-4C5C-A219-EFA16F274EFC}" name="Module Overview" dataDxfId="398"/>
  </tableColumns>
  <tableStyleInfo name="TableStyleMedium6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2B219707-18B1-442D-9B23-49B95E064644}" name="4202SPS_Notes" displayName="_4202SPS_Notes" ref="F22:F33" totalsRowShown="0" dataDxfId="397">
  <autoFilter ref="F22:F33" xr:uid="{D5968C0A-6D7E-4221-87EE-78A85A4039B3}"/>
  <tableColumns count="1">
    <tableColumn id="1" xr3:uid="{2E1C0BC3-8EFB-4AA5-A23B-DEAB35C7DEA7}" name="Additional Information/Notes" dataDxfId="396"/>
  </tableColumns>
  <tableStyleInfo name="TableStyleMedium6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E9FA17F3-8510-4713-9EFA-F81B9896C75F}" name="4401SPS_Meta" displayName="_4401SPS_Meta" ref="C6:D14" totalsRowShown="0">
  <autoFilter ref="C6:D14" xr:uid="{CD75D2A7-14B1-4ABD-B64D-6E875F9BC652}">
    <filterColumn colId="0" hiddenButton="1"/>
    <filterColumn colId="1" hiddenButton="1"/>
  </autoFilter>
  <tableColumns count="2">
    <tableColumn id="1" xr3:uid="{644E4444-F68A-4E74-BD5D-8748CD05A7D2}" name="Module Data" dataDxfId="395"/>
    <tableColumn id="2" xr3:uid="{AF6CCCE6-633B-4669-B570-EB4F893B50C4}" name="Details" dataDxfId="394"/>
  </tableColumns>
  <tableStyleInfo name="TableStyleMedium6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A4EE75AE-77CE-4A68-A718-983DED4FF7A1}" name="4401SPS_LO" displayName="_4401SPS_LO" ref="C28:D33" totalsRowShown="0" headerRowDxfId="393">
  <autoFilter ref="C28:D33" xr:uid="{22316987-6BEB-4FAF-9619-BF9BE9909CFA}">
    <filterColumn colId="0" hiddenButton="1"/>
    <filterColumn colId="1" hiddenButton="1"/>
  </autoFilter>
  <tableColumns count="2">
    <tableColumn id="1" xr3:uid="{589112ED-5C99-4CD7-912A-F216AEC245F3}" name="LO Number" dataDxfId="392"/>
    <tableColumn id="2" xr3:uid="{D42319CA-BEAF-49C8-8EC7-B45F24386E7A}" name="LO Description" dataDxfId="391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FCAE2B91-6BD8-4529-8B59-5DB7121B1D24}" name="4401SPS_Assess" displayName="_4401SPS_Assess" ref="C37:H41" totalsRowShown="0" headerRowDxfId="390">
  <autoFilter ref="C37:H41" xr:uid="{39DE2F1F-0A9B-4873-A230-1AA954198F5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6FED30EF-9DFC-4FCF-9A98-B1395296BD26}" name="Assessment No" dataDxfId="389"/>
    <tableColumn id="2" xr3:uid="{0C168E40-BC62-40F7-8494-D9D585BBF5DD}" name="Assessment Type" dataDxfId="388"/>
    <tableColumn id="7" xr3:uid="{03042C7C-BE5A-4EDB-B18A-F162688CAFDA}" name="Assessment Specific" dataDxfId="387"/>
    <tableColumn id="3" xr3:uid="{B536E57C-91CB-491F-8850-5E1F4FFB6EC2}" name="Assessment Description" dataDxfId="386"/>
    <tableColumn id="4" xr3:uid="{CFEF4DCA-7026-4AB8-9930-965F672B21EC}" name="Weighting" dataDxfId="385"/>
    <tableColumn id="5" xr3:uid="{268A91DF-58B1-43BF-A340-0E1D33705BAA}" name="Due Week" dataDxfId="384"/>
  </tableColumns>
  <tableStyleInfo name="TableStyleMedium3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FAFDD563-D76D-4667-B964-69DE19A2F370}" name="4401SPS_Weekly" displayName="_4401SPS_Weekly" ref="B60:F84" totalsRowShown="0">
  <autoFilter ref="B60:F84" xr:uid="{3A41AF80-1AD3-44F6-93D1-6C4A16CCF943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2EC0DE77-F537-4352-B465-CD91C72B6257}" name="Semester " dataDxfId="383"/>
    <tableColumn id="2" xr3:uid="{916AD303-2708-4E40-8E0C-DE9D347BA8EA}" name="Week Number" dataDxfId="382"/>
    <tableColumn id="3" xr3:uid="{66580F8A-FF82-4503-9EBF-1B44DD45F9F5}" name="Weekly Content 1" dataDxfId="381"/>
    <tableColumn id="4" xr3:uid="{5E6D35EA-634F-45B1-8A96-068CB99E3BA7}" name="Weekly Content 2" dataDxfId="380"/>
    <tableColumn id="5" xr3:uid="{25F8B45E-A68A-40F6-AADD-D3228D0F228B}" name="Weekly Content 3" dataDxfId="379"/>
  </tableColumns>
  <tableStyleInfo name="TableStyleMedium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102355DE-CDC7-4C13-A897-B84D0D96A8FC}" name="4401SPS_Hours" displayName="_4401SPS_Hours" ref="C18:D24" totalsRowShown="0">
  <autoFilter ref="C18:D24" xr:uid="{B71A3569-AA65-4A4E-98A2-885F5C38B46D}">
    <filterColumn colId="0" hiddenButton="1"/>
    <filterColumn colId="1" hiddenButton="1"/>
  </autoFilter>
  <tableColumns count="2">
    <tableColumn id="1" xr3:uid="{E6DA5AB3-0374-477C-BB37-91CD5B04A8A7}" name="Component" dataDxfId="378"/>
    <tableColumn id="2" xr3:uid="{25171EA2-F360-4480-9A69-30F0637E5E19}" name="Contact Hours" dataDxfId="377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20E05B93-0CDB-4250-BCA8-9C03D039B5AA}" name="4401SPS_Mapping" displayName="_4401SPS_Mapping" ref="C45:F56" totalsRowShown="0" headerRowDxfId="376" dataDxfId="375">
  <autoFilter ref="C45:F56" xr:uid="{E0A841BB-B6D5-4048-B5F2-18CF9F502EBA}">
    <filterColumn colId="0" hiddenButton="1"/>
    <filterColumn colId="1" hiddenButton="1"/>
    <filterColumn colId="2" hiddenButton="1"/>
    <filterColumn colId="3" hiddenButton="1"/>
  </autoFilter>
  <tableColumns count="4">
    <tableColumn id="1" xr3:uid="{5D5BD11A-55EF-4A54-875D-6C3259B55C2B}" name="Assessment No" dataDxfId="374"/>
    <tableColumn id="2" xr3:uid="{220CCF7F-D01D-41B9-83FA-AB3772B56C47}" name="LO Number" dataDxfId="373"/>
    <tableColumn id="3" xr3:uid="{35876AFA-8C5D-4EB6-A40B-8013521A5A47}" name="Graduate Skills Category" dataDxfId="372"/>
    <tableColumn id="4" xr3:uid="{8CC8B0ED-B11D-43C6-AB11-C69764FE383C}" name="Graduate Skill" dataDxfId="371"/>
  </tableColumns>
  <tableStyleInfo name="TableStyleMedium3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AD421795-C657-4B23-85A2-74B0174B165C}" name="4401SPS_Aims" displayName="_4401SPS_Aims" ref="F6:F8" totalsRowShown="0" dataDxfId="370">
  <autoFilter ref="F6:F8" xr:uid="{9552138F-2332-4BC4-A585-0E13162881A5}"/>
  <tableColumns count="1">
    <tableColumn id="1" xr3:uid="{17C9A3A3-D0C1-421C-8D52-32617D054C2E}" name="Aims" dataDxfId="369"/>
  </tableColumns>
  <tableStyleInfo name="TableStyleMedium6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4C708692-CFFF-4D84-88A9-BCE4B09138E0}" name="4401SPS_Syllabus" displayName="_4401SPS_Syllabus" ref="F10:F13" totalsRowShown="0" dataDxfId="368">
  <autoFilter ref="F10:F13" xr:uid="{94F18F67-3F10-4F6E-A953-4FE3399B07F2}"/>
  <tableColumns count="1">
    <tableColumn id="1" xr3:uid="{D7FF23A0-D568-4D96-9868-A6319DCE887A}" name="Outline Syllabus" dataDxfId="367"/>
  </tableColumns>
  <tableStyleInfo name="TableStyleMedium6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54CADD0E-07B9-4D59-8E61-01F39F116463}" name="4401SPS_Overview" displayName="_4401SPS_Overview" ref="F15:F20" totalsRowShown="0" dataDxfId="366">
  <autoFilter ref="F15:F20" xr:uid="{1B2BCD7B-6C15-4B1C-86BC-48FF83D8F225}"/>
  <tableColumns count="1">
    <tableColumn id="1" xr3:uid="{E558D902-00D8-4FEB-8431-38F38D3FD8C5}" name="Module Overview" dataDxfId="365"/>
  </tableColumns>
  <tableStyleInfo name="TableStyleMedium6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AF1F5DED-CF26-4C92-A936-AD81E729AA08}" name="4401SPS_Notes" displayName="_4401SPS_Notes" ref="F22:F33" totalsRowShown="0" dataDxfId="364">
  <autoFilter ref="F22:F33" xr:uid="{D5968C0A-6D7E-4221-87EE-78A85A4039B3}"/>
  <tableColumns count="1">
    <tableColumn id="1" xr3:uid="{C6EF2F48-EFDC-40BF-8A10-F2C80BC78705}" name="Additional Information/Notes" dataDxfId="363"/>
  </tableColumns>
  <tableStyleInfo name="TableStyleMedium6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C86E48D9-F82B-402B-A44C-BC8F8F7303D0}" name="5401SPS_Meta" displayName="_5401SPS_Meta" ref="C6:D14" totalsRowShown="0">
  <autoFilter ref="C6:D14" xr:uid="{CD75D2A7-14B1-4ABD-B64D-6E875F9BC652}">
    <filterColumn colId="0" hiddenButton="1"/>
    <filterColumn colId="1" hiddenButton="1"/>
  </autoFilter>
  <tableColumns count="2">
    <tableColumn id="1" xr3:uid="{7833E623-ED87-40CE-93D2-B78B6A7D7E94}" name="Module Data" dataDxfId="362"/>
    <tableColumn id="2" xr3:uid="{0659839B-A1DA-4204-9267-1A4CC295A6EF}" name="Details" dataDxfId="361"/>
  </tableColumns>
  <tableStyleInfo name="TableStyleMedium6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E32A9936-076B-4BC2-B13B-069BFBBB1804}" name="5401SPS_LO" displayName="_5401SPS_LO" ref="C28:D33" totalsRowShown="0" headerRowDxfId="360">
  <autoFilter ref="C28:D33" xr:uid="{22316987-6BEB-4FAF-9619-BF9BE9909CFA}">
    <filterColumn colId="0" hiddenButton="1"/>
    <filterColumn colId="1" hiddenButton="1"/>
  </autoFilter>
  <tableColumns count="2">
    <tableColumn id="1" xr3:uid="{FEDC5FCD-23F6-4532-A565-C979DFEE6452}" name="LO Number" dataDxfId="359"/>
    <tableColumn id="2" xr3:uid="{1F64A8B9-B360-490C-BD12-64A29F9CF82F}" name="LO Description" dataDxfId="358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A199E17E-33E1-438A-8DFD-E5E7B9D9B6AD}" name="5401SPS_Assess" displayName="_5401SPS_Assess" ref="C37:H41" totalsRowShown="0" headerRowDxfId="357">
  <autoFilter ref="C37:H41" xr:uid="{39DE2F1F-0A9B-4873-A230-1AA954198F5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9257FCD3-320E-4A09-882E-104641C1FD58}" name="Assessment No" dataDxfId="356"/>
    <tableColumn id="2" xr3:uid="{0FE47FA8-B999-4405-B49D-E106E82A7509}" name="Assessment Type" dataDxfId="355"/>
    <tableColumn id="7" xr3:uid="{61D6D411-EDDD-4962-A754-A4B5EEB96263}" name="Assessment Specific" dataDxfId="354"/>
    <tableColumn id="3" xr3:uid="{1A288D47-FFDF-4BA0-94F1-9B647BE04DCC}" name="Assessment Description" dataDxfId="353"/>
    <tableColumn id="4" xr3:uid="{ED08857B-A938-490D-9B30-962DE64252AB}" name="Weighting" dataDxfId="352"/>
    <tableColumn id="5" xr3:uid="{581E13F4-4545-426B-8995-08E09758F5CB}" name="Due Week" dataDxfId="351"/>
  </tableColumns>
  <tableStyleInfo name="TableStyleMedium3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CBF4AD49-2241-4DE3-B6F1-0E1C2F3DE17D}" name="5401SPS_Weekly" displayName="_5401SPS_Weekly" ref="B60:F84" totalsRowShown="0">
  <autoFilter ref="B60:F84" xr:uid="{3A41AF80-1AD3-44F6-93D1-6C4A16CCF943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D1DA16D2-1087-49A1-9BB0-8496A2968E4A}" name="Semester " dataDxfId="350"/>
    <tableColumn id="2" xr3:uid="{BED16F5A-D8C5-4300-A763-C0065F48E598}" name="Week Number" dataDxfId="349"/>
    <tableColumn id="3" xr3:uid="{1C3278D5-9F89-43C0-84A5-ACE6AE3BF8C8}" name="Weekly Content 1" dataDxfId="348"/>
    <tableColumn id="4" xr3:uid="{8ADEF497-35DC-4945-B42C-DCA4C8DB67C9}" name="Weekly Content 2" dataDxfId="347"/>
    <tableColumn id="5" xr3:uid="{E6B69E39-A78E-4994-8E8F-40C76F0002A1}" name="Weekly Content 3" dataDxfId="346"/>
  </tableColumns>
  <tableStyleInfo name="TableStyleMedium4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2E7FD2E5-9819-4DDA-9192-9962A61B1C4E}" name="5401SPS_Hours" displayName="_5401SPS_Hours" ref="C18:D24" totalsRowShown="0">
  <autoFilter ref="C18:D24" xr:uid="{B71A3569-AA65-4A4E-98A2-885F5C38B46D}">
    <filterColumn colId="0" hiddenButton="1"/>
    <filterColumn colId="1" hiddenButton="1"/>
  </autoFilter>
  <tableColumns count="2">
    <tableColumn id="1" xr3:uid="{2FFE33E1-E3D8-499A-B70C-70494FCFC11F}" name="Component" dataDxfId="345"/>
    <tableColumn id="2" xr3:uid="{D8D74B7C-DED1-4107-9D9B-A69709137AF1}" name="Contact Hours" dataDxfId="344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568775CE-CA9A-402A-A796-7C84FDD56B4E}" name="5401SPS_Mapping" displayName="_5401SPS_Mapping" ref="C45:F56" totalsRowShown="0" headerRowDxfId="343" dataDxfId="342">
  <autoFilter ref="C45:F56" xr:uid="{E0A841BB-B6D5-4048-B5F2-18CF9F502EBA}">
    <filterColumn colId="0" hiddenButton="1"/>
    <filterColumn colId="1" hiddenButton="1"/>
    <filterColumn colId="2" hiddenButton="1"/>
    <filterColumn colId="3" hiddenButton="1"/>
  </autoFilter>
  <tableColumns count="4">
    <tableColumn id="1" xr3:uid="{1EFBBED1-A4EE-4381-813E-E578917BA7ED}" name="Assessment No" dataDxfId="341"/>
    <tableColumn id="2" xr3:uid="{3DE98FE2-3138-46D6-BD99-F2FB47042775}" name="LO Number" dataDxfId="340"/>
    <tableColumn id="3" xr3:uid="{810A03D8-C153-4962-9C3C-D761D27C4A3F}" name="Graduate Skills Category" dataDxfId="339"/>
    <tableColumn id="4" xr3:uid="{C3B0D1F6-1274-4ED1-9705-01F40BB1E2F2}" name="Graduate Skill" dataDxfId="338"/>
  </tableColumns>
  <tableStyleInfo name="TableStyleMedium3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DF6D575A-6B50-40E0-9195-2B0B7EBAA31D}" name="5401SPS_Aims" displayName="_5401SPS_Aims" ref="F6:F8" totalsRowShown="0" dataDxfId="337">
  <autoFilter ref="F6:F8" xr:uid="{9552138F-2332-4BC4-A585-0E13162881A5}"/>
  <tableColumns count="1">
    <tableColumn id="1" xr3:uid="{C445F0C7-61B3-46CB-A56F-67D79AE54D5C}" name="Aims" dataDxfId="336"/>
  </tableColumns>
  <tableStyleInfo name="TableStyleMedium6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4737D9A0-1182-4F4B-8A02-69208479CE71}" name="5401SPS_Syllabus" displayName="_5401SPS_Syllabus" ref="F10:F13" totalsRowShown="0" dataDxfId="335">
  <autoFilter ref="F10:F13" xr:uid="{94F18F67-3F10-4F6E-A953-4FE3399B07F2}"/>
  <tableColumns count="1">
    <tableColumn id="1" xr3:uid="{CAABEA9D-6FBF-459A-AD97-585A17318A01}" name="Outline Syllabus" dataDxfId="334"/>
  </tableColumns>
  <tableStyleInfo name="TableStyleMedium6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235D63BF-CDCE-4B35-AC53-8391B5EC5408}" name="5401SPS_Overview" displayName="_5401SPS_Overview" ref="F15:F20" totalsRowShown="0" dataDxfId="333">
  <autoFilter ref="F15:F20" xr:uid="{1B2BCD7B-6C15-4B1C-86BC-48FF83D8F225}"/>
  <tableColumns count="1">
    <tableColumn id="1" xr3:uid="{A14625FC-0807-41B3-BEF3-09E7E979EFED}" name="Module Overview" dataDxfId="332"/>
  </tableColumns>
  <tableStyleInfo name="TableStyleMedium6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69E4EB89-A002-43BB-BD42-A6CBE09A1C1C}" name="5401SPS_Notes" displayName="_5401SPS_Notes" ref="F22:F33" totalsRowShown="0" dataDxfId="331">
  <autoFilter ref="F22:F33" xr:uid="{D5968C0A-6D7E-4221-87EE-78A85A4039B3}"/>
  <tableColumns count="1">
    <tableColumn id="1" xr3:uid="{0F69CA79-BA33-4E25-8FA9-233F7FC95036}" name="Additional Information/Notes" dataDxfId="330"/>
  </tableColumns>
  <tableStyleInfo name="TableStyleMedium6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6C1815BC-3D96-4CE2-A3C0-E524ED84C584}" name="5402SPS_Meta" displayName="_5402SPS_Meta" ref="C6:D14" totalsRowShown="0">
  <autoFilter ref="C6:D14" xr:uid="{CD75D2A7-14B1-4ABD-B64D-6E875F9BC652}">
    <filterColumn colId="0" hiddenButton="1"/>
    <filterColumn colId="1" hiddenButton="1"/>
  </autoFilter>
  <tableColumns count="2">
    <tableColumn id="1" xr3:uid="{5D38FCD1-7A3F-4025-AC69-E6A90C68A79E}" name="Module Data" dataDxfId="329"/>
    <tableColumn id="2" xr3:uid="{ACE861FD-0C1D-4D19-A0A8-AC83427FA81A}" name="Details" dataDxfId="328"/>
  </tableColumns>
  <tableStyleInfo name="TableStyleMedium6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D5D2633F-A72A-4EBD-BB0D-2D2560E496A6}" name="5402SPS_LO" displayName="_5402SPS_LO" ref="C28:D33" totalsRowShown="0" headerRowDxfId="327">
  <autoFilter ref="C28:D33" xr:uid="{22316987-6BEB-4FAF-9619-BF9BE9909CFA}">
    <filterColumn colId="0" hiddenButton="1"/>
    <filterColumn colId="1" hiddenButton="1"/>
  </autoFilter>
  <tableColumns count="2">
    <tableColumn id="1" xr3:uid="{92FDE3DF-EAC0-4CA6-A5B4-E15BAAC4A01D}" name="LO Number" dataDxfId="326"/>
    <tableColumn id="2" xr3:uid="{A384CFCB-55B0-46B7-AF9A-FAAC6022096A}" name="LO Description" dataDxfId="325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F820147B-082B-4FA1-97BA-0F1A0D69376D}" name="5402SPS_Assess" displayName="_5402SPS_Assess" ref="C37:H41" totalsRowShown="0" headerRowDxfId="324">
  <autoFilter ref="C37:H41" xr:uid="{39DE2F1F-0A9B-4873-A230-1AA954198F5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2063B804-9290-4363-A24F-BA34F88A89EF}" name="Assessment No" dataDxfId="323"/>
    <tableColumn id="2" xr3:uid="{390EF809-FA62-405F-B84C-B2AD571CEBAA}" name="Assessment Type" dataDxfId="322"/>
    <tableColumn id="7" xr3:uid="{2B1618E6-AA98-4A15-AE0C-79993F1BAFB7}" name="Assessment Specific" dataDxfId="321"/>
    <tableColumn id="3" xr3:uid="{138C3352-0967-40A6-A5BE-4B32DEC01ACB}" name="Assessment Description" dataDxfId="320"/>
    <tableColumn id="4" xr3:uid="{F4B4B6BF-3460-42E3-849C-1BBE242E83C3}" name="Weighting" dataDxfId="319"/>
    <tableColumn id="5" xr3:uid="{E52307F9-F56A-42FC-9A76-6A630F2C5B71}" name="Due Week" dataDxfId="318"/>
  </tableColumns>
  <tableStyleInfo name="TableStyleMedium3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036DF56C-F5DF-42FA-9C3E-466BEB6A9B25}" name="5402SPS_Weekly" displayName="_5402SPS_Weekly" ref="B60:F84" totalsRowShown="0">
  <autoFilter ref="B60:F84" xr:uid="{3A41AF80-1AD3-44F6-93D1-6C4A16CCF943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A5D23D0B-4E1E-44F9-A154-416BAE9F0E6A}" name="Semester " dataDxfId="317"/>
    <tableColumn id="2" xr3:uid="{1B7B234D-0DD9-4913-9C62-18CC4E0FD5D6}" name="Week Number" dataDxfId="316"/>
    <tableColumn id="3" xr3:uid="{FDA6287D-7D09-41DC-96F1-E9BCD4B11D2E}" name="Weekly Content 1" dataDxfId="315"/>
    <tableColumn id="4" xr3:uid="{C104D628-2E09-432B-BC7A-B7E29838D1BD}" name="Weekly Content 2" dataDxfId="314"/>
    <tableColumn id="5" xr3:uid="{6CD950CC-83A5-4FD3-93FC-B284F6F6350E}" name="Weekly Content 3" dataDxfId="313"/>
  </tableColumns>
  <tableStyleInfo name="TableStyleMedium4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92B2FE4A-AD2A-4354-81FF-92DECA27A716}" name="5402SPS_Hours" displayName="_5402SPS_Hours" ref="C18:D24" totalsRowShown="0">
  <autoFilter ref="C18:D24" xr:uid="{B71A3569-AA65-4A4E-98A2-885F5C38B46D}">
    <filterColumn colId="0" hiddenButton="1"/>
    <filterColumn colId="1" hiddenButton="1"/>
  </autoFilter>
  <tableColumns count="2">
    <tableColumn id="1" xr3:uid="{27F817B7-6395-4976-9120-60D5C9775BA5}" name="Component" dataDxfId="312"/>
    <tableColumn id="2" xr3:uid="{D9B68E50-AFDD-4B94-80F2-BAB157C2FF40}" name="Contact Hours" dataDxfId="311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BACD4F23-19CD-490A-863B-D357A075F62D}" name="5402SPS_Mapping" displayName="_5402SPS_Mapping" ref="C45:F56" totalsRowShown="0" headerRowDxfId="310" dataDxfId="309">
  <autoFilter ref="C45:F56" xr:uid="{E0A841BB-B6D5-4048-B5F2-18CF9F502EBA}">
    <filterColumn colId="0" hiddenButton="1"/>
    <filterColumn colId="1" hiddenButton="1"/>
    <filterColumn colId="2" hiddenButton="1"/>
    <filterColumn colId="3" hiddenButton="1"/>
  </autoFilter>
  <tableColumns count="4">
    <tableColumn id="1" xr3:uid="{4320F17F-7532-4CD6-9873-A1CBAAFA9F7C}" name="Assessment No" dataDxfId="308"/>
    <tableColumn id="2" xr3:uid="{CF29F699-8C1A-4AC4-A563-FCBB128AC8F3}" name="LO Number" dataDxfId="307"/>
    <tableColumn id="3" xr3:uid="{B1082C18-E8C1-42F9-B74D-584EBA4A0A39}" name="Graduate Skills Category" dataDxfId="306"/>
    <tableColumn id="4" xr3:uid="{BD6D6488-ABFD-45B6-B06F-748690280986}" name="Graduate Skill" dataDxfId="305"/>
  </tableColumns>
  <tableStyleInfo name="TableStyleMedium3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0BD2BE49-9025-454E-A9D0-BE88D8AF0F0B}" name="5402SPS_Aims" displayName="_5402SPS_Aims" ref="F6:F8" totalsRowShown="0" dataDxfId="304">
  <autoFilter ref="F6:F8" xr:uid="{9552138F-2332-4BC4-A585-0E13162881A5}"/>
  <tableColumns count="1">
    <tableColumn id="1" xr3:uid="{E2B338AF-53C9-469A-B45D-DF4BE4CCBDD0}" name="Aims" dataDxfId="303"/>
  </tableColumns>
  <tableStyleInfo name="TableStyleMedium6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963A62B5-6BD6-4FF7-AC53-AE2CCA7AF0AD}" name="5402SPS_Syllabus" displayName="_5402SPS_Syllabus" ref="F10:F13" totalsRowShown="0" dataDxfId="302">
  <autoFilter ref="F10:F13" xr:uid="{94F18F67-3F10-4F6E-A953-4FE3399B07F2}"/>
  <tableColumns count="1">
    <tableColumn id="1" xr3:uid="{0B585185-EFA9-44AB-A953-91DF09E1C8F4}" name="Outline Syllabus" dataDxfId="301"/>
  </tableColumns>
  <tableStyleInfo name="TableStyleMedium6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49D78F64-BBE3-4F16-BBE6-34802F612A15}" name="5402SPS_Overview" displayName="_5402SPS_Overview" ref="F15:F20" totalsRowShown="0" dataDxfId="300">
  <autoFilter ref="F15:F20" xr:uid="{1B2BCD7B-6C15-4B1C-86BC-48FF83D8F225}"/>
  <tableColumns count="1">
    <tableColumn id="1" xr3:uid="{8DA5C005-FC9F-4CBE-A281-B2B92A53526A}" name="Module Overview" dataDxfId="299"/>
  </tableColumns>
  <tableStyleInfo name="TableStyleMedium6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3BE2516B-A7EA-432E-92EE-6643A09A6407}" name="5402SPS_Notes" displayName="_5402SPS_Notes" ref="F22:F33" totalsRowShown="0" dataDxfId="298">
  <autoFilter ref="F22:F33" xr:uid="{D5968C0A-6D7E-4221-87EE-78A85A4039B3}"/>
  <tableColumns count="1">
    <tableColumn id="1" xr3:uid="{D67854B5-D179-408B-A477-7F6E3033D84B}" name="Additional Information/Notes" dataDxfId="297"/>
  </tableColumns>
  <tableStyleInfo name="TableStyleMedium6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17E94F5D-87D3-4DF8-986C-B28A1AFAD773}" name="5403SPS_Meta" displayName="_5403SPS_Meta" ref="C6:D14" totalsRowShown="0">
  <autoFilter ref="C6:D14" xr:uid="{CD75D2A7-14B1-4ABD-B64D-6E875F9BC652}">
    <filterColumn colId="0" hiddenButton="1"/>
    <filterColumn colId="1" hiddenButton="1"/>
  </autoFilter>
  <tableColumns count="2">
    <tableColumn id="1" xr3:uid="{DC5E8FB2-F1EF-4C76-ADAD-8DF1D4236058}" name="Module Data" dataDxfId="296"/>
    <tableColumn id="2" xr3:uid="{3CEC4644-C90E-484A-BB04-BC7E2522484B}" name="Details" dataDxfId="295"/>
  </tableColumns>
  <tableStyleInfo name="TableStyleMedium6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9E236EF1-A2F6-44EA-9CD3-686F2C6247E0}" name="5403SPS_LO" displayName="_5403SPS_LO" ref="C28:D33" totalsRowShown="0" headerRowDxfId="294">
  <autoFilter ref="C28:D33" xr:uid="{22316987-6BEB-4FAF-9619-BF9BE9909CFA}">
    <filterColumn colId="0" hiddenButton="1"/>
    <filterColumn colId="1" hiddenButton="1"/>
  </autoFilter>
  <tableColumns count="2">
    <tableColumn id="1" xr3:uid="{96E1C0A4-F310-4104-877A-16C95A9DF8F8}" name="LO Number" dataDxfId="293"/>
    <tableColumn id="2" xr3:uid="{5193B932-1BB4-4665-BB60-1094CB27D2FB}" name="LO Description" dataDxfId="292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6" xr:uid="{8FFE59E6-A839-4DF2-B28B-BA390FAAC7FF}" name="5403SPS_Assess" displayName="_5403SPS_Assess" ref="C37:H41" totalsRowShown="0" headerRowDxfId="291">
  <autoFilter ref="C37:H41" xr:uid="{39DE2F1F-0A9B-4873-A230-1AA954198F5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0154566D-F16C-483F-9906-53214A1163EC}" name="Assessment No" dataDxfId="290"/>
    <tableColumn id="2" xr3:uid="{F6CC8F23-24C9-49E1-A7E1-F0C42C5E4062}" name="Assessment Type" dataDxfId="289"/>
    <tableColumn id="7" xr3:uid="{23445359-B102-481A-9626-644EC1147971}" name="Assessment Specific" dataDxfId="288"/>
    <tableColumn id="3" xr3:uid="{09F68760-DB1D-47DA-9C3B-991E85819122}" name="Assessment Description" dataDxfId="287"/>
    <tableColumn id="4" xr3:uid="{9C4EFAF0-0549-4906-AB40-C8046612A4D0}" name="Weighting" dataDxfId="286"/>
    <tableColumn id="5" xr3:uid="{6867F2EF-8B96-4C7F-A3F0-4AD115D6B611}" name="Due Week" dataDxfId="285"/>
  </tableColumns>
  <tableStyleInfo name="TableStyleMedium3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7" xr:uid="{563A272D-E3F6-4799-9E67-4B36BC407350}" name="5403SPS_Weekly" displayName="_5403SPS_Weekly" ref="B60:F84" totalsRowShown="0">
  <autoFilter ref="B60:F84" xr:uid="{3A41AF80-1AD3-44F6-93D1-6C4A16CCF943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DB0408B6-1C06-4309-B9B2-E387A6531EBC}" name="Semester " dataDxfId="284"/>
    <tableColumn id="2" xr3:uid="{3DC0D0B8-ED93-4FAA-ACD1-6A257B8D7D8B}" name="Week Number" dataDxfId="283"/>
    <tableColumn id="3" xr3:uid="{396A1CD9-0EA8-4576-AC19-41A37C40C78C}" name="Weekly Content 1" dataDxfId="282"/>
    <tableColumn id="4" xr3:uid="{27E6FFD2-4BB2-4380-B643-929F8059E10C}" name="Weekly Content 2" dataDxfId="281"/>
    <tableColumn id="5" xr3:uid="{5D410880-EC3B-476E-B727-61773B3F1720}" name="Weekly Content 3" dataDxfId="280"/>
  </tableColumns>
  <tableStyleInfo name="TableStyleMedium4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8" xr:uid="{2034533F-3C96-4BBB-B91F-96B2BF107FF6}" name="5403SPS_Hours" displayName="_5403SPS_Hours" ref="C18:D24" totalsRowShown="0">
  <autoFilter ref="C18:D24" xr:uid="{B71A3569-AA65-4A4E-98A2-885F5C38B46D}">
    <filterColumn colId="0" hiddenButton="1"/>
    <filterColumn colId="1" hiddenButton="1"/>
  </autoFilter>
  <tableColumns count="2">
    <tableColumn id="1" xr3:uid="{50ADF208-83C1-48D5-9F5C-65E697F266B7}" name="Component" dataDxfId="279"/>
    <tableColumn id="2" xr3:uid="{1EADC3A3-1557-4323-A40A-C84AEA0F188A}" name="Contact Hours" dataDxfId="278"/>
  </tableColumns>
  <tableStyleInfo name="TableStyleMedium2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9" xr:uid="{5BB88119-4CEC-4B9F-9734-616397E661D4}" name="5403SPS_Mapping" displayName="_5403SPS_Mapping" ref="C45:F56" totalsRowShown="0" headerRowDxfId="277" dataDxfId="276">
  <autoFilter ref="C45:F56" xr:uid="{E0A841BB-B6D5-4048-B5F2-18CF9F502EBA}">
    <filterColumn colId="0" hiddenButton="1"/>
    <filterColumn colId="1" hiddenButton="1"/>
    <filterColumn colId="2" hiddenButton="1"/>
    <filterColumn colId="3" hiddenButton="1"/>
  </autoFilter>
  <tableColumns count="4">
    <tableColumn id="1" xr3:uid="{4F176BC0-31BF-4358-B856-EFBB6BB7AAB0}" name="Assessment No" dataDxfId="275"/>
    <tableColumn id="2" xr3:uid="{162D175A-F572-46B3-8399-9FF334864C28}" name="LO Number" dataDxfId="274"/>
    <tableColumn id="3" xr3:uid="{4B8F87D6-8076-4256-870F-FFB0D542729A}" name="Graduate Skills Category" dataDxfId="273"/>
    <tableColumn id="4" xr3:uid="{3DB5254F-E5B1-45EA-B3FC-772579673F08}" name="Graduate Skill" dataDxfId="272"/>
  </tableColumns>
  <tableStyleInfo name="TableStyleMedium3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0" xr:uid="{66D0C022-EFBE-4464-91FC-F436D7DFB43A}" name="5403SPS_Aims" displayName="_5403SPS_Aims" ref="F6:F8" totalsRowShown="0" dataDxfId="271">
  <autoFilter ref="F6:F8" xr:uid="{9552138F-2332-4BC4-A585-0E13162881A5}"/>
  <tableColumns count="1">
    <tableColumn id="1" xr3:uid="{D5911F00-3A12-4884-94FA-2461F2E6A773}" name="Aims" dataDxfId="270"/>
  </tableColumns>
  <tableStyleInfo name="TableStyleMedium6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1" xr:uid="{5F89D8F4-40FF-4A85-91D9-660D46503FEA}" name="5403SPS_Syllabus" displayName="_5403SPS_Syllabus" ref="F10:F13" totalsRowShown="0" dataDxfId="269">
  <autoFilter ref="F10:F13" xr:uid="{94F18F67-3F10-4F6E-A953-4FE3399B07F2}"/>
  <tableColumns count="1">
    <tableColumn id="1" xr3:uid="{1984609B-7A7C-44AA-A114-5466EF451351}" name="Outline Syllabus" dataDxfId="268"/>
  </tableColumns>
  <tableStyleInfo name="TableStyleMedium6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2" xr:uid="{2CE8D45C-F32D-403F-87CE-50D315C2F149}" name="5403SPS_Overview" displayName="_5403SPS_Overview" ref="F15:F20" totalsRowShown="0" dataDxfId="267">
  <autoFilter ref="F15:F20" xr:uid="{1B2BCD7B-6C15-4B1C-86BC-48FF83D8F225}"/>
  <tableColumns count="1">
    <tableColumn id="1" xr3:uid="{19A46962-3EFC-4EE2-ACCE-5363E30EDC4F}" name="Module Overview" dataDxfId="266"/>
  </tableColumns>
  <tableStyleInfo name="TableStyleMedium6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3" xr:uid="{9A33D543-C10F-446B-A3DE-E3B66E260D5A}" name="5403SPS_Notes" displayName="_5403SPS_Notes" ref="F22:F33" totalsRowShown="0" dataDxfId="265">
  <autoFilter ref="F22:F33" xr:uid="{D5968C0A-6D7E-4221-87EE-78A85A4039B3}"/>
  <tableColumns count="1">
    <tableColumn id="1" xr3:uid="{EEDA3204-13C4-4B95-A550-B650C09B689D}" name="Additional Information/Notes" dataDxfId="264"/>
  </tableColumns>
  <tableStyleInfo name="TableStyleMedium6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D3D9C059-9C0F-4D85-8B52-4BE4E2F3A820}" name="5XX1SPS_Meta" displayName="_5XX1SPS_Meta" ref="C6:D14" totalsRowShown="0">
  <autoFilter ref="C6:D14" xr:uid="{CD75D2A7-14B1-4ABD-B64D-6E875F9BC652}">
    <filterColumn colId="0" hiddenButton="1"/>
    <filterColumn colId="1" hiddenButton="1"/>
  </autoFilter>
  <tableColumns count="2">
    <tableColumn id="1" xr3:uid="{294825A0-B000-4273-A73D-4BDF1B0EEF00}" name="Module Data" dataDxfId="263"/>
    <tableColumn id="2" xr3:uid="{BFFFACD7-D0A7-40F6-BF15-469686406C3F}" name="Details" dataDxfId="262"/>
  </tableColumns>
  <tableStyleInfo name="TableStyleMedium6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DD0C48BE-F6F8-4E15-8EEF-3079EE79AB53}" name="5XX1SPS_LO" displayName="_5XX1SPS_LO" ref="C28:D33" totalsRowShown="0" headerRowDxfId="261">
  <autoFilter ref="C28:D33" xr:uid="{22316987-6BEB-4FAF-9619-BF9BE9909CFA}">
    <filterColumn colId="0" hiddenButton="1"/>
    <filterColumn colId="1" hiddenButton="1"/>
  </autoFilter>
  <tableColumns count="2">
    <tableColumn id="1" xr3:uid="{EB0958A2-9E66-44D9-A8DF-610B48FE0AC6}" name="LO Number" dataDxfId="260"/>
    <tableColumn id="2" xr3:uid="{0F368925-4523-471B-A68D-184E05AABCF7}" name="LO Description" dataDxfId="259"/>
  </tableColumns>
  <tableStyleInfo name="TableStyleMedium2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FBE7F226-F525-4AEE-9051-8E8C19804E49}" name="5XX1SPS_Assess" displayName="_5XX1SPS_Assess" ref="C37:H41" totalsRowShown="0" headerRowDxfId="258">
  <autoFilter ref="C37:H41" xr:uid="{39DE2F1F-0A9B-4873-A230-1AA954198F5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1623195A-EACB-49C4-931F-4FDDF41A020A}" name="Assessment No" dataDxfId="257"/>
    <tableColumn id="2" xr3:uid="{1FA5C130-1C0E-45D6-8735-EA79A0166F2D}" name="Assessment Type" dataDxfId="256"/>
    <tableColumn id="7" xr3:uid="{34024CC2-5A32-45FD-95BD-978953E7F41B}" name="Assessment Specific" dataDxfId="255"/>
    <tableColumn id="3" xr3:uid="{5DA2B338-CCFE-4568-ACFD-CC8F0B883170}" name="Assessment Description" dataDxfId="254"/>
    <tableColumn id="4" xr3:uid="{597ADF95-B9B9-411B-8079-7F615E89550C}" name="Weighting" dataDxfId="253"/>
    <tableColumn id="5" xr3:uid="{A0D1FD19-8DF8-4595-ADE8-675937B4A7F4}" name="Due Week" dataDxfId="252"/>
  </tableColumns>
  <tableStyleInfo name="TableStyleMedium3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7F94D071-7B51-4AEF-B4B4-033ED66B10D3}" name="5XX1SPS_Weekly" displayName="_5XX1SPS_Weekly" ref="B60:F84" totalsRowShown="0">
  <autoFilter ref="B60:F84" xr:uid="{3A41AF80-1AD3-44F6-93D1-6C4A16CCF943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7BA6DA9-286D-48FA-A29C-33DB01958BBC}" name="Semester " dataDxfId="251"/>
    <tableColumn id="2" xr3:uid="{633971FF-9E7F-4A44-865E-D409908313D1}" name="Week Number" dataDxfId="250"/>
    <tableColumn id="3" xr3:uid="{77413702-BFB9-4DEA-BF99-C2A188E22509}" name="Weekly Content 1" dataDxfId="249"/>
    <tableColumn id="4" xr3:uid="{DD1B7D42-32B3-4CC2-9308-AD66B052F8DB}" name="Weekly Content 2" dataDxfId="248"/>
    <tableColumn id="5" xr3:uid="{504E9A1A-C43C-49D3-BB42-E4DD5A49EFCE}" name="Weekly Content 3" dataDxfId="247"/>
  </tableColumns>
  <tableStyleInfo name="TableStyleMedium4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E1658A09-6752-4A08-B64F-A2B57CA717E6}" name="5XX1SPS_Hours" displayName="_5XX1SPS_Hours" ref="C18:D24" totalsRowShown="0">
  <autoFilter ref="C18:D24" xr:uid="{B71A3569-AA65-4A4E-98A2-885F5C38B46D}">
    <filterColumn colId="0" hiddenButton="1"/>
    <filterColumn colId="1" hiddenButton="1"/>
  </autoFilter>
  <tableColumns count="2">
    <tableColumn id="1" xr3:uid="{5D165BDB-09FC-4AAA-91DB-E67A247DFF72}" name="Component" dataDxfId="246"/>
    <tableColumn id="2" xr3:uid="{E28A3B10-E692-47D9-A3AD-18128B6A4794}" name="Contact Hours" dataDxfId="245"/>
  </tableColumns>
  <tableStyleInfo name="TableStyleMedium2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374EC906-9B9F-48BF-8818-9671FFE04486}" name="5XX1SPS_Mapping" displayName="_5XX1SPS_Mapping" ref="C45:F56" totalsRowShown="0" headerRowDxfId="244" dataDxfId="243">
  <autoFilter ref="C45:F56" xr:uid="{E0A841BB-B6D5-4048-B5F2-18CF9F502EBA}">
    <filterColumn colId="0" hiddenButton="1"/>
    <filterColumn colId="1" hiddenButton="1"/>
    <filterColumn colId="2" hiddenButton="1"/>
    <filterColumn colId="3" hiddenButton="1"/>
  </autoFilter>
  <tableColumns count="4">
    <tableColumn id="1" xr3:uid="{BF66E6C2-D388-4188-90AD-9408AE3ED7DA}" name="Assessment No" dataDxfId="242"/>
    <tableColumn id="2" xr3:uid="{A7D6827C-7020-4950-BD3E-00625169C68E}" name="LO Number" dataDxfId="241"/>
    <tableColumn id="3" xr3:uid="{1F68EB03-6C47-4955-9791-229A42D1A45A}" name="Graduate Skills Category" dataDxfId="240"/>
    <tableColumn id="4" xr3:uid="{1FD832D4-8E97-4B72-9B09-606CF407E6C7}" name="Graduate Skill" dataDxfId="239"/>
  </tableColumns>
  <tableStyleInfo name="TableStyleMedium3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59817139-EB2F-4EEA-A5A5-14E06D17B2BD}" name="5XX1SPS_Aims" displayName="_5XX1SPS_Aims" ref="F6:F8" totalsRowShown="0" dataDxfId="238">
  <autoFilter ref="F6:F8" xr:uid="{9552138F-2332-4BC4-A585-0E13162881A5}"/>
  <tableColumns count="1">
    <tableColumn id="1" xr3:uid="{2EE5D059-BB6B-4406-AF24-CB56C5C24856}" name="Aims" dataDxfId="237"/>
  </tableColumns>
  <tableStyleInfo name="TableStyleMedium6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32FF468F-C8D3-4B79-9797-F22B3B7B3D03}" name="5XX1SPS_Syllabus" displayName="_5XX1SPS_Syllabus" ref="F10:F13" totalsRowShown="0" dataDxfId="236">
  <autoFilter ref="F10:F13" xr:uid="{94F18F67-3F10-4F6E-A953-4FE3399B07F2}"/>
  <tableColumns count="1">
    <tableColumn id="1" xr3:uid="{CF8ACDF4-0E48-466C-AF99-EC810B28E6AF}" name="Outline Syllabus" dataDxfId="235"/>
  </tableColumns>
  <tableStyleInfo name="TableStyleMedium6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38871805-3392-4A3F-AFF8-B6F3E2CBA152}" name="5XX1SPS_Overview" displayName="_5XX1SPS_Overview" ref="F15:F20" totalsRowShown="0" dataDxfId="234">
  <autoFilter ref="F15:F20" xr:uid="{1B2BCD7B-6C15-4B1C-86BC-48FF83D8F225}"/>
  <tableColumns count="1">
    <tableColumn id="1" xr3:uid="{C16E0E90-DC44-4185-AB55-C39332B32B2D}" name="Module Overview" dataDxfId="233"/>
  </tableColumns>
  <tableStyleInfo name="TableStyleMedium6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641172B8-C240-400A-88D4-1BDB4D30A1C9}" name="5XX1SPS_Notes" displayName="_5XX1SPS_Notes" ref="F22:F33" totalsRowShown="0" dataDxfId="232">
  <autoFilter ref="F22:F33" xr:uid="{D5968C0A-6D7E-4221-87EE-78A85A4039B3}"/>
  <tableColumns count="1">
    <tableColumn id="1" xr3:uid="{719B4DA9-E67A-4094-A58E-921C645096BE}" name="Additional Information/Notes" dataDxfId="231"/>
  </tableColumns>
  <tableStyleInfo name="TableStyleMedium6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4" xr:uid="{74B2B836-FEE3-4D8C-A583-FCE8AD37DA97}" name="5XX2SPS_Meta" displayName="_5XX2SPS_Meta" ref="C6:D14" totalsRowShown="0">
  <autoFilter ref="C6:D14" xr:uid="{CD75D2A7-14B1-4ABD-B64D-6E875F9BC652}">
    <filterColumn colId="0" hiddenButton="1"/>
    <filterColumn colId="1" hiddenButton="1"/>
  </autoFilter>
  <tableColumns count="2">
    <tableColumn id="1" xr3:uid="{4312B193-D095-44A4-B0FA-8864AE0BCBEF}" name="Module Data" dataDxfId="230"/>
    <tableColumn id="2" xr3:uid="{4F08D2F7-88F2-4061-857B-CBAD6623F570}" name="Details" dataDxfId="229"/>
  </tableColumns>
  <tableStyleInfo name="TableStyleMedium6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5" xr:uid="{6B4EAB99-124D-42E9-8E49-DC0D3280A770}" name="5XX2SPS_LO" displayName="_5XX2SPS_LO" ref="C28:D33" totalsRowShown="0" headerRowDxfId="228">
  <autoFilter ref="C28:D33" xr:uid="{22316987-6BEB-4FAF-9619-BF9BE9909CFA}">
    <filterColumn colId="0" hiddenButton="1"/>
    <filterColumn colId="1" hiddenButton="1"/>
  </autoFilter>
  <tableColumns count="2">
    <tableColumn id="1" xr3:uid="{87282965-A2DA-4B4E-8D06-98090F28BEEF}" name="LO Number" dataDxfId="227"/>
    <tableColumn id="2" xr3:uid="{5860F21B-133F-4A88-A61B-07CF39BC7E21}" name="LO Description" dataDxfId="226"/>
  </tableColumns>
  <tableStyleInfo name="TableStyleMedium2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6" xr:uid="{C3B225F4-04B9-42E5-AA5E-0B231BCFA0EF}" name="5XX2SPS_Assess" displayName="_5XX2SPS_Assess" ref="C37:H41" totalsRowShown="0" headerRowDxfId="225">
  <autoFilter ref="C37:H41" xr:uid="{39DE2F1F-0A9B-4873-A230-1AA954198F5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8DF47951-A7BD-47A8-B1ED-B6F5AF65DA1D}" name="Assessment No" dataDxfId="224"/>
    <tableColumn id="2" xr3:uid="{02E86080-DD71-4108-821B-E566F188DEA2}" name="Assessment Type" dataDxfId="223"/>
    <tableColumn id="7" xr3:uid="{47CA01EB-2FAC-4F47-BB5B-4ACF9B64B490}" name="Assessment Specific" dataDxfId="222"/>
    <tableColumn id="3" xr3:uid="{FBD48AF8-7B7F-4162-9266-C7CCFD60F0E7}" name="Assessment Description" dataDxfId="221"/>
    <tableColumn id="4" xr3:uid="{B1C6A884-1B35-475C-8890-451E2B62B45B}" name="Weighting" dataDxfId="220"/>
    <tableColumn id="5" xr3:uid="{52275FFC-C744-424D-9DA8-F4384F058801}" name="Due Week" dataDxfId="219"/>
  </tableColumns>
  <tableStyleInfo name="TableStyleMedium3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7" xr:uid="{811C1444-7D9D-41F0-B07B-761DA8B67262}" name="5XX2SPS_Weekly" displayName="_5XX2SPS_Weekly" ref="B60:F84" totalsRowShown="0">
  <autoFilter ref="B60:F84" xr:uid="{3A41AF80-1AD3-44F6-93D1-6C4A16CCF943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AA171258-098F-40B4-886F-EAA2D59C0870}" name="Semester " dataDxfId="218"/>
    <tableColumn id="2" xr3:uid="{F2C231FA-6829-4DDE-AADC-3E8FA43A1138}" name="Week Number" dataDxfId="217"/>
    <tableColumn id="3" xr3:uid="{BF2905C5-0007-47A2-850C-6A3A59009B1B}" name="Weekly Content 1" dataDxfId="216"/>
    <tableColumn id="4" xr3:uid="{87E349A9-C7DB-4B62-AE2D-73DF6FE87FF2}" name="Weekly Content 2" dataDxfId="215"/>
    <tableColumn id="5" xr3:uid="{9335E186-D4FA-4BC9-96F6-48CA2E66C8B8}" name="Weekly Content 3" dataDxfId="214"/>
  </tableColumns>
  <tableStyleInfo name="TableStyleMedium4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8" xr:uid="{A93C3D93-C0B3-4DC1-A2AD-C094B48CCC3E}" name="5XX2SPS_Hours" displayName="_5XX2SPS_Hours" ref="C18:D24" totalsRowShown="0">
  <autoFilter ref="C18:D24" xr:uid="{B71A3569-AA65-4A4E-98A2-885F5C38B46D}">
    <filterColumn colId="0" hiddenButton="1"/>
    <filterColumn colId="1" hiddenButton="1"/>
  </autoFilter>
  <tableColumns count="2">
    <tableColumn id="1" xr3:uid="{9CDDC04F-6E44-4B1D-B2F7-BCFB91288FF8}" name="Component" dataDxfId="213"/>
    <tableColumn id="2" xr3:uid="{0A78BA71-0A43-4908-AD5D-EAD433A8F0CB}" name="Contact Hours" dataDxfId="212"/>
  </tableColumns>
  <tableStyleInfo name="TableStyleMedium2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9" xr:uid="{074D72A6-497B-41F6-AEDC-764E0477FB4D}" name="5XX2SPS_Mapping" displayName="_5XX2SPS_Mapping" ref="C45:F56" totalsRowShown="0" headerRowDxfId="211" dataDxfId="210">
  <autoFilter ref="C45:F56" xr:uid="{E0A841BB-B6D5-4048-B5F2-18CF9F502EBA}">
    <filterColumn colId="0" hiddenButton="1"/>
    <filterColumn colId="1" hiddenButton="1"/>
    <filterColumn colId="2" hiddenButton="1"/>
    <filterColumn colId="3" hiddenButton="1"/>
  </autoFilter>
  <tableColumns count="4">
    <tableColumn id="1" xr3:uid="{EACDE5D0-DCC0-4C25-9632-DAE8298C79C4}" name="Assessment No" dataDxfId="209"/>
    <tableColumn id="2" xr3:uid="{38F835BE-5EB1-4FFA-8259-BEB6E39C8FA1}" name="LO Number" dataDxfId="208"/>
    <tableColumn id="3" xr3:uid="{C6B979A3-0E5A-464F-B5CD-CBA3047E98BE}" name="Graduate Skills Category" dataDxfId="207"/>
    <tableColumn id="4" xr3:uid="{2D7AD4B8-14A9-4533-A3C6-5E7125BAACC7}" name="Graduate Skill" dataDxfId="206"/>
  </tableColumns>
  <tableStyleInfo name="TableStyleMedium3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0" xr:uid="{03DFB63D-58AB-47FF-9208-A470E9348B6F}" name="5XX2SPS_Aims" displayName="_5XX2SPS_Aims" ref="F6:F8" totalsRowShown="0" dataDxfId="205">
  <autoFilter ref="F6:F8" xr:uid="{9552138F-2332-4BC4-A585-0E13162881A5}"/>
  <tableColumns count="1">
    <tableColumn id="1" xr3:uid="{9E1F2909-CE11-40D2-90E4-0F2548AB10B2}" name="Aims" dataDxfId="204"/>
  </tableColumns>
  <tableStyleInfo name="TableStyleMedium6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1" xr:uid="{5CFA8ECE-8F57-4ECA-B2A5-317B767EA53F}" name="5XX2SPS_Syllabus" displayName="_5XX2SPS_Syllabus" ref="F10:F13" totalsRowShown="0" dataDxfId="203">
  <autoFilter ref="F10:F13" xr:uid="{94F18F67-3F10-4F6E-A953-4FE3399B07F2}"/>
  <tableColumns count="1">
    <tableColumn id="1" xr3:uid="{454BC257-77E7-4C9C-B231-D65E8EE20325}" name="Outline Syllabus" dataDxfId="202"/>
  </tableColumns>
  <tableStyleInfo name="TableStyleMedium6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2" xr:uid="{3CDE255B-3A1A-451C-A13C-91436E9FCF71}" name="5XX2SPS_Overview" displayName="_5XX2SPS_Overview" ref="F15:F20" totalsRowShown="0" dataDxfId="201">
  <autoFilter ref="F15:F20" xr:uid="{1B2BCD7B-6C15-4B1C-86BC-48FF83D8F225}"/>
  <tableColumns count="1">
    <tableColumn id="1" xr3:uid="{D37E1C0D-C9AF-4C78-BCFF-8B2CE993F50A}" name="Module Overview" dataDxfId="200"/>
  </tableColumns>
  <tableStyleInfo name="TableStyleMedium6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3" xr:uid="{1D041108-8D42-47AB-9472-C648C6F01A1B}" name="5XX2SPS_Notes" displayName="_5XX2SPS_Notes" ref="F22:F33" totalsRowShown="0" dataDxfId="199">
  <autoFilter ref="F22:F33" xr:uid="{D5968C0A-6D7E-4221-87EE-78A85A4039B3}"/>
  <tableColumns count="1">
    <tableColumn id="1" xr3:uid="{E8342C1A-2B62-4E1C-B80B-B12917066000}" name="Additional Information/Notes" dataDxfId="198"/>
  </tableColumns>
  <tableStyleInfo name="TableStyleMedium6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4" xr:uid="{85DC69C9-BE42-468F-B2BB-4E80EFAA9DB8}" name="6XX1SPS_Meta" displayName="_6XX1SPS_Meta" ref="C6:D14" totalsRowShown="0">
  <autoFilter ref="C6:D14" xr:uid="{CD75D2A7-14B1-4ABD-B64D-6E875F9BC652}">
    <filterColumn colId="0" hiddenButton="1"/>
    <filterColumn colId="1" hiddenButton="1"/>
  </autoFilter>
  <tableColumns count="2">
    <tableColumn id="1" xr3:uid="{EB65BA05-1DE9-4FD7-BDBD-BDE47DF298A4}" name="Module Data" dataDxfId="197"/>
    <tableColumn id="2" xr3:uid="{310F2A93-D88D-4CC8-AC0C-C016B97380F6}" name="Details" dataDxfId="196"/>
  </tableColumns>
  <tableStyleInfo name="TableStyleMedium6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5" xr:uid="{F0EF7517-CDCA-4E4C-9047-154277CCFA43}" name="6XX1SPS_LO" displayName="_6XX1SPS_LO" ref="C28:D33" totalsRowShown="0" headerRowDxfId="195">
  <autoFilter ref="C28:D33" xr:uid="{22316987-6BEB-4FAF-9619-BF9BE9909CFA}">
    <filterColumn colId="0" hiddenButton="1"/>
    <filterColumn colId="1" hiddenButton="1"/>
  </autoFilter>
  <tableColumns count="2">
    <tableColumn id="1" xr3:uid="{2DA2E0DF-8487-4F48-AD57-6C8EF1F6A824}" name="LO Number" dataDxfId="194"/>
    <tableColumn id="2" xr3:uid="{5F671E3D-DB5F-4A86-A8E8-215D497F640F}" name="LO Description" dataDxfId="193"/>
  </tableColumns>
  <tableStyleInfo name="TableStyleMedium2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6" xr:uid="{1BB2DB77-32B9-47E3-B172-5236610AB17A}" name="6XX1SPS_Assess" displayName="_6XX1SPS_Assess" ref="C37:H41" totalsRowShown="0" headerRowDxfId="192">
  <autoFilter ref="C37:H41" xr:uid="{39DE2F1F-0A9B-4873-A230-1AA954198F5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D786E370-A6E2-472B-A06D-0B294D362273}" name="Assessment No" dataDxfId="191"/>
    <tableColumn id="2" xr3:uid="{99037CEE-E227-4DE7-AC0C-42C69784F090}" name="Assessment Type" dataDxfId="190"/>
    <tableColumn id="7" xr3:uid="{EE90A0B1-86AF-42EC-AB37-5E98D709E3E4}" name="Assessment Specific" dataDxfId="189"/>
    <tableColumn id="3" xr3:uid="{8B0C1721-2FDC-4C1A-AECE-975C6F1434A1}" name="Assessment Description" dataDxfId="188"/>
    <tableColumn id="4" xr3:uid="{876D72EC-520F-497B-8AC7-6AF0A5409783}" name="Weighting" dataDxfId="187"/>
    <tableColumn id="5" xr3:uid="{31A1A910-0DF5-428E-806F-6E026C606C3B}" name="Due Week" dataDxfId="186"/>
  </tableColumns>
  <tableStyleInfo name="TableStyleMedium3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7" xr:uid="{407C2B80-44A8-4EFD-ACE8-01F8593CF4E1}" name="6XX1SPS_Weekly" displayName="_6XX1SPS_Weekly" ref="B60:F84" totalsRowShown="0">
  <autoFilter ref="B60:F84" xr:uid="{3A41AF80-1AD3-44F6-93D1-6C4A16CCF943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F8C77D5A-A698-44A7-A4E3-08630D8FD36A}" name="Semester " dataDxfId="185"/>
    <tableColumn id="2" xr3:uid="{8C49AFEC-B460-42E3-B373-FC0AB260F379}" name="Week Number" dataDxfId="184"/>
    <tableColumn id="3" xr3:uid="{A81B53B3-7EE2-4FDF-9110-0A8C17CA27E0}" name="Weekly Content 1" dataDxfId="183"/>
    <tableColumn id="4" xr3:uid="{362C63E5-C442-416C-9DB4-4F34D3EDDEF3}" name="Weekly Content 2" dataDxfId="182"/>
    <tableColumn id="5" xr3:uid="{E3C14089-4743-4CA8-9480-E777866BAF64}" name="Weekly Content 3" dataDxfId="181"/>
  </tableColumns>
  <tableStyleInfo name="TableStyleMedium4" showFirstColumn="0" showLastColumn="0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8" xr:uid="{6A30B449-6643-4D56-A6EF-AE96296A3D03}" name="6XX1SPS_Hours" displayName="_6XX1SPS_Hours" ref="C18:D24" totalsRowShown="0">
  <autoFilter ref="C18:D24" xr:uid="{B71A3569-AA65-4A4E-98A2-885F5C38B46D}">
    <filterColumn colId="0" hiddenButton="1"/>
    <filterColumn colId="1" hiddenButton="1"/>
  </autoFilter>
  <tableColumns count="2">
    <tableColumn id="1" xr3:uid="{7C918E81-2521-4CC2-B784-37E43EEC3CDD}" name="Component" dataDxfId="180"/>
    <tableColumn id="2" xr3:uid="{0D2A69D7-E2F7-4C5C-8E4D-714C66054E76}" name="Contact Hours" dataDxfId="179"/>
  </tableColumns>
  <tableStyleInfo name="TableStyleMedium2" showFirstColumn="0" showLastColumn="0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9" xr:uid="{0723641A-ADF0-4C69-969E-9516C86FC569}" name="6XX1SPS_Mapping" displayName="_6XX1SPS_Mapping" ref="C45:F56" totalsRowShown="0" headerRowDxfId="178" dataDxfId="177">
  <autoFilter ref="C45:F56" xr:uid="{E0A841BB-B6D5-4048-B5F2-18CF9F502EBA}">
    <filterColumn colId="0" hiddenButton="1"/>
    <filterColumn colId="1" hiddenButton="1"/>
    <filterColumn colId="2" hiddenButton="1"/>
    <filterColumn colId="3" hiddenButton="1"/>
  </autoFilter>
  <tableColumns count="4">
    <tableColumn id="1" xr3:uid="{B6420078-6983-409A-AD6E-9EAEEF45A138}" name="Assessment No" dataDxfId="176"/>
    <tableColumn id="2" xr3:uid="{8D3D6147-F8A2-4D54-BC97-772B8CE44EA3}" name="LO Number" dataDxfId="175"/>
    <tableColumn id="3" xr3:uid="{C41D8ED0-797F-45E8-B847-5F5796F9B51E}" name="Graduate Skills Category" dataDxfId="174"/>
    <tableColumn id="4" xr3:uid="{28997C86-0364-497D-A258-1C7BA682BCAA}" name="Graduate Skill" dataDxfId="173"/>
  </tableColumns>
  <tableStyleInfo name="TableStyleMedium3" showFirstColumn="0" showLastColumn="0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0" xr:uid="{17BE3C87-0560-4F04-B07A-C606EE2CC56D}" name="6XX1SPS_Aims" displayName="_6XX1SPS_Aims" ref="F6:F8" totalsRowShown="0" dataDxfId="172">
  <autoFilter ref="F6:F8" xr:uid="{9552138F-2332-4BC4-A585-0E13162881A5}"/>
  <tableColumns count="1">
    <tableColumn id="1" xr3:uid="{3E728AAA-21E1-43D6-98EC-781D610D5B5C}" name="Aims" dataDxfId="171"/>
  </tableColumns>
  <tableStyleInfo name="TableStyleMedium6" showFirstColumn="0" showLastColumn="0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1" xr:uid="{24DBD723-9435-4154-9659-24C8E488A767}" name="6XX1SPS_Syllabus" displayName="_6XX1SPS_Syllabus" ref="F10:F13" totalsRowShown="0" dataDxfId="170">
  <autoFilter ref="F10:F13" xr:uid="{94F18F67-3F10-4F6E-A953-4FE3399B07F2}"/>
  <tableColumns count="1">
    <tableColumn id="1" xr3:uid="{CAFF733E-EEBF-4C10-ACD1-A6DDCD33C63A}" name="Outline Syllabus" dataDxfId="169"/>
  </tableColumns>
  <tableStyleInfo name="TableStyleMedium6" showFirstColumn="0" showLastColumn="0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2" xr:uid="{C47F6AB6-EF50-4395-B0F7-E6C315358556}" name="6XX1SPS_Overview" displayName="_6XX1SPS_Overview" ref="F15:F20" totalsRowShown="0" dataDxfId="168">
  <autoFilter ref="F15:F20" xr:uid="{1B2BCD7B-6C15-4B1C-86BC-48FF83D8F225}"/>
  <tableColumns count="1">
    <tableColumn id="1" xr3:uid="{3D131B43-1A6C-42C4-B635-F81D00AEF103}" name="Module Overview" dataDxfId="167"/>
  </tableColumns>
  <tableStyleInfo name="TableStyleMedium6" showFirstColumn="0" showLastColumn="0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3" xr:uid="{759B136A-3D50-4F87-9E82-4E8BACD02961}" name="6XX1SPS_Notes" displayName="_6XX1SPS_Notes" ref="F22:F33" totalsRowShown="0" dataDxfId="166">
  <autoFilter ref="F22:F33" xr:uid="{D5968C0A-6D7E-4221-87EE-78A85A4039B3}"/>
  <tableColumns count="1">
    <tableColumn id="1" xr3:uid="{DBD01D3B-64A5-4A59-96FF-8858AB682507}" name="Additional Information/Notes" dataDxfId="165"/>
  </tableColumns>
  <tableStyleInfo name="TableStyleMedium6" showFirstColumn="0" showLastColumn="0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4" xr:uid="{5270F11D-EB2D-4D37-A0C7-A548812199C3}" name="6XX2SPS_Meta" displayName="_6XX2SPS_Meta" ref="C6:D14" totalsRowShown="0">
  <autoFilter ref="C6:D14" xr:uid="{CD75D2A7-14B1-4ABD-B64D-6E875F9BC652}">
    <filterColumn colId="0" hiddenButton="1"/>
    <filterColumn colId="1" hiddenButton="1"/>
  </autoFilter>
  <tableColumns count="2">
    <tableColumn id="1" xr3:uid="{29D4E0BE-5C0F-4EF3-BF95-85E95BCEF890}" name="Module Data" dataDxfId="164"/>
    <tableColumn id="2" xr3:uid="{8CF62EB8-FFB4-436A-9EE3-575FDB15387F}" name="Details" dataDxfId="163"/>
  </tableColumns>
  <tableStyleInfo name="TableStyleMedium6" showFirstColumn="0" showLastColumn="0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5" xr:uid="{237020EB-E434-4CF8-BA7F-AAE80EFFA7DE}" name="6XX2SPS_LO" displayName="_6XX2SPS_LO" ref="C28:D33" totalsRowShown="0" headerRowDxfId="162">
  <autoFilter ref="C28:D33" xr:uid="{22316987-6BEB-4FAF-9619-BF9BE9909CFA}">
    <filterColumn colId="0" hiddenButton="1"/>
    <filterColumn colId="1" hiddenButton="1"/>
  </autoFilter>
  <tableColumns count="2">
    <tableColumn id="1" xr3:uid="{ABACB5F8-1C23-4668-B7BA-EF2517F6F237}" name="LO Number" dataDxfId="161"/>
    <tableColumn id="2" xr3:uid="{16EFEC94-FB26-48E6-A1CD-F272E329A036}" name="LO Description" dataDxfId="160"/>
  </tableColumns>
  <tableStyleInfo name="TableStyleMedium2" showFirstColumn="0" showLastColumn="0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6" xr:uid="{D1E80F96-254A-4374-9350-7B1F947FEA77}" name="6XX2SPS_Assess" displayName="_6XX2SPS_Assess" ref="C37:H41" totalsRowShown="0" headerRowDxfId="159">
  <autoFilter ref="C37:H41" xr:uid="{39DE2F1F-0A9B-4873-A230-1AA954198F5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60550122-E287-466F-A05A-EEEF3BC2A7B1}" name="Assessment No" dataDxfId="158"/>
    <tableColumn id="2" xr3:uid="{2BC12B11-B6CF-4E7C-B492-9E71A2A4DCFC}" name="Assessment Type" dataDxfId="157"/>
    <tableColumn id="7" xr3:uid="{F22466C0-E91B-4130-82AB-931BDD5DAFD5}" name="Assessment Specific" dataDxfId="156"/>
    <tableColumn id="3" xr3:uid="{A2D2688F-0CD2-442B-B2C4-399FA320B460}" name="Assessment Description" dataDxfId="155"/>
    <tableColumn id="4" xr3:uid="{9C3172F4-207C-490E-A1A4-3782CCE0F62E}" name="Weighting" dataDxfId="154"/>
    <tableColumn id="5" xr3:uid="{5D552087-F8C1-4DC6-AB58-461CAA57A675}" name="Due Week" dataDxfId="153"/>
  </tableColumns>
  <tableStyleInfo name="TableStyleMedium3" showFirstColumn="0" showLastColumn="0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7" xr:uid="{A4E79B66-A399-44F9-AC05-30A8D8E4EFFC}" name="6XX2SPS_Weekly" displayName="_6XX2SPS_Weekly" ref="B60:F84" totalsRowShown="0">
  <autoFilter ref="B60:F84" xr:uid="{3A41AF80-1AD3-44F6-93D1-6C4A16CCF943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761211FD-07C5-4C60-8E49-B011DF71603B}" name="Semester " dataDxfId="152"/>
    <tableColumn id="2" xr3:uid="{C3767A97-7DDC-4C9C-BAA0-36AD5C496EEE}" name="Week Number" dataDxfId="151"/>
    <tableColumn id="3" xr3:uid="{ECEBB099-0848-4BF9-A0F1-A91B05144BDE}" name="Weekly Content 1" dataDxfId="150"/>
    <tableColumn id="4" xr3:uid="{C2073020-3A29-4533-9629-7F40A8DD2B8B}" name="Weekly Content 2" dataDxfId="149"/>
    <tableColumn id="5" xr3:uid="{6345D17D-CE7F-4BE7-9354-5B3222EE1FDE}" name="Weekly Content 3" dataDxfId="148"/>
  </tableColumns>
  <tableStyleInfo name="TableStyleMedium4" showFirstColumn="0" showLastColumn="0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8" xr:uid="{BDFBF6B0-B509-44BE-828C-EF93C1923EC6}" name="6XX2SPS_Hours" displayName="_6XX2SPS_Hours" ref="C18:D24" totalsRowShown="0">
  <autoFilter ref="C18:D24" xr:uid="{B71A3569-AA65-4A4E-98A2-885F5C38B46D}">
    <filterColumn colId="0" hiddenButton="1"/>
    <filterColumn colId="1" hiddenButton="1"/>
  </autoFilter>
  <tableColumns count="2">
    <tableColumn id="1" xr3:uid="{B46B0870-C95C-4D4E-B01A-05CA40485288}" name="Component" dataDxfId="147"/>
    <tableColumn id="2" xr3:uid="{A34E191B-0F4D-40A9-98C4-DFC5C0ED5B03}" name="Contact Hours" dataDxfId="146"/>
  </tableColumns>
  <tableStyleInfo name="TableStyleMedium2" showFirstColumn="0" showLastColumn="0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9" xr:uid="{F74075A1-DA58-473A-9E54-24D876995322}" name="6XX2SPS_Mapping" displayName="_6XX2SPS_Mapping" ref="C45:F56" totalsRowShown="0" headerRowDxfId="145" dataDxfId="144">
  <autoFilter ref="C45:F56" xr:uid="{E0A841BB-B6D5-4048-B5F2-18CF9F502EBA}">
    <filterColumn colId="0" hiddenButton="1"/>
    <filterColumn colId="1" hiddenButton="1"/>
    <filterColumn colId="2" hiddenButton="1"/>
    <filterColumn colId="3" hiddenButton="1"/>
  </autoFilter>
  <tableColumns count="4">
    <tableColumn id="1" xr3:uid="{33F03CAC-37A3-4CB5-BBBE-230DBDFC5B6B}" name="Assessment No" dataDxfId="143"/>
    <tableColumn id="2" xr3:uid="{D948967E-B1D8-422E-BC05-E5DE64BFE116}" name="LO Number" dataDxfId="142"/>
    <tableColumn id="3" xr3:uid="{41BBFD1D-FBB9-4518-8884-EB40901F4694}" name="Graduate Skills Category" dataDxfId="141"/>
    <tableColumn id="4" xr3:uid="{913662D7-6EF1-491B-A990-50699C27238F}" name="Graduate Skill" dataDxfId="140"/>
  </tableColumns>
  <tableStyleInfo name="TableStyleMedium3" showFirstColumn="0" showLastColumn="0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0" xr:uid="{5AE026F8-16C4-406D-B110-7288CB09E506}" name="6XX2SPS_Aims" displayName="_6XX2SPS_Aims" ref="F6:F8" totalsRowShown="0" dataDxfId="139">
  <autoFilter ref="F6:F8" xr:uid="{9552138F-2332-4BC4-A585-0E13162881A5}"/>
  <tableColumns count="1">
    <tableColumn id="1" xr3:uid="{2CF6523F-40A9-456F-8FAA-4363371E379D}" name="Aims" dataDxfId="138"/>
  </tableColumns>
  <tableStyleInfo name="TableStyleMedium6" showFirstColumn="0" showLastColumn="0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1" xr:uid="{7E8C1BBC-E995-4B58-8CC6-9D5E3880A081}" name="6XX2SPS_Syllabus" displayName="_6XX2SPS_Syllabus" ref="F10:F13" totalsRowShown="0" dataDxfId="137">
  <autoFilter ref="F10:F13" xr:uid="{94F18F67-3F10-4F6E-A953-4FE3399B07F2}"/>
  <tableColumns count="1">
    <tableColumn id="1" xr3:uid="{5BDD719A-56F8-4CFB-8C2B-B09D9EFEEBC9}" name="Outline Syllabus" dataDxfId="136"/>
  </tableColumns>
  <tableStyleInfo name="TableStyleMedium6" showFirstColumn="0" showLastColumn="0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2" xr:uid="{3B6B7C2B-C63A-4C91-BFC7-FEAD7D7A4AAB}" name="6XX2SPS_Overview" displayName="_6XX2SPS_Overview" ref="F15:F20" totalsRowShown="0" dataDxfId="135">
  <autoFilter ref="F15:F20" xr:uid="{1B2BCD7B-6C15-4B1C-86BC-48FF83D8F225}"/>
  <tableColumns count="1">
    <tableColumn id="1" xr3:uid="{6FA2E212-5F86-4DAE-AF6E-5A52409DCB13}" name="Module Overview" dataDxfId="134"/>
  </tableColumns>
  <tableStyleInfo name="TableStyleMedium6" showFirstColumn="0" showLastColumn="0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3" xr:uid="{B8EDE4E8-58B3-4823-B749-470799FC0595}" name="6XX2SPS_Notes" displayName="_6XX2SPS_Notes" ref="F22:F33" totalsRowShown="0" dataDxfId="133">
  <autoFilter ref="F22:F33" xr:uid="{D5968C0A-6D7E-4221-87EE-78A85A4039B3}"/>
  <tableColumns count="1">
    <tableColumn id="1" xr3:uid="{8FE8F154-AB86-4DDE-9840-555725F99393}" name="Additional Information/Notes" dataDxfId="132"/>
  </tableColumns>
  <tableStyleInfo name="TableStyleMedium6" showFirstColumn="0" showLastColumn="0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4" xr:uid="{EB3195DA-61BF-4DC3-AA26-8375196AC911}" name="6403SPS_Meta" displayName="_6403SPS_Meta" ref="C6:D14" totalsRowShown="0">
  <autoFilter ref="C6:D14" xr:uid="{CD75D2A7-14B1-4ABD-B64D-6E875F9BC652}">
    <filterColumn colId="0" hiddenButton="1"/>
    <filterColumn colId="1" hiddenButton="1"/>
  </autoFilter>
  <tableColumns count="2">
    <tableColumn id="1" xr3:uid="{259296C2-F94D-4D8E-8A48-375C8B32976A}" name="Module Data" dataDxfId="131"/>
    <tableColumn id="2" xr3:uid="{FBE26AB7-C871-483E-8BF5-3102A6CBA6A9}" name="Details" dataDxfId="130"/>
  </tableColumns>
  <tableStyleInfo name="TableStyleMedium6" showFirstColumn="0" showLastColumn="0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5" xr:uid="{0B0C6758-C764-42DF-8334-275486F59160}" name="6403SPS_LO" displayName="_6403SPS_LO" ref="C28:D33" totalsRowShown="0" headerRowDxfId="129">
  <autoFilter ref="C28:D33" xr:uid="{22316987-6BEB-4FAF-9619-BF9BE9909CFA}">
    <filterColumn colId="0" hiddenButton="1"/>
    <filterColumn colId="1" hiddenButton="1"/>
  </autoFilter>
  <tableColumns count="2">
    <tableColumn id="1" xr3:uid="{A4A042E5-B73A-4E95-83BE-374230EAEF75}" name="LO Number" dataDxfId="128"/>
    <tableColumn id="2" xr3:uid="{4CC50DE2-34DC-4FAA-BB54-72EB81C5A918}" name="LO Description" dataDxfId="127"/>
  </tableColumns>
  <tableStyleInfo name="TableStyleMedium2" showFirstColumn="0" showLastColumn="0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6" xr:uid="{3825F8F9-FE98-45C9-AC62-4DE90913B2D5}" name="6403SPS_Assess" displayName="_6403SPS_Assess" ref="C37:H41" totalsRowShown="0" headerRowDxfId="126">
  <autoFilter ref="C37:H41" xr:uid="{39DE2F1F-0A9B-4873-A230-1AA954198F5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B86A69A5-1E61-43A0-B8A8-D409B7E2AEA6}" name="Assessment No" dataDxfId="125"/>
    <tableColumn id="2" xr3:uid="{846FFE48-B8E8-4A55-98C3-5451769A8EB5}" name="Assessment Type" dataDxfId="124"/>
    <tableColumn id="7" xr3:uid="{82AE06D6-F94C-441D-B6C3-297200BD5794}" name="Assessment Specific" dataDxfId="123"/>
    <tableColumn id="3" xr3:uid="{FEAAD1E7-46DD-4E01-9EEE-AB9037A04A09}" name="Assessment Description" dataDxfId="122"/>
    <tableColumn id="4" xr3:uid="{C4BFD846-DFE3-41AB-966C-3EFB00B2A790}" name="Weighting" dataDxfId="121"/>
    <tableColumn id="5" xr3:uid="{476F5563-CB55-4B33-88F8-D363824819FD}" name="Due Week" dataDxfId="120"/>
  </tableColumns>
  <tableStyleInfo name="TableStyleMedium3" showFirstColumn="0" showLastColumn="0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7" xr:uid="{D46EDFDA-9AB0-4331-B17D-30F807C2D6D5}" name="6403SPS_Weekly" displayName="_6403SPS_Weekly" ref="B60:F84" totalsRowShown="0">
  <autoFilter ref="B60:F84" xr:uid="{3A41AF80-1AD3-44F6-93D1-6C4A16CCF943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A68B6C85-E233-4451-9163-94A920B533E6}" name="Semester " dataDxfId="119"/>
    <tableColumn id="2" xr3:uid="{B9620A06-7C82-4FF4-995F-02655A14B62E}" name="Week Number" dataDxfId="118"/>
    <tableColumn id="3" xr3:uid="{90BEA63A-0B10-4F26-B07B-76B2D9A73B94}" name="Weekly Content 1" dataDxfId="117"/>
    <tableColumn id="4" xr3:uid="{BA0A787E-3BAF-4419-9436-D40693419273}" name="Weekly Content 2" dataDxfId="116"/>
    <tableColumn id="5" xr3:uid="{3E95C25D-5EE2-483B-B9C6-B69D6222BD63}" name="Weekly Content 3" dataDxfId="115"/>
  </tableColumns>
  <tableStyleInfo name="TableStyleMedium4" showFirstColumn="0" showLastColumn="0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8" xr:uid="{B7F0130C-63E7-417A-B41E-9C3A0D03AD17}" name="6403SPS_Hours" displayName="_6403SPS_Hours" ref="C18:D24" totalsRowShown="0">
  <autoFilter ref="C18:D24" xr:uid="{B71A3569-AA65-4A4E-98A2-885F5C38B46D}">
    <filterColumn colId="0" hiddenButton="1"/>
    <filterColumn colId="1" hiddenButton="1"/>
  </autoFilter>
  <tableColumns count="2">
    <tableColumn id="1" xr3:uid="{17D1F957-8C58-47BC-9BD8-09011C101FC1}" name="Component" dataDxfId="114"/>
    <tableColumn id="2" xr3:uid="{F76831A8-1692-44D6-9D6D-3D5E7EBE7CB7}" name="Contact Hours" dataDxfId="113"/>
  </tableColumns>
  <tableStyleInfo name="TableStyleMedium2" showFirstColumn="0" showLastColumn="0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9" xr:uid="{6E2263C1-7862-4289-A529-F692C072B024}" name="6403SPS_Mapping" displayName="_6403SPS_Mapping" ref="C45:F56" totalsRowShown="0" headerRowDxfId="112" dataDxfId="111">
  <autoFilter ref="C45:F56" xr:uid="{E0A841BB-B6D5-4048-B5F2-18CF9F502EBA}">
    <filterColumn colId="0" hiddenButton="1"/>
    <filterColumn colId="1" hiddenButton="1"/>
    <filterColumn colId="2" hiddenButton="1"/>
    <filterColumn colId="3" hiddenButton="1"/>
  </autoFilter>
  <tableColumns count="4">
    <tableColumn id="1" xr3:uid="{5FF07F7A-0B59-4A66-94E8-2AA6F3FABE01}" name="Assessment No" dataDxfId="110"/>
    <tableColumn id="2" xr3:uid="{AFA09957-495C-47A6-9409-B82CF20C9FEE}" name="LO Number" dataDxfId="109"/>
    <tableColumn id="3" xr3:uid="{4A6EF506-39E0-4A77-AB9A-A419A13B11BA}" name="Graduate Skills Category" dataDxfId="108"/>
    <tableColumn id="4" xr3:uid="{1CC8553E-650D-4CC9-BCBD-8A5C77CF26BC}" name="Graduate Skill" dataDxfId="107"/>
  </tableColumns>
  <tableStyleInfo name="TableStyleMedium3" showFirstColumn="0" showLastColumn="0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0" xr:uid="{F218F218-BF90-416D-B952-D9393923801D}" name="6403SPS_Aims" displayName="_6403SPS_Aims" ref="F6:F8" totalsRowShown="0" dataDxfId="106">
  <autoFilter ref="F6:F8" xr:uid="{9552138F-2332-4BC4-A585-0E13162881A5}"/>
  <tableColumns count="1">
    <tableColumn id="1" xr3:uid="{8B84DA76-C73A-484B-AB85-93CE53A85FF5}" name="Aims" dataDxfId="105"/>
  </tableColumns>
  <tableStyleInfo name="TableStyleMedium6" showFirstColumn="0" showLastColumn="0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1" xr:uid="{9405DABE-6D82-46AB-84E5-8BBBD87BD0BB}" name="6403SPS_Syllabus" displayName="_6403SPS_Syllabus" ref="F10:F13" totalsRowShown="0" dataDxfId="104">
  <autoFilter ref="F10:F13" xr:uid="{94F18F67-3F10-4F6E-A953-4FE3399B07F2}"/>
  <tableColumns count="1">
    <tableColumn id="1" xr3:uid="{7BB23C35-AB5C-4E42-B2E9-C41B68F5AF1F}" name="Outline Syllabus" dataDxfId="103"/>
  </tableColumns>
  <tableStyleInfo name="TableStyleMedium6" showFirstColumn="0" showLastColumn="0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2" xr:uid="{7AFB107C-53D3-4975-A4F4-CAB65BC99D03}" name="6403SPS_Overview" displayName="_6403SPS_Overview" ref="F15:F20" totalsRowShown="0" dataDxfId="102">
  <autoFilter ref="F15:F20" xr:uid="{1B2BCD7B-6C15-4B1C-86BC-48FF83D8F225}"/>
  <tableColumns count="1">
    <tableColumn id="1" xr3:uid="{A7EAB096-E6DB-40BE-B37B-256679A7DD5C}" name="Module Overview" dataDxfId="101"/>
  </tableColumns>
  <tableStyleInfo name="TableStyleMedium6" showFirstColumn="0" showLastColumn="0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3" xr:uid="{D37E2A52-3152-415A-95CE-C4D6FD7B7CAC}" name="6403SPS_Notes" displayName="_6403SPS_Notes" ref="F22:F33" totalsRowShown="0" dataDxfId="100">
  <autoFilter ref="F22:F33" xr:uid="{D5968C0A-6D7E-4221-87EE-78A85A4039B3}"/>
  <tableColumns count="1">
    <tableColumn id="1" xr3:uid="{C72ADE2C-BCB8-499B-B1B7-EDB3A3B2FE5B}" name="Additional Information/Notes" dataDxfId="99"/>
  </tableColumns>
  <tableStyleInfo name="TableStyleMedium6" showFirstColumn="0" showLastColumn="0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4" xr:uid="{40940089-4244-43F1-B97C-810AAAE444CF}" name="6097SPS_Meta" displayName="_6097SPS_Meta" ref="C6:D14" totalsRowShown="0">
  <autoFilter ref="C6:D14" xr:uid="{CD75D2A7-14B1-4ABD-B64D-6E875F9BC652}">
    <filterColumn colId="0" hiddenButton="1"/>
    <filterColumn colId="1" hiddenButton="1"/>
  </autoFilter>
  <tableColumns count="2">
    <tableColumn id="1" xr3:uid="{070BBF13-BA41-4DE1-A713-FB0E8630711C}" name="Module Data" dataDxfId="98"/>
    <tableColumn id="2" xr3:uid="{0E3F0926-B28A-4EA7-AAE9-E35BEC0A4DF5}" name="Details" dataDxfId="97"/>
  </tableColumns>
  <tableStyleInfo name="TableStyleMedium6" showFirstColumn="0" showLastColumn="0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5" xr:uid="{0696BD3D-C247-4096-9138-5992AFD94B43}" name="6097SPS_LO" displayName="_6097SPS_LO" ref="C28:D33" totalsRowShown="0" headerRowDxfId="96">
  <autoFilter ref="C28:D33" xr:uid="{22316987-6BEB-4FAF-9619-BF9BE9909CFA}">
    <filterColumn colId="0" hiddenButton="1"/>
    <filterColumn colId="1" hiddenButton="1"/>
  </autoFilter>
  <tableColumns count="2">
    <tableColumn id="1" xr3:uid="{6088F306-C9B4-4ED7-9EEC-A674129ECCC9}" name="LO Number" dataDxfId="95"/>
    <tableColumn id="2" xr3:uid="{43834854-BE01-444E-8E1C-AE64963B358A}" name="LO Description" dataDxfId="94"/>
  </tableColumns>
  <tableStyleInfo name="TableStyleMedium2" showFirstColumn="0" showLastColumn="0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6" xr:uid="{F396ADA4-3F6E-4C44-8B94-249567CBD6BD}" name="6097SPS_Assess" displayName="_6097SPS_Assess" ref="C37:H41" totalsRowShown="0" headerRowDxfId="93">
  <autoFilter ref="C37:H41" xr:uid="{39DE2F1F-0A9B-4873-A230-1AA954198F5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D2E1276A-52B5-424B-9BBA-9CC123ECC641}" name="Assessment No" dataDxfId="92"/>
    <tableColumn id="2" xr3:uid="{E2407AF6-3C98-4FD1-B31B-CB85A955F2E3}" name="Assessment Type" dataDxfId="91"/>
    <tableColumn id="7" xr3:uid="{803004E8-4057-430E-BD7F-E6A122487416}" name="Assessment Specific" dataDxfId="90"/>
    <tableColumn id="3" xr3:uid="{E82EABFF-0858-4F25-A741-AD63FC636934}" name="Assessment Description" dataDxfId="89"/>
    <tableColumn id="4" xr3:uid="{C435B8B1-D65F-4F43-8C3B-45550CBDD4FC}" name="Weighting" dataDxfId="88"/>
    <tableColumn id="5" xr3:uid="{03FBD12C-63B3-45F3-8CCB-172C1C96BB7E}" name="Due Week" dataDxfId="87"/>
  </tableColumns>
  <tableStyleInfo name="TableStyleMedium3" showFirstColumn="0" showLastColumn="0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7" xr:uid="{C8359A26-B512-45F8-8655-ACB9669F3576}" name="6097SPS_Weekly" displayName="_6097SPS_Weekly" ref="B60:F84" totalsRowShown="0">
  <autoFilter ref="B60:F84" xr:uid="{3A41AF80-1AD3-44F6-93D1-6C4A16CCF943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2701B6C-B731-4332-A2BC-EDB90DA0F8C9}" name="Semester " dataDxfId="86"/>
    <tableColumn id="2" xr3:uid="{0DEEBD8D-895D-4DB2-9CAB-767B56867428}" name="Week Number" dataDxfId="85"/>
    <tableColumn id="3" xr3:uid="{7E2D8092-2899-4612-BA2F-D50BF49F0F02}" name="Weekly Content 1" dataDxfId="84"/>
    <tableColumn id="4" xr3:uid="{543E0828-8F90-405C-8DC4-A27DEA150475}" name="Weekly Content 2" dataDxfId="83"/>
    <tableColumn id="5" xr3:uid="{CFCB0F41-D4BE-4456-B805-D7551BF9E83C}" name="Weekly Content 3" dataDxfId="82"/>
  </tableColumns>
  <tableStyleInfo name="TableStyleMedium4" showFirstColumn="0" showLastColumn="0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8" xr:uid="{AE8A534E-D29F-4551-AB97-6D70C45149F5}" name="6097SPS_Hours" displayName="_6097SPS_Hours" ref="C18:D24" totalsRowShown="0">
  <autoFilter ref="C18:D24" xr:uid="{B71A3569-AA65-4A4E-98A2-885F5C38B46D}">
    <filterColumn colId="0" hiddenButton="1"/>
    <filterColumn colId="1" hiddenButton="1"/>
  </autoFilter>
  <tableColumns count="2">
    <tableColumn id="1" xr3:uid="{A95790DB-8258-4803-8284-4A4A89FC1A81}" name="Component" dataDxfId="81"/>
    <tableColumn id="2" xr3:uid="{F8CDBB8B-28A2-40B8-8AB1-6707537C499B}" name="Contact Hours" dataDxfId="80"/>
  </tableColumns>
  <tableStyleInfo name="TableStyleMedium2" showFirstColumn="0" showLastColumn="0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9" xr:uid="{56D173C9-B42C-49E7-9D87-A5745A22D1C2}" name="6097SPS_Mapping" displayName="_6097SPS_Mapping" ref="C45:F56" totalsRowShown="0" headerRowDxfId="79" dataDxfId="78">
  <autoFilter ref="C45:F56" xr:uid="{E0A841BB-B6D5-4048-B5F2-18CF9F502EBA}">
    <filterColumn colId="0" hiddenButton="1"/>
    <filterColumn colId="1" hiddenButton="1"/>
    <filterColumn colId="2" hiddenButton="1"/>
    <filterColumn colId="3" hiddenButton="1"/>
  </autoFilter>
  <tableColumns count="4">
    <tableColumn id="1" xr3:uid="{01E2F7EB-60A0-4C13-A872-0336F07EDF9F}" name="Assessment No" dataDxfId="77"/>
    <tableColumn id="2" xr3:uid="{0A9CFE48-B3C3-4D3C-9F56-3062488E96D8}" name="LO Number" dataDxfId="76"/>
    <tableColumn id="3" xr3:uid="{F14AC592-27AF-4E15-B730-92515D2D5861}" name="Graduate Skills Category" dataDxfId="75"/>
    <tableColumn id="4" xr3:uid="{33BA90E8-AAD8-435C-9AC1-A549EDBF7228}" name="Graduate Skill" dataDxfId="74"/>
  </tableColumns>
  <tableStyleInfo name="TableStyleMedium3" showFirstColumn="0" showLastColumn="0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0" xr:uid="{2059C37A-58BE-4D59-894C-B91B91BF8452}" name="6097SPS_Aims" displayName="_6097SPS_Aims" ref="F6:F8" totalsRowShown="0" dataDxfId="73">
  <autoFilter ref="F6:F8" xr:uid="{9552138F-2332-4BC4-A585-0E13162881A5}"/>
  <tableColumns count="1">
    <tableColumn id="1" xr3:uid="{95B55738-9EA9-42EF-9542-C1E475114357}" name="Aims" dataDxfId="72"/>
  </tableColumns>
  <tableStyleInfo name="TableStyleMedium6" showFirstColumn="0" showLastColumn="0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1" xr:uid="{D10F85BC-1345-43FC-B85A-FF83FDB98376}" name="6097SPS_Syllabus" displayName="_6097SPS_Syllabus" ref="F10:F13" totalsRowShown="0" dataDxfId="71">
  <autoFilter ref="F10:F13" xr:uid="{94F18F67-3F10-4F6E-A953-4FE3399B07F2}"/>
  <tableColumns count="1">
    <tableColumn id="1" xr3:uid="{773F3BC1-153C-4CA9-9626-F7014E9C09FC}" name="Outline Syllabus" dataDxfId="70"/>
  </tableColumns>
  <tableStyleInfo name="TableStyleMedium6" showFirstColumn="0" showLastColumn="0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2" xr:uid="{9361160D-E085-4AC4-8943-5386B5E8545C}" name="6097SPS_Overview" displayName="_6097SPS_Overview" ref="F15:F20" totalsRowShown="0" dataDxfId="69">
  <autoFilter ref="F15:F20" xr:uid="{1B2BCD7B-6C15-4B1C-86BC-48FF83D8F225}"/>
  <tableColumns count="1">
    <tableColumn id="1" xr3:uid="{5AB497BE-0287-4B15-828E-068ECF632096}" name="Module Overview" dataDxfId="68"/>
  </tableColumns>
  <tableStyleInfo name="TableStyleMedium6" showFirstColumn="0" showLastColumn="0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3" xr:uid="{2BD2469B-FE6E-4B79-8C1A-DBD7F029C0E0}" name="6097SPS_Notes" displayName="_6097SPS_Notes" ref="F22:F33" totalsRowShown="0" dataDxfId="67">
  <autoFilter ref="F22:F33" xr:uid="{D5968C0A-6D7E-4221-87EE-78A85A4039B3}"/>
  <tableColumns count="1">
    <tableColumn id="1" xr3:uid="{050403C8-321F-4DA4-B6C6-73EFBF9C2B3A}" name="Additional Information/Notes" dataDxfId="66"/>
  </tableColumns>
  <tableStyleInfo name="TableStyleMedium6" showFirstColumn="0" showLastColumn="0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4" xr:uid="{624550D8-3246-406D-9203-C76D3E1169A8}" name="Module (13)_Meta" displayName="Module__13__Meta" ref="C6:D14" totalsRowShown="0">
  <autoFilter ref="C6:D14" xr:uid="{CD75D2A7-14B1-4ABD-B64D-6E875F9BC652}">
    <filterColumn colId="0" hiddenButton="1"/>
    <filterColumn colId="1" hiddenButton="1"/>
  </autoFilter>
  <tableColumns count="2">
    <tableColumn id="1" xr3:uid="{F75C39EB-FA62-46B2-BBD7-C15273288588}" name="Module Data" dataDxfId="65"/>
    <tableColumn id="2" xr3:uid="{AFAD978E-7AB7-41A9-B9E1-ABF4834D59E6}" name="Details" dataDxfId="64"/>
  </tableColumns>
  <tableStyleInfo name="TableStyleMedium6" showFirstColumn="0" showLastColumn="0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5" xr:uid="{B3A0DF70-76CC-43CC-B01A-C5B9F6018DA1}" name="Module (13)_LO" displayName="Module__13__LO" ref="C28:D33" totalsRowShown="0" headerRowDxfId="63">
  <autoFilter ref="C28:D33" xr:uid="{22316987-6BEB-4FAF-9619-BF9BE9909CFA}">
    <filterColumn colId="0" hiddenButton="1"/>
    <filterColumn colId="1" hiddenButton="1"/>
  </autoFilter>
  <tableColumns count="2">
    <tableColumn id="1" xr3:uid="{03889838-3692-4CDB-B3C9-843AC2EB8510}" name="LO Number" dataDxfId="62"/>
    <tableColumn id="2" xr3:uid="{EBF4F997-F685-4171-8E33-10C81A9AA6BD}" name="LO Description" dataDxfId="61"/>
  </tableColumns>
  <tableStyleInfo name="TableStyleMedium2" showFirstColumn="0" showLastColumn="0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6" xr:uid="{D5DD12BE-6599-42D1-AC02-0B9161A223C5}" name="Module (13)_Assess" displayName="Module__13__Assess" ref="C37:H41" totalsRowShown="0" headerRowDxfId="60">
  <autoFilter ref="C37:H41" xr:uid="{39DE2F1F-0A9B-4873-A230-1AA954198F5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94894FCF-0035-4C97-A904-AD8F7449DA67}" name="Assessment No" dataDxfId="59"/>
    <tableColumn id="2" xr3:uid="{154AA898-EB51-423F-971E-2D54E7AE168D}" name="Assessment Type" dataDxfId="58"/>
    <tableColumn id="7" xr3:uid="{9983984E-B1DF-4F0D-9268-C2C69B7257DE}" name="Assessment Specific" dataDxfId="57"/>
    <tableColumn id="3" xr3:uid="{7393D08E-D15D-482F-94F5-3955E2087F8B}" name="Assessment Description" dataDxfId="56"/>
    <tableColumn id="4" xr3:uid="{A7B8D88B-748B-437A-9A1C-F9ED211ABF56}" name="Weighting" dataDxfId="55"/>
    <tableColumn id="5" xr3:uid="{79ED1616-9922-40C9-8AED-68B6819817F9}" name="Due Week" dataDxfId="54"/>
  </tableColumns>
  <tableStyleInfo name="TableStyleMedium3" showFirstColumn="0" showLastColumn="0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7" xr:uid="{5549275A-166A-4CD3-9308-81EDEF3B26DB}" name="Module (13)_Weekly" displayName="Module__13__Weekly" ref="B60:F84" totalsRowShown="0">
  <autoFilter ref="B60:F84" xr:uid="{3A41AF80-1AD3-44F6-93D1-6C4A16CCF943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B7FA3159-D6A2-414C-94D8-A2E8568CD41C}" name="Semester " dataDxfId="53"/>
    <tableColumn id="2" xr3:uid="{FFEC1971-8BF4-44B8-BD5C-805779F987C9}" name="Week Number" dataDxfId="52"/>
    <tableColumn id="3" xr3:uid="{A9F5297B-ACA7-4D9D-842B-9A24FD16BA05}" name="Weekly Content 1" dataDxfId="51"/>
    <tableColumn id="4" xr3:uid="{B96BEEEA-7F39-4C28-9F20-2E7BAC5D76C4}" name="Weekly Content 2" dataDxfId="50"/>
    <tableColumn id="5" xr3:uid="{6D853DE2-8A0D-4998-B49D-5DECC81696CA}" name="Weekly Content 3" dataDxfId="49"/>
  </tableColumns>
  <tableStyleInfo name="TableStyleMedium4" showFirstColumn="0" showLastColumn="0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8" xr:uid="{C3DF0F01-A9D0-4761-8965-A2F4863E2A4E}" name="Module (13)_Hours" displayName="Module__13__Hours" ref="C18:D24" totalsRowShown="0">
  <autoFilter ref="C18:D24" xr:uid="{B71A3569-AA65-4A4E-98A2-885F5C38B46D}">
    <filterColumn colId="0" hiddenButton="1"/>
    <filterColumn colId="1" hiddenButton="1"/>
  </autoFilter>
  <tableColumns count="2">
    <tableColumn id="1" xr3:uid="{E1F6A0CE-A0D1-484E-806D-5F1EE294F6C5}" name="Component" dataDxfId="48"/>
    <tableColumn id="2" xr3:uid="{C29C0E16-5D02-4470-B9A3-F33C24B509D3}" name="Contact Hours" dataDxfId="47"/>
  </tableColumns>
  <tableStyleInfo name="TableStyleMedium2" showFirstColumn="0" showLastColumn="0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9" xr:uid="{D55D786C-9F3A-48CE-8767-1DD44ED57855}" name="Module (13)_Mapping" displayName="Module__13__Mapping" ref="C45:F56" totalsRowShown="0" headerRowDxfId="46" dataDxfId="45">
  <autoFilter ref="C45:F56" xr:uid="{E0A841BB-B6D5-4048-B5F2-18CF9F502EBA}">
    <filterColumn colId="0" hiddenButton="1"/>
    <filterColumn colId="1" hiddenButton="1"/>
    <filterColumn colId="2" hiddenButton="1"/>
    <filterColumn colId="3" hiddenButton="1"/>
  </autoFilter>
  <tableColumns count="4">
    <tableColumn id="1" xr3:uid="{351B8FDB-16CD-4D24-AF2C-C5AD529DF595}" name="Assessment No" dataDxfId="44"/>
    <tableColumn id="2" xr3:uid="{9CB0238A-1328-4A0D-AAE2-50C376C7235C}" name="LO Number" dataDxfId="43"/>
    <tableColumn id="3" xr3:uid="{96B6D864-B246-4570-9A1C-3387C1ABD880}" name="Graduate Skills Category" dataDxfId="42"/>
    <tableColumn id="4" xr3:uid="{D00C4D9A-F418-40FC-AB6A-A84F0B2A9E4C}" name="Graduate Skill" dataDxfId="41"/>
  </tableColumns>
  <tableStyleInfo name="TableStyleMedium3" showFirstColumn="0" showLastColumn="0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0" xr:uid="{0ABE8A2B-4753-418C-8174-04E8DA313A71}" name="Module (13)_Aims" displayName="Module__13__Aims" ref="F6:F8" totalsRowShown="0" dataDxfId="40">
  <autoFilter ref="F6:F8" xr:uid="{9552138F-2332-4BC4-A585-0E13162881A5}"/>
  <tableColumns count="1">
    <tableColumn id="1" xr3:uid="{31A9816E-6125-4BB1-B024-023BC57E4CF3}" name="Aims" dataDxfId="39"/>
  </tableColumns>
  <tableStyleInfo name="TableStyleMedium6" showFirstColumn="0" showLastColumn="0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1" xr:uid="{1747F9EA-8662-4F26-A01D-803EAD3C1FD5}" name="Module (13)_Syllabus" displayName="Module__13__Syllabus" ref="F10:F13" totalsRowShown="0" dataDxfId="38">
  <autoFilter ref="F10:F13" xr:uid="{94F18F67-3F10-4F6E-A953-4FE3399B07F2}"/>
  <tableColumns count="1">
    <tableColumn id="1" xr3:uid="{6A2A3EA9-0D72-4A0E-A2B5-FF641EDBA034}" name="Outline Syllabus" dataDxfId="37"/>
  </tableColumns>
  <tableStyleInfo name="TableStyleMedium6" showFirstColumn="0" showLastColumn="0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2" xr:uid="{26F3C05B-4EDF-47A0-9FA6-60C5FAD6ECCD}" name="Module (13)_Overview" displayName="Module__13__Overview" ref="F15:F20" totalsRowShown="0" dataDxfId="36">
  <autoFilter ref="F15:F20" xr:uid="{1B2BCD7B-6C15-4B1C-86BC-48FF83D8F225}"/>
  <tableColumns count="1">
    <tableColumn id="1" xr3:uid="{3ECD395E-FA33-4C57-93BB-6A0232B1FB84}" name="Module Overview" dataDxfId="35"/>
  </tableColumns>
  <tableStyleInfo name="TableStyleMedium6" showFirstColumn="0" showLastColumn="0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3" xr:uid="{3B1F6B96-9B9D-4196-A72D-C9C91B0E85E6}" name="Module (13)_Notes" displayName="Module__13__Notes" ref="F22:F33" totalsRowShown="0" dataDxfId="34">
  <autoFilter ref="F22:F33" xr:uid="{D5968C0A-6D7E-4221-87EE-78A85A4039B3}"/>
  <tableColumns count="1">
    <tableColumn id="1" xr3:uid="{7082D249-848A-49C3-8DF4-B67EE67DF58C}" name="Additional Information/Notes" dataDxfId="33"/>
  </tableColumns>
  <tableStyleInfo name="TableStyleMedium6" showFirstColumn="0" showLastColumn="0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DA15C93-7AE5-443F-BF80-B6C4734D3733}" name="Template_Meta" displayName="Template_Meta" ref="C6:D14" totalsRowShown="0">
  <autoFilter ref="C6:D14" xr:uid="{CD75D2A7-14B1-4ABD-B64D-6E875F9BC652}">
    <filterColumn colId="0" hiddenButton="1"/>
    <filterColumn colId="1" hiddenButton="1"/>
  </autoFilter>
  <tableColumns count="2">
    <tableColumn id="1" xr3:uid="{4D2BF844-9D2B-4FF1-8498-0279E04136FD}" name="Module Data" dataDxfId="32"/>
    <tableColumn id="2" xr3:uid="{7CDC44CD-A513-4579-ACC6-09E7304BB1BE}" name="Details" dataDxfId="31"/>
  </tableColumns>
  <tableStyleInfo name="TableStyleMedium6" showFirstColumn="0" showLastColumn="0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F01ECD1-C3F7-4C71-876A-3C7A7FDBB474}" name="Template_LO" displayName="Template_LO" ref="C28:D33" totalsRowShown="0" headerRowDxfId="30">
  <autoFilter ref="C28:D33" xr:uid="{22316987-6BEB-4FAF-9619-BF9BE9909CFA}">
    <filterColumn colId="0" hiddenButton="1"/>
    <filterColumn colId="1" hiddenButton="1"/>
  </autoFilter>
  <tableColumns count="2">
    <tableColumn id="1" xr3:uid="{A75FADC5-DEDB-4B6C-9F57-BD04056AC57B}" name="LO Number" dataDxfId="29"/>
    <tableColumn id="2" xr3:uid="{2529C995-9CF3-46B4-B1CE-40C8315EEAF2}" name="LO Description" dataDxfId="28"/>
  </tableColumns>
  <tableStyleInfo name="TableStyleMedium2" showFirstColumn="0" showLastColumn="0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B27E036-CB6F-40EB-91EB-A39099EEB3CD}" name="Template_Assess" displayName="Template_Assess" ref="C37:H41" totalsRowShown="0" headerRowDxfId="27">
  <autoFilter ref="C37:H41" xr:uid="{39DE2F1F-0A9B-4873-A230-1AA954198F5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D8EBD973-01AE-4D1E-8786-915C86474423}" name="Assessment No" dataDxfId="26"/>
    <tableColumn id="2" xr3:uid="{707D2CCB-425D-48C3-A5FF-A62091BB3A56}" name="Assessment Type" dataDxfId="25"/>
    <tableColumn id="7" xr3:uid="{EB4F45BA-D8C2-4768-9796-02D50E7330DF}" name="Assessment Specific" dataDxfId="24"/>
    <tableColumn id="3" xr3:uid="{5B969136-9DE0-4A71-AF46-BE9B9C988057}" name="Assessment Description" dataDxfId="23"/>
    <tableColumn id="4" xr3:uid="{C51F8C6E-75D1-4D2A-980F-3DFD604FDE94}" name="Weighting" dataDxfId="22"/>
    <tableColumn id="5" xr3:uid="{732B8B1F-0938-4D2E-A221-A6E8EC0CEA2A}" name="Due Week" dataDxfId="21"/>
  </tableColumns>
  <tableStyleInfo name="TableStyleMedium3" showFirstColumn="0" showLastColumn="0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61448E8-8EEE-4DE1-A2F9-F593D227DA0A}" name="Template_Weekly" displayName="Template_Weekly" ref="B60:F84" totalsRowShown="0">
  <autoFilter ref="B60:F84" xr:uid="{3A41AF80-1AD3-44F6-93D1-6C4A16CCF943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6D1B2880-FC9A-468B-B918-0197941EFFDE}" name="Semester " dataDxfId="20"/>
    <tableColumn id="2" xr3:uid="{B5886C84-F0E2-476E-B7F8-D50AED341227}" name="Week Number" dataDxfId="19"/>
    <tableColumn id="3" xr3:uid="{E72094EC-2F0A-4C32-8DE0-3CB3CF696309}" name="Weekly Content 1" dataDxfId="18"/>
    <tableColumn id="4" xr3:uid="{15BE7A5A-AEE2-4BE3-9FDF-71CA774FE739}" name="Weekly Content 2" dataDxfId="17"/>
    <tableColumn id="5" xr3:uid="{C4CF9651-D5F8-4074-B5BD-359D74967851}" name="Weekly Content 3" dataDxfId="16"/>
  </tableColumns>
  <tableStyleInfo name="TableStyleMedium4" showFirstColumn="0" showLastColumn="0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5FAF6343-FF50-43D2-B96C-219B05B209B3}" name="Template_Hours" displayName="Template_Hours" ref="C18:D24" totalsRowShown="0">
  <autoFilter ref="C18:D24" xr:uid="{B71A3569-AA65-4A4E-98A2-885F5C38B46D}">
    <filterColumn colId="0" hiddenButton="1"/>
    <filterColumn colId="1" hiddenButton="1"/>
  </autoFilter>
  <tableColumns count="2">
    <tableColumn id="1" xr3:uid="{DD613D1A-331B-4FD0-91B2-3BB01F5B1F40}" name="Component" dataDxfId="15"/>
    <tableColumn id="2" xr3:uid="{C0E95D7F-8DB9-4A30-B523-E4812C2D666C}" name="Contact Hours" dataDxfId="14"/>
  </tableColumns>
  <tableStyleInfo name="TableStyleMedium2" showFirstColumn="0" showLastColumn="0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64905AEA-21AC-416A-8A59-FDBFEB2C673E}" name="Template_Mapping" displayName="Template_Mapping" ref="C45:F56" totalsRowShown="0" headerRowDxfId="13" dataDxfId="12">
  <autoFilter ref="C45:F56" xr:uid="{E0A841BB-B6D5-4048-B5F2-18CF9F502EBA}">
    <filterColumn colId="0" hiddenButton="1"/>
    <filterColumn colId="1" hiddenButton="1"/>
    <filterColumn colId="2" hiddenButton="1"/>
    <filterColumn colId="3" hiddenButton="1"/>
  </autoFilter>
  <tableColumns count="4">
    <tableColumn id="1" xr3:uid="{68FEA8A1-EEF2-48EA-ACC7-4E78BA6DFA99}" name="Assessment No" dataDxfId="11"/>
    <tableColumn id="2" xr3:uid="{2008E8A1-90F0-4A5C-A0CF-4F307DD2E2D8}" name="LO Number" dataDxfId="10"/>
    <tableColumn id="3" xr3:uid="{3A4DD78F-A393-4DAB-8994-3FEC28769F43}" name="Graduate Skills Category" dataDxfId="9"/>
    <tableColumn id="4" xr3:uid="{3CC06E09-AB6C-4DEE-8FEB-FEE7643702C5}" name="Graduate Skill" dataDxfId="8"/>
  </tableColumns>
  <tableStyleInfo name="TableStyleMedium3" showFirstColumn="0" showLastColumn="0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52138F-2332-4BC4-A585-0E13162881A5}" name="Template_Aims" displayName="Template_Aims" ref="F6:F8" totalsRowShown="0" dataDxfId="7">
  <autoFilter ref="F6:F8" xr:uid="{9552138F-2332-4BC4-A585-0E13162881A5}"/>
  <tableColumns count="1">
    <tableColumn id="1" xr3:uid="{71044305-7275-4074-BD40-FFAF45A8E291}" name="Aims" dataDxfId="6"/>
  </tableColumns>
  <tableStyleInfo name="TableStyleMedium6" showFirstColumn="0" showLastColumn="0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4F18F67-3F10-4F6E-A953-4FE3399B07F2}" name="Template_Syllabus" displayName="Template_Syllabus" ref="F10:F13" totalsRowShown="0" dataDxfId="5">
  <autoFilter ref="F10:F13" xr:uid="{94F18F67-3F10-4F6E-A953-4FE3399B07F2}"/>
  <tableColumns count="1">
    <tableColumn id="1" xr3:uid="{409A0DF2-4B7A-4C37-A61C-CA2805617B9D}" name="Outline Syllabus" dataDxfId="4"/>
  </tableColumns>
  <tableStyleInfo name="TableStyleMedium6" showFirstColumn="0" showLastColumn="0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B2BCD7B-6C15-4B1C-86BC-48FF83D8F225}" name="Template_Overview" displayName="Template_Overview" ref="F15:F20" totalsRowShown="0" dataDxfId="3">
  <autoFilter ref="F15:F20" xr:uid="{1B2BCD7B-6C15-4B1C-86BC-48FF83D8F225}"/>
  <tableColumns count="1">
    <tableColumn id="1" xr3:uid="{5E6F0374-DB3C-4DCF-968A-D7EB3D575A6B}" name="Module Overview" dataDxfId="2"/>
  </tableColumns>
  <tableStyleInfo name="TableStyleMedium6" showFirstColumn="0" showLastColumn="0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5968C0A-6D7E-4221-87EE-78A85A4039B3}" name="Template_Notes" displayName="Template_Notes" ref="F22:F33" totalsRowShown="0" dataDxfId="1">
  <autoFilter ref="F22:F33" xr:uid="{D5968C0A-6D7E-4221-87EE-78A85A4039B3}"/>
  <tableColumns count="1">
    <tableColumn id="1" xr3:uid="{EBE60D7D-4BB5-4F06-A2E4-CFAAE9F14014}" name="Additional Information/Notes" dataDxfId="0"/>
  </tableColumns>
  <tableStyleInfo name="TableStyleMedium6" showFirstColumn="0" showLastColumn="0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28D849E-6EFC-4A5A-932B-B6AE93050561}" name="LISTS_Assess" displayName="LISTS_Assess" ref="G14:G28" totalsRowShown="0">
  <autoFilter ref="G14:G28" xr:uid="{A28D849E-6EFC-4A5A-932B-B6AE93050561}"/>
  <tableColumns count="1">
    <tableColumn id="1" xr3:uid="{F9243E19-CFCD-47CF-90F4-B3457FC6A715}" name="Assessment Specific"/>
  </tableColumns>
  <tableStyleInfo name="TableStyleMedium2" showFirstColumn="0" showLastColumn="0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BD39377-1E4D-4F11-AC33-A85FBA00A712}" name="LISTS_Table" displayName="LISTS_Table" ref="J19:K83" totalsRowShown="0">
  <autoFilter ref="J19:K83" xr:uid="{EBD39377-1E4D-4F11-AC33-A85FBA00A712}"/>
  <tableColumns count="2">
    <tableColumn id="1" xr3:uid="{88D4BEFB-0FE7-43D9-9144-A385F91AD367}" name="Category"/>
    <tableColumn id="2" xr3:uid="{F16DBD3E-74AC-4DBC-9629-934DF2FB76A6}" name="Skil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7.xml"/><Relationship Id="rId3" Type="http://schemas.openxmlformats.org/officeDocument/2006/relationships/table" Target="../tables/table12.xml"/><Relationship Id="rId7" Type="http://schemas.openxmlformats.org/officeDocument/2006/relationships/table" Target="../tables/table16.xml"/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15.xml"/><Relationship Id="rId11" Type="http://schemas.openxmlformats.org/officeDocument/2006/relationships/table" Target="../tables/table20.xml"/><Relationship Id="rId5" Type="http://schemas.openxmlformats.org/officeDocument/2006/relationships/table" Target="../tables/table14.xml"/><Relationship Id="rId10" Type="http://schemas.openxmlformats.org/officeDocument/2006/relationships/table" Target="../tables/table19.xml"/><Relationship Id="rId4" Type="http://schemas.openxmlformats.org/officeDocument/2006/relationships/table" Target="../tables/table13.xml"/><Relationship Id="rId9" Type="http://schemas.openxmlformats.org/officeDocument/2006/relationships/table" Target="../tables/table18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7.xml"/><Relationship Id="rId3" Type="http://schemas.openxmlformats.org/officeDocument/2006/relationships/table" Target="../tables/table22.xml"/><Relationship Id="rId7" Type="http://schemas.openxmlformats.org/officeDocument/2006/relationships/table" Target="../tables/table26.xml"/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3.bin"/><Relationship Id="rId6" Type="http://schemas.openxmlformats.org/officeDocument/2006/relationships/table" Target="../tables/table25.xml"/><Relationship Id="rId11" Type="http://schemas.openxmlformats.org/officeDocument/2006/relationships/table" Target="../tables/table30.xml"/><Relationship Id="rId5" Type="http://schemas.openxmlformats.org/officeDocument/2006/relationships/table" Target="../tables/table24.xml"/><Relationship Id="rId10" Type="http://schemas.openxmlformats.org/officeDocument/2006/relationships/table" Target="../tables/table29.xml"/><Relationship Id="rId4" Type="http://schemas.openxmlformats.org/officeDocument/2006/relationships/table" Target="../tables/table23.xml"/><Relationship Id="rId9" Type="http://schemas.openxmlformats.org/officeDocument/2006/relationships/table" Target="../tables/table28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7.xml"/><Relationship Id="rId3" Type="http://schemas.openxmlformats.org/officeDocument/2006/relationships/table" Target="../tables/table32.xml"/><Relationship Id="rId7" Type="http://schemas.openxmlformats.org/officeDocument/2006/relationships/table" Target="../tables/table36.xml"/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4.bin"/><Relationship Id="rId6" Type="http://schemas.openxmlformats.org/officeDocument/2006/relationships/table" Target="../tables/table35.xml"/><Relationship Id="rId11" Type="http://schemas.openxmlformats.org/officeDocument/2006/relationships/table" Target="../tables/table40.xml"/><Relationship Id="rId5" Type="http://schemas.openxmlformats.org/officeDocument/2006/relationships/table" Target="../tables/table34.xml"/><Relationship Id="rId10" Type="http://schemas.openxmlformats.org/officeDocument/2006/relationships/table" Target="../tables/table39.xml"/><Relationship Id="rId4" Type="http://schemas.openxmlformats.org/officeDocument/2006/relationships/table" Target="../tables/table33.xml"/><Relationship Id="rId9" Type="http://schemas.openxmlformats.org/officeDocument/2006/relationships/table" Target="../tables/table38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47.xml"/><Relationship Id="rId3" Type="http://schemas.openxmlformats.org/officeDocument/2006/relationships/table" Target="../tables/table42.xml"/><Relationship Id="rId7" Type="http://schemas.openxmlformats.org/officeDocument/2006/relationships/table" Target="../tables/table46.xml"/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5.bin"/><Relationship Id="rId6" Type="http://schemas.openxmlformats.org/officeDocument/2006/relationships/table" Target="../tables/table45.xml"/><Relationship Id="rId11" Type="http://schemas.openxmlformats.org/officeDocument/2006/relationships/table" Target="../tables/table50.xml"/><Relationship Id="rId5" Type="http://schemas.openxmlformats.org/officeDocument/2006/relationships/table" Target="../tables/table44.xml"/><Relationship Id="rId10" Type="http://schemas.openxmlformats.org/officeDocument/2006/relationships/table" Target="../tables/table49.xml"/><Relationship Id="rId4" Type="http://schemas.openxmlformats.org/officeDocument/2006/relationships/table" Target="../tables/table43.xml"/><Relationship Id="rId9" Type="http://schemas.openxmlformats.org/officeDocument/2006/relationships/table" Target="../tables/table48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7.xml"/><Relationship Id="rId3" Type="http://schemas.openxmlformats.org/officeDocument/2006/relationships/table" Target="../tables/table52.xml"/><Relationship Id="rId7" Type="http://schemas.openxmlformats.org/officeDocument/2006/relationships/table" Target="../tables/table56.xml"/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6.bin"/><Relationship Id="rId6" Type="http://schemas.openxmlformats.org/officeDocument/2006/relationships/table" Target="../tables/table55.xml"/><Relationship Id="rId11" Type="http://schemas.openxmlformats.org/officeDocument/2006/relationships/table" Target="../tables/table60.xml"/><Relationship Id="rId5" Type="http://schemas.openxmlformats.org/officeDocument/2006/relationships/table" Target="../tables/table54.xml"/><Relationship Id="rId10" Type="http://schemas.openxmlformats.org/officeDocument/2006/relationships/table" Target="../tables/table59.xml"/><Relationship Id="rId4" Type="http://schemas.openxmlformats.org/officeDocument/2006/relationships/table" Target="../tables/table53.xml"/><Relationship Id="rId9" Type="http://schemas.openxmlformats.org/officeDocument/2006/relationships/table" Target="../tables/table58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7.xml"/><Relationship Id="rId3" Type="http://schemas.openxmlformats.org/officeDocument/2006/relationships/table" Target="../tables/table62.xml"/><Relationship Id="rId7" Type="http://schemas.openxmlformats.org/officeDocument/2006/relationships/table" Target="../tables/table66.xml"/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7.bin"/><Relationship Id="rId6" Type="http://schemas.openxmlformats.org/officeDocument/2006/relationships/table" Target="../tables/table65.xml"/><Relationship Id="rId11" Type="http://schemas.openxmlformats.org/officeDocument/2006/relationships/table" Target="../tables/table70.xml"/><Relationship Id="rId5" Type="http://schemas.openxmlformats.org/officeDocument/2006/relationships/table" Target="../tables/table64.xml"/><Relationship Id="rId10" Type="http://schemas.openxmlformats.org/officeDocument/2006/relationships/table" Target="../tables/table69.xml"/><Relationship Id="rId4" Type="http://schemas.openxmlformats.org/officeDocument/2006/relationships/table" Target="../tables/table63.xml"/><Relationship Id="rId9" Type="http://schemas.openxmlformats.org/officeDocument/2006/relationships/table" Target="../tables/table68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7.xml"/><Relationship Id="rId3" Type="http://schemas.openxmlformats.org/officeDocument/2006/relationships/table" Target="../tables/table72.xml"/><Relationship Id="rId7" Type="http://schemas.openxmlformats.org/officeDocument/2006/relationships/table" Target="../tables/table76.xml"/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8.bin"/><Relationship Id="rId6" Type="http://schemas.openxmlformats.org/officeDocument/2006/relationships/table" Target="../tables/table75.xml"/><Relationship Id="rId11" Type="http://schemas.openxmlformats.org/officeDocument/2006/relationships/table" Target="../tables/table80.xml"/><Relationship Id="rId5" Type="http://schemas.openxmlformats.org/officeDocument/2006/relationships/table" Target="../tables/table74.xml"/><Relationship Id="rId10" Type="http://schemas.openxmlformats.org/officeDocument/2006/relationships/table" Target="../tables/table79.xml"/><Relationship Id="rId4" Type="http://schemas.openxmlformats.org/officeDocument/2006/relationships/table" Target="../tables/table73.xml"/><Relationship Id="rId9" Type="http://schemas.openxmlformats.org/officeDocument/2006/relationships/table" Target="../tables/table78.xm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7.xml"/><Relationship Id="rId3" Type="http://schemas.openxmlformats.org/officeDocument/2006/relationships/table" Target="../tables/table82.xml"/><Relationship Id="rId7" Type="http://schemas.openxmlformats.org/officeDocument/2006/relationships/table" Target="../tables/table86.xml"/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9.bin"/><Relationship Id="rId6" Type="http://schemas.openxmlformats.org/officeDocument/2006/relationships/table" Target="../tables/table85.xml"/><Relationship Id="rId11" Type="http://schemas.openxmlformats.org/officeDocument/2006/relationships/table" Target="../tables/table90.xml"/><Relationship Id="rId5" Type="http://schemas.openxmlformats.org/officeDocument/2006/relationships/table" Target="../tables/table84.xml"/><Relationship Id="rId10" Type="http://schemas.openxmlformats.org/officeDocument/2006/relationships/table" Target="../tables/table89.xml"/><Relationship Id="rId4" Type="http://schemas.openxmlformats.org/officeDocument/2006/relationships/table" Target="../tables/table83.xml"/><Relationship Id="rId9" Type="http://schemas.openxmlformats.org/officeDocument/2006/relationships/table" Target="../tables/table88.x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table" Target="../tables/table97.xml"/><Relationship Id="rId3" Type="http://schemas.openxmlformats.org/officeDocument/2006/relationships/table" Target="../tables/table92.xml"/><Relationship Id="rId7" Type="http://schemas.openxmlformats.org/officeDocument/2006/relationships/table" Target="../tables/table96.xml"/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10.bin"/><Relationship Id="rId6" Type="http://schemas.openxmlformats.org/officeDocument/2006/relationships/table" Target="../tables/table95.xml"/><Relationship Id="rId11" Type="http://schemas.openxmlformats.org/officeDocument/2006/relationships/table" Target="../tables/table100.xml"/><Relationship Id="rId5" Type="http://schemas.openxmlformats.org/officeDocument/2006/relationships/table" Target="../tables/table94.xml"/><Relationship Id="rId10" Type="http://schemas.openxmlformats.org/officeDocument/2006/relationships/table" Target="../tables/table99.xml"/><Relationship Id="rId4" Type="http://schemas.openxmlformats.org/officeDocument/2006/relationships/table" Target="../tables/table93.xml"/><Relationship Id="rId9" Type="http://schemas.openxmlformats.org/officeDocument/2006/relationships/table" Target="../tables/table98.xm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07.xml"/><Relationship Id="rId3" Type="http://schemas.openxmlformats.org/officeDocument/2006/relationships/table" Target="../tables/table102.xml"/><Relationship Id="rId7" Type="http://schemas.openxmlformats.org/officeDocument/2006/relationships/table" Target="../tables/table106.xml"/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1.bin"/><Relationship Id="rId6" Type="http://schemas.openxmlformats.org/officeDocument/2006/relationships/table" Target="../tables/table105.xml"/><Relationship Id="rId11" Type="http://schemas.openxmlformats.org/officeDocument/2006/relationships/table" Target="../tables/table110.xml"/><Relationship Id="rId5" Type="http://schemas.openxmlformats.org/officeDocument/2006/relationships/table" Target="../tables/table104.xml"/><Relationship Id="rId10" Type="http://schemas.openxmlformats.org/officeDocument/2006/relationships/table" Target="../tables/table109.xml"/><Relationship Id="rId4" Type="http://schemas.openxmlformats.org/officeDocument/2006/relationships/table" Target="../tables/table103.xml"/><Relationship Id="rId9" Type="http://schemas.openxmlformats.org/officeDocument/2006/relationships/table" Target="../tables/table108.xml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17.xml"/><Relationship Id="rId3" Type="http://schemas.openxmlformats.org/officeDocument/2006/relationships/table" Target="../tables/table112.xml"/><Relationship Id="rId7" Type="http://schemas.openxmlformats.org/officeDocument/2006/relationships/table" Target="../tables/table116.xml"/><Relationship Id="rId2" Type="http://schemas.openxmlformats.org/officeDocument/2006/relationships/table" Target="../tables/table111.xml"/><Relationship Id="rId1" Type="http://schemas.openxmlformats.org/officeDocument/2006/relationships/printerSettings" Target="../printerSettings/printerSettings12.bin"/><Relationship Id="rId6" Type="http://schemas.openxmlformats.org/officeDocument/2006/relationships/table" Target="../tables/table115.xml"/><Relationship Id="rId11" Type="http://schemas.openxmlformats.org/officeDocument/2006/relationships/table" Target="../tables/table120.xml"/><Relationship Id="rId5" Type="http://schemas.openxmlformats.org/officeDocument/2006/relationships/table" Target="../tables/table114.xml"/><Relationship Id="rId10" Type="http://schemas.openxmlformats.org/officeDocument/2006/relationships/table" Target="../tables/table119.xml"/><Relationship Id="rId4" Type="http://schemas.openxmlformats.org/officeDocument/2006/relationships/table" Target="../tables/table113.xml"/><Relationship Id="rId9" Type="http://schemas.openxmlformats.org/officeDocument/2006/relationships/table" Target="../tables/table118.xm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7.xml"/><Relationship Id="rId3" Type="http://schemas.openxmlformats.org/officeDocument/2006/relationships/table" Target="../tables/table122.xml"/><Relationship Id="rId7" Type="http://schemas.openxmlformats.org/officeDocument/2006/relationships/table" Target="../tables/table126.xml"/><Relationship Id="rId2" Type="http://schemas.openxmlformats.org/officeDocument/2006/relationships/table" Target="../tables/table121.xml"/><Relationship Id="rId1" Type="http://schemas.openxmlformats.org/officeDocument/2006/relationships/printerSettings" Target="../printerSettings/printerSettings13.bin"/><Relationship Id="rId6" Type="http://schemas.openxmlformats.org/officeDocument/2006/relationships/table" Target="../tables/table125.xml"/><Relationship Id="rId11" Type="http://schemas.openxmlformats.org/officeDocument/2006/relationships/table" Target="../tables/table130.xml"/><Relationship Id="rId5" Type="http://schemas.openxmlformats.org/officeDocument/2006/relationships/table" Target="../tables/table124.xml"/><Relationship Id="rId10" Type="http://schemas.openxmlformats.org/officeDocument/2006/relationships/table" Target="../tables/table129.xml"/><Relationship Id="rId4" Type="http://schemas.openxmlformats.org/officeDocument/2006/relationships/table" Target="../tables/table123.xml"/><Relationship Id="rId9" Type="http://schemas.openxmlformats.org/officeDocument/2006/relationships/table" Target="../tables/table128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2.xml"/><Relationship Id="rId1" Type="http://schemas.openxmlformats.org/officeDocument/2006/relationships/table" Target="../tables/table13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E7B7A-D282-4FA8-AE69-A4F29B437E85}">
  <sheetPr codeName="Sheet2"/>
  <dimension ref="B2:H84"/>
  <sheetViews>
    <sheetView showGridLines="0" topLeftCell="B1" zoomScale="85" zoomScaleNormal="85" workbookViewId="0">
      <selection activeCell="D8" sqref="D8"/>
    </sheetView>
  </sheetViews>
  <sheetFormatPr defaultRowHeight="15" x14ac:dyDescent="0.25"/>
  <cols>
    <col min="3" max="3" width="33.28515625" customWidth="1"/>
    <col min="4" max="4" width="51.5703125" customWidth="1"/>
    <col min="5" max="5" width="67.28515625" customWidth="1"/>
    <col min="6" max="6" width="63.140625" customWidth="1"/>
    <col min="7" max="7" width="12.42578125" customWidth="1"/>
    <col min="8" max="8" width="15.5703125" customWidth="1"/>
    <col min="9" max="9" width="14.7109375" customWidth="1"/>
  </cols>
  <sheetData>
    <row r="2" spans="2:6" ht="26.25" x14ac:dyDescent="0.4">
      <c r="C2" s="20" t="str">
        <f>D7</f>
        <v>4202SPS</v>
      </c>
      <c r="D2" s="20" t="str">
        <f>D8</f>
        <v>Learning Theory and Practice 1</v>
      </c>
    </row>
    <row r="3" spans="2:6" x14ac:dyDescent="0.25">
      <c r="B3" s="1"/>
      <c r="C3" s="1"/>
    </row>
    <row r="4" spans="2:6" x14ac:dyDescent="0.25">
      <c r="B4" s="2"/>
      <c r="C4" s="2"/>
    </row>
    <row r="5" spans="2:6" ht="18.75" x14ac:dyDescent="0.25">
      <c r="B5" s="2"/>
      <c r="C5" s="5" t="s">
        <v>0</v>
      </c>
    </row>
    <row r="6" spans="2:6" x14ac:dyDescent="0.25">
      <c r="B6" s="2"/>
      <c r="C6" s="3" t="s">
        <v>1</v>
      </c>
      <c r="D6" s="4" t="s">
        <v>2</v>
      </c>
      <c r="E6" s="4"/>
      <c r="F6" t="s">
        <v>3</v>
      </c>
    </row>
    <row r="7" spans="2:6" x14ac:dyDescent="0.25">
      <c r="B7" s="2"/>
      <c r="C7" s="3" t="s">
        <v>4</v>
      </c>
      <c r="D7" s="21" t="s">
        <v>205</v>
      </c>
      <c r="E7" s="4"/>
      <c r="F7" s="24"/>
    </row>
    <row r="8" spans="2:6" x14ac:dyDescent="0.25">
      <c r="B8" s="2"/>
      <c r="C8" s="3" t="s">
        <v>6</v>
      </c>
      <c r="D8" s="21" t="s">
        <v>204</v>
      </c>
      <c r="E8" s="4"/>
      <c r="F8" s="24"/>
    </row>
    <row r="9" spans="2:6" x14ac:dyDescent="0.25">
      <c r="C9" s="3" t="s">
        <v>7</v>
      </c>
      <c r="D9" s="21"/>
      <c r="E9" s="4"/>
    </row>
    <row r="10" spans="2:6" x14ac:dyDescent="0.25">
      <c r="C10" s="3" t="s">
        <v>8</v>
      </c>
      <c r="D10" s="21"/>
      <c r="E10" s="4"/>
      <c r="F10" t="s">
        <v>9</v>
      </c>
    </row>
    <row r="11" spans="2:6" x14ac:dyDescent="0.25">
      <c r="C11" s="3" t="s">
        <v>10</v>
      </c>
      <c r="D11" s="21"/>
      <c r="E11" s="4"/>
      <c r="F11" s="24"/>
    </row>
    <row r="12" spans="2:6" x14ac:dyDescent="0.25">
      <c r="C12" s="3" t="s">
        <v>11</v>
      </c>
      <c r="D12" s="21"/>
      <c r="E12" s="4"/>
      <c r="F12" s="24"/>
    </row>
    <row r="13" spans="2:6" x14ac:dyDescent="0.25">
      <c r="C13" s="3" t="s">
        <v>12</v>
      </c>
      <c r="D13" s="21"/>
      <c r="E13" s="4"/>
      <c r="F13" s="24"/>
    </row>
    <row r="14" spans="2:6" x14ac:dyDescent="0.25">
      <c r="C14" s="3" t="s">
        <v>13</v>
      </c>
      <c r="D14" s="21"/>
      <c r="E14" s="4"/>
    </row>
    <row r="15" spans="2:6" x14ac:dyDescent="0.25">
      <c r="C15" s="3"/>
      <c r="D15" s="4"/>
      <c r="E15" s="4"/>
      <c r="F15" t="s">
        <v>14</v>
      </c>
    </row>
    <row r="16" spans="2:6" x14ac:dyDescent="0.25">
      <c r="C16" s="3"/>
      <c r="D16" s="4"/>
      <c r="E16" s="4"/>
      <c r="F16" s="24"/>
    </row>
    <row r="17" spans="3:6" ht="18.75" x14ac:dyDescent="0.25">
      <c r="C17" s="5" t="s">
        <v>15</v>
      </c>
      <c r="D17" s="4"/>
      <c r="E17" s="4"/>
      <c r="F17" s="24"/>
    </row>
    <row r="18" spans="3:6" x14ac:dyDescent="0.25">
      <c r="C18" s="3" t="s">
        <v>16</v>
      </c>
      <c r="D18" s="1" t="s">
        <v>15</v>
      </c>
      <c r="E18" s="4"/>
      <c r="F18" s="24"/>
    </row>
    <row r="19" spans="3:6" x14ac:dyDescent="0.25">
      <c r="C19" s="3" t="s">
        <v>17</v>
      </c>
      <c r="D19" s="22"/>
      <c r="E19" s="4"/>
      <c r="F19" s="24"/>
    </row>
    <row r="20" spans="3:6" x14ac:dyDescent="0.25">
      <c r="C20" s="3" t="s">
        <v>18</v>
      </c>
      <c r="D20" s="22"/>
      <c r="E20" s="4"/>
      <c r="F20" s="24"/>
    </row>
    <row r="21" spans="3:6" x14ac:dyDescent="0.25">
      <c r="C21" s="3" t="s">
        <v>19</v>
      </c>
      <c r="D21" s="22"/>
      <c r="E21" s="4"/>
    </row>
    <row r="22" spans="3:6" x14ac:dyDescent="0.25">
      <c r="C22" s="3" t="s">
        <v>20</v>
      </c>
      <c r="D22" s="22"/>
      <c r="E22" s="4"/>
      <c r="F22" t="s">
        <v>21</v>
      </c>
    </row>
    <row r="23" spans="3:6" x14ac:dyDescent="0.25">
      <c r="C23" s="3" t="s">
        <v>22</v>
      </c>
      <c r="D23" s="22"/>
      <c r="E23" s="4"/>
      <c r="F23" s="24"/>
    </row>
    <row r="24" spans="3:6" x14ac:dyDescent="0.25">
      <c r="C24" s="3" t="s">
        <v>23</v>
      </c>
      <c r="D24" s="1">
        <f>SUM(D19:D23)</f>
        <v>0</v>
      </c>
      <c r="E24" s="4"/>
      <c r="F24" s="24"/>
    </row>
    <row r="25" spans="3:6" x14ac:dyDescent="0.25">
      <c r="F25" s="24"/>
    </row>
    <row r="26" spans="3:6" x14ac:dyDescent="0.25">
      <c r="F26" s="24"/>
    </row>
    <row r="27" spans="3:6" ht="18.75" x14ac:dyDescent="0.25">
      <c r="C27" s="5" t="s">
        <v>24</v>
      </c>
      <c r="D27" s="12" t="s">
        <v>25</v>
      </c>
      <c r="F27" s="24"/>
    </row>
    <row r="28" spans="3:6" x14ac:dyDescent="0.25">
      <c r="C28" s="3" t="s">
        <v>26</v>
      </c>
      <c r="D28" s="3" t="s">
        <v>27</v>
      </c>
      <c r="E28" s="3"/>
      <c r="F28" s="24"/>
    </row>
    <row r="29" spans="3:6" x14ac:dyDescent="0.25">
      <c r="C29" s="3" t="s">
        <v>28</v>
      </c>
      <c r="D29" s="21"/>
      <c r="E29" s="4"/>
      <c r="F29" s="24"/>
    </row>
    <row r="30" spans="3:6" x14ac:dyDescent="0.25">
      <c r="C30" s="3" t="s">
        <v>29</v>
      </c>
      <c r="D30" s="21"/>
      <c r="E30" s="4"/>
      <c r="F30" s="24"/>
    </row>
    <row r="31" spans="3:6" x14ac:dyDescent="0.25">
      <c r="C31" s="3" t="s">
        <v>30</v>
      </c>
      <c r="D31" s="21"/>
      <c r="E31" s="4"/>
      <c r="F31" s="24"/>
    </row>
    <row r="32" spans="3:6" x14ac:dyDescent="0.25">
      <c r="C32" s="3" t="s">
        <v>31</v>
      </c>
      <c r="D32" s="21"/>
      <c r="E32" s="4"/>
      <c r="F32" s="24"/>
    </row>
    <row r="33" spans="3:8" x14ac:dyDescent="0.25">
      <c r="C33" s="3" t="s">
        <v>32</v>
      </c>
      <c r="D33" s="21"/>
      <c r="E33" s="4"/>
      <c r="F33" s="24"/>
    </row>
    <row r="36" spans="3:8" ht="18.75" x14ac:dyDescent="0.25">
      <c r="C36" s="5" t="s">
        <v>33</v>
      </c>
    </row>
    <row r="37" spans="3:8" x14ac:dyDescent="0.25">
      <c r="C37" s="3" t="s">
        <v>34</v>
      </c>
      <c r="D37" s="3" t="s">
        <v>35</v>
      </c>
      <c r="E37" s="3" t="s">
        <v>36</v>
      </c>
      <c r="F37" s="3" t="s">
        <v>37</v>
      </c>
      <c r="G37" s="3" t="s">
        <v>38</v>
      </c>
      <c r="H37" s="3" t="s">
        <v>39</v>
      </c>
    </row>
    <row r="38" spans="3:8" x14ac:dyDescent="0.25">
      <c r="C38" s="3" t="s">
        <v>40</v>
      </c>
      <c r="D38" s="21" t="s">
        <v>41</v>
      </c>
      <c r="E38" s="21" t="s">
        <v>42</v>
      </c>
      <c r="F38" s="21" t="s">
        <v>43</v>
      </c>
      <c r="G38" s="23">
        <v>0.5</v>
      </c>
      <c r="H38" s="21">
        <v>6</v>
      </c>
    </row>
    <row r="39" spans="3:8" x14ac:dyDescent="0.25">
      <c r="C39" s="3" t="s">
        <v>44</v>
      </c>
      <c r="D39" s="21"/>
      <c r="E39" s="21"/>
      <c r="F39" s="21"/>
      <c r="G39" s="23">
        <v>0.5</v>
      </c>
      <c r="H39" s="21">
        <v>12</v>
      </c>
    </row>
    <row r="40" spans="3:8" x14ac:dyDescent="0.25">
      <c r="C40" s="3" t="s">
        <v>45</v>
      </c>
      <c r="D40" s="24"/>
      <c r="E40" s="24"/>
      <c r="F40" s="24"/>
      <c r="G40" s="24"/>
      <c r="H40" s="24"/>
    </row>
    <row r="41" spans="3:8" x14ac:dyDescent="0.25">
      <c r="C41" s="3" t="s">
        <v>46</v>
      </c>
      <c r="D41" s="24"/>
      <c r="E41" s="24"/>
      <c r="F41" s="24"/>
      <c r="G41" s="24"/>
      <c r="H41" s="24"/>
    </row>
    <row r="42" spans="3:8" x14ac:dyDescent="0.25">
      <c r="C42" s="3"/>
    </row>
    <row r="44" spans="3:8" ht="18.75" x14ac:dyDescent="0.25">
      <c r="C44" s="5" t="s">
        <v>47</v>
      </c>
      <c r="D44" s="12"/>
    </row>
    <row r="45" spans="3:8" x14ac:dyDescent="0.25">
      <c r="C45" s="1" t="s">
        <v>34</v>
      </c>
      <c r="D45" s="1" t="s">
        <v>26</v>
      </c>
      <c r="E45" s="1" t="s">
        <v>48</v>
      </c>
      <c r="F45" s="1" t="s">
        <v>49</v>
      </c>
    </row>
    <row r="46" spans="3:8" x14ac:dyDescent="0.25">
      <c r="C46" s="25" t="s">
        <v>40</v>
      </c>
      <c r="D46" s="24" t="s">
        <v>28</v>
      </c>
      <c r="E46" s="24" t="s">
        <v>50</v>
      </c>
      <c r="F46" s="24" t="s">
        <v>51</v>
      </c>
    </row>
    <row r="47" spans="3:8" x14ac:dyDescent="0.25">
      <c r="C47" s="25" t="s">
        <v>40</v>
      </c>
      <c r="D47" s="24" t="s">
        <v>28</v>
      </c>
      <c r="E47" s="24" t="s">
        <v>50</v>
      </c>
      <c r="F47" s="24" t="s">
        <v>52</v>
      </c>
    </row>
    <row r="48" spans="3:8" x14ac:dyDescent="0.25">
      <c r="C48" s="25" t="s">
        <v>40</v>
      </c>
      <c r="D48" s="24" t="s">
        <v>28</v>
      </c>
      <c r="E48" s="24" t="s">
        <v>53</v>
      </c>
      <c r="F48" s="24" t="s">
        <v>54</v>
      </c>
    </row>
    <row r="49" spans="2:6" x14ac:dyDescent="0.25">
      <c r="C49" s="25" t="s">
        <v>44</v>
      </c>
      <c r="D49" s="24" t="s">
        <v>29</v>
      </c>
      <c r="E49" s="24" t="s">
        <v>55</v>
      </c>
      <c r="F49" s="24" t="s">
        <v>56</v>
      </c>
    </row>
    <row r="50" spans="2:6" x14ac:dyDescent="0.25">
      <c r="C50" s="25" t="s">
        <v>44</v>
      </c>
      <c r="D50" s="24" t="s">
        <v>29</v>
      </c>
      <c r="E50" s="24" t="s">
        <v>57</v>
      </c>
      <c r="F50" s="24" t="s">
        <v>58</v>
      </c>
    </row>
    <row r="51" spans="2:6" x14ac:dyDescent="0.25">
      <c r="C51" s="25" t="s">
        <v>44</v>
      </c>
      <c r="D51" s="24"/>
      <c r="E51" s="24"/>
      <c r="F51" s="24"/>
    </row>
    <row r="52" spans="2:6" x14ac:dyDescent="0.25">
      <c r="C52" s="25" t="s">
        <v>45</v>
      </c>
      <c r="D52" s="24"/>
      <c r="E52" s="24"/>
      <c r="F52" s="24"/>
    </row>
    <row r="53" spans="2:6" x14ac:dyDescent="0.25">
      <c r="C53" s="25" t="s">
        <v>45</v>
      </c>
      <c r="D53" s="24"/>
      <c r="E53" s="24"/>
      <c r="F53" s="24"/>
    </row>
    <row r="54" spans="2:6" x14ac:dyDescent="0.25">
      <c r="C54" s="25" t="s">
        <v>45</v>
      </c>
      <c r="D54" s="24"/>
      <c r="E54" s="24"/>
      <c r="F54" s="24"/>
    </row>
    <row r="55" spans="2:6" x14ac:dyDescent="0.25">
      <c r="C55" s="25" t="s">
        <v>46</v>
      </c>
      <c r="D55" s="24"/>
      <c r="E55" s="24"/>
      <c r="F55" s="24"/>
    </row>
    <row r="56" spans="2:6" x14ac:dyDescent="0.25">
      <c r="C56" s="25" t="s">
        <v>46</v>
      </c>
      <c r="D56" s="24"/>
      <c r="E56" s="24"/>
      <c r="F56" s="24"/>
    </row>
    <row r="59" spans="2:6" ht="18.75" x14ac:dyDescent="0.25">
      <c r="C59" s="5" t="s">
        <v>59</v>
      </c>
    </row>
    <row r="60" spans="2:6" x14ac:dyDescent="0.25">
      <c r="B60" t="s">
        <v>60</v>
      </c>
      <c r="C60" s="1" t="s">
        <v>61</v>
      </c>
      <c r="D60" s="1" t="s">
        <v>62</v>
      </c>
      <c r="E60" s="1" t="s">
        <v>63</v>
      </c>
      <c r="F60" s="1" t="s">
        <v>64</v>
      </c>
    </row>
    <row r="61" spans="2:6" x14ac:dyDescent="0.25">
      <c r="B61" s="7">
        <v>1</v>
      </c>
      <c r="C61" s="1">
        <v>1</v>
      </c>
      <c r="D61" s="21" t="s">
        <v>65</v>
      </c>
      <c r="E61" s="21"/>
      <c r="F61" s="21"/>
    </row>
    <row r="62" spans="2:6" x14ac:dyDescent="0.25">
      <c r="B62" s="7">
        <v>1</v>
      </c>
      <c r="C62" s="1">
        <v>2</v>
      </c>
      <c r="D62" s="21" t="s">
        <v>66</v>
      </c>
      <c r="E62" s="21" t="s">
        <v>67</v>
      </c>
      <c r="F62" s="21" t="s">
        <v>18</v>
      </c>
    </row>
    <row r="63" spans="2:6" x14ac:dyDescent="0.25">
      <c r="B63" s="7">
        <v>1</v>
      </c>
      <c r="C63" s="1">
        <v>3</v>
      </c>
      <c r="D63" s="21" t="s">
        <v>68</v>
      </c>
      <c r="E63" s="21"/>
      <c r="F63" s="21"/>
    </row>
    <row r="64" spans="2:6" x14ac:dyDescent="0.25">
      <c r="B64" s="7">
        <v>1</v>
      </c>
      <c r="C64" s="1">
        <v>4</v>
      </c>
      <c r="D64" s="21" t="s">
        <v>69</v>
      </c>
      <c r="E64" s="21" t="s">
        <v>70</v>
      </c>
      <c r="F64" s="21" t="s">
        <v>18</v>
      </c>
    </row>
    <row r="65" spans="2:6" x14ac:dyDescent="0.25">
      <c r="B65" s="7">
        <v>1</v>
      </c>
      <c r="C65" s="1">
        <v>5</v>
      </c>
      <c r="D65" s="21" t="s">
        <v>71</v>
      </c>
      <c r="E65" s="21"/>
      <c r="F65" s="21"/>
    </row>
    <row r="66" spans="2:6" x14ac:dyDescent="0.25">
      <c r="B66" s="7">
        <v>1</v>
      </c>
      <c r="C66" s="1">
        <v>6</v>
      </c>
      <c r="D66" s="21" t="s">
        <v>72</v>
      </c>
      <c r="E66" s="21"/>
      <c r="F66" s="21" t="s">
        <v>18</v>
      </c>
    </row>
    <row r="67" spans="2:6" x14ac:dyDescent="0.25">
      <c r="B67" s="7">
        <v>1</v>
      </c>
      <c r="C67" s="1">
        <v>7</v>
      </c>
      <c r="D67" s="21" t="s">
        <v>73</v>
      </c>
      <c r="E67" s="21"/>
      <c r="F67" s="21"/>
    </row>
    <row r="68" spans="2:6" x14ac:dyDescent="0.25">
      <c r="B68" s="7">
        <v>1</v>
      </c>
      <c r="C68" s="1">
        <v>8</v>
      </c>
      <c r="D68" s="21" t="s">
        <v>74</v>
      </c>
      <c r="E68" s="21"/>
      <c r="F68" s="21" t="s">
        <v>18</v>
      </c>
    </row>
    <row r="69" spans="2:6" x14ac:dyDescent="0.25">
      <c r="B69" s="7">
        <v>1</v>
      </c>
      <c r="C69" s="1">
        <v>9</v>
      </c>
      <c r="D69" s="21" t="s">
        <v>75</v>
      </c>
      <c r="E69" s="21"/>
      <c r="F69" s="21"/>
    </row>
    <row r="70" spans="2:6" x14ac:dyDescent="0.25">
      <c r="B70" s="7">
        <v>1</v>
      </c>
      <c r="C70" s="1">
        <v>10</v>
      </c>
      <c r="D70" s="21" t="s">
        <v>76</v>
      </c>
      <c r="E70" s="21" t="s">
        <v>77</v>
      </c>
      <c r="F70" s="21" t="s">
        <v>18</v>
      </c>
    </row>
    <row r="71" spans="2:6" x14ac:dyDescent="0.25">
      <c r="B71" s="7">
        <v>1</v>
      </c>
      <c r="C71" s="1">
        <v>11</v>
      </c>
      <c r="D71" s="21" t="s">
        <v>78</v>
      </c>
      <c r="E71" s="21"/>
      <c r="F71" s="21"/>
    </row>
    <row r="72" spans="2:6" x14ac:dyDescent="0.25">
      <c r="B72" s="7">
        <v>1</v>
      </c>
      <c r="C72" s="1">
        <v>12</v>
      </c>
      <c r="D72" s="21" t="s">
        <v>79</v>
      </c>
      <c r="E72" s="21"/>
      <c r="F72" s="21" t="s">
        <v>18</v>
      </c>
    </row>
    <row r="73" spans="2:6" x14ac:dyDescent="0.25">
      <c r="B73" s="7">
        <v>2</v>
      </c>
      <c r="C73" s="1">
        <v>1</v>
      </c>
      <c r="D73" s="21"/>
      <c r="E73" s="21"/>
      <c r="F73" s="21"/>
    </row>
    <row r="74" spans="2:6" x14ac:dyDescent="0.25">
      <c r="B74" s="7">
        <v>2</v>
      </c>
      <c r="C74" s="1">
        <v>2</v>
      </c>
      <c r="D74" s="21"/>
      <c r="E74" s="21"/>
      <c r="F74" s="21"/>
    </row>
    <row r="75" spans="2:6" x14ac:dyDescent="0.25">
      <c r="B75" s="7">
        <v>2</v>
      </c>
      <c r="C75" s="1">
        <v>3</v>
      </c>
      <c r="D75" s="21"/>
      <c r="E75" s="21"/>
      <c r="F75" s="21"/>
    </row>
    <row r="76" spans="2:6" x14ac:dyDescent="0.25">
      <c r="B76" s="7">
        <v>2</v>
      </c>
      <c r="C76" s="1">
        <v>4</v>
      </c>
      <c r="D76" s="21"/>
      <c r="E76" s="21"/>
      <c r="F76" s="21"/>
    </row>
    <row r="77" spans="2:6" x14ac:dyDescent="0.25">
      <c r="B77" s="7">
        <v>2</v>
      </c>
      <c r="C77" s="1">
        <v>5</v>
      </c>
      <c r="D77" s="21"/>
      <c r="E77" s="21"/>
      <c r="F77" s="21"/>
    </row>
    <row r="78" spans="2:6" x14ac:dyDescent="0.25">
      <c r="B78" s="7">
        <v>2</v>
      </c>
      <c r="C78" s="1">
        <v>6</v>
      </c>
      <c r="D78" s="21"/>
      <c r="E78" s="21"/>
      <c r="F78" s="21"/>
    </row>
    <row r="79" spans="2:6" x14ac:dyDescent="0.25">
      <c r="B79" s="7">
        <v>2</v>
      </c>
      <c r="C79" s="1">
        <v>7</v>
      </c>
      <c r="D79" s="21"/>
      <c r="E79" s="21"/>
      <c r="F79" s="21"/>
    </row>
    <row r="80" spans="2:6" x14ac:dyDescent="0.25">
      <c r="B80" s="7">
        <v>2</v>
      </c>
      <c r="C80" s="1">
        <v>8</v>
      </c>
      <c r="D80" s="21"/>
      <c r="E80" s="21"/>
      <c r="F80" s="21"/>
    </row>
    <row r="81" spans="2:6" x14ac:dyDescent="0.25">
      <c r="B81" s="7">
        <v>2</v>
      </c>
      <c r="C81" s="1">
        <v>9</v>
      </c>
      <c r="D81" s="21"/>
      <c r="E81" s="21"/>
      <c r="F81" s="21"/>
    </row>
    <row r="82" spans="2:6" x14ac:dyDescent="0.25">
      <c r="B82" s="7">
        <v>2</v>
      </c>
      <c r="C82" s="1">
        <v>10</v>
      </c>
      <c r="D82" s="21"/>
      <c r="E82" s="21"/>
      <c r="F82" s="21"/>
    </row>
    <row r="83" spans="2:6" x14ac:dyDescent="0.25">
      <c r="B83" s="7">
        <v>2</v>
      </c>
      <c r="C83" s="1">
        <v>11</v>
      </c>
      <c r="D83" s="21"/>
      <c r="E83" s="21"/>
      <c r="F83" s="21"/>
    </row>
    <row r="84" spans="2:6" x14ac:dyDescent="0.25">
      <c r="B84" s="7">
        <v>2</v>
      </c>
      <c r="C84" s="1">
        <v>12</v>
      </c>
      <c r="D84" s="21"/>
      <c r="E84" s="21"/>
      <c r="F84" s="21"/>
    </row>
  </sheetData>
  <sheetProtection sheet="1" objects="1" scenarios="1" selectLockedCells="1" sort="0" autoFilter="0" pivotTables="0"/>
  <dataValidations count="4">
    <dataValidation type="list" allowBlank="1" showInputMessage="1" showErrorMessage="1" sqref="F46:F56" xr:uid="{199417CD-50E7-40D5-ADCF-61994B27264E}">
      <formula1>INDIRECT(VLOOKUP($E46, SkillNameMap, 2, FALSE))</formula1>
    </dataValidation>
    <dataValidation type="list" allowBlank="1" showInputMessage="1" showErrorMessage="1" sqref="E38:E41" xr:uid="{9A8779B4-6AB6-45B5-A32C-6D89EAF36C8E}">
      <formula1>INDIRECT("LISTAssess[Assessment Specific]")</formula1>
    </dataValidation>
    <dataValidation type="whole" showInputMessage="1" showErrorMessage="1" error="This is not a realistic number of contact hours please change" sqref="D19" xr:uid="{DA3D6AB5-532B-4E6E-B5DD-7DD3330DB48F}">
      <formula1>0</formula1>
      <formula2>80</formula2>
    </dataValidation>
    <dataValidation type="whole" showInputMessage="1" showErrorMessage="1" error="This is not a realistic number of contact hours please reduce" sqref="D20:D23" xr:uid="{3732E239-C09D-43A7-9D17-84966769CD9A}">
      <formula1>0</formula1>
      <formula2>80</formula2>
    </dataValidation>
  </dataValidations>
  <pageMargins left="0.7" right="0.7" top="0.75" bottom="0.75" header="0.3" footer="0.3"/>
  <pageSetup paperSize="9" orientation="portrait" horizontalDpi="4294967293" verticalDpi="0" r:id="rId1"/>
  <tableParts count="10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C65280C-5249-4CA6-9640-3CC5D292F59A}">
          <x14:formula1>
            <xm:f>LISTS!$J$7:$J$16</xm:f>
          </x14:formula1>
          <xm:sqref>E46:E56</xm:sqref>
        </x14:dataValidation>
        <x14:dataValidation type="list" allowBlank="1" showInputMessage="1" showErrorMessage="1" xr:uid="{009B3F76-CBC5-41A8-84DE-D4AD00A25980}">
          <x14:formula1>
            <xm:f>LISTS!$E$7:$E$11</xm:f>
          </x14:formula1>
          <xm:sqref>D46:D56</xm:sqref>
        </x14:dataValidation>
        <x14:dataValidation type="list" allowBlank="1" showInputMessage="1" showErrorMessage="1" xr:uid="{E4C466FC-4B20-43FE-83BB-6DB372D1E2AF}">
          <x14:formula1>
            <xm:f>LISTS!$G$7:$G$11</xm:f>
          </x14:formula1>
          <xm:sqref>D38:D42</xm:sqref>
        </x14:dataValidation>
        <x14:dataValidation type="list" allowBlank="1" showInputMessage="1" showErrorMessage="1" xr:uid="{FDF99DCE-273A-4E69-9925-00724A3BE75B}">
          <x14:formula1>
            <xm:f>LISTS!$C$11:$C$15</xm:f>
          </x14:formula1>
          <xm:sqref>D11</xm:sqref>
        </x14:dataValidation>
        <x14:dataValidation type="list" allowBlank="1" showInputMessage="1" showErrorMessage="1" xr:uid="{B71F4674-23DF-4DB6-881E-607B855CE61E}">
          <x14:formula1>
            <xm:f>LISTS!$C$7:$C$9</xm:f>
          </x14:formula1>
          <xm:sqref>D10</xm:sqref>
        </x14:dataValidation>
        <x14:dataValidation type="list" allowBlank="1" showInputMessage="1" showErrorMessage="1" xr:uid="{13441B70-6771-46A0-B42D-7619C487A66C}">
          <x14:formula1>
            <xm:f>LISTS!$C$17:$C$22</xm:f>
          </x14:formula1>
          <xm:sqref>D13</xm:sqref>
        </x14:dataValidation>
        <x14:dataValidation type="list" allowBlank="1" showInputMessage="1" showErrorMessage="1" xr:uid="{27FAA946-26BF-4A0D-A78A-94B40A846A90}">
          <x14:formula1>
            <xm:f>LISTS!$C$26:$C$37</xm:f>
          </x14:formula1>
          <xm:sqref>D14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15F39-4768-4BDC-BBAF-EDA933F6EC41}">
  <sheetPr codeName="Sheet3"/>
  <dimension ref="B2:H84"/>
  <sheetViews>
    <sheetView showGridLines="0" topLeftCell="B1" zoomScale="85" zoomScaleNormal="85" workbookViewId="0">
      <selection activeCell="D9" sqref="D9"/>
    </sheetView>
  </sheetViews>
  <sheetFormatPr defaultRowHeight="15" x14ac:dyDescent="0.25"/>
  <cols>
    <col min="3" max="3" width="33.28515625" customWidth="1"/>
    <col min="4" max="4" width="51.5703125" customWidth="1"/>
    <col min="5" max="5" width="67.28515625" customWidth="1"/>
    <col min="6" max="6" width="63.140625" customWidth="1"/>
    <col min="7" max="7" width="12.42578125" customWidth="1"/>
    <col min="8" max="8" width="15.5703125" customWidth="1"/>
    <col min="9" max="9" width="14.7109375" customWidth="1"/>
  </cols>
  <sheetData>
    <row r="2" spans="2:6" ht="26.25" x14ac:dyDescent="0.4">
      <c r="C2" s="20" t="str">
        <f>D7</f>
        <v>4401SPS</v>
      </c>
      <c r="D2" s="20" t="str">
        <f>D8</f>
        <v xml:space="preserve">Professional Practice in Sport Coaching 1 </v>
      </c>
    </row>
    <row r="3" spans="2:6" x14ac:dyDescent="0.25">
      <c r="B3" s="1"/>
      <c r="C3" s="1"/>
    </row>
    <row r="4" spans="2:6" x14ac:dyDescent="0.25">
      <c r="B4" s="2"/>
      <c r="C4" s="2"/>
    </row>
    <row r="5" spans="2:6" ht="18.75" x14ac:dyDescent="0.25">
      <c r="B5" s="2"/>
      <c r="C5" s="5" t="s">
        <v>0</v>
      </c>
    </row>
    <row r="6" spans="2:6" x14ac:dyDescent="0.25">
      <c r="B6" s="2"/>
      <c r="C6" s="3" t="s">
        <v>1</v>
      </c>
      <c r="D6" s="4" t="s">
        <v>2</v>
      </c>
      <c r="E6" s="4"/>
      <c r="F6" t="s">
        <v>3</v>
      </c>
    </row>
    <row r="7" spans="2:6" x14ac:dyDescent="0.25">
      <c r="B7" s="2"/>
      <c r="C7" s="3" t="s">
        <v>4</v>
      </c>
      <c r="D7" s="21" t="s">
        <v>206</v>
      </c>
      <c r="E7" s="4"/>
      <c r="F7" s="24"/>
    </row>
    <row r="8" spans="2:6" x14ac:dyDescent="0.25">
      <c r="B8" s="2"/>
      <c r="C8" s="3" t="s">
        <v>6</v>
      </c>
      <c r="D8" s="26" t="s">
        <v>207</v>
      </c>
      <c r="E8" s="4"/>
      <c r="F8" s="24"/>
    </row>
    <row r="9" spans="2:6" x14ac:dyDescent="0.25">
      <c r="C9" s="3" t="s">
        <v>7</v>
      </c>
      <c r="D9" s="21"/>
      <c r="E9" s="4"/>
    </row>
    <row r="10" spans="2:6" x14ac:dyDescent="0.25">
      <c r="C10" s="3" t="s">
        <v>8</v>
      </c>
      <c r="D10" s="21"/>
      <c r="E10" s="4"/>
      <c r="F10" t="s">
        <v>9</v>
      </c>
    </row>
    <row r="11" spans="2:6" x14ac:dyDescent="0.25">
      <c r="C11" s="3" t="s">
        <v>10</v>
      </c>
      <c r="D11" s="21"/>
      <c r="E11" s="4"/>
      <c r="F11" s="24"/>
    </row>
    <row r="12" spans="2:6" x14ac:dyDescent="0.25">
      <c r="C12" s="3" t="s">
        <v>11</v>
      </c>
      <c r="D12" s="21"/>
      <c r="E12" s="4"/>
      <c r="F12" s="24"/>
    </row>
    <row r="13" spans="2:6" x14ac:dyDescent="0.25">
      <c r="C13" s="3" t="s">
        <v>12</v>
      </c>
      <c r="D13" s="21"/>
      <c r="E13" s="4"/>
      <c r="F13" s="24"/>
    </row>
    <row r="14" spans="2:6" x14ac:dyDescent="0.25">
      <c r="C14" s="3" t="s">
        <v>13</v>
      </c>
      <c r="D14" s="21"/>
      <c r="E14" s="4"/>
    </row>
    <row r="15" spans="2:6" x14ac:dyDescent="0.25">
      <c r="C15" s="3"/>
      <c r="D15" s="4"/>
      <c r="E15" s="4"/>
      <c r="F15" t="s">
        <v>14</v>
      </c>
    </row>
    <row r="16" spans="2:6" x14ac:dyDescent="0.25">
      <c r="C16" s="3"/>
      <c r="D16" s="4"/>
      <c r="E16" s="4"/>
      <c r="F16" s="24"/>
    </row>
    <row r="17" spans="3:6" ht="18.75" x14ac:dyDescent="0.25">
      <c r="C17" s="5" t="s">
        <v>15</v>
      </c>
      <c r="D17" s="4"/>
      <c r="E17" s="4"/>
      <c r="F17" s="24"/>
    </row>
    <row r="18" spans="3:6" x14ac:dyDescent="0.25">
      <c r="C18" s="3" t="s">
        <v>16</v>
      </c>
      <c r="D18" s="1" t="s">
        <v>15</v>
      </c>
      <c r="E18" s="4"/>
      <c r="F18" s="24"/>
    </row>
    <row r="19" spans="3:6" x14ac:dyDescent="0.25">
      <c r="C19" s="3" t="s">
        <v>17</v>
      </c>
      <c r="D19" s="22"/>
      <c r="E19" s="4"/>
      <c r="F19" s="24"/>
    </row>
    <row r="20" spans="3:6" x14ac:dyDescent="0.25">
      <c r="C20" s="3" t="s">
        <v>18</v>
      </c>
      <c r="D20" s="22"/>
      <c r="E20" s="4"/>
      <c r="F20" s="24"/>
    </row>
    <row r="21" spans="3:6" x14ac:dyDescent="0.25">
      <c r="C21" s="3" t="s">
        <v>19</v>
      </c>
      <c r="D21" s="22"/>
      <c r="E21" s="4"/>
    </row>
    <row r="22" spans="3:6" x14ac:dyDescent="0.25">
      <c r="C22" s="3" t="s">
        <v>20</v>
      </c>
      <c r="D22" s="22"/>
      <c r="E22" s="4"/>
      <c r="F22" t="s">
        <v>21</v>
      </c>
    </row>
    <row r="23" spans="3:6" x14ac:dyDescent="0.25">
      <c r="C23" s="3" t="s">
        <v>22</v>
      </c>
      <c r="D23" s="22"/>
      <c r="E23" s="4"/>
      <c r="F23" s="24"/>
    </row>
    <row r="24" spans="3:6" x14ac:dyDescent="0.25">
      <c r="C24" s="3" t="s">
        <v>23</v>
      </c>
      <c r="D24" s="1">
        <f>SUM(D19:D23)</f>
        <v>0</v>
      </c>
      <c r="E24" s="4"/>
      <c r="F24" s="24"/>
    </row>
    <row r="25" spans="3:6" x14ac:dyDescent="0.25">
      <c r="F25" s="24"/>
    </row>
    <row r="26" spans="3:6" x14ac:dyDescent="0.25">
      <c r="F26" s="24"/>
    </row>
    <row r="27" spans="3:6" ht="18.75" x14ac:dyDescent="0.25">
      <c r="C27" s="5" t="s">
        <v>24</v>
      </c>
      <c r="D27" s="12" t="s">
        <v>25</v>
      </c>
      <c r="F27" s="24"/>
    </row>
    <row r="28" spans="3:6" x14ac:dyDescent="0.25">
      <c r="C28" s="3" t="s">
        <v>26</v>
      </c>
      <c r="D28" s="3" t="s">
        <v>27</v>
      </c>
      <c r="E28" s="3"/>
      <c r="F28" s="24"/>
    </row>
    <row r="29" spans="3:6" x14ac:dyDescent="0.25">
      <c r="C29" s="3" t="s">
        <v>28</v>
      </c>
      <c r="D29" s="21"/>
      <c r="E29" s="4"/>
      <c r="F29" s="24"/>
    </row>
    <row r="30" spans="3:6" x14ac:dyDescent="0.25">
      <c r="C30" s="3" t="s">
        <v>29</v>
      </c>
      <c r="D30" s="21"/>
      <c r="E30" s="4"/>
      <c r="F30" s="24"/>
    </row>
    <row r="31" spans="3:6" x14ac:dyDescent="0.25">
      <c r="C31" s="3" t="s">
        <v>30</v>
      </c>
      <c r="D31" s="21"/>
      <c r="E31" s="4"/>
      <c r="F31" s="24"/>
    </row>
    <row r="32" spans="3:6" x14ac:dyDescent="0.25">
      <c r="C32" s="3" t="s">
        <v>31</v>
      </c>
      <c r="D32" s="21"/>
      <c r="E32" s="4"/>
      <c r="F32" s="24"/>
    </row>
    <row r="33" spans="3:8" x14ac:dyDescent="0.25">
      <c r="C33" s="3" t="s">
        <v>32</v>
      </c>
      <c r="D33" s="21"/>
      <c r="E33" s="4"/>
      <c r="F33" s="24"/>
    </row>
    <row r="36" spans="3:8" ht="18.75" x14ac:dyDescent="0.25">
      <c r="C36" s="5" t="s">
        <v>33</v>
      </c>
    </row>
    <row r="37" spans="3:8" x14ac:dyDescent="0.25">
      <c r="C37" s="3" t="s">
        <v>34</v>
      </c>
      <c r="D37" s="3" t="s">
        <v>35</v>
      </c>
      <c r="E37" s="3" t="s">
        <v>36</v>
      </c>
      <c r="F37" s="3" t="s">
        <v>37</v>
      </c>
      <c r="G37" s="3" t="s">
        <v>38</v>
      </c>
      <c r="H37" s="3" t="s">
        <v>39</v>
      </c>
    </row>
    <row r="38" spans="3:8" x14ac:dyDescent="0.25">
      <c r="C38" s="3" t="s">
        <v>40</v>
      </c>
      <c r="D38" s="21" t="s">
        <v>41</v>
      </c>
      <c r="E38" s="21" t="s">
        <v>42</v>
      </c>
      <c r="F38" s="21" t="s">
        <v>43</v>
      </c>
      <c r="G38" s="23">
        <v>0.5</v>
      </c>
      <c r="H38" s="21">
        <v>6</v>
      </c>
    </row>
    <row r="39" spans="3:8" x14ac:dyDescent="0.25">
      <c r="C39" s="3" t="s">
        <v>44</v>
      </c>
      <c r="D39" s="21"/>
      <c r="E39" s="21"/>
      <c r="F39" s="21"/>
      <c r="G39" s="23">
        <v>0.5</v>
      </c>
      <c r="H39" s="21">
        <v>12</v>
      </c>
    </row>
    <row r="40" spans="3:8" x14ac:dyDescent="0.25">
      <c r="C40" s="3" t="s">
        <v>45</v>
      </c>
      <c r="D40" s="24"/>
      <c r="E40" s="24"/>
      <c r="F40" s="24"/>
      <c r="G40" s="24"/>
      <c r="H40" s="24"/>
    </row>
    <row r="41" spans="3:8" x14ac:dyDescent="0.25">
      <c r="C41" s="3" t="s">
        <v>46</v>
      </c>
      <c r="D41" s="24"/>
      <c r="E41" s="24"/>
      <c r="F41" s="24"/>
      <c r="G41" s="24"/>
      <c r="H41" s="24"/>
    </row>
    <row r="42" spans="3:8" x14ac:dyDescent="0.25">
      <c r="C42" s="3"/>
    </row>
    <row r="44" spans="3:8" ht="18.75" x14ac:dyDescent="0.25">
      <c r="C44" s="5" t="s">
        <v>47</v>
      </c>
      <c r="D44" s="12"/>
    </row>
    <row r="45" spans="3:8" x14ac:dyDescent="0.25">
      <c r="C45" s="1" t="s">
        <v>34</v>
      </c>
      <c r="D45" s="1" t="s">
        <v>26</v>
      </c>
      <c r="E45" s="1" t="s">
        <v>48</v>
      </c>
      <c r="F45" s="1" t="s">
        <v>49</v>
      </c>
    </row>
    <row r="46" spans="3:8" x14ac:dyDescent="0.25">
      <c r="C46" s="25" t="s">
        <v>40</v>
      </c>
      <c r="D46" s="24" t="s">
        <v>28</v>
      </c>
      <c r="E46" s="24" t="s">
        <v>50</v>
      </c>
      <c r="F46" s="24" t="s">
        <v>51</v>
      </c>
    </row>
    <row r="47" spans="3:8" x14ac:dyDescent="0.25">
      <c r="C47" s="25" t="s">
        <v>40</v>
      </c>
      <c r="D47" s="24" t="s">
        <v>28</v>
      </c>
      <c r="E47" s="24" t="s">
        <v>50</v>
      </c>
      <c r="F47" s="24" t="s">
        <v>52</v>
      </c>
    </row>
    <row r="48" spans="3:8" x14ac:dyDescent="0.25">
      <c r="C48" s="25" t="s">
        <v>40</v>
      </c>
      <c r="D48" s="24" t="s">
        <v>28</v>
      </c>
      <c r="E48" s="24" t="s">
        <v>53</v>
      </c>
      <c r="F48" s="24" t="s">
        <v>54</v>
      </c>
    </row>
    <row r="49" spans="2:6" x14ac:dyDescent="0.25">
      <c r="C49" s="25" t="s">
        <v>44</v>
      </c>
      <c r="D49" s="24" t="s">
        <v>29</v>
      </c>
      <c r="E49" s="24" t="s">
        <v>55</v>
      </c>
      <c r="F49" s="24" t="s">
        <v>56</v>
      </c>
    </row>
    <row r="50" spans="2:6" x14ac:dyDescent="0.25">
      <c r="C50" s="25" t="s">
        <v>44</v>
      </c>
      <c r="D50" s="24" t="s">
        <v>29</v>
      </c>
      <c r="E50" s="24" t="s">
        <v>57</v>
      </c>
      <c r="F50" s="24" t="s">
        <v>58</v>
      </c>
    </row>
    <row r="51" spans="2:6" x14ac:dyDescent="0.25">
      <c r="C51" s="25" t="s">
        <v>44</v>
      </c>
      <c r="D51" s="24"/>
      <c r="E51" s="24"/>
      <c r="F51" s="24"/>
    </row>
    <row r="52" spans="2:6" x14ac:dyDescent="0.25">
      <c r="C52" s="25" t="s">
        <v>45</v>
      </c>
      <c r="D52" s="24"/>
      <c r="E52" s="24"/>
      <c r="F52" s="24"/>
    </row>
    <row r="53" spans="2:6" x14ac:dyDescent="0.25">
      <c r="C53" s="25" t="s">
        <v>45</v>
      </c>
      <c r="D53" s="24"/>
      <c r="E53" s="24"/>
      <c r="F53" s="24"/>
    </row>
    <row r="54" spans="2:6" x14ac:dyDescent="0.25">
      <c r="C54" s="25" t="s">
        <v>45</v>
      </c>
      <c r="D54" s="24"/>
      <c r="E54" s="24"/>
      <c r="F54" s="24"/>
    </row>
    <row r="55" spans="2:6" x14ac:dyDescent="0.25">
      <c r="C55" s="25" t="s">
        <v>46</v>
      </c>
      <c r="D55" s="24"/>
      <c r="E55" s="24"/>
      <c r="F55" s="24"/>
    </row>
    <row r="56" spans="2:6" x14ac:dyDescent="0.25">
      <c r="C56" s="25" t="s">
        <v>46</v>
      </c>
      <c r="D56" s="24"/>
      <c r="E56" s="24"/>
      <c r="F56" s="24"/>
    </row>
    <row r="59" spans="2:6" ht="18.75" x14ac:dyDescent="0.25">
      <c r="C59" s="5" t="s">
        <v>59</v>
      </c>
    </row>
    <row r="60" spans="2:6" x14ac:dyDescent="0.25">
      <c r="B60" t="s">
        <v>60</v>
      </c>
      <c r="C60" s="1" t="s">
        <v>61</v>
      </c>
      <c r="D60" s="1" t="s">
        <v>62</v>
      </c>
      <c r="E60" s="1" t="s">
        <v>63</v>
      </c>
      <c r="F60" s="1" t="s">
        <v>64</v>
      </c>
    </row>
    <row r="61" spans="2:6" x14ac:dyDescent="0.25">
      <c r="B61" s="7">
        <v>1</v>
      </c>
      <c r="C61" s="1">
        <v>1</v>
      </c>
      <c r="D61" s="21" t="s">
        <v>65</v>
      </c>
      <c r="E61" s="21"/>
      <c r="F61" s="21"/>
    </row>
    <row r="62" spans="2:6" x14ac:dyDescent="0.25">
      <c r="B62" s="7">
        <v>1</v>
      </c>
      <c r="C62" s="1">
        <v>2</v>
      </c>
      <c r="D62" s="21" t="s">
        <v>66</v>
      </c>
      <c r="E62" s="21" t="s">
        <v>67</v>
      </c>
      <c r="F62" s="21" t="s">
        <v>18</v>
      </c>
    </row>
    <row r="63" spans="2:6" x14ac:dyDescent="0.25">
      <c r="B63" s="7">
        <v>1</v>
      </c>
      <c r="C63" s="1">
        <v>3</v>
      </c>
      <c r="D63" s="21" t="s">
        <v>68</v>
      </c>
      <c r="E63" s="21"/>
      <c r="F63" s="21"/>
    </row>
    <row r="64" spans="2:6" x14ac:dyDescent="0.25">
      <c r="B64" s="7">
        <v>1</v>
      </c>
      <c r="C64" s="1">
        <v>4</v>
      </c>
      <c r="D64" s="21" t="s">
        <v>69</v>
      </c>
      <c r="E64" s="21" t="s">
        <v>70</v>
      </c>
      <c r="F64" s="21" t="s">
        <v>18</v>
      </c>
    </row>
    <row r="65" spans="2:6" x14ac:dyDescent="0.25">
      <c r="B65" s="7">
        <v>1</v>
      </c>
      <c r="C65" s="1">
        <v>5</v>
      </c>
      <c r="D65" s="21" t="s">
        <v>71</v>
      </c>
      <c r="E65" s="21"/>
      <c r="F65" s="21"/>
    </row>
    <row r="66" spans="2:6" x14ac:dyDescent="0.25">
      <c r="B66" s="7">
        <v>1</v>
      </c>
      <c r="C66" s="1">
        <v>6</v>
      </c>
      <c r="D66" s="21" t="s">
        <v>72</v>
      </c>
      <c r="E66" s="21"/>
      <c r="F66" s="21" t="s">
        <v>18</v>
      </c>
    </row>
    <row r="67" spans="2:6" x14ac:dyDescent="0.25">
      <c r="B67" s="7">
        <v>1</v>
      </c>
      <c r="C67" s="1">
        <v>7</v>
      </c>
      <c r="D67" s="21" t="s">
        <v>73</v>
      </c>
      <c r="E67" s="21"/>
      <c r="F67" s="21"/>
    </row>
    <row r="68" spans="2:6" x14ac:dyDescent="0.25">
      <c r="B68" s="7">
        <v>1</v>
      </c>
      <c r="C68" s="1">
        <v>8</v>
      </c>
      <c r="D68" s="21" t="s">
        <v>74</v>
      </c>
      <c r="E68" s="21"/>
      <c r="F68" s="21" t="s">
        <v>18</v>
      </c>
    </row>
    <row r="69" spans="2:6" x14ac:dyDescent="0.25">
      <c r="B69" s="7">
        <v>1</v>
      </c>
      <c r="C69" s="1">
        <v>9</v>
      </c>
      <c r="D69" s="21" t="s">
        <v>75</v>
      </c>
      <c r="E69" s="21"/>
      <c r="F69" s="21"/>
    </row>
    <row r="70" spans="2:6" x14ac:dyDescent="0.25">
      <c r="B70" s="7">
        <v>1</v>
      </c>
      <c r="C70" s="1">
        <v>10</v>
      </c>
      <c r="D70" s="21" t="s">
        <v>76</v>
      </c>
      <c r="E70" s="21" t="s">
        <v>77</v>
      </c>
      <c r="F70" s="21" t="s">
        <v>18</v>
      </c>
    </row>
    <row r="71" spans="2:6" x14ac:dyDescent="0.25">
      <c r="B71" s="7">
        <v>1</v>
      </c>
      <c r="C71" s="1">
        <v>11</v>
      </c>
      <c r="D71" s="21" t="s">
        <v>78</v>
      </c>
      <c r="E71" s="21"/>
      <c r="F71" s="21"/>
    </row>
    <row r="72" spans="2:6" x14ac:dyDescent="0.25">
      <c r="B72" s="7">
        <v>1</v>
      </c>
      <c r="C72" s="1">
        <v>12</v>
      </c>
      <c r="D72" s="21" t="s">
        <v>79</v>
      </c>
      <c r="E72" s="21"/>
      <c r="F72" s="21" t="s">
        <v>18</v>
      </c>
    </row>
    <row r="73" spans="2:6" x14ac:dyDescent="0.25">
      <c r="B73" s="7">
        <v>2</v>
      </c>
      <c r="C73" s="1">
        <v>1</v>
      </c>
      <c r="D73" s="21"/>
      <c r="E73" s="21"/>
      <c r="F73" s="21"/>
    </row>
    <row r="74" spans="2:6" x14ac:dyDescent="0.25">
      <c r="B74" s="7">
        <v>2</v>
      </c>
      <c r="C74" s="1">
        <v>2</v>
      </c>
      <c r="D74" s="21"/>
      <c r="E74" s="21"/>
      <c r="F74" s="21"/>
    </row>
    <row r="75" spans="2:6" x14ac:dyDescent="0.25">
      <c r="B75" s="7">
        <v>2</v>
      </c>
      <c r="C75" s="1">
        <v>3</v>
      </c>
      <c r="D75" s="21"/>
      <c r="E75" s="21"/>
      <c r="F75" s="21"/>
    </row>
    <row r="76" spans="2:6" x14ac:dyDescent="0.25">
      <c r="B76" s="7">
        <v>2</v>
      </c>
      <c r="C76" s="1">
        <v>4</v>
      </c>
      <c r="D76" s="21"/>
      <c r="E76" s="21"/>
      <c r="F76" s="21"/>
    </row>
    <row r="77" spans="2:6" x14ac:dyDescent="0.25">
      <c r="B77" s="7">
        <v>2</v>
      </c>
      <c r="C77" s="1">
        <v>5</v>
      </c>
      <c r="D77" s="21"/>
      <c r="E77" s="21"/>
      <c r="F77" s="21"/>
    </row>
    <row r="78" spans="2:6" x14ac:dyDescent="0.25">
      <c r="B78" s="7">
        <v>2</v>
      </c>
      <c r="C78" s="1">
        <v>6</v>
      </c>
      <c r="D78" s="21"/>
      <c r="E78" s="21"/>
      <c r="F78" s="21"/>
    </row>
    <row r="79" spans="2:6" x14ac:dyDescent="0.25">
      <c r="B79" s="7">
        <v>2</v>
      </c>
      <c r="C79" s="1">
        <v>7</v>
      </c>
      <c r="D79" s="21"/>
      <c r="E79" s="21"/>
      <c r="F79" s="21"/>
    </row>
    <row r="80" spans="2:6" x14ac:dyDescent="0.25">
      <c r="B80" s="7">
        <v>2</v>
      </c>
      <c r="C80" s="1">
        <v>8</v>
      </c>
      <c r="D80" s="21"/>
      <c r="E80" s="21"/>
      <c r="F80" s="21"/>
    </row>
    <row r="81" spans="2:6" x14ac:dyDescent="0.25">
      <c r="B81" s="7">
        <v>2</v>
      </c>
      <c r="C81" s="1">
        <v>9</v>
      </c>
      <c r="D81" s="21"/>
      <c r="E81" s="21"/>
      <c r="F81" s="21"/>
    </row>
    <row r="82" spans="2:6" x14ac:dyDescent="0.25">
      <c r="B82" s="7">
        <v>2</v>
      </c>
      <c r="C82" s="1">
        <v>10</v>
      </c>
      <c r="D82" s="21"/>
      <c r="E82" s="21"/>
      <c r="F82" s="21"/>
    </row>
    <row r="83" spans="2:6" x14ac:dyDescent="0.25">
      <c r="B83" s="7">
        <v>2</v>
      </c>
      <c r="C83" s="1">
        <v>11</v>
      </c>
      <c r="D83" s="21"/>
      <c r="E83" s="21"/>
      <c r="F83" s="21"/>
    </row>
    <row r="84" spans="2:6" x14ac:dyDescent="0.25">
      <c r="B84" s="7">
        <v>2</v>
      </c>
      <c r="C84" s="1">
        <v>12</v>
      </c>
      <c r="D84" s="21"/>
      <c r="E84" s="21"/>
      <c r="F84" s="21"/>
    </row>
  </sheetData>
  <sheetProtection sheet="1" objects="1" scenarios="1" selectLockedCells="1" sort="0" autoFilter="0" pivotTables="0"/>
  <dataValidations count="4">
    <dataValidation type="whole" showInputMessage="1" showErrorMessage="1" error="This is not a realistic number of contact hours please reduce" sqref="D20:D23" xr:uid="{06524273-2360-4C43-9154-4A480587EC5E}">
      <formula1>0</formula1>
      <formula2>80</formula2>
    </dataValidation>
    <dataValidation type="whole" showInputMessage="1" showErrorMessage="1" error="This is not a realistic number of contact hours please change" sqref="D19" xr:uid="{7B949394-BE34-4CC9-A9D6-7A75315A2DBB}">
      <formula1>0</formula1>
      <formula2>80</formula2>
    </dataValidation>
    <dataValidation type="list" allowBlank="1" showInputMessage="1" showErrorMessage="1" sqref="E38:E41" xr:uid="{B9D0113D-C789-41AE-B9C8-690F6C7A67B0}">
      <formula1>INDIRECT("LISTAssess[Assessment Specific]")</formula1>
    </dataValidation>
    <dataValidation type="list" allowBlank="1" showInputMessage="1" showErrorMessage="1" sqref="F46:F56" xr:uid="{3D662EF6-94E1-4350-B3D5-9F339CA0FD80}">
      <formula1>INDIRECT(VLOOKUP($E46, SkillNameMap, 2, FALSE))</formula1>
    </dataValidation>
  </dataValidations>
  <pageMargins left="0.7" right="0.7" top="0.75" bottom="0.75" header="0.3" footer="0.3"/>
  <pageSetup paperSize="9" orientation="portrait" horizontalDpi="4294967293" r:id="rId1"/>
  <tableParts count="10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D03A4CC7-9A30-452E-97E5-E03FCC9419A4}">
          <x14:formula1>
            <xm:f>LISTS!$C$26:$C$37</xm:f>
          </x14:formula1>
          <xm:sqref>D14</xm:sqref>
        </x14:dataValidation>
        <x14:dataValidation type="list" allowBlank="1" showInputMessage="1" showErrorMessage="1" xr:uid="{B7DB85EB-DFB5-437F-BA0C-32D4D2070C4D}">
          <x14:formula1>
            <xm:f>LISTS!$C$17:$C$22</xm:f>
          </x14:formula1>
          <xm:sqref>D13</xm:sqref>
        </x14:dataValidation>
        <x14:dataValidation type="list" allowBlank="1" showInputMessage="1" showErrorMessage="1" xr:uid="{82DFBB4E-D28E-4403-815A-4704BBB7702D}">
          <x14:formula1>
            <xm:f>LISTS!$C$7:$C$9</xm:f>
          </x14:formula1>
          <xm:sqref>D10</xm:sqref>
        </x14:dataValidation>
        <x14:dataValidation type="list" allowBlank="1" showInputMessage="1" showErrorMessage="1" xr:uid="{D8278727-60ED-4240-AED9-43FB98158BAE}">
          <x14:formula1>
            <xm:f>LISTS!$C$11:$C$15</xm:f>
          </x14:formula1>
          <xm:sqref>D11</xm:sqref>
        </x14:dataValidation>
        <x14:dataValidation type="list" allowBlank="1" showInputMessage="1" showErrorMessage="1" xr:uid="{7F080A95-6299-4905-8FCE-548941111CEB}">
          <x14:formula1>
            <xm:f>LISTS!$G$7:$G$11</xm:f>
          </x14:formula1>
          <xm:sqref>D38:D42</xm:sqref>
        </x14:dataValidation>
        <x14:dataValidation type="list" allowBlank="1" showInputMessage="1" showErrorMessage="1" xr:uid="{DD24076C-D431-4B83-8FB6-3800945C7C90}">
          <x14:formula1>
            <xm:f>LISTS!$E$7:$E$11</xm:f>
          </x14:formula1>
          <xm:sqref>D46:D56</xm:sqref>
        </x14:dataValidation>
        <x14:dataValidation type="list" allowBlank="1" showInputMessage="1" showErrorMessage="1" xr:uid="{C1ACB768-367A-4765-AEE3-B6D50718CC09}">
          <x14:formula1>
            <xm:f>LISTS!$J$7:$J$16</xm:f>
          </x14:formula1>
          <xm:sqref>E46:E56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47D3E-176C-4A98-919A-BC8974D66F1E}">
  <sheetPr codeName="Sheet4"/>
  <dimension ref="B2:H84"/>
  <sheetViews>
    <sheetView showGridLines="0" topLeftCell="B1" zoomScale="85" zoomScaleNormal="85" workbookViewId="0">
      <selection activeCell="D10" sqref="D10"/>
    </sheetView>
  </sheetViews>
  <sheetFormatPr defaultRowHeight="15" x14ac:dyDescent="0.25"/>
  <cols>
    <col min="3" max="3" width="33.28515625" customWidth="1"/>
    <col min="4" max="4" width="51.5703125" customWidth="1"/>
    <col min="5" max="5" width="67.28515625" customWidth="1"/>
    <col min="6" max="6" width="63.140625" customWidth="1"/>
    <col min="7" max="7" width="12.42578125" customWidth="1"/>
    <col min="8" max="8" width="15.5703125" customWidth="1"/>
    <col min="9" max="9" width="14.7109375" customWidth="1"/>
  </cols>
  <sheetData>
    <row r="2" spans="2:6" ht="26.25" x14ac:dyDescent="0.4">
      <c r="C2" s="20" t="str">
        <f>D7</f>
        <v>5401SPS</v>
      </c>
      <c r="D2" s="20" t="str">
        <f>D8</f>
        <v>Professional Practice in Sport Coaching 2</v>
      </c>
    </row>
    <row r="3" spans="2:6" x14ac:dyDescent="0.25">
      <c r="B3" s="1"/>
      <c r="C3" s="1"/>
    </row>
    <row r="4" spans="2:6" x14ac:dyDescent="0.25">
      <c r="B4" s="2"/>
      <c r="C4" s="2"/>
    </row>
    <row r="5" spans="2:6" ht="18.75" x14ac:dyDescent="0.25">
      <c r="B5" s="2"/>
      <c r="C5" s="5" t="s">
        <v>0</v>
      </c>
    </row>
    <row r="6" spans="2:6" x14ac:dyDescent="0.25">
      <c r="B6" s="2"/>
      <c r="C6" s="3" t="s">
        <v>1</v>
      </c>
      <c r="D6" s="4" t="s">
        <v>2</v>
      </c>
      <c r="E6" s="4"/>
      <c r="F6" t="s">
        <v>3</v>
      </c>
    </row>
    <row r="7" spans="2:6" x14ac:dyDescent="0.25">
      <c r="B7" s="2"/>
      <c r="C7" s="3" t="s">
        <v>4</v>
      </c>
      <c r="D7" s="21" t="s">
        <v>213</v>
      </c>
      <c r="E7" s="4"/>
      <c r="F7" s="24"/>
    </row>
    <row r="8" spans="2:6" x14ac:dyDescent="0.25">
      <c r="B8" s="2"/>
      <c r="C8" s="3" t="s">
        <v>6</v>
      </c>
      <c r="D8" s="21" t="s">
        <v>212</v>
      </c>
      <c r="E8" s="4"/>
      <c r="F8" s="24"/>
    </row>
    <row r="9" spans="2:6" x14ac:dyDescent="0.25">
      <c r="C9" s="3" t="s">
        <v>7</v>
      </c>
      <c r="D9" s="21"/>
      <c r="E9" s="4"/>
    </row>
    <row r="10" spans="2:6" x14ac:dyDescent="0.25">
      <c r="C10" s="3" t="s">
        <v>8</v>
      </c>
      <c r="D10" s="21"/>
      <c r="E10" s="4"/>
      <c r="F10" t="s">
        <v>9</v>
      </c>
    </row>
    <row r="11" spans="2:6" x14ac:dyDescent="0.25">
      <c r="C11" s="3" t="s">
        <v>10</v>
      </c>
      <c r="D11" s="21"/>
      <c r="E11" s="4"/>
      <c r="F11" s="24"/>
    </row>
    <row r="12" spans="2:6" x14ac:dyDescent="0.25">
      <c r="C12" s="3" t="s">
        <v>11</v>
      </c>
      <c r="D12" s="21"/>
      <c r="E12" s="4"/>
      <c r="F12" s="24"/>
    </row>
    <row r="13" spans="2:6" x14ac:dyDescent="0.25">
      <c r="C13" s="3" t="s">
        <v>12</v>
      </c>
      <c r="D13" s="21"/>
      <c r="E13" s="4"/>
      <c r="F13" s="24"/>
    </row>
    <row r="14" spans="2:6" x14ac:dyDescent="0.25">
      <c r="C14" s="3" t="s">
        <v>13</v>
      </c>
      <c r="D14" s="21"/>
      <c r="E14" s="4"/>
    </row>
    <row r="15" spans="2:6" x14ac:dyDescent="0.25">
      <c r="C15" s="3"/>
      <c r="D15" s="4"/>
      <c r="E15" s="4"/>
      <c r="F15" t="s">
        <v>14</v>
      </c>
    </row>
    <row r="16" spans="2:6" x14ac:dyDescent="0.25">
      <c r="C16" s="3"/>
      <c r="D16" s="4"/>
      <c r="E16" s="4"/>
      <c r="F16" s="24"/>
    </row>
    <row r="17" spans="3:6" ht="18.75" x14ac:dyDescent="0.25">
      <c r="C17" s="5" t="s">
        <v>15</v>
      </c>
      <c r="D17" s="4"/>
      <c r="E17" s="4"/>
      <c r="F17" s="24"/>
    </row>
    <row r="18" spans="3:6" x14ac:dyDescent="0.25">
      <c r="C18" s="3" t="s">
        <v>16</v>
      </c>
      <c r="D18" s="1" t="s">
        <v>15</v>
      </c>
      <c r="E18" s="4"/>
      <c r="F18" s="24"/>
    </row>
    <row r="19" spans="3:6" x14ac:dyDescent="0.25">
      <c r="C19" s="3" t="s">
        <v>17</v>
      </c>
      <c r="D19" s="22"/>
      <c r="E19" s="4"/>
      <c r="F19" s="24"/>
    </row>
    <row r="20" spans="3:6" x14ac:dyDescent="0.25">
      <c r="C20" s="3" t="s">
        <v>18</v>
      </c>
      <c r="D20" s="22"/>
      <c r="E20" s="4"/>
      <c r="F20" s="24"/>
    </row>
    <row r="21" spans="3:6" x14ac:dyDescent="0.25">
      <c r="C21" s="3" t="s">
        <v>19</v>
      </c>
      <c r="D21" s="22"/>
      <c r="E21" s="4"/>
    </row>
    <row r="22" spans="3:6" x14ac:dyDescent="0.25">
      <c r="C22" s="3" t="s">
        <v>20</v>
      </c>
      <c r="D22" s="22"/>
      <c r="E22" s="4"/>
      <c r="F22" t="s">
        <v>21</v>
      </c>
    </row>
    <row r="23" spans="3:6" x14ac:dyDescent="0.25">
      <c r="C23" s="3" t="s">
        <v>22</v>
      </c>
      <c r="D23" s="22"/>
      <c r="E23" s="4"/>
      <c r="F23" s="24"/>
    </row>
    <row r="24" spans="3:6" x14ac:dyDescent="0.25">
      <c r="C24" s="3" t="s">
        <v>23</v>
      </c>
      <c r="D24" s="1">
        <f>SUM(D19:D23)</f>
        <v>0</v>
      </c>
      <c r="E24" s="4"/>
      <c r="F24" s="24"/>
    </row>
    <row r="25" spans="3:6" x14ac:dyDescent="0.25">
      <c r="F25" s="24"/>
    </row>
    <row r="26" spans="3:6" x14ac:dyDescent="0.25">
      <c r="F26" s="24"/>
    </row>
    <row r="27" spans="3:6" ht="18.75" x14ac:dyDescent="0.25">
      <c r="C27" s="5" t="s">
        <v>24</v>
      </c>
      <c r="D27" s="12" t="s">
        <v>25</v>
      </c>
      <c r="F27" s="24"/>
    </row>
    <row r="28" spans="3:6" x14ac:dyDescent="0.25">
      <c r="C28" s="3" t="s">
        <v>26</v>
      </c>
      <c r="D28" s="3" t="s">
        <v>27</v>
      </c>
      <c r="E28" s="3"/>
      <c r="F28" s="24"/>
    </row>
    <row r="29" spans="3:6" x14ac:dyDescent="0.25">
      <c r="C29" s="3" t="s">
        <v>28</v>
      </c>
      <c r="D29" s="21"/>
      <c r="E29" s="4"/>
      <c r="F29" s="24"/>
    </row>
    <row r="30" spans="3:6" x14ac:dyDescent="0.25">
      <c r="C30" s="3" t="s">
        <v>29</v>
      </c>
      <c r="D30" s="21"/>
      <c r="E30" s="4"/>
      <c r="F30" s="24"/>
    </row>
    <row r="31" spans="3:6" x14ac:dyDescent="0.25">
      <c r="C31" s="3" t="s">
        <v>30</v>
      </c>
      <c r="D31" s="21"/>
      <c r="E31" s="4"/>
      <c r="F31" s="24"/>
    </row>
    <row r="32" spans="3:6" x14ac:dyDescent="0.25">
      <c r="C32" s="3" t="s">
        <v>31</v>
      </c>
      <c r="D32" s="21"/>
      <c r="E32" s="4"/>
      <c r="F32" s="24"/>
    </row>
    <row r="33" spans="3:8" x14ac:dyDescent="0.25">
      <c r="C33" s="3" t="s">
        <v>32</v>
      </c>
      <c r="D33" s="21"/>
      <c r="E33" s="4"/>
      <c r="F33" s="24"/>
    </row>
    <row r="36" spans="3:8" ht="18.75" x14ac:dyDescent="0.25">
      <c r="C36" s="5" t="s">
        <v>33</v>
      </c>
    </row>
    <row r="37" spans="3:8" x14ac:dyDescent="0.25">
      <c r="C37" s="3" t="s">
        <v>34</v>
      </c>
      <c r="D37" s="3" t="s">
        <v>35</v>
      </c>
      <c r="E37" s="3" t="s">
        <v>36</v>
      </c>
      <c r="F37" s="3" t="s">
        <v>37</v>
      </c>
      <c r="G37" s="3" t="s">
        <v>38</v>
      </c>
      <c r="H37" s="3" t="s">
        <v>39</v>
      </c>
    </row>
    <row r="38" spans="3:8" x14ac:dyDescent="0.25">
      <c r="C38" s="3" t="s">
        <v>40</v>
      </c>
      <c r="D38" s="21" t="s">
        <v>41</v>
      </c>
      <c r="E38" s="21" t="s">
        <v>42</v>
      </c>
      <c r="F38" s="21" t="s">
        <v>43</v>
      </c>
      <c r="G38" s="23">
        <v>0.5</v>
      </c>
      <c r="H38" s="21">
        <v>6</v>
      </c>
    </row>
    <row r="39" spans="3:8" x14ac:dyDescent="0.25">
      <c r="C39" s="3" t="s">
        <v>44</v>
      </c>
      <c r="D39" s="21"/>
      <c r="E39" s="21"/>
      <c r="F39" s="21"/>
      <c r="G39" s="23">
        <v>0.5</v>
      </c>
      <c r="H39" s="21">
        <v>12</v>
      </c>
    </row>
    <row r="40" spans="3:8" x14ac:dyDescent="0.25">
      <c r="C40" s="3" t="s">
        <v>45</v>
      </c>
      <c r="D40" s="24"/>
      <c r="E40" s="24"/>
      <c r="F40" s="24"/>
      <c r="G40" s="24"/>
      <c r="H40" s="24"/>
    </row>
    <row r="41" spans="3:8" x14ac:dyDescent="0.25">
      <c r="C41" s="3" t="s">
        <v>46</v>
      </c>
      <c r="D41" s="24"/>
      <c r="E41" s="24"/>
      <c r="F41" s="24"/>
      <c r="G41" s="24"/>
      <c r="H41" s="24"/>
    </row>
    <row r="42" spans="3:8" x14ac:dyDescent="0.25">
      <c r="C42" s="3"/>
    </row>
    <row r="44" spans="3:8" ht="18.75" x14ac:dyDescent="0.25">
      <c r="C44" s="5" t="s">
        <v>47</v>
      </c>
      <c r="D44" s="12"/>
    </row>
    <row r="45" spans="3:8" x14ac:dyDescent="0.25">
      <c r="C45" s="1" t="s">
        <v>34</v>
      </c>
      <c r="D45" s="1" t="s">
        <v>26</v>
      </c>
      <c r="E45" s="1" t="s">
        <v>48</v>
      </c>
      <c r="F45" s="1" t="s">
        <v>49</v>
      </c>
    </row>
    <row r="46" spans="3:8" x14ac:dyDescent="0.25">
      <c r="C46" s="25" t="s">
        <v>40</v>
      </c>
      <c r="D46" s="24" t="s">
        <v>28</v>
      </c>
      <c r="E46" s="24" t="s">
        <v>50</v>
      </c>
      <c r="F46" s="24" t="s">
        <v>51</v>
      </c>
    </row>
    <row r="47" spans="3:8" x14ac:dyDescent="0.25">
      <c r="C47" s="25" t="s">
        <v>40</v>
      </c>
      <c r="D47" s="24" t="s">
        <v>28</v>
      </c>
      <c r="E47" s="24" t="s">
        <v>50</v>
      </c>
      <c r="F47" s="24" t="s">
        <v>52</v>
      </c>
    </row>
    <row r="48" spans="3:8" x14ac:dyDescent="0.25">
      <c r="C48" s="25" t="s">
        <v>40</v>
      </c>
      <c r="D48" s="24" t="s">
        <v>28</v>
      </c>
      <c r="E48" s="24" t="s">
        <v>53</v>
      </c>
      <c r="F48" s="24" t="s">
        <v>54</v>
      </c>
    </row>
    <row r="49" spans="2:6" x14ac:dyDescent="0.25">
      <c r="C49" s="25" t="s">
        <v>44</v>
      </c>
      <c r="D49" s="24" t="s">
        <v>29</v>
      </c>
      <c r="E49" s="24" t="s">
        <v>55</v>
      </c>
      <c r="F49" s="24" t="s">
        <v>56</v>
      </c>
    </row>
    <row r="50" spans="2:6" x14ac:dyDescent="0.25">
      <c r="C50" s="25" t="s">
        <v>44</v>
      </c>
      <c r="D50" s="24" t="s">
        <v>29</v>
      </c>
      <c r="E50" s="24" t="s">
        <v>57</v>
      </c>
      <c r="F50" s="24" t="s">
        <v>58</v>
      </c>
    </row>
    <row r="51" spans="2:6" x14ac:dyDescent="0.25">
      <c r="C51" s="25" t="s">
        <v>44</v>
      </c>
      <c r="D51" s="24"/>
      <c r="E51" s="24"/>
      <c r="F51" s="24"/>
    </row>
    <row r="52" spans="2:6" x14ac:dyDescent="0.25">
      <c r="C52" s="25" t="s">
        <v>45</v>
      </c>
      <c r="D52" s="24"/>
      <c r="E52" s="24"/>
      <c r="F52" s="24"/>
    </row>
    <row r="53" spans="2:6" x14ac:dyDescent="0.25">
      <c r="C53" s="25" t="s">
        <v>45</v>
      </c>
      <c r="D53" s="24"/>
      <c r="E53" s="24"/>
      <c r="F53" s="24"/>
    </row>
    <row r="54" spans="2:6" x14ac:dyDescent="0.25">
      <c r="C54" s="25" t="s">
        <v>45</v>
      </c>
      <c r="D54" s="24"/>
      <c r="E54" s="24"/>
      <c r="F54" s="24"/>
    </row>
    <row r="55" spans="2:6" x14ac:dyDescent="0.25">
      <c r="C55" s="25" t="s">
        <v>46</v>
      </c>
      <c r="D55" s="24"/>
      <c r="E55" s="24"/>
      <c r="F55" s="24"/>
    </row>
    <row r="56" spans="2:6" x14ac:dyDescent="0.25">
      <c r="C56" s="25" t="s">
        <v>46</v>
      </c>
      <c r="D56" s="24"/>
      <c r="E56" s="24"/>
      <c r="F56" s="24"/>
    </row>
    <row r="59" spans="2:6" ht="18.75" x14ac:dyDescent="0.25">
      <c r="C59" s="5" t="s">
        <v>59</v>
      </c>
    </row>
    <row r="60" spans="2:6" x14ac:dyDescent="0.25">
      <c r="B60" t="s">
        <v>60</v>
      </c>
      <c r="C60" s="1" t="s">
        <v>61</v>
      </c>
      <c r="D60" s="1" t="s">
        <v>62</v>
      </c>
      <c r="E60" s="1" t="s">
        <v>63</v>
      </c>
      <c r="F60" s="1" t="s">
        <v>64</v>
      </c>
    </row>
    <row r="61" spans="2:6" x14ac:dyDescent="0.25">
      <c r="B61" s="7">
        <v>1</v>
      </c>
      <c r="C61" s="1">
        <v>1</v>
      </c>
      <c r="D61" s="21" t="s">
        <v>65</v>
      </c>
      <c r="E61" s="21"/>
      <c r="F61" s="21"/>
    </row>
    <row r="62" spans="2:6" x14ac:dyDescent="0.25">
      <c r="B62" s="7">
        <v>1</v>
      </c>
      <c r="C62" s="1">
        <v>2</v>
      </c>
      <c r="D62" s="21" t="s">
        <v>66</v>
      </c>
      <c r="E62" s="21" t="s">
        <v>67</v>
      </c>
      <c r="F62" s="21" t="s">
        <v>18</v>
      </c>
    </row>
    <row r="63" spans="2:6" x14ac:dyDescent="0.25">
      <c r="B63" s="7">
        <v>1</v>
      </c>
      <c r="C63" s="1">
        <v>3</v>
      </c>
      <c r="D63" s="21" t="s">
        <v>68</v>
      </c>
      <c r="E63" s="21"/>
      <c r="F63" s="21"/>
    </row>
    <row r="64" spans="2:6" x14ac:dyDescent="0.25">
      <c r="B64" s="7">
        <v>1</v>
      </c>
      <c r="C64" s="1">
        <v>4</v>
      </c>
      <c r="D64" s="21" t="s">
        <v>69</v>
      </c>
      <c r="E64" s="21" t="s">
        <v>70</v>
      </c>
      <c r="F64" s="21" t="s">
        <v>18</v>
      </c>
    </row>
    <row r="65" spans="2:6" x14ac:dyDescent="0.25">
      <c r="B65" s="7">
        <v>1</v>
      </c>
      <c r="C65" s="1">
        <v>5</v>
      </c>
      <c r="D65" s="21" t="s">
        <v>71</v>
      </c>
      <c r="E65" s="21"/>
      <c r="F65" s="21"/>
    </row>
    <row r="66" spans="2:6" x14ac:dyDescent="0.25">
      <c r="B66" s="7">
        <v>1</v>
      </c>
      <c r="C66" s="1">
        <v>6</v>
      </c>
      <c r="D66" s="21" t="s">
        <v>72</v>
      </c>
      <c r="E66" s="21"/>
      <c r="F66" s="21" t="s">
        <v>18</v>
      </c>
    </row>
    <row r="67" spans="2:6" x14ac:dyDescent="0.25">
      <c r="B67" s="7">
        <v>1</v>
      </c>
      <c r="C67" s="1">
        <v>7</v>
      </c>
      <c r="D67" s="21" t="s">
        <v>73</v>
      </c>
      <c r="E67" s="21"/>
      <c r="F67" s="21"/>
    </row>
    <row r="68" spans="2:6" x14ac:dyDescent="0.25">
      <c r="B68" s="7">
        <v>1</v>
      </c>
      <c r="C68" s="1">
        <v>8</v>
      </c>
      <c r="D68" s="21" t="s">
        <v>74</v>
      </c>
      <c r="E68" s="21"/>
      <c r="F68" s="21" t="s">
        <v>18</v>
      </c>
    </row>
    <row r="69" spans="2:6" x14ac:dyDescent="0.25">
      <c r="B69" s="7">
        <v>1</v>
      </c>
      <c r="C69" s="1">
        <v>9</v>
      </c>
      <c r="D69" s="21" t="s">
        <v>75</v>
      </c>
      <c r="E69" s="21"/>
      <c r="F69" s="21"/>
    </row>
    <row r="70" spans="2:6" x14ac:dyDescent="0.25">
      <c r="B70" s="7">
        <v>1</v>
      </c>
      <c r="C70" s="1">
        <v>10</v>
      </c>
      <c r="D70" s="21" t="s">
        <v>76</v>
      </c>
      <c r="E70" s="21" t="s">
        <v>77</v>
      </c>
      <c r="F70" s="21" t="s">
        <v>18</v>
      </c>
    </row>
    <row r="71" spans="2:6" x14ac:dyDescent="0.25">
      <c r="B71" s="7">
        <v>1</v>
      </c>
      <c r="C71" s="1">
        <v>11</v>
      </c>
      <c r="D71" s="21" t="s">
        <v>78</v>
      </c>
      <c r="E71" s="21"/>
      <c r="F71" s="21"/>
    </row>
    <row r="72" spans="2:6" x14ac:dyDescent="0.25">
      <c r="B72" s="7">
        <v>1</v>
      </c>
      <c r="C72" s="1">
        <v>12</v>
      </c>
      <c r="D72" s="21" t="s">
        <v>79</v>
      </c>
      <c r="E72" s="21"/>
      <c r="F72" s="21" t="s">
        <v>18</v>
      </c>
    </row>
    <row r="73" spans="2:6" x14ac:dyDescent="0.25">
      <c r="B73" s="7">
        <v>2</v>
      </c>
      <c r="C73" s="1">
        <v>1</v>
      </c>
      <c r="D73" s="21"/>
      <c r="E73" s="21"/>
      <c r="F73" s="21"/>
    </row>
    <row r="74" spans="2:6" x14ac:dyDescent="0.25">
      <c r="B74" s="7">
        <v>2</v>
      </c>
      <c r="C74" s="1">
        <v>2</v>
      </c>
      <c r="D74" s="21"/>
      <c r="E74" s="21"/>
      <c r="F74" s="21"/>
    </row>
    <row r="75" spans="2:6" x14ac:dyDescent="0.25">
      <c r="B75" s="7">
        <v>2</v>
      </c>
      <c r="C75" s="1">
        <v>3</v>
      </c>
      <c r="D75" s="21"/>
      <c r="E75" s="21"/>
      <c r="F75" s="21"/>
    </row>
    <row r="76" spans="2:6" x14ac:dyDescent="0.25">
      <c r="B76" s="7">
        <v>2</v>
      </c>
      <c r="C76" s="1">
        <v>4</v>
      </c>
      <c r="D76" s="21"/>
      <c r="E76" s="21"/>
      <c r="F76" s="21"/>
    </row>
    <row r="77" spans="2:6" x14ac:dyDescent="0.25">
      <c r="B77" s="7">
        <v>2</v>
      </c>
      <c r="C77" s="1">
        <v>5</v>
      </c>
      <c r="D77" s="21"/>
      <c r="E77" s="21"/>
      <c r="F77" s="21"/>
    </row>
    <row r="78" spans="2:6" x14ac:dyDescent="0.25">
      <c r="B78" s="7">
        <v>2</v>
      </c>
      <c r="C78" s="1">
        <v>6</v>
      </c>
      <c r="D78" s="21"/>
      <c r="E78" s="21"/>
      <c r="F78" s="21"/>
    </row>
    <row r="79" spans="2:6" x14ac:dyDescent="0.25">
      <c r="B79" s="7">
        <v>2</v>
      </c>
      <c r="C79" s="1">
        <v>7</v>
      </c>
      <c r="D79" s="21"/>
      <c r="E79" s="21"/>
      <c r="F79" s="21"/>
    </row>
    <row r="80" spans="2:6" x14ac:dyDescent="0.25">
      <c r="B80" s="7">
        <v>2</v>
      </c>
      <c r="C80" s="1">
        <v>8</v>
      </c>
      <c r="D80" s="21"/>
      <c r="E80" s="21"/>
      <c r="F80" s="21"/>
    </row>
    <row r="81" spans="2:6" x14ac:dyDescent="0.25">
      <c r="B81" s="7">
        <v>2</v>
      </c>
      <c r="C81" s="1">
        <v>9</v>
      </c>
      <c r="D81" s="21"/>
      <c r="E81" s="21"/>
      <c r="F81" s="21"/>
    </row>
    <row r="82" spans="2:6" x14ac:dyDescent="0.25">
      <c r="B82" s="7">
        <v>2</v>
      </c>
      <c r="C82" s="1">
        <v>10</v>
      </c>
      <c r="D82" s="21"/>
      <c r="E82" s="21"/>
      <c r="F82" s="21"/>
    </row>
    <row r="83" spans="2:6" x14ac:dyDescent="0.25">
      <c r="B83" s="7">
        <v>2</v>
      </c>
      <c r="C83" s="1">
        <v>11</v>
      </c>
      <c r="D83" s="21"/>
      <c r="E83" s="21"/>
      <c r="F83" s="21"/>
    </row>
    <row r="84" spans="2:6" x14ac:dyDescent="0.25">
      <c r="B84" s="7">
        <v>2</v>
      </c>
      <c r="C84" s="1">
        <v>12</v>
      </c>
      <c r="D84" s="21"/>
      <c r="E84" s="21"/>
      <c r="F84" s="21"/>
    </row>
  </sheetData>
  <sheetProtection sheet="1" objects="1" scenarios="1" selectLockedCells="1" sort="0" autoFilter="0" pivotTables="0"/>
  <dataValidations count="4">
    <dataValidation type="list" allowBlank="1" showInputMessage="1" showErrorMessage="1" sqref="F46:F56" xr:uid="{A6F5F47F-6866-478E-9880-CF9E3CF9BFDA}">
      <formula1>INDIRECT(VLOOKUP($E46, SkillNameMap, 2, FALSE))</formula1>
    </dataValidation>
    <dataValidation type="list" allowBlank="1" showInputMessage="1" showErrorMessage="1" sqref="E38:E41" xr:uid="{6B033663-DA4C-4E1E-ACA3-197C23B3DA27}">
      <formula1>INDIRECT("LISTAssess[Assessment Specific]")</formula1>
    </dataValidation>
    <dataValidation type="whole" showInputMessage="1" showErrorMessage="1" error="This is not a realistic number of contact hours please change" sqref="D19" xr:uid="{002B1BD8-24F6-46FD-A0E4-8333C78B8357}">
      <formula1>0</formula1>
      <formula2>80</formula2>
    </dataValidation>
    <dataValidation type="whole" showInputMessage="1" showErrorMessage="1" error="This is not a realistic number of contact hours please reduce" sqref="D20:D23" xr:uid="{E4839EC2-0B62-4F96-A8C1-2B68B106BEF1}">
      <formula1>0</formula1>
      <formula2>80</formula2>
    </dataValidation>
  </dataValidations>
  <pageMargins left="0.7" right="0.7" top="0.75" bottom="0.75" header="0.3" footer="0.3"/>
  <pageSetup paperSize="9" orientation="portrait" horizontalDpi="4294967293" verticalDpi="0" r:id="rId1"/>
  <tableParts count="10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F8A31BEF-5E3B-417C-9E73-D27481A5C886}">
          <x14:formula1>
            <xm:f>LISTS!$J$7:$J$16</xm:f>
          </x14:formula1>
          <xm:sqref>E46:E56</xm:sqref>
        </x14:dataValidation>
        <x14:dataValidation type="list" allowBlank="1" showInputMessage="1" showErrorMessage="1" xr:uid="{4A234C3A-C5D8-4DCE-A391-988FDC67A9B9}">
          <x14:formula1>
            <xm:f>LISTS!$E$7:$E$11</xm:f>
          </x14:formula1>
          <xm:sqref>D46:D56</xm:sqref>
        </x14:dataValidation>
        <x14:dataValidation type="list" allowBlank="1" showInputMessage="1" showErrorMessage="1" xr:uid="{3192E7A5-766C-4AB3-9259-83B852E400AB}">
          <x14:formula1>
            <xm:f>LISTS!$G$7:$G$11</xm:f>
          </x14:formula1>
          <xm:sqref>D38:D42</xm:sqref>
        </x14:dataValidation>
        <x14:dataValidation type="list" allowBlank="1" showInputMessage="1" showErrorMessage="1" xr:uid="{71464BA5-EA7B-4280-8E21-FEA97DF76E39}">
          <x14:formula1>
            <xm:f>LISTS!$C$11:$C$15</xm:f>
          </x14:formula1>
          <xm:sqref>D11</xm:sqref>
        </x14:dataValidation>
        <x14:dataValidation type="list" allowBlank="1" showInputMessage="1" showErrorMessage="1" xr:uid="{ED74EE7F-E73A-4E7D-BB1B-77B834D943C7}">
          <x14:formula1>
            <xm:f>LISTS!$C$7:$C$9</xm:f>
          </x14:formula1>
          <xm:sqref>D10</xm:sqref>
        </x14:dataValidation>
        <x14:dataValidation type="list" allowBlank="1" showInputMessage="1" showErrorMessage="1" xr:uid="{F88D41F7-E6D7-4EA0-ABD2-42A925615DAA}">
          <x14:formula1>
            <xm:f>LISTS!$C$17:$C$22</xm:f>
          </x14:formula1>
          <xm:sqref>D13</xm:sqref>
        </x14:dataValidation>
        <x14:dataValidation type="list" allowBlank="1" showInputMessage="1" showErrorMessage="1" xr:uid="{799447E1-E0B9-422D-8078-3D88555E8F5B}">
          <x14:formula1>
            <xm:f>LISTS!$C$26:$C$37</xm:f>
          </x14:formula1>
          <xm:sqref>D14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FDFE9-F6DD-4E3D-9B0A-EE0E4450ED7C}">
  <sheetPr codeName="Sheet5"/>
  <dimension ref="B2:H84"/>
  <sheetViews>
    <sheetView showGridLines="0" topLeftCell="B1" zoomScale="85" zoomScaleNormal="85" workbookViewId="0">
      <selection activeCell="D10" sqref="D10"/>
    </sheetView>
  </sheetViews>
  <sheetFormatPr defaultRowHeight="15" x14ac:dyDescent="0.25"/>
  <cols>
    <col min="3" max="3" width="33.28515625" customWidth="1"/>
    <col min="4" max="4" width="51.5703125" customWidth="1"/>
    <col min="5" max="5" width="67.28515625" customWidth="1"/>
    <col min="6" max="6" width="63.140625" customWidth="1"/>
    <col min="7" max="7" width="12.42578125" customWidth="1"/>
    <col min="8" max="8" width="15.5703125" customWidth="1"/>
    <col min="9" max="9" width="14.7109375" customWidth="1"/>
  </cols>
  <sheetData>
    <row r="2" spans="2:6" ht="26.25" x14ac:dyDescent="0.4">
      <c r="C2" s="20" t="str">
        <f>D7</f>
        <v>5402SPS</v>
      </c>
      <c r="D2" s="20" t="str">
        <f>D8</f>
        <v>Effective Coaching in Paralympic and Disability Sport</v>
      </c>
    </row>
    <row r="3" spans="2:6" x14ac:dyDescent="0.25">
      <c r="B3" s="1"/>
      <c r="C3" s="1"/>
    </row>
    <row r="4" spans="2:6" x14ac:dyDescent="0.25">
      <c r="B4" s="2"/>
      <c r="C4" s="2"/>
    </row>
    <row r="5" spans="2:6" ht="18.75" x14ac:dyDescent="0.25">
      <c r="B5" s="2"/>
      <c r="C5" s="5" t="s">
        <v>0</v>
      </c>
    </row>
    <row r="6" spans="2:6" x14ac:dyDescent="0.25">
      <c r="B6" s="2"/>
      <c r="C6" s="3" t="s">
        <v>1</v>
      </c>
      <c r="D6" s="4" t="s">
        <v>2</v>
      </c>
      <c r="E6" s="4"/>
      <c r="F6" t="s">
        <v>3</v>
      </c>
    </row>
    <row r="7" spans="2:6" x14ac:dyDescent="0.25">
      <c r="B7" s="2"/>
      <c r="C7" s="3" t="s">
        <v>4</v>
      </c>
      <c r="D7" s="21" t="s">
        <v>209</v>
      </c>
      <c r="E7" s="4"/>
      <c r="F7" s="24"/>
    </row>
    <row r="8" spans="2:6" x14ac:dyDescent="0.25">
      <c r="B8" s="2"/>
      <c r="C8" s="3" t="s">
        <v>6</v>
      </c>
      <c r="D8" s="21" t="s">
        <v>208</v>
      </c>
      <c r="E8" s="4"/>
      <c r="F8" s="24"/>
    </row>
    <row r="9" spans="2:6" x14ac:dyDescent="0.25">
      <c r="C9" s="3" t="s">
        <v>7</v>
      </c>
      <c r="D9" s="21"/>
      <c r="E9" s="4"/>
    </row>
    <row r="10" spans="2:6" x14ac:dyDescent="0.25">
      <c r="C10" s="3" t="s">
        <v>8</v>
      </c>
      <c r="D10" s="21"/>
      <c r="E10" s="4"/>
      <c r="F10" t="s">
        <v>9</v>
      </c>
    </row>
    <row r="11" spans="2:6" x14ac:dyDescent="0.25">
      <c r="C11" s="3" t="s">
        <v>10</v>
      </c>
      <c r="D11" s="21"/>
      <c r="E11" s="4"/>
      <c r="F11" s="24"/>
    </row>
    <row r="12" spans="2:6" x14ac:dyDescent="0.25">
      <c r="C12" s="3" t="s">
        <v>11</v>
      </c>
      <c r="D12" s="21"/>
      <c r="E12" s="4"/>
      <c r="F12" s="24"/>
    </row>
    <row r="13" spans="2:6" x14ac:dyDescent="0.25">
      <c r="C13" s="3" t="s">
        <v>12</v>
      </c>
      <c r="D13" s="21"/>
      <c r="E13" s="4"/>
      <c r="F13" s="24"/>
    </row>
    <row r="14" spans="2:6" x14ac:dyDescent="0.25">
      <c r="C14" s="3" t="s">
        <v>13</v>
      </c>
      <c r="D14" s="21"/>
      <c r="E14" s="4"/>
    </row>
    <row r="15" spans="2:6" x14ac:dyDescent="0.25">
      <c r="C15" s="3"/>
      <c r="D15" s="4"/>
      <c r="E15" s="4"/>
      <c r="F15" t="s">
        <v>14</v>
      </c>
    </row>
    <row r="16" spans="2:6" x14ac:dyDescent="0.25">
      <c r="C16" s="3"/>
      <c r="D16" s="4"/>
      <c r="E16" s="4"/>
      <c r="F16" s="24"/>
    </row>
    <row r="17" spans="3:6" ht="18.75" x14ac:dyDescent="0.25">
      <c r="C17" s="5" t="s">
        <v>15</v>
      </c>
      <c r="D17" s="4"/>
      <c r="E17" s="4"/>
      <c r="F17" s="24"/>
    </row>
    <row r="18" spans="3:6" x14ac:dyDescent="0.25">
      <c r="C18" s="3" t="s">
        <v>16</v>
      </c>
      <c r="D18" s="1" t="s">
        <v>15</v>
      </c>
      <c r="E18" s="4"/>
      <c r="F18" s="24"/>
    </row>
    <row r="19" spans="3:6" x14ac:dyDescent="0.25">
      <c r="C19" s="3" t="s">
        <v>17</v>
      </c>
      <c r="D19" s="22"/>
      <c r="E19" s="4"/>
      <c r="F19" s="24"/>
    </row>
    <row r="20" spans="3:6" x14ac:dyDescent="0.25">
      <c r="C20" s="3" t="s">
        <v>18</v>
      </c>
      <c r="D20" s="22"/>
      <c r="E20" s="4"/>
      <c r="F20" s="24"/>
    </row>
    <row r="21" spans="3:6" x14ac:dyDescent="0.25">
      <c r="C21" s="3" t="s">
        <v>19</v>
      </c>
      <c r="D21" s="22"/>
      <c r="E21" s="4"/>
    </row>
    <row r="22" spans="3:6" x14ac:dyDescent="0.25">
      <c r="C22" s="3" t="s">
        <v>20</v>
      </c>
      <c r="D22" s="22"/>
      <c r="E22" s="4"/>
      <c r="F22" t="s">
        <v>21</v>
      </c>
    </row>
    <row r="23" spans="3:6" x14ac:dyDescent="0.25">
      <c r="C23" s="3" t="s">
        <v>22</v>
      </c>
      <c r="D23" s="22"/>
      <c r="E23" s="4"/>
      <c r="F23" s="24"/>
    </row>
    <row r="24" spans="3:6" x14ac:dyDescent="0.25">
      <c r="C24" s="3" t="s">
        <v>23</v>
      </c>
      <c r="D24" s="1">
        <f>SUM(D19:D23)</f>
        <v>0</v>
      </c>
      <c r="E24" s="4"/>
      <c r="F24" s="24"/>
    </row>
    <row r="25" spans="3:6" x14ac:dyDescent="0.25">
      <c r="F25" s="24"/>
    </row>
    <row r="26" spans="3:6" x14ac:dyDescent="0.25">
      <c r="F26" s="24"/>
    </row>
    <row r="27" spans="3:6" ht="18.75" x14ac:dyDescent="0.25">
      <c r="C27" s="5" t="s">
        <v>24</v>
      </c>
      <c r="D27" s="12" t="s">
        <v>25</v>
      </c>
      <c r="F27" s="24"/>
    </row>
    <row r="28" spans="3:6" x14ac:dyDescent="0.25">
      <c r="C28" s="3" t="s">
        <v>26</v>
      </c>
      <c r="D28" s="3" t="s">
        <v>27</v>
      </c>
      <c r="E28" s="3"/>
      <c r="F28" s="24"/>
    </row>
    <row r="29" spans="3:6" x14ac:dyDescent="0.25">
      <c r="C29" s="3" t="s">
        <v>28</v>
      </c>
      <c r="D29" s="21"/>
      <c r="E29" s="4"/>
      <c r="F29" s="24"/>
    </row>
    <row r="30" spans="3:6" x14ac:dyDescent="0.25">
      <c r="C30" s="3" t="s">
        <v>29</v>
      </c>
      <c r="D30" s="21"/>
      <c r="E30" s="4"/>
      <c r="F30" s="24"/>
    </row>
    <row r="31" spans="3:6" x14ac:dyDescent="0.25">
      <c r="C31" s="3" t="s">
        <v>30</v>
      </c>
      <c r="D31" s="21"/>
      <c r="E31" s="4"/>
      <c r="F31" s="24"/>
    </row>
    <row r="32" spans="3:6" x14ac:dyDescent="0.25">
      <c r="C32" s="3" t="s">
        <v>31</v>
      </c>
      <c r="D32" s="21"/>
      <c r="E32" s="4"/>
      <c r="F32" s="24"/>
    </row>
    <row r="33" spans="3:8" x14ac:dyDescent="0.25">
      <c r="C33" s="3" t="s">
        <v>32</v>
      </c>
      <c r="D33" s="21"/>
      <c r="E33" s="4"/>
      <c r="F33" s="24"/>
    </row>
    <row r="36" spans="3:8" ht="18.75" x14ac:dyDescent="0.25">
      <c r="C36" s="5" t="s">
        <v>33</v>
      </c>
    </row>
    <row r="37" spans="3:8" x14ac:dyDescent="0.25">
      <c r="C37" s="3" t="s">
        <v>34</v>
      </c>
      <c r="D37" s="3" t="s">
        <v>35</v>
      </c>
      <c r="E37" s="3" t="s">
        <v>36</v>
      </c>
      <c r="F37" s="3" t="s">
        <v>37</v>
      </c>
      <c r="G37" s="3" t="s">
        <v>38</v>
      </c>
      <c r="H37" s="3" t="s">
        <v>39</v>
      </c>
    </row>
    <row r="38" spans="3:8" x14ac:dyDescent="0.25">
      <c r="C38" s="3" t="s">
        <v>40</v>
      </c>
      <c r="D38" s="21" t="s">
        <v>41</v>
      </c>
      <c r="E38" s="21" t="s">
        <v>42</v>
      </c>
      <c r="F38" s="21" t="s">
        <v>43</v>
      </c>
      <c r="G38" s="23">
        <v>0.5</v>
      </c>
      <c r="H38" s="21">
        <v>6</v>
      </c>
    </row>
    <row r="39" spans="3:8" x14ac:dyDescent="0.25">
      <c r="C39" s="3" t="s">
        <v>44</v>
      </c>
      <c r="D39" s="21"/>
      <c r="E39" s="21"/>
      <c r="F39" s="21"/>
      <c r="G39" s="23">
        <v>0.5</v>
      </c>
      <c r="H39" s="21">
        <v>12</v>
      </c>
    </row>
    <row r="40" spans="3:8" x14ac:dyDescent="0.25">
      <c r="C40" s="3" t="s">
        <v>45</v>
      </c>
      <c r="D40" s="24"/>
      <c r="E40" s="24"/>
      <c r="F40" s="24"/>
      <c r="G40" s="24"/>
      <c r="H40" s="24"/>
    </row>
    <row r="41" spans="3:8" x14ac:dyDescent="0.25">
      <c r="C41" s="3" t="s">
        <v>46</v>
      </c>
      <c r="D41" s="24"/>
      <c r="E41" s="24"/>
      <c r="F41" s="24"/>
      <c r="G41" s="24"/>
      <c r="H41" s="24"/>
    </row>
    <row r="42" spans="3:8" x14ac:dyDescent="0.25">
      <c r="C42" s="3"/>
    </row>
    <row r="44" spans="3:8" ht="18.75" x14ac:dyDescent="0.25">
      <c r="C44" s="5" t="s">
        <v>47</v>
      </c>
      <c r="D44" s="12"/>
    </row>
    <row r="45" spans="3:8" x14ac:dyDescent="0.25">
      <c r="C45" s="1" t="s">
        <v>34</v>
      </c>
      <c r="D45" s="1" t="s">
        <v>26</v>
      </c>
      <c r="E45" s="1" t="s">
        <v>48</v>
      </c>
      <c r="F45" s="1" t="s">
        <v>49</v>
      </c>
    </row>
    <row r="46" spans="3:8" x14ac:dyDescent="0.25">
      <c r="C46" s="25" t="s">
        <v>40</v>
      </c>
      <c r="D46" s="24" t="s">
        <v>28</v>
      </c>
      <c r="E46" s="24" t="s">
        <v>50</v>
      </c>
      <c r="F46" s="24" t="s">
        <v>51</v>
      </c>
    </row>
    <row r="47" spans="3:8" x14ac:dyDescent="0.25">
      <c r="C47" s="25" t="s">
        <v>40</v>
      </c>
      <c r="D47" s="24" t="s">
        <v>28</v>
      </c>
      <c r="E47" s="24" t="s">
        <v>50</v>
      </c>
      <c r="F47" s="24" t="s">
        <v>52</v>
      </c>
    </row>
    <row r="48" spans="3:8" x14ac:dyDescent="0.25">
      <c r="C48" s="25" t="s">
        <v>40</v>
      </c>
      <c r="D48" s="24" t="s">
        <v>28</v>
      </c>
      <c r="E48" s="24" t="s">
        <v>53</v>
      </c>
      <c r="F48" s="24" t="s">
        <v>54</v>
      </c>
    </row>
    <row r="49" spans="2:6" x14ac:dyDescent="0.25">
      <c r="C49" s="25" t="s">
        <v>44</v>
      </c>
      <c r="D49" s="24" t="s">
        <v>29</v>
      </c>
      <c r="E49" s="24" t="s">
        <v>55</v>
      </c>
      <c r="F49" s="24" t="s">
        <v>56</v>
      </c>
    </row>
    <row r="50" spans="2:6" x14ac:dyDescent="0.25">
      <c r="C50" s="25" t="s">
        <v>44</v>
      </c>
      <c r="D50" s="24" t="s">
        <v>29</v>
      </c>
      <c r="E50" s="24" t="s">
        <v>57</v>
      </c>
      <c r="F50" s="24" t="s">
        <v>58</v>
      </c>
    </row>
    <row r="51" spans="2:6" x14ac:dyDescent="0.25">
      <c r="C51" s="25" t="s">
        <v>44</v>
      </c>
      <c r="D51" s="24"/>
      <c r="E51" s="24"/>
      <c r="F51" s="24"/>
    </row>
    <row r="52" spans="2:6" x14ac:dyDescent="0.25">
      <c r="C52" s="25" t="s">
        <v>45</v>
      </c>
      <c r="D52" s="24"/>
      <c r="E52" s="24"/>
      <c r="F52" s="24"/>
    </row>
    <row r="53" spans="2:6" x14ac:dyDescent="0.25">
      <c r="C53" s="25" t="s">
        <v>45</v>
      </c>
      <c r="D53" s="24"/>
      <c r="E53" s="24"/>
      <c r="F53" s="24"/>
    </row>
    <row r="54" spans="2:6" x14ac:dyDescent="0.25">
      <c r="C54" s="25" t="s">
        <v>45</v>
      </c>
      <c r="D54" s="24"/>
      <c r="E54" s="24"/>
      <c r="F54" s="24"/>
    </row>
    <row r="55" spans="2:6" x14ac:dyDescent="0.25">
      <c r="C55" s="25" t="s">
        <v>46</v>
      </c>
      <c r="D55" s="24"/>
      <c r="E55" s="24"/>
      <c r="F55" s="24"/>
    </row>
    <row r="56" spans="2:6" x14ac:dyDescent="0.25">
      <c r="C56" s="25" t="s">
        <v>46</v>
      </c>
      <c r="D56" s="24"/>
      <c r="E56" s="24"/>
      <c r="F56" s="24"/>
    </row>
    <row r="59" spans="2:6" ht="18.75" x14ac:dyDescent="0.25">
      <c r="C59" s="5" t="s">
        <v>59</v>
      </c>
    </row>
    <row r="60" spans="2:6" x14ac:dyDescent="0.25">
      <c r="B60" t="s">
        <v>60</v>
      </c>
      <c r="C60" s="1" t="s">
        <v>61</v>
      </c>
      <c r="D60" s="1" t="s">
        <v>62</v>
      </c>
      <c r="E60" s="1" t="s">
        <v>63</v>
      </c>
      <c r="F60" s="1" t="s">
        <v>64</v>
      </c>
    </row>
    <row r="61" spans="2:6" x14ac:dyDescent="0.25">
      <c r="B61" s="7">
        <v>1</v>
      </c>
      <c r="C61" s="1">
        <v>1</v>
      </c>
      <c r="D61" s="21" t="s">
        <v>65</v>
      </c>
      <c r="E61" s="21"/>
      <c r="F61" s="21"/>
    </row>
    <row r="62" spans="2:6" x14ac:dyDescent="0.25">
      <c r="B62" s="7">
        <v>1</v>
      </c>
      <c r="C62" s="1">
        <v>2</v>
      </c>
      <c r="D62" s="21" t="s">
        <v>66</v>
      </c>
      <c r="E62" s="21" t="s">
        <v>67</v>
      </c>
      <c r="F62" s="21" t="s">
        <v>18</v>
      </c>
    </row>
    <row r="63" spans="2:6" x14ac:dyDescent="0.25">
      <c r="B63" s="7">
        <v>1</v>
      </c>
      <c r="C63" s="1">
        <v>3</v>
      </c>
      <c r="D63" s="21" t="s">
        <v>68</v>
      </c>
      <c r="E63" s="21"/>
      <c r="F63" s="21"/>
    </row>
    <row r="64" spans="2:6" x14ac:dyDescent="0.25">
      <c r="B64" s="7">
        <v>1</v>
      </c>
      <c r="C64" s="1">
        <v>4</v>
      </c>
      <c r="D64" s="21" t="s">
        <v>69</v>
      </c>
      <c r="E64" s="21" t="s">
        <v>70</v>
      </c>
      <c r="F64" s="21" t="s">
        <v>18</v>
      </c>
    </row>
    <row r="65" spans="2:6" x14ac:dyDescent="0.25">
      <c r="B65" s="7">
        <v>1</v>
      </c>
      <c r="C65" s="1">
        <v>5</v>
      </c>
      <c r="D65" s="21" t="s">
        <v>71</v>
      </c>
      <c r="E65" s="21"/>
      <c r="F65" s="21"/>
    </row>
    <row r="66" spans="2:6" x14ac:dyDescent="0.25">
      <c r="B66" s="7">
        <v>1</v>
      </c>
      <c r="C66" s="1">
        <v>6</v>
      </c>
      <c r="D66" s="21" t="s">
        <v>72</v>
      </c>
      <c r="E66" s="21"/>
      <c r="F66" s="21" t="s">
        <v>18</v>
      </c>
    </row>
    <row r="67" spans="2:6" x14ac:dyDescent="0.25">
      <c r="B67" s="7">
        <v>1</v>
      </c>
      <c r="C67" s="1">
        <v>7</v>
      </c>
      <c r="D67" s="21" t="s">
        <v>73</v>
      </c>
      <c r="E67" s="21"/>
      <c r="F67" s="21"/>
    </row>
    <row r="68" spans="2:6" x14ac:dyDescent="0.25">
      <c r="B68" s="7">
        <v>1</v>
      </c>
      <c r="C68" s="1">
        <v>8</v>
      </c>
      <c r="D68" s="21" t="s">
        <v>74</v>
      </c>
      <c r="E68" s="21"/>
      <c r="F68" s="21" t="s">
        <v>18</v>
      </c>
    </row>
    <row r="69" spans="2:6" x14ac:dyDescent="0.25">
      <c r="B69" s="7">
        <v>1</v>
      </c>
      <c r="C69" s="1">
        <v>9</v>
      </c>
      <c r="D69" s="21" t="s">
        <v>75</v>
      </c>
      <c r="E69" s="21"/>
      <c r="F69" s="21"/>
    </row>
    <row r="70" spans="2:6" x14ac:dyDescent="0.25">
      <c r="B70" s="7">
        <v>1</v>
      </c>
      <c r="C70" s="1">
        <v>10</v>
      </c>
      <c r="D70" s="21" t="s">
        <v>76</v>
      </c>
      <c r="E70" s="21" t="s">
        <v>77</v>
      </c>
      <c r="F70" s="21" t="s">
        <v>18</v>
      </c>
    </row>
    <row r="71" spans="2:6" x14ac:dyDescent="0.25">
      <c r="B71" s="7">
        <v>1</v>
      </c>
      <c r="C71" s="1">
        <v>11</v>
      </c>
      <c r="D71" s="21" t="s">
        <v>78</v>
      </c>
      <c r="E71" s="21"/>
      <c r="F71" s="21"/>
    </row>
    <row r="72" spans="2:6" x14ac:dyDescent="0.25">
      <c r="B72" s="7">
        <v>1</v>
      </c>
      <c r="C72" s="1">
        <v>12</v>
      </c>
      <c r="D72" s="21" t="s">
        <v>79</v>
      </c>
      <c r="E72" s="21"/>
      <c r="F72" s="21" t="s">
        <v>18</v>
      </c>
    </row>
    <row r="73" spans="2:6" x14ac:dyDescent="0.25">
      <c r="B73" s="7">
        <v>2</v>
      </c>
      <c r="C73" s="1">
        <v>1</v>
      </c>
      <c r="D73" s="21"/>
      <c r="E73" s="21"/>
      <c r="F73" s="21"/>
    </row>
    <row r="74" spans="2:6" x14ac:dyDescent="0.25">
      <c r="B74" s="7">
        <v>2</v>
      </c>
      <c r="C74" s="1">
        <v>2</v>
      </c>
      <c r="D74" s="21"/>
      <c r="E74" s="21"/>
      <c r="F74" s="21"/>
    </row>
    <row r="75" spans="2:6" x14ac:dyDescent="0.25">
      <c r="B75" s="7">
        <v>2</v>
      </c>
      <c r="C75" s="1">
        <v>3</v>
      </c>
      <c r="D75" s="21"/>
      <c r="E75" s="21"/>
      <c r="F75" s="21"/>
    </row>
    <row r="76" spans="2:6" x14ac:dyDescent="0.25">
      <c r="B76" s="7">
        <v>2</v>
      </c>
      <c r="C76" s="1">
        <v>4</v>
      </c>
      <c r="D76" s="21"/>
      <c r="E76" s="21"/>
      <c r="F76" s="21"/>
    </row>
    <row r="77" spans="2:6" x14ac:dyDescent="0.25">
      <c r="B77" s="7">
        <v>2</v>
      </c>
      <c r="C77" s="1">
        <v>5</v>
      </c>
      <c r="D77" s="21"/>
      <c r="E77" s="21"/>
      <c r="F77" s="21"/>
    </row>
    <row r="78" spans="2:6" x14ac:dyDescent="0.25">
      <c r="B78" s="7">
        <v>2</v>
      </c>
      <c r="C78" s="1">
        <v>6</v>
      </c>
      <c r="D78" s="21"/>
      <c r="E78" s="21"/>
      <c r="F78" s="21"/>
    </row>
    <row r="79" spans="2:6" x14ac:dyDescent="0.25">
      <c r="B79" s="7">
        <v>2</v>
      </c>
      <c r="C79" s="1">
        <v>7</v>
      </c>
      <c r="D79" s="21"/>
      <c r="E79" s="21"/>
      <c r="F79" s="21"/>
    </row>
    <row r="80" spans="2:6" x14ac:dyDescent="0.25">
      <c r="B80" s="7">
        <v>2</v>
      </c>
      <c r="C80" s="1">
        <v>8</v>
      </c>
      <c r="D80" s="21"/>
      <c r="E80" s="21"/>
      <c r="F80" s="21"/>
    </row>
    <row r="81" spans="2:6" x14ac:dyDescent="0.25">
      <c r="B81" s="7">
        <v>2</v>
      </c>
      <c r="C81" s="1">
        <v>9</v>
      </c>
      <c r="D81" s="21"/>
      <c r="E81" s="21"/>
      <c r="F81" s="21"/>
    </row>
    <row r="82" spans="2:6" x14ac:dyDescent="0.25">
      <c r="B82" s="7">
        <v>2</v>
      </c>
      <c r="C82" s="1">
        <v>10</v>
      </c>
      <c r="D82" s="21"/>
      <c r="E82" s="21"/>
      <c r="F82" s="21"/>
    </row>
    <row r="83" spans="2:6" x14ac:dyDescent="0.25">
      <c r="B83" s="7">
        <v>2</v>
      </c>
      <c r="C83" s="1">
        <v>11</v>
      </c>
      <c r="D83" s="21"/>
      <c r="E83" s="21"/>
      <c r="F83" s="21"/>
    </row>
    <row r="84" spans="2:6" x14ac:dyDescent="0.25">
      <c r="B84" s="7">
        <v>2</v>
      </c>
      <c r="C84" s="1">
        <v>12</v>
      </c>
      <c r="D84" s="21"/>
      <c r="E84" s="21"/>
      <c r="F84" s="21"/>
    </row>
  </sheetData>
  <sheetProtection sheet="1" objects="1" scenarios="1" selectLockedCells="1" sort="0" autoFilter="0" pivotTables="0"/>
  <dataValidations count="4">
    <dataValidation type="list" allowBlank="1" showInputMessage="1" showErrorMessage="1" sqref="F46:F56" xr:uid="{8CD18753-D5D5-47C9-AE29-C832814F9869}">
      <formula1>INDIRECT(VLOOKUP($E46, SkillNameMap, 2, FALSE))</formula1>
    </dataValidation>
    <dataValidation type="list" allowBlank="1" showInputMessage="1" showErrorMessage="1" sqref="E38:E41" xr:uid="{30ED3A3D-A6E5-45DA-A072-4863AA8C1558}">
      <formula1>INDIRECT("LISTAssess[Assessment Specific]")</formula1>
    </dataValidation>
    <dataValidation type="whole" showInputMessage="1" showErrorMessage="1" error="This is not a realistic number of contact hours please change" sqref="D19" xr:uid="{ED7F7914-6C28-4D8E-B268-3CD5BA4E3144}">
      <formula1>0</formula1>
      <formula2>80</formula2>
    </dataValidation>
    <dataValidation type="whole" showInputMessage="1" showErrorMessage="1" error="This is not a realistic number of contact hours please reduce" sqref="D20:D23" xr:uid="{7D2F483B-63CE-4110-AF1C-80CF6D50C7FA}">
      <formula1>0</formula1>
      <formula2>80</formula2>
    </dataValidation>
  </dataValidations>
  <pageMargins left="0.7" right="0.7" top="0.75" bottom="0.75" header="0.3" footer="0.3"/>
  <pageSetup paperSize="9" orientation="portrait" horizontalDpi="4294967293" verticalDpi="0" r:id="rId1"/>
  <tableParts count="10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8A1593AF-AF33-44A4-BD5D-F2DC41EAA86E}">
          <x14:formula1>
            <xm:f>LISTS!$J$7:$J$16</xm:f>
          </x14:formula1>
          <xm:sqref>E46:E56</xm:sqref>
        </x14:dataValidation>
        <x14:dataValidation type="list" allowBlank="1" showInputMessage="1" showErrorMessage="1" xr:uid="{13524674-6569-4444-A927-B70E751D7616}">
          <x14:formula1>
            <xm:f>LISTS!$E$7:$E$11</xm:f>
          </x14:formula1>
          <xm:sqref>D46:D56</xm:sqref>
        </x14:dataValidation>
        <x14:dataValidation type="list" allowBlank="1" showInputMessage="1" showErrorMessage="1" xr:uid="{BD1D28E8-E44D-43D6-AB31-6906AFB76CC7}">
          <x14:formula1>
            <xm:f>LISTS!$G$7:$G$11</xm:f>
          </x14:formula1>
          <xm:sqref>D38:D42</xm:sqref>
        </x14:dataValidation>
        <x14:dataValidation type="list" allowBlank="1" showInputMessage="1" showErrorMessage="1" xr:uid="{4307F0DB-5179-49DE-9F56-B0D376451B8E}">
          <x14:formula1>
            <xm:f>LISTS!$C$11:$C$15</xm:f>
          </x14:formula1>
          <xm:sqref>D11</xm:sqref>
        </x14:dataValidation>
        <x14:dataValidation type="list" allowBlank="1" showInputMessage="1" showErrorMessage="1" xr:uid="{881415EC-E12E-4E20-BF7A-6A7CDB9E721E}">
          <x14:formula1>
            <xm:f>LISTS!$C$7:$C$9</xm:f>
          </x14:formula1>
          <xm:sqref>D10</xm:sqref>
        </x14:dataValidation>
        <x14:dataValidation type="list" allowBlank="1" showInputMessage="1" showErrorMessage="1" xr:uid="{264E4697-DBBE-457A-A30D-C8272EF12344}">
          <x14:formula1>
            <xm:f>LISTS!$C$17:$C$22</xm:f>
          </x14:formula1>
          <xm:sqref>D13</xm:sqref>
        </x14:dataValidation>
        <x14:dataValidation type="list" allowBlank="1" showInputMessage="1" showErrorMessage="1" xr:uid="{849644AB-3E82-4044-91E7-7C031EBB1D3B}">
          <x14:formula1>
            <xm:f>LISTS!$C$26:$C$37</xm:f>
          </x14:formula1>
          <xm:sqref>D14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23168-6B81-47CF-B045-12BB97D9E5BE}">
  <sheetPr codeName="Sheet6"/>
  <dimension ref="B2:H84"/>
  <sheetViews>
    <sheetView showGridLines="0" topLeftCell="B1" zoomScale="85" zoomScaleNormal="85" workbookViewId="0">
      <selection activeCell="D10" sqref="D10"/>
    </sheetView>
  </sheetViews>
  <sheetFormatPr defaultRowHeight="15" x14ac:dyDescent="0.25"/>
  <cols>
    <col min="3" max="3" width="33.28515625" customWidth="1"/>
    <col min="4" max="4" width="51.5703125" customWidth="1"/>
    <col min="5" max="5" width="67.28515625" customWidth="1"/>
    <col min="6" max="6" width="63.140625" customWidth="1"/>
    <col min="7" max="7" width="12.42578125" customWidth="1"/>
    <col min="8" max="8" width="15.5703125" customWidth="1"/>
    <col min="9" max="9" width="14.7109375" customWidth="1"/>
  </cols>
  <sheetData>
    <row r="2" spans="2:6" ht="26.25" x14ac:dyDescent="0.4">
      <c r="C2" s="20" t="str">
        <f>D7</f>
        <v>5403SPS</v>
      </c>
      <c r="D2" s="20" t="str">
        <f>D8</f>
        <v>Strength and Conditioning for Coaches</v>
      </c>
    </row>
    <row r="3" spans="2:6" x14ac:dyDescent="0.25">
      <c r="B3" s="1"/>
      <c r="C3" s="1"/>
    </row>
    <row r="4" spans="2:6" x14ac:dyDescent="0.25">
      <c r="B4" s="2"/>
      <c r="C4" s="2"/>
    </row>
    <row r="5" spans="2:6" ht="18.75" x14ac:dyDescent="0.25">
      <c r="B5" s="2"/>
      <c r="C5" s="5" t="s">
        <v>0</v>
      </c>
    </row>
    <row r="6" spans="2:6" x14ac:dyDescent="0.25">
      <c r="B6" s="2"/>
      <c r="C6" s="3" t="s">
        <v>1</v>
      </c>
      <c r="D6" s="4" t="s">
        <v>2</v>
      </c>
      <c r="E6" s="4"/>
      <c r="F6" t="s">
        <v>3</v>
      </c>
    </row>
    <row r="7" spans="2:6" x14ac:dyDescent="0.25">
      <c r="B7" s="2"/>
      <c r="C7" s="3" t="s">
        <v>4</v>
      </c>
      <c r="D7" s="21" t="s">
        <v>215</v>
      </c>
      <c r="E7" s="4"/>
      <c r="F7" s="24"/>
    </row>
    <row r="8" spans="2:6" x14ac:dyDescent="0.25">
      <c r="B8" s="2"/>
      <c r="C8" s="3" t="s">
        <v>6</v>
      </c>
      <c r="D8" s="21" t="s">
        <v>214</v>
      </c>
      <c r="E8" s="4"/>
      <c r="F8" s="24"/>
    </row>
    <row r="9" spans="2:6" x14ac:dyDescent="0.25">
      <c r="C9" s="3" t="s">
        <v>7</v>
      </c>
      <c r="D9" s="21"/>
      <c r="E9" s="4"/>
    </row>
    <row r="10" spans="2:6" x14ac:dyDescent="0.25">
      <c r="C10" s="3" t="s">
        <v>8</v>
      </c>
      <c r="D10" s="21"/>
      <c r="E10" s="4"/>
      <c r="F10" t="s">
        <v>9</v>
      </c>
    </row>
    <row r="11" spans="2:6" x14ac:dyDescent="0.25">
      <c r="C11" s="3" t="s">
        <v>10</v>
      </c>
      <c r="D11" s="21"/>
      <c r="E11" s="4"/>
      <c r="F11" s="24"/>
    </row>
    <row r="12" spans="2:6" x14ac:dyDescent="0.25">
      <c r="C12" s="3" t="s">
        <v>11</v>
      </c>
      <c r="D12" s="21"/>
      <c r="E12" s="4"/>
      <c r="F12" s="24"/>
    </row>
    <row r="13" spans="2:6" x14ac:dyDescent="0.25">
      <c r="C13" s="3" t="s">
        <v>12</v>
      </c>
      <c r="D13" s="21"/>
      <c r="E13" s="4"/>
      <c r="F13" s="24"/>
    </row>
    <row r="14" spans="2:6" x14ac:dyDescent="0.25">
      <c r="C14" s="3" t="s">
        <v>13</v>
      </c>
      <c r="D14" s="21"/>
      <c r="E14" s="4"/>
    </row>
    <row r="15" spans="2:6" x14ac:dyDescent="0.25">
      <c r="C15" s="3"/>
      <c r="D15" s="4"/>
      <c r="E15" s="4"/>
      <c r="F15" t="s">
        <v>14</v>
      </c>
    </row>
    <row r="16" spans="2:6" x14ac:dyDescent="0.25">
      <c r="C16" s="3"/>
      <c r="D16" s="4"/>
      <c r="E16" s="4"/>
      <c r="F16" s="24"/>
    </row>
    <row r="17" spans="3:6" ht="18.75" x14ac:dyDescent="0.25">
      <c r="C17" s="5" t="s">
        <v>15</v>
      </c>
      <c r="D17" s="4"/>
      <c r="E17" s="4"/>
      <c r="F17" s="24"/>
    </row>
    <row r="18" spans="3:6" x14ac:dyDescent="0.25">
      <c r="C18" s="3" t="s">
        <v>16</v>
      </c>
      <c r="D18" s="1" t="s">
        <v>15</v>
      </c>
      <c r="E18" s="4"/>
      <c r="F18" s="24"/>
    </row>
    <row r="19" spans="3:6" x14ac:dyDescent="0.25">
      <c r="C19" s="3" t="s">
        <v>17</v>
      </c>
      <c r="D19" s="22"/>
      <c r="E19" s="4"/>
      <c r="F19" s="24"/>
    </row>
    <row r="20" spans="3:6" x14ac:dyDescent="0.25">
      <c r="C20" s="3" t="s">
        <v>18</v>
      </c>
      <c r="D20" s="22"/>
      <c r="E20" s="4"/>
      <c r="F20" s="24"/>
    </row>
    <row r="21" spans="3:6" x14ac:dyDescent="0.25">
      <c r="C21" s="3" t="s">
        <v>19</v>
      </c>
      <c r="D21" s="22"/>
      <c r="E21" s="4"/>
    </row>
    <row r="22" spans="3:6" x14ac:dyDescent="0.25">
      <c r="C22" s="3" t="s">
        <v>20</v>
      </c>
      <c r="D22" s="22"/>
      <c r="E22" s="4"/>
      <c r="F22" t="s">
        <v>21</v>
      </c>
    </row>
    <row r="23" spans="3:6" x14ac:dyDescent="0.25">
      <c r="C23" s="3" t="s">
        <v>22</v>
      </c>
      <c r="D23" s="22"/>
      <c r="E23" s="4"/>
      <c r="F23" s="24"/>
    </row>
    <row r="24" spans="3:6" x14ac:dyDescent="0.25">
      <c r="C24" s="3" t="s">
        <v>23</v>
      </c>
      <c r="D24" s="1">
        <f>SUM(D19:D23)</f>
        <v>0</v>
      </c>
      <c r="E24" s="4"/>
      <c r="F24" s="24"/>
    </row>
    <row r="25" spans="3:6" x14ac:dyDescent="0.25">
      <c r="F25" s="24"/>
    </row>
    <row r="26" spans="3:6" x14ac:dyDescent="0.25">
      <c r="F26" s="24"/>
    </row>
    <row r="27" spans="3:6" ht="18.75" x14ac:dyDescent="0.25">
      <c r="C27" s="5" t="s">
        <v>24</v>
      </c>
      <c r="D27" s="12" t="s">
        <v>25</v>
      </c>
      <c r="F27" s="24"/>
    </row>
    <row r="28" spans="3:6" x14ac:dyDescent="0.25">
      <c r="C28" s="3" t="s">
        <v>26</v>
      </c>
      <c r="D28" s="3" t="s">
        <v>27</v>
      </c>
      <c r="E28" s="3"/>
      <c r="F28" s="24"/>
    </row>
    <row r="29" spans="3:6" x14ac:dyDescent="0.25">
      <c r="C29" s="3" t="s">
        <v>28</v>
      </c>
      <c r="D29" s="21"/>
      <c r="E29" s="4"/>
      <c r="F29" s="24"/>
    </row>
    <row r="30" spans="3:6" x14ac:dyDescent="0.25">
      <c r="C30" s="3" t="s">
        <v>29</v>
      </c>
      <c r="D30" s="21"/>
      <c r="E30" s="4"/>
      <c r="F30" s="24"/>
    </row>
    <row r="31" spans="3:6" x14ac:dyDescent="0.25">
      <c r="C31" s="3" t="s">
        <v>30</v>
      </c>
      <c r="D31" s="21"/>
      <c r="E31" s="4"/>
      <c r="F31" s="24"/>
    </row>
    <row r="32" spans="3:6" x14ac:dyDescent="0.25">
      <c r="C32" s="3" t="s">
        <v>31</v>
      </c>
      <c r="D32" s="21"/>
      <c r="E32" s="4"/>
      <c r="F32" s="24"/>
    </row>
    <row r="33" spans="3:8" x14ac:dyDescent="0.25">
      <c r="C33" s="3" t="s">
        <v>32</v>
      </c>
      <c r="D33" s="21"/>
      <c r="E33" s="4"/>
      <c r="F33" s="24"/>
    </row>
    <row r="36" spans="3:8" ht="18.75" x14ac:dyDescent="0.25">
      <c r="C36" s="5" t="s">
        <v>33</v>
      </c>
    </row>
    <row r="37" spans="3:8" x14ac:dyDescent="0.25">
      <c r="C37" s="3" t="s">
        <v>34</v>
      </c>
      <c r="D37" s="3" t="s">
        <v>35</v>
      </c>
      <c r="E37" s="3" t="s">
        <v>36</v>
      </c>
      <c r="F37" s="3" t="s">
        <v>37</v>
      </c>
      <c r="G37" s="3" t="s">
        <v>38</v>
      </c>
      <c r="H37" s="3" t="s">
        <v>39</v>
      </c>
    </row>
    <row r="38" spans="3:8" x14ac:dyDescent="0.25">
      <c r="C38" s="3" t="s">
        <v>40</v>
      </c>
      <c r="D38" s="21" t="s">
        <v>41</v>
      </c>
      <c r="E38" s="21" t="s">
        <v>42</v>
      </c>
      <c r="F38" s="21" t="s">
        <v>43</v>
      </c>
      <c r="G38" s="23">
        <v>0.5</v>
      </c>
      <c r="H38" s="21">
        <v>6</v>
      </c>
    </row>
    <row r="39" spans="3:8" x14ac:dyDescent="0.25">
      <c r="C39" s="3" t="s">
        <v>44</v>
      </c>
      <c r="D39" s="21"/>
      <c r="E39" s="21"/>
      <c r="F39" s="21"/>
      <c r="G39" s="23">
        <v>0.5</v>
      </c>
      <c r="H39" s="21">
        <v>12</v>
      </c>
    </row>
    <row r="40" spans="3:8" x14ac:dyDescent="0.25">
      <c r="C40" s="3" t="s">
        <v>45</v>
      </c>
      <c r="D40" s="24"/>
      <c r="E40" s="24"/>
      <c r="F40" s="24"/>
      <c r="G40" s="24"/>
      <c r="H40" s="24"/>
    </row>
    <row r="41" spans="3:8" x14ac:dyDescent="0.25">
      <c r="C41" s="3" t="s">
        <v>46</v>
      </c>
      <c r="D41" s="24"/>
      <c r="E41" s="24"/>
      <c r="F41" s="24"/>
      <c r="G41" s="24"/>
      <c r="H41" s="24"/>
    </row>
    <row r="42" spans="3:8" x14ac:dyDescent="0.25">
      <c r="C42" s="3"/>
    </row>
    <row r="44" spans="3:8" ht="18.75" x14ac:dyDescent="0.25">
      <c r="C44" s="5" t="s">
        <v>47</v>
      </c>
      <c r="D44" s="12"/>
    </row>
    <row r="45" spans="3:8" x14ac:dyDescent="0.25">
      <c r="C45" s="1" t="s">
        <v>34</v>
      </c>
      <c r="D45" s="1" t="s">
        <v>26</v>
      </c>
      <c r="E45" s="1" t="s">
        <v>48</v>
      </c>
      <c r="F45" s="1" t="s">
        <v>49</v>
      </c>
    </row>
    <row r="46" spans="3:8" x14ac:dyDescent="0.25">
      <c r="C46" s="25" t="s">
        <v>40</v>
      </c>
      <c r="D46" s="24" t="s">
        <v>28</v>
      </c>
      <c r="E46" s="24" t="s">
        <v>50</v>
      </c>
      <c r="F46" s="24" t="s">
        <v>51</v>
      </c>
    </row>
    <row r="47" spans="3:8" x14ac:dyDescent="0.25">
      <c r="C47" s="25" t="s">
        <v>40</v>
      </c>
      <c r="D47" s="24" t="s">
        <v>28</v>
      </c>
      <c r="E47" s="24" t="s">
        <v>50</v>
      </c>
      <c r="F47" s="24" t="s">
        <v>52</v>
      </c>
    </row>
    <row r="48" spans="3:8" x14ac:dyDescent="0.25">
      <c r="C48" s="25" t="s">
        <v>40</v>
      </c>
      <c r="D48" s="24" t="s">
        <v>28</v>
      </c>
      <c r="E48" s="24" t="s">
        <v>53</v>
      </c>
      <c r="F48" s="24" t="s">
        <v>54</v>
      </c>
    </row>
    <row r="49" spans="2:6" x14ac:dyDescent="0.25">
      <c r="C49" s="25" t="s">
        <v>44</v>
      </c>
      <c r="D49" s="24" t="s">
        <v>29</v>
      </c>
      <c r="E49" s="24" t="s">
        <v>55</v>
      </c>
      <c r="F49" s="24" t="s">
        <v>56</v>
      </c>
    </row>
    <row r="50" spans="2:6" x14ac:dyDescent="0.25">
      <c r="C50" s="25" t="s">
        <v>44</v>
      </c>
      <c r="D50" s="24" t="s">
        <v>29</v>
      </c>
      <c r="E50" s="24" t="s">
        <v>57</v>
      </c>
      <c r="F50" s="24" t="s">
        <v>58</v>
      </c>
    </row>
    <row r="51" spans="2:6" x14ac:dyDescent="0.25">
      <c r="C51" s="25" t="s">
        <v>44</v>
      </c>
      <c r="D51" s="24"/>
      <c r="E51" s="24"/>
      <c r="F51" s="24"/>
    </row>
    <row r="52" spans="2:6" x14ac:dyDescent="0.25">
      <c r="C52" s="25" t="s">
        <v>45</v>
      </c>
      <c r="D52" s="24"/>
      <c r="E52" s="24"/>
      <c r="F52" s="24"/>
    </row>
    <row r="53" spans="2:6" x14ac:dyDescent="0.25">
      <c r="C53" s="25" t="s">
        <v>45</v>
      </c>
      <c r="D53" s="24"/>
      <c r="E53" s="24"/>
      <c r="F53" s="24"/>
    </row>
    <row r="54" spans="2:6" x14ac:dyDescent="0.25">
      <c r="C54" s="25" t="s">
        <v>45</v>
      </c>
      <c r="D54" s="24"/>
      <c r="E54" s="24"/>
      <c r="F54" s="24"/>
    </row>
    <row r="55" spans="2:6" x14ac:dyDescent="0.25">
      <c r="C55" s="25" t="s">
        <v>46</v>
      </c>
      <c r="D55" s="24"/>
      <c r="E55" s="24"/>
      <c r="F55" s="24"/>
    </row>
    <row r="56" spans="2:6" x14ac:dyDescent="0.25">
      <c r="C56" s="25" t="s">
        <v>46</v>
      </c>
      <c r="D56" s="24"/>
      <c r="E56" s="24"/>
      <c r="F56" s="24"/>
    </row>
    <row r="59" spans="2:6" ht="18.75" x14ac:dyDescent="0.25">
      <c r="C59" s="5" t="s">
        <v>59</v>
      </c>
    </row>
    <row r="60" spans="2:6" x14ac:dyDescent="0.25">
      <c r="B60" t="s">
        <v>60</v>
      </c>
      <c r="C60" s="1" t="s">
        <v>61</v>
      </c>
      <c r="D60" s="1" t="s">
        <v>62</v>
      </c>
      <c r="E60" s="1" t="s">
        <v>63</v>
      </c>
      <c r="F60" s="1" t="s">
        <v>64</v>
      </c>
    </row>
    <row r="61" spans="2:6" x14ac:dyDescent="0.25">
      <c r="B61" s="7">
        <v>1</v>
      </c>
      <c r="C61" s="1">
        <v>1</v>
      </c>
      <c r="D61" s="21" t="s">
        <v>65</v>
      </c>
      <c r="E61" s="21"/>
      <c r="F61" s="21"/>
    </row>
    <row r="62" spans="2:6" x14ac:dyDescent="0.25">
      <c r="B62" s="7">
        <v>1</v>
      </c>
      <c r="C62" s="1">
        <v>2</v>
      </c>
      <c r="D62" s="21" t="s">
        <v>66</v>
      </c>
      <c r="E62" s="21" t="s">
        <v>67</v>
      </c>
      <c r="F62" s="21" t="s">
        <v>18</v>
      </c>
    </row>
    <row r="63" spans="2:6" x14ac:dyDescent="0.25">
      <c r="B63" s="7">
        <v>1</v>
      </c>
      <c r="C63" s="1">
        <v>3</v>
      </c>
      <c r="D63" s="21" t="s">
        <v>68</v>
      </c>
      <c r="E63" s="21"/>
      <c r="F63" s="21"/>
    </row>
    <row r="64" spans="2:6" x14ac:dyDescent="0.25">
      <c r="B64" s="7">
        <v>1</v>
      </c>
      <c r="C64" s="1">
        <v>4</v>
      </c>
      <c r="D64" s="21" t="s">
        <v>69</v>
      </c>
      <c r="E64" s="21" t="s">
        <v>70</v>
      </c>
      <c r="F64" s="21" t="s">
        <v>18</v>
      </c>
    </row>
    <row r="65" spans="2:6" x14ac:dyDescent="0.25">
      <c r="B65" s="7">
        <v>1</v>
      </c>
      <c r="C65" s="1">
        <v>5</v>
      </c>
      <c r="D65" s="21" t="s">
        <v>71</v>
      </c>
      <c r="E65" s="21"/>
      <c r="F65" s="21"/>
    </row>
    <row r="66" spans="2:6" x14ac:dyDescent="0.25">
      <c r="B66" s="7">
        <v>1</v>
      </c>
      <c r="C66" s="1">
        <v>6</v>
      </c>
      <c r="D66" s="21" t="s">
        <v>72</v>
      </c>
      <c r="E66" s="21"/>
      <c r="F66" s="21" t="s">
        <v>18</v>
      </c>
    </row>
    <row r="67" spans="2:6" x14ac:dyDescent="0.25">
      <c r="B67" s="7">
        <v>1</v>
      </c>
      <c r="C67" s="1">
        <v>7</v>
      </c>
      <c r="D67" s="21" t="s">
        <v>73</v>
      </c>
      <c r="E67" s="21"/>
      <c r="F67" s="21"/>
    </row>
    <row r="68" spans="2:6" x14ac:dyDescent="0.25">
      <c r="B68" s="7">
        <v>1</v>
      </c>
      <c r="C68" s="1">
        <v>8</v>
      </c>
      <c r="D68" s="21" t="s">
        <v>74</v>
      </c>
      <c r="E68" s="21"/>
      <c r="F68" s="21" t="s">
        <v>18</v>
      </c>
    </row>
    <row r="69" spans="2:6" x14ac:dyDescent="0.25">
      <c r="B69" s="7">
        <v>1</v>
      </c>
      <c r="C69" s="1">
        <v>9</v>
      </c>
      <c r="D69" s="21" t="s">
        <v>75</v>
      </c>
      <c r="E69" s="21"/>
      <c r="F69" s="21"/>
    </row>
    <row r="70" spans="2:6" x14ac:dyDescent="0.25">
      <c r="B70" s="7">
        <v>1</v>
      </c>
      <c r="C70" s="1">
        <v>10</v>
      </c>
      <c r="D70" s="21" t="s">
        <v>76</v>
      </c>
      <c r="E70" s="21" t="s">
        <v>77</v>
      </c>
      <c r="F70" s="21" t="s">
        <v>18</v>
      </c>
    </row>
    <row r="71" spans="2:6" x14ac:dyDescent="0.25">
      <c r="B71" s="7">
        <v>1</v>
      </c>
      <c r="C71" s="1">
        <v>11</v>
      </c>
      <c r="D71" s="21" t="s">
        <v>78</v>
      </c>
      <c r="E71" s="21"/>
      <c r="F71" s="21"/>
    </row>
    <row r="72" spans="2:6" x14ac:dyDescent="0.25">
      <c r="B72" s="7">
        <v>1</v>
      </c>
      <c r="C72" s="1">
        <v>12</v>
      </c>
      <c r="D72" s="21" t="s">
        <v>79</v>
      </c>
      <c r="E72" s="21"/>
      <c r="F72" s="21" t="s">
        <v>18</v>
      </c>
    </row>
    <row r="73" spans="2:6" x14ac:dyDescent="0.25">
      <c r="B73" s="7">
        <v>2</v>
      </c>
      <c r="C73" s="1">
        <v>1</v>
      </c>
      <c r="D73" s="21"/>
      <c r="E73" s="21"/>
      <c r="F73" s="21"/>
    </row>
    <row r="74" spans="2:6" x14ac:dyDescent="0.25">
      <c r="B74" s="7">
        <v>2</v>
      </c>
      <c r="C74" s="1">
        <v>2</v>
      </c>
      <c r="D74" s="21"/>
      <c r="E74" s="21"/>
      <c r="F74" s="21"/>
    </row>
    <row r="75" spans="2:6" x14ac:dyDescent="0.25">
      <c r="B75" s="7">
        <v>2</v>
      </c>
      <c r="C75" s="1">
        <v>3</v>
      </c>
      <c r="D75" s="21"/>
      <c r="E75" s="21"/>
      <c r="F75" s="21"/>
    </row>
    <row r="76" spans="2:6" x14ac:dyDescent="0.25">
      <c r="B76" s="7">
        <v>2</v>
      </c>
      <c r="C76" s="1">
        <v>4</v>
      </c>
      <c r="D76" s="21"/>
      <c r="E76" s="21"/>
      <c r="F76" s="21"/>
    </row>
    <row r="77" spans="2:6" x14ac:dyDescent="0.25">
      <c r="B77" s="7">
        <v>2</v>
      </c>
      <c r="C77" s="1">
        <v>5</v>
      </c>
      <c r="D77" s="21"/>
      <c r="E77" s="21"/>
      <c r="F77" s="21"/>
    </row>
    <row r="78" spans="2:6" x14ac:dyDescent="0.25">
      <c r="B78" s="7">
        <v>2</v>
      </c>
      <c r="C78" s="1">
        <v>6</v>
      </c>
      <c r="D78" s="21"/>
      <c r="E78" s="21"/>
      <c r="F78" s="21"/>
    </row>
    <row r="79" spans="2:6" x14ac:dyDescent="0.25">
      <c r="B79" s="7">
        <v>2</v>
      </c>
      <c r="C79" s="1">
        <v>7</v>
      </c>
      <c r="D79" s="21"/>
      <c r="E79" s="21"/>
      <c r="F79" s="21"/>
    </row>
    <row r="80" spans="2:6" x14ac:dyDescent="0.25">
      <c r="B80" s="7">
        <v>2</v>
      </c>
      <c r="C80" s="1">
        <v>8</v>
      </c>
      <c r="D80" s="21"/>
      <c r="E80" s="21"/>
      <c r="F80" s="21"/>
    </row>
    <row r="81" spans="2:6" x14ac:dyDescent="0.25">
      <c r="B81" s="7">
        <v>2</v>
      </c>
      <c r="C81" s="1">
        <v>9</v>
      </c>
      <c r="D81" s="21"/>
      <c r="E81" s="21"/>
      <c r="F81" s="21"/>
    </row>
    <row r="82" spans="2:6" x14ac:dyDescent="0.25">
      <c r="B82" s="7">
        <v>2</v>
      </c>
      <c r="C82" s="1">
        <v>10</v>
      </c>
      <c r="D82" s="21"/>
      <c r="E82" s="21"/>
      <c r="F82" s="21"/>
    </row>
    <row r="83" spans="2:6" x14ac:dyDescent="0.25">
      <c r="B83" s="7">
        <v>2</v>
      </c>
      <c r="C83" s="1">
        <v>11</v>
      </c>
      <c r="D83" s="21"/>
      <c r="E83" s="21"/>
      <c r="F83" s="21"/>
    </row>
    <row r="84" spans="2:6" x14ac:dyDescent="0.25">
      <c r="B84" s="7">
        <v>2</v>
      </c>
      <c r="C84" s="1">
        <v>12</v>
      </c>
      <c r="D84" s="21"/>
      <c r="E84" s="21"/>
      <c r="F84" s="21"/>
    </row>
  </sheetData>
  <sheetProtection sheet="1" objects="1" scenarios="1" selectLockedCells="1" sort="0" autoFilter="0" pivotTables="0"/>
  <dataValidations count="4">
    <dataValidation type="whole" showInputMessage="1" showErrorMessage="1" error="This is not a realistic number of contact hours please reduce" sqref="D20:D23" xr:uid="{DCF1D4CF-AD13-4549-94DF-DAD7372507FF}">
      <formula1>0</formula1>
      <formula2>80</formula2>
    </dataValidation>
    <dataValidation type="whole" showInputMessage="1" showErrorMessage="1" error="This is not a realistic number of contact hours please change" sqref="D19" xr:uid="{2EFE7054-9BF0-4E34-9260-CE2CA4E53AC1}">
      <formula1>0</formula1>
      <formula2>80</formula2>
    </dataValidation>
    <dataValidation type="list" allowBlank="1" showInputMessage="1" showErrorMessage="1" sqref="E38:E41" xr:uid="{8FAAA275-BBC0-49B8-8FE4-71328DF55B6F}">
      <formula1>INDIRECT("LISTAssess[Assessment Specific]")</formula1>
    </dataValidation>
    <dataValidation type="list" allowBlank="1" showInputMessage="1" showErrorMessage="1" sqref="F46:F56" xr:uid="{E1682273-6EEC-4437-BA8D-462547C84EF8}">
      <formula1>INDIRECT(VLOOKUP($E46, SkillNameMap, 2, FALSE))</formula1>
    </dataValidation>
  </dataValidations>
  <pageMargins left="0.7" right="0.7" top="0.75" bottom="0.75" header="0.3" footer="0.3"/>
  <pageSetup paperSize="9" orientation="portrait" horizontalDpi="4294967293" verticalDpi="0" r:id="rId1"/>
  <tableParts count="10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D8F5AA3-C895-4B95-9912-EF67DA280821}">
          <x14:formula1>
            <xm:f>LISTS!$C$26:$C$37</xm:f>
          </x14:formula1>
          <xm:sqref>D14</xm:sqref>
        </x14:dataValidation>
        <x14:dataValidation type="list" allowBlank="1" showInputMessage="1" showErrorMessage="1" xr:uid="{703F0AA5-3DD9-4205-B10E-84D20D77F5DF}">
          <x14:formula1>
            <xm:f>LISTS!$C$17:$C$22</xm:f>
          </x14:formula1>
          <xm:sqref>D13</xm:sqref>
        </x14:dataValidation>
        <x14:dataValidation type="list" allowBlank="1" showInputMessage="1" showErrorMessage="1" xr:uid="{204C63EF-139E-4DCF-87C5-C1413D76F08F}">
          <x14:formula1>
            <xm:f>LISTS!$C$7:$C$9</xm:f>
          </x14:formula1>
          <xm:sqref>D10</xm:sqref>
        </x14:dataValidation>
        <x14:dataValidation type="list" allowBlank="1" showInputMessage="1" showErrorMessage="1" xr:uid="{02A4F4B2-CA44-4C0F-951D-7C349BD7AFEB}">
          <x14:formula1>
            <xm:f>LISTS!$C$11:$C$15</xm:f>
          </x14:formula1>
          <xm:sqref>D11</xm:sqref>
        </x14:dataValidation>
        <x14:dataValidation type="list" allowBlank="1" showInputMessage="1" showErrorMessage="1" xr:uid="{D6C3DA59-44C9-4E4B-8893-5EEB7E17375D}">
          <x14:formula1>
            <xm:f>LISTS!$G$7:$G$11</xm:f>
          </x14:formula1>
          <xm:sqref>D38:D42</xm:sqref>
        </x14:dataValidation>
        <x14:dataValidation type="list" allowBlank="1" showInputMessage="1" showErrorMessage="1" xr:uid="{1A267CA5-0348-4F32-BF79-432FCFC02438}">
          <x14:formula1>
            <xm:f>LISTS!$E$7:$E$11</xm:f>
          </x14:formula1>
          <xm:sqref>D46:D56</xm:sqref>
        </x14:dataValidation>
        <x14:dataValidation type="list" allowBlank="1" showInputMessage="1" showErrorMessage="1" xr:uid="{BE7A30BD-1760-4896-BACE-8BCA87088F96}">
          <x14:formula1>
            <xm:f>LISTS!$J$7:$J$16</xm:f>
          </x14:formula1>
          <xm:sqref>E46:E56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ED139-4EE0-4CD6-B60A-E51D5ED74DE8}">
  <sheetPr codeName="Sheet7"/>
  <dimension ref="B2:H84"/>
  <sheetViews>
    <sheetView showGridLines="0" topLeftCell="B1" zoomScale="85" zoomScaleNormal="85" workbookViewId="0">
      <selection activeCell="D9" sqref="D9"/>
    </sheetView>
  </sheetViews>
  <sheetFormatPr defaultRowHeight="15" x14ac:dyDescent="0.25"/>
  <cols>
    <col min="3" max="3" width="33.28515625" customWidth="1"/>
    <col min="4" max="4" width="51.5703125" customWidth="1"/>
    <col min="5" max="5" width="67.28515625" customWidth="1"/>
    <col min="6" max="6" width="63.140625" customWidth="1"/>
    <col min="7" max="7" width="12.42578125" customWidth="1"/>
    <col min="8" max="8" width="15.5703125" customWidth="1"/>
    <col min="9" max="9" width="14.7109375" customWidth="1"/>
  </cols>
  <sheetData>
    <row r="2" spans="2:6" ht="26.25" x14ac:dyDescent="0.4">
      <c r="C2" s="20" t="str">
        <f>D7</f>
        <v>XXXXSPS</v>
      </c>
      <c r="D2" s="20" t="str">
        <f>D8</f>
        <v>Learning Theory and Practice</v>
      </c>
    </row>
    <row r="3" spans="2:6" x14ac:dyDescent="0.25">
      <c r="B3" s="1"/>
      <c r="C3" s="1"/>
    </row>
    <row r="4" spans="2:6" x14ac:dyDescent="0.25">
      <c r="B4" s="2"/>
      <c r="C4" s="2"/>
    </row>
    <row r="5" spans="2:6" ht="18.75" x14ac:dyDescent="0.25">
      <c r="B5" s="2"/>
      <c r="C5" s="5" t="s">
        <v>0</v>
      </c>
    </row>
    <row r="6" spans="2:6" x14ac:dyDescent="0.25">
      <c r="B6" s="2"/>
      <c r="C6" s="3" t="s">
        <v>1</v>
      </c>
      <c r="D6" s="4" t="s">
        <v>2</v>
      </c>
      <c r="E6" s="4"/>
      <c r="F6" t="s">
        <v>3</v>
      </c>
    </row>
    <row r="7" spans="2:6" x14ac:dyDescent="0.25">
      <c r="B7" s="2"/>
      <c r="C7" s="3" t="s">
        <v>4</v>
      </c>
      <c r="D7" s="21" t="s">
        <v>210</v>
      </c>
      <c r="E7" s="4"/>
      <c r="F7" s="24"/>
    </row>
    <row r="8" spans="2:6" x14ac:dyDescent="0.25">
      <c r="B8" s="2"/>
      <c r="C8" s="3" t="s">
        <v>6</v>
      </c>
      <c r="D8" s="21" t="s">
        <v>211</v>
      </c>
      <c r="E8" s="4"/>
      <c r="F8" s="24"/>
    </row>
    <row r="9" spans="2:6" x14ac:dyDescent="0.25">
      <c r="C9" s="3" t="s">
        <v>7</v>
      </c>
      <c r="D9" s="21"/>
      <c r="E9" s="4"/>
    </row>
    <row r="10" spans="2:6" x14ac:dyDescent="0.25">
      <c r="C10" s="3" t="s">
        <v>8</v>
      </c>
      <c r="D10" s="21"/>
      <c r="E10" s="4"/>
      <c r="F10" t="s">
        <v>9</v>
      </c>
    </row>
    <row r="11" spans="2:6" x14ac:dyDescent="0.25">
      <c r="C11" s="3" t="s">
        <v>10</v>
      </c>
      <c r="D11" s="21"/>
      <c r="E11" s="4"/>
      <c r="F11" s="24"/>
    </row>
    <row r="12" spans="2:6" x14ac:dyDescent="0.25">
      <c r="C12" s="3" t="s">
        <v>11</v>
      </c>
      <c r="D12" s="21"/>
      <c r="E12" s="4"/>
      <c r="F12" s="24"/>
    </row>
    <row r="13" spans="2:6" x14ac:dyDescent="0.25">
      <c r="C13" s="3" t="s">
        <v>12</v>
      </c>
      <c r="D13" s="21"/>
      <c r="E13" s="4"/>
      <c r="F13" s="24"/>
    </row>
    <row r="14" spans="2:6" x14ac:dyDescent="0.25">
      <c r="C14" s="3" t="s">
        <v>13</v>
      </c>
      <c r="D14" s="21"/>
      <c r="E14" s="4"/>
    </row>
    <row r="15" spans="2:6" x14ac:dyDescent="0.25">
      <c r="C15" s="3"/>
      <c r="D15" s="4"/>
      <c r="E15" s="4"/>
      <c r="F15" t="s">
        <v>14</v>
      </c>
    </row>
    <row r="16" spans="2:6" x14ac:dyDescent="0.25">
      <c r="C16" s="3"/>
      <c r="D16" s="4"/>
      <c r="E16" s="4"/>
      <c r="F16" s="24"/>
    </row>
    <row r="17" spans="3:6" ht="18.75" x14ac:dyDescent="0.25">
      <c r="C17" s="5" t="s">
        <v>15</v>
      </c>
      <c r="D17" s="4"/>
      <c r="E17" s="4"/>
      <c r="F17" s="24"/>
    </row>
    <row r="18" spans="3:6" x14ac:dyDescent="0.25">
      <c r="C18" s="3" t="s">
        <v>16</v>
      </c>
      <c r="D18" s="1" t="s">
        <v>15</v>
      </c>
      <c r="E18" s="4"/>
      <c r="F18" s="24"/>
    </row>
    <row r="19" spans="3:6" x14ac:dyDescent="0.25">
      <c r="C19" s="3" t="s">
        <v>17</v>
      </c>
      <c r="D19" s="22"/>
      <c r="E19" s="4"/>
      <c r="F19" s="24"/>
    </row>
    <row r="20" spans="3:6" x14ac:dyDescent="0.25">
      <c r="C20" s="3" t="s">
        <v>18</v>
      </c>
      <c r="D20" s="22"/>
      <c r="E20" s="4"/>
      <c r="F20" s="24"/>
    </row>
    <row r="21" spans="3:6" x14ac:dyDescent="0.25">
      <c r="C21" s="3" t="s">
        <v>19</v>
      </c>
      <c r="D21" s="22"/>
      <c r="E21" s="4"/>
    </row>
    <row r="22" spans="3:6" x14ac:dyDescent="0.25">
      <c r="C22" s="3" t="s">
        <v>20</v>
      </c>
      <c r="D22" s="22"/>
      <c r="E22" s="4"/>
      <c r="F22" t="s">
        <v>21</v>
      </c>
    </row>
    <row r="23" spans="3:6" x14ac:dyDescent="0.25">
      <c r="C23" s="3" t="s">
        <v>22</v>
      </c>
      <c r="D23" s="22"/>
      <c r="E23" s="4"/>
      <c r="F23" s="24"/>
    </row>
    <row r="24" spans="3:6" x14ac:dyDescent="0.25">
      <c r="C24" s="3" t="s">
        <v>23</v>
      </c>
      <c r="D24" s="1">
        <f>SUM(D19:D23)</f>
        <v>0</v>
      </c>
      <c r="E24" s="4"/>
      <c r="F24" s="24"/>
    </row>
    <row r="25" spans="3:6" x14ac:dyDescent="0.25">
      <c r="F25" s="24"/>
    </row>
    <row r="26" spans="3:6" x14ac:dyDescent="0.25">
      <c r="F26" s="24"/>
    </row>
    <row r="27" spans="3:6" ht="18.75" x14ac:dyDescent="0.25">
      <c r="C27" s="5" t="s">
        <v>24</v>
      </c>
      <c r="D27" s="12" t="s">
        <v>25</v>
      </c>
      <c r="F27" s="24"/>
    </row>
    <row r="28" spans="3:6" x14ac:dyDescent="0.25">
      <c r="C28" s="3" t="s">
        <v>26</v>
      </c>
      <c r="D28" s="3" t="s">
        <v>27</v>
      </c>
      <c r="E28" s="3"/>
      <c r="F28" s="24"/>
    </row>
    <row r="29" spans="3:6" x14ac:dyDescent="0.25">
      <c r="C29" s="3" t="s">
        <v>28</v>
      </c>
      <c r="D29" s="21"/>
      <c r="E29" s="4"/>
      <c r="F29" s="24"/>
    </row>
    <row r="30" spans="3:6" x14ac:dyDescent="0.25">
      <c r="C30" s="3" t="s">
        <v>29</v>
      </c>
      <c r="D30" s="21"/>
      <c r="E30" s="4"/>
      <c r="F30" s="24"/>
    </row>
    <row r="31" spans="3:6" x14ac:dyDescent="0.25">
      <c r="C31" s="3" t="s">
        <v>30</v>
      </c>
      <c r="D31" s="21"/>
      <c r="E31" s="4"/>
      <c r="F31" s="24"/>
    </row>
    <row r="32" spans="3:6" x14ac:dyDescent="0.25">
      <c r="C32" s="3" t="s">
        <v>31</v>
      </c>
      <c r="D32" s="21"/>
      <c r="E32" s="4"/>
      <c r="F32" s="24"/>
    </row>
    <row r="33" spans="3:8" x14ac:dyDescent="0.25">
      <c r="C33" s="3" t="s">
        <v>32</v>
      </c>
      <c r="D33" s="21"/>
      <c r="E33" s="4"/>
      <c r="F33" s="24"/>
    </row>
    <row r="36" spans="3:8" ht="18.75" x14ac:dyDescent="0.25">
      <c r="C36" s="5" t="s">
        <v>33</v>
      </c>
    </row>
    <row r="37" spans="3:8" x14ac:dyDescent="0.25">
      <c r="C37" s="3" t="s">
        <v>34</v>
      </c>
      <c r="D37" s="3" t="s">
        <v>35</v>
      </c>
      <c r="E37" s="3" t="s">
        <v>36</v>
      </c>
      <c r="F37" s="3" t="s">
        <v>37</v>
      </c>
      <c r="G37" s="3" t="s">
        <v>38</v>
      </c>
      <c r="H37" s="3" t="s">
        <v>39</v>
      </c>
    </row>
    <row r="38" spans="3:8" x14ac:dyDescent="0.25">
      <c r="C38" s="3" t="s">
        <v>40</v>
      </c>
      <c r="D38" s="21" t="s">
        <v>41</v>
      </c>
      <c r="E38" s="21" t="s">
        <v>42</v>
      </c>
      <c r="F38" s="21" t="s">
        <v>43</v>
      </c>
      <c r="G38" s="23">
        <v>0.5</v>
      </c>
      <c r="H38" s="21">
        <v>6</v>
      </c>
    </row>
    <row r="39" spans="3:8" x14ac:dyDescent="0.25">
      <c r="C39" s="3" t="s">
        <v>44</v>
      </c>
      <c r="D39" s="21"/>
      <c r="E39" s="21"/>
      <c r="F39" s="21"/>
      <c r="G39" s="23">
        <v>0.5</v>
      </c>
      <c r="H39" s="21">
        <v>12</v>
      </c>
    </row>
    <row r="40" spans="3:8" x14ac:dyDescent="0.25">
      <c r="C40" s="3" t="s">
        <v>45</v>
      </c>
      <c r="D40" s="24"/>
      <c r="E40" s="24"/>
      <c r="F40" s="24"/>
      <c r="G40" s="24"/>
      <c r="H40" s="24"/>
    </row>
    <row r="41" spans="3:8" x14ac:dyDescent="0.25">
      <c r="C41" s="3" t="s">
        <v>46</v>
      </c>
      <c r="D41" s="24"/>
      <c r="E41" s="24"/>
      <c r="F41" s="24"/>
      <c r="G41" s="24"/>
      <c r="H41" s="24"/>
    </row>
    <row r="42" spans="3:8" x14ac:dyDescent="0.25">
      <c r="C42" s="3"/>
    </row>
    <row r="44" spans="3:8" ht="18.75" x14ac:dyDescent="0.25">
      <c r="C44" s="5" t="s">
        <v>47</v>
      </c>
      <c r="D44" s="12"/>
    </row>
    <row r="45" spans="3:8" x14ac:dyDescent="0.25">
      <c r="C45" s="1" t="s">
        <v>34</v>
      </c>
      <c r="D45" s="1" t="s">
        <v>26</v>
      </c>
      <c r="E45" s="1" t="s">
        <v>48</v>
      </c>
      <c r="F45" s="1" t="s">
        <v>49</v>
      </c>
    </row>
    <row r="46" spans="3:8" x14ac:dyDescent="0.25">
      <c r="C46" s="25" t="s">
        <v>40</v>
      </c>
      <c r="D46" s="24" t="s">
        <v>28</v>
      </c>
      <c r="E46" s="24" t="s">
        <v>50</v>
      </c>
      <c r="F46" s="24" t="s">
        <v>51</v>
      </c>
    </row>
    <row r="47" spans="3:8" x14ac:dyDescent="0.25">
      <c r="C47" s="25" t="s">
        <v>40</v>
      </c>
      <c r="D47" s="24" t="s">
        <v>28</v>
      </c>
      <c r="E47" s="24" t="s">
        <v>50</v>
      </c>
      <c r="F47" s="24" t="s">
        <v>52</v>
      </c>
    </row>
    <row r="48" spans="3:8" x14ac:dyDescent="0.25">
      <c r="C48" s="25" t="s">
        <v>40</v>
      </c>
      <c r="D48" s="24" t="s">
        <v>28</v>
      </c>
      <c r="E48" s="24" t="s">
        <v>53</v>
      </c>
      <c r="F48" s="24" t="s">
        <v>54</v>
      </c>
    </row>
    <row r="49" spans="2:6" x14ac:dyDescent="0.25">
      <c r="C49" s="25" t="s">
        <v>44</v>
      </c>
      <c r="D49" s="24" t="s">
        <v>29</v>
      </c>
      <c r="E49" s="24" t="s">
        <v>55</v>
      </c>
      <c r="F49" s="24" t="s">
        <v>56</v>
      </c>
    </row>
    <row r="50" spans="2:6" x14ac:dyDescent="0.25">
      <c r="C50" s="25" t="s">
        <v>44</v>
      </c>
      <c r="D50" s="24" t="s">
        <v>29</v>
      </c>
      <c r="E50" s="24" t="s">
        <v>57</v>
      </c>
      <c r="F50" s="24" t="s">
        <v>58</v>
      </c>
    </row>
    <row r="51" spans="2:6" x14ac:dyDescent="0.25">
      <c r="C51" s="25" t="s">
        <v>44</v>
      </c>
      <c r="D51" s="24"/>
      <c r="E51" s="24"/>
      <c r="F51" s="24"/>
    </row>
    <row r="52" spans="2:6" x14ac:dyDescent="0.25">
      <c r="C52" s="25" t="s">
        <v>45</v>
      </c>
      <c r="D52" s="24"/>
      <c r="E52" s="24"/>
      <c r="F52" s="24"/>
    </row>
    <row r="53" spans="2:6" x14ac:dyDescent="0.25">
      <c r="C53" s="25" t="s">
        <v>45</v>
      </c>
      <c r="D53" s="24"/>
      <c r="E53" s="24"/>
      <c r="F53" s="24"/>
    </row>
    <row r="54" spans="2:6" x14ac:dyDescent="0.25">
      <c r="C54" s="25" t="s">
        <v>45</v>
      </c>
      <c r="D54" s="24"/>
      <c r="E54" s="24"/>
      <c r="F54" s="24"/>
    </row>
    <row r="55" spans="2:6" x14ac:dyDescent="0.25">
      <c r="C55" s="25" t="s">
        <v>46</v>
      </c>
      <c r="D55" s="24"/>
      <c r="E55" s="24"/>
      <c r="F55" s="24"/>
    </row>
    <row r="56" spans="2:6" x14ac:dyDescent="0.25">
      <c r="C56" s="25" t="s">
        <v>46</v>
      </c>
      <c r="D56" s="24"/>
      <c r="E56" s="24"/>
      <c r="F56" s="24"/>
    </row>
    <row r="59" spans="2:6" ht="18.75" x14ac:dyDescent="0.25">
      <c r="C59" s="5" t="s">
        <v>59</v>
      </c>
    </row>
    <row r="60" spans="2:6" x14ac:dyDescent="0.25">
      <c r="B60" t="s">
        <v>60</v>
      </c>
      <c r="C60" s="1" t="s">
        <v>61</v>
      </c>
      <c r="D60" s="1" t="s">
        <v>62</v>
      </c>
      <c r="E60" s="1" t="s">
        <v>63</v>
      </c>
      <c r="F60" s="1" t="s">
        <v>64</v>
      </c>
    </row>
    <row r="61" spans="2:6" x14ac:dyDescent="0.25">
      <c r="B61" s="7">
        <v>1</v>
      </c>
      <c r="C61" s="1">
        <v>1</v>
      </c>
      <c r="D61" s="21" t="s">
        <v>65</v>
      </c>
      <c r="E61" s="21"/>
      <c r="F61" s="21"/>
    </row>
    <row r="62" spans="2:6" x14ac:dyDescent="0.25">
      <c r="B62" s="7">
        <v>1</v>
      </c>
      <c r="C62" s="1">
        <v>2</v>
      </c>
      <c r="D62" s="21" t="s">
        <v>66</v>
      </c>
      <c r="E62" s="21" t="s">
        <v>67</v>
      </c>
      <c r="F62" s="21" t="s">
        <v>18</v>
      </c>
    </row>
    <row r="63" spans="2:6" x14ac:dyDescent="0.25">
      <c r="B63" s="7">
        <v>1</v>
      </c>
      <c r="C63" s="1">
        <v>3</v>
      </c>
      <c r="D63" s="21" t="s">
        <v>68</v>
      </c>
      <c r="E63" s="21"/>
      <c r="F63" s="21"/>
    </row>
    <row r="64" spans="2:6" x14ac:dyDescent="0.25">
      <c r="B64" s="7">
        <v>1</v>
      </c>
      <c r="C64" s="1">
        <v>4</v>
      </c>
      <c r="D64" s="21" t="s">
        <v>69</v>
      </c>
      <c r="E64" s="21" t="s">
        <v>70</v>
      </c>
      <c r="F64" s="21" t="s">
        <v>18</v>
      </c>
    </row>
    <row r="65" spans="2:6" x14ac:dyDescent="0.25">
      <c r="B65" s="7">
        <v>1</v>
      </c>
      <c r="C65" s="1">
        <v>5</v>
      </c>
      <c r="D65" s="21" t="s">
        <v>71</v>
      </c>
      <c r="E65" s="21"/>
      <c r="F65" s="21"/>
    </row>
    <row r="66" spans="2:6" x14ac:dyDescent="0.25">
      <c r="B66" s="7">
        <v>1</v>
      </c>
      <c r="C66" s="1">
        <v>6</v>
      </c>
      <c r="D66" s="21" t="s">
        <v>72</v>
      </c>
      <c r="E66" s="21"/>
      <c r="F66" s="21" t="s">
        <v>18</v>
      </c>
    </row>
    <row r="67" spans="2:6" x14ac:dyDescent="0.25">
      <c r="B67" s="7">
        <v>1</v>
      </c>
      <c r="C67" s="1">
        <v>7</v>
      </c>
      <c r="D67" s="21" t="s">
        <v>73</v>
      </c>
      <c r="E67" s="21"/>
      <c r="F67" s="21"/>
    </row>
    <row r="68" spans="2:6" x14ac:dyDescent="0.25">
      <c r="B68" s="7">
        <v>1</v>
      </c>
      <c r="C68" s="1">
        <v>8</v>
      </c>
      <c r="D68" s="21" t="s">
        <v>74</v>
      </c>
      <c r="E68" s="21"/>
      <c r="F68" s="21" t="s">
        <v>18</v>
      </c>
    </row>
    <row r="69" spans="2:6" x14ac:dyDescent="0.25">
      <c r="B69" s="7">
        <v>1</v>
      </c>
      <c r="C69" s="1">
        <v>9</v>
      </c>
      <c r="D69" s="21" t="s">
        <v>75</v>
      </c>
      <c r="E69" s="21"/>
      <c r="F69" s="21"/>
    </row>
    <row r="70" spans="2:6" x14ac:dyDescent="0.25">
      <c r="B70" s="7">
        <v>1</v>
      </c>
      <c r="C70" s="1">
        <v>10</v>
      </c>
      <c r="D70" s="21" t="s">
        <v>76</v>
      </c>
      <c r="E70" s="21" t="s">
        <v>77</v>
      </c>
      <c r="F70" s="21" t="s">
        <v>18</v>
      </c>
    </row>
    <row r="71" spans="2:6" x14ac:dyDescent="0.25">
      <c r="B71" s="7">
        <v>1</v>
      </c>
      <c r="C71" s="1">
        <v>11</v>
      </c>
      <c r="D71" s="21" t="s">
        <v>78</v>
      </c>
      <c r="E71" s="21"/>
      <c r="F71" s="21"/>
    </row>
    <row r="72" spans="2:6" x14ac:dyDescent="0.25">
      <c r="B72" s="7">
        <v>1</v>
      </c>
      <c r="C72" s="1">
        <v>12</v>
      </c>
      <c r="D72" s="21" t="s">
        <v>79</v>
      </c>
      <c r="E72" s="21"/>
      <c r="F72" s="21" t="s">
        <v>18</v>
      </c>
    </row>
    <row r="73" spans="2:6" x14ac:dyDescent="0.25">
      <c r="B73" s="7">
        <v>2</v>
      </c>
      <c r="C73" s="1">
        <v>1</v>
      </c>
      <c r="D73" s="21"/>
      <c r="E73" s="21"/>
      <c r="F73" s="21"/>
    </row>
    <row r="74" spans="2:6" x14ac:dyDescent="0.25">
      <c r="B74" s="7">
        <v>2</v>
      </c>
      <c r="C74" s="1">
        <v>2</v>
      </c>
      <c r="D74" s="21"/>
      <c r="E74" s="21"/>
      <c r="F74" s="21"/>
    </row>
    <row r="75" spans="2:6" x14ac:dyDescent="0.25">
      <c r="B75" s="7">
        <v>2</v>
      </c>
      <c r="C75" s="1">
        <v>3</v>
      </c>
      <c r="D75" s="21"/>
      <c r="E75" s="21"/>
      <c r="F75" s="21"/>
    </row>
    <row r="76" spans="2:6" x14ac:dyDescent="0.25">
      <c r="B76" s="7">
        <v>2</v>
      </c>
      <c r="C76" s="1">
        <v>4</v>
      </c>
      <c r="D76" s="21"/>
      <c r="E76" s="21"/>
      <c r="F76" s="21"/>
    </row>
    <row r="77" spans="2:6" x14ac:dyDescent="0.25">
      <c r="B77" s="7">
        <v>2</v>
      </c>
      <c r="C77" s="1">
        <v>5</v>
      </c>
      <c r="D77" s="21"/>
      <c r="E77" s="21"/>
      <c r="F77" s="21"/>
    </row>
    <row r="78" spans="2:6" x14ac:dyDescent="0.25">
      <c r="B78" s="7">
        <v>2</v>
      </c>
      <c r="C78" s="1">
        <v>6</v>
      </c>
      <c r="D78" s="21"/>
      <c r="E78" s="21"/>
      <c r="F78" s="21"/>
    </row>
    <row r="79" spans="2:6" x14ac:dyDescent="0.25">
      <c r="B79" s="7">
        <v>2</v>
      </c>
      <c r="C79" s="1">
        <v>7</v>
      </c>
      <c r="D79" s="21"/>
      <c r="E79" s="21"/>
      <c r="F79" s="21"/>
    </row>
    <row r="80" spans="2:6" x14ac:dyDescent="0.25">
      <c r="B80" s="7">
        <v>2</v>
      </c>
      <c r="C80" s="1">
        <v>8</v>
      </c>
      <c r="D80" s="21"/>
      <c r="E80" s="21"/>
      <c r="F80" s="21"/>
    </row>
    <row r="81" spans="2:6" x14ac:dyDescent="0.25">
      <c r="B81" s="7">
        <v>2</v>
      </c>
      <c r="C81" s="1">
        <v>9</v>
      </c>
      <c r="D81" s="21"/>
      <c r="E81" s="21"/>
      <c r="F81" s="21"/>
    </row>
    <row r="82" spans="2:6" x14ac:dyDescent="0.25">
      <c r="B82" s="7">
        <v>2</v>
      </c>
      <c r="C82" s="1">
        <v>10</v>
      </c>
      <c r="D82" s="21"/>
      <c r="E82" s="21"/>
      <c r="F82" s="21"/>
    </row>
    <row r="83" spans="2:6" x14ac:dyDescent="0.25">
      <c r="B83" s="7">
        <v>2</v>
      </c>
      <c r="C83" s="1">
        <v>11</v>
      </c>
      <c r="D83" s="21"/>
      <c r="E83" s="21"/>
      <c r="F83" s="21"/>
    </row>
    <row r="84" spans="2:6" x14ac:dyDescent="0.25">
      <c r="B84" s="7">
        <v>2</v>
      </c>
      <c r="C84" s="1">
        <v>12</v>
      </c>
      <c r="D84" s="21"/>
      <c r="E84" s="21"/>
      <c r="F84" s="21"/>
    </row>
  </sheetData>
  <sheetProtection sheet="1" objects="1" scenarios="1" selectLockedCells="1" sort="0" autoFilter="0" pivotTables="0"/>
  <dataValidations count="4">
    <dataValidation type="whole" showInputMessage="1" showErrorMessage="1" error="This is not a realistic number of contact hours please reduce" sqref="D20:D23" xr:uid="{4CD06D9F-B01B-4457-970D-A06930C54E93}">
      <formula1>0</formula1>
      <formula2>80</formula2>
    </dataValidation>
    <dataValidation type="whole" showInputMessage="1" showErrorMessage="1" error="This is not a realistic number of contact hours please change" sqref="D19" xr:uid="{63F672F2-9C2D-49E0-B21F-66A62EA27310}">
      <formula1>0</formula1>
      <formula2>80</formula2>
    </dataValidation>
    <dataValidation type="list" allowBlank="1" showInputMessage="1" showErrorMessage="1" sqref="E38:E41" xr:uid="{DFA2EEE3-AB9D-4F7C-8E30-3C3C00872C8A}">
      <formula1>INDIRECT("LISTAssess[Assessment Specific]")</formula1>
    </dataValidation>
    <dataValidation type="list" allowBlank="1" showInputMessage="1" showErrorMessage="1" sqref="F46:F56" xr:uid="{BD0B3AD5-4A05-466E-9EAF-E466604786A1}">
      <formula1>INDIRECT(VLOOKUP($E46, SkillNameMap, 2, FALSE))</formula1>
    </dataValidation>
  </dataValidations>
  <pageMargins left="0.7" right="0.7" top="0.75" bottom="0.75" header="0.3" footer="0.3"/>
  <pageSetup paperSize="9" orientation="portrait" horizontalDpi="4294967293" verticalDpi="0" r:id="rId1"/>
  <tableParts count="10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9735843-EE1A-45FF-B467-A90D5F8EC861}">
          <x14:formula1>
            <xm:f>LISTS!$C$26:$C$37</xm:f>
          </x14:formula1>
          <xm:sqref>D14</xm:sqref>
        </x14:dataValidation>
        <x14:dataValidation type="list" allowBlank="1" showInputMessage="1" showErrorMessage="1" xr:uid="{681495C4-F231-4E60-A408-2A29AE659913}">
          <x14:formula1>
            <xm:f>LISTS!$C$17:$C$22</xm:f>
          </x14:formula1>
          <xm:sqref>D13</xm:sqref>
        </x14:dataValidation>
        <x14:dataValidation type="list" allowBlank="1" showInputMessage="1" showErrorMessage="1" xr:uid="{F64EA1C2-314E-47D2-98EB-EB9128A71684}">
          <x14:formula1>
            <xm:f>LISTS!$C$7:$C$9</xm:f>
          </x14:formula1>
          <xm:sqref>D10</xm:sqref>
        </x14:dataValidation>
        <x14:dataValidation type="list" allowBlank="1" showInputMessage="1" showErrorMessage="1" xr:uid="{983858DF-F117-4ABC-BB76-AC82A216171D}">
          <x14:formula1>
            <xm:f>LISTS!$C$11:$C$15</xm:f>
          </x14:formula1>
          <xm:sqref>D11</xm:sqref>
        </x14:dataValidation>
        <x14:dataValidation type="list" allowBlank="1" showInputMessage="1" showErrorMessage="1" xr:uid="{20095D0C-07FE-4EE7-BFEC-317D253839B4}">
          <x14:formula1>
            <xm:f>LISTS!$G$7:$G$11</xm:f>
          </x14:formula1>
          <xm:sqref>D38:D42</xm:sqref>
        </x14:dataValidation>
        <x14:dataValidation type="list" allowBlank="1" showInputMessage="1" showErrorMessage="1" xr:uid="{1AB77DFB-5427-40D4-BAEB-24C786FA7A86}">
          <x14:formula1>
            <xm:f>LISTS!$E$7:$E$11</xm:f>
          </x14:formula1>
          <xm:sqref>D46:D56</xm:sqref>
        </x14:dataValidation>
        <x14:dataValidation type="list" allowBlank="1" showInputMessage="1" showErrorMessage="1" xr:uid="{EB948922-0A22-4BD6-8094-4C6953146F85}">
          <x14:formula1>
            <xm:f>LISTS!$J$7:$J$16</xm:f>
          </x14:formula1>
          <xm:sqref>E46:E56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34455-5C9F-407B-9192-42F597732675}">
  <sheetPr codeName="Sheet8"/>
  <dimension ref="B2:H84"/>
  <sheetViews>
    <sheetView showGridLines="0" topLeftCell="B1" zoomScale="85" zoomScaleNormal="85" workbookViewId="0">
      <selection activeCell="D8" sqref="D8"/>
    </sheetView>
  </sheetViews>
  <sheetFormatPr defaultRowHeight="15" x14ac:dyDescent="0.25"/>
  <cols>
    <col min="3" max="3" width="33.28515625" customWidth="1"/>
    <col min="4" max="4" width="51.5703125" customWidth="1"/>
    <col min="5" max="5" width="67.28515625" customWidth="1"/>
    <col min="6" max="6" width="63.140625" customWidth="1"/>
    <col min="7" max="7" width="12.42578125" customWidth="1"/>
    <col min="8" max="8" width="15.5703125" customWidth="1"/>
    <col min="9" max="9" width="14.7109375" customWidth="1"/>
  </cols>
  <sheetData>
    <row r="2" spans="2:6" ht="26.25" x14ac:dyDescent="0.4">
      <c r="C2" s="20" t="str">
        <f>D7</f>
        <v>5XX2SPS</v>
      </c>
      <c r="D2" s="20" t="str">
        <f>D8</f>
        <v>Youth and Community Football Coaching</v>
      </c>
    </row>
    <row r="3" spans="2:6" x14ac:dyDescent="0.25">
      <c r="B3" s="1"/>
      <c r="C3" s="1"/>
    </row>
    <row r="4" spans="2:6" x14ac:dyDescent="0.25">
      <c r="B4" s="2"/>
      <c r="C4" s="2"/>
    </row>
    <row r="5" spans="2:6" ht="18.75" x14ac:dyDescent="0.25">
      <c r="B5" s="2"/>
      <c r="C5" s="5" t="s">
        <v>0</v>
      </c>
    </row>
    <row r="6" spans="2:6" x14ac:dyDescent="0.25">
      <c r="B6" s="2"/>
      <c r="C6" s="3" t="s">
        <v>1</v>
      </c>
      <c r="D6" s="4" t="s">
        <v>2</v>
      </c>
      <c r="E6" s="4"/>
      <c r="F6" t="s">
        <v>3</v>
      </c>
    </row>
    <row r="7" spans="2:6" x14ac:dyDescent="0.25">
      <c r="B7" s="2"/>
      <c r="C7" s="3" t="s">
        <v>4</v>
      </c>
      <c r="D7" s="21" t="s">
        <v>217</v>
      </c>
      <c r="E7" s="4"/>
      <c r="F7" s="24"/>
    </row>
    <row r="8" spans="2:6" x14ac:dyDescent="0.25">
      <c r="B8" s="2"/>
      <c r="C8" s="3" t="s">
        <v>6</v>
      </c>
      <c r="D8" s="21" t="s">
        <v>216</v>
      </c>
      <c r="E8" s="4"/>
      <c r="F8" s="24"/>
    </row>
    <row r="9" spans="2:6" x14ac:dyDescent="0.25">
      <c r="C9" s="3" t="s">
        <v>7</v>
      </c>
      <c r="D9" s="21"/>
      <c r="E9" s="4"/>
    </row>
    <row r="10" spans="2:6" x14ac:dyDescent="0.25">
      <c r="C10" s="3" t="s">
        <v>8</v>
      </c>
      <c r="D10" s="21"/>
      <c r="E10" s="4"/>
      <c r="F10" t="s">
        <v>9</v>
      </c>
    </row>
    <row r="11" spans="2:6" x14ac:dyDescent="0.25">
      <c r="C11" s="3" t="s">
        <v>10</v>
      </c>
      <c r="D11" s="21"/>
      <c r="E11" s="4"/>
      <c r="F11" s="24"/>
    </row>
    <row r="12" spans="2:6" x14ac:dyDescent="0.25">
      <c r="C12" s="3" t="s">
        <v>11</v>
      </c>
      <c r="D12" s="21"/>
      <c r="E12" s="4"/>
      <c r="F12" s="24"/>
    </row>
    <row r="13" spans="2:6" x14ac:dyDescent="0.25">
      <c r="C13" s="3" t="s">
        <v>12</v>
      </c>
      <c r="D13" s="21"/>
      <c r="E13" s="4"/>
      <c r="F13" s="24"/>
    </row>
    <row r="14" spans="2:6" x14ac:dyDescent="0.25">
      <c r="C14" s="3" t="s">
        <v>13</v>
      </c>
      <c r="D14" s="21"/>
      <c r="E14" s="4"/>
    </row>
    <row r="15" spans="2:6" x14ac:dyDescent="0.25">
      <c r="C15" s="3"/>
      <c r="D15" s="4"/>
      <c r="E15" s="4"/>
      <c r="F15" t="s">
        <v>14</v>
      </c>
    </row>
    <row r="16" spans="2:6" x14ac:dyDescent="0.25">
      <c r="C16" s="3"/>
      <c r="D16" s="4"/>
      <c r="E16" s="4"/>
      <c r="F16" s="24"/>
    </row>
    <row r="17" spans="3:6" ht="18.75" x14ac:dyDescent="0.25">
      <c r="C17" s="5" t="s">
        <v>15</v>
      </c>
      <c r="D17" s="4"/>
      <c r="E17" s="4"/>
      <c r="F17" s="24"/>
    </row>
    <row r="18" spans="3:6" x14ac:dyDescent="0.25">
      <c r="C18" s="3" t="s">
        <v>16</v>
      </c>
      <c r="D18" s="1" t="s">
        <v>15</v>
      </c>
      <c r="E18" s="4"/>
      <c r="F18" s="24"/>
    </row>
    <row r="19" spans="3:6" x14ac:dyDescent="0.25">
      <c r="C19" s="3" t="s">
        <v>17</v>
      </c>
      <c r="D19" s="22"/>
      <c r="E19" s="4"/>
      <c r="F19" s="24"/>
    </row>
    <row r="20" spans="3:6" x14ac:dyDescent="0.25">
      <c r="C20" s="3" t="s">
        <v>18</v>
      </c>
      <c r="D20" s="22"/>
      <c r="E20" s="4"/>
      <c r="F20" s="24"/>
    </row>
    <row r="21" spans="3:6" x14ac:dyDescent="0.25">
      <c r="C21" s="3" t="s">
        <v>19</v>
      </c>
      <c r="D21" s="22"/>
      <c r="E21" s="4"/>
    </row>
    <row r="22" spans="3:6" x14ac:dyDescent="0.25">
      <c r="C22" s="3" t="s">
        <v>20</v>
      </c>
      <c r="D22" s="22"/>
      <c r="E22" s="4"/>
      <c r="F22" t="s">
        <v>21</v>
      </c>
    </row>
    <row r="23" spans="3:6" x14ac:dyDescent="0.25">
      <c r="C23" s="3" t="s">
        <v>22</v>
      </c>
      <c r="D23" s="22"/>
      <c r="E23" s="4"/>
      <c r="F23" s="24"/>
    </row>
    <row r="24" spans="3:6" x14ac:dyDescent="0.25">
      <c r="C24" s="3" t="s">
        <v>23</v>
      </c>
      <c r="D24" s="1">
        <f>SUM(D19:D23)</f>
        <v>0</v>
      </c>
      <c r="E24" s="4"/>
      <c r="F24" s="24"/>
    </row>
    <row r="25" spans="3:6" x14ac:dyDescent="0.25">
      <c r="F25" s="24"/>
    </row>
    <row r="26" spans="3:6" x14ac:dyDescent="0.25">
      <c r="F26" s="24"/>
    </row>
    <row r="27" spans="3:6" ht="18.75" x14ac:dyDescent="0.25">
      <c r="C27" s="5" t="s">
        <v>24</v>
      </c>
      <c r="D27" s="12" t="s">
        <v>25</v>
      </c>
      <c r="F27" s="24"/>
    </row>
    <row r="28" spans="3:6" x14ac:dyDescent="0.25">
      <c r="C28" s="3" t="s">
        <v>26</v>
      </c>
      <c r="D28" s="3" t="s">
        <v>27</v>
      </c>
      <c r="E28" s="3"/>
      <c r="F28" s="24"/>
    </row>
    <row r="29" spans="3:6" x14ac:dyDescent="0.25">
      <c r="C29" s="3" t="s">
        <v>28</v>
      </c>
      <c r="D29" s="21"/>
      <c r="E29" s="4"/>
      <c r="F29" s="24"/>
    </row>
    <row r="30" spans="3:6" x14ac:dyDescent="0.25">
      <c r="C30" s="3" t="s">
        <v>29</v>
      </c>
      <c r="D30" s="21"/>
      <c r="E30" s="4"/>
      <c r="F30" s="24"/>
    </row>
    <row r="31" spans="3:6" x14ac:dyDescent="0.25">
      <c r="C31" s="3" t="s">
        <v>30</v>
      </c>
      <c r="D31" s="21"/>
      <c r="E31" s="4"/>
      <c r="F31" s="24"/>
    </row>
    <row r="32" spans="3:6" x14ac:dyDescent="0.25">
      <c r="C32" s="3" t="s">
        <v>31</v>
      </c>
      <c r="D32" s="21"/>
      <c r="E32" s="4"/>
      <c r="F32" s="24"/>
    </row>
    <row r="33" spans="3:8" x14ac:dyDescent="0.25">
      <c r="C33" s="3" t="s">
        <v>32</v>
      </c>
      <c r="D33" s="21"/>
      <c r="E33" s="4"/>
      <c r="F33" s="24"/>
    </row>
    <row r="36" spans="3:8" ht="18.75" x14ac:dyDescent="0.25">
      <c r="C36" s="5" t="s">
        <v>33</v>
      </c>
    </row>
    <row r="37" spans="3:8" x14ac:dyDescent="0.25">
      <c r="C37" s="3" t="s">
        <v>34</v>
      </c>
      <c r="D37" s="3" t="s">
        <v>35</v>
      </c>
      <c r="E37" s="3" t="s">
        <v>36</v>
      </c>
      <c r="F37" s="3" t="s">
        <v>37</v>
      </c>
      <c r="G37" s="3" t="s">
        <v>38</v>
      </c>
      <c r="H37" s="3" t="s">
        <v>39</v>
      </c>
    </row>
    <row r="38" spans="3:8" x14ac:dyDescent="0.25">
      <c r="C38" s="3" t="s">
        <v>40</v>
      </c>
      <c r="D38" s="21" t="s">
        <v>41</v>
      </c>
      <c r="E38" s="21" t="s">
        <v>42</v>
      </c>
      <c r="F38" s="21" t="s">
        <v>43</v>
      </c>
      <c r="G38" s="23">
        <v>0.5</v>
      </c>
      <c r="H38" s="21">
        <v>6</v>
      </c>
    </row>
    <row r="39" spans="3:8" x14ac:dyDescent="0.25">
      <c r="C39" s="3" t="s">
        <v>44</v>
      </c>
      <c r="D39" s="21"/>
      <c r="E39" s="21"/>
      <c r="F39" s="21"/>
      <c r="G39" s="23">
        <v>0.5</v>
      </c>
      <c r="H39" s="21">
        <v>12</v>
      </c>
    </row>
    <row r="40" spans="3:8" x14ac:dyDescent="0.25">
      <c r="C40" s="3" t="s">
        <v>45</v>
      </c>
      <c r="D40" s="24"/>
      <c r="E40" s="24"/>
      <c r="F40" s="24"/>
      <c r="G40" s="24"/>
      <c r="H40" s="24"/>
    </row>
    <row r="41" spans="3:8" x14ac:dyDescent="0.25">
      <c r="C41" s="3" t="s">
        <v>46</v>
      </c>
      <c r="D41" s="24"/>
      <c r="E41" s="24"/>
      <c r="F41" s="24"/>
      <c r="G41" s="24"/>
      <c r="H41" s="24"/>
    </row>
    <row r="42" spans="3:8" x14ac:dyDescent="0.25">
      <c r="C42" s="3"/>
    </row>
    <row r="44" spans="3:8" ht="18.75" x14ac:dyDescent="0.25">
      <c r="C44" s="5" t="s">
        <v>47</v>
      </c>
      <c r="D44" s="12"/>
    </row>
    <row r="45" spans="3:8" x14ac:dyDescent="0.25">
      <c r="C45" s="1" t="s">
        <v>34</v>
      </c>
      <c r="D45" s="1" t="s">
        <v>26</v>
      </c>
      <c r="E45" s="1" t="s">
        <v>48</v>
      </c>
      <c r="F45" s="1" t="s">
        <v>49</v>
      </c>
    </row>
    <row r="46" spans="3:8" x14ac:dyDescent="0.25">
      <c r="C46" s="25" t="s">
        <v>40</v>
      </c>
      <c r="D46" s="24" t="s">
        <v>28</v>
      </c>
      <c r="E46" s="24" t="s">
        <v>50</v>
      </c>
      <c r="F46" s="24" t="s">
        <v>51</v>
      </c>
    </row>
    <row r="47" spans="3:8" x14ac:dyDescent="0.25">
      <c r="C47" s="25" t="s">
        <v>40</v>
      </c>
      <c r="D47" s="24" t="s">
        <v>28</v>
      </c>
      <c r="E47" s="24" t="s">
        <v>50</v>
      </c>
      <c r="F47" s="24" t="s">
        <v>52</v>
      </c>
    </row>
    <row r="48" spans="3:8" x14ac:dyDescent="0.25">
      <c r="C48" s="25" t="s">
        <v>40</v>
      </c>
      <c r="D48" s="24" t="s">
        <v>28</v>
      </c>
      <c r="E48" s="24" t="s">
        <v>53</v>
      </c>
      <c r="F48" s="24" t="s">
        <v>54</v>
      </c>
    </row>
    <row r="49" spans="2:6" x14ac:dyDescent="0.25">
      <c r="C49" s="25" t="s">
        <v>44</v>
      </c>
      <c r="D49" s="24" t="s">
        <v>29</v>
      </c>
      <c r="E49" s="24" t="s">
        <v>55</v>
      </c>
      <c r="F49" s="24" t="s">
        <v>56</v>
      </c>
    </row>
    <row r="50" spans="2:6" x14ac:dyDescent="0.25">
      <c r="C50" s="25" t="s">
        <v>44</v>
      </c>
      <c r="D50" s="24" t="s">
        <v>29</v>
      </c>
      <c r="E50" s="24" t="s">
        <v>57</v>
      </c>
      <c r="F50" s="24" t="s">
        <v>58</v>
      </c>
    </row>
    <row r="51" spans="2:6" x14ac:dyDescent="0.25">
      <c r="C51" s="25" t="s">
        <v>44</v>
      </c>
      <c r="D51" s="24"/>
      <c r="E51" s="24"/>
      <c r="F51" s="24"/>
    </row>
    <row r="52" spans="2:6" x14ac:dyDescent="0.25">
      <c r="C52" s="25" t="s">
        <v>45</v>
      </c>
      <c r="D52" s="24"/>
      <c r="E52" s="24"/>
      <c r="F52" s="24"/>
    </row>
    <row r="53" spans="2:6" x14ac:dyDescent="0.25">
      <c r="C53" s="25" t="s">
        <v>45</v>
      </c>
      <c r="D53" s="24"/>
      <c r="E53" s="24"/>
      <c r="F53" s="24"/>
    </row>
    <row r="54" spans="2:6" x14ac:dyDescent="0.25">
      <c r="C54" s="25" t="s">
        <v>45</v>
      </c>
      <c r="D54" s="24"/>
      <c r="E54" s="24"/>
      <c r="F54" s="24"/>
    </row>
    <row r="55" spans="2:6" x14ac:dyDescent="0.25">
      <c r="C55" s="25" t="s">
        <v>46</v>
      </c>
      <c r="D55" s="24"/>
      <c r="E55" s="24"/>
      <c r="F55" s="24"/>
    </row>
    <row r="56" spans="2:6" x14ac:dyDescent="0.25">
      <c r="C56" s="25" t="s">
        <v>46</v>
      </c>
      <c r="D56" s="24"/>
      <c r="E56" s="24"/>
      <c r="F56" s="24"/>
    </row>
    <row r="59" spans="2:6" ht="18.75" x14ac:dyDescent="0.25">
      <c r="C59" s="5" t="s">
        <v>59</v>
      </c>
    </row>
    <row r="60" spans="2:6" x14ac:dyDescent="0.25">
      <c r="B60" t="s">
        <v>60</v>
      </c>
      <c r="C60" s="1" t="s">
        <v>61</v>
      </c>
      <c r="D60" s="1" t="s">
        <v>62</v>
      </c>
      <c r="E60" s="1" t="s">
        <v>63</v>
      </c>
      <c r="F60" s="1" t="s">
        <v>64</v>
      </c>
    </row>
    <row r="61" spans="2:6" x14ac:dyDescent="0.25">
      <c r="B61" s="7">
        <v>1</v>
      </c>
      <c r="C61" s="1">
        <v>1</v>
      </c>
      <c r="D61" s="21" t="s">
        <v>65</v>
      </c>
      <c r="E61" s="21"/>
      <c r="F61" s="21"/>
    </row>
    <row r="62" spans="2:6" x14ac:dyDescent="0.25">
      <c r="B62" s="7">
        <v>1</v>
      </c>
      <c r="C62" s="1">
        <v>2</v>
      </c>
      <c r="D62" s="21" t="s">
        <v>66</v>
      </c>
      <c r="E62" s="21" t="s">
        <v>67</v>
      </c>
      <c r="F62" s="21" t="s">
        <v>18</v>
      </c>
    </row>
    <row r="63" spans="2:6" x14ac:dyDescent="0.25">
      <c r="B63" s="7">
        <v>1</v>
      </c>
      <c r="C63" s="1">
        <v>3</v>
      </c>
      <c r="D63" s="21" t="s">
        <v>68</v>
      </c>
      <c r="E63" s="21"/>
      <c r="F63" s="21"/>
    </row>
    <row r="64" spans="2:6" x14ac:dyDescent="0.25">
      <c r="B64" s="7">
        <v>1</v>
      </c>
      <c r="C64" s="1">
        <v>4</v>
      </c>
      <c r="D64" s="21" t="s">
        <v>69</v>
      </c>
      <c r="E64" s="21" t="s">
        <v>70</v>
      </c>
      <c r="F64" s="21" t="s">
        <v>18</v>
      </c>
    </row>
    <row r="65" spans="2:6" x14ac:dyDescent="0.25">
      <c r="B65" s="7">
        <v>1</v>
      </c>
      <c r="C65" s="1">
        <v>5</v>
      </c>
      <c r="D65" s="21" t="s">
        <v>71</v>
      </c>
      <c r="E65" s="21"/>
      <c r="F65" s="21"/>
    </row>
    <row r="66" spans="2:6" x14ac:dyDescent="0.25">
      <c r="B66" s="7">
        <v>1</v>
      </c>
      <c r="C66" s="1">
        <v>6</v>
      </c>
      <c r="D66" s="21" t="s">
        <v>72</v>
      </c>
      <c r="E66" s="21"/>
      <c r="F66" s="21" t="s">
        <v>18</v>
      </c>
    </row>
    <row r="67" spans="2:6" x14ac:dyDescent="0.25">
      <c r="B67" s="7">
        <v>1</v>
      </c>
      <c r="C67" s="1">
        <v>7</v>
      </c>
      <c r="D67" s="21" t="s">
        <v>73</v>
      </c>
      <c r="E67" s="21"/>
      <c r="F67" s="21"/>
    </row>
    <row r="68" spans="2:6" x14ac:dyDescent="0.25">
      <c r="B68" s="7">
        <v>1</v>
      </c>
      <c r="C68" s="1">
        <v>8</v>
      </c>
      <c r="D68" s="21" t="s">
        <v>74</v>
      </c>
      <c r="E68" s="21"/>
      <c r="F68" s="21" t="s">
        <v>18</v>
      </c>
    </row>
    <row r="69" spans="2:6" x14ac:dyDescent="0.25">
      <c r="B69" s="7">
        <v>1</v>
      </c>
      <c r="C69" s="1">
        <v>9</v>
      </c>
      <c r="D69" s="21" t="s">
        <v>75</v>
      </c>
      <c r="E69" s="21"/>
      <c r="F69" s="21"/>
    </row>
    <row r="70" spans="2:6" x14ac:dyDescent="0.25">
      <c r="B70" s="7">
        <v>1</v>
      </c>
      <c r="C70" s="1">
        <v>10</v>
      </c>
      <c r="D70" s="21" t="s">
        <v>76</v>
      </c>
      <c r="E70" s="21" t="s">
        <v>77</v>
      </c>
      <c r="F70" s="21" t="s">
        <v>18</v>
      </c>
    </row>
    <row r="71" spans="2:6" x14ac:dyDescent="0.25">
      <c r="B71" s="7">
        <v>1</v>
      </c>
      <c r="C71" s="1">
        <v>11</v>
      </c>
      <c r="D71" s="21" t="s">
        <v>78</v>
      </c>
      <c r="E71" s="21"/>
      <c r="F71" s="21"/>
    </row>
    <row r="72" spans="2:6" x14ac:dyDescent="0.25">
      <c r="B72" s="7">
        <v>1</v>
      </c>
      <c r="C72" s="1">
        <v>12</v>
      </c>
      <c r="D72" s="21" t="s">
        <v>79</v>
      </c>
      <c r="E72" s="21"/>
      <c r="F72" s="21" t="s">
        <v>18</v>
      </c>
    </row>
    <row r="73" spans="2:6" x14ac:dyDescent="0.25">
      <c r="B73" s="7">
        <v>2</v>
      </c>
      <c r="C73" s="1">
        <v>1</v>
      </c>
      <c r="D73" s="21"/>
      <c r="E73" s="21"/>
      <c r="F73" s="21"/>
    </row>
    <row r="74" spans="2:6" x14ac:dyDescent="0.25">
      <c r="B74" s="7">
        <v>2</v>
      </c>
      <c r="C74" s="1">
        <v>2</v>
      </c>
      <c r="D74" s="21"/>
      <c r="E74" s="21"/>
      <c r="F74" s="21"/>
    </row>
    <row r="75" spans="2:6" x14ac:dyDescent="0.25">
      <c r="B75" s="7">
        <v>2</v>
      </c>
      <c r="C75" s="1">
        <v>3</v>
      </c>
      <c r="D75" s="21"/>
      <c r="E75" s="21"/>
      <c r="F75" s="21"/>
    </row>
    <row r="76" spans="2:6" x14ac:dyDescent="0.25">
      <c r="B76" s="7">
        <v>2</v>
      </c>
      <c r="C76" s="1">
        <v>4</v>
      </c>
      <c r="D76" s="21"/>
      <c r="E76" s="21"/>
      <c r="F76" s="21"/>
    </row>
    <row r="77" spans="2:6" x14ac:dyDescent="0.25">
      <c r="B77" s="7">
        <v>2</v>
      </c>
      <c r="C77" s="1">
        <v>5</v>
      </c>
      <c r="D77" s="21"/>
      <c r="E77" s="21"/>
      <c r="F77" s="21"/>
    </row>
    <row r="78" spans="2:6" x14ac:dyDescent="0.25">
      <c r="B78" s="7">
        <v>2</v>
      </c>
      <c r="C78" s="1">
        <v>6</v>
      </c>
      <c r="D78" s="21"/>
      <c r="E78" s="21"/>
      <c r="F78" s="21"/>
    </row>
    <row r="79" spans="2:6" x14ac:dyDescent="0.25">
      <c r="B79" s="7">
        <v>2</v>
      </c>
      <c r="C79" s="1">
        <v>7</v>
      </c>
      <c r="D79" s="21"/>
      <c r="E79" s="21"/>
      <c r="F79" s="21"/>
    </row>
    <row r="80" spans="2:6" x14ac:dyDescent="0.25">
      <c r="B80" s="7">
        <v>2</v>
      </c>
      <c r="C80" s="1">
        <v>8</v>
      </c>
      <c r="D80" s="21"/>
      <c r="E80" s="21"/>
      <c r="F80" s="21"/>
    </row>
    <row r="81" spans="2:6" x14ac:dyDescent="0.25">
      <c r="B81" s="7">
        <v>2</v>
      </c>
      <c r="C81" s="1">
        <v>9</v>
      </c>
      <c r="D81" s="21"/>
      <c r="E81" s="21"/>
      <c r="F81" s="21"/>
    </row>
    <row r="82" spans="2:6" x14ac:dyDescent="0.25">
      <c r="B82" s="7">
        <v>2</v>
      </c>
      <c r="C82" s="1">
        <v>10</v>
      </c>
      <c r="D82" s="21"/>
      <c r="E82" s="21"/>
      <c r="F82" s="21"/>
    </row>
    <row r="83" spans="2:6" x14ac:dyDescent="0.25">
      <c r="B83" s="7">
        <v>2</v>
      </c>
      <c r="C83" s="1">
        <v>11</v>
      </c>
      <c r="D83" s="21"/>
      <c r="E83" s="21"/>
      <c r="F83" s="21"/>
    </row>
    <row r="84" spans="2:6" x14ac:dyDescent="0.25">
      <c r="B84" s="7">
        <v>2</v>
      </c>
      <c r="C84" s="1">
        <v>12</v>
      </c>
      <c r="D84" s="21"/>
      <c r="E84" s="21"/>
      <c r="F84" s="21"/>
    </row>
  </sheetData>
  <sheetProtection sheet="1" objects="1" scenarios="1" selectLockedCells="1" sort="0" autoFilter="0" pivotTables="0"/>
  <dataValidations count="4">
    <dataValidation type="list" allowBlank="1" showInputMessage="1" showErrorMessage="1" sqref="F46:F56" xr:uid="{6DEBE8EC-2B57-4380-910E-0A2154580682}">
      <formula1>INDIRECT(VLOOKUP($E46, SkillNameMap, 2, FALSE))</formula1>
    </dataValidation>
    <dataValidation type="list" allowBlank="1" showInputMessage="1" showErrorMessage="1" sqref="E38:E41" xr:uid="{6274686E-0972-4BC0-8A91-115628F0C35E}">
      <formula1>INDIRECT("LISTAssess[Assessment Specific]")</formula1>
    </dataValidation>
    <dataValidation type="whole" showInputMessage="1" showErrorMessage="1" error="This is not a realistic number of contact hours please change" sqref="D19" xr:uid="{D71B7080-AED5-4BD2-BC61-46D1FB03F689}">
      <formula1>0</formula1>
      <formula2>80</formula2>
    </dataValidation>
    <dataValidation type="whole" showInputMessage="1" showErrorMessage="1" error="This is not a realistic number of contact hours please reduce" sqref="D20:D23" xr:uid="{50629AB0-717B-48FC-8FF1-8B4D77B3991E}">
      <formula1>0</formula1>
      <formula2>80</formula2>
    </dataValidation>
  </dataValidations>
  <pageMargins left="0.7" right="0.7" top="0.75" bottom="0.75" header="0.3" footer="0.3"/>
  <pageSetup paperSize="9" orientation="portrait" horizontalDpi="4294967293" verticalDpi="0" r:id="rId1"/>
  <tableParts count="10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96DA8F40-9192-4741-B2FE-57A9C46482DF}">
          <x14:formula1>
            <xm:f>LISTS!$J$7:$J$16</xm:f>
          </x14:formula1>
          <xm:sqref>E46:E56</xm:sqref>
        </x14:dataValidation>
        <x14:dataValidation type="list" allowBlank="1" showInputMessage="1" showErrorMessage="1" xr:uid="{A4EF2000-8BB6-4BFE-B91D-91E943534494}">
          <x14:formula1>
            <xm:f>LISTS!$E$7:$E$11</xm:f>
          </x14:formula1>
          <xm:sqref>D46:D56</xm:sqref>
        </x14:dataValidation>
        <x14:dataValidation type="list" allowBlank="1" showInputMessage="1" showErrorMessage="1" xr:uid="{C6D73155-D6B3-465B-BEF7-0FA25E168DED}">
          <x14:formula1>
            <xm:f>LISTS!$G$7:$G$11</xm:f>
          </x14:formula1>
          <xm:sqref>D38:D42</xm:sqref>
        </x14:dataValidation>
        <x14:dataValidation type="list" allowBlank="1" showInputMessage="1" showErrorMessage="1" xr:uid="{B0028DB5-73A5-49CC-9F11-A5A6090C114A}">
          <x14:formula1>
            <xm:f>LISTS!$C$11:$C$15</xm:f>
          </x14:formula1>
          <xm:sqref>D11</xm:sqref>
        </x14:dataValidation>
        <x14:dataValidation type="list" allowBlank="1" showInputMessage="1" showErrorMessage="1" xr:uid="{B42E3CF9-1ABB-4684-872B-EC2BAFBA300F}">
          <x14:formula1>
            <xm:f>LISTS!$C$7:$C$9</xm:f>
          </x14:formula1>
          <xm:sqref>D10</xm:sqref>
        </x14:dataValidation>
        <x14:dataValidation type="list" allowBlank="1" showInputMessage="1" showErrorMessage="1" xr:uid="{A8C95E66-AD61-4BFC-ABB4-381106E7EE30}">
          <x14:formula1>
            <xm:f>LISTS!$C$17:$C$22</xm:f>
          </x14:formula1>
          <xm:sqref>D13</xm:sqref>
        </x14:dataValidation>
        <x14:dataValidation type="list" allowBlank="1" showInputMessage="1" showErrorMessage="1" xr:uid="{6D716C63-5AE4-4FD1-B40D-675960865ED5}">
          <x14:formula1>
            <xm:f>LISTS!$C$26:$C$37</xm:f>
          </x14:formula1>
          <xm:sqref>D14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93CBE-AC61-4382-834C-8132B542CACA}">
  <sheetPr codeName="Sheet9"/>
  <dimension ref="B2:H84"/>
  <sheetViews>
    <sheetView showGridLines="0" topLeftCell="B1" zoomScale="85" zoomScaleNormal="85" workbookViewId="0">
      <selection activeCell="D8" sqref="D8"/>
    </sheetView>
  </sheetViews>
  <sheetFormatPr defaultRowHeight="15" x14ac:dyDescent="0.25"/>
  <cols>
    <col min="3" max="3" width="33.28515625" customWidth="1"/>
    <col min="4" max="4" width="51.5703125" customWidth="1"/>
    <col min="5" max="5" width="67.28515625" customWidth="1"/>
    <col min="6" max="6" width="63.140625" customWidth="1"/>
    <col min="7" max="7" width="12.42578125" customWidth="1"/>
    <col min="8" max="8" width="15.5703125" customWidth="1"/>
    <col min="9" max="9" width="14.7109375" customWidth="1"/>
  </cols>
  <sheetData>
    <row r="2" spans="2:6" ht="26.25" x14ac:dyDescent="0.4">
      <c r="C2" s="20" t="str">
        <f>D7</f>
        <v>6XX1SPS</v>
      </c>
      <c r="D2" s="20" t="str">
        <f>D8</f>
        <v xml:space="preserve">Advanced Coaching Practice </v>
      </c>
    </row>
    <row r="3" spans="2:6" x14ac:dyDescent="0.25">
      <c r="B3" s="1"/>
      <c r="C3" s="1"/>
    </row>
    <row r="4" spans="2:6" x14ac:dyDescent="0.25">
      <c r="B4" s="2"/>
      <c r="C4" s="2"/>
    </row>
    <row r="5" spans="2:6" ht="18.75" x14ac:dyDescent="0.25">
      <c r="B5" s="2"/>
      <c r="C5" s="5" t="s">
        <v>0</v>
      </c>
    </row>
    <row r="6" spans="2:6" x14ac:dyDescent="0.25">
      <c r="B6" s="2"/>
      <c r="C6" s="3" t="s">
        <v>1</v>
      </c>
      <c r="D6" s="4" t="s">
        <v>2</v>
      </c>
      <c r="E6" s="4"/>
      <c r="F6" t="s">
        <v>3</v>
      </c>
    </row>
    <row r="7" spans="2:6" x14ac:dyDescent="0.25">
      <c r="B7" s="2"/>
      <c r="C7" s="3" t="s">
        <v>4</v>
      </c>
      <c r="D7" s="21" t="s">
        <v>219</v>
      </c>
      <c r="E7" s="4"/>
      <c r="F7" s="24"/>
    </row>
    <row r="8" spans="2:6" x14ac:dyDescent="0.25">
      <c r="B8" s="2"/>
      <c r="C8" s="3" t="s">
        <v>6</v>
      </c>
      <c r="D8" s="21" t="s">
        <v>218</v>
      </c>
      <c r="E8" s="4"/>
      <c r="F8" s="24"/>
    </row>
    <row r="9" spans="2:6" x14ac:dyDescent="0.25">
      <c r="C9" s="3" t="s">
        <v>7</v>
      </c>
      <c r="D9" s="21"/>
      <c r="E9" s="4"/>
    </row>
    <row r="10" spans="2:6" x14ac:dyDescent="0.25">
      <c r="C10" s="3" t="s">
        <v>8</v>
      </c>
      <c r="D10" s="21"/>
      <c r="E10" s="4"/>
      <c r="F10" t="s">
        <v>9</v>
      </c>
    </row>
    <row r="11" spans="2:6" x14ac:dyDescent="0.25">
      <c r="C11" s="3" t="s">
        <v>10</v>
      </c>
      <c r="D11" s="21"/>
      <c r="E11" s="4"/>
      <c r="F11" s="24"/>
    </row>
    <row r="12" spans="2:6" x14ac:dyDescent="0.25">
      <c r="C12" s="3" t="s">
        <v>11</v>
      </c>
      <c r="D12" s="21"/>
      <c r="E12" s="4"/>
      <c r="F12" s="24"/>
    </row>
    <row r="13" spans="2:6" x14ac:dyDescent="0.25">
      <c r="C13" s="3" t="s">
        <v>12</v>
      </c>
      <c r="D13" s="21"/>
      <c r="E13" s="4"/>
      <c r="F13" s="24"/>
    </row>
    <row r="14" spans="2:6" x14ac:dyDescent="0.25">
      <c r="C14" s="3" t="s">
        <v>13</v>
      </c>
      <c r="D14" s="21"/>
      <c r="E14" s="4"/>
    </row>
    <row r="15" spans="2:6" x14ac:dyDescent="0.25">
      <c r="C15" s="3"/>
      <c r="D15" s="4"/>
      <c r="E15" s="4"/>
      <c r="F15" t="s">
        <v>14</v>
      </c>
    </row>
    <row r="16" spans="2:6" x14ac:dyDescent="0.25">
      <c r="C16" s="3"/>
      <c r="D16" s="4"/>
      <c r="E16" s="4"/>
      <c r="F16" s="24"/>
    </row>
    <row r="17" spans="3:6" ht="18.75" x14ac:dyDescent="0.25">
      <c r="C17" s="5" t="s">
        <v>15</v>
      </c>
      <c r="D17" s="4"/>
      <c r="E17" s="4"/>
      <c r="F17" s="24"/>
    </row>
    <row r="18" spans="3:6" x14ac:dyDescent="0.25">
      <c r="C18" s="3" t="s">
        <v>16</v>
      </c>
      <c r="D18" s="1" t="s">
        <v>15</v>
      </c>
      <c r="E18" s="4"/>
      <c r="F18" s="24"/>
    </row>
    <row r="19" spans="3:6" x14ac:dyDescent="0.25">
      <c r="C19" s="3" t="s">
        <v>17</v>
      </c>
      <c r="D19" s="22"/>
      <c r="E19" s="4"/>
      <c r="F19" s="24"/>
    </row>
    <row r="20" spans="3:6" x14ac:dyDescent="0.25">
      <c r="C20" s="3" t="s">
        <v>18</v>
      </c>
      <c r="D20" s="22"/>
      <c r="E20" s="4"/>
      <c r="F20" s="24"/>
    </row>
    <row r="21" spans="3:6" x14ac:dyDescent="0.25">
      <c r="C21" s="3" t="s">
        <v>19</v>
      </c>
      <c r="D21" s="22"/>
      <c r="E21" s="4"/>
    </row>
    <row r="22" spans="3:6" x14ac:dyDescent="0.25">
      <c r="C22" s="3" t="s">
        <v>20</v>
      </c>
      <c r="D22" s="22"/>
      <c r="E22" s="4"/>
      <c r="F22" t="s">
        <v>21</v>
      </c>
    </row>
    <row r="23" spans="3:6" x14ac:dyDescent="0.25">
      <c r="C23" s="3" t="s">
        <v>22</v>
      </c>
      <c r="D23" s="22"/>
      <c r="E23" s="4"/>
      <c r="F23" s="24"/>
    </row>
    <row r="24" spans="3:6" x14ac:dyDescent="0.25">
      <c r="C24" s="3" t="s">
        <v>23</v>
      </c>
      <c r="D24" s="1">
        <f>SUM(D19:D23)</f>
        <v>0</v>
      </c>
      <c r="E24" s="4"/>
      <c r="F24" s="24"/>
    </row>
    <row r="25" spans="3:6" x14ac:dyDescent="0.25">
      <c r="F25" s="24"/>
    </row>
    <row r="26" spans="3:6" x14ac:dyDescent="0.25">
      <c r="F26" s="24"/>
    </row>
    <row r="27" spans="3:6" ht="18.75" x14ac:dyDescent="0.25">
      <c r="C27" s="5" t="s">
        <v>24</v>
      </c>
      <c r="D27" s="12" t="s">
        <v>25</v>
      </c>
      <c r="F27" s="24"/>
    </row>
    <row r="28" spans="3:6" x14ac:dyDescent="0.25">
      <c r="C28" s="3" t="s">
        <v>26</v>
      </c>
      <c r="D28" s="3" t="s">
        <v>27</v>
      </c>
      <c r="E28" s="3"/>
      <c r="F28" s="24"/>
    </row>
    <row r="29" spans="3:6" x14ac:dyDescent="0.25">
      <c r="C29" s="3" t="s">
        <v>28</v>
      </c>
      <c r="D29" s="21"/>
      <c r="E29" s="4"/>
      <c r="F29" s="24"/>
    </row>
    <row r="30" spans="3:6" x14ac:dyDescent="0.25">
      <c r="C30" s="3" t="s">
        <v>29</v>
      </c>
      <c r="D30" s="21"/>
      <c r="E30" s="4"/>
      <c r="F30" s="24"/>
    </row>
    <row r="31" spans="3:6" x14ac:dyDescent="0.25">
      <c r="C31" s="3" t="s">
        <v>30</v>
      </c>
      <c r="D31" s="21"/>
      <c r="E31" s="4"/>
      <c r="F31" s="24"/>
    </row>
    <row r="32" spans="3:6" x14ac:dyDescent="0.25">
      <c r="C32" s="3" t="s">
        <v>31</v>
      </c>
      <c r="D32" s="21"/>
      <c r="E32" s="4"/>
      <c r="F32" s="24"/>
    </row>
    <row r="33" spans="3:8" x14ac:dyDescent="0.25">
      <c r="C33" s="3" t="s">
        <v>32</v>
      </c>
      <c r="D33" s="21"/>
      <c r="E33" s="4"/>
      <c r="F33" s="24"/>
    </row>
    <row r="36" spans="3:8" ht="18.75" x14ac:dyDescent="0.25">
      <c r="C36" s="5" t="s">
        <v>33</v>
      </c>
    </row>
    <row r="37" spans="3:8" x14ac:dyDescent="0.25">
      <c r="C37" s="3" t="s">
        <v>34</v>
      </c>
      <c r="D37" s="3" t="s">
        <v>35</v>
      </c>
      <c r="E37" s="3" t="s">
        <v>36</v>
      </c>
      <c r="F37" s="3" t="s">
        <v>37</v>
      </c>
      <c r="G37" s="3" t="s">
        <v>38</v>
      </c>
      <c r="H37" s="3" t="s">
        <v>39</v>
      </c>
    </row>
    <row r="38" spans="3:8" x14ac:dyDescent="0.25">
      <c r="C38" s="3" t="s">
        <v>40</v>
      </c>
      <c r="D38" s="21" t="s">
        <v>41</v>
      </c>
      <c r="E38" s="21" t="s">
        <v>42</v>
      </c>
      <c r="F38" s="21" t="s">
        <v>43</v>
      </c>
      <c r="G38" s="23">
        <v>0.5</v>
      </c>
      <c r="H38" s="21">
        <v>6</v>
      </c>
    </row>
    <row r="39" spans="3:8" x14ac:dyDescent="0.25">
      <c r="C39" s="3" t="s">
        <v>44</v>
      </c>
      <c r="D39" s="21"/>
      <c r="E39" s="21"/>
      <c r="F39" s="21"/>
      <c r="G39" s="23">
        <v>0.5</v>
      </c>
      <c r="H39" s="21">
        <v>12</v>
      </c>
    </row>
    <row r="40" spans="3:8" x14ac:dyDescent="0.25">
      <c r="C40" s="3" t="s">
        <v>45</v>
      </c>
      <c r="D40" s="24"/>
      <c r="E40" s="24"/>
      <c r="F40" s="24"/>
      <c r="G40" s="24"/>
      <c r="H40" s="24"/>
    </row>
    <row r="41" spans="3:8" x14ac:dyDescent="0.25">
      <c r="C41" s="3" t="s">
        <v>46</v>
      </c>
      <c r="D41" s="24"/>
      <c r="E41" s="24"/>
      <c r="F41" s="24"/>
      <c r="G41" s="24"/>
      <c r="H41" s="24"/>
    </row>
    <row r="42" spans="3:8" x14ac:dyDescent="0.25">
      <c r="C42" s="3"/>
    </row>
    <row r="44" spans="3:8" ht="18.75" x14ac:dyDescent="0.25">
      <c r="C44" s="5" t="s">
        <v>47</v>
      </c>
      <c r="D44" s="12"/>
    </row>
    <row r="45" spans="3:8" x14ac:dyDescent="0.25">
      <c r="C45" s="1" t="s">
        <v>34</v>
      </c>
      <c r="D45" s="1" t="s">
        <v>26</v>
      </c>
      <c r="E45" s="1" t="s">
        <v>48</v>
      </c>
      <c r="F45" s="1" t="s">
        <v>49</v>
      </c>
    </row>
    <row r="46" spans="3:8" x14ac:dyDescent="0.25">
      <c r="C46" s="25" t="s">
        <v>40</v>
      </c>
      <c r="D46" s="24" t="s">
        <v>28</v>
      </c>
      <c r="E46" s="24" t="s">
        <v>50</v>
      </c>
      <c r="F46" s="24" t="s">
        <v>51</v>
      </c>
    </row>
    <row r="47" spans="3:8" x14ac:dyDescent="0.25">
      <c r="C47" s="25" t="s">
        <v>40</v>
      </c>
      <c r="D47" s="24" t="s">
        <v>28</v>
      </c>
      <c r="E47" s="24" t="s">
        <v>50</v>
      </c>
      <c r="F47" s="24" t="s">
        <v>52</v>
      </c>
    </row>
    <row r="48" spans="3:8" x14ac:dyDescent="0.25">
      <c r="C48" s="25" t="s">
        <v>40</v>
      </c>
      <c r="D48" s="24" t="s">
        <v>28</v>
      </c>
      <c r="E48" s="24" t="s">
        <v>53</v>
      </c>
      <c r="F48" s="24" t="s">
        <v>54</v>
      </c>
    </row>
    <row r="49" spans="2:6" x14ac:dyDescent="0.25">
      <c r="C49" s="25" t="s">
        <v>44</v>
      </c>
      <c r="D49" s="24" t="s">
        <v>29</v>
      </c>
      <c r="E49" s="24" t="s">
        <v>55</v>
      </c>
      <c r="F49" s="24" t="s">
        <v>56</v>
      </c>
    </row>
    <row r="50" spans="2:6" x14ac:dyDescent="0.25">
      <c r="C50" s="25" t="s">
        <v>44</v>
      </c>
      <c r="D50" s="24" t="s">
        <v>29</v>
      </c>
      <c r="E50" s="24" t="s">
        <v>57</v>
      </c>
      <c r="F50" s="24" t="s">
        <v>58</v>
      </c>
    </row>
    <row r="51" spans="2:6" x14ac:dyDescent="0.25">
      <c r="C51" s="25" t="s">
        <v>44</v>
      </c>
      <c r="D51" s="24"/>
      <c r="E51" s="24"/>
      <c r="F51" s="24"/>
    </row>
    <row r="52" spans="2:6" x14ac:dyDescent="0.25">
      <c r="C52" s="25" t="s">
        <v>45</v>
      </c>
      <c r="D52" s="24"/>
      <c r="E52" s="24"/>
      <c r="F52" s="24"/>
    </row>
    <row r="53" spans="2:6" x14ac:dyDescent="0.25">
      <c r="C53" s="25" t="s">
        <v>45</v>
      </c>
      <c r="D53" s="24"/>
      <c r="E53" s="24"/>
      <c r="F53" s="24"/>
    </row>
    <row r="54" spans="2:6" x14ac:dyDescent="0.25">
      <c r="C54" s="25" t="s">
        <v>45</v>
      </c>
      <c r="D54" s="24"/>
      <c r="E54" s="24"/>
      <c r="F54" s="24"/>
    </row>
    <row r="55" spans="2:6" x14ac:dyDescent="0.25">
      <c r="C55" s="25" t="s">
        <v>46</v>
      </c>
      <c r="D55" s="24"/>
      <c r="E55" s="24"/>
      <c r="F55" s="24"/>
    </row>
    <row r="56" spans="2:6" x14ac:dyDescent="0.25">
      <c r="C56" s="25" t="s">
        <v>46</v>
      </c>
      <c r="D56" s="24"/>
      <c r="E56" s="24"/>
      <c r="F56" s="24"/>
    </row>
    <row r="59" spans="2:6" ht="18.75" x14ac:dyDescent="0.25">
      <c r="C59" s="5" t="s">
        <v>59</v>
      </c>
    </row>
    <row r="60" spans="2:6" x14ac:dyDescent="0.25">
      <c r="B60" t="s">
        <v>60</v>
      </c>
      <c r="C60" s="1" t="s">
        <v>61</v>
      </c>
      <c r="D60" s="1" t="s">
        <v>62</v>
      </c>
      <c r="E60" s="1" t="s">
        <v>63</v>
      </c>
      <c r="F60" s="1" t="s">
        <v>64</v>
      </c>
    </row>
    <row r="61" spans="2:6" x14ac:dyDescent="0.25">
      <c r="B61" s="7">
        <v>1</v>
      </c>
      <c r="C61" s="1">
        <v>1</v>
      </c>
      <c r="D61" s="21" t="s">
        <v>65</v>
      </c>
      <c r="E61" s="21"/>
      <c r="F61" s="21"/>
    </row>
    <row r="62" spans="2:6" x14ac:dyDescent="0.25">
      <c r="B62" s="7">
        <v>1</v>
      </c>
      <c r="C62" s="1">
        <v>2</v>
      </c>
      <c r="D62" s="21" t="s">
        <v>66</v>
      </c>
      <c r="E62" s="21" t="s">
        <v>67</v>
      </c>
      <c r="F62" s="21" t="s">
        <v>18</v>
      </c>
    </row>
    <row r="63" spans="2:6" x14ac:dyDescent="0.25">
      <c r="B63" s="7">
        <v>1</v>
      </c>
      <c r="C63" s="1">
        <v>3</v>
      </c>
      <c r="D63" s="21" t="s">
        <v>68</v>
      </c>
      <c r="E63" s="21"/>
      <c r="F63" s="21"/>
    </row>
    <row r="64" spans="2:6" x14ac:dyDescent="0.25">
      <c r="B64" s="7">
        <v>1</v>
      </c>
      <c r="C64" s="1">
        <v>4</v>
      </c>
      <c r="D64" s="21" t="s">
        <v>69</v>
      </c>
      <c r="E64" s="21" t="s">
        <v>70</v>
      </c>
      <c r="F64" s="21" t="s">
        <v>18</v>
      </c>
    </row>
    <row r="65" spans="2:6" x14ac:dyDescent="0.25">
      <c r="B65" s="7">
        <v>1</v>
      </c>
      <c r="C65" s="1">
        <v>5</v>
      </c>
      <c r="D65" s="21" t="s">
        <v>71</v>
      </c>
      <c r="E65" s="21"/>
      <c r="F65" s="21"/>
    </row>
    <row r="66" spans="2:6" x14ac:dyDescent="0.25">
      <c r="B66" s="7">
        <v>1</v>
      </c>
      <c r="C66" s="1">
        <v>6</v>
      </c>
      <c r="D66" s="21" t="s">
        <v>72</v>
      </c>
      <c r="E66" s="21"/>
      <c r="F66" s="21" t="s">
        <v>18</v>
      </c>
    </row>
    <row r="67" spans="2:6" x14ac:dyDescent="0.25">
      <c r="B67" s="7">
        <v>1</v>
      </c>
      <c r="C67" s="1">
        <v>7</v>
      </c>
      <c r="D67" s="21" t="s">
        <v>73</v>
      </c>
      <c r="E67" s="21"/>
      <c r="F67" s="21"/>
    </row>
    <row r="68" spans="2:6" x14ac:dyDescent="0.25">
      <c r="B68" s="7">
        <v>1</v>
      </c>
      <c r="C68" s="1">
        <v>8</v>
      </c>
      <c r="D68" s="21" t="s">
        <v>74</v>
      </c>
      <c r="E68" s="21"/>
      <c r="F68" s="21" t="s">
        <v>18</v>
      </c>
    </row>
    <row r="69" spans="2:6" x14ac:dyDescent="0.25">
      <c r="B69" s="7">
        <v>1</v>
      </c>
      <c r="C69" s="1">
        <v>9</v>
      </c>
      <c r="D69" s="21" t="s">
        <v>75</v>
      </c>
      <c r="E69" s="21"/>
      <c r="F69" s="21"/>
    </row>
    <row r="70" spans="2:6" x14ac:dyDescent="0.25">
      <c r="B70" s="7">
        <v>1</v>
      </c>
      <c r="C70" s="1">
        <v>10</v>
      </c>
      <c r="D70" s="21" t="s">
        <v>76</v>
      </c>
      <c r="E70" s="21" t="s">
        <v>77</v>
      </c>
      <c r="F70" s="21" t="s">
        <v>18</v>
      </c>
    </row>
    <row r="71" spans="2:6" x14ac:dyDescent="0.25">
      <c r="B71" s="7">
        <v>1</v>
      </c>
      <c r="C71" s="1">
        <v>11</v>
      </c>
      <c r="D71" s="21" t="s">
        <v>78</v>
      </c>
      <c r="E71" s="21"/>
      <c r="F71" s="21"/>
    </row>
    <row r="72" spans="2:6" x14ac:dyDescent="0.25">
      <c r="B72" s="7">
        <v>1</v>
      </c>
      <c r="C72" s="1">
        <v>12</v>
      </c>
      <c r="D72" s="21" t="s">
        <v>79</v>
      </c>
      <c r="E72" s="21"/>
      <c r="F72" s="21" t="s">
        <v>18</v>
      </c>
    </row>
    <row r="73" spans="2:6" x14ac:dyDescent="0.25">
      <c r="B73" s="7">
        <v>2</v>
      </c>
      <c r="C73" s="1">
        <v>1</v>
      </c>
      <c r="D73" s="21"/>
      <c r="E73" s="21"/>
      <c r="F73" s="21"/>
    </row>
    <row r="74" spans="2:6" x14ac:dyDescent="0.25">
      <c r="B74" s="7">
        <v>2</v>
      </c>
      <c r="C74" s="1">
        <v>2</v>
      </c>
      <c r="D74" s="21"/>
      <c r="E74" s="21"/>
      <c r="F74" s="21"/>
    </row>
    <row r="75" spans="2:6" x14ac:dyDescent="0.25">
      <c r="B75" s="7">
        <v>2</v>
      </c>
      <c r="C75" s="1">
        <v>3</v>
      </c>
      <c r="D75" s="21"/>
      <c r="E75" s="21"/>
      <c r="F75" s="21"/>
    </row>
    <row r="76" spans="2:6" x14ac:dyDescent="0.25">
      <c r="B76" s="7">
        <v>2</v>
      </c>
      <c r="C76" s="1">
        <v>4</v>
      </c>
      <c r="D76" s="21"/>
      <c r="E76" s="21"/>
      <c r="F76" s="21"/>
    </row>
    <row r="77" spans="2:6" x14ac:dyDescent="0.25">
      <c r="B77" s="7">
        <v>2</v>
      </c>
      <c r="C77" s="1">
        <v>5</v>
      </c>
      <c r="D77" s="21"/>
      <c r="E77" s="21"/>
      <c r="F77" s="21"/>
    </row>
    <row r="78" spans="2:6" x14ac:dyDescent="0.25">
      <c r="B78" s="7">
        <v>2</v>
      </c>
      <c r="C78" s="1">
        <v>6</v>
      </c>
      <c r="D78" s="21"/>
      <c r="E78" s="21"/>
      <c r="F78" s="21"/>
    </row>
    <row r="79" spans="2:6" x14ac:dyDescent="0.25">
      <c r="B79" s="7">
        <v>2</v>
      </c>
      <c r="C79" s="1">
        <v>7</v>
      </c>
      <c r="D79" s="21"/>
      <c r="E79" s="21"/>
      <c r="F79" s="21"/>
    </row>
    <row r="80" spans="2:6" x14ac:dyDescent="0.25">
      <c r="B80" s="7">
        <v>2</v>
      </c>
      <c r="C80" s="1">
        <v>8</v>
      </c>
      <c r="D80" s="21"/>
      <c r="E80" s="21"/>
      <c r="F80" s="21"/>
    </row>
    <row r="81" spans="2:6" x14ac:dyDescent="0.25">
      <c r="B81" s="7">
        <v>2</v>
      </c>
      <c r="C81" s="1">
        <v>9</v>
      </c>
      <c r="D81" s="21"/>
      <c r="E81" s="21"/>
      <c r="F81" s="21"/>
    </row>
    <row r="82" spans="2:6" x14ac:dyDescent="0.25">
      <c r="B82" s="7">
        <v>2</v>
      </c>
      <c r="C82" s="1">
        <v>10</v>
      </c>
      <c r="D82" s="21"/>
      <c r="E82" s="21"/>
      <c r="F82" s="21"/>
    </row>
    <row r="83" spans="2:6" x14ac:dyDescent="0.25">
      <c r="B83" s="7">
        <v>2</v>
      </c>
      <c r="C83" s="1">
        <v>11</v>
      </c>
      <c r="D83" s="21"/>
      <c r="E83" s="21"/>
      <c r="F83" s="21"/>
    </row>
    <row r="84" spans="2:6" x14ac:dyDescent="0.25">
      <c r="B84" s="7">
        <v>2</v>
      </c>
      <c r="C84" s="1">
        <v>12</v>
      </c>
      <c r="D84" s="21"/>
      <c r="E84" s="21"/>
      <c r="F84" s="21"/>
    </row>
  </sheetData>
  <sheetProtection sheet="1" objects="1" scenarios="1" selectLockedCells="1" sort="0" autoFilter="0" pivotTables="0"/>
  <dataValidations count="4">
    <dataValidation type="whole" showInputMessage="1" showErrorMessage="1" error="This is not a realistic number of contact hours please reduce" sqref="D20:D23" xr:uid="{739D2576-B862-4853-8753-8DF65DD1B8E0}">
      <formula1>0</formula1>
      <formula2>80</formula2>
    </dataValidation>
    <dataValidation type="whole" showInputMessage="1" showErrorMessage="1" error="This is not a realistic number of contact hours please change" sqref="D19" xr:uid="{FBECA4FB-7A34-4FDD-80A9-474CB8B74418}">
      <formula1>0</formula1>
      <formula2>80</formula2>
    </dataValidation>
    <dataValidation type="list" allowBlank="1" showInputMessage="1" showErrorMessage="1" sqref="E38:E41" xr:uid="{A62A3AA1-D3B0-45A3-A998-2D56857427B0}">
      <formula1>INDIRECT("LISTAssess[Assessment Specific]")</formula1>
    </dataValidation>
    <dataValidation type="list" allowBlank="1" showInputMessage="1" showErrorMessage="1" sqref="F46:F56" xr:uid="{18E884D7-F12C-48DC-A53D-24BA4F0CF85C}">
      <formula1>INDIRECT(VLOOKUP($E46, SkillNameMap, 2, FALSE))</formula1>
    </dataValidation>
  </dataValidations>
  <pageMargins left="0.7" right="0.7" top="0.75" bottom="0.75" header="0.3" footer="0.3"/>
  <pageSetup paperSize="9" orientation="portrait" horizontalDpi="4294967293" verticalDpi="0" r:id="rId1"/>
  <tableParts count="10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52E779B-E821-4CC1-9128-54996FA802EC}">
          <x14:formula1>
            <xm:f>LISTS!$C$26:$C$37</xm:f>
          </x14:formula1>
          <xm:sqref>D14</xm:sqref>
        </x14:dataValidation>
        <x14:dataValidation type="list" allowBlank="1" showInputMessage="1" showErrorMessage="1" xr:uid="{A5CAE7BB-8764-4881-8FF8-F1033AED8BE0}">
          <x14:formula1>
            <xm:f>LISTS!$C$17:$C$22</xm:f>
          </x14:formula1>
          <xm:sqref>D13</xm:sqref>
        </x14:dataValidation>
        <x14:dataValidation type="list" allowBlank="1" showInputMessage="1" showErrorMessage="1" xr:uid="{07FDBC41-34BD-47AA-9E59-E456FC441771}">
          <x14:formula1>
            <xm:f>LISTS!$C$7:$C$9</xm:f>
          </x14:formula1>
          <xm:sqref>D10</xm:sqref>
        </x14:dataValidation>
        <x14:dataValidation type="list" allowBlank="1" showInputMessage="1" showErrorMessage="1" xr:uid="{35EAF739-973D-4E61-84C4-4B4FF2170971}">
          <x14:formula1>
            <xm:f>LISTS!$C$11:$C$15</xm:f>
          </x14:formula1>
          <xm:sqref>D11</xm:sqref>
        </x14:dataValidation>
        <x14:dataValidation type="list" allowBlank="1" showInputMessage="1" showErrorMessage="1" xr:uid="{90A7C72D-3610-4C02-9AF7-59AF8571FA64}">
          <x14:formula1>
            <xm:f>LISTS!$G$7:$G$11</xm:f>
          </x14:formula1>
          <xm:sqref>D38:D42</xm:sqref>
        </x14:dataValidation>
        <x14:dataValidation type="list" allowBlank="1" showInputMessage="1" showErrorMessage="1" xr:uid="{1DC85910-ED19-4EA2-94B1-66EC223ACFC1}">
          <x14:formula1>
            <xm:f>LISTS!$E$7:$E$11</xm:f>
          </x14:formula1>
          <xm:sqref>D46:D56</xm:sqref>
        </x14:dataValidation>
        <x14:dataValidation type="list" allowBlank="1" showInputMessage="1" showErrorMessage="1" xr:uid="{2751552D-9CB1-43E7-81A0-A1705BDEC705}">
          <x14:formula1>
            <xm:f>LISTS!$J$7:$J$16</xm:f>
          </x14:formula1>
          <xm:sqref>E46:E56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08AE-A3E7-4649-AF94-9902578E541A}">
  <sheetPr codeName="Sheet10"/>
  <dimension ref="B2:H84"/>
  <sheetViews>
    <sheetView showGridLines="0" topLeftCell="B1" zoomScale="85" zoomScaleNormal="85" workbookViewId="0">
      <selection activeCell="D8" sqref="D8"/>
    </sheetView>
  </sheetViews>
  <sheetFormatPr defaultRowHeight="15" x14ac:dyDescent="0.25"/>
  <cols>
    <col min="3" max="3" width="33.28515625" customWidth="1"/>
    <col min="4" max="4" width="51.5703125" customWidth="1"/>
    <col min="5" max="5" width="67.28515625" customWidth="1"/>
    <col min="6" max="6" width="63.140625" customWidth="1"/>
    <col min="7" max="7" width="12.42578125" customWidth="1"/>
    <col min="8" max="8" width="15.5703125" customWidth="1"/>
    <col min="9" max="9" width="14.7109375" customWidth="1"/>
  </cols>
  <sheetData>
    <row r="2" spans="2:6" ht="26.25" x14ac:dyDescent="0.4">
      <c r="C2" s="20" t="str">
        <f>D7</f>
        <v>6XX2SPS</v>
      </c>
      <c r="D2" s="20" t="str">
        <f>D8</f>
        <v xml:space="preserve">Coach Development and Learning </v>
      </c>
    </row>
    <row r="3" spans="2:6" x14ac:dyDescent="0.25">
      <c r="B3" s="1"/>
      <c r="C3" s="1"/>
    </row>
    <row r="4" spans="2:6" x14ac:dyDescent="0.25">
      <c r="B4" s="2"/>
      <c r="C4" s="2"/>
    </row>
    <row r="5" spans="2:6" ht="18.75" x14ac:dyDescent="0.25">
      <c r="B5" s="2"/>
      <c r="C5" s="5" t="s">
        <v>0</v>
      </c>
    </row>
    <row r="6" spans="2:6" x14ac:dyDescent="0.25">
      <c r="B6" s="2"/>
      <c r="C6" s="3" t="s">
        <v>1</v>
      </c>
      <c r="D6" s="4" t="s">
        <v>2</v>
      </c>
      <c r="E6" s="4"/>
      <c r="F6" t="s">
        <v>3</v>
      </c>
    </row>
    <row r="7" spans="2:6" x14ac:dyDescent="0.25">
      <c r="B7" s="2"/>
      <c r="C7" s="3" t="s">
        <v>4</v>
      </c>
      <c r="D7" s="21" t="s">
        <v>221</v>
      </c>
      <c r="E7" s="4"/>
      <c r="F7" s="24"/>
    </row>
    <row r="8" spans="2:6" x14ac:dyDescent="0.25">
      <c r="B8" s="2"/>
      <c r="C8" s="3" t="s">
        <v>6</v>
      </c>
      <c r="D8" s="21" t="s">
        <v>220</v>
      </c>
      <c r="E8" s="4"/>
      <c r="F8" s="24"/>
    </row>
    <row r="9" spans="2:6" x14ac:dyDescent="0.25">
      <c r="C9" s="3" t="s">
        <v>7</v>
      </c>
      <c r="D9" s="21"/>
      <c r="E9" s="4"/>
    </row>
    <row r="10" spans="2:6" x14ac:dyDescent="0.25">
      <c r="C10" s="3" t="s">
        <v>8</v>
      </c>
      <c r="D10" s="21"/>
      <c r="E10" s="4"/>
      <c r="F10" t="s">
        <v>9</v>
      </c>
    </row>
    <row r="11" spans="2:6" x14ac:dyDescent="0.25">
      <c r="C11" s="3" t="s">
        <v>10</v>
      </c>
      <c r="D11" s="21"/>
      <c r="E11" s="4"/>
      <c r="F11" s="24"/>
    </row>
    <row r="12" spans="2:6" x14ac:dyDescent="0.25">
      <c r="C12" s="3" t="s">
        <v>11</v>
      </c>
      <c r="D12" s="21"/>
      <c r="E12" s="4"/>
      <c r="F12" s="24"/>
    </row>
    <row r="13" spans="2:6" x14ac:dyDescent="0.25">
      <c r="C13" s="3" t="s">
        <v>12</v>
      </c>
      <c r="D13" s="21"/>
      <c r="E13" s="4"/>
      <c r="F13" s="24"/>
    </row>
    <row r="14" spans="2:6" x14ac:dyDescent="0.25">
      <c r="C14" s="3" t="s">
        <v>13</v>
      </c>
      <c r="D14" s="21"/>
      <c r="E14" s="4"/>
    </row>
    <row r="15" spans="2:6" x14ac:dyDescent="0.25">
      <c r="C15" s="3"/>
      <c r="D15" s="4"/>
      <c r="E15" s="4"/>
      <c r="F15" t="s">
        <v>14</v>
      </c>
    </row>
    <row r="16" spans="2:6" x14ac:dyDescent="0.25">
      <c r="C16" s="3"/>
      <c r="D16" s="4"/>
      <c r="E16" s="4"/>
      <c r="F16" s="24"/>
    </row>
    <row r="17" spans="3:6" ht="18.75" x14ac:dyDescent="0.25">
      <c r="C17" s="5" t="s">
        <v>15</v>
      </c>
      <c r="D17" s="4"/>
      <c r="E17" s="4"/>
      <c r="F17" s="24"/>
    </row>
    <row r="18" spans="3:6" x14ac:dyDescent="0.25">
      <c r="C18" s="3" t="s">
        <v>16</v>
      </c>
      <c r="D18" s="1" t="s">
        <v>15</v>
      </c>
      <c r="E18" s="4"/>
      <c r="F18" s="24"/>
    </row>
    <row r="19" spans="3:6" x14ac:dyDescent="0.25">
      <c r="C19" s="3" t="s">
        <v>17</v>
      </c>
      <c r="D19" s="22"/>
      <c r="E19" s="4"/>
      <c r="F19" s="24"/>
    </row>
    <row r="20" spans="3:6" x14ac:dyDescent="0.25">
      <c r="C20" s="3" t="s">
        <v>18</v>
      </c>
      <c r="D20" s="22"/>
      <c r="E20" s="4"/>
      <c r="F20" s="24"/>
    </row>
    <row r="21" spans="3:6" x14ac:dyDescent="0.25">
      <c r="C21" s="3" t="s">
        <v>19</v>
      </c>
      <c r="D21" s="22"/>
      <c r="E21" s="4"/>
    </row>
    <row r="22" spans="3:6" x14ac:dyDescent="0.25">
      <c r="C22" s="3" t="s">
        <v>20</v>
      </c>
      <c r="D22" s="22"/>
      <c r="E22" s="4"/>
      <c r="F22" t="s">
        <v>21</v>
      </c>
    </row>
    <row r="23" spans="3:6" x14ac:dyDescent="0.25">
      <c r="C23" s="3" t="s">
        <v>22</v>
      </c>
      <c r="D23" s="22"/>
      <c r="E23" s="4"/>
      <c r="F23" s="24"/>
    </row>
    <row r="24" spans="3:6" x14ac:dyDescent="0.25">
      <c r="C24" s="3" t="s">
        <v>23</v>
      </c>
      <c r="D24" s="1">
        <f>SUM(D19:D23)</f>
        <v>0</v>
      </c>
      <c r="E24" s="4"/>
      <c r="F24" s="24"/>
    </row>
    <row r="25" spans="3:6" x14ac:dyDescent="0.25">
      <c r="F25" s="24"/>
    </row>
    <row r="26" spans="3:6" x14ac:dyDescent="0.25">
      <c r="F26" s="24"/>
    </row>
    <row r="27" spans="3:6" ht="18.75" x14ac:dyDescent="0.25">
      <c r="C27" s="5" t="s">
        <v>24</v>
      </c>
      <c r="D27" s="12" t="s">
        <v>25</v>
      </c>
      <c r="F27" s="24"/>
    </row>
    <row r="28" spans="3:6" x14ac:dyDescent="0.25">
      <c r="C28" s="3" t="s">
        <v>26</v>
      </c>
      <c r="D28" s="3" t="s">
        <v>27</v>
      </c>
      <c r="E28" s="3"/>
      <c r="F28" s="24"/>
    </row>
    <row r="29" spans="3:6" x14ac:dyDescent="0.25">
      <c r="C29" s="3" t="s">
        <v>28</v>
      </c>
      <c r="D29" s="21"/>
      <c r="E29" s="4"/>
      <c r="F29" s="24"/>
    </row>
    <row r="30" spans="3:6" x14ac:dyDescent="0.25">
      <c r="C30" s="3" t="s">
        <v>29</v>
      </c>
      <c r="D30" s="21"/>
      <c r="E30" s="4"/>
      <c r="F30" s="24"/>
    </row>
    <row r="31" spans="3:6" x14ac:dyDescent="0.25">
      <c r="C31" s="3" t="s">
        <v>30</v>
      </c>
      <c r="D31" s="21"/>
      <c r="E31" s="4"/>
      <c r="F31" s="24"/>
    </row>
    <row r="32" spans="3:6" x14ac:dyDescent="0.25">
      <c r="C32" s="3" t="s">
        <v>31</v>
      </c>
      <c r="D32" s="21"/>
      <c r="E32" s="4"/>
      <c r="F32" s="24"/>
    </row>
    <row r="33" spans="3:8" x14ac:dyDescent="0.25">
      <c r="C33" s="3" t="s">
        <v>32</v>
      </c>
      <c r="D33" s="21"/>
      <c r="E33" s="4"/>
      <c r="F33" s="24"/>
    </row>
    <row r="36" spans="3:8" ht="18.75" x14ac:dyDescent="0.25">
      <c r="C36" s="5" t="s">
        <v>33</v>
      </c>
    </row>
    <row r="37" spans="3:8" x14ac:dyDescent="0.25">
      <c r="C37" s="3" t="s">
        <v>34</v>
      </c>
      <c r="D37" s="3" t="s">
        <v>35</v>
      </c>
      <c r="E37" s="3" t="s">
        <v>36</v>
      </c>
      <c r="F37" s="3" t="s">
        <v>37</v>
      </c>
      <c r="G37" s="3" t="s">
        <v>38</v>
      </c>
      <c r="H37" s="3" t="s">
        <v>39</v>
      </c>
    </row>
    <row r="38" spans="3:8" x14ac:dyDescent="0.25">
      <c r="C38" s="3" t="s">
        <v>40</v>
      </c>
      <c r="D38" s="21" t="s">
        <v>41</v>
      </c>
      <c r="E38" s="21" t="s">
        <v>42</v>
      </c>
      <c r="F38" s="21" t="s">
        <v>43</v>
      </c>
      <c r="G38" s="23">
        <v>0.5</v>
      </c>
      <c r="H38" s="21">
        <v>6</v>
      </c>
    </row>
    <row r="39" spans="3:8" x14ac:dyDescent="0.25">
      <c r="C39" s="3" t="s">
        <v>44</v>
      </c>
      <c r="D39" s="21"/>
      <c r="E39" s="21"/>
      <c r="F39" s="21"/>
      <c r="G39" s="23">
        <v>0.5</v>
      </c>
      <c r="H39" s="21">
        <v>12</v>
      </c>
    </row>
    <row r="40" spans="3:8" x14ac:dyDescent="0.25">
      <c r="C40" s="3" t="s">
        <v>45</v>
      </c>
      <c r="D40" s="24"/>
      <c r="E40" s="24"/>
      <c r="F40" s="24"/>
      <c r="G40" s="24"/>
      <c r="H40" s="24"/>
    </row>
    <row r="41" spans="3:8" x14ac:dyDescent="0.25">
      <c r="C41" s="3" t="s">
        <v>46</v>
      </c>
      <c r="D41" s="24"/>
      <c r="E41" s="24"/>
      <c r="F41" s="24"/>
      <c r="G41" s="24"/>
      <c r="H41" s="24"/>
    </row>
    <row r="42" spans="3:8" x14ac:dyDescent="0.25">
      <c r="C42" s="3"/>
    </row>
    <row r="44" spans="3:8" ht="18.75" x14ac:dyDescent="0.25">
      <c r="C44" s="5" t="s">
        <v>47</v>
      </c>
      <c r="D44" s="12"/>
    </row>
    <row r="45" spans="3:8" x14ac:dyDescent="0.25">
      <c r="C45" s="1" t="s">
        <v>34</v>
      </c>
      <c r="D45" s="1" t="s">
        <v>26</v>
      </c>
      <c r="E45" s="1" t="s">
        <v>48</v>
      </c>
      <c r="F45" s="1" t="s">
        <v>49</v>
      </c>
    </row>
    <row r="46" spans="3:8" x14ac:dyDescent="0.25">
      <c r="C46" s="25" t="s">
        <v>40</v>
      </c>
      <c r="D46" s="24" t="s">
        <v>28</v>
      </c>
      <c r="E46" s="24" t="s">
        <v>50</v>
      </c>
      <c r="F46" s="24" t="s">
        <v>51</v>
      </c>
    </row>
    <row r="47" spans="3:8" x14ac:dyDescent="0.25">
      <c r="C47" s="25" t="s">
        <v>40</v>
      </c>
      <c r="D47" s="24" t="s">
        <v>28</v>
      </c>
      <c r="E47" s="24" t="s">
        <v>50</v>
      </c>
      <c r="F47" s="24" t="s">
        <v>52</v>
      </c>
    </row>
    <row r="48" spans="3:8" x14ac:dyDescent="0.25">
      <c r="C48" s="25" t="s">
        <v>40</v>
      </c>
      <c r="D48" s="24" t="s">
        <v>28</v>
      </c>
      <c r="E48" s="24" t="s">
        <v>53</v>
      </c>
      <c r="F48" s="24" t="s">
        <v>54</v>
      </c>
    </row>
    <row r="49" spans="2:6" x14ac:dyDescent="0.25">
      <c r="C49" s="25" t="s">
        <v>44</v>
      </c>
      <c r="D49" s="24" t="s">
        <v>29</v>
      </c>
      <c r="E49" s="24" t="s">
        <v>55</v>
      </c>
      <c r="F49" s="24" t="s">
        <v>56</v>
      </c>
    </row>
    <row r="50" spans="2:6" x14ac:dyDescent="0.25">
      <c r="C50" s="25" t="s">
        <v>44</v>
      </c>
      <c r="D50" s="24" t="s">
        <v>29</v>
      </c>
      <c r="E50" s="24" t="s">
        <v>57</v>
      </c>
      <c r="F50" s="24" t="s">
        <v>58</v>
      </c>
    </row>
    <row r="51" spans="2:6" x14ac:dyDescent="0.25">
      <c r="C51" s="25" t="s">
        <v>44</v>
      </c>
      <c r="D51" s="24"/>
      <c r="E51" s="24"/>
      <c r="F51" s="24"/>
    </row>
    <row r="52" spans="2:6" x14ac:dyDescent="0.25">
      <c r="C52" s="25" t="s">
        <v>45</v>
      </c>
      <c r="D52" s="24"/>
      <c r="E52" s="24"/>
      <c r="F52" s="24"/>
    </row>
    <row r="53" spans="2:6" x14ac:dyDescent="0.25">
      <c r="C53" s="25" t="s">
        <v>45</v>
      </c>
      <c r="D53" s="24"/>
      <c r="E53" s="24"/>
      <c r="F53" s="24"/>
    </row>
    <row r="54" spans="2:6" x14ac:dyDescent="0.25">
      <c r="C54" s="25" t="s">
        <v>45</v>
      </c>
      <c r="D54" s="24"/>
      <c r="E54" s="24"/>
      <c r="F54" s="24"/>
    </row>
    <row r="55" spans="2:6" x14ac:dyDescent="0.25">
      <c r="C55" s="25" t="s">
        <v>46</v>
      </c>
      <c r="D55" s="24"/>
      <c r="E55" s="24"/>
      <c r="F55" s="24"/>
    </row>
    <row r="56" spans="2:6" x14ac:dyDescent="0.25">
      <c r="C56" s="25" t="s">
        <v>46</v>
      </c>
      <c r="D56" s="24"/>
      <c r="E56" s="24"/>
      <c r="F56" s="24"/>
    </row>
    <row r="59" spans="2:6" ht="18.75" x14ac:dyDescent="0.25">
      <c r="C59" s="5" t="s">
        <v>59</v>
      </c>
    </row>
    <row r="60" spans="2:6" x14ac:dyDescent="0.25">
      <c r="B60" t="s">
        <v>60</v>
      </c>
      <c r="C60" s="1" t="s">
        <v>61</v>
      </c>
      <c r="D60" s="1" t="s">
        <v>62</v>
      </c>
      <c r="E60" s="1" t="s">
        <v>63</v>
      </c>
      <c r="F60" s="1" t="s">
        <v>64</v>
      </c>
    </row>
    <row r="61" spans="2:6" x14ac:dyDescent="0.25">
      <c r="B61" s="7">
        <v>1</v>
      </c>
      <c r="C61" s="1">
        <v>1</v>
      </c>
      <c r="D61" s="21" t="s">
        <v>65</v>
      </c>
      <c r="E61" s="21"/>
      <c r="F61" s="21"/>
    </row>
    <row r="62" spans="2:6" x14ac:dyDescent="0.25">
      <c r="B62" s="7">
        <v>1</v>
      </c>
      <c r="C62" s="1">
        <v>2</v>
      </c>
      <c r="D62" s="21" t="s">
        <v>66</v>
      </c>
      <c r="E62" s="21" t="s">
        <v>67</v>
      </c>
      <c r="F62" s="21" t="s">
        <v>18</v>
      </c>
    </row>
    <row r="63" spans="2:6" x14ac:dyDescent="0.25">
      <c r="B63" s="7">
        <v>1</v>
      </c>
      <c r="C63" s="1">
        <v>3</v>
      </c>
      <c r="D63" s="21" t="s">
        <v>68</v>
      </c>
      <c r="E63" s="21"/>
      <c r="F63" s="21"/>
    </row>
    <row r="64" spans="2:6" x14ac:dyDescent="0.25">
      <c r="B64" s="7">
        <v>1</v>
      </c>
      <c r="C64" s="1">
        <v>4</v>
      </c>
      <c r="D64" s="21" t="s">
        <v>69</v>
      </c>
      <c r="E64" s="21" t="s">
        <v>70</v>
      </c>
      <c r="F64" s="21" t="s">
        <v>18</v>
      </c>
    </row>
    <row r="65" spans="2:6" x14ac:dyDescent="0.25">
      <c r="B65" s="7">
        <v>1</v>
      </c>
      <c r="C65" s="1">
        <v>5</v>
      </c>
      <c r="D65" s="21" t="s">
        <v>71</v>
      </c>
      <c r="E65" s="21"/>
      <c r="F65" s="21"/>
    </row>
    <row r="66" spans="2:6" x14ac:dyDescent="0.25">
      <c r="B66" s="7">
        <v>1</v>
      </c>
      <c r="C66" s="1">
        <v>6</v>
      </c>
      <c r="D66" s="21" t="s">
        <v>72</v>
      </c>
      <c r="E66" s="21"/>
      <c r="F66" s="21" t="s">
        <v>18</v>
      </c>
    </row>
    <row r="67" spans="2:6" x14ac:dyDescent="0.25">
      <c r="B67" s="7">
        <v>1</v>
      </c>
      <c r="C67" s="1">
        <v>7</v>
      </c>
      <c r="D67" s="21" t="s">
        <v>73</v>
      </c>
      <c r="E67" s="21"/>
      <c r="F67" s="21"/>
    </row>
    <row r="68" spans="2:6" x14ac:dyDescent="0.25">
      <c r="B68" s="7">
        <v>1</v>
      </c>
      <c r="C68" s="1">
        <v>8</v>
      </c>
      <c r="D68" s="21" t="s">
        <v>74</v>
      </c>
      <c r="E68" s="21"/>
      <c r="F68" s="21" t="s">
        <v>18</v>
      </c>
    </row>
    <row r="69" spans="2:6" x14ac:dyDescent="0.25">
      <c r="B69" s="7">
        <v>1</v>
      </c>
      <c r="C69" s="1">
        <v>9</v>
      </c>
      <c r="D69" s="21" t="s">
        <v>75</v>
      </c>
      <c r="E69" s="21"/>
      <c r="F69" s="21"/>
    </row>
    <row r="70" spans="2:6" x14ac:dyDescent="0.25">
      <c r="B70" s="7">
        <v>1</v>
      </c>
      <c r="C70" s="1">
        <v>10</v>
      </c>
      <c r="D70" s="21" t="s">
        <v>76</v>
      </c>
      <c r="E70" s="21" t="s">
        <v>77</v>
      </c>
      <c r="F70" s="21" t="s">
        <v>18</v>
      </c>
    </row>
    <row r="71" spans="2:6" x14ac:dyDescent="0.25">
      <c r="B71" s="7">
        <v>1</v>
      </c>
      <c r="C71" s="1">
        <v>11</v>
      </c>
      <c r="D71" s="21" t="s">
        <v>78</v>
      </c>
      <c r="E71" s="21"/>
      <c r="F71" s="21"/>
    </row>
    <row r="72" spans="2:6" x14ac:dyDescent="0.25">
      <c r="B72" s="7">
        <v>1</v>
      </c>
      <c r="C72" s="1">
        <v>12</v>
      </c>
      <c r="D72" s="21" t="s">
        <v>79</v>
      </c>
      <c r="E72" s="21"/>
      <c r="F72" s="21" t="s">
        <v>18</v>
      </c>
    </row>
    <row r="73" spans="2:6" x14ac:dyDescent="0.25">
      <c r="B73" s="7">
        <v>2</v>
      </c>
      <c r="C73" s="1">
        <v>1</v>
      </c>
      <c r="D73" s="21"/>
      <c r="E73" s="21"/>
      <c r="F73" s="21"/>
    </row>
    <row r="74" spans="2:6" x14ac:dyDescent="0.25">
      <c r="B74" s="7">
        <v>2</v>
      </c>
      <c r="C74" s="1">
        <v>2</v>
      </c>
      <c r="D74" s="21"/>
      <c r="E74" s="21"/>
      <c r="F74" s="21"/>
    </row>
    <row r="75" spans="2:6" x14ac:dyDescent="0.25">
      <c r="B75" s="7">
        <v>2</v>
      </c>
      <c r="C75" s="1">
        <v>3</v>
      </c>
      <c r="D75" s="21"/>
      <c r="E75" s="21"/>
      <c r="F75" s="21"/>
    </row>
    <row r="76" spans="2:6" x14ac:dyDescent="0.25">
      <c r="B76" s="7">
        <v>2</v>
      </c>
      <c r="C76" s="1">
        <v>4</v>
      </c>
      <c r="D76" s="21"/>
      <c r="E76" s="21"/>
      <c r="F76" s="21"/>
    </row>
    <row r="77" spans="2:6" x14ac:dyDescent="0.25">
      <c r="B77" s="7">
        <v>2</v>
      </c>
      <c r="C77" s="1">
        <v>5</v>
      </c>
      <c r="D77" s="21"/>
      <c r="E77" s="21"/>
      <c r="F77" s="21"/>
    </row>
    <row r="78" spans="2:6" x14ac:dyDescent="0.25">
      <c r="B78" s="7">
        <v>2</v>
      </c>
      <c r="C78" s="1">
        <v>6</v>
      </c>
      <c r="D78" s="21"/>
      <c r="E78" s="21"/>
      <c r="F78" s="21"/>
    </row>
    <row r="79" spans="2:6" x14ac:dyDescent="0.25">
      <c r="B79" s="7">
        <v>2</v>
      </c>
      <c r="C79" s="1">
        <v>7</v>
      </c>
      <c r="D79" s="21"/>
      <c r="E79" s="21"/>
      <c r="F79" s="21"/>
    </row>
    <row r="80" spans="2:6" x14ac:dyDescent="0.25">
      <c r="B80" s="7">
        <v>2</v>
      </c>
      <c r="C80" s="1">
        <v>8</v>
      </c>
      <c r="D80" s="21"/>
      <c r="E80" s="21"/>
      <c r="F80" s="21"/>
    </row>
    <row r="81" spans="2:6" x14ac:dyDescent="0.25">
      <c r="B81" s="7">
        <v>2</v>
      </c>
      <c r="C81" s="1">
        <v>9</v>
      </c>
      <c r="D81" s="21"/>
      <c r="E81" s="21"/>
      <c r="F81" s="21"/>
    </row>
    <row r="82" spans="2:6" x14ac:dyDescent="0.25">
      <c r="B82" s="7">
        <v>2</v>
      </c>
      <c r="C82" s="1">
        <v>10</v>
      </c>
      <c r="D82" s="21"/>
      <c r="E82" s="21"/>
      <c r="F82" s="21"/>
    </row>
    <row r="83" spans="2:6" x14ac:dyDescent="0.25">
      <c r="B83" s="7">
        <v>2</v>
      </c>
      <c r="C83" s="1">
        <v>11</v>
      </c>
      <c r="D83" s="21"/>
      <c r="E83" s="21"/>
      <c r="F83" s="21"/>
    </row>
    <row r="84" spans="2:6" x14ac:dyDescent="0.25">
      <c r="B84" s="7">
        <v>2</v>
      </c>
      <c r="C84" s="1">
        <v>12</v>
      </c>
      <c r="D84" s="21"/>
      <c r="E84" s="21"/>
      <c r="F84" s="21"/>
    </row>
  </sheetData>
  <sheetProtection sheet="1" objects="1" scenarios="1" selectLockedCells="1" sort="0" autoFilter="0" pivotTables="0"/>
  <dataValidations count="4">
    <dataValidation type="list" allowBlank="1" showInputMessage="1" showErrorMessage="1" sqref="F46:F56" xr:uid="{892CDF0E-15A0-43A8-BD6A-62EF4D03C7D2}">
      <formula1>INDIRECT(VLOOKUP($E46, SkillNameMap, 2, FALSE))</formula1>
    </dataValidation>
    <dataValidation type="list" allowBlank="1" showInputMessage="1" showErrorMessage="1" sqref="E38:E41" xr:uid="{7994DC66-9754-47D3-A28B-C0A83A2EAC89}">
      <formula1>INDIRECT("LISTAssess[Assessment Specific]")</formula1>
    </dataValidation>
    <dataValidation type="whole" showInputMessage="1" showErrorMessage="1" error="This is not a realistic number of contact hours please change" sqref="D19" xr:uid="{5229BE75-B0E0-4077-8EF0-412E4F64E78E}">
      <formula1>0</formula1>
      <formula2>80</formula2>
    </dataValidation>
    <dataValidation type="whole" showInputMessage="1" showErrorMessage="1" error="This is not a realistic number of contact hours please reduce" sqref="D20:D23" xr:uid="{9C89F6C0-59B0-40A4-AD9B-FF2ACAB06DA5}">
      <formula1>0</formula1>
      <formula2>80</formula2>
    </dataValidation>
  </dataValidations>
  <pageMargins left="0.7" right="0.7" top="0.75" bottom="0.75" header="0.3" footer="0.3"/>
  <pageSetup paperSize="9" orientation="portrait" horizontalDpi="4294967293" verticalDpi="0" r:id="rId1"/>
  <tableParts count="10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7B9F6B16-6FF5-4E56-841A-1AD40DF95F22}">
          <x14:formula1>
            <xm:f>LISTS!$J$7:$J$16</xm:f>
          </x14:formula1>
          <xm:sqref>E46:E56</xm:sqref>
        </x14:dataValidation>
        <x14:dataValidation type="list" allowBlank="1" showInputMessage="1" showErrorMessage="1" xr:uid="{4F387FE4-F215-4DCB-AA99-F2CB3B064FA3}">
          <x14:formula1>
            <xm:f>LISTS!$E$7:$E$11</xm:f>
          </x14:formula1>
          <xm:sqref>D46:D56</xm:sqref>
        </x14:dataValidation>
        <x14:dataValidation type="list" allowBlank="1" showInputMessage="1" showErrorMessage="1" xr:uid="{A8E27691-70AC-4099-A10F-63879CDC28C5}">
          <x14:formula1>
            <xm:f>LISTS!$G$7:$G$11</xm:f>
          </x14:formula1>
          <xm:sqref>D38:D42</xm:sqref>
        </x14:dataValidation>
        <x14:dataValidation type="list" allowBlank="1" showInputMessage="1" showErrorMessage="1" xr:uid="{762F8CE2-7D51-4572-9F70-B773F934E29C}">
          <x14:formula1>
            <xm:f>LISTS!$C$11:$C$15</xm:f>
          </x14:formula1>
          <xm:sqref>D11</xm:sqref>
        </x14:dataValidation>
        <x14:dataValidation type="list" allowBlank="1" showInputMessage="1" showErrorMessage="1" xr:uid="{15E0481E-98A1-407D-8DFA-141CA07D0DE7}">
          <x14:formula1>
            <xm:f>LISTS!$C$7:$C$9</xm:f>
          </x14:formula1>
          <xm:sqref>D10</xm:sqref>
        </x14:dataValidation>
        <x14:dataValidation type="list" allowBlank="1" showInputMessage="1" showErrorMessage="1" xr:uid="{B3565A50-A55E-4ECA-ADB3-330480BE2D6B}">
          <x14:formula1>
            <xm:f>LISTS!$C$17:$C$22</xm:f>
          </x14:formula1>
          <xm:sqref>D13</xm:sqref>
        </x14:dataValidation>
        <x14:dataValidation type="list" allowBlank="1" showInputMessage="1" showErrorMessage="1" xr:uid="{37A004BF-BEA8-4BF2-93ED-5C37361A1B7D}">
          <x14:formula1>
            <xm:f>LISTS!$C$26:$C$37</xm:f>
          </x14:formula1>
          <xm:sqref>D14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A408C-EE1F-4BE4-988C-DF001F53BEA1}">
  <sheetPr codeName="Sheet11"/>
  <dimension ref="B2:H84"/>
  <sheetViews>
    <sheetView showGridLines="0" topLeftCell="B1" zoomScale="85" zoomScaleNormal="85" workbookViewId="0">
      <selection activeCell="D10" sqref="D10"/>
    </sheetView>
  </sheetViews>
  <sheetFormatPr defaultRowHeight="15" x14ac:dyDescent="0.25"/>
  <cols>
    <col min="3" max="3" width="33.28515625" customWidth="1"/>
    <col min="4" max="4" width="51.5703125" customWidth="1"/>
    <col min="5" max="5" width="67.28515625" customWidth="1"/>
    <col min="6" max="6" width="63.140625" customWidth="1"/>
    <col min="7" max="7" width="12.42578125" customWidth="1"/>
    <col min="8" max="8" width="15.5703125" customWidth="1"/>
    <col min="9" max="9" width="14.7109375" customWidth="1"/>
  </cols>
  <sheetData>
    <row r="2" spans="2:6" ht="26.25" x14ac:dyDescent="0.4">
      <c r="C2" s="20" t="str">
        <f>D7</f>
        <v>6403SPS</v>
      </c>
      <c r="D2" s="20" t="str">
        <f>D8</f>
        <v xml:space="preserve">Placement/Projects in Sport for Professional Development </v>
      </c>
    </row>
    <row r="3" spans="2:6" x14ac:dyDescent="0.25">
      <c r="B3" s="1"/>
      <c r="C3" s="1"/>
    </row>
    <row r="4" spans="2:6" x14ac:dyDescent="0.25">
      <c r="B4" s="2"/>
      <c r="C4" s="2"/>
    </row>
    <row r="5" spans="2:6" ht="18.75" x14ac:dyDescent="0.25">
      <c r="B5" s="2"/>
      <c r="C5" s="5" t="s">
        <v>0</v>
      </c>
    </row>
    <row r="6" spans="2:6" x14ac:dyDescent="0.25">
      <c r="B6" s="2"/>
      <c r="C6" s="3" t="s">
        <v>1</v>
      </c>
      <c r="D6" s="4" t="s">
        <v>2</v>
      </c>
      <c r="E6" s="4"/>
      <c r="F6" t="s">
        <v>3</v>
      </c>
    </row>
    <row r="7" spans="2:6" x14ac:dyDescent="0.25">
      <c r="B7" s="2"/>
      <c r="C7" s="3" t="s">
        <v>4</v>
      </c>
      <c r="D7" s="21" t="s">
        <v>223</v>
      </c>
      <c r="E7" s="4"/>
      <c r="F7" s="24"/>
    </row>
    <row r="8" spans="2:6" ht="30" x14ac:dyDescent="0.25">
      <c r="B8" s="2"/>
      <c r="C8" s="3" t="s">
        <v>6</v>
      </c>
      <c r="D8" s="21" t="s">
        <v>222</v>
      </c>
      <c r="E8" s="4"/>
      <c r="F8" s="24"/>
    </row>
    <row r="9" spans="2:6" x14ac:dyDescent="0.25">
      <c r="C9" s="3" t="s">
        <v>7</v>
      </c>
      <c r="D9" s="21"/>
      <c r="E9" s="4"/>
    </row>
    <row r="10" spans="2:6" x14ac:dyDescent="0.25">
      <c r="C10" s="3" t="s">
        <v>8</v>
      </c>
      <c r="D10" s="21"/>
      <c r="E10" s="4"/>
      <c r="F10" t="s">
        <v>9</v>
      </c>
    </row>
    <row r="11" spans="2:6" x14ac:dyDescent="0.25">
      <c r="C11" s="3" t="s">
        <v>10</v>
      </c>
      <c r="D11" s="21"/>
      <c r="E11" s="4"/>
      <c r="F11" s="24"/>
    </row>
    <row r="12" spans="2:6" x14ac:dyDescent="0.25">
      <c r="C12" s="3" t="s">
        <v>11</v>
      </c>
      <c r="D12" s="21"/>
      <c r="E12" s="4"/>
      <c r="F12" s="24"/>
    </row>
    <row r="13" spans="2:6" x14ac:dyDescent="0.25">
      <c r="C13" s="3" t="s">
        <v>12</v>
      </c>
      <c r="D13" s="21"/>
      <c r="E13" s="4"/>
      <c r="F13" s="24"/>
    </row>
    <row r="14" spans="2:6" x14ac:dyDescent="0.25">
      <c r="C14" s="3" t="s">
        <v>13</v>
      </c>
      <c r="D14" s="21"/>
      <c r="E14" s="4"/>
    </row>
    <row r="15" spans="2:6" x14ac:dyDescent="0.25">
      <c r="C15" s="3"/>
      <c r="D15" s="4"/>
      <c r="E15" s="4"/>
      <c r="F15" t="s">
        <v>14</v>
      </c>
    </row>
    <row r="16" spans="2:6" x14ac:dyDescent="0.25">
      <c r="C16" s="3"/>
      <c r="D16" s="4"/>
      <c r="E16" s="4"/>
      <c r="F16" s="24"/>
    </row>
    <row r="17" spans="3:6" ht="18.75" x14ac:dyDescent="0.25">
      <c r="C17" s="5" t="s">
        <v>15</v>
      </c>
      <c r="D17" s="4"/>
      <c r="E17" s="4"/>
      <c r="F17" s="24"/>
    </row>
    <row r="18" spans="3:6" x14ac:dyDescent="0.25">
      <c r="C18" s="3" t="s">
        <v>16</v>
      </c>
      <c r="D18" s="1" t="s">
        <v>15</v>
      </c>
      <c r="E18" s="4"/>
      <c r="F18" s="24"/>
    </row>
    <row r="19" spans="3:6" x14ac:dyDescent="0.25">
      <c r="C19" s="3" t="s">
        <v>17</v>
      </c>
      <c r="D19" s="22"/>
      <c r="E19" s="4"/>
      <c r="F19" s="24"/>
    </row>
    <row r="20" spans="3:6" x14ac:dyDescent="0.25">
      <c r="C20" s="3" t="s">
        <v>18</v>
      </c>
      <c r="D20" s="22"/>
      <c r="E20" s="4"/>
      <c r="F20" s="24"/>
    </row>
    <row r="21" spans="3:6" x14ac:dyDescent="0.25">
      <c r="C21" s="3" t="s">
        <v>19</v>
      </c>
      <c r="D21" s="22"/>
      <c r="E21" s="4"/>
    </row>
    <row r="22" spans="3:6" x14ac:dyDescent="0.25">
      <c r="C22" s="3" t="s">
        <v>20</v>
      </c>
      <c r="D22" s="22"/>
      <c r="E22" s="4"/>
      <c r="F22" t="s">
        <v>21</v>
      </c>
    </row>
    <row r="23" spans="3:6" x14ac:dyDescent="0.25">
      <c r="C23" s="3" t="s">
        <v>22</v>
      </c>
      <c r="D23" s="22"/>
      <c r="E23" s="4"/>
      <c r="F23" s="24"/>
    </row>
    <row r="24" spans="3:6" x14ac:dyDescent="0.25">
      <c r="C24" s="3" t="s">
        <v>23</v>
      </c>
      <c r="D24" s="1">
        <f>SUM(D19:D23)</f>
        <v>0</v>
      </c>
      <c r="E24" s="4"/>
      <c r="F24" s="24"/>
    </row>
    <row r="25" spans="3:6" x14ac:dyDescent="0.25">
      <c r="F25" s="24"/>
    </row>
    <row r="26" spans="3:6" x14ac:dyDescent="0.25">
      <c r="F26" s="24"/>
    </row>
    <row r="27" spans="3:6" ht="18.75" x14ac:dyDescent="0.25">
      <c r="C27" s="5" t="s">
        <v>24</v>
      </c>
      <c r="D27" s="12" t="s">
        <v>25</v>
      </c>
      <c r="F27" s="24"/>
    </row>
    <row r="28" spans="3:6" x14ac:dyDescent="0.25">
      <c r="C28" s="3" t="s">
        <v>26</v>
      </c>
      <c r="D28" s="3" t="s">
        <v>27</v>
      </c>
      <c r="E28" s="3"/>
      <c r="F28" s="24"/>
    </row>
    <row r="29" spans="3:6" x14ac:dyDescent="0.25">
      <c r="C29" s="3" t="s">
        <v>28</v>
      </c>
      <c r="D29" s="21"/>
      <c r="E29" s="4"/>
      <c r="F29" s="24"/>
    </row>
    <row r="30" spans="3:6" x14ac:dyDescent="0.25">
      <c r="C30" s="3" t="s">
        <v>29</v>
      </c>
      <c r="D30" s="21"/>
      <c r="E30" s="4"/>
      <c r="F30" s="24"/>
    </row>
    <row r="31" spans="3:6" x14ac:dyDescent="0.25">
      <c r="C31" s="3" t="s">
        <v>30</v>
      </c>
      <c r="D31" s="21"/>
      <c r="E31" s="4"/>
      <c r="F31" s="24"/>
    </row>
    <row r="32" spans="3:6" x14ac:dyDescent="0.25">
      <c r="C32" s="3" t="s">
        <v>31</v>
      </c>
      <c r="D32" s="21"/>
      <c r="E32" s="4"/>
      <c r="F32" s="24"/>
    </row>
    <row r="33" spans="3:8" x14ac:dyDescent="0.25">
      <c r="C33" s="3" t="s">
        <v>32</v>
      </c>
      <c r="D33" s="21"/>
      <c r="E33" s="4"/>
      <c r="F33" s="24"/>
    </row>
    <row r="36" spans="3:8" ht="18.75" x14ac:dyDescent="0.25">
      <c r="C36" s="5" t="s">
        <v>33</v>
      </c>
    </row>
    <row r="37" spans="3:8" x14ac:dyDescent="0.25">
      <c r="C37" s="3" t="s">
        <v>34</v>
      </c>
      <c r="D37" s="3" t="s">
        <v>35</v>
      </c>
      <c r="E37" s="3" t="s">
        <v>36</v>
      </c>
      <c r="F37" s="3" t="s">
        <v>37</v>
      </c>
      <c r="G37" s="3" t="s">
        <v>38</v>
      </c>
      <c r="H37" s="3" t="s">
        <v>39</v>
      </c>
    </row>
    <row r="38" spans="3:8" x14ac:dyDescent="0.25">
      <c r="C38" s="3" t="s">
        <v>40</v>
      </c>
      <c r="D38" s="21" t="s">
        <v>41</v>
      </c>
      <c r="E38" s="21" t="s">
        <v>42</v>
      </c>
      <c r="F38" s="21" t="s">
        <v>43</v>
      </c>
      <c r="G38" s="23">
        <v>0.5</v>
      </c>
      <c r="H38" s="21">
        <v>6</v>
      </c>
    </row>
    <row r="39" spans="3:8" x14ac:dyDescent="0.25">
      <c r="C39" s="3" t="s">
        <v>44</v>
      </c>
      <c r="D39" s="21"/>
      <c r="E39" s="21"/>
      <c r="F39" s="21"/>
      <c r="G39" s="23">
        <v>0.5</v>
      </c>
      <c r="H39" s="21">
        <v>12</v>
      </c>
    </row>
    <row r="40" spans="3:8" x14ac:dyDescent="0.25">
      <c r="C40" s="3" t="s">
        <v>45</v>
      </c>
      <c r="D40" s="24"/>
      <c r="E40" s="24"/>
      <c r="F40" s="24"/>
      <c r="G40" s="24"/>
      <c r="H40" s="24"/>
    </row>
    <row r="41" spans="3:8" x14ac:dyDescent="0.25">
      <c r="C41" s="3" t="s">
        <v>46</v>
      </c>
      <c r="D41" s="24"/>
      <c r="E41" s="24"/>
      <c r="F41" s="24"/>
      <c r="G41" s="24"/>
      <c r="H41" s="24"/>
    </row>
    <row r="42" spans="3:8" x14ac:dyDescent="0.25">
      <c r="C42" s="3"/>
    </row>
    <row r="44" spans="3:8" ht="18.75" x14ac:dyDescent="0.25">
      <c r="C44" s="5" t="s">
        <v>47</v>
      </c>
      <c r="D44" s="12"/>
    </row>
    <row r="45" spans="3:8" x14ac:dyDescent="0.25">
      <c r="C45" s="1" t="s">
        <v>34</v>
      </c>
      <c r="D45" s="1" t="s">
        <v>26</v>
      </c>
      <c r="E45" s="1" t="s">
        <v>48</v>
      </c>
      <c r="F45" s="1" t="s">
        <v>49</v>
      </c>
    </row>
    <row r="46" spans="3:8" x14ac:dyDescent="0.25">
      <c r="C46" s="25" t="s">
        <v>40</v>
      </c>
      <c r="D46" s="24" t="s">
        <v>28</v>
      </c>
      <c r="E46" s="24" t="s">
        <v>50</v>
      </c>
      <c r="F46" s="24" t="s">
        <v>51</v>
      </c>
    </row>
    <row r="47" spans="3:8" x14ac:dyDescent="0.25">
      <c r="C47" s="25" t="s">
        <v>40</v>
      </c>
      <c r="D47" s="24" t="s">
        <v>28</v>
      </c>
      <c r="E47" s="24" t="s">
        <v>50</v>
      </c>
      <c r="F47" s="24" t="s">
        <v>52</v>
      </c>
    </row>
    <row r="48" spans="3:8" x14ac:dyDescent="0.25">
      <c r="C48" s="25" t="s">
        <v>40</v>
      </c>
      <c r="D48" s="24" t="s">
        <v>28</v>
      </c>
      <c r="E48" s="24" t="s">
        <v>53</v>
      </c>
      <c r="F48" s="24" t="s">
        <v>54</v>
      </c>
    </row>
    <row r="49" spans="2:6" x14ac:dyDescent="0.25">
      <c r="C49" s="25" t="s">
        <v>44</v>
      </c>
      <c r="D49" s="24" t="s">
        <v>29</v>
      </c>
      <c r="E49" s="24" t="s">
        <v>55</v>
      </c>
      <c r="F49" s="24" t="s">
        <v>56</v>
      </c>
    </row>
    <row r="50" spans="2:6" x14ac:dyDescent="0.25">
      <c r="C50" s="25" t="s">
        <v>44</v>
      </c>
      <c r="D50" s="24" t="s">
        <v>29</v>
      </c>
      <c r="E50" s="24" t="s">
        <v>57</v>
      </c>
      <c r="F50" s="24" t="s">
        <v>58</v>
      </c>
    </row>
    <row r="51" spans="2:6" x14ac:dyDescent="0.25">
      <c r="C51" s="25" t="s">
        <v>44</v>
      </c>
      <c r="D51" s="24"/>
      <c r="E51" s="24"/>
      <c r="F51" s="24"/>
    </row>
    <row r="52" spans="2:6" x14ac:dyDescent="0.25">
      <c r="C52" s="25" t="s">
        <v>45</v>
      </c>
      <c r="D52" s="24"/>
      <c r="E52" s="24"/>
      <c r="F52" s="24"/>
    </row>
    <row r="53" spans="2:6" x14ac:dyDescent="0.25">
      <c r="C53" s="25" t="s">
        <v>45</v>
      </c>
      <c r="D53" s="24"/>
      <c r="E53" s="24"/>
      <c r="F53" s="24"/>
    </row>
    <row r="54" spans="2:6" x14ac:dyDescent="0.25">
      <c r="C54" s="25" t="s">
        <v>45</v>
      </c>
      <c r="D54" s="24"/>
      <c r="E54" s="24"/>
      <c r="F54" s="24"/>
    </row>
    <row r="55" spans="2:6" x14ac:dyDescent="0.25">
      <c r="C55" s="25" t="s">
        <v>46</v>
      </c>
      <c r="D55" s="24"/>
      <c r="E55" s="24"/>
      <c r="F55" s="24"/>
    </row>
    <row r="56" spans="2:6" x14ac:dyDescent="0.25">
      <c r="C56" s="25" t="s">
        <v>46</v>
      </c>
      <c r="D56" s="24"/>
      <c r="E56" s="24"/>
      <c r="F56" s="24"/>
    </row>
    <row r="59" spans="2:6" ht="18.75" x14ac:dyDescent="0.25">
      <c r="C59" s="5" t="s">
        <v>59</v>
      </c>
    </row>
    <row r="60" spans="2:6" x14ac:dyDescent="0.25">
      <c r="B60" t="s">
        <v>60</v>
      </c>
      <c r="C60" s="1" t="s">
        <v>61</v>
      </c>
      <c r="D60" s="1" t="s">
        <v>62</v>
      </c>
      <c r="E60" s="1" t="s">
        <v>63</v>
      </c>
      <c r="F60" s="1" t="s">
        <v>64</v>
      </c>
    </row>
    <row r="61" spans="2:6" x14ac:dyDescent="0.25">
      <c r="B61" s="7">
        <v>1</v>
      </c>
      <c r="C61" s="1">
        <v>1</v>
      </c>
      <c r="D61" s="21" t="s">
        <v>65</v>
      </c>
      <c r="E61" s="21"/>
      <c r="F61" s="21"/>
    </row>
    <row r="62" spans="2:6" x14ac:dyDescent="0.25">
      <c r="B62" s="7">
        <v>1</v>
      </c>
      <c r="C62" s="1">
        <v>2</v>
      </c>
      <c r="D62" s="21" t="s">
        <v>66</v>
      </c>
      <c r="E62" s="21" t="s">
        <v>67</v>
      </c>
      <c r="F62" s="21" t="s">
        <v>18</v>
      </c>
    </row>
    <row r="63" spans="2:6" x14ac:dyDescent="0.25">
      <c r="B63" s="7">
        <v>1</v>
      </c>
      <c r="C63" s="1">
        <v>3</v>
      </c>
      <c r="D63" s="21" t="s">
        <v>68</v>
      </c>
      <c r="E63" s="21"/>
      <c r="F63" s="21"/>
    </row>
    <row r="64" spans="2:6" x14ac:dyDescent="0.25">
      <c r="B64" s="7">
        <v>1</v>
      </c>
      <c r="C64" s="1">
        <v>4</v>
      </c>
      <c r="D64" s="21" t="s">
        <v>69</v>
      </c>
      <c r="E64" s="21" t="s">
        <v>70</v>
      </c>
      <c r="F64" s="21" t="s">
        <v>18</v>
      </c>
    </row>
    <row r="65" spans="2:6" x14ac:dyDescent="0.25">
      <c r="B65" s="7">
        <v>1</v>
      </c>
      <c r="C65" s="1">
        <v>5</v>
      </c>
      <c r="D65" s="21" t="s">
        <v>71</v>
      </c>
      <c r="E65" s="21"/>
      <c r="F65" s="21"/>
    </row>
    <row r="66" spans="2:6" x14ac:dyDescent="0.25">
      <c r="B66" s="7">
        <v>1</v>
      </c>
      <c r="C66" s="1">
        <v>6</v>
      </c>
      <c r="D66" s="21" t="s">
        <v>72</v>
      </c>
      <c r="E66" s="21"/>
      <c r="F66" s="21" t="s">
        <v>18</v>
      </c>
    </row>
    <row r="67" spans="2:6" x14ac:dyDescent="0.25">
      <c r="B67" s="7">
        <v>1</v>
      </c>
      <c r="C67" s="1">
        <v>7</v>
      </c>
      <c r="D67" s="21" t="s">
        <v>73</v>
      </c>
      <c r="E67" s="21"/>
      <c r="F67" s="21"/>
    </row>
    <row r="68" spans="2:6" x14ac:dyDescent="0.25">
      <c r="B68" s="7">
        <v>1</v>
      </c>
      <c r="C68" s="1">
        <v>8</v>
      </c>
      <c r="D68" s="21" t="s">
        <v>74</v>
      </c>
      <c r="E68" s="21"/>
      <c r="F68" s="21" t="s">
        <v>18</v>
      </c>
    </row>
    <row r="69" spans="2:6" x14ac:dyDescent="0.25">
      <c r="B69" s="7">
        <v>1</v>
      </c>
      <c r="C69" s="1">
        <v>9</v>
      </c>
      <c r="D69" s="21" t="s">
        <v>75</v>
      </c>
      <c r="E69" s="21"/>
      <c r="F69" s="21"/>
    </row>
    <row r="70" spans="2:6" x14ac:dyDescent="0.25">
      <c r="B70" s="7">
        <v>1</v>
      </c>
      <c r="C70" s="1">
        <v>10</v>
      </c>
      <c r="D70" s="21" t="s">
        <v>76</v>
      </c>
      <c r="E70" s="21" t="s">
        <v>77</v>
      </c>
      <c r="F70" s="21" t="s">
        <v>18</v>
      </c>
    </row>
    <row r="71" spans="2:6" x14ac:dyDescent="0.25">
      <c r="B71" s="7">
        <v>1</v>
      </c>
      <c r="C71" s="1">
        <v>11</v>
      </c>
      <c r="D71" s="21" t="s">
        <v>78</v>
      </c>
      <c r="E71" s="21"/>
      <c r="F71" s="21"/>
    </row>
    <row r="72" spans="2:6" x14ac:dyDescent="0.25">
      <c r="B72" s="7">
        <v>1</v>
      </c>
      <c r="C72" s="1">
        <v>12</v>
      </c>
      <c r="D72" s="21" t="s">
        <v>79</v>
      </c>
      <c r="E72" s="21"/>
      <c r="F72" s="21" t="s">
        <v>18</v>
      </c>
    </row>
    <row r="73" spans="2:6" x14ac:dyDescent="0.25">
      <c r="B73" s="7">
        <v>2</v>
      </c>
      <c r="C73" s="1">
        <v>1</v>
      </c>
      <c r="D73" s="21"/>
      <c r="E73" s="21"/>
      <c r="F73" s="21"/>
    </row>
    <row r="74" spans="2:6" x14ac:dyDescent="0.25">
      <c r="B74" s="7">
        <v>2</v>
      </c>
      <c r="C74" s="1">
        <v>2</v>
      </c>
      <c r="D74" s="21"/>
      <c r="E74" s="21"/>
      <c r="F74" s="21"/>
    </row>
    <row r="75" spans="2:6" x14ac:dyDescent="0.25">
      <c r="B75" s="7">
        <v>2</v>
      </c>
      <c r="C75" s="1">
        <v>3</v>
      </c>
      <c r="D75" s="21"/>
      <c r="E75" s="21"/>
      <c r="F75" s="21"/>
    </row>
    <row r="76" spans="2:6" x14ac:dyDescent="0.25">
      <c r="B76" s="7">
        <v>2</v>
      </c>
      <c r="C76" s="1">
        <v>4</v>
      </c>
      <c r="D76" s="21"/>
      <c r="E76" s="21"/>
      <c r="F76" s="21"/>
    </row>
    <row r="77" spans="2:6" x14ac:dyDescent="0.25">
      <c r="B77" s="7">
        <v>2</v>
      </c>
      <c r="C77" s="1">
        <v>5</v>
      </c>
      <c r="D77" s="21"/>
      <c r="E77" s="21"/>
      <c r="F77" s="21"/>
    </row>
    <row r="78" spans="2:6" x14ac:dyDescent="0.25">
      <c r="B78" s="7">
        <v>2</v>
      </c>
      <c r="C78" s="1">
        <v>6</v>
      </c>
      <c r="D78" s="21"/>
      <c r="E78" s="21"/>
      <c r="F78" s="21"/>
    </row>
    <row r="79" spans="2:6" x14ac:dyDescent="0.25">
      <c r="B79" s="7">
        <v>2</v>
      </c>
      <c r="C79" s="1">
        <v>7</v>
      </c>
      <c r="D79" s="21"/>
      <c r="E79" s="21"/>
      <c r="F79" s="21"/>
    </row>
    <row r="80" spans="2:6" x14ac:dyDescent="0.25">
      <c r="B80" s="7">
        <v>2</v>
      </c>
      <c r="C80" s="1">
        <v>8</v>
      </c>
      <c r="D80" s="21"/>
      <c r="E80" s="21"/>
      <c r="F80" s="21"/>
    </row>
    <row r="81" spans="2:6" x14ac:dyDescent="0.25">
      <c r="B81" s="7">
        <v>2</v>
      </c>
      <c r="C81" s="1">
        <v>9</v>
      </c>
      <c r="D81" s="21"/>
      <c r="E81" s="21"/>
      <c r="F81" s="21"/>
    </row>
    <row r="82" spans="2:6" x14ac:dyDescent="0.25">
      <c r="B82" s="7">
        <v>2</v>
      </c>
      <c r="C82" s="1">
        <v>10</v>
      </c>
      <c r="D82" s="21"/>
      <c r="E82" s="21"/>
      <c r="F82" s="21"/>
    </row>
    <row r="83" spans="2:6" x14ac:dyDescent="0.25">
      <c r="B83" s="7">
        <v>2</v>
      </c>
      <c r="C83" s="1">
        <v>11</v>
      </c>
      <c r="D83" s="21"/>
      <c r="E83" s="21"/>
      <c r="F83" s="21"/>
    </row>
    <row r="84" spans="2:6" x14ac:dyDescent="0.25">
      <c r="B84" s="7">
        <v>2</v>
      </c>
      <c r="C84" s="1">
        <v>12</v>
      </c>
      <c r="D84" s="21"/>
      <c r="E84" s="21"/>
      <c r="F84" s="21"/>
    </row>
  </sheetData>
  <sheetProtection sheet="1" objects="1" scenarios="1" selectLockedCells="1" sort="0" autoFilter="0" pivotTables="0"/>
  <dataValidations count="4">
    <dataValidation type="whole" showInputMessage="1" showErrorMessage="1" error="This is not a realistic number of contact hours please reduce" sqref="D20:D23" xr:uid="{228872C6-6A06-4732-B8A1-E6B94CB81102}">
      <formula1>0</formula1>
      <formula2>80</formula2>
    </dataValidation>
    <dataValidation type="whole" showInputMessage="1" showErrorMessage="1" error="This is not a realistic number of contact hours please change" sqref="D19" xr:uid="{F79CE569-989B-479F-8826-338510A79154}">
      <formula1>0</formula1>
      <formula2>80</formula2>
    </dataValidation>
    <dataValidation type="list" allowBlank="1" showInputMessage="1" showErrorMessage="1" sqref="E38:E41" xr:uid="{6E90B7E5-5035-4F89-B270-578FA2975164}">
      <formula1>INDIRECT("LISTAssess[Assessment Specific]")</formula1>
    </dataValidation>
    <dataValidation type="list" allowBlank="1" showInputMessage="1" showErrorMessage="1" sqref="F46:F56" xr:uid="{0A41CE66-A84F-4E65-BA05-CA863B7746FB}">
      <formula1>INDIRECT(VLOOKUP($E46, SkillNameMap, 2, FALSE))</formula1>
    </dataValidation>
  </dataValidations>
  <pageMargins left="0.7" right="0.7" top="0.75" bottom="0.75" header="0.3" footer="0.3"/>
  <pageSetup paperSize="9" orientation="portrait" horizontalDpi="4294967293" verticalDpi="0" r:id="rId1"/>
  <tableParts count="10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261BA6EE-88F7-427A-BCD6-8C9348F9245C}">
          <x14:formula1>
            <xm:f>LISTS!$C$26:$C$37</xm:f>
          </x14:formula1>
          <xm:sqref>D14</xm:sqref>
        </x14:dataValidation>
        <x14:dataValidation type="list" allowBlank="1" showInputMessage="1" showErrorMessage="1" xr:uid="{BE38852D-057D-456A-8583-51979A3F9408}">
          <x14:formula1>
            <xm:f>LISTS!$C$17:$C$22</xm:f>
          </x14:formula1>
          <xm:sqref>D13</xm:sqref>
        </x14:dataValidation>
        <x14:dataValidation type="list" allowBlank="1" showInputMessage="1" showErrorMessage="1" xr:uid="{09331423-59E2-4171-9695-7BE4C02AFE53}">
          <x14:formula1>
            <xm:f>LISTS!$C$7:$C$9</xm:f>
          </x14:formula1>
          <xm:sqref>D10</xm:sqref>
        </x14:dataValidation>
        <x14:dataValidation type="list" allowBlank="1" showInputMessage="1" showErrorMessage="1" xr:uid="{2507034E-37B5-446A-AFCD-F99DE72488BA}">
          <x14:formula1>
            <xm:f>LISTS!$C$11:$C$15</xm:f>
          </x14:formula1>
          <xm:sqref>D11</xm:sqref>
        </x14:dataValidation>
        <x14:dataValidation type="list" allowBlank="1" showInputMessage="1" showErrorMessage="1" xr:uid="{A7BB251E-C289-4AFE-837E-75E3985C6AC4}">
          <x14:formula1>
            <xm:f>LISTS!$G$7:$G$11</xm:f>
          </x14:formula1>
          <xm:sqref>D38:D42</xm:sqref>
        </x14:dataValidation>
        <x14:dataValidation type="list" allowBlank="1" showInputMessage="1" showErrorMessage="1" xr:uid="{91A4DB0E-9988-4C67-88FE-0DC4AE014787}">
          <x14:formula1>
            <xm:f>LISTS!$E$7:$E$11</xm:f>
          </x14:formula1>
          <xm:sqref>D46:D56</xm:sqref>
        </x14:dataValidation>
        <x14:dataValidation type="list" allowBlank="1" showInputMessage="1" showErrorMessage="1" xr:uid="{431E3138-B78E-40DB-8906-C5B6A90BA4A5}">
          <x14:formula1>
            <xm:f>LISTS!$J$7:$J$16</xm:f>
          </x14:formula1>
          <xm:sqref>E46:E56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B88F2-57F5-49DF-8E52-0E95DE3CFAC4}">
  <sheetPr codeName="Sheet12"/>
  <dimension ref="B2:H84"/>
  <sheetViews>
    <sheetView showGridLines="0" topLeftCell="B1" zoomScale="85" zoomScaleNormal="85" workbookViewId="0">
      <selection activeCell="D10" sqref="D10"/>
    </sheetView>
  </sheetViews>
  <sheetFormatPr defaultRowHeight="15" x14ac:dyDescent="0.25"/>
  <cols>
    <col min="3" max="3" width="33.28515625" customWidth="1"/>
    <col min="4" max="4" width="51.5703125" customWidth="1"/>
    <col min="5" max="5" width="67.28515625" customWidth="1"/>
    <col min="6" max="6" width="63.140625" customWidth="1"/>
    <col min="7" max="7" width="12.42578125" customWidth="1"/>
    <col min="8" max="8" width="15.5703125" customWidth="1"/>
    <col min="9" max="9" width="14.7109375" customWidth="1"/>
  </cols>
  <sheetData>
    <row r="2" spans="2:6" ht="26.25" x14ac:dyDescent="0.4">
      <c r="C2" s="20" t="str">
        <f>D7</f>
        <v>6097SPS</v>
      </c>
      <c r="D2" s="20" t="str">
        <f>D8</f>
        <v>Working in High Performance Sport</v>
      </c>
    </row>
    <row r="3" spans="2:6" x14ac:dyDescent="0.25">
      <c r="B3" s="1"/>
      <c r="C3" s="1"/>
    </row>
    <row r="4" spans="2:6" x14ac:dyDescent="0.25">
      <c r="B4" s="2"/>
      <c r="C4" s="2"/>
    </row>
    <row r="5" spans="2:6" ht="18.75" x14ac:dyDescent="0.25">
      <c r="B5" s="2"/>
      <c r="C5" s="5" t="s">
        <v>0</v>
      </c>
    </row>
    <row r="6" spans="2:6" x14ac:dyDescent="0.25">
      <c r="B6" s="2"/>
      <c r="C6" s="3" t="s">
        <v>1</v>
      </c>
      <c r="D6" s="4" t="s">
        <v>2</v>
      </c>
      <c r="E6" s="4"/>
      <c r="F6" t="s">
        <v>3</v>
      </c>
    </row>
    <row r="7" spans="2:6" x14ac:dyDescent="0.25">
      <c r="B7" s="2"/>
      <c r="C7" s="3" t="s">
        <v>4</v>
      </c>
      <c r="D7" s="21" t="s">
        <v>225</v>
      </c>
      <c r="E7" s="4"/>
      <c r="F7" s="24"/>
    </row>
    <row r="8" spans="2:6" x14ac:dyDescent="0.25">
      <c r="B8" s="2"/>
      <c r="C8" s="3" t="s">
        <v>6</v>
      </c>
      <c r="D8" s="21" t="s">
        <v>224</v>
      </c>
      <c r="E8" s="4"/>
      <c r="F8" s="24"/>
    </row>
    <row r="9" spans="2:6" x14ac:dyDescent="0.25">
      <c r="C9" s="3" t="s">
        <v>7</v>
      </c>
      <c r="D9" s="21"/>
      <c r="E9" s="4"/>
    </row>
    <row r="10" spans="2:6" x14ac:dyDescent="0.25">
      <c r="C10" s="3" t="s">
        <v>8</v>
      </c>
      <c r="D10" s="21"/>
      <c r="E10" s="4"/>
      <c r="F10" t="s">
        <v>9</v>
      </c>
    </row>
    <row r="11" spans="2:6" x14ac:dyDescent="0.25">
      <c r="C11" s="3" t="s">
        <v>10</v>
      </c>
      <c r="D11" s="21"/>
      <c r="E11" s="4"/>
      <c r="F11" s="24"/>
    </row>
    <row r="12" spans="2:6" x14ac:dyDescent="0.25">
      <c r="C12" s="3" t="s">
        <v>11</v>
      </c>
      <c r="D12" s="21"/>
      <c r="E12" s="4"/>
      <c r="F12" s="24"/>
    </row>
    <row r="13" spans="2:6" x14ac:dyDescent="0.25">
      <c r="C13" s="3" t="s">
        <v>12</v>
      </c>
      <c r="D13" s="21"/>
      <c r="E13" s="4"/>
      <c r="F13" s="24"/>
    </row>
    <row r="14" spans="2:6" x14ac:dyDescent="0.25">
      <c r="C14" s="3" t="s">
        <v>13</v>
      </c>
      <c r="D14" s="21"/>
      <c r="E14" s="4"/>
    </row>
    <row r="15" spans="2:6" x14ac:dyDescent="0.25">
      <c r="C15" s="3"/>
      <c r="D15" s="4"/>
      <c r="E15" s="4"/>
      <c r="F15" t="s">
        <v>14</v>
      </c>
    </row>
    <row r="16" spans="2:6" x14ac:dyDescent="0.25">
      <c r="C16" s="3"/>
      <c r="D16" s="4"/>
      <c r="E16" s="4"/>
      <c r="F16" s="24"/>
    </row>
    <row r="17" spans="3:6" ht="18.75" x14ac:dyDescent="0.25">
      <c r="C17" s="5" t="s">
        <v>15</v>
      </c>
      <c r="D17" s="4"/>
      <c r="E17" s="4"/>
      <c r="F17" s="24"/>
    </row>
    <row r="18" spans="3:6" x14ac:dyDescent="0.25">
      <c r="C18" s="3" t="s">
        <v>16</v>
      </c>
      <c r="D18" s="1" t="s">
        <v>15</v>
      </c>
      <c r="E18" s="4"/>
      <c r="F18" s="24"/>
    </row>
    <row r="19" spans="3:6" x14ac:dyDescent="0.25">
      <c r="C19" s="3" t="s">
        <v>17</v>
      </c>
      <c r="D19" s="22"/>
      <c r="E19" s="4"/>
      <c r="F19" s="24"/>
    </row>
    <row r="20" spans="3:6" x14ac:dyDescent="0.25">
      <c r="C20" s="3" t="s">
        <v>18</v>
      </c>
      <c r="D20" s="22"/>
      <c r="E20" s="4"/>
      <c r="F20" s="24"/>
    </row>
    <row r="21" spans="3:6" x14ac:dyDescent="0.25">
      <c r="C21" s="3" t="s">
        <v>19</v>
      </c>
      <c r="D21" s="22"/>
      <c r="E21" s="4"/>
    </row>
    <row r="22" spans="3:6" x14ac:dyDescent="0.25">
      <c r="C22" s="3" t="s">
        <v>20</v>
      </c>
      <c r="D22" s="22"/>
      <c r="E22" s="4"/>
      <c r="F22" t="s">
        <v>21</v>
      </c>
    </row>
    <row r="23" spans="3:6" x14ac:dyDescent="0.25">
      <c r="C23" s="3" t="s">
        <v>22</v>
      </c>
      <c r="D23" s="22"/>
      <c r="E23" s="4"/>
      <c r="F23" s="24"/>
    </row>
    <row r="24" spans="3:6" x14ac:dyDescent="0.25">
      <c r="C24" s="3" t="s">
        <v>23</v>
      </c>
      <c r="D24" s="1">
        <f>SUM(D19:D23)</f>
        <v>0</v>
      </c>
      <c r="E24" s="4"/>
      <c r="F24" s="24"/>
    </row>
    <row r="25" spans="3:6" x14ac:dyDescent="0.25">
      <c r="F25" s="24"/>
    </row>
    <row r="26" spans="3:6" x14ac:dyDescent="0.25">
      <c r="F26" s="24"/>
    </row>
    <row r="27" spans="3:6" ht="18.75" x14ac:dyDescent="0.25">
      <c r="C27" s="5" t="s">
        <v>24</v>
      </c>
      <c r="D27" s="12" t="s">
        <v>25</v>
      </c>
      <c r="F27" s="24"/>
    </row>
    <row r="28" spans="3:6" x14ac:dyDescent="0.25">
      <c r="C28" s="3" t="s">
        <v>26</v>
      </c>
      <c r="D28" s="3" t="s">
        <v>27</v>
      </c>
      <c r="E28" s="3"/>
      <c r="F28" s="24"/>
    </row>
    <row r="29" spans="3:6" x14ac:dyDescent="0.25">
      <c r="C29" s="3" t="s">
        <v>28</v>
      </c>
      <c r="D29" s="21"/>
      <c r="E29" s="4"/>
      <c r="F29" s="24"/>
    </row>
    <row r="30" spans="3:6" x14ac:dyDescent="0.25">
      <c r="C30" s="3" t="s">
        <v>29</v>
      </c>
      <c r="D30" s="21"/>
      <c r="E30" s="4"/>
      <c r="F30" s="24"/>
    </row>
    <row r="31" spans="3:6" x14ac:dyDescent="0.25">
      <c r="C31" s="3" t="s">
        <v>30</v>
      </c>
      <c r="D31" s="21"/>
      <c r="E31" s="4"/>
      <c r="F31" s="24"/>
    </row>
    <row r="32" spans="3:6" x14ac:dyDescent="0.25">
      <c r="C32" s="3" t="s">
        <v>31</v>
      </c>
      <c r="D32" s="21"/>
      <c r="E32" s="4"/>
      <c r="F32" s="24"/>
    </row>
    <row r="33" spans="3:8" x14ac:dyDescent="0.25">
      <c r="C33" s="3" t="s">
        <v>32</v>
      </c>
      <c r="D33" s="21"/>
      <c r="E33" s="4"/>
      <c r="F33" s="24"/>
    </row>
    <row r="36" spans="3:8" ht="18.75" x14ac:dyDescent="0.25">
      <c r="C36" s="5" t="s">
        <v>33</v>
      </c>
    </row>
    <row r="37" spans="3:8" x14ac:dyDescent="0.25">
      <c r="C37" s="3" t="s">
        <v>34</v>
      </c>
      <c r="D37" s="3" t="s">
        <v>35</v>
      </c>
      <c r="E37" s="3" t="s">
        <v>36</v>
      </c>
      <c r="F37" s="3" t="s">
        <v>37</v>
      </c>
      <c r="G37" s="3" t="s">
        <v>38</v>
      </c>
      <c r="H37" s="3" t="s">
        <v>39</v>
      </c>
    </row>
    <row r="38" spans="3:8" x14ac:dyDescent="0.25">
      <c r="C38" s="3" t="s">
        <v>40</v>
      </c>
      <c r="D38" s="21" t="s">
        <v>41</v>
      </c>
      <c r="E38" s="21" t="s">
        <v>42</v>
      </c>
      <c r="F38" s="21" t="s">
        <v>43</v>
      </c>
      <c r="G38" s="23">
        <v>0.5</v>
      </c>
      <c r="H38" s="21">
        <v>6</v>
      </c>
    </row>
    <row r="39" spans="3:8" x14ac:dyDescent="0.25">
      <c r="C39" s="3" t="s">
        <v>44</v>
      </c>
      <c r="D39" s="21"/>
      <c r="E39" s="21"/>
      <c r="F39" s="21"/>
      <c r="G39" s="23">
        <v>0.5</v>
      </c>
      <c r="H39" s="21">
        <v>12</v>
      </c>
    </row>
    <row r="40" spans="3:8" x14ac:dyDescent="0.25">
      <c r="C40" s="3" t="s">
        <v>45</v>
      </c>
      <c r="D40" s="24"/>
      <c r="E40" s="24"/>
      <c r="F40" s="24"/>
      <c r="G40" s="24"/>
      <c r="H40" s="24"/>
    </row>
    <row r="41" spans="3:8" x14ac:dyDescent="0.25">
      <c r="C41" s="3" t="s">
        <v>46</v>
      </c>
      <c r="D41" s="24"/>
      <c r="E41" s="24"/>
      <c r="F41" s="24"/>
      <c r="G41" s="24"/>
      <c r="H41" s="24"/>
    </row>
    <row r="42" spans="3:8" x14ac:dyDescent="0.25">
      <c r="C42" s="3"/>
    </row>
    <row r="44" spans="3:8" ht="18.75" x14ac:dyDescent="0.25">
      <c r="C44" s="5" t="s">
        <v>47</v>
      </c>
      <c r="D44" s="12"/>
    </row>
    <row r="45" spans="3:8" x14ac:dyDescent="0.25">
      <c r="C45" s="1" t="s">
        <v>34</v>
      </c>
      <c r="D45" s="1" t="s">
        <v>26</v>
      </c>
      <c r="E45" s="1" t="s">
        <v>48</v>
      </c>
      <c r="F45" s="1" t="s">
        <v>49</v>
      </c>
    </row>
    <row r="46" spans="3:8" x14ac:dyDescent="0.25">
      <c r="C46" s="25" t="s">
        <v>40</v>
      </c>
      <c r="D46" s="24" t="s">
        <v>28</v>
      </c>
      <c r="E46" s="24" t="s">
        <v>50</v>
      </c>
      <c r="F46" s="24" t="s">
        <v>51</v>
      </c>
    </row>
    <row r="47" spans="3:8" x14ac:dyDescent="0.25">
      <c r="C47" s="25" t="s">
        <v>40</v>
      </c>
      <c r="D47" s="24" t="s">
        <v>28</v>
      </c>
      <c r="E47" s="24" t="s">
        <v>50</v>
      </c>
      <c r="F47" s="24" t="s">
        <v>52</v>
      </c>
    </row>
    <row r="48" spans="3:8" x14ac:dyDescent="0.25">
      <c r="C48" s="25" t="s">
        <v>40</v>
      </c>
      <c r="D48" s="24" t="s">
        <v>28</v>
      </c>
      <c r="E48" s="24" t="s">
        <v>53</v>
      </c>
      <c r="F48" s="24" t="s">
        <v>54</v>
      </c>
    </row>
    <row r="49" spans="2:6" x14ac:dyDescent="0.25">
      <c r="C49" s="25" t="s">
        <v>44</v>
      </c>
      <c r="D49" s="24" t="s">
        <v>29</v>
      </c>
      <c r="E49" s="24" t="s">
        <v>55</v>
      </c>
      <c r="F49" s="24" t="s">
        <v>56</v>
      </c>
    </row>
    <row r="50" spans="2:6" x14ac:dyDescent="0.25">
      <c r="C50" s="25" t="s">
        <v>44</v>
      </c>
      <c r="D50" s="24" t="s">
        <v>29</v>
      </c>
      <c r="E50" s="24" t="s">
        <v>57</v>
      </c>
      <c r="F50" s="24" t="s">
        <v>58</v>
      </c>
    </row>
    <row r="51" spans="2:6" x14ac:dyDescent="0.25">
      <c r="C51" s="25" t="s">
        <v>44</v>
      </c>
      <c r="D51" s="24"/>
      <c r="E51" s="24"/>
      <c r="F51" s="24"/>
    </row>
    <row r="52" spans="2:6" x14ac:dyDescent="0.25">
      <c r="C52" s="25" t="s">
        <v>45</v>
      </c>
      <c r="D52" s="24"/>
      <c r="E52" s="24"/>
      <c r="F52" s="24"/>
    </row>
    <row r="53" spans="2:6" x14ac:dyDescent="0.25">
      <c r="C53" s="25" t="s">
        <v>45</v>
      </c>
      <c r="D53" s="24"/>
      <c r="E53" s="24"/>
      <c r="F53" s="24"/>
    </row>
    <row r="54" spans="2:6" x14ac:dyDescent="0.25">
      <c r="C54" s="25" t="s">
        <v>45</v>
      </c>
      <c r="D54" s="24"/>
      <c r="E54" s="24"/>
      <c r="F54" s="24"/>
    </row>
    <row r="55" spans="2:6" x14ac:dyDescent="0.25">
      <c r="C55" s="25" t="s">
        <v>46</v>
      </c>
      <c r="D55" s="24"/>
      <c r="E55" s="24"/>
      <c r="F55" s="24"/>
    </row>
    <row r="56" spans="2:6" x14ac:dyDescent="0.25">
      <c r="C56" s="25" t="s">
        <v>46</v>
      </c>
      <c r="D56" s="24"/>
      <c r="E56" s="24"/>
      <c r="F56" s="24"/>
    </row>
    <row r="59" spans="2:6" ht="18.75" x14ac:dyDescent="0.25">
      <c r="C59" s="5" t="s">
        <v>59</v>
      </c>
    </row>
    <row r="60" spans="2:6" x14ac:dyDescent="0.25">
      <c r="B60" t="s">
        <v>60</v>
      </c>
      <c r="C60" s="1" t="s">
        <v>61</v>
      </c>
      <c r="D60" s="1" t="s">
        <v>62</v>
      </c>
      <c r="E60" s="1" t="s">
        <v>63</v>
      </c>
      <c r="F60" s="1" t="s">
        <v>64</v>
      </c>
    </row>
    <row r="61" spans="2:6" x14ac:dyDescent="0.25">
      <c r="B61" s="7">
        <v>1</v>
      </c>
      <c r="C61" s="1">
        <v>1</v>
      </c>
      <c r="D61" s="21" t="s">
        <v>65</v>
      </c>
      <c r="E61" s="21"/>
      <c r="F61" s="21"/>
    </row>
    <row r="62" spans="2:6" x14ac:dyDescent="0.25">
      <c r="B62" s="7">
        <v>1</v>
      </c>
      <c r="C62" s="1">
        <v>2</v>
      </c>
      <c r="D62" s="21" t="s">
        <v>66</v>
      </c>
      <c r="E62" s="21" t="s">
        <v>67</v>
      </c>
      <c r="F62" s="21" t="s">
        <v>18</v>
      </c>
    </row>
    <row r="63" spans="2:6" x14ac:dyDescent="0.25">
      <c r="B63" s="7">
        <v>1</v>
      </c>
      <c r="C63" s="1">
        <v>3</v>
      </c>
      <c r="D63" s="21" t="s">
        <v>68</v>
      </c>
      <c r="E63" s="21"/>
      <c r="F63" s="21"/>
    </row>
    <row r="64" spans="2:6" x14ac:dyDescent="0.25">
      <c r="B64" s="7">
        <v>1</v>
      </c>
      <c r="C64" s="1">
        <v>4</v>
      </c>
      <c r="D64" s="21" t="s">
        <v>69</v>
      </c>
      <c r="E64" s="21" t="s">
        <v>70</v>
      </c>
      <c r="F64" s="21" t="s">
        <v>18</v>
      </c>
    </row>
    <row r="65" spans="2:6" x14ac:dyDescent="0.25">
      <c r="B65" s="7">
        <v>1</v>
      </c>
      <c r="C65" s="1">
        <v>5</v>
      </c>
      <c r="D65" s="21" t="s">
        <v>71</v>
      </c>
      <c r="E65" s="21"/>
      <c r="F65" s="21"/>
    </row>
    <row r="66" spans="2:6" x14ac:dyDescent="0.25">
      <c r="B66" s="7">
        <v>1</v>
      </c>
      <c r="C66" s="1">
        <v>6</v>
      </c>
      <c r="D66" s="21" t="s">
        <v>72</v>
      </c>
      <c r="E66" s="21"/>
      <c r="F66" s="21" t="s">
        <v>18</v>
      </c>
    </row>
    <row r="67" spans="2:6" x14ac:dyDescent="0.25">
      <c r="B67" s="7">
        <v>1</v>
      </c>
      <c r="C67" s="1">
        <v>7</v>
      </c>
      <c r="D67" s="21" t="s">
        <v>73</v>
      </c>
      <c r="E67" s="21"/>
      <c r="F67" s="21"/>
    </row>
    <row r="68" spans="2:6" x14ac:dyDescent="0.25">
      <c r="B68" s="7">
        <v>1</v>
      </c>
      <c r="C68" s="1">
        <v>8</v>
      </c>
      <c r="D68" s="21" t="s">
        <v>74</v>
      </c>
      <c r="E68" s="21"/>
      <c r="F68" s="21" t="s">
        <v>18</v>
      </c>
    </row>
    <row r="69" spans="2:6" x14ac:dyDescent="0.25">
      <c r="B69" s="7">
        <v>1</v>
      </c>
      <c r="C69" s="1">
        <v>9</v>
      </c>
      <c r="D69" s="21" t="s">
        <v>75</v>
      </c>
      <c r="E69" s="21"/>
      <c r="F69" s="21"/>
    </row>
    <row r="70" spans="2:6" x14ac:dyDescent="0.25">
      <c r="B70" s="7">
        <v>1</v>
      </c>
      <c r="C70" s="1">
        <v>10</v>
      </c>
      <c r="D70" s="21" t="s">
        <v>76</v>
      </c>
      <c r="E70" s="21" t="s">
        <v>77</v>
      </c>
      <c r="F70" s="21" t="s">
        <v>18</v>
      </c>
    </row>
    <row r="71" spans="2:6" x14ac:dyDescent="0.25">
      <c r="B71" s="7">
        <v>1</v>
      </c>
      <c r="C71" s="1">
        <v>11</v>
      </c>
      <c r="D71" s="21" t="s">
        <v>78</v>
      </c>
      <c r="E71" s="21"/>
      <c r="F71" s="21"/>
    </row>
    <row r="72" spans="2:6" x14ac:dyDescent="0.25">
      <c r="B72" s="7">
        <v>1</v>
      </c>
      <c r="C72" s="1">
        <v>12</v>
      </c>
      <c r="D72" s="21" t="s">
        <v>79</v>
      </c>
      <c r="E72" s="21"/>
      <c r="F72" s="21" t="s">
        <v>18</v>
      </c>
    </row>
    <row r="73" spans="2:6" x14ac:dyDescent="0.25">
      <c r="B73" s="7">
        <v>2</v>
      </c>
      <c r="C73" s="1">
        <v>1</v>
      </c>
      <c r="D73" s="21"/>
      <c r="E73" s="21"/>
      <c r="F73" s="21"/>
    </row>
    <row r="74" spans="2:6" x14ac:dyDescent="0.25">
      <c r="B74" s="7">
        <v>2</v>
      </c>
      <c r="C74" s="1">
        <v>2</v>
      </c>
      <c r="D74" s="21"/>
      <c r="E74" s="21"/>
      <c r="F74" s="21"/>
    </row>
    <row r="75" spans="2:6" x14ac:dyDescent="0.25">
      <c r="B75" s="7">
        <v>2</v>
      </c>
      <c r="C75" s="1">
        <v>3</v>
      </c>
      <c r="D75" s="21"/>
      <c r="E75" s="21"/>
      <c r="F75" s="21"/>
    </row>
    <row r="76" spans="2:6" x14ac:dyDescent="0.25">
      <c r="B76" s="7">
        <v>2</v>
      </c>
      <c r="C76" s="1">
        <v>4</v>
      </c>
      <c r="D76" s="21"/>
      <c r="E76" s="21"/>
      <c r="F76" s="21"/>
    </row>
    <row r="77" spans="2:6" x14ac:dyDescent="0.25">
      <c r="B77" s="7">
        <v>2</v>
      </c>
      <c r="C77" s="1">
        <v>5</v>
      </c>
      <c r="D77" s="21"/>
      <c r="E77" s="21"/>
      <c r="F77" s="21"/>
    </row>
    <row r="78" spans="2:6" x14ac:dyDescent="0.25">
      <c r="B78" s="7">
        <v>2</v>
      </c>
      <c r="C78" s="1">
        <v>6</v>
      </c>
      <c r="D78" s="21"/>
      <c r="E78" s="21"/>
      <c r="F78" s="21"/>
    </row>
    <row r="79" spans="2:6" x14ac:dyDescent="0.25">
      <c r="B79" s="7">
        <v>2</v>
      </c>
      <c r="C79" s="1">
        <v>7</v>
      </c>
      <c r="D79" s="21"/>
      <c r="E79" s="21"/>
      <c r="F79" s="21"/>
    </row>
    <row r="80" spans="2:6" x14ac:dyDescent="0.25">
      <c r="B80" s="7">
        <v>2</v>
      </c>
      <c r="C80" s="1">
        <v>8</v>
      </c>
      <c r="D80" s="21"/>
      <c r="E80" s="21"/>
      <c r="F80" s="21"/>
    </row>
    <row r="81" spans="2:6" x14ac:dyDescent="0.25">
      <c r="B81" s="7">
        <v>2</v>
      </c>
      <c r="C81" s="1">
        <v>9</v>
      </c>
      <c r="D81" s="21"/>
      <c r="E81" s="21"/>
      <c r="F81" s="21"/>
    </row>
    <row r="82" spans="2:6" x14ac:dyDescent="0.25">
      <c r="B82" s="7">
        <v>2</v>
      </c>
      <c r="C82" s="1">
        <v>10</v>
      </c>
      <c r="D82" s="21"/>
      <c r="E82" s="21"/>
      <c r="F82" s="21"/>
    </row>
    <row r="83" spans="2:6" x14ac:dyDescent="0.25">
      <c r="B83" s="7">
        <v>2</v>
      </c>
      <c r="C83" s="1">
        <v>11</v>
      </c>
      <c r="D83" s="21"/>
      <c r="E83" s="21"/>
      <c r="F83" s="21"/>
    </row>
    <row r="84" spans="2:6" x14ac:dyDescent="0.25">
      <c r="B84" s="7">
        <v>2</v>
      </c>
      <c r="C84" s="1">
        <v>12</v>
      </c>
      <c r="D84" s="21"/>
      <c r="E84" s="21"/>
      <c r="F84" s="21"/>
    </row>
  </sheetData>
  <sheetProtection sheet="1" objects="1" scenarios="1" selectLockedCells="1" sort="0" autoFilter="0" pivotTables="0"/>
  <dataValidations count="4">
    <dataValidation type="list" allowBlank="1" showInputMessage="1" showErrorMessage="1" sqref="F46:F56" xr:uid="{FBDDC197-4A14-47FE-ADCC-676A78692ED8}">
      <formula1>INDIRECT(VLOOKUP($E46, SkillNameMap, 2, FALSE))</formula1>
    </dataValidation>
    <dataValidation type="list" allowBlank="1" showInputMessage="1" showErrorMessage="1" sqref="E38:E41" xr:uid="{68DC1710-8FBD-4C96-BEFB-29EEA2B38DF9}">
      <formula1>INDIRECT("LISTAssess[Assessment Specific]")</formula1>
    </dataValidation>
    <dataValidation type="whole" showInputMessage="1" showErrorMessage="1" error="This is not a realistic number of contact hours please change" sqref="D19" xr:uid="{FF705AB8-F0B5-4944-B4DB-BA562CE03F41}">
      <formula1>0</formula1>
      <formula2>80</formula2>
    </dataValidation>
    <dataValidation type="whole" showInputMessage="1" showErrorMessage="1" error="This is not a realistic number of contact hours please reduce" sqref="D20:D23" xr:uid="{B3470EF4-EDE1-4AA2-BF4E-C5217F91B39A}">
      <formula1>0</formula1>
      <formula2>80</formula2>
    </dataValidation>
  </dataValidations>
  <pageMargins left="0.7" right="0.7" top="0.75" bottom="0.75" header="0.3" footer="0.3"/>
  <pageSetup paperSize="9" orientation="portrait" horizontalDpi="4294967293" verticalDpi="0" r:id="rId1"/>
  <tableParts count="10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F82EBEA9-5922-4C07-934E-470BFDA49DA7}">
          <x14:formula1>
            <xm:f>LISTS!$J$7:$J$16</xm:f>
          </x14:formula1>
          <xm:sqref>E46:E56</xm:sqref>
        </x14:dataValidation>
        <x14:dataValidation type="list" allowBlank="1" showInputMessage="1" showErrorMessage="1" xr:uid="{14DAA443-23DD-4C34-A97A-3ECF7C0E8C55}">
          <x14:formula1>
            <xm:f>LISTS!$E$7:$E$11</xm:f>
          </x14:formula1>
          <xm:sqref>D46:D56</xm:sqref>
        </x14:dataValidation>
        <x14:dataValidation type="list" allowBlank="1" showInputMessage="1" showErrorMessage="1" xr:uid="{32C1AEC8-992B-4A37-AC70-FCFCDCEAE5AF}">
          <x14:formula1>
            <xm:f>LISTS!$G$7:$G$11</xm:f>
          </x14:formula1>
          <xm:sqref>D38:D42</xm:sqref>
        </x14:dataValidation>
        <x14:dataValidation type="list" allowBlank="1" showInputMessage="1" showErrorMessage="1" xr:uid="{079859AC-8D6D-42CE-8DCE-FB75C2DF13B7}">
          <x14:formula1>
            <xm:f>LISTS!$C$11:$C$15</xm:f>
          </x14:formula1>
          <xm:sqref>D11</xm:sqref>
        </x14:dataValidation>
        <x14:dataValidation type="list" allowBlank="1" showInputMessage="1" showErrorMessage="1" xr:uid="{95BE0675-0791-40D0-9E9D-AB48C0DB89D4}">
          <x14:formula1>
            <xm:f>LISTS!$C$7:$C$9</xm:f>
          </x14:formula1>
          <xm:sqref>D10</xm:sqref>
        </x14:dataValidation>
        <x14:dataValidation type="list" allowBlank="1" showInputMessage="1" showErrorMessage="1" xr:uid="{6B48D045-2AC6-4AB5-8461-E9008DA71EAB}">
          <x14:formula1>
            <xm:f>LISTS!$C$17:$C$22</xm:f>
          </x14:formula1>
          <xm:sqref>D13</xm:sqref>
        </x14:dataValidation>
        <x14:dataValidation type="list" allowBlank="1" showInputMessage="1" showErrorMessage="1" xr:uid="{A9720BD0-513F-4B9A-9AB4-400D7A5FAEF6}">
          <x14:formula1>
            <xm:f>LISTS!$C$26:$C$37</xm:f>
          </x14:formula1>
          <xm:sqref>D14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F1524-9C3B-440D-AEC2-FAF3E738013E}">
  <sheetPr codeName="Sheet13"/>
  <dimension ref="B2:H84"/>
  <sheetViews>
    <sheetView showGridLines="0" topLeftCell="B1" zoomScale="85" zoomScaleNormal="85" workbookViewId="0">
      <selection activeCell="F54" sqref="F54"/>
    </sheetView>
  </sheetViews>
  <sheetFormatPr defaultRowHeight="15" x14ac:dyDescent="0.25"/>
  <cols>
    <col min="3" max="3" width="33.28515625" customWidth="1"/>
    <col min="4" max="4" width="51.5703125" customWidth="1"/>
    <col min="5" max="5" width="67.28515625" customWidth="1"/>
    <col min="6" max="6" width="63.140625" customWidth="1"/>
    <col min="7" max="7" width="12.42578125" customWidth="1"/>
    <col min="8" max="8" width="15.5703125" customWidth="1"/>
    <col min="9" max="9" width="14.7109375" customWidth="1"/>
  </cols>
  <sheetData>
    <row r="2" spans="2:6" ht="26.25" x14ac:dyDescent="0.4">
      <c r="C2" s="20" t="str">
        <f>D7</f>
        <v>SEM401</v>
      </c>
      <c r="D2" s="20" t="str">
        <f>D8</f>
        <v>Module Title</v>
      </c>
    </row>
    <row r="3" spans="2:6" x14ac:dyDescent="0.25">
      <c r="B3" s="1"/>
      <c r="C3" s="1"/>
    </row>
    <row r="4" spans="2:6" x14ac:dyDescent="0.25">
      <c r="B4" s="2"/>
      <c r="C4" s="2"/>
    </row>
    <row r="5" spans="2:6" ht="18.75" x14ac:dyDescent="0.25">
      <c r="B5" s="2"/>
      <c r="C5" s="5" t="s">
        <v>0</v>
      </c>
    </row>
    <row r="6" spans="2:6" x14ac:dyDescent="0.25">
      <c r="B6" s="2"/>
      <c r="C6" s="3" t="s">
        <v>1</v>
      </c>
      <c r="D6" s="4" t="s">
        <v>2</v>
      </c>
      <c r="E6" s="4"/>
      <c r="F6" t="s">
        <v>3</v>
      </c>
    </row>
    <row r="7" spans="2:6" x14ac:dyDescent="0.25">
      <c r="B7" s="2"/>
      <c r="C7" s="3" t="s">
        <v>4</v>
      </c>
      <c r="D7" s="21" t="s">
        <v>5</v>
      </c>
      <c r="E7" s="4"/>
      <c r="F7" s="24"/>
    </row>
    <row r="8" spans="2:6" x14ac:dyDescent="0.25">
      <c r="B8" s="2"/>
      <c r="C8" s="3" t="s">
        <v>6</v>
      </c>
      <c r="D8" s="21" t="s">
        <v>6</v>
      </c>
      <c r="E8" s="4"/>
      <c r="F8" s="24"/>
    </row>
    <row r="9" spans="2:6" x14ac:dyDescent="0.25">
      <c r="C9" s="3" t="s">
        <v>7</v>
      </c>
      <c r="D9" s="21"/>
      <c r="E9" s="4"/>
    </row>
    <row r="10" spans="2:6" x14ac:dyDescent="0.25">
      <c r="C10" s="3" t="s">
        <v>8</v>
      </c>
      <c r="D10" s="21"/>
      <c r="E10" s="4"/>
      <c r="F10" t="s">
        <v>9</v>
      </c>
    </row>
    <row r="11" spans="2:6" x14ac:dyDescent="0.25">
      <c r="C11" s="3" t="s">
        <v>10</v>
      </c>
      <c r="D11" s="21"/>
      <c r="E11" s="4"/>
      <c r="F11" s="24"/>
    </row>
    <row r="12" spans="2:6" x14ac:dyDescent="0.25">
      <c r="C12" s="3" t="s">
        <v>11</v>
      </c>
      <c r="D12" s="21"/>
      <c r="E12" s="4"/>
      <c r="F12" s="24"/>
    </row>
    <row r="13" spans="2:6" x14ac:dyDescent="0.25">
      <c r="C13" s="3" t="s">
        <v>12</v>
      </c>
      <c r="D13" s="21"/>
      <c r="E13" s="4"/>
      <c r="F13" s="24"/>
    </row>
    <row r="14" spans="2:6" x14ac:dyDescent="0.25">
      <c r="C14" s="3" t="s">
        <v>13</v>
      </c>
      <c r="D14" s="21"/>
      <c r="E14" s="4"/>
    </row>
    <row r="15" spans="2:6" x14ac:dyDescent="0.25">
      <c r="C15" s="3"/>
      <c r="D15" s="4"/>
      <c r="E15" s="4"/>
      <c r="F15" t="s">
        <v>14</v>
      </c>
    </row>
    <row r="16" spans="2:6" x14ac:dyDescent="0.25">
      <c r="C16" s="3"/>
      <c r="D16" s="4"/>
      <c r="E16" s="4"/>
      <c r="F16" s="24"/>
    </row>
    <row r="17" spans="3:6" ht="18.75" x14ac:dyDescent="0.25">
      <c r="C17" s="5" t="s">
        <v>15</v>
      </c>
      <c r="D17" s="4"/>
      <c r="E17" s="4"/>
      <c r="F17" s="24"/>
    </row>
    <row r="18" spans="3:6" x14ac:dyDescent="0.25">
      <c r="C18" s="3" t="s">
        <v>16</v>
      </c>
      <c r="D18" s="1" t="s">
        <v>15</v>
      </c>
      <c r="E18" s="4"/>
      <c r="F18" s="24"/>
    </row>
    <row r="19" spans="3:6" x14ac:dyDescent="0.25">
      <c r="C19" s="3" t="s">
        <v>17</v>
      </c>
      <c r="D19" s="22"/>
      <c r="E19" s="4"/>
      <c r="F19" s="24"/>
    </row>
    <row r="20" spans="3:6" x14ac:dyDescent="0.25">
      <c r="C20" s="3" t="s">
        <v>18</v>
      </c>
      <c r="D20" s="22"/>
      <c r="E20" s="4"/>
      <c r="F20" s="24"/>
    </row>
    <row r="21" spans="3:6" x14ac:dyDescent="0.25">
      <c r="C21" s="3" t="s">
        <v>19</v>
      </c>
      <c r="D21" s="22"/>
      <c r="E21" s="4"/>
    </row>
    <row r="22" spans="3:6" x14ac:dyDescent="0.25">
      <c r="C22" s="3" t="s">
        <v>20</v>
      </c>
      <c r="D22" s="22"/>
      <c r="E22" s="4"/>
      <c r="F22" t="s">
        <v>21</v>
      </c>
    </row>
    <row r="23" spans="3:6" x14ac:dyDescent="0.25">
      <c r="C23" s="3" t="s">
        <v>22</v>
      </c>
      <c r="D23" s="22"/>
      <c r="E23" s="4"/>
      <c r="F23" s="24"/>
    </row>
    <row r="24" spans="3:6" x14ac:dyDescent="0.25">
      <c r="C24" s="3" t="s">
        <v>23</v>
      </c>
      <c r="D24" s="1">
        <f>SUM(D19:D23)</f>
        <v>0</v>
      </c>
      <c r="E24" s="4"/>
      <c r="F24" s="24"/>
    </row>
    <row r="25" spans="3:6" x14ac:dyDescent="0.25">
      <c r="F25" s="24"/>
    </row>
    <row r="26" spans="3:6" x14ac:dyDescent="0.25">
      <c r="F26" s="24"/>
    </row>
    <row r="27" spans="3:6" ht="18.75" x14ac:dyDescent="0.25">
      <c r="C27" s="5" t="s">
        <v>24</v>
      </c>
      <c r="D27" s="12" t="s">
        <v>25</v>
      </c>
      <c r="F27" s="24"/>
    </row>
    <row r="28" spans="3:6" x14ac:dyDescent="0.25">
      <c r="C28" s="3" t="s">
        <v>26</v>
      </c>
      <c r="D28" s="3" t="s">
        <v>27</v>
      </c>
      <c r="E28" s="3"/>
      <c r="F28" s="24"/>
    </row>
    <row r="29" spans="3:6" x14ac:dyDescent="0.25">
      <c r="C29" s="3" t="s">
        <v>28</v>
      </c>
      <c r="D29" s="21"/>
      <c r="E29" s="4"/>
      <c r="F29" s="24"/>
    </row>
    <row r="30" spans="3:6" x14ac:dyDescent="0.25">
      <c r="C30" s="3" t="s">
        <v>29</v>
      </c>
      <c r="D30" s="21"/>
      <c r="E30" s="4"/>
      <c r="F30" s="24"/>
    </row>
    <row r="31" spans="3:6" x14ac:dyDescent="0.25">
      <c r="C31" s="3" t="s">
        <v>30</v>
      </c>
      <c r="D31" s="21"/>
      <c r="E31" s="4"/>
      <c r="F31" s="24"/>
    </row>
    <row r="32" spans="3:6" x14ac:dyDescent="0.25">
      <c r="C32" s="3" t="s">
        <v>31</v>
      </c>
      <c r="D32" s="21"/>
      <c r="E32" s="4"/>
      <c r="F32" s="24"/>
    </row>
    <row r="33" spans="3:8" x14ac:dyDescent="0.25">
      <c r="C33" s="3" t="s">
        <v>32</v>
      </c>
      <c r="D33" s="21"/>
      <c r="E33" s="4"/>
      <c r="F33" s="24"/>
    </row>
    <row r="36" spans="3:8" ht="18.75" x14ac:dyDescent="0.25">
      <c r="C36" s="5" t="s">
        <v>33</v>
      </c>
    </row>
    <row r="37" spans="3:8" x14ac:dyDescent="0.25">
      <c r="C37" s="3" t="s">
        <v>34</v>
      </c>
      <c r="D37" s="3" t="s">
        <v>35</v>
      </c>
      <c r="E37" s="3" t="s">
        <v>36</v>
      </c>
      <c r="F37" s="3" t="s">
        <v>37</v>
      </c>
      <c r="G37" s="3" t="s">
        <v>38</v>
      </c>
      <c r="H37" s="3" t="s">
        <v>39</v>
      </c>
    </row>
    <row r="38" spans="3:8" x14ac:dyDescent="0.25">
      <c r="C38" s="3" t="s">
        <v>40</v>
      </c>
      <c r="D38" s="21" t="s">
        <v>41</v>
      </c>
      <c r="E38" s="21" t="s">
        <v>42</v>
      </c>
      <c r="F38" s="21" t="s">
        <v>43</v>
      </c>
      <c r="G38" s="23">
        <v>0.5</v>
      </c>
      <c r="H38" s="21">
        <v>6</v>
      </c>
    </row>
    <row r="39" spans="3:8" x14ac:dyDescent="0.25">
      <c r="C39" s="3" t="s">
        <v>44</v>
      </c>
      <c r="D39" s="21"/>
      <c r="E39" s="21"/>
      <c r="F39" s="21"/>
      <c r="G39" s="23">
        <v>0.5</v>
      </c>
      <c r="H39" s="21">
        <v>12</v>
      </c>
    </row>
    <row r="40" spans="3:8" x14ac:dyDescent="0.25">
      <c r="C40" s="3" t="s">
        <v>45</v>
      </c>
      <c r="D40" s="24"/>
      <c r="E40" s="24"/>
      <c r="F40" s="24"/>
      <c r="G40" s="24"/>
      <c r="H40" s="24"/>
    </row>
    <row r="41" spans="3:8" x14ac:dyDescent="0.25">
      <c r="C41" s="3" t="s">
        <v>46</v>
      </c>
      <c r="D41" s="24"/>
      <c r="E41" s="24"/>
      <c r="F41" s="24"/>
      <c r="G41" s="24"/>
      <c r="H41" s="24"/>
    </row>
    <row r="42" spans="3:8" x14ac:dyDescent="0.25">
      <c r="C42" s="3"/>
    </row>
    <row r="44" spans="3:8" ht="18.75" x14ac:dyDescent="0.25">
      <c r="C44" s="5" t="s">
        <v>47</v>
      </c>
      <c r="D44" s="12"/>
    </row>
    <row r="45" spans="3:8" x14ac:dyDescent="0.25">
      <c r="C45" s="1" t="s">
        <v>34</v>
      </c>
      <c r="D45" s="1" t="s">
        <v>26</v>
      </c>
      <c r="E45" s="1" t="s">
        <v>48</v>
      </c>
      <c r="F45" s="1" t="s">
        <v>49</v>
      </c>
    </row>
    <row r="46" spans="3:8" x14ac:dyDescent="0.25">
      <c r="C46" s="25" t="s">
        <v>40</v>
      </c>
      <c r="D46" s="24" t="s">
        <v>28</v>
      </c>
      <c r="E46" s="24" t="s">
        <v>50</v>
      </c>
      <c r="F46" s="24" t="s">
        <v>51</v>
      </c>
    </row>
    <row r="47" spans="3:8" x14ac:dyDescent="0.25">
      <c r="C47" s="25" t="s">
        <v>40</v>
      </c>
      <c r="D47" s="24" t="s">
        <v>28</v>
      </c>
      <c r="E47" s="24" t="s">
        <v>50</v>
      </c>
      <c r="F47" s="24" t="s">
        <v>52</v>
      </c>
    </row>
    <row r="48" spans="3:8" x14ac:dyDescent="0.25">
      <c r="C48" s="25" t="s">
        <v>40</v>
      </c>
      <c r="D48" s="24" t="s">
        <v>28</v>
      </c>
      <c r="E48" s="24" t="s">
        <v>53</v>
      </c>
      <c r="F48" s="24" t="s">
        <v>54</v>
      </c>
    </row>
    <row r="49" spans="2:6" x14ac:dyDescent="0.25">
      <c r="C49" s="25" t="s">
        <v>44</v>
      </c>
      <c r="D49" s="24" t="s">
        <v>29</v>
      </c>
      <c r="E49" s="24" t="s">
        <v>55</v>
      </c>
      <c r="F49" s="24" t="s">
        <v>56</v>
      </c>
    </row>
    <row r="50" spans="2:6" x14ac:dyDescent="0.25">
      <c r="C50" s="25" t="s">
        <v>44</v>
      </c>
      <c r="D50" s="24" t="s">
        <v>29</v>
      </c>
      <c r="E50" s="24" t="s">
        <v>57</v>
      </c>
      <c r="F50" s="24" t="s">
        <v>58</v>
      </c>
    </row>
    <row r="51" spans="2:6" x14ac:dyDescent="0.25">
      <c r="C51" s="25" t="s">
        <v>44</v>
      </c>
      <c r="D51" s="24"/>
      <c r="E51" s="24"/>
      <c r="F51" s="24"/>
    </row>
    <row r="52" spans="2:6" x14ac:dyDescent="0.25">
      <c r="C52" s="25" t="s">
        <v>45</v>
      </c>
      <c r="D52" s="24"/>
      <c r="E52" s="24"/>
      <c r="F52" s="24"/>
    </row>
    <row r="53" spans="2:6" x14ac:dyDescent="0.25">
      <c r="C53" s="25" t="s">
        <v>45</v>
      </c>
      <c r="D53" s="24"/>
      <c r="E53" s="24"/>
      <c r="F53" s="24"/>
    </row>
    <row r="54" spans="2:6" x14ac:dyDescent="0.25">
      <c r="C54" s="25" t="s">
        <v>45</v>
      </c>
      <c r="D54" s="24"/>
      <c r="E54" s="24"/>
      <c r="F54" s="24"/>
    </row>
    <row r="55" spans="2:6" x14ac:dyDescent="0.25">
      <c r="C55" s="25" t="s">
        <v>46</v>
      </c>
      <c r="D55" s="24"/>
      <c r="E55" s="24"/>
      <c r="F55" s="24"/>
    </row>
    <row r="56" spans="2:6" x14ac:dyDescent="0.25">
      <c r="C56" s="25" t="s">
        <v>46</v>
      </c>
      <c r="D56" s="24"/>
      <c r="E56" s="24"/>
      <c r="F56" s="24"/>
    </row>
    <row r="59" spans="2:6" ht="18.75" x14ac:dyDescent="0.25">
      <c r="C59" s="5" t="s">
        <v>59</v>
      </c>
    </row>
    <row r="60" spans="2:6" x14ac:dyDescent="0.25">
      <c r="B60" t="s">
        <v>60</v>
      </c>
      <c r="C60" s="1" t="s">
        <v>61</v>
      </c>
      <c r="D60" s="1" t="s">
        <v>62</v>
      </c>
      <c r="E60" s="1" t="s">
        <v>63</v>
      </c>
      <c r="F60" s="1" t="s">
        <v>64</v>
      </c>
    </row>
    <row r="61" spans="2:6" x14ac:dyDescent="0.25">
      <c r="B61" s="7">
        <v>1</v>
      </c>
      <c r="C61" s="1">
        <v>1</v>
      </c>
      <c r="D61" s="21" t="s">
        <v>65</v>
      </c>
      <c r="E61" s="21"/>
      <c r="F61" s="21"/>
    </row>
    <row r="62" spans="2:6" x14ac:dyDescent="0.25">
      <c r="B62" s="7">
        <v>1</v>
      </c>
      <c r="C62" s="1">
        <v>2</v>
      </c>
      <c r="D62" s="21" t="s">
        <v>66</v>
      </c>
      <c r="E62" s="21" t="s">
        <v>67</v>
      </c>
      <c r="F62" s="21" t="s">
        <v>18</v>
      </c>
    </row>
    <row r="63" spans="2:6" x14ac:dyDescent="0.25">
      <c r="B63" s="7">
        <v>1</v>
      </c>
      <c r="C63" s="1">
        <v>3</v>
      </c>
      <c r="D63" s="21" t="s">
        <v>68</v>
      </c>
      <c r="E63" s="21"/>
      <c r="F63" s="21"/>
    </row>
    <row r="64" spans="2:6" x14ac:dyDescent="0.25">
      <c r="B64" s="7">
        <v>1</v>
      </c>
      <c r="C64" s="1">
        <v>4</v>
      </c>
      <c r="D64" s="21" t="s">
        <v>69</v>
      </c>
      <c r="E64" s="21" t="s">
        <v>70</v>
      </c>
      <c r="F64" s="21" t="s">
        <v>18</v>
      </c>
    </row>
    <row r="65" spans="2:6" x14ac:dyDescent="0.25">
      <c r="B65" s="7">
        <v>1</v>
      </c>
      <c r="C65" s="1">
        <v>5</v>
      </c>
      <c r="D65" s="21" t="s">
        <v>71</v>
      </c>
      <c r="E65" s="21"/>
      <c r="F65" s="21"/>
    </row>
    <row r="66" spans="2:6" x14ac:dyDescent="0.25">
      <c r="B66" s="7">
        <v>1</v>
      </c>
      <c r="C66" s="1">
        <v>6</v>
      </c>
      <c r="D66" s="21" t="s">
        <v>72</v>
      </c>
      <c r="E66" s="21"/>
      <c r="F66" s="21" t="s">
        <v>18</v>
      </c>
    </row>
    <row r="67" spans="2:6" x14ac:dyDescent="0.25">
      <c r="B67" s="7">
        <v>1</v>
      </c>
      <c r="C67" s="1">
        <v>7</v>
      </c>
      <c r="D67" s="21" t="s">
        <v>73</v>
      </c>
      <c r="E67" s="21"/>
      <c r="F67" s="21"/>
    </row>
    <row r="68" spans="2:6" x14ac:dyDescent="0.25">
      <c r="B68" s="7">
        <v>1</v>
      </c>
      <c r="C68" s="1">
        <v>8</v>
      </c>
      <c r="D68" s="21" t="s">
        <v>74</v>
      </c>
      <c r="E68" s="21"/>
      <c r="F68" s="21" t="s">
        <v>18</v>
      </c>
    </row>
    <row r="69" spans="2:6" x14ac:dyDescent="0.25">
      <c r="B69" s="7">
        <v>1</v>
      </c>
      <c r="C69" s="1">
        <v>9</v>
      </c>
      <c r="D69" s="21" t="s">
        <v>75</v>
      </c>
      <c r="E69" s="21"/>
      <c r="F69" s="21"/>
    </row>
    <row r="70" spans="2:6" x14ac:dyDescent="0.25">
      <c r="B70" s="7">
        <v>1</v>
      </c>
      <c r="C70" s="1">
        <v>10</v>
      </c>
      <c r="D70" s="21" t="s">
        <v>76</v>
      </c>
      <c r="E70" s="21" t="s">
        <v>77</v>
      </c>
      <c r="F70" s="21" t="s">
        <v>18</v>
      </c>
    </row>
    <row r="71" spans="2:6" x14ac:dyDescent="0.25">
      <c r="B71" s="7">
        <v>1</v>
      </c>
      <c r="C71" s="1">
        <v>11</v>
      </c>
      <c r="D71" s="21" t="s">
        <v>78</v>
      </c>
      <c r="E71" s="21"/>
      <c r="F71" s="21"/>
    </row>
    <row r="72" spans="2:6" x14ac:dyDescent="0.25">
      <c r="B72" s="7">
        <v>1</v>
      </c>
      <c r="C72" s="1">
        <v>12</v>
      </c>
      <c r="D72" s="21" t="s">
        <v>79</v>
      </c>
      <c r="E72" s="21"/>
      <c r="F72" s="21" t="s">
        <v>18</v>
      </c>
    </row>
    <row r="73" spans="2:6" x14ac:dyDescent="0.25">
      <c r="B73" s="7">
        <v>2</v>
      </c>
      <c r="C73" s="1">
        <v>1</v>
      </c>
      <c r="D73" s="21"/>
      <c r="E73" s="21"/>
      <c r="F73" s="21"/>
    </row>
    <row r="74" spans="2:6" x14ac:dyDescent="0.25">
      <c r="B74" s="7">
        <v>2</v>
      </c>
      <c r="C74" s="1">
        <v>2</v>
      </c>
      <c r="D74" s="21"/>
      <c r="E74" s="21"/>
      <c r="F74" s="21"/>
    </row>
    <row r="75" spans="2:6" x14ac:dyDescent="0.25">
      <c r="B75" s="7">
        <v>2</v>
      </c>
      <c r="C75" s="1">
        <v>3</v>
      </c>
      <c r="D75" s="21"/>
      <c r="E75" s="21"/>
      <c r="F75" s="21"/>
    </row>
    <row r="76" spans="2:6" x14ac:dyDescent="0.25">
      <c r="B76" s="7">
        <v>2</v>
      </c>
      <c r="C76" s="1">
        <v>4</v>
      </c>
      <c r="D76" s="21"/>
      <c r="E76" s="21"/>
      <c r="F76" s="21"/>
    </row>
    <row r="77" spans="2:6" x14ac:dyDescent="0.25">
      <c r="B77" s="7">
        <v>2</v>
      </c>
      <c r="C77" s="1">
        <v>5</v>
      </c>
      <c r="D77" s="21"/>
      <c r="E77" s="21"/>
      <c r="F77" s="21"/>
    </row>
    <row r="78" spans="2:6" x14ac:dyDescent="0.25">
      <c r="B78" s="7">
        <v>2</v>
      </c>
      <c r="C78" s="1">
        <v>6</v>
      </c>
      <c r="D78" s="21"/>
      <c r="E78" s="21"/>
      <c r="F78" s="21"/>
    </row>
    <row r="79" spans="2:6" x14ac:dyDescent="0.25">
      <c r="B79" s="7">
        <v>2</v>
      </c>
      <c r="C79" s="1">
        <v>7</v>
      </c>
      <c r="D79" s="21"/>
      <c r="E79" s="21"/>
      <c r="F79" s="21"/>
    </row>
    <row r="80" spans="2:6" x14ac:dyDescent="0.25">
      <c r="B80" s="7">
        <v>2</v>
      </c>
      <c r="C80" s="1">
        <v>8</v>
      </c>
      <c r="D80" s="21"/>
      <c r="E80" s="21"/>
      <c r="F80" s="21"/>
    </row>
    <row r="81" spans="2:6" x14ac:dyDescent="0.25">
      <c r="B81" s="7">
        <v>2</v>
      </c>
      <c r="C81" s="1">
        <v>9</v>
      </c>
      <c r="D81" s="21"/>
      <c r="E81" s="21"/>
      <c r="F81" s="21"/>
    </row>
    <row r="82" spans="2:6" x14ac:dyDescent="0.25">
      <c r="B82" s="7">
        <v>2</v>
      </c>
      <c r="C82" s="1">
        <v>10</v>
      </c>
      <c r="D82" s="21"/>
      <c r="E82" s="21"/>
      <c r="F82" s="21"/>
    </row>
    <row r="83" spans="2:6" x14ac:dyDescent="0.25">
      <c r="B83" s="7">
        <v>2</v>
      </c>
      <c r="C83" s="1">
        <v>11</v>
      </c>
      <c r="D83" s="21"/>
      <c r="E83" s="21"/>
      <c r="F83" s="21"/>
    </row>
    <row r="84" spans="2:6" x14ac:dyDescent="0.25">
      <c r="B84" s="7">
        <v>2</v>
      </c>
      <c r="C84" s="1">
        <v>12</v>
      </c>
      <c r="D84" s="21"/>
      <c r="E84" s="21"/>
      <c r="F84" s="21"/>
    </row>
  </sheetData>
  <sheetProtection sheet="1" objects="1" scenarios="1" selectLockedCells="1" sort="0" autoFilter="0" pivotTables="0"/>
  <dataValidations count="4">
    <dataValidation type="whole" showInputMessage="1" showErrorMessage="1" error="This is not a realistic number of contact hours please reduce" sqref="D20:D23" xr:uid="{3229C256-ABBC-47F3-8625-F41A5BABAC1F}">
      <formula1>0</formula1>
      <formula2>80</formula2>
    </dataValidation>
    <dataValidation type="whole" showInputMessage="1" showErrorMessage="1" error="This is not a realistic number of contact hours please change" sqref="D19" xr:uid="{AD4AC72D-916F-4382-B2A7-05CD7B2226A8}">
      <formula1>0</formula1>
      <formula2>80</formula2>
    </dataValidation>
    <dataValidation type="list" allowBlank="1" showInputMessage="1" showErrorMessage="1" sqref="E38:E41" xr:uid="{FDB67476-1D11-4DC5-B446-B8E66599A2C2}">
      <formula1>INDIRECT("LISTAssess[Assessment Specific]")</formula1>
    </dataValidation>
    <dataValidation type="list" allowBlank="1" showInputMessage="1" showErrorMessage="1" sqref="F46:F56" xr:uid="{1C21621D-7473-4C52-AA89-3A2F9E5BB565}">
      <formula1>INDIRECT(VLOOKUP($E46, SkillNameMap, 2, FALSE))</formula1>
    </dataValidation>
  </dataValidations>
  <pageMargins left="0.7" right="0.7" top="0.75" bottom="0.75" header="0.3" footer="0.3"/>
  <pageSetup paperSize="9" orientation="portrait" horizontalDpi="4294967293" verticalDpi="0" r:id="rId1"/>
  <tableParts count="10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B022925A-1C00-4AFA-A060-FE394763B53C}">
          <x14:formula1>
            <xm:f>LISTS!$C$26:$C$37</xm:f>
          </x14:formula1>
          <xm:sqref>D14</xm:sqref>
        </x14:dataValidation>
        <x14:dataValidation type="list" allowBlank="1" showInputMessage="1" showErrorMessage="1" xr:uid="{E147FE3C-0EDB-444D-84A8-E77F42E7C5D8}">
          <x14:formula1>
            <xm:f>LISTS!$C$17:$C$22</xm:f>
          </x14:formula1>
          <xm:sqref>D13</xm:sqref>
        </x14:dataValidation>
        <x14:dataValidation type="list" allowBlank="1" showInputMessage="1" showErrorMessage="1" xr:uid="{C4EDA730-38D3-4AEC-9B1B-4808FDB3AEE6}">
          <x14:formula1>
            <xm:f>LISTS!$C$7:$C$9</xm:f>
          </x14:formula1>
          <xm:sqref>D10</xm:sqref>
        </x14:dataValidation>
        <x14:dataValidation type="list" allowBlank="1" showInputMessage="1" showErrorMessage="1" xr:uid="{71ECC980-EB9A-4145-9F8B-52F5DED821C4}">
          <x14:formula1>
            <xm:f>LISTS!$C$11:$C$15</xm:f>
          </x14:formula1>
          <xm:sqref>D11</xm:sqref>
        </x14:dataValidation>
        <x14:dataValidation type="list" allowBlank="1" showInputMessage="1" showErrorMessage="1" xr:uid="{AC1D00FA-03B3-4BC1-87FD-4FB7D7C0F51E}">
          <x14:formula1>
            <xm:f>LISTS!$G$7:$G$11</xm:f>
          </x14:formula1>
          <xm:sqref>D38:D42</xm:sqref>
        </x14:dataValidation>
        <x14:dataValidation type="list" allowBlank="1" showInputMessage="1" showErrorMessage="1" xr:uid="{96A48C9E-FB8E-44C9-885B-243CD753BD9E}">
          <x14:formula1>
            <xm:f>LISTS!$E$7:$E$11</xm:f>
          </x14:formula1>
          <xm:sqref>D46:D56</xm:sqref>
        </x14:dataValidation>
        <x14:dataValidation type="list" allowBlank="1" showInputMessage="1" showErrorMessage="1" xr:uid="{5036F22C-DC1A-45C2-ACC5-04A85C0867A2}">
          <x14:formula1>
            <xm:f>LISTS!$J$7:$J$16</xm:f>
          </x14:formula1>
          <xm:sqref>E46:E56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409C9-9296-42AF-BDD1-C02EB207C905}">
  <sheetPr codeName="Sheet31"/>
  <dimension ref="B2:H84"/>
  <sheetViews>
    <sheetView showGridLines="0" tabSelected="1" topLeftCell="B1" zoomScale="85" zoomScaleNormal="85" workbookViewId="0">
      <selection activeCell="E83" sqref="E83"/>
    </sheetView>
  </sheetViews>
  <sheetFormatPr defaultRowHeight="15" x14ac:dyDescent="0.25"/>
  <cols>
    <col min="3" max="3" width="33.28515625" customWidth="1"/>
    <col min="4" max="4" width="51.5703125" customWidth="1"/>
    <col min="5" max="5" width="67.28515625" customWidth="1"/>
    <col min="6" max="6" width="63.140625" customWidth="1"/>
    <col min="7" max="7" width="12.42578125" customWidth="1"/>
    <col min="8" max="8" width="15.5703125" customWidth="1"/>
    <col min="9" max="9" width="14.7109375" customWidth="1"/>
  </cols>
  <sheetData>
    <row r="2" spans="2:6" ht="26.25" x14ac:dyDescent="0.4">
      <c r="C2" s="20" t="str">
        <f>D7</f>
        <v>SEM401</v>
      </c>
      <c r="D2" s="20" t="str">
        <f>D8</f>
        <v>Applied Biomechanics</v>
      </c>
    </row>
    <row r="3" spans="2:6" x14ac:dyDescent="0.25">
      <c r="B3" s="1"/>
      <c r="C3" s="1"/>
    </row>
    <row r="4" spans="2:6" x14ac:dyDescent="0.25">
      <c r="B4" s="2"/>
      <c r="C4" s="2"/>
    </row>
    <row r="5" spans="2:6" ht="18.75" x14ac:dyDescent="0.25">
      <c r="B5" s="2"/>
      <c r="C5" s="5" t="s">
        <v>0</v>
      </c>
    </row>
    <row r="6" spans="2:6" x14ac:dyDescent="0.25">
      <c r="B6" s="2"/>
      <c r="C6" s="3" t="s">
        <v>1</v>
      </c>
      <c r="D6" s="4" t="s">
        <v>2</v>
      </c>
      <c r="E6" s="4"/>
      <c r="F6" t="s">
        <v>3</v>
      </c>
    </row>
    <row r="7" spans="2:6" x14ac:dyDescent="0.25">
      <c r="B7" s="2"/>
      <c r="C7" s="3" t="s">
        <v>4</v>
      </c>
      <c r="D7" s="21" t="s">
        <v>5</v>
      </c>
      <c r="E7" s="4"/>
      <c r="F7" s="24"/>
    </row>
    <row r="8" spans="2:6" x14ac:dyDescent="0.25">
      <c r="B8" s="2"/>
      <c r="C8" s="3" t="s">
        <v>6</v>
      </c>
      <c r="D8" s="21" t="s">
        <v>80</v>
      </c>
      <c r="E8" s="4"/>
      <c r="F8" s="24"/>
    </row>
    <row r="9" spans="2:6" x14ac:dyDescent="0.25">
      <c r="C9" s="3" t="s">
        <v>7</v>
      </c>
      <c r="D9" s="21">
        <v>20</v>
      </c>
      <c r="E9" s="4"/>
    </row>
    <row r="10" spans="2:6" x14ac:dyDescent="0.25">
      <c r="C10" s="3" t="s">
        <v>8</v>
      </c>
      <c r="D10" s="21">
        <v>1</v>
      </c>
      <c r="E10" s="4"/>
      <c r="F10" t="s">
        <v>9</v>
      </c>
    </row>
    <row r="11" spans="2:6" x14ac:dyDescent="0.25">
      <c r="C11" s="3" t="s">
        <v>10</v>
      </c>
      <c r="D11" s="21">
        <v>4</v>
      </c>
      <c r="E11" s="4"/>
      <c r="F11" s="24"/>
    </row>
    <row r="12" spans="2:6" x14ac:dyDescent="0.25">
      <c r="C12" s="3" t="s">
        <v>11</v>
      </c>
      <c r="D12" s="21" t="s">
        <v>81</v>
      </c>
      <c r="E12" s="4"/>
      <c r="F12" s="24"/>
    </row>
    <row r="13" spans="2:6" x14ac:dyDescent="0.25">
      <c r="C13" s="3" t="s">
        <v>12</v>
      </c>
      <c r="D13" s="21" t="s">
        <v>82</v>
      </c>
      <c r="E13" s="4"/>
      <c r="F13" s="24"/>
    </row>
    <row r="14" spans="2:6" x14ac:dyDescent="0.25">
      <c r="C14" s="3" t="s">
        <v>13</v>
      </c>
      <c r="D14" s="21"/>
      <c r="E14" s="4"/>
    </row>
    <row r="15" spans="2:6" x14ac:dyDescent="0.25">
      <c r="C15" s="3"/>
      <c r="D15" s="4"/>
      <c r="E15" s="4"/>
      <c r="F15" t="s">
        <v>14</v>
      </c>
    </row>
    <row r="16" spans="2:6" x14ac:dyDescent="0.25">
      <c r="C16" s="3"/>
      <c r="D16" s="4"/>
      <c r="E16" s="4"/>
      <c r="F16" s="24"/>
    </row>
    <row r="17" spans="3:6" ht="18.75" x14ac:dyDescent="0.25">
      <c r="C17" s="5" t="s">
        <v>15</v>
      </c>
      <c r="D17" s="4"/>
      <c r="E17" s="4"/>
      <c r="F17" s="24"/>
    </row>
    <row r="18" spans="3:6" x14ac:dyDescent="0.25">
      <c r="C18" s="3" t="s">
        <v>16</v>
      </c>
      <c r="D18" s="1" t="s">
        <v>15</v>
      </c>
      <c r="E18" s="4"/>
      <c r="F18" s="24"/>
    </row>
    <row r="19" spans="3:6" x14ac:dyDescent="0.25">
      <c r="C19" s="3" t="s">
        <v>17</v>
      </c>
      <c r="D19" s="22">
        <v>22</v>
      </c>
      <c r="E19" s="4"/>
      <c r="F19" s="24"/>
    </row>
    <row r="20" spans="3:6" x14ac:dyDescent="0.25">
      <c r="C20" s="3" t="s">
        <v>18</v>
      </c>
      <c r="D20" s="22">
        <v>12</v>
      </c>
      <c r="E20" s="4"/>
      <c r="F20" s="24"/>
    </row>
    <row r="21" spans="3:6" x14ac:dyDescent="0.25">
      <c r="C21" s="3" t="s">
        <v>19</v>
      </c>
      <c r="D21" s="22">
        <v>6</v>
      </c>
      <c r="E21" s="4"/>
    </row>
    <row r="22" spans="3:6" x14ac:dyDescent="0.25">
      <c r="C22" s="3" t="s">
        <v>20</v>
      </c>
      <c r="D22" s="22">
        <v>6</v>
      </c>
      <c r="E22" s="4"/>
      <c r="F22" t="s">
        <v>21</v>
      </c>
    </row>
    <row r="23" spans="3:6" x14ac:dyDescent="0.25">
      <c r="C23" s="3" t="s">
        <v>22</v>
      </c>
      <c r="D23" s="22">
        <v>0</v>
      </c>
      <c r="E23" s="4"/>
      <c r="F23" s="24"/>
    </row>
    <row r="24" spans="3:6" x14ac:dyDescent="0.25">
      <c r="C24" s="3" t="s">
        <v>23</v>
      </c>
      <c r="D24" s="1">
        <f>SUM(D19:D23)</f>
        <v>46</v>
      </c>
      <c r="E24" s="4"/>
      <c r="F24" s="24"/>
    </row>
    <row r="25" spans="3:6" x14ac:dyDescent="0.25">
      <c r="F25" s="24"/>
    </row>
    <row r="26" spans="3:6" x14ac:dyDescent="0.25">
      <c r="F26" s="24"/>
    </row>
    <row r="27" spans="3:6" ht="18.75" x14ac:dyDescent="0.25">
      <c r="C27" s="5" t="s">
        <v>24</v>
      </c>
      <c r="D27" s="12" t="s">
        <v>25</v>
      </c>
      <c r="F27" s="24"/>
    </row>
    <row r="28" spans="3:6" x14ac:dyDescent="0.25">
      <c r="C28" s="3" t="s">
        <v>26</v>
      </c>
      <c r="D28" s="3" t="s">
        <v>27</v>
      </c>
      <c r="E28" s="3"/>
      <c r="F28" s="24"/>
    </row>
    <row r="29" spans="3:6" x14ac:dyDescent="0.25">
      <c r="C29" s="3" t="s">
        <v>28</v>
      </c>
      <c r="D29" s="21" t="s">
        <v>83</v>
      </c>
      <c r="E29" s="4"/>
      <c r="F29" s="24"/>
    </row>
    <row r="30" spans="3:6" x14ac:dyDescent="0.25">
      <c r="C30" s="3" t="s">
        <v>29</v>
      </c>
      <c r="D30" s="21" t="s">
        <v>84</v>
      </c>
      <c r="E30" s="4"/>
      <c r="F30" s="24"/>
    </row>
    <row r="31" spans="3:6" x14ac:dyDescent="0.25">
      <c r="C31" s="3" t="s">
        <v>30</v>
      </c>
      <c r="D31" s="21" t="s">
        <v>85</v>
      </c>
      <c r="E31" s="4"/>
      <c r="F31" s="24"/>
    </row>
    <row r="32" spans="3:6" x14ac:dyDescent="0.25">
      <c r="C32" s="3" t="s">
        <v>31</v>
      </c>
      <c r="D32" s="21"/>
      <c r="E32" s="4"/>
      <c r="F32" s="24"/>
    </row>
    <row r="33" spans="3:8" x14ac:dyDescent="0.25">
      <c r="C33" s="3" t="s">
        <v>32</v>
      </c>
      <c r="D33" s="21"/>
      <c r="E33" s="4"/>
      <c r="F33" s="24"/>
    </row>
    <row r="36" spans="3:8" ht="18.75" x14ac:dyDescent="0.25">
      <c r="C36" s="5" t="s">
        <v>33</v>
      </c>
    </row>
    <row r="37" spans="3:8" x14ac:dyDescent="0.25">
      <c r="C37" s="3" t="s">
        <v>34</v>
      </c>
      <c r="D37" s="3" t="s">
        <v>35</v>
      </c>
      <c r="E37" s="3" t="s">
        <v>36</v>
      </c>
      <c r="F37" s="3" t="s">
        <v>37</v>
      </c>
      <c r="G37" s="3" t="s">
        <v>38</v>
      </c>
      <c r="H37" s="3" t="s">
        <v>39</v>
      </c>
    </row>
    <row r="38" spans="3:8" x14ac:dyDescent="0.25">
      <c r="C38" s="3" t="s">
        <v>40</v>
      </c>
      <c r="D38" s="21" t="s">
        <v>41</v>
      </c>
      <c r="E38" s="21" t="s">
        <v>42</v>
      </c>
      <c r="F38" s="21" t="s">
        <v>43</v>
      </c>
      <c r="G38" s="23">
        <v>0.5</v>
      </c>
      <c r="H38" s="21">
        <v>6</v>
      </c>
    </row>
    <row r="39" spans="3:8" x14ac:dyDescent="0.25">
      <c r="C39" s="3" t="s">
        <v>44</v>
      </c>
      <c r="D39" s="21" t="s">
        <v>86</v>
      </c>
      <c r="E39" s="21" t="s">
        <v>87</v>
      </c>
      <c r="F39" s="21"/>
      <c r="G39" s="23">
        <v>0.5</v>
      </c>
      <c r="H39" s="21">
        <v>12</v>
      </c>
    </row>
    <row r="40" spans="3:8" x14ac:dyDescent="0.25">
      <c r="C40" s="3" t="s">
        <v>45</v>
      </c>
      <c r="D40" s="24"/>
      <c r="E40" s="24"/>
      <c r="F40" s="24"/>
      <c r="G40" s="24"/>
      <c r="H40" s="24"/>
    </row>
    <row r="41" spans="3:8" x14ac:dyDescent="0.25">
      <c r="C41" s="3" t="s">
        <v>46</v>
      </c>
      <c r="D41" s="24"/>
      <c r="E41" s="24"/>
      <c r="F41" s="24"/>
      <c r="G41" s="24"/>
      <c r="H41" s="24"/>
    </row>
    <row r="42" spans="3:8" x14ac:dyDescent="0.25">
      <c r="C42" s="3"/>
    </row>
    <row r="44" spans="3:8" ht="18.75" x14ac:dyDescent="0.25">
      <c r="C44" s="5" t="s">
        <v>47</v>
      </c>
      <c r="D44" s="12"/>
    </row>
    <row r="45" spans="3:8" x14ac:dyDescent="0.25">
      <c r="C45" s="1" t="s">
        <v>34</v>
      </c>
      <c r="D45" s="1" t="s">
        <v>26</v>
      </c>
      <c r="E45" s="1" t="s">
        <v>48</v>
      </c>
      <c r="F45" s="1" t="s">
        <v>49</v>
      </c>
    </row>
    <row r="46" spans="3:8" x14ac:dyDescent="0.25">
      <c r="C46" s="25" t="s">
        <v>40</v>
      </c>
      <c r="D46" s="24" t="s">
        <v>28</v>
      </c>
      <c r="E46" s="24" t="s">
        <v>50</v>
      </c>
      <c r="F46" s="24" t="s">
        <v>51</v>
      </c>
    </row>
    <row r="47" spans="3:8" x14ac:dyDescent="0.25">
      <c r="C47" s="25" t="s">
        <v>40</v>
      </c>
      <c r="D47" s="24" t="s">
        <v>28</v>
      </c>
      <c r="E47" s="24" t="s">
        <v>50</v>
      </c>
      <c r="F47" s="24" t="s">
        <v>52</v>
      </c>
    </row>
    <row r="48" spans="3:8" x14ac:dyDescent="0.25">
      <c r="C48" s="25" t="s">
        <v>40</v>
      </c>
      <c r="D48" s="24" t="s">
        <v>28</v>
      </c>
      <c r="E48" s="24" t="s">
        <v>53</v>
      </c>
      <c r="F48" s="24" t="s">
        <v>54</v>
      </c>
    </row>
    <row r="49" spans="2:6" x14ac:dyDescent="0.25">
      <c r="C49" s="25" t="s">
        <v>44</v>
      </c>
      <c r="D49" s="24" t="s">
        <v>29</v>
      </c>
      <c r="E49" s="24" t="s">
        <v>55</v>
      </c>
      <c r="F49" s="24" t="s">
        <v>56</v>
      </c>
    </row>
    <row r="50" spans="2:6" x14ac:dyDescent="0.25">
      <c r="C50" s="25" t="s">
        <v>44</v>
      </c>
      <c r="D50" s="24" t="s">
        <v>29</v>
      </c>
      <c r="E50" s="24" t="s">
        <v>57</v>
      </c>
      <c r="F50" s="24" t="s">
        <v>58</v>
      </c>
    </row>
    <row r="51" spans="2:6" x14ac:dyDescent="0.25">
      <c r="C51" s="25" t="s">
        <v>44</v>
      </c>
      <c r="D51" s="24"/>
      <c r="E51" s="24" t="s">
        <v>55</v>
      </c>
      <c r="F51" s="24"/>
    </row>
    <row r="52" spans="2:6" x14ac:dyDescent="0.25">
      <c r="C52" s="25" t="s">
        <v>45</v>
      </c>
      <c r="D52" s="24"/>
      <c r="E52" s="24"/>
      <c r="F52" s="24"/>
    </row>
    <row r="53" spans="2:6" x14ac:dyDescent="0.25">
      <c r="C53" s="25" t="s">
        <v>45</v>
      </c>
      <c r="D53" s="24"/>
      <c r="E53" s="24"/>
      <c r="F53" s="24"/>
    </row>
    <row r="54" spans="2:6" x14ac:dyDescent="0.25">
      <c r="C54" s="25" t="s">
        <v>45</v>
      </c>
      <c r="D54" s="24"/>
      <c r="E54" s="24"/>
      <c r="F54" s="24"/>
    </row>
    <row r="55" spans="2:6" x14ac:dyDescent="0.25">
      <c r="C55" s="25" t="s">
        <v>46</v>
      </c>
      <c r="D55" s="24"/>
      <c r="E55" s="24"/>
      <c r="F55" s="24"/>
    </row>
    <row r="56" spans="2:6" x14ac:dyDescent="0.25">
      <c r="C56" s="25" t="s">
        <v>46</v>
      </c>
      <c r="D56" s="24"/>
      <c r="E56" s="24"/>
      <c r="F56" s="24"/>
    </row>
    <row r="59" spans="2:6" ht="18.75" x14ac:dyDescent="0.25">
      <c r="C59" s="5" t="s">
        <v>59</v>
      </c>
    </row>
    <row r="60" spans="2:6" x14ac:dyDescent="0.25">
      <c r="B60" t="s">
        <v>60</v>
      </c>
      <c r="C60" s="1" t="s">
        <v>61</v>
      </c>
      <c r="D60" s="1" t="s">
        <v>62</v>
      </c>
      <c r="E60" s="1" t="s">
        <v>63</v>
      </c>
      <c r="F60" s="1" t="s">
        <v>64</v>
      </c>
    </row>
    <row r="61" spans="2:6" x14ac:dyDescent="0.25">
      <c r="B61" s="7">
        <v>1</v>
      </c>
      <c r="C61" s="1">
        <v>1</v>
      </c>
      <c r="D61" s="21" t="s">
        <v>65</v>
      </c>
      <c r="E61" s="21"/>
      <c r="F61" s="21"/>
    </row>
    <row r="62" spans="2:6" x14ac:dyDescent="0.25">
      <c r="B62" s="7">
        <v>1</v>
      </c>
      <c r="C62" s="1">
        <v>2</v>
      </c>
      <c r="D62" s="21" t="s">
        <v>66</v>
      </c>
      <c r="E62" s="21" t="s">
        <v>67</v>
      </c>
      <c r="F62" s="21" t="s">
        <v>18</v>
      </c>
    </row>
    <row r="63" spans="2:6" x14ac:dyDescent="0.25">
      <c r="B63" s="7">
        <v>1</v>
      </c>
      <c r="C63" s="1">
        <v>3</v>
      </c>
      <c r="D63" s="21" t="s">
        <v>68</v>
      </c>
      <c r="E63" s="21"/>
      <c r="F63" s="21"/>
    </row>
    <row r="64" spans="2:6" x14ac:dyDescent="0.25">
      <c r="B64" s="7">
        <v>1</v>
      </c>
      <c r="C64" s="1">
        <v>4</v>
      </c>
      <c r="D64" s="21" t="s">
        <v>69</v>
      </c>
      <c r="E64" s="21" t="s">
        <v>70</v>
      </c>
      <c r="F64" s="21" t="s">
        <v>18</v>
      </c>
    </row>
    <row r="65" spans="2:6" x14ac:dyDescent="0.25">
      <c r="B65" s="7">
        <v>1</v>
      </c>
      <c r="C65" s="1">
        <v>5</v>
      </c>
      <c r="D65" s="21" t="s">
        <v>71</v>
      </c>
      <c r="E65" s="21"/>
      <c r="F65" s="21"/>
    </row>
    <row r="66" spans="2:6" x14ac:dyDescent="0.25">
      <c r="B66" s="7">
        <v>1</v>
      </c>
      <c r="C66" s="1">
        <v>6</v>
      </c>
      <c r="D66" s="21" t="s">
        <v>72</v>
      </c>
      <c r="E66" s="21"/>
      <c r="F66" s="21" t="s">
        <v>18</v>
      </c>
    </row>
    <row r="67" spans="2:6" x14ac:dyDescent="0.25">
      <c r="B67" s="7">
        <v>1</v>
      </c>
      <c r="C67" s="1">
        <v>7</v>
      </c>
      <c r="D67" s="21" t="s">
        <v>73</v>
      </c>
      <c r="E67" s="21"/>
      <c r="F67" s="21"/>
    </row>
    <row r="68" spans="2:6" x14ac:dyDescent="0.25">
      <c r="B68" s="7">
        <v>1</v>
      </c>
      <c r="C68" s="1">
        <v>8</v>
      </c>
      <c r="D68" s="21" t="s">
        <v>74</v>
      </c>
      <c r="E68" s="21"/>
      <c r="F68" s="21" t="s">
        <v>18</v>
      </c>
    </row>
    <row r="69" spans="2:6" x14ac:dyDescent="0.25">
      <c r="B69" s="7">
        <v>1</v>
      </c>
      <c r="C69" s="1">
        <v>9</v>
      </c>
      <c r="D69" s="21" t="s">
        <v>75</v>
      </c>
      <c r="E69" s="21"/>
      <c r="F69" s="21"/>
    </row>
    <row r="70" spans="2:6" x14ac:dyDescent="0.25">
      <c r="B70" s="7">
        <v>1</v>
      </c>
      <c r="C70" s="1">
        <v>10</v>
      </c>
      <c r="D70" s="21" t="s">
        <v>76</v>
      </c>
      <c r="E70" s="21" t="s">
        <v>77</v>
      </c>
      <c r="F70" s="21" t="s">
        <v>18</v>
      </c>
    </row>
    <row r="71" spans="2:6" x14ac:dyDescent="0.25">
      <c r="B71" s="7">
        <v>1</v>
      </c>
      <c r="C71" s="1">
        <v>11</v>
      </c>
      <c r="D71" s="21" t="s">
        <v>78</v>
      </c>
      <c r="E71" s="21"/>
      <c r="F71" s="21"/>
    </row>
    <row r="72" spans="2:6" x14ac:dyDescent="0.25">
      <c r="B72" s="7">
        <v>1</v>
      </c>
      <c r="C72" s="1">
        <v>12</v>
      </c>
      <c r="D72" s="21" t="s">
        <v>79</v>
      </c>
      <c r="E72" s="21"/>
      <c r="F72" s="21" t="s">
        <v>18</v>
      </c>
    </row>
    <row r="73" spans="2:6" x14ac:dyDescent="0.25">
      <c r="B73" s="7">
        <v>2</v>
      </c>
      <c r="C73" s="1">
        <v>1</v>
      </c>
      <c r="D73" s="21"/>
      <c r="E73" s="21"/>
      <c r="F73" s="21"/>
    </row>
    <row r="74" spans="2:6" x14ac:dyDescent="0.25">
      <c r="B74" s="7">
        <v>2</v>
      </c>
      <c r="C74" s="1">
        <v>2</v>
      </c>
      <c r="D74" s="21"/>
      <c r="E74" s="21"/>
      <c r="F74" s="21"/>
    </row>
    <row r="75" spans="2:6" x14ac:dyDescent="0.25">
      <c r="B75" s="7">
        <v>2</v>
      </c>
      <c r="C75" s="1">
        <v>3</v>
      </c>
      <c r="D75" s="21"/>
      <c r="E75" s="21"/>
      <c r="F75" s="21"/>
    </row>
    <row r="76" spans="2:6" x14ac:dyDescent="0.25">
      <c r="B76" s="7">
        <v>2</v>
      </c>
      <c r="C76" s="1">
        <v>4</v>
      </c>
      <c r="D76" s="21"/>
      <c r="E76" s="21"/>
      <c r="F76" s="21"/>
    </row>
    <row r="77" spans="2:6" x14ac:dyDescent="0.25">
      <c r="B77" s="7">
        <v>2</v>
      </c>
      <c r="C77" s="1">
        <v>5</v>
      </c>
      <c r="D77" s="21"/>
      <c r="E77" s="21"/>
      <c r="F77" s="21"/>
    </row>
    <row r="78" spans="2:6" x14ac:dyDescent="0.25">
      <c r="B78" s="7">
        <v>2</v>
      </c>
      <c r="C78" s="1">
        <v>6</v>
      </c>
      <c r="D78" s="21"/>
      <c r="E78" s="21"/>
      <c r="F78" s="21"/>
    </row>
    <row r="79" spans="2:6" x14ac:dyDescent="0.25">
      <c r="B79" s="7">
        <v>2</v>
      </c>
      <c r="C79" s="1">
        <v>7</v>
      </c>
      <c r="D79" s="21"/>
      <c r="E79" s="21"/>
      <c r="F79" s="21"/>
    </row>
    <row r="80" spans="2:6" x14ac:dyDescent="0.25">
      <c r="B80" s="7">
        <v>2</v>
      </c>
      <c r="C80" s="1">
        <v>8</v>
      </c>
      <c r="D80" s="21"/>
      <c r="E80" s="21"/>
      <c r="F80" s="21"/>
    </row>
    <row r="81" spans="2:6" x14ac:dyDescent="0.25">
      <c r="B81" s="7">
        <v>2</v>
      </c>
      <c r="C81" s="1">
        <v>9</v>
      </c>
      <c r="D81" s="21"/>
      <c r="E81" s="21"/>
      <c r="F81" s="21"/>
    </row>
    <row r="82" spans="2:6" x14ac:dyDescent="0.25">
      <c r="B82" s="7">
        <v>2</v>
      </c>
      <c r="C82" s="1">
        <v>10</v>
      </c>
      <c r="D82" s="21"/>
      <c r="E82" s="21"/>
      <c r="F82" s="21"/>
    </row>
    <row r="83" spans="2:6" x14ac:dyDescent="0.25">
      <c r="B83" s="7">
        <v>2</v>
      </c>
      <c r="C83" s="1">
        <v>11</v>
      </c>
      <c r="D83" s="21"/>
      <c r="E83" s="21"/>
      <c r="F83" s="21"/>
    </row>
    <row r="84" spans="2:6" x14ac:dyDescent="0.25">
      <c r="B84" s="7">
        <v>2</v>
      </c>
      <c r="C84" s="1">
        <v>12</v>
      </c>
      <c r="D84" s="21"/>
      <c r="E84" s="21"/>
      <c r="F84" s="21"/>
    </row>
  </sheetData>
  <sheetProtection sheet="1" objects="1" scenarios="1" selectLockedCells="1" sort="0" autoFilter="0" pivotTables="0"/>
  <phoneticPr fontId="2" type="noConversion"/>
  <dataValidations count="4">
    <dataValidation type="list" allowBlank="1" showInputMessage="1" showErrorMessage="1" sqref="F46:F56" xr:uid="{01FEA6C9-D04E-44C1-A327-802564B6B9F3}">
      <formula1>INDIRECT(VLOOKUP($E46, SkillNameMap, 2, FALSE))</formula1>
    </dataValidation>
    <dataValidation type="list" allowBlank="1" showInputMessage="1" showErrorMessage="1" sqref="E38:E41" xr:uid="{07247691-DC98-413E-B3EA-3489C3BA249B}">
      <formula1>INDIRECT("LISTAssess[Assessment Specific]")</formula1>
    </dataValidation>
    <dataValidation type="whole" showInputMessage="1" showErrorMessage="1" error="This is not a realistic number of contact hours please change" sqref="D19" xr:uid="{FC8290A5-A7DE-4C89-B56E-6D6FE33EBF36}">
      <formula1>0</formula1>
      <formula2>80</formula2>
    </dataValidation>
    <dataValidation type="whole" showInputMessage="1" showErrorMessage="1" error="This is not a realistic number of contact hours please reduce" sqref="D20:D23" xr:uid="{DE393F00-EC5E-4F3E-AE14-72CDEBB8295C}">
      <formula1>0</formula1>
      <formula2>80</formula2>
    </dataValidation>
  </dataValidations>
  <pageMargins left="0.7" right="0.7" top="0.75" bottom="0.75" header="0.3" footer="0.3"/>
  <pageSetup paperSize="9" orientation="portrait" horizontalDpi="4294967293" verticalDpi="0" r:id="rId1"/>
  <tableParts count="10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8247F662-842E-4EE3-805A-AA5953BF083A}">
          <x14:formula1>
            <xm:f>LISTS!$J$7:$J$16</xm:f>
          </x14:formula1>
          <xm:sqref>E46:E56</xm:sqref>
        </x14:dataValidation>
        <x14:dataValidation type="list" allowBlank="1" showInputMessage="1" showErrorMessage="1" xr:uid="{44D1F96B-AB6E-4E58-B489-7D973FD9CD46}">
          <x14:formula1>
            <xm:f>LISTS!$E$7:$E$11</xm:f>
          </x14:formula1>
          <xm:sqref>D46:D56</xm:sqref>
        </x14:dataValidation>
        <x14:dataValidation type="list" allowBlank="1" showInputMessage="1" showErrorMessage="1" xr:uid="{26E9181F-EF38-45D0-9152-FBF6EC0BEB00}">
          <x14:formula1>
            <xm:f>LISTS!$G$7:$G$11</xm:f>
          </x14:formula1>
          <xm:sqref>D38:D42</xm:sqref>
        </x14:dataValidation>
        <x14:dataValidation type="list" allowBlank="1" showInputMessage="1" showErrorMessage="1" xr:uid="{E5E57D1C-21AE-4566-8E6D-957C12AE18CE}">
          <x14:formula1>
            <xm:f>LISTS!$C$11:$C$15</xm:f>
          </x14:formula1>
          <xm:sqref>D11</xm:sqref>
        </x14:dataValidation>
        <x14:dataValidation type="list" allowBlank="1" showInputMessage="1" showErrorMessage="1" xr:uid="{63FB959C-463B-47BC-9C99-DFA102385F42}">
          <x14:formula1>
            <xm:f>LISTS!$C$7:$C$9</xm:f>
          </x14:formula1>
          <xm:sqref>D10</xm:sqref>
        </x14:dataValidation>
        <x14:dataValidation type="list" allowBlank="1" showInputMessage="1" showErrorMessage="1" xr:uid="{F2631761-3E1D-4998-9158-850FB5708328}">
          <x14:formula1>
            <xm:f>LISTS!$C$17:$C$22</xm:f>
          </x14:formula1>
          <xm:sqref>D13</xm:sqref>
        </x14:dataValidation>
        <x14:dataValidation type="list" allowBlank="1" showInputMessage="1" showErrorMessage="1" xr:uid="{0FF40044-1DF8-4C09-97A1-BC6111D3174A}">
          <x14:formula1>
            <xm:f>LISTS!$C$26:$C$37</xm:f>
          </x14:formula1>
          <xm:sqref>D14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BB1DD-F469-4B0C-8EE9-FF16EC784179}">
  <sheetPr codeName="Sheet32"/>
  <dimension ref="C4:T102"/>
  <sheetViews>
    <sheetView workbookViewId="0">
      <selection activeCell="C37" sqref="C37"/>
    </sheetView>
  </sheetViews>
  <sheetFormatPr defaultRowHeight="15" x14ac:dyDescent="0.25"/>
  <cols>
    <col min="7" max="7" width="11.28515625" customWidth="1"/>
    <col min="10" max="10" width="19.28515625" bestFit="1" customWidth="1"/>
    <col min="19" max="19" width="28.28515625" customWidth="1"/>
    <col min="20" max="20" width="16.140625" customWidth="1"/>
  </cols>
  <sheetData>
    <row r="4" spans="3:10" x14ac:dyDescent="0.25">
      <c r="C4" t="s">
        <v>88</v>
      </c>
      <c r="E4" t="s">
        <v>89</v>
      </c>
      <c r="G4" t="s">
        <v>89</v>
      </c>
      <c r="J4" t="s">
        <v>90</v>
      </c>
    </row>
    <row r="7" spans="3:10" ht="15.75" customHeight="1" x14ac:dyDescent="0.25">
      <c r="C7" s="7">
        <v>1</v>
      </c>
      <c r="E7" t="s">
        <v>28</v>
      </c>
      <c r="G7" t="s">
        <v>91</v>
      </c>
      <c r="J7" t="s">
        <v>50</v>
      </c>
    </row>
    <row r="8" spans="3:10" x14ac:dyDescent="0.25">
      <c r="C8" s="7">
        <v>2</v>
      </c>
      <c r="E8" t="s">
        <v>29</v>
      </c>
      <c r="G8" t="s">
        <v>86</v>
      </c>
      <c r="J8" t="s">
        <v>57</v>
      </c>
    </row>
    <row r="9" spans="3:10" x14ac:dyDescent="0.25">
      <c r="C9" s="7" t="s">
        <v>92</v>
      </c>
      <c r="E9" t="s">
        <v>30</v>
      </c>
      <c r="G9" t="s">
        <v>41</v>
      </c>
      <c r="J9" t="s">
        <v>53</v>
      </c>
    </row>
    <row r="10" spans="3:10" x14ac:dyDescent="0.25">
      <c r="E10" t="s">
        <v>31</v>
      </c>
      <c r="G10" t="s">
        <v>19</v>
      </c>
      <c r="J10" t="s">
        <v>93</v>
      </c>
    </row>
    <row r="11" spans="3:10" x14ac:dyDescent="0.25">
      <c r="C11" s="7">
        <v>3</v>
      </c>
      <c r="E11" t="s">
        <v>32</v>
      </c>
      <c r="G11" t="s">
        <v>94</v>
      </c>
      <c r="J11" t="s">
        <v>95</v>
      </c>
    </row>
    <row r="12" spans="3:10" x14ac:dyDescent="0.25">
      <c r="C12" s="7">
        <v>4</v>
      </c>
      <c r="J12" t="s">
        <v>55</v>
      </c>
    </row>
    <row r="13" spans="3:10" x14ac:dyDescent="0.25">
      <c r="C13" s="7">
        <v>5</v>
      </c>
      <c r="J13" t="s">
        <v>96</v>
      </c>
    </row>
    <row r="14" spans="3:10" x14ac:dyDescent="0.25">
      <c r="C14" s="7">
        <v>6</v>
      </c>
      <c r="G14" t="s">
        <v>36</v>
      </c>
      <c r="J14" t="s">
        <v>97</v>
      </c>
    </row>
    <row r="15" spans="3:10" x14ac:dyDescent="0.25">
      <c r="C15" s="7">
        <v>7</v>
      </c>
      <c r="G15" t="s">
        <v>98</v>
      </c>
      <c r="J15" t="s">
        <v>99</v>
      </c>
    </row>
    <row r="16" spans="3:10" x14ac:dyDescent="0.25">
      <c r="G16" t="s">
        <v>100</v>
      </c>
      <c r="J16" t="s">
        <v>101</v>
      </c>
    </row>
    <row r="17" spans="3:20" x14ac:dyDescent="0.25">
      <c r="C17" t="s">
        <v>102</v>
      </c>
      <c r="G17" t="s">
        <v>103</v>
      </c>
    </row>
    <row r="18" spans="3:20" x14ac:dyDescent="0.25">
      <c r="C18" t="s">
        <v>104</v>
      </c>
      <c r="G18" t="s">
        <v>105</v>
      </c>
    </row>
    <row r="19" spans="3:20" x14ac:dyDescent="0.25">
      <c r="C19" t="s">
        <v>106</v>
      </c>
      <c r="G19" t="s">
        <v>42</v>
      </c>
      <c r="J19" t="s">
        <v>107</v>
      </c>
      <c r="K19" t="s">
        <v>108</v>
      </c>
    </row>
    <row r="20" spans="3:20" x14ac:dyDescent="0.25">
      <c r="C20" t="s">
        <v>109</v>
      </c>
      <c r="G20" t="s">
        <v>110</v>
      </c>
      <c r="J20" t="s">
        <v>50</v>
      </c>
      <c r="K20" t="s">
        <v>111</v>
      </c>
      <c r="O20" s="9" t="s">
        <v>112</v>
      </c>
      <c r="S20" s="14" t="s">
        <v>113</v>
      </c>
      <c r="T20" s="15" t="s">
        <v>114</v>
      </c>
    </row>
    <row r="21" spans="3:20" x14ac:dyDescent="0.25">
      <c r="C21" t="s">
        <v>115</v>
      </c>
      <c r="G21" t="s">
        <v>116</v>
      </c>
      <c r="J21" t="s">
        <v>50</v>
      </c>
      <c r="K21" t="s">
        <v>52</v>
      </c>
      <c r="O21" t="str" cm="1">
        <f t="array" ref="O21:O26">_xlfn._xlws.FILTER(LISTS_Table[Skill],LISTS_Table[Category]="Scientific Knowledge")</f>
        <v>Critical thinking</v>
      </c>
      <c r="S21" s="16" t="s">
        <v>50</v>
      </c>
      <c r="T21" s="17" t="s">
        <v>117</v>
      </c>
    </row>
    <row r="22" spans="3:20" x14ac:dyDescent="0.25">
      <c r="C22" t="s">
        <v>82</v>
      </c>
      <c r="G22" t="s">
        <v>118</v>
      </c>
      <c r="J22" t="s">
        <v>50</v>
      </c>
      <c r="K22" t="s">
        <v>51</v>
      </c>
      <c r="O22" t="str">
        <v>Scientific literacy</v>
      </c>
      <c r="S22" s="18" t="s">
        <v>57</v>
      </c>
      <c r="T22" s="19" t="s">
        <v>119</v>
      </c>
    </row>
    <row r="23" spans="3:20" x14ac:dyDescent="0.25">
      <c r="G23" t="s">
        <v>120</v>
      </c>
      <c r="J23" t="s">
        <v>50</v>
      </c>
      <c r="K23" t="s">
        <v>121</v>
      </c>
      <c r="O23" t="str">
        <v>Information retrieval</v>
      </c>
      <c r="S23" s="16" t="s">
        <v>53</v>
      </c>
      <c r="T23" s="17" t="s">
        <v>122</v>
      </c>
    </row>
    <row r="24" spans="3:20" x14ac:dyDescent="0.25">
      <c r="G24" t="s">
        <v>123</v>
      </c>
      <c r="J24" t="s">
        <v>50</v>
      </c>
      <c r="K24" t="s">
        <v>124</v>
      </c>
      <c r="O24" t="str">
        <v>Knowledge synthesis</v>
      </c>
      <c r="S24" s="18" t="s">
        <v>93</v>
      </c>
      <c r="T24" s="19" t="s">
        <v>125</v>
      </c>
    </row>
    <row r="25" spans="3:20" x14ac:dyDescent="0.25">
      <c r="G25" t="s">
        <v>126</v>
      </c>
      <c r="J25" t="s">
        <v>50</v>
      </c>
      <c r="K25" t="s">
        <v>127</v>
      </c>
      <c r="O25" t="str">
        <v>Domian-specfic analytical skills</v>
      </c>
      <c r="S25" s="16" t="s">
        <v>95</v>
      </c>
      <c r="T25" s="17" t="s">
        <v>128</v>
      </c>
    </row>
    <row r="26" spans="3:20" x14ac:dyDescent="0.25">
      <c r="C26" t="s">
        <v>129</v>
      </c>
      <c r="G26" t="s">
        <v>130</v>
      </c>
      <c r="J26" t="s">
        <v>57</v>
      </c>
      <c r="K26" t="s">
        <v>131</v>
      </c>
      <c r="O26" t="str">
        <v>Evidence evaluation</v>
      </c>
      <c r="S26" s="18" t="s">
        <v>55</v>
      </c>
      <c r="T26" s="19" t="s">
        <v>55</v>
      </c>
    </row>
    <row r="27" spans="3:20" x14ac:dyDescent="0.25">
      <c r="C27" t="s">
        <v>132</v>
      </c>
      <c r="G27" t="s">
        <v>133</v>
      </c>
      <c r="J27" t="s">
        <v>57</v>
      </c>
      <c r="K27" t="s">
        <v>134</v>
      </c>
      <c r="S27" s="16" t="s">
        <v>96</v>
      </c>
      <c r="T27" s="17" t="s">
        <v>135</v>
      </c>
    </row>
    <row r="28" spans="3:20" x14ac:dyDescent="0.25">
      <c r="C28" t="s">
        <v>136</v>
      </c>
      <c r="G28" t="s">
        <v>87</v>
      </c>
      <c r="J28" t="s">
        <v>57</v>
      </c>
      <c r="K28" t="s">
        <v>78</v>
      </c>
      <c r="O28" s="6" t="s">
        <v>137</v>
      </c>
      <c r="S28" s="18" t="s">
        <v>97</v>
      </c>
      <c r="T28" s="19" t="s">
        <v>138</v>
      </c>
    </row>
    <row r="29" spans="3:20" x14ac:dyDescent="0.25">
      <c r="C29" t="s">
        <v>139</v>
      </c>
      <c r="J29" t="s">
        <v>57</v>
      </c>
      <c r="K29" t="s">
        <v>140</v>
      </c>
      <c r="O29" t="str" cm="1">
        <f t="array" ref="O29:O34">_xlfn._xlws.FILTER(LISTS_Table[Skill],LISTS_Table[Category]="Technical Skills")</f>
        <v>Laboratory/clinical techniques</v>
      </c>
      <c r="S29" s="16" t="s">
        <v>99</v>
      </c>
      <c r="T29" s="17" t="s">
        <v>141</v>
      </c>
    </row>
    <row r="30" spans="3:20" x14ac:dyDescent="0.25">
      <c r="C30" t="s">
        <v>142</v>
      </c>
      <c r="J30" t="s">
        <v>57</v>
      </c>
      <c r="K30" t="s">
        <v>58</v>
      </c>
      <c r="O30" t="str">
        <v>Data collection</v>
      </c>
      <c r="S30" s="13" t="s">
        <v>101</v>
      </c>
      <c r="T30" s="11" t="s">
        <v>143</v>
      </c>
    </row>
    <row r="31" spans="3:20" x14ac:dyDescent="0.25">
      <c r="C31" t="s">
        <v>144</v>
      </c>
      <c r="J31" t="s">
        <v>57</v>
      </c>
      <c r="K31" t="s">
        <v>145</v>
      </c>
      <c r="O31" t="str">
        <v>Data analysis</v>
      </c>
    </row>
    <row r="32" spans="3:20" x14ac:dyDescent="0.25">
      <c r="C32" t="s">
        <v>146</v>
      </c>
      <c r="J32" t="s">
        <v>53</v>
      </c>
      <c r="K32" t="s">
        <v>54</v>
      </c>
      <c r="O32" t="str">
        <v>Digital literacy</v>
      </c>
    </row>
    <row r="33" spans="3:15" x14ac:dyDescent="0.25">
      <c r="C33" t="s">
        <v>147</v>
      </c>
      <c r="J33" t="s">
        <v>53</v>
      </c>
      <c r="K33" t="s">
        <v>148</v>
      </c>
      <c r="O33" t="str">
        <v>Equipment and technology utilisation</v>
      </c>
    </row>
    <row r="34" spans="3:15" x14ac:dyDescent="0.25">
      <c r="C34" t="s">
        <v>149</v>
      </c>
      <c r="J34" t="s">
        <v>53</v>
      </c>
      <c r="K34" t="s">
        <v>150</v>
      </c>
      <c r="O34" t="str">
        <v>Technical proficiency</v>
      </c>
    </row>
    <row r="35" spans="3:15" x14ac:dyDescent="0.25">
      <c r="C35" t="s">
        <v>151</v>
      </c>
      <c r="J35" t="s">
        <v>53</v>
      </c>
      <c r="K35" t="s">
        <v>152</v>
      </c>
    </row>
    <row r="36" spans="3:15" x14ac:dyDescent="0.25">
      <c r="C36" t="s">
        <v>153</v>
      </c>
      <c r="J36" t="s">
        <v>53</v>
      </c>
      <c r="K36" t="s">
        <v>154</v>
      </c>
      <c r="O36" s="9" t="s">
        <v>155</v>
      </c>
    </row>
    <row r="37" spans="3:15" x14ac:dyDescent="0.25">
      <c r="C37" t="s">
        <v>156</v>
      </c>
      <c r="J37" t="s">
        <v>53</v>
      </c>
      <c r="K37" t="s">
        <v>157</v>
      </c>
      <c r="O37" t="str" cm="1">
        <f t="array" ref="O37:O42">_xlfn._xlws.FILTER(LISTS_Table[Skill],LISTS_Table[Category]="Application of Knowledge and skills")</f>
        <v>Decision-making</v>
      </c>
    </row>
    <row r="38" spans="3:15" x14ac:dyDescent="0.25">
      <c r="J38" t="s">
        <v>93</v>
      </c>
      <c r="K38" t="s">
        <v>158</v>
      </c>
      <c r="O38" t="str">
        <v>Translational practice</v>
      </c>
    </row>
    <row r="39" spans="3:15" x14ac:dyDescent="0.25">
      <c r="J39" t="s">
        <v>93</v>
      </c>
      <c r="K39" t="s">
        <v>159</v>
      </c>
      <c r="O39" t="str">
        <v>Contextual application</v>
      </c>
    </row>
    <row r="40" spans="3:15" x14ac:dyDescent="0.25">
      <c r="J40" t="s">
        <v>93</v>
      </c>
      <c r="K40" t="s">
        <v>160</v>
      </c>
      <c r="O40" t="str">
        <v>Professional judgement</v>
      </c>
    </row>
    <row r="41" spans="3:15" x14ac:dyDescent="0.25">
      <c r="J41" t="s">
        <v>93</v>
      </c>
      <c r="K41" t="s">
        <v>161</v>
      </c>
      <c r="O41" t="str">
        <v>Adaptability</v>
      </c>
    </row>
    <row r="42" spans="3:15" x14ac:dyDescent="0.25">
      <c r="J42" t="s">
        <v>93</v>
      </c>
      <c r="K42" t="s">
        <v>162</v>
      </c>
      <c r="O42" t="str">
        <v>Risk assessment</v>
      </c>
    </row>
    <row r="43" spans="3:15" x14ac:dyDescent="0.25">
      <c r="J43" t="s">
        <v>93</v>
      </c>
      <c r="K43" t="s">
        <v>163</v>
      </c>
    </row>
    <row r="44" spans="3:15" x14ac:dyDescent="0.25">
      <c r="J44" t="s">
        <v>95</v>
      </c>
      <c r="K44" t="s">
        <v>164</v>
      </c>
      <c r="O44" s="8" t="s">
        <v>93</v>
      </c>
    </row>
    <row r="45" spans="3:15" x14ac:dyDescent="0.25">
      <c r="J45" t="s">
        <v>95</v>
      </c>
      <c r="K45" t="s">
        <v>165</v>
      </c>
      <c r="O45" t="str" cm="1">
        <f t="array" ref="O45:O50">_xlfn._xlws.FILTER(LISTS_Table[Skill],LISTS_Table[Category]="Understanding and use of research")</f>
        <v>Reserch literacy</v>
      </c>
    </row>
    <row r="46" spans="3:15" x14ac:dyDescent="0.25">
      <c r="J46" t="s">
        <v>95</v>
      </c>
      <c r="K46" t="s">
        <v>166</v>
      </c>
      <c r="O46" t="str">
        <v>Literature searching</v>
      </c>
    </row>
    <row r="47" spans="3:15" x14ac:dyDescent="0.25">
      <c r="J47" t="s">
        <v>95</v>
      </c>
      <c r="K47" t="s">
        <v>167</v>
      </c>
      <c r="O47" t="str">
        <v>Critical appraisal</v>
      </c>
    </row>
    <row r="48" spans="3:15" x14ac:dyDescent="0.25">
      <c r="J48" t="s">
        <v>95</v>
      </c>
      <c r="K48" t="s">
        <v>168</v>
      </c>
      <c r="O48" t="str">
        <v>Data interpretation</v>
      </c>
    </row>
    <row r="49" spans="10:15" x14ac:dyDescent="0.25">
      <c r="J49" t="s">
        <v>95</v>
      </c>
      <c r="K49" t="s">
        <v>169</v>
      </c>
      <c r="O49" t="str">
        <v>Evidne-based practice</v>
      </c>
    </row>
    <row r="50" spans="10:15" x14ac:dyDescent="0.25">
      <c r="J50" t="s">
        <v>95</v>
      </c>
      <c r="K50" t="s">
        <v>170</v>
      </c>
      <c r="O50" t="str">
        <v>Research communication</v>
      </c>
    </row>
    <row r="51" spans="10:15" x14ac:dyDescent="0.25">
      <c r="J51" t="s">
        <v>55</v>
      </c>
      <c r="K51" t="s">
        <v>171</v>
      </c>
    </row>
    <row r="52" spans="10:15" x14ac:dyDescent="0.25">
      <c r="J52" t="s">
        <v>55</v>
      </c>
      <c r="K52" t="s">
        <v>56</v>
      </c>
      <c r="O52" s="8" t="s">
        <v>95</v>
      </c>
    </row>
    <row r="53" spans="10:15" x14ac:dyDescent="0.25">
      <c r="J53" t="s">
        <v>55</v>
      </c>
      <c r="K53" t="s">
        <v>172</v>
      </c>
      <c r="O53" t="str" cm="1">
        <f t="array" ref="O53:O59">_xlfn._xlws.FILTER(LISTS_Table[Skill],LISTS_Table[Category]="Self-evaluation and professional development")</f>
        <v>Reflective practice</v>
      </c>
    </row>
    <row r="54" spans="10:15" x14ac:dyDescent="0.25">
      <c r="J54" t="s">
        <v>55</v>
      </c>
      <c r="K54" t="s">
        <v>173</v>
      </c>
      <c r="O54" t="str">
        <v>Self-awareness</v>
      </c>
    </row>
    <row r="55" spans="10:15" x14ac:dyDescent="0.25">
      <c r="J55" t="s">
        <v>55</v>
      </c>
      <c r="K55" t="s">
        <v>174</v>
      </c>
      <c r="O55" t="str">
        <v>Lifelong learning</v>
      </c>
    </row>
    <row r="56" spans="10:15" x14ac:dyDescent="0.25">
      <c r="J56" t="s">
        <v>55</v>
      </c>
      <c r="K56" t="s">
        <v>175</v>
      </c>
      <c r="O56" t="str">
        <v>Personal development planning</v>
      </c>
    </row>
    <row r="57" spans="10:15" x14ac:dyDescent="0.25">
      <c r="J57" t="s">
        <v>96</v>
      </c>
      <c r="K57" t="s">
        <v>176</v>
      </c>
      <c r="O57" t="str">
        <v>Resilience</v>
      </c>
    </row>
    <row r="58" spans="10:15" x14ac:dyDescent="0.25">
      <c r="J58" t="s">
        <v>96</v>
      </c>
      <c r="K58" t="s">
        <v>177</v>
      </c>
      <c r="O58" t="str">
        <v>Initiative</v>
      </c>
    </row>
    <row r="59" spans="10:15" x14ac:dyDescent="0.25">
      <c r="J59" t="s">
        <v>96</v>
      </c>
      <c r="K59" t="s">
        <v>178</v>
      </c>
      <c r="O59" t="str">
        <v>Accountability</v>
      </c>
    </row>
    <row r="60" spans="10:15" x14ac:dyDescent="0.25">
      <c r="J60" t="s">
        <v>96</v>
      </c>
      <c r="K60" t="s">
        <v>179</v>
      </c>
    </row>
    <row r="61" spans="10:15" x14ac:dyDescent="0.25">
      <c r="J61" t="s">
        <v>96</v>
      </c>
      <c r="K61" t="s">
        <v>180</v>
      </c>
      <c r="O61" s="10" t="s">
        <v>55</v>
      </c>
    </row>
    <row r="62" spans="10:15" x14ac:dyDescent="0.25">
      <c r="J62" t="s">
        <v>96</v>
      </c>
      <c r="K62" t="s">
        <v>181</v>
      </c>
      <c r="O62" t="str" cm="1">
        <f t="array" ref="O62:O67">_xlfn._xlws.FILTER(LISTS_Table[Skill],LISTS_Table[Category]="Communication")</f>
        <v>Written communication</v>
      </c>
    </row>
    <row r="63" spans="10:15" x14ac:dyDescent="0.25">
      <c r="J63" t="s">
        <v>97</v>
      </c>
      <c r="K63" t="s">
        <v>182</v>
      </c>
      <c r="O63" t="str">
        <v>Oral presentation</v>
      </c>
    </row>
    <row r="64" spans="10:15" x14ac:dyDescent="0.25">
      <c r="J64" t="s">
        <v>97</v>
      </c>
      <c r="K64" t="s">
        <v>183</v>
      </c>
      <c r="O64" t="str">
        <v>Active listening</v>
      </c>
    </row>
    <row r="65" spans="10:15" x14ac:dyDescent="0.25">
      <c r="J65" t="s">
        <v>97</v>
      </c>
      <c r="K65" t="s">
        <v>184</v>
      </c>
      <c r="O65" t="str">
        <v>Scientific writing</v>
      </c>
    </row>
    <row r="66" spans="10:15" x14ac:dyDescent="0.25">
      <c r="J66" t="s">
        <v>97</v>
      </c>
      <c r="K66" t="s">
        <v>185</v>
      </c>
      <c r="O66" t="str">
        <v>Interpesronal communication</v>
      </c>
    </row>
    <row r="67" spans="10:15" x14ac:dyDescent="0.25">
      <c r="J67" t="s">
        <v>97</v>
      </c>
      <c r="K67" t="s">
        <v>186</v>
      </c>
      <c r="O67" t="str">
        <v>Digital communication</v>
      </c>
    </row>
    <row r="68" spans="10:15" x14ac:dyDescent="0.25">
      <c r="J68" t="s">
        <v>97</v>
      </c>
      <c r="K68" t="s">
        <v>187</v>
      </c>
    </row>
    <row r="69" spans="10:15" x14ac:dyDescent="0.25">
      <c r="J69" t="s">
        <v>97</v>
      </c>
      <c r="K69" t="s">
        <v>188</v>
      </c>
      <c r="O69" s="10" t="s">
        <v>96</v>
      </c>
    </row>
    <row r="70" spans="10:15" x14ac:dyDescent="0.25">
      <c r="J70" t="s">
        <v>97</v>
      </c>
      <c r="K70" t="s">
        <v>189</v>
      </c>
      <c r="O70" t="str" cm="1">
        <f t="array" ref="O70:O75">_xlfn._xlws.FILTER(LISTS_Table[Skill],LISTS_Table[Category]="Problem solving and impact")</f>
        <v>Analytical thinking</v>
      </c>
    </row>
    <row r="71" spans="10:15" x14ac:dyDescent="0.25">
      <c r="J71" t="s">
        <v>97</v>
      </c>
      <c r="K71" t="s">
        <v>190</v>
      </c>
      <c r="O71" t="str">
        <v>problem identification</v>
      </c>
    </row>
    <row r="72" spans="10:15" x14ac:dyDescent="0.25">
      <c r="J72" t="s">
        <v>99</v>
      </c>
      <c r="K72" t="s">
        <v>191</v>
      </c>
      <c r="O72" t="str">
        <v>Creative thinking</v>
      </c>
    </row>
    <row r="73" spans="10:15" x14ac:dyDescent="0.25">
      <c r="J73" t="s">
        <v>99</v>
      </c>
      <c r="K73" t="s">
        <v>192</v>
      </c>
      <c r="O73" t="str">
        <v>Evidence-based decision making</v>
      </c>
    </row>
    <row r="74" spans="10:15" x14ac:dyDescent="0.25">
      <c r="J74" t="s">
        <v>99</v>
      </c>
      <c r="K74" t="s">
        <v>193</v>
      </c>
      <c r="O74" t="str">
        <v>Innovation</v>
      </c>
    </row>
    <row r="75" spans="10:15" x14ac:dyDescent="0.25">
      <c r="J75" t="s">
        <v>99</v>
      </c>
      <c r="K75" t="s">
        <v>194</v>
      </c>
      <c r="O75" t="str">
        <v>Evaluation of outcomes</v>
      </c>
    </row>
    <row r="76" spans="10:15" x14ac:dyDescent="0.25">
      <c r="J76" t="s">
        <v>99</v>
      </c>
      <c r="K76" t="s">
        <v>195</v>
      </c>
    </row>
    <row r="77" spans="10:15" x14ac:dyDescent="0.25">
      <c r="J77" t="s">
        <v>101</v>
      </c>
      <c r="K77" t="s">
        <v>196</v>
      </c>
      <c r="O77" s="10" t="s">
        <v>97</v>
      </c>
    </row>
    <row r="78" spans="10:15" x14ac:dyDescent="0.25">
      <c r="J78" t="s">
        <v>101</v>
      </c>
      <c r="K78" t="s">
        <v>197</v>
      </c>
      <c r="O78" t="str" cm="1">
        <f t="array" ref="O78:O86">_xlfn._xlws.FILTER(LISTS_Table[Skill],LISTS_Table[Category]="Management of self and others")</f>
        <v>Leadership</v>
      </c>
    </row>
    <row r="79" spans="10:15" x14ac:dyDescent="0.25">
      <c r="J79" t="s">
        <v>101</v>
      </c>
      <c r="K79" t="s">
        <v>198</v>
      </c>
      <c r="O79" t="str">
        <v>Coaching and mentoring</v>
      </c>
    </row>
    <row r="80" spans="10:15" x14ac:dyDescent="0.25">
      <c r="J80" t="s">
        <v>101</v>
      </c>
      <c r="K80" t="s">
        <v>199</v>
      </c>
      <c r="O80" t="str">
        <v>Time management</v>
      </c>
    </row>
    <row r="81" spans="10:15" x14ac:dyDescent="0.25">
      <c r="J81" t="s">
        <v>101</v>
      </c>
      <c r="K81" t="s">
        <v>200</v>
      </c>
      <c r="O81" t="str">
        <v>Organisation</v>
      </c>
    </row>
    <row r="82" spans="10:15" x14ac:dyDescent="0.25">
      <c r="J82" t="s">
        <v>101</v>
      </c>
      <c r="K82" t="s">
        <v>201</v>
      </c>
      <c r="O82" t="str">
        <v>Delegation</v>
      </c>
    </row>
    <row r="83" spans="10:15" x14ac:dyDescent="0.25">
      <c r="J83" t="s">
        <v>101</v>
      </c>
      <c r="K83" t="s">
        <v>202</v>
      </c>
      <c r="O83" t="str">
        <v>Conflict resolution</v>
      </c>
    </row>
    <row r="84" spans="10:15" x14ac:dyDescent="0.25">
      <c r="O84" t="str">
        <v>Empathy</v>
      </c>
    </row>
    <row r="85" spans="10:15" x14ac:dyDescent="0.25">
      <c r="O85" t="str">
        <v>Multi-tasking</v>
      </c>
    </row>
    <row r="86" spans="10:15" x14ac:dyDescent="0.25">
      <c r="O86" t="str">
        <v>Resource management</v>
      </c>
    </row>
    <row r="88" spans="10:15" x14ac:dyDescent="0.25">
      <c r="O88" s="8" t="s">
        <v>99</v>
      </c>
    </row>
    <row r="89" spans="10:15" x14ac:dyDescent="0.25">
      <c r="O89" t="str" cm="1">
        <f t="array" ref="O89:O93">_xlfn._xlws.FILTER(LISTS_Table[Skill],LISTS_Table[Category]="Understanding the delivery environment")</f>
        <v>Organisational awareness</v>
      </c>
    </row>
    <row r="90" spans="10:15" x14ac:dyDescent="0.25">
      <c r="O90" t="str">
        <v>Policy interpretation</v>
      </c>
    </row>
    <row r="91" spans="10:15" x14ac:dyDescent="0.25">
      <c r="O91" t="str">
        <v>Stakeholder awareness</v>
      </c>
    </row>
    <row r="92" spans="10:15" x14ac:dyDescent="0.25">
      <c r="O92" t="str">
        <v>Service delivery</v>
      </c>
    </row>
    <row r="93" spans="10:15" x14ac:dyDescent="0.25">
      <c r="O93" t="str">
        <v>Professional awareness</v>
      </c>
    </row>
    <row r="95" spans="10:15" x14ac:dyDescent="0.25">
      <c r="O95" s="10" t="s">
        <v>203</v>
      </c>
    </row>
    <row r="96" spans="10:15" x14ac:dyDescent="0.25">
      <c r="O96" t="str" cm="1">
        <f t="array" ref="O96:O102">_xlfn._xlws.FILTER(LISTS_Table[Skill],LISTS_Table[Category]="Professional relationships and behaviours")</f>
        <v>Teamwork</v>
      </c>
    </row>
    <row r="97" spans="15:15" x14ac:dyDescent="0.25">
      <c r="O97" t="str">
        <v>Collaboration/multi-disciplinary working</v>
      </c>
    </row>
    <row r="98" spans="15:15" x14ac:dyDescent="0.25">
      <c r="O98" t="str">
        <v>Ethical practice</v>
      </c>
    </row>
    <row r="99" spans="15:15" x14ac:dyDescent="0.25">
      <c r="O99" t="str">
        <v>Professionalism</v>
      </c>
    </row>
    <row r="100" spans="15:15" x14ac:dyDescent="0.25">
      <c r="O100" t="str">
        <v>Cultural awareness and competence</v>
      </c>
    </row>
    <row r="101" spans="15:15" x14ac:dyDescent="0.25">
      <c r="O101" t="str">
        <v>Integrity</v>
      </c>
    </row>
    <row r="102" spans="15:15" x14ac:dyDescent="0.25">
      <c r="O102" t="str">
        <v>Respect</v>
      </c>
    </row>
  </sheetData>
  <sheetProtection sheet="1" objects="1" scenarios="1" sort="0" autoFilter="0" pivotTables="0"/>
  <sortState xmlns:xlrd2="http://schemas.microsoft.com/office/spreadsheetml/2017/richdata2" ref="C26:C31">
    <sortCondition ref="C31"/>
  </sortState>
  <phoneticPr fontId="2" type="noConversion"/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1436123-e04c-43f8-b7d8-6e3401685a6a">
      <Terms xmlns="http://schemas.microsoft.com/office/infopath/2007/PartnerControls"/>
    </lcf76f155ced4ddcb4097134ff3c332f>
    <TaxCatchAll xmlns="e2acc87f-978a-4c56-9887-574fe2c7e53e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F5424D8F461E94980DF8EC8486B8636" ma:contentTypeVersion="10" ma:contentTypeDescription="Create a new document." ma:contentTypeScope="" ma:versionID="bcfcf74337161f6441250f8f4cf7d932">
  <xsd:schema xmlns:xsd="http://www.w3.org/2001/XMLSchema" xmlns:xs="http://www.w3.org/2001/XMLSchema" xmlns:p="http://schemas.microsoft.com/office/2006/metadata/properties" xmlns:ns2="f1436123-e04c-43f8-b7d8-6e3401685a6a" xmlns:ns3="e2acc87f-978a-4c56-9887-574fe2c7e53e" targetNamespace="http://schemas.microsoft.com/office/2006/metadata/properties" ma:root="true" ma:fieldsID="c081e04d381fea11733dd13b3c4e862f" ns2:_="" ns3:_="">
    <xsd:import namespace="f1436123-e04c-43f8-b7d8-6e3401685a6a"/>
    <xsd:import namespace="e2acc87f-978a-4c56-9887-574fe2c7e53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1436123-e04c-43f8-b7d8-6e3401685a6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13fea976-0fb7-4036-bc8a-08177e9f587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2acc87f-978a-4c56-9887-574fe2c7e53e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ac9bdcf-c2d0-47d2-a991-206be5278a68}" ma:internalName="TaxCatchAll" ma:showField="CatchAllData" ma:web="e2acc87f-978a-4c56-9887-574fe2c7e53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07968BB-CDD0-4B21-8494-8F158966F0D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E3FA4C3-DC25-462F-8805-09E7A0CA0332}">
  <ds:schemaRefs>
    <ds:schemaRef ds:uri="http://purl.org/dc/terms/"/>
    <ds:schemaRef ds:uri="http://purl.org/dc/elements/1.1/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f1436123-e04c-43f8-b7d8-6e3401685a6a"/>
    <ds:schemaRef ds:uri="e2acc87f-978a-4c56-9887-574fe2c7e53e"/>
    <ds:schemaRef ds:uri="http://schemas.microsoft.com/office/2006/metadata/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32729CB6-E7A2-443D-8FAE-1E37B704412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1436123-e04c-43f8-b7d8-6e3401685a6a"/>
    <ds:schemaRef ds:uri="e2acc87f-978a-4c56-9887-574fe2c7e53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</vt:i4>
      </vt:variant>
    </vt:vector>
  </HeadingPairs>
  <TitlesOfParts>
    <vt:vector size="15" baseType="lpstr">
      <vt:lpstr>4202SPS</vt:lpstr>
      <vt:lpstr>4401SPS</vt:lpstr>
      <vt:lpstr>5401SPS</vt:lpstr>
      <vt:lpstr>5402SPS</vt:lpstr>
      <vt:lpstr>5403SPS</vt:lpstr>
      <vt:lpstr>5XX1SPS</vt:lpstr>
      <vt:lpstr>5XX2SPS</vt:lpstr>
      <vt:lpstr>6XX1SPS</vt:lpstr>
      <vt:lpstr>6XX2SPS</vt:lpstr>
      <vt:lpstr>6403SPS</vt:lpstr>
      <vt:lpstr>6097SPS</vt:lpstr>
      <vt:lpstr>Module (13)</vt:lpstr>
      <vt:lpstr>Template</vt:lpstr>
      <vt:lpstr>LISTS</vt:lpstr>
      <vt:lpstr>SkillNameMap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Robinson, Mark</dc:creator>
  <cp:keywords/>
  <dc:description/>
  <cp:lastModifiedBy>Robinson, Mark</cp:lastModifiedBy>
  <cp:revision/>
  <dcterms:created xsi:type="dcterms:W3CDTF">2026-07-01T09:36:48Z</dcterms:created>
  <dcterms:modified xsi:type="dcterms:W3CDTF">2026-08-24T11:30:07Z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0x010100AF5424D8F461E94980DF8EC8486B8636</vt:lpwstr>
  </property>
  <property fmtid="{D5CDD505-2E9C-101B-9397-08002B2CF9AE}" pid="3" name="MediaServiceImageTags">
    <vt:lpwstr/>
  </property>
</Properties>
</file>