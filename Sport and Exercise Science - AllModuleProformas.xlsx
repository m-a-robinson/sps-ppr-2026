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4376" documentId="8_{20AD63D6-7E4E-4EFA-BE5C-A6DF2DDE1EA8}" xr6:coauthVersionLast="47" xr6:coauthVersionMax="47" xr10:uidLastSave="{FD8ADB09-406F-4EA4-BF69-6B13A3850D96}"/>
  <bookViews>
    <workbookView xWindow="150" yWindow="450" windowWidth="26490" windowHeight="20235" firstSheet="2" activeTab="2"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092SPS" sheetId="86" r:id="rId8"/>
    <sheet name="5101SPS" sheetId="107" r:id="rId9"/>
    <sheet name="5102SPS" sheetId="83" r:id="rId10"/>
    <sheet name="5103SPS" sheetId="93"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8SPS" sheetId="81" r:id="rId19"/>
    <sheet name="6109SPS" sheetId="77" r:id="rId20"/>
    <sheet name="6091SPS" sheetId="82" r:id="rId21"/>
    <sheet name="6093SPS" sheetId="79" r:id="rId22"/>
    <sheet name="6094SPS" sheetId="92" r:id="rId23"/>
    <sheet name="6095SPS" sheetId="88" r:id="rId24"/>
    <sheet name="Module (22)" sheetId="95" r:id="rId25"/>
    <sheet name="Template" sheetId="7" r:id="rId26"/>
    <sheet name="LISTS" sheetId="4" r:id="rId27"/>
  </sheets>
  <externalReferences>
    <externalReference r:id="rId28"/>
    <externalReference r:id="rId29"/>
  </externalReferences>
  <definedNames>
    <definedName name="ApplicationofKnowledge" localSheetId="6">_xlfn.ANCHORARRAY([1]LISTS!$O$37)</definedName>
    <definedName name="ApplicationofKnowledge" localSheetId="11">_xlfn.ANCHORARRAY([2]LISTS!$O$37)</definedName>
    <definedName name="ApplicationofKnowledge">_xlfn.ANCHORARRAY(LISTS!$O$37)</definedName>
    <definedName name="Communication" localSheetId="6">_xlfn.ANCHORARRAY([1]LISTS!$O$62)</definedName>
    <definedName name="Communication" localSheetId="11">_xlfn.ANCHORARRAY([2]LISTS!$O$62)</definedName>
    <definedName name="Communication">_xlfn.ANCHORARRAY(LISTS!$O$62)</definedName>
    <definedName name="DeliveryEnvironment" localSheetId="6">_xlfn.ANCHORARRAY([1]LISTS!$O$89)</definedName>
    <definedName name="DeliveryEnvironment" localSheetId="11">_xlfn.ANCHORARRAY([2]LISTS!$O$89)</definedName>
    <definedName name="DeliveryEnvironment">_xlfn.ANCHORARRAY(LISTS!$O$89)</definedName>
    <definedName name="MgmtSelf" localSheetId="6">_xlfn.ANCHORARRAY([1]LISTS!$O$78)</definedName>
    <definedName name="MgmtSelf" localSheetId="11">_xlfn.ANCHORARRAY([2]LISTS!$O$78)</definedName>
    <definedName name="MgmtSelf">_xlfn.ANCHORARRAY(LISTS!$O$78)</definedName>
    <definedName name="ProblemSolving" localSheetId="6">_xlfn.ANCHORARRAY([1]LISTS!$O$70)</definedName>
    <definedName name="ProblemSolving" localSheetId="11">_xlfn.ANCHORARRAY([2]LISTS!$O$70)</definedName>
    <definedName name="ProblemSolving">_xlfn.ANCHORARRAY(LISTS!$O$70)</definedName>
    <definedName name="ProfRelationships" localSheetId="6">_xlfn.ANCHORARRAY([1]LISTS!$O$96)</definedName>
    <definedName name="ProfRelationships" localSheetId="11">_xlfn.ANCHORARRAY([2]LISTS!$O$96)</definedName>
    <definedName name="ProfRelationships">_xlfn.ANCHORARRAY(LISTS!$O$96)</definedName>
    <definedName name="ScientificKnowledge" localSheetId="6">_xlfn.ANCHORARRAY([1]LISTS!$O$21)</definedName>
    <definedName name="ScientificKnowledge" localSheetId="11">_xlfn.ANCHORARRAY([2]LISTS!$O$21)</definedName>
    <definedName name="ScientificKnowledge">_xlfn.ANCHORARRAY(LISTS!$O$21)</definedName>
    <definedName name="SelfEvaluation" localSheetId="6">_xlfn.ANCHORARRAY([1]LISTS!$O$53)</definedName>
    <definedName name="SelfEvaluation" localSheetId="11">_xlfn.ANCHORARRAY([2]LISTS!$O$53)</definedName>
    <definedName name="SelfEvaluation">_xlfn.ANCHORARRAY(LISTS!$O$53)</definedName>
    <definedName name="SkillNameMap" localSheetId="6">[1]LISTS!$S$20:$T$30</definedName>
    <definedName name="SkillNameMap" localSheetId="11">[2]LISTS!$S$20:$T$30</definedName>
    <definedName name="SkillNameMap">LISTS!$S$20:$T$30</definedName>
    <definedName name="TechnicalSkills" localSheetId="6">_xlfn.ANCHORARRAY([1]LISTS!$O$29)</definedName>
    <definedName name="TechnicalSkills" localSheetId="11">_xlfn.ANCHORARRAY([2]LISTS!$O$29)</definedName>
    <definedName name="TechnicalSkills">_xlfn.ANCHORARRAY(LISTS!$O$29)</definedName>
    <definedName name="UnderstandingResearch" localSheetId="6">_xlfn.ANCHORARRAY([1]LISTS!$O$45)</definedName>
    <definedName name="UnderstandingResearch" localSheetId="11">_xlfn.ANCHORARRAY([2]LISTS!$O$45)</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tc={4A4639F2-A442-4E2B-B6AB-49C3D0DE195A}</author>
  </authors>
  <commentList>
    <comment ref="E38" authorId="0" shapeId="0" xr:uid="{4A4639F2-A442-4E2B-B6AB-49C3D0DE195A}">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<sst xmlns="http://schemas.openxmlformats.org/spreadsheetml/2006/main" count="3467" uniqueCount="813">
  <si>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</si>
  <si>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</si>
  <si>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</si>
  <si>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</si>
  <si>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</si>
  <si>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</si>
  <si>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</si>
  <si>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</si>
  <si>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</si>
  <si>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</si>
  <si>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</si>
  <si>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</si>
  <si>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</si>
  <si>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</si>
  <si>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</si>
  <si>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</si>
  <si>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</si>
  <si>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</si>
  <si>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</si>
  <si>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</si>
  <si>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</si>
  <si>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</si>
  <si>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</si>
  <si>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</si>
  <si>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</si>
  <si>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</si>
  <si>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</si>
  <si>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</si>
  <si>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</si>
  <si>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</si>
  <si>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</si>
  <si>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</si>
  <si>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</si>
  <si>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</si>
  <si>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</si>
  <si>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</si>
  <si>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</si>
  <si>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</si>
  <si>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</si>
  <si>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</si>
  <si>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</si>
  <si>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</si>
  <si>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</si>
  <si>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</si>
  <si>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</si>
  <si>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</si>
  <si>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</si>
  <si>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</si>
  <si>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</si>
  <si>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</si>
  <si>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</si>
  <si>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</si>
  <si>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</si>
  <si>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</si>
  <si>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</si>
  <si>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</si>
  <si>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</si>
  <si>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</si>
  <si>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</si>
  <si>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</si>
  <si>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</si>
  <si>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</si>
  <si>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</si>
  <si>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</si>
  <si>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</si>
  <si>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</si>
  <si>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</si>
  <si>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</si>
  <si>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</si>
  <si>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</si>
  <si>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</si>
  <si>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</si>
  <si>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</si>
  <si>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</si>
  <si>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</si>
  <si>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</si>
  <si>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</si>
  <si>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</si>
  <si>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</si>
  <si>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</si>
  <si>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</si>
  <si>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</si>
  <si>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TBC</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</si>
  <si>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</si>
  <si>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</si>
  <si>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</si>
  <si>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</si>
  <si>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Core module</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</si>
  <si>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</si>
  <si>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All Programmes</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</si>
  <si>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</si>
  <si>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</si>
  <si>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</si>
  <si>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</si>
  <si>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Portfolio</t>
  </si>
  <si>
    <t>Lab Report</t>
  </si>
  <si>
    <t>Lab Report Portfolio: Lab Report 1 Submission + Peer Review Activity + Reflection + Lab Report 2 Submission</t>
  </si>
  <si>
    <t>Exam</t>
  </si>
  <si>
    <t>In Person Exam</t>
  </si>
  <si>
    <t xml:space="preserve">In person Online MCQ Exam </t>
  </si>
  <si>
    <t>Critical thinking</t>
  </si>
  <si>
    <t>Data collection</t>
  </si>
  <si>
    <t>Understanding and use of research</t>
  </si>
  <si>
    <t>Data interpretation</t>
  </si>
  <si>
    <t>Written communication</t>
  </si>
  <si>
    <t>Self-evaluation and professional development</t>
  </si>
  <si>
    <t>Reflective practice</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</si>
  <si>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</si>
  <si>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</si>
  <si>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</si>
  <si>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</si>
  <si>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</si>
  <si>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</si>
  <si>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</si>
  <si>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</si>
  <si>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</si>
  <si>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</si>
  <si>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</si>
  <si>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</si>
  <si>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</si>
  <si>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</si>
  <si>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</si>
  <si>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</si>
  <si>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</si>
  <si>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</si>
  <si>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</si>
  <si>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</si>
  <si>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</si>
  <si>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</si>
  <si>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</si>
  <si>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</si>
  <si>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</si>
  <si>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</si>
  <si>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</si>
  <si>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</si>
  <si>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</si>
  <si>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</si>
  <si>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</si>
  <si>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</si>
  <si>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</si>
  <si>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</si>
  <si>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</si>
  <si>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</si>
  <si>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</si>
  <si>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</si>
  <si>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</si>
  <si>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</si>
  <si>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</si>
  <si>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</si>
  <si>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</si>
  <si>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</si>
  <si>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</si>
  <si>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</si>
  <si>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</si>
  <si>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</si>
  <si>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</si>
  <si>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</si>
  <si>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</si>
  <si>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</si>
  <si>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</si>
  <si>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</si>
  <si>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Contextual application</t>
  </si>
  <si>
    <t>Knowledge synthesis</t>
  </si>
  <si>
    <t>Digital communication</t>
  </si>
  <si>
    <t>Management of self and others</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</si>
  <si>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</si>
  <si>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</si>
  <si>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</si>
  <si>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</si>
  <si>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</si>
  <si>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</si>
  <si>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</si>
  <si>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</si>
  <si>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</si>
  <si>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</si>
  <si>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</si>
  <si>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</si>
  <si>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</si>
  <si>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</si>
  <si>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</si>
  <si>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</si>
  <si>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</si>
  <si>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</si>
  <si>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</si>
  <si>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</si>
  <si>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</si>
  <si>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</si>
  <si>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</si>
  <si>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</si>
  <si>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</si>
  <si>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</si>
  <si>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</si>
  <si>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</si>
  <si>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</si>
  <si>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</si>
  <si>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SPS4101</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</si>
  <si>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</si>
  <si>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</si>
  <si>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</si>
  <si>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</si>
  <si>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</si>
  <si>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</si>
  <si>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</si>
  <si>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</si>
  <si>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</si>
  <si>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</si>
  <si>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Individual Presentation</t>
  </si>
  <si>
    <t>Reflection</t>
  </si>
  <si>
    <r>
      <rPr>
        <sz val="11"/>
        <color rgb="FF000000"/>
        <rFont val="Aptos Narrow"/>
      </rPr>
      <t>Workshop - Transition to university, Canvas, library, academic integrity, Portfolio introduction. AI</t>
    </r>
    <r>
      <rPr>
        <b/>
        <sz val="11"/>
        <color rgb="FF000000"/>
        <rFont val="Aptos Narrow"/>
      </rPr>
      <t>:</t>
    </r>
    <r>
      <rPr>
        <sz val="11"/>
        <color rgb="FF000000"/>
        <rFont val="Aptos Narrow"/>
      </rPr>
      <t xml:space="preserve"> Responsible use of AI at university.</t>
    </r>
  </si>
  <si>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</si>
  <si>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</si>
  <si>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</si>
  <si>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r>
      <rPr>
        <sz val="11"/>
        <color rgb="FF000000"/>
        <rFont val="Aptos Narrow"/>
        <scheme val="minor"/>
      </rPr>
      <t>Excel workshop analysing physiological data. Professional Competency: Problem solving &amp; data analysis. AI</t>
    </r>
    <r>
      <rPr>
        <b/>
        <sz val="11"/>
        <color rgb="FF000000"/>
        <rFont val="Aptos Narrow"/>
        <scheme val="minor"/>
      </rPr>
      <t>:</t>
    </r>
    <r>
      <rPr>
        <sz val="11"/>
        <color rgb="FF000000"/>
        <rFont val="Aptos Narrow"/>
        <scheme val="minor"/>
      </rPr>
      <t xml:space="preserve"> Using AI to support literature searching and checking data interpretation.</t>
    </r>
  </si>
  <si>
    <t>Seminar - Reflection on evidence-informed practice</t>
  </si>
  <si>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</si>
  <si>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</si>
  <si>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</si>
  <si>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</si>
  <si>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</si>
  <si>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</si>
  <si>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</si>
  <si>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</si>
  <si>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</si>
  <si>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</si>
  <si>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</si>
  <si>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</si>
  <si>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</si>
  <si>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</si>
  <si>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In-person test</t>
  </si>
  <si>
    <t>Group narrated (recorded) presentation</t>
  </si>
  <si>
    <t>Literature searching</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</si>
  <si>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</si>
  <si>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</si>
  <si>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</si>
  <si>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</si>
  <si>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</si>
  <si>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</si>
  <si>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</si>
  <si>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</si>
  <si>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</si>
  <si>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</si>
  <si>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</si>
  <si>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</si>
  <si>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</si>
  <si>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</si>
  <si>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</si>
  <si>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</si>
  <si>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</si>
  <si>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</si>
  <si>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</si>
  <si>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</si>
  <si>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</si>
  <si>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</si>
  <si>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Report</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</si>
  <si>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</si>
  <si>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</si>
  <si>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</si>
  <si>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Scientific writing</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</si>
  <si>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</si>
  <si>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</si>
  <si>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</si>
  <si>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</si>
  <si>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</si>
  <si>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</si>
  <si>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</si>
  <si>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</si>
  <si>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</si>
  <si>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</si>
  <si>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</si>
  <si>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</si>
  <si>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</si>
  <si>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</si>
  <si>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</si>
  <si>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</si>
  <si>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</si>
  <si>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</si>
  <si>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</si>
  <si>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</si>
  <si>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</si>
  <si>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</si>
  <si>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</si>
  <si>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</si>
  <si>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</si>
  <si>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</si>
  <si>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</si>
  <si>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</si>
  <si>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</si>
  <si>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</si>
  <si>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</si>
  <si>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</si>
  <si>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</si>
  <si>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</si>
  <si>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</si>
  <si>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</si>
  <si>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</si>
  <si>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</si>
  <si>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</si>
  <si>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</si>
  <si>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</si>
  <si>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</si>
  <si>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</si>
  <si>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</si>
  <si>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</si>
  <si>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</si>
  <si>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scheme val="minor"/>
      </rPr>
      <t xml:space="preserve">PART 1 – </t>
    </r>
    <r>
      <rPr>
        <b/>
        <sz val="11"/>
        <color rgb="FF000000"/>
        <rFont val="Aptos Narrow"/>
        <scheme val="minor"/>
      </rPr>
      <t>Individual practical:</t>
    </r>
    <r>
      <rPr>
        <sz val="11"/>
        <color rgb="FF000000"/>
        <rFont val="Aptos Narrow"/>
        <scheme val="minor"/>
      </rPr>
      <t xml:space="preserve"> Perform a brief assessment of physical activity with a client (research participant) and give accurate feedback and appropriate recommendations. PART 2 - </t>
    </r>
    <r>
      <rPr>
        <b/>
        <sz val="11"/>
        <color rgb="FF000000"/>
        <rFont val="Aptos Narrow"/>
        <scheme val="minor"/>
      </rPr>
      <t>Viva:</t>
    </r>
    <r>
      <rPr>
        <sz val="11"/>
        <color rgb="FF000000"/>
        <rFont val="Aptos Narrow"/>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</si>
  <si>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</si>
  <si>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</si>
  <si>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</si>
  <si>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Interpesronal communication</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</si>
  <si>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</si>
  <si>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</si>
  <si>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</si>
  <si>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</si>
  <si>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</si>
  <si>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</si>
  <si>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</si>
  <si>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</si>
  <si>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</si>
  <si>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</si>
  <si>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</si>
  <si>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</si>
  <si>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</si>
  <si>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</si>
  <si>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</si>
  <si>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</si>
  <si>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6091SPS</t>
  </si>
  <si>
    <t>To critically extend the students understanding and deployment of the research process through the planning, production, analyses and report of a piece of independent research conducted in a responsible, safe and ethical manner</t>
  </si>
  <si>
    <t>Major Project</t>
  </si>
  <si>
    <t>YL</t>
  </si>
  <si>
    <t xml:space="preserve">Project design (e.g., ethical approval, risk assessment, technical training, data analyses) </t>
  </si>
  <si>
    <t>Project monitoring (tutorials with project supervisor to discuss and provide feedback on research process)</t>
  </si>
  <si>
    <t>Research Project</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</si>
  <si>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</si>
  <si>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</si>
  <si>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</si>
  <si>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</si>
  <si>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</si>
  <si>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</si>
  <si>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</si>
  <si>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</si>
  <si>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</si>
  <si>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Dissertation</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</si>
  <si>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</si>
  <si>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</si>
  <si>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Technical proficiency</t>
  </si>
  <si>
    <t>Risk assessment</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</si>
  <si>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</si>
  <si>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</si>
  <si>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</si>
  <si>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</si>
  <si>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</si>
  <si>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Option module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</si>
  <si>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</si>
  <si>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</si>
  <si>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</si>
  <si>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</si>
  <si>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</si>
  <si>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</si>
  <si>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</si>
  <si>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</si>
  <si>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Domian-specfic analytical skills</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</si>
  <si>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</si>
  <si>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</si>
  <si>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</si>
  <si>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</si>
  <si>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</si>
  <si>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</si>
  <si>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</si>
  <si>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</si>
  <si>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</si>
  <si>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</si>
  <si>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</si>
  <si>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</si>
  <si>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</si>
  <si>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</si>
  <si>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</si>
  <si>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</si>
  <si>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</si>
  <si>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</si>
  <si>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</si>
  <si>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</si>
  <si>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</si>
  <si>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</si>
  <si>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</si>
  <si>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</si>
  <si>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</si>
  <si>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</si>
  <si>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</si>
  <si>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</si>
  <si>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</si>
  <si>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</si>
  <si>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</si>
  <si>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</si>
  <si>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Data Analysis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</si>
  <si>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</si>
  <si>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</si>
  <si>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</si>
  <si>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</si>
  <si>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</si>
  <si>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</si>
  <si>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</si>
  <si>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</si>
  <si>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</si>
  <si>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</si>
  <si>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</si>
  <si>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</si>
  <si>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</si>
  <si>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</si>
  <si>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</si>
  <si>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</si>
  <si>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</si>
  <si>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</si>
  <si>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</si>
  <si>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</si>
  <si>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</si>
  <si>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</si>
  <si>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</si>
  <si>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</si>
  <si>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Essay</t>
  </si>
  <si>
    <t>Evidne-based practice</t>
  </si>
  <si>
    <t>Time management</t>
  </si>
  <si>
    <t>Empathy</t>
  </si>
  <si>
    <t>Multi-tasking</t>
  </si>
  <si>
    <t>Resource management</t>
  </si>
  <si>
    <t>Understanding the delivery environment</t>
  </si>
  <si>
    <t>Service delivery</t>
  </si>
  <si>
    <t>Professional awareness</t>
  </si>
  <si>
    <t>Teamwork</t>
  </si>
  <si>
    <t>Ethical practice</t>
  </si>
  <si>
    <t>Professionalism</t>
  </si>
  <si>
    <t>Cultural awareness and competence</t>
  </si>
  <si>
    <t>Respect</t>
  </si>
  <si>
    <t>problem identification</t>
  </si>
  <si>
    <t>Creative thinking</t>
  </si>
  <si>
    <t>Evidence-based decision making</t>
  </si>
  <si>
    <t>Organisational awareness</t>
  </si>
  <si>
    <t>Policy interpretation</t>
  </si>
  <si>
    <t>Stakeholder awareness</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</si>
  <si>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</si>
  <si>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</si>
  <si>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</si>
  <si>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</si>
  <si>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</si>
  <si>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</si>
  <si>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</si>
  <si>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</si>
  <si>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</si>
  <si>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</si>
  <si>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</si>
  <si>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</si>
  <si>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</si>
  <si>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</si>
  <si>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</si>
  <si>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</si>
  <si>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</si>
  <si>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</si>
  <si>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</si>
  <si>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</si>
  <si>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</si>
  <si>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</si>
  <si>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</si>
  <si>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</si>
  <si>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</si>
  <si>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</si>
  <si>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</si>
  <si>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</si>
  <si>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</si>
  <si>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</si>
  <si>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</si>
  <si>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</si>
  <si>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</si>
  <si>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</si>
  <si>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</si>
  <si>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</si>
  <si>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</si>
  <si>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</si>
  <si>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</si>
  <si>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</si>
  <si>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</si>
  <si>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</si>
  <si>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</si>
  <si>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</si>
  <si>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</si>
  <si>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</si>
  <si>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</si>
  <si>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</si>
  <si>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</si>
  <si>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</si>
  <si>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</si>
  <si>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</si>
  <si>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</si>
  <si>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Domain-specific analytical skills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</si>
  <si>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</si>
  <si>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</si>
  <si>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</si>
  <si>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</si>
  <si>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</si>
  <si>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</si>
  <si>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</si>
  <si>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</si>
  <si>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</si>
  <si>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</si>
  <si>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</si>
  <si>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</si>
  <si>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</si>
  <si>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</si>
  <si>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</si>
  <si>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</si>
  <si>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</si>
  <si>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</si>
  <si>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</si>
  <si>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</si>
  <si>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</si>
  <si>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</si>
  <si>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</si>
  <si>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</si>
  <si>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</si>
  <si>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</si>
  <si>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</si>
  <si>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SES and FS</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</si>
  <si>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</si>
  <si>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</si>
  <si>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</si>
  <si>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</si>
  <si>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</si>
  <si>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</si>
  <si>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</si>
  <si>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We'll need more rows… unless we can list several Graduate Skills for one Graduate Skills Category.</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</si>
  <si>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</si>
  <si>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</si>
  <si>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</si>
  <si>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</si>
  <si>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</si>
  <si>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</si>
  <si>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</si>
  <si>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</si>
  <si>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</si>
  <si>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</si>
  <si>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</si>
  <si>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</si>
  <si>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</si>
  <si>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</si>
  <si>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</si>
  <si>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</si>
  <si>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</si>
  <si>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</si>
  <si>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</si>
  <si>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</si>
  <si>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</si>
  <si>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</si>
  <si>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</si>
  <si>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</si>
  <si>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</si>
  <si>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</si>
  <si>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</si>
  <si>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</si>
  <si>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</si>
  <si>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</si>
  <si>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</si>
  <si>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</si>
  <si>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</si>
  <si>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</si>
  <si>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</si>
  <si>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</si>
  <si>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</si>
  <si>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</si>
  <si>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</si>
  <si>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</si>
  <si>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</si>
  <si>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</si>
  <si>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</si>
  <si>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</si>
  <si>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DSW</t>
  </si>
  <si>
    <t>PA for Pregnancy related complications</t>
  </si>
  <si>
    <t>PA for Mental Health</t>
  </si>
  <si>
    <t>PA for Rheumatoid Arthritis</t>
  </si>
  <si>
    <t>Motivatonal Strategies to Enhance Adherence &amp; Compliance</t>
  </si>
  <si>
    <t>Assessment Support Clinic</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</si>
  <si>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</si>
  <si>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</si>
  <si>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</si>
  <si>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</si>
  <si>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</si>
  <si>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</si>
  <si>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</si>
  <si>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</si>
  <si>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</si>
  <si>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</si>
  <si>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</si>
  <si>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</si>
  <si>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30%%</t>
  </si>
  <si>
    <t>Case Study</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</si>
  <si>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</si>
  <si>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</si>
  <si>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</si>
  <si>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</si>
  <si>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</si>
  <si>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</si>
  <si>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</si>
  <si>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</si>
  <si>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</si>
  <si>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</si>
  <si>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</si>
  <si>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</si>
  <si>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</si>
  <si>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</si>
  <si>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</si>
  <si>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</si>
  <si>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</si>
  <si>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</si>
  <si>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</si>
  <si>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</si>
  <si>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</si>
  <si>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</si>
  <si>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</si>
  <si>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</si>
  <si>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</si>
  <si>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</si>
  <si>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</si>
  <si>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</si>
  <si>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</si>
  <si>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</si>
  <si>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</si>
  <si>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</si>
  <si>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</si>
  <si>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</si>
  <si>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</si>
  <si>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</si>
  <si>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</si>
  <si>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</si>
  <si>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</si>
  <si>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</si>
  <si>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</si>
  <si>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</si>
  <si>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</si>
  <si>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</si>
  <si>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</si>
  <si>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</si>
  <si>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Research Strand</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</si>
  <si>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</si>
  <si>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</si>
  <si>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</si>
  <si>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</si>
  <si>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</si>
  <si>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</si>
  <si>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</si>
  <si>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</si>
  <si>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</si>
  <si>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</si>
  <si>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</si>
  <si>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</si>
  <si>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</si>
  <si>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</si>
  <si>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</si>
  <si>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</si>
  <si>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</si>
  <si>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</si>
  <si>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</si>
  <si>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</si>
  <si>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</si>
  <si>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</si>
  <si>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</si>
  <si>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</si>
  <si>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</si>
  <si>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</si>
  <si>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</si>
  <si>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Reserch literacy</t>
  </si>
  <si>
    <t>Research communication</t>
  </si>
  <si>
    <t>Self-awareness</t>
  </si>
  <si>
    <t>Lifelong learning</t>
  </si>
  <si>
    <t>Personal development planning</t>
  </si>
  <si>
    <t>Resilience</t>
  </si>
  <si>
    <t>Initiative</t>
  </si>
  <si>
    <t>Accountability</t>
  </si>
  <si>
    <t>Analytical thinking</t>
  </si>
  <si>
    <t>Innovation</t>
  </si>
  <si>
    <t>Coaching and mentoring</t>
  </si>
  <si>
    <t>Integrity</t>
  </si>
  <si>
    <t>Professional relationships &amp; behaviours</t>
  </si>
  <si>
    <t>Approved job-role skills audit: 5-minute individual presentation followed by 5 minutes of personal tutor questions. Students compare their current evidence against the role requirements and present a realistic, time-bound development plan.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</si>
  <si>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</si>
  <si>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Formative activity – Students generate questions in advance and identify one action arising from the session.</t>
  </si>
  <si>
    <t>DIRECTED STUDY WEEK</t>
  </si>
  <si>
    <t>Directed online activity (1hr) – Submit presentation evidence, review feedback and update the development plan.</t>
  </si>
  <si>
    <t>Directed online activity (1hr) – Complete or progress the specified professional certification and upload evidence to the portfolio.</t>
  </si>
  <si>
    <t>Directed online activity (1hr) – Final portfolio submission and updated personal and professional development plan.</t>
  </si>
  <si>
    <t>Workshop / Personal Tutor Assessment (1hr) – Assessment 2: certificate completion check followed by a 10-minute individual viva.</t>
  </si>
  <si>
    <t>Workshop (1hr) – AI-output audit: verify, challenge and improve a sport and exercise science response using evidence and professional judgement.</t>
  </si>
  <si>
    <t>Lecture (2hr) – AI, Digital Literacy and Evidence-Informed Practice: appropriate use, limitations, bias, data protection, verification and professional accountability.</t>
  </si>
  <si>
    <t>Lecture / Guest Session (2hr) – Professional Journey and Reflective Practice: career decisions, setbacks, feedback, values, resilience and continuing development, led by a senior practitioner or alumnus.</t>
  </si>
  <si>
    <t>Personal Tutor Meeting (1hr) - Introduction, transition and professional identity: expectations, support, initial career interests, strengths and development priorities.</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</si>
  <si>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</si>
  <si>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Lecture (2hr): Evidence-Informed Practice – Using science to make decisions. Professional Competency: Research capability</t>
  </si>
  <si>
    <t>Formative activity  – Students generate questions in advance and identify one action arising from the session.</t>
  </si>
  <si>
    <t>Lecture (2hr) – Review, Progression and Preparing for Semester 2 and  Level 5: using feedback, maintaining engagement, accessing support and carrying the development plan forward.</t>
  </si>
  <si>
    <t>Lecture (2hr) - Becoming a Sport Scientist 
Professional identity, graduate competencies, introduction to the profession and programme. Professional Competency: Professional identity &amp; management of self</t>
  </si>
  <si>
    <t>Seminar (1hr) - Personal tutor meeting, goal setting and PDP. Employability: Career pathways. Sustainability: What is sustainable professional practice?</t>
  </si>
  <si>
    <t>Workshop / Personal Tutor Assessment (1hr) – Assessment 1: 5-minute individual presentation and 5 minutes of questions within the personal tutor.</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</si>
  <si>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</si>
  <si>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</si>
  <si>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</si>
  <si>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Lecture / Guest Session (2hr) – Professional Journey and Reflective Practice: career decisions, setbacks, feedback, values, resilience and continuing development, split between lecturer and a senior practitioner or alumnus</t>
  </si>
  <si>
    <t>Lecture. Physical Activity &amp; Health Spotlight – Population health and public health. Professional Competency: Application of knowledge</t>
  </si>
  <si>
    <t>Lecture (2hr) - Sport &amp; Exercise Psychology Spotlight – Behaviour change and performance. Professional Competency: Communication/Listening</t>
  </si>
  <si>
    <t>Workshop: Community case studies and physical activity assessment. Professional Competency: Delivery environment.</t>
  </si>
  <si>
    <t>Academic writing seminar. Employability: Careers in public health. Sustainability: Active travel, green exercise and social prescribing.</t>
  </si>
  <si>
    <t>6094SPS</t>
  </si>
  <si>
    <t>Behaviour Change</t>
  </si>
  <si>
    <t>Lawrence Foweather</t>
  </si>
  <si>
    <t>Design a theory-based behaviour change intervention</t>
  </si>
  <si>
    <t>Conduct a behaviour change consultation</t>
  </si>
  <si>
    <t>Critically evaluate and reflect upon personal and professional skills to support behaviour change</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</si>
  <si>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</si>
  <si>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</si>
  <si>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</si>
  <si>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</si>
  <si>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</si>
  <si>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Module Introduction | Behaviour Change Wheel 1: Target Behaviours</t>
  </si>
  <si>
    <t>Behaviour Change Wheel 2: What needs to change? (COM-B)</t>
  </si>
  <si>
    <t>Behaviour Change in Applied Contexts</t>
  </si>
  <si>
    <t>Communication skills to support behaviour change</t>
  </si>
  <si>
    <t xml:space="preserve">Goal setting, action planning, and self-monitoring </t>
  </si>
  <si>
    <t>GROW coaching model and 1:1 skills practice</t>
  </si>
  <si>
    <t>Reflective Practice and 1:1 skills practice</t>
  </si>
  <si>
    <t>Assessment Support and Preparation</t>
  </si>
  <si>
    <t>Directed Study Week | Tutorials</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</si>
  <si>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</si>
  <si>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</si>
  <si>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</si>
  <si>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</si>
  <si>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Behaviour Change Wheel 3: Intervention Options &amp; Behaviour Change Techniques</t>
  </si>
  <si>
    <t>Other contact hours are timetabled tutorials (4 hours) taking place in week 7</t>
  </si>
  <si>
    <t>5103SPS</t>
  </si>
  <si>
    <t xml:space="preserve">Biomechanics </t>
  </si>
  <si>
    <t xml:space="preserve">Thomas O'Brien </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</si>
  <si>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</si>
  <si>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</si>
  <si>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</si>
  <si>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</si>
  <si>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</si>
  <si>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</si>
  <si>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</si>
  <si>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</si>
  <si>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</si>
  <si>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Jumping 1: Performance + Screening and RtP </t>
  </si>
  <si>
    <t xml:space="preserve">Jumping 2 </t>
  </si>
  <si>
    <t xml:space="preserve">3D motion analysis </t>
  </si>
  <si>
    <t xml:space="preserve">Lab: moments data collection </t>
  </si>
  <si>
    <t>Computer prctical</t>
  </si>
  <si>
    <t>Lab: Jumping</t>
  </si>
  <si>
    <t>Seminar: Jumping analysis</t>
  </si>
  <si>
    <t>Kicking</t>
  </si>
  <si>
    <t xml:space="preserve">3D labs </t>
  </si>
  <si>
    <t xml:space="preserve">Running 1 (technique) </t>
  </si>
  <si>
    <t>Running 2 (Appliations)</t>
  </si>
  <si>
    <t xml:space="preserve">Neuro-muscular basis of movement: EMG </t>
  </si>
  <si>
    <t>Neuro-muscular basis of movement: Strength</t>
  </si>
  <si>
    <t>Lab: running GRF</t>
  </si>
  <si>
    <t xml:space="preserve">Seminar: running analysis </t>
  </si>
  <si>
    <t>Lab: EMG</t>
  </si>
  <si>
    <t xml:space="preserve">Seminar: EMG analysis </t>
  </si>
  <si>
    <t>Exam prep</t>
  </si>
  <si>
    <t>6101SPS</t>
  </si>
  <si>
    <t>The aim of this module is for students to gain the knowledge and skills necessary to evaluate sports biomechanics in performance and injury contexts</t>
  </si>
  <si>
    <t>Sport and Injury Biomechanics</t>
  </si>
  <si>
    <t>This module covers sports performance and injury contexts alongside technical training with key biomechanical</t>
  </si>
  <si>
    <t>Mark Robinson</t>
  </si>
  <si>
    <t>tools. Topics include: Sports performance evaluation; Footwear; 3D Motion Analysis; Segmental Modelling in</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</si>
  <si>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</si>
  <si>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</si>
  <si>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</si>
  <si>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</si>
  <si>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Running Evaluation</t>
  </si>
  <si>
    <t>Injury Screening Evaluation</t>
  </si>
  <si>
    <t>Drop-in Support (Workshop)</t>
  </si>
  <si>
    <t>Participant Recruitment</t>
  </si>
  <si>
    <t xml:space="preserve">Methodological Considerations </t>
  </si>
  <si>
    <t>Study Design/Rationale Recap &amp; Systematic Review</t>
  </si>
  <si>
    <t>Research Ethics / Proposal</t>
  </si>
  <si>
    <t>Module Choices / Dissertation Feedforward</t>
  </si>
  <si>
    <t>Quantitative Research - Correlation (Seminar)</t>
  </si>
  <si>
    <t xml:space="preserve">Quantitative Research - Correlation </t>
  </si>
  <si>
    <t>Quantitative Research - ANOVA (Seminar)</t>
  </si>
  <si>
    <t>Quantitative Research - ANOVA</t>
  </si>
  <si>
    <t>Questionnaires / Surveys (Seminar)</t>
  </si>
  <si>
    <t>Questionnaires / Surveys</t>
  </si>
  <si>
    <t>Qualitative Anlaysis - Thematic Analysis / NVivo (Seminar)</t>
  </si>
  <si>
    <t>Qualitative Anlaysis - Thematic Analysis / NVivo</t>
  </si>
  <si>
    <t>Qualitative Research - Focus Groups (Seminar)</t>
  </si>
  <si>
    <t>Qualitative Research - Focus Groups (&amp; Other Methods)</t>
  </si>
  <si>
    <t>Qualitative Research - Recap (Seminar)</t>
  </si>
  <si>
    <t>Qualitative Research - Recap</t>
  </si>
  <si>
    <t>Research Proposal outlining a feasible study to undertake at L6</t>
  </si>
  <si>
    <t>Group presentation demonstrating analysis of mixed-methods data</t>
  </si>
  <si>
    <t>Manage their own learning, and to make use of scholarly reviews and primary sources (for example, refereed research articles and/or original materials appropriate to the discipline).</t>
  </si>
  <si>
    <t>Describe and comment upon aspects of current research, or equivalent advanced scholarship, in the discipline</t>
  </si>
  <si>
    <t>Deploy accurately established techniques of analysis and enquiry within a discipline</t>
  </si>
  <si>
    <t>Module consistes of lectures, seminars and support sessions.</t>
  </si>
  <si>
    <t>Theme 3: The Research Process: research designs incl. systematic review; ethical and methodological considerations; participant recruitment.</t>
  </si>
  <si>
    <t>Theme 2: Quantitative research: design, methods and analysis, interpretation of results and reporting approaches, data interpretation, analysis, and presentation.</t>
  </si>
  <si>
    <t>Jonathan Foulkes</t>
  </si>
  <si>
    <t>Theme 1: Qualitative research: design, methods and analysis, interpretation of results and reporting approaches. data interpretation, analysis, and presentation.</t>
  </si>
  <si>
    <t>Research Methods 2</t>
  </si>
  <si>
    <t>This module will enhance students' understanding of the research process and related methodological approaches, whilst also developing their knowledge, skills and ability to undertake a research project involving data collection, analysis and interpretation.</t>
  </si>
  <si>
    <t>5091SPS</t>
  </si>
  <si>
    <t>4091SPS</t>
  </si>
  <si>
    <t>Research Methods 1</t>
  </si>
  <si>
    <t>5101SPS</t>
  </si>
  <si>
    <t>Professional Practice in Sport and Exercise Science 2</t>
  </si>
  <si>
    <t>6107SPS</t>
  </si>
  <si>
    <t>Environmental Physiology</t>
  </si>
  <si>
    <t>6103SPS</t>
  </si>
  <si>
    <t>Exercise Metabolism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</si>
</sst>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charset val="1"/>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charset val="1"/>
    </font>
    <font>
      <sz val="11"/>
      <color rgb="FF000000"/>
      <name val="Aptos Narrow"/>
      <scheme val="minor"/>
    </font>
    <font>
      <b/>
      <sz val="11"/>
      <color rgb="FF000000"/>
      <name val="Aptos Narrow"/>
      <scheme val="minor"/>
    </font>
    <font>
      <sz val="11"/>
      <color rgb="FF000000"/>
      <name val="Aptos Narrow"/>
      <family val="2"/>
      <scheme val="minor"/>
    </font>
    <font>
      <sz val="11"/>
      <color rgb="FF000000"/>
      <name val="Aptos Narrow"/>
    </font>
    <font>
      <b/>
      <sz val="11"/>
      <color rgb="FF000000"/>
      <name val="Aptos Narrow"/>
    </font>
    <font>
      <sz val="12"/>
      <color rgb="FF000000"/>
      <name val="Aptos"/>
      <family val="2"/>
      <charset val="1"/>
    </font>
    <font>
      <b/>
      <sz val="11"/>
      <color rgb="FF242424"/>
      <name val="Yu Gothic"/>
      <charset val="1"/>
    </font>
    <font>
      <sz val="11"/>
      <color rgb="FF000000"/>
      <name val="Calibri"/>
      <family val="2"/>
      <charset val="1"/>
    </font>
    <font>
      <sz val="11"/>
      <color rgb="FF000000"/>
      <name val="Aptos Narrow"/>
      <charset val="1"/>
    </font>
    <font>
      <sz val="11"/>
      <color rgb="FF232C38"/>
      <name val="Aptos Narrow"/>
      <scheme val="minor"/>
    </font>
    <font>
      <b/>
      <sz val="11"/>
      <color rgb="FF232C38"/>
      <name val="Aptos Narrow"/>
      <scheme val="minor"/>
    </font>
    <font>
      <b/>
      <sz val="11"/>
      <color rgb="FF000000"/>
      <name val="Aptos Narrow"/>
      <family val="2"/>
    </font>
    <font>
      <sz val="11"/>
      <color rgb="FF000000"/>
      <name val="Aptos Narrow"/>
      <family val="2"/>
    </font>
    <font>
      <sz val="9"/>
      <color indexed="81"/>
      <name val="Tahoma"/>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lignment wrapText="1"/>
    </xf>
    <xf numFmtId="0" fontId="20" fillId="0" borderId="0" xfId="0" applyFont="1" applyAlignment="1">
      <alignment wrapText="1"/>
    </xf>
    <xf numFmtId="0" fontId="0" fillId="0" borderId="0" xfId="0" applyAlignment="1">
      <alignment wrapText="1"/>
    </xf>
    <xf numFmtId="0" fontId="19" fillId="0" borderId="0" xfId="0" applyFont="1" applyAlignment="1" applyProtection="1">
      <alignment wrapText="1"/>
      <protection locked="0"/>
    </xf>
    <xf numFmtId="0" fontId="20" fillId="0" borderId="0" xfId="0" applyFont="1" applyAlignment="1" applyProtection="1">
      <alignment wrapText="1"/>
      <protection locked="0"/>
    </xf>
    <xf numFmtId="0" fontId="22"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3" fillId="0" borderId="0" xfId="0" applyFont="1" applyProtection="1">
      <protection locked="0"/>
    </xf>
    <xf numFmtId="0" fontId="24"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25" fillId="0" borderId="0" xfId="0" applyFont="1" applyProtection="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6" fillId="0" borderId="0" xfId="0" applyFont="1" applyAlignment="1" applyProtection="1">
      <alignment wrapText="1"/>
      <protection locked="0"/>
    </xf>
    <xf numFmtId="0" fontId="26"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6" fillId="0" borderId="0" xfId="0" applyFont="1" applyAlignment="1" applyProtection="1">
      <alignment vertical="center"/>
      <protection locked="0"/>
    </xf>
    <xf numFmtId="0" fontId="27" fillId="0" borderId="0" xfId="0" applyFont="1" applyProtection="1">
      <protection locked="0"/>
    </xf>
    <xf numFmtId="0" fontId="20" fillId="0" borderId="0" xfId="0" applyFont="1" applyProtection="1">
      <protection locked="0"/>
    </xf>
    <xf numFmtId="0" fontId="28" fillId="0" borderId="0" xfId="0" applyFont="1" applyAlignment="1" applyProtection="1">
      <alignment wrapText="1"/>
      <protection locked="0"/>
    </xf>
    <xf numFmtId="0" fontId="25" fillId="0" borderId="0" xfId="0" applyFont="1" applyAlignment="1">
      <alignment wrapText="1"/>
    </xf>
  </cellXfs>
  <cellStyles count="1">
    <cellStyle name="Normal" xfId="0" builtinId="0"/>
  </cellStyles>
  <dxfs count="853">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hysical%20Education/Module%20Documents/Physical%20Education%20-%20AllModuleProformas.xlsx" TargetMode="External"/><Relationship Id="rId2" Type="http://schemas.openxmlformats.org/officeDocument/2006/relationships/externalLinkPath" Target="https://ljmu.sharepoint.com/teams/SPSRe-validation2026Team/Shared%20Documents/Physical%20Education/Module%20Documents/Physical%20Education%20-%20AllModuleProformas.xlsx" TargetMode="External"/><Relationship Id="rId1" Type="http://schemas.openxmlformats.org/officeDocument/2006/relationships/externalLinkPath" Target="/teams/SPSRe-validation2026Team/Shared%20Documents/Physical%20Education/Module%20Documents/Physical%20Education%20-%20AllModuleProform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arob\Desktop\TEST3%20-%20Sport%20and%20Exercise%20Science%20-%20AllModuleProformas.xlsx" TargetMode="External"/><Relationship Id="rId1" Type="http://schemas.openxmlformats.org/officeDocument/2006/relationships/externalLinkPath" Target="file:///C:\Users\marob\Desktop\TEST3%20-%20Sport%20and%20Exercise%20Science%20-%20AllModuleProform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4201SPS"/>
      <sheetName val="4202SPS"/>
      <sheetName val="5201SPS"/>
      <sheetName val="5202SPS"/>
      <sheetName val="5203SPS"/>
      <sheetName val="5204SPS"/>
      <sheetName val="6202SPS"/>
      <sheetName val="6203SPS"/>
      <sheetName val="6096SPS"/>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ule"/>
      <sheetName val="4101SPS"/>
      <sheetName val="4092SPS"/>
      <sheetName val="4094SPS"/>
      <sheetName val="4102SPS"/>
      <sheetName val="5102SPS"/>
      <sheetName val="5103SPS"/>
      <sheetName val="5092SPS"/>
      <sheetName val="6091SPS"/>
      <sheetName val="6093SPS"/>
      <sheetName val="6094SPS"/>
      <sheetName val="6101SPS"/>
      <sheetName val="6102SPS"/>
      <sheetName val="6104SPS"/>
      <sheetName val="6105SPS"/>
      <sheetName val="6106SPS"/>
      <sheetName val="6108SPS"/>
      <sheetName val="6109SPS"/>
      <sheetName val="6095SPS"/>
      <sheetName val="6096SPS"/>
      <sheetName val="Module (22)"/>
      <sheetName val="Module (23)"/>
      <sheetName val="Module (24)"/>
      <sheetName val="Module (25)"/>
      <sheetName val="Module (26)"/>
      <sheetName val="Module (27)"/>
      <sheetName val="Module (28)"/>
      <sheetName val="Module (29)"/>
      <sheetName val="Module (30)"/>
      <sheetName val="Template"/>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persons/person.xml><?xml version="1.0" encoding="utf-8"?>
<personList xmlns="http://schemas.microsoft.com/office/spreadsheetml/2018/threadedcomments" xmlns:x="http://schemas.openxmlformats.org/spreadsheetml/2006/main">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819"/>
    <tableColumn id="2" xr3:uid="{DD1FE0F1-BC22-47E6-B097-D50D8388821E}" name="Details" dataDxfId="818"/>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817">
  <autoFilter ref="C28:D33" xr:uid="{22316987-6BEB-4FAF-9619-BF9BE9909CFA}">
    <filterColumn colId="0" hiddenButton="1"/>
    <filterColumn colId="1" hiddenButton="1"/>
  </autoFilter>
  <tableColumns count="2">
    <tableColumn id="1" xr3:uid="{6CB2DC80-959E-4050-BA4D-48CD62403E05}" name="LO Number" dataDxfId="816"/>
    <tableColumn id="2" xr3:uid="{85688B06-9831-461B-B933-1E407D860BB8}" name="LO Description" dataDxfId="8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8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13"/>
    <tableColumn id="2" xr3:uid="{F4594AC5-B575-460A-8B6B-2EF3FCBAB24A}" name="Assessment Type" dataDxfId="812"/>
    <tableColumn id="7" xr3:uid="{AAABE4DC-4613-4F22-97E3-44DC05E3C8C2}" name="Assessment Specific" dataDxfId="811"/>
    <tableColumn id="3" xr3:uid="{C3DF3668-A1BF-4CA9-A035-72DE23145404}" name="Assessment Description" dataDxfId="810"/>
    <tableColumn id="4" xr3:uid="{3D9A7936-2757-4200-8A20-0CA5D42BA49F}" name="Weighting" dataDxfId="809"/>
    <tableColumn id="5" xr3:uid="{8EF3572C-5F74-4584-B936-B47EF6784AC5}" name="Due Week" dataDxfId="808"/>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07"/>
    <tableColumn id="2" xr3:uid="{FBC07EB1-2635-4DBE-A175-763442B26942}" name="Week Number" dataDxfId="806"/>
    <tableColumn id="3" xr3:uid="{D5767446-3CE7-477F-86AC-430EDC126EA2}" name="Weekly Content 1" dataDxfId="805"/>
    <tableColumn id="4" xr3:uid="{9EAF880D-82C8-4C10-BC2E-5F1E7B2ED0C1}" name="Weekly Content 2" dataDxfId="804"/>
    <tableColumn id="5" xr3:uid="{322143D7-C33E-4E77-9B9F-4AFE42EC2AA6}" name="Weekly Content 3" dataDxfId="803"/>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802"/>
    <tableColumn id="2" xr3:uid="{BD9901A8-2A59-4CEC-ADF1-EDBA06D8EC9A}" name="Contact Hours" dataDxfId="80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56" totalsRowShown="0" headerRowDxfId="800" dataDxfId="799">
  <autoFilter ref="C45:F5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798"/>
    <tableColumn id="2" xr3:uid="{7A675E84-DDDC-4998-99E6-205908A58F57}" name="LO Number" dataDxfId="797"/>
    <tableColumn id="3" xr3:uid="{66CA6E22-8945-41E1-BB50-73156CC69517}" name="Graduate Skills Category" dataDxfId="796"/>
    <tableColumn id="4" xr3:uid="{325393C6-2FBF-4ABB-8CB2-DF104C6AB43E}" name="Graduate Skill" dataDxfId="795"/>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794">
  <autoFilter ref="F6:F8" xr:uid="{9552138F-2332-4BC4-A585-0E13162881A5}"/>
  <tableColumns count="1">
    <tableColumn id="1" xr3:uid="{67F975D0-E9AC-4452-A379-A1359EC2808C}" name="Aims" dataDxfId="793"/>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792">
  <autoFilter ref="F10:F13" xr:uid="{94F18F67-3F10-4F6E-A953-4FE3399B07F2}"/>
  <tableColumns count="1">
    <tableColumn id="1" xr3:uid="{BFF28868-E7E3-4275-B13E-588F6503F19C}" name="Outline Syllabus" dataDxfId="791"/>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790">
  <autoFilter ref="F15:F20" xr:uid="{1B2BCD7B-6C15-4B1C-86BC-48FF83D8F225}"/>
  <tableColumns count="1">
    <tableColumn id="1" xr3:uid="{AD6B21BA-8875-45A9-8932-F4F0FB08A980}" name="Module Overview" dataDxfId="789"/>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788">
  <autoFilter ref="F22:F33" xr:uid="{D5968C0A-6D7E-4221-87EE-78A85A4039B3}"/>
  <tableColumns count="1">
    <tableColumn id="1" xr3:uid="{91D0B8DA-30D1-4338-88D9-5A2355C1DF22}" name="Additional Information/Notes" dataDxfId="787"/>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autoFilter ref="C6:D14" xr:uid="{CD75D2A7-14B1-4ABD-B64D-6E875F9BC652}">
    <filterColumn colId="0" hiddenButton="1"/>
    <filterColumn colId="1" hiddenButton="1"/>
  </autoFilter>
  <tableColumns count="2">
    <tableColumn id="1" xr3:uid="{DC5E8FB2-F1EF-4C76-ADAD-8DF1D4236058}" name="Module Data" dataDxfId="720"/>
    <tableColumn id="2" xr3:uid="{3CEC4644-C90E-484A-BB04-BC7E2522484B}" name="Details" dataDxfId="71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718">
  <autoFilter ref="C28:D33" xr:uid="{22316987-6BEB-4FAF-9619-BF9BE9909CFA}">
    <filterColumn colId="0" hiddenButton="1"/>
    <filterColumn colId="1" hiddenButton="1"/>
  </autoFilter>
  <tableColumns count="2">
    <tableColumn id="1" xr3:uid="{96E1C0A4-F310-4104-877A-16C95A9DF8F8}" name="LO Number" dataDxfId="717"/>
    <tableColumn id="2" xr3:uid="{5193B932-1BB4-4665-BB60-1094CB27D2FB}" name="LO Description" dataDxfId="71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71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714"/>
    <tableColumn id="2" xr3:uid="{F6CC8F23-24C9-49E1-A7E1-F0C42C5E4062}" name="Assessment Type" dataDxfId="713"/>
    <tableColumn id="7" xr3:uid="{23445359-B102-481A-9626-644EC1147971}" name="Assessment Specific" dataDxfId="712"/>
    <tableColumn id="3" xr3:uid="{09F68760-DB1D-47DA-9C3B-991E85819122}" name="Assessment Description" dataDxfId="711"/>
    <tableColumn id="4" xr3:uid="{9C4EFAF0-0549-4906-AB40-C8046612A4D0}" name="Weighting" dataDxfId="710"/>
    <tableColumn id="5" xr3:uid="{6867F2EF-8B96-4C7F-A3F0-4AD115D6B611}" name="Due Week" dataDxfId="709"/>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08"/>
    <tableColumn id="2" xr3:uid="{3DC0D0B8-ED93-4FAA-ACD1-6A257B8D7D8B}" name="Week Number" dataDxfId="707"/>
    <tableColumn id="3" xr3:uid="{396A1CD9-0EA8-4576-AC19-41A37C40C78C}" name="Weekly Content 1" dataDxfId="706"/>
    <tableColumn id="4" xr3:uid="{27E6FFD2-4BB2-4380-B643-929F8059E10C}" name="Weekly Content 2" dataDxfId="705"/>
    <tableColumn id="5" xr3:uid="{5D410880-EC3B-476E-B727-61773B3F1720}" name="Weekly Content 3" dataDxfId="70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autoFilter ref="C18:D24" xr:uid="{B71A3569-AA65-4A4E-98A2-885F5C38B46D}">
    <filterColumn colId="0" hiddenButton="1"/>
    <filterColumn colId="1" hiddenButton="1"/>
  </autoFilter>
  <tableColumns count="2">
    <tableColumn id="1" xr3:uid="{50ADF208-83C1-48D5-9F5C-65E697F266B7}" name="Component" dataDxfId="703"/>
    <tableColumn id="2" xr3:uid="{1EADC3A3-1557-4323-A40A-C84AEA0F188A}" name="Contact Hours" dataDxfId="70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56" totalsRowShown="0" headerRowDxfId="701" dataDxfId="700">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99"/>
    <tableColumn id="2" xr3:uid="{162D175A-F572-46B3-8399-9FF334864C28}" name="LO Number" dataDxfId="698"/>
    <tableColumn id="3" xr3:uid="{4B8F87D6-8076-4256-870F-FFB0D542729A}" name="Graduate Skills Category" dataDxfId="697"/>
    <tableColumn id="4" xr3:uid="{3DB5254F-E5B1-45EA-B3FC-772579673F08}" name="Graduate Skill" dataDxfId="69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dataDxfId="695">
  <autoFilter ref="F6:F8" xr:uid="{9552138F-2332-4BC4-A585-0E13162881A5}"/>
  <tableColumns count="1">
    <tableColumn id="1" xr3:uid="{D5911F00-3A12-4884-94FA-2461F2E6A773}" name="Aims" dataDxfId="69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dataDxfId="693">
  <autoFilter ref="F10:F13" xr:uid="{94F18F67-3F10-4F6E-A953-4FE3399B07F2}"/>
  <tableColumns count="1">
    <tableColumn id="1" xr3:uid="{1984609B-7A7C-44AA-A114-5466EF451351}" name="Outline Syllabus" dataDxfId="69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dataDxfId="691">
  <autoFilter ref="F15:F20" xr:uid="{1B2BCD7B-6C15-4B1C-86BC-48FF83D8F225}"/>
  <tableColumns count="1">
    <tableColumn id="1" xr3:uid="{19A46962-3EFC-4EE2-ACCE-5363E30EDC4F}" name="Module Overview" dataDxfId="69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dataDxfId="689">
  <autoFilter ref="F22:F33" xr:uid="{D5968C0A-6D7E-4221-87EE-78A85A4039B3}"/>
  <tableColumns count="1">
    <tableColumn id="1" xr3:uid="{EEDA3204-13C4-4B95-A550-B650C09B689D}" name="Additional Information/Notes" dataDxfId="68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autoFilter ref="C6:D14" xr:uid="{CD75D2A7-14B1-4ABD-B64D-6E875F9BC652}">
    <filterColumn colId="0" hiddenButton="1"/>
    <filterColumn colId="1" hiddenButton="1"/>
  </autoFilter>
  <tableColumns count="2">
    <tableColumn id="1" xr3:uid="{70210DD7-8693-47F9-9121-A95800E8A890}" name="Module Data" dataDxfId="687"/>
    <tableColumn id="2" xr3:uid="{30CA9DF0-4D82-4AAC-B5A4-5E23096210E4}" name="Details" dataDxfId="686"/>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685">
  <autoFilter ref="C28:D33" xr:uid="{22316987-6BEB-4FAF-9619-BF9BE9909CFA}">
    <filterColumn colId="0" hiddenButton="1"/>
    <filterColumn colId="1" hiddenButton="1"/>
  </autoFilter>
  <tableColumns count="2">
    <tableColumn id="1" xr3:uid="{1ECDF0C7-AF26-464B-BCE9-2B009E72BD6C}" name="LO Number" dataDxfId="684"/>
    <tableColumn id="2" xr3:uid="{5D84BD32-1C18-49FB-8945-25164268A306}" name="LO Description" dataDxfId="6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68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681"/>
    <tableColumn id="2" xr3:uid="{EBA9F26A-003A-4A21-92B3-3846A60685B4}" name="Assessment Type" dataDxfId="680"/>
    <tableColumn id="7" xr3:uid="{1FA35D8A-ADF2-474B-870B-830A4424621D}" name="Assessment Specific" dataDxfId="679"/>
    <tableColumn id="3" xr3:uid="{778C1D37-8633-48FE-8CDE-43AF7CFB80F6}" name="Assessment Description" dataDxfId="678"/>
    <tableColumn id="4" xr3:uid="{88DDF55E-0393-47ED-8B52-A643AB84C782}" name="Weighting" dataDxfId="677"/>
    <tableColumn id="5" xr3:uid="{6A573A22-F1F9-4642-BB99-12D366C6574B}" name="Due Week" dataDxfId="676"/>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675"/>
    <tableColumn id="2" xr3:uid="{C17B4C7C-BC0A-4B70-9112-0207C120A6F5}" name="Week Number" dataDxfId="674"/>
    <tableColumn id="3" xr3:uid="{10BC0F5B-D1A3-4EC0-B433-70F0D238CC5A}" name="Weekly Content 1" dataDxfId="673"/>
    <tableColumn id="4" xr3:uid="{1CD2C705-EB74-4B5E-A0A5-A3E89451D6CA}" name="Weekly Content 2" dataDxfId="672"/>
    <tableColumn id="5" xr3:uid="{5D8725BC-5C35-40EE-8D33-26FB3EA6913F}" name="Weekly Content 3" dataDxfId="67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autoFilter ref="C18:D24" xr:uid="{B71A3569-AA65-4A4E-98A2-885F5C38B46D}">
    <filterColumn colId="0" hiddenButton="1"/>
    <filterColumn colId="1" hiddenButton="1"/>
  </autoFilter>
  <tableColumns count="2">
    <tableColumn id="1" xr3:uid="{D165B1FC-543F-4341-B2A0-C0EB1A44C20C}" name="Component" dataDxfId="670"/>
    <tableColumn id="2" xr3:uid="{2C358000-6828-4206-BBB3-6BA3D7B77570}" name="Contact Hours" dataDxfId="66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56" totalsRowShown="0" headerRowDxfId="668" dataDxfId="667">
  <autoFilter ref="C45:F5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666"/>
    <tableColumn id="2" xr3:uid="{227EDB49-2E3A-4877-9C36-33C3F03CF48C}" name="LO Number" dataDxfId="665"/>
    <tableColumn id="3" xr3:uid="{715C2316-1A4A-491D-A809-299250606610}" name="Graduate Skills Category" dataDxfId="664"/>
    <tableColumn id="4" xr3:uid="{788AAA21-04C3-4566-B4BB-1857DF5CA6B2}" name="Graduate Skill" dataDxfId="66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dataDxfId="662">
  <autoFilter ref="F6:F8" xr:uid="{9552138F-2332-4BC4-A585-0E13162881A5}"/>
  <tableColumns count="1">
    <tableColumn id="1" xr3:uid="{D78B9EBB-342F-434D-8A09-59BFF176D758}" name="Aims" dataDxfId="661"/>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dataDxfId="660">
  <autoFilter ref="F10:F13" xr:uid="{94F18F67-3F10-4F6E-A953-4FE3399B07F2}"/>
  <tableColumns count="1">
    <tableColumn id="1" xr3:uid="{7007DC8B-FE79-4463-BAE3-44C537876FE8}" name="Outline Syllabus" dataDxfId="659"/>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dataDxfId="658">
  <autoFilter ref="F15:F20" xr:uid="{1B2BCD7B-6C15-4B1C-86BC-48FF83D8F225}"/>
  <tableColumns count="1">
    <tableColumn id="1" xr3:uid="{FCC1C58C-CF4D-476E-9721-41272F3EA00A}" name="Module Overview" dataDxfId="65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dataDxfId="656">
  <autoFilter ref="F22:F33" xr:uid="{D5968C0A-6D7E-4221-87EE-78A85A4039B3}"/>
  <tableColumns count="1">
    <tableColumn id="1" xr3:uid="{9ABE691D-D9E9-4EB5-9717-89C3D9579FFC}" name="Additional Information/Notes" dataDxfId="655"/>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autoFilter ref="C6:D14" xr:uid="{CD75D2A7-14B1-4ABD-B64D-6E875F9BC652}">
    <filterColumn colId="0" hiddenButton="1"/>
    <filterColumn colId="1" hiddenButton="1"/>
  </autoFilter>
  <tableColumns count="2">
    <tableColumn id="1" xr3:uid="{5CAE6DCC-0B4E-4410-BC17-0966ECA43772}" name="Module Data" dataDxfId="131"/>
    <tableColumn id="2" xr3:uid="{970E26A5-A7F4-4321-B82B-D13FE1144137}" name="Details" dataDxfId="130"/>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129">
  <autoFilter ref="C28:D33" xr:uid="{22316987-6BEB-4FAF-9619-BF9BE9909CFA}">
    <filterColumn colId="0" hiddenButton="1"/>
    <filterColumn colId="1" hiddenButton="1"/>
  </autoFilter>
  <tableColumns count="2">
    <tableColumn id="1" xr3:uid="{0A11F82C-9CC6-4514-8C9C-A57873EAD2B2}" name="LO Number" dataDxfId="128"/>
    <tableColumn id="2" xr3:uid="{F31332DF-C392-41DF-953C-3A3C50595C13}" name="LO Description" dataDxfId="12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1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125"/>
    <tableColumn id="2" xr3:uid="{6EDF5DE8-6C8F-4C2D-A6DF-AC6BEF22BC64}" name="Assessment Type" dataDxfId="124"/>
    <tableColumn id="7" xr3:uid="{AA3B32F1-6075-4714-A6BA-9731314D07D0}" name="Assessment Specific" dataDxfId="123"/>
    <tableColumn id="3" xr3:uid="{8E3A26D1-F578-415A-B678-167984B814DB}" name="Assessment Description" dataDxfId="122"/>
    <tableColumn id="4" xr3:uid="{9E6C966A-5630-4D4C-9627-7591122D0259}" name="Weighting" dataDxfId="121"/>
    <tableColumn id="5" xr3:uid="{C9B05E13-38F4-4E03-B0D3-D0EE3F95EB2B}" name="Due Week" dataDxfId="120"/>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119"/>
    <tableColumn id="2" xr3:uid="{FD7D723C-B230-47EC-A26D-C7473B04B404}" name="Week Number" dataDxfId="118"/>
    <tableColumn id="3" xr3:uid="{D9C76432-1B48-453C-894F-F7D3D2065F07}" name="Weekly Content 1" dataDxfId="117"/>
    <tableColumn id="4" xr3:uid="{D09AF3FF-5DB0-4227-A133-D20512EFAC6D}" name="Weekly Content 2" dataDxfId="116"/>
    <tableColumn id="5" xr3:uid="{FA0AC2DC-5772-4DA1-A019-C97829960860}" name="Weekly Content 3" dataDxfId="115"/>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autoFilter ref="C18:D24" xr:uid="{B71A3569-AA65-4A4E-98A2-885F5C38B46D}">
    <filterColumn colId="0" hiddenButton="1"/>
    <filterColumn colId="1" hiddenButton="1"/>
  </autoFilter>
  <tableColumns count="2">
    <tableColumn id="1" xr3:uid="{6802FBB4-907A-473D-8B88-8D88B0EEC271}" name="Component" dataDxfId="114"/>
    <tableColumn id="2" xr3:uid="{3E9DF78E-6E77-4BE5-A314-09B570297DA8}" name="Contact Hours" dataDxfId="113"/>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56" totalsRowShown="0" headerRowDxfId="112" dataDxfId="111">
  <autoFilter ref="C45:F56"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110"/>
    <tableColumn id="2" xr3:uid="{D23DD564-B79B-4904-9554-72695B80AD45}" name="LO Number" dataDxfId="109"/>
    <tableColumn id="3" xr3:uid="{88C32D0A-874A-468F-A832-EEE52A351A07}" name="Graduate Skills Category" dataDxfId="108"/>
    <tableColumn id="4" xr3:uid="{1E14291E-5A6F-43C1-A360-D9FFACA1968A}" name="Graduate Skill" dataDxfId="107"/>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dataDxfId="106">
  <autoFilter ref="F6:F8" xr:uid="{9552138F-2332-4BC4-A585-0E13162881A5}"/>
  <tableColumns count="1">
    <tableColumn id="1" xr3:uid="{9FEDC839-8D77-4978-9FAB-CCC1EFD3F9DD}" name="Aims" dataDxfId="105"/>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dataDxfId="104">
  <autoFilter ref="F10:F13" xr:uid="{94F18F67-3F10-4F6E-A953-4FE3399B07F2}"/>
  <tableColumns count="1">
    <tableColumn id="1" xr3:uid="{3FF080E0-4BCF-4535-9268-5A1BB69C31D2}" name="Outline Syllabus" dataDxfId="103"/>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dataDxfId="102">
  <autoFilter ref="F15:F20" xr:uid="{1B2BCD7B-6C15-4B1C-86BC-48FF83D8F225}"/>
  <tableColumns count="1">
    <tableColumn id="1" xr3:uid="{1EA79F76-A3E4-477D-AF9C-12FAD11B790E}" name="Module Overview" dataDxfId="101"/>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dataDxfId="100">
  <autoFilter ref="F22:F33" xr:uid="{D5968C0A-6D7E-4221-87EE-78A85A4039B3}"/>
  <tableColumns count="1">
    <tableColumn id="1" xr3:uid="{31D7E7BF-E4C9-4356-AB1C-2456C826DF1D}" name="Additional Information/Notes" dataDxfId="99"/>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autoFilter ref="C6:D14" xr:uid="{CD75D2A7-14B1-4ABD-B64D-6E875F9BC652}">
    <filterColumn colId="0" hiddenButton="1"/>
    <filterColumn colId="1" hiddenButton="1"/>
  </autoFilter>
  <tableColumns count="2">
    <tableColumn id="1" xr3:uid="{C794C41A-B3D4-4E3F-B5FB-FA944F9B274E}" name="Module Data" dataDxfId="786"/>
    <tableColumn id="2" xr3:uid="{E49520ED-A919-4952-A8A6-55CE0CAA2CD7}" name="Details" dataDxfId="78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784">
  <autoFilter ref="C28:D33" xr:uid="{22316987-6BEB-4FAF-9619-BF9BE9909CFA}">
    <filterColumn colId="0" hiddenButton="1"/>
    <filterColumn colId="1" hiddenButton="1"/>
  </autoFilter>
  <tableColumns count="2">
    <tableColumn id="1" xr3:uid="{80C0D1F0-F1A8-4430-808B-47BCEEF20CE4}" name="LO Number" dataDxfId="783"/>
    <tableColumn id="2" xr3:uid="{18D491B4-A69E-4F4C-B75D-F831CDDE9B61}" name="LO Description" dataDxfId="78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78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780"/>
    <tableColumn id="2" xr3:uid="{303588A5-09EF-4283-9F8D-0F1977EB4446}" name="Assessment Type" dataDxfId="779"/>
    <tableColumn id="7" xr3:uid="{38DE938A-79BC-4F55-9B11-8E225C93CFBC}" name="Assessment Specific" dataDxfId="778"/>
    <tableColumn id="3" xr3:uid="{09C8715D-B38A-42DD-AD3B-162E48F08BB1}" name="Assessment Description" dataDxfId="777"/>
    <tableColumn id="4" xr3:uid="{5F982B10-F8BC-4F37-9652-E995FCBDCC5C}" name="Weighting" dataDxfId="776"/>
    <tableColumn id="5" xr3:uid="{23DBA92E-BC2A-45A7-9C8F-206778783AC7}" name="Due Week" dataDxfId="77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774"/>
    <tableColumn id="2" xr3:uid="{DB652FCB-2B91-445C-9704-199CE040B8F2}" name="Week Number" dataDxfId="773"/>
    <tableColumn id="3" xr3:uid="{D97A9609-D887-4F4A-AD6D-4D81CFB13BF4}" name="Weekly Content 1" dataDxfId="772"/>
    <tableColumn id="4" xr3:uid="{BA12CC17-6A24-48D2-96FA-AE4A6A326331}" name="Weekly Content 2" dataDxfId="771"/>
    <tableColumn id="5" xr3:uid="{E745714E-A74C-41FD-998E-D63BB2086608}" name="Weekly Content 3" dataDxfId="77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autoFilter ref="C18:D24" xr:uid="{B71A3569-AA65-4A4E-98A2-885F5C38B46D}">
    <filterColumn colId="0" hiddenButton="1"/>
    <filterColumn colId="1" hiddenButton="1"/>
  </autoFilter>
  <tableColumns count="2">
    <tableColumn id="1" xr3:uid="{F5B85481-760E-46D7-B7FD-F25114B32834}" name="Component" dataDxfId="769"/>
    <tableColumn id="2" xr3:uid="{F11A4515-4BF8-45E6-A01E-E4B979E5F657}" name="Contact Hours" dataDxfId="76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56" totalsRowShown="0" headerRowDxfId="767" dataDxfId="766">
  <autoFilter ref="C45:F5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765"/>
    <tableColumn id="2" xr3:uid="{83283E9D-E72D-4033-AEEC-CD3908E140C0}" name="LO Number" dataDxfId="764"/>
    <tableColumn id="3" xr3:uid="{41E9FCD1-0B07-4E05-AC6A-E51D0FEBF769}" name="Graduate Skills Category" dataDxfId="763"/>
    <tableColumn id="4" xr3:uid="{5E9350FF-E07F-4FD3-87B6-CD11C2FE35F0}" name="Graduate Skill" dataDxfId="762"/>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dataDxfId="761">
  <autoFilter ref="F6:F8" xr:uid="{9552138F-2332-4BC4-A585-0E13162881A5}"/>
  <tableColumns count="1">
    <tableColumn id="1" xr3:uid="{9E01E8B7-2D84-4DC8-9BC2-41B080983931}" name="Aims" dataDxfId="760"/>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dataDxfId="759">
  <autoFilter ref="F10:F13" xr:uid="{94F18F67-3F10-4F6E-A953-4FE3399B07F2}"/>
  <tableColumns count="1">
    <tableColumn id="1" xr3:uid="{A9B5A855-86AA-4588-89FD-51A2545B2BB8}" name="Outline Syllabus" dataDxfId="758"/>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dataDxfId="757">
  <autoFilter ref="F15:F20" xr:uid="{1B2BCD7B-6C15-4B1C-86BC-48FF83D8F225}"/>
  <tableColumns count="1">
    <tableColumn id="1" xr3:uid="{ECDA9BFC-6E84-43FA-82B4-C3099170F9C1}" name="Module Overview" dataDxfId="756"/>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dataDxfId="755">
  <autoFilter ref="F22:F33" xr:uid="{D5968C0A-6D7E-4221-87EE-78A85A4039B3}"/>
  <tableColumns count="1">
    <tableColumn id="1" xr3:uid="{4864C879-18E7-4489-BD28-43030BE0548E}" name="Additional Information/Notes" dataDxfId="754"/>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autoFilter ref="C6:D14" xr:uid="{CD75D2A7-14B1-4ABD-B64D-6E875F9BC652}">
    <filterColumn colId="0" hiddenButton="1"/>
    <filterColumn colId="1" hiddenButton="1"/>
  </autoFilter>
  <tableColumns count="2">
    <tableColumn id="1" xr3:uid="{644E4444-F68A-4E74-BD5D-8748CD05A7D2}" name="Module Data" dataDxfId="753"/>
    <tableColumn id="2" xr3:uid="{AF6CCCE6-633B-4669-B570-EB4F893B50C4}" name="Details" dataDxfId="752"/>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751">
  <autoFilter ref="C28:D33" xr:uid="{22316987-6BEB-4FAF-9619-BF9BE9909CFA}">
    <filterColumn colId="0" hiddenButton="1"/>
    <filterColumn colId="1" hiddenButton="1"/>
  </autoFilter>
  <tableColumns count="2">
    <tableColumn id="1" xr3:uid="{589112ED-5C99-4CD7-912A-F216AEC245F3}" name="LO Number" dataDxfId="750"/>
    <tableColumn id="2" xr3:uid="{D42319CA-BEAF-49C8-8EC7-B45F24386E7A}" name="LO Description" dataDxfId="749"/>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7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747"/>
    <tableColumn id="2" xr3:uid="{0C168E40-BC62-40F7-8494-D9D585BBF5DD}" name="Assessment Type" dataDxfId="746"/>
    <tableColumn id="7" xr3:uid="{03042C7C-BE5A-4EDB-B18A-F162688CAFDA}" name="Assessment Specific" dataDxfId="745"/>
    <tableColumn id="3" xr3:uid="{B536E57C-91CB-491F-8850-5E1F4FFB6EC2}" name="Assessment Description" dataDxfId="744"/>
    <tableColumn id="4" xr3:uid="{CFEF4DCA-7026-4AB8-9930-965F672B21EC}" name="Weighting" dataDxfId="743"/>
    <tableColumn id="5" xr3:uid="{268A91DF-58B1-43BF-A340-0E1D33705BAA}" name="Due Week" dataDxfId="74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741"/>
    <tableColumn id="2" xr3:uid="{916AD303-2708-4E40-8E0C-DE9D347BA8EA}" name="Week Number" dataDxfId="740"/>
    <tableColumn id="3" xr3:uid="{66580F8A-FF82-4503-9EBF-1B44DD45F9F5}" name="Weekly Content 1" dataDxfId="739"/>
    <tableColumn id="4" xr3:uid="{5E6D35EA-634F-45B1-8A96-068CB99E3BA7}" name="Weekly Content 2" dataDxfId="738"/>
    <tableColumn id="5" xr3:uid="{25F8B45E-A68A-40F6-AADD-D3228D0F228B}" name="Weekly Content 3" dataDxfId="737"/>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autoFilter ref="C18:D24" xr:uid="{B71A3569-AA65-4A4E-98A2-885F5C38B46D}">
    <filterColumn colId="0" hiddenButton="1"/>
    <filterColumn colId="1" hiddenButton="1"/>
  </autoFilter>
  <tableColumns count="2">
    <tableColumn id="1" xr3:uid="{E6DA5AB3-0374-477C-BB37-91CD5B04A8A7}" name="Component" dataDxfId="736"/>
    <tableColumn id="2" xr3:uid="{25171EA2-F360-4480-9A69-30F0637E5E19}" name="Contact Hours" dataDxfId="73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65" totalsRowShown="0" headerRowDxfId="734" dataDxfId="733">
  <autoFilter ref="C45:F6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732"/>
    <tableColumn id="2" xr3:uid="{220CCF7F-D01D-41B9-83FA-AB3772B56C47}" name="LO Number" dataDxfId="731"/>
    <tableColumn id="3" xr3:uid="{35876AFA-8C5D-4EB6-A40B-8013521A5A47}" name="Graduate Skills Category" dataDxfId="730"/>
    <tableColumn id="4" xr3:uid="{8CC8B0ED-B11D-43C6-AB11-C69764FE383C}" name="Graduate Skill" dataDxfId="729"/>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dataDxfId="728">
  <autoFilter ref="F6:F8" xr:uid="{9552138F-2332-4BC4-A585-0E13162881A5}"/>
  <tableColumns count="1">
    <tableColumn id="1" xr3:uid="{17C9A3A3-D0C1-421C-8D52-32617D054C2E}" name="Aims" dataDxfId="727"/>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dataDxfId="726">
  <autoFilter ref="F10:F13" xr:uid="{94F18F67-3F10-4F6E-A953-4FE3399B07F2}"/>
  <tableColumns count="1">
    <tableColumn id="1" xr3:uid="{D7FF23A0-D568-4D96-9868-A6319DCE887A}" name="Outline Syllabus" dataDxfId="725"/>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dataDxfId="724">
  <autoFilter ref="F15:F20" xr:uid="{1B2BCD7B-6C15-4B1C-86BC-48FF83D8F225}"/>
  <tableColumns count="1">
    <tableColumn id="1" xr3:uid="{E558D902-00D8-4FEB-8431-38F38D3FD8C5}" name="Module Overview" dataDxfId="723"/>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dataDxfId="722">
  <autoFilter ref="F22:F33" xr:uid="{D5968C0A-6D7E-4221-87EE-78A85A4039B3}"/>
  <tableColumns count="1">
    <tableColumn id="1" xr3:uid="{C6EF2F48-EFDC-40BF-8A10-F2C80BC78705}" name="Additional Information/Notes" dataDxfId="721"/>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autoFilter ref="C6:D14" xr:uid="{CD75D2A7-14B1-4ABD-B64D-6E875F9BC652}">
    <filterColumn colId="0" hiddenButton="1"/>
    <filterColumn colId="1" hiddenButton="1"/>
  </autoFilter>
  <tableColumns count="2">
    <tableColumn id="1" xr3:uid="{EB65BA05-1DE9-4FD7-BDBD-BDE47DF298A4}" name="Module Data" dataDxfId="852"/>
    <tableColumn id="2" xr3:uid="{310F2A93-D88D-4CC8-AC0C-C016B97380F6}" name="Details" dataDxfId="851"/>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850">
  <autoFilter ref="C28:D33" xr:uid="{22316987-6BEB-4FAF-9619-BF9BE9909CFA}">
    <filterColumn colId="0" hiddenButton="1"/>
    <filterColumn colId="1" hiddenButton="1"/>
  </autoFilter>
  <tableColumns count="2">
    <tableColumn id="1" xr3:uid="{2DA2E0DF-8487-4F48-AD57-6C8EF1F6A824}" name="LO Number" dataDxfId="849"/>
    <tableColumn id="2" xr3:uid="{5F671E3D-DB5F-4A86-A8E8-215D497F640F}" name="LO Description" dataDxfId="848"/>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84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846"/>
    <tableColumn id="2" xr3:uid="{99037CEE-E227-4DE7-AC0C-42C69784F090}" name="Assessment Type" dataDxfId="845"/>
    <tableColumn id="7" xr3:uid="{EE90A0B1-86AF-42EC-AB37-5E98D709E3E4}" name="Assessment Specific" dataDxfId="844"/>
    <tableColumn id="3" xr3:uid="{8B0C1721-2FDC-4C1A-AECE-975C6F1434A1}" name="Assessment Description" dataDxfId="843"/>
    <tableColumn id="4" xr3:uid="{876D72EC-520F-497B-8AC7-6AF0A5409783}" name="Weighting" dataDxfId="842"/>
    <tableColumn id="5" xr3:uid="{31A1A910-0DF5-428E-806F-6E026C606C3B}" name="Due Week" dataDxfId="841"/>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840"/>
    <tableColumn id="2" xr3:uid="{8C49AFEC-B460-42E3-B373-FC0AB260F379}" name="Week Number" dataDxfId="839"/>
    <tableColumn id="3" xr3:uid="{A81B53B3-7EE2-4FDF-9110-0A8C17CA27E0}" name="Weekly Content 1" dataDxfId="838"/>
    <tableColumn id="4" xr3:uid="{362C63E5-C442-416C-9DB4-4F34D3EDDEF3}" name="Weekly Content 2" dataDxfId="837"/>
    <tableColumn id="5" xr3:uid="{E3C14089-4743-4CA8-9480-E777866BAF64}" name="Weekly Content 3" dataDxfId="836"/>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autoFilter ref="C18:D24" xr:uid="{B71A3569-AA65-4A4E-98A2-885F5C38B46D}">
    <filterColumn colId="0" hiddenButton="1"/>
    <filterColumn colId="1" hiddenButton="1"/>
  </autoFilter>
  <tableColumns count="2">
    <tableColumn id="1" xr3:uid="{7C918E81-2521-4CC2-B784-37E43EEC3CDD}" name="Component" dataDxfId="835"/>
    <tableColumn id="2" xr3:uid="{0D2A69D7-E2F7-4C5C-8E4D-714C66054E76}" name="Contact Hours" dataDxfId="834"/>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56" totalsRowShown="0" headerRowDxfId="833" dataDxfId="832">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831"/>
    <tableColumn id="2" xr3:uid="{8D3D6147-F8A2-4D54-BC97-772B8CE44EA3}" name="LO Number" dataDxfId="830"/>
    <tableColumn id="3" xr3:uid="{C41D8ED0-797F-45E8-B847-5F5796F9B51E}" name="Graduate Skills Category" dataDxfId="829"/>
    <tableColumn id="4" xr3:uid="{28997C86-0364-497D-A258-1C7BA682BCAA}" name="Graduate Skill" dataDxfId="828"/>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dataDxfId="827">
  <autoFilter ref="F6:F8" xr:uid="{9552138F-2332-4BC4-A585-0E13162881A5}"/>
  <tableColumns count="1">
    <tableColumn id="1" xr3:uid="{3E728AAA-21E1-43D6-98EC-781D610D5B5C}" name="Aims" dataDxfId="826"/>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dataDxfId="825">
  <autoFilter ref="F10:F13" xr:uid="{94F18F67-3F10-4F6E-A953-4FE3399B07F2}"/>
  <tableColumns count="1">
    <tableColumn id="1" xr3:uid="{CAFF733E-EEBF-4C10-ACD1-A6DDCD33C63A}" name="Outline Syllabus" dataDxfId="824"/>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dataDxfId="823">
  <autoFilter ref="F15:F20" xr:uid="{1B2BCD7B-6C15-4B1C-86BC-48FF83D8F225}"/>
  <tableColumns count="1">
    <tableColumn id="1" xr3:uid="{3D131B43-1A6C-42C4-B635-F81D00AEF103}" name="Module Overview" dataDxfId="822"/>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dataDxfId="821">
  <autoFilter ref="F22:F33" xr:uid="{D5968C0A-6D7E-4221-87EE-78A85A4039B3}"/>
  <tableColumns count="1">
    <tableColumn id="1" xr3:uid="{DBD01D3B-64A5-4A59-96FF-8858AB682507}" name="Additional Information/Notes" dataDxfId="820"/>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autoFilter ref="C6:D14" xr:uid="{CD75D2A7-14B1-4ABD-B64D-6E875F9BC652}">
    <filterColumn colId="0" hiddenButton="1"/>
    <filterColumn colId="1" hiddenButton="1"/>
  </autoFilter>
  <tableColumns count="2">
    <tableColumn id="1" xr3:uid="{F75C39EB-FA62-46B2-BBD7-C15273288588}" name="Module Data" dataDxfId="654"/>
    <tableColumn id="2" xr3:uid="{AFAD978E-7AB7-41A9-B9E1-ABF4834D59E6}" name="Details" dataDxfId="653"/>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52">
  <autoFilter ref="C28:D33" xr:uid="{22316987-6BEB-4FAF-9619-BF9BE9909CFA}">
    <filterColumn colId="0" hiddenButton="1"/>
    <filterColumn colId="1" hiddenButton="1"/>
  </autoFilter>
  <tableColumns count="2">
    <tableColumn id="1" xr3:uid="{03889838-3692-4CDB-B3C9-843AC2EB8510}" name="LO Number" dataDxfId="651"/>
    <tableColumn id="2" xr3:uid="{EBF4F997-F685-4171-8E33-10C81A9AA6BD}" name="LO Description" dataDxfId="650"/>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48"/>
    <tableColumn id="2" xr3:uid="{154AA898-EB51-423F-971E-2D54E7AE168D}" name="Assessment Type" dataDxfId="647"/>
    <tableColumn id="7" xr3:uid="{9983984E-B1DF-4F0D-9268-C2C69B7257DE}" name="Assessment Specific" dataDxfId="646"/>
    <tableColumn id="3" xr3:uid="{7393D08E-D15D-482F-94F5-3955E2087F8B}" name="Assessment Description" dataDxfId="645"/>
    <tableColumn id="4" xr3:uid="{A7B8D88B-748B-437A-9A1C-F9ED211ABF56}" name="Weighting" dataDxfId="644"/>
    <tableColumn id="5" xr3:uid="{79ED1616-9922-40C9-8AED-68B6819817F9}" name="Due Week" dataDxfId="643"/>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42"/>
    <tableColumn id="2" xr3:uid="{FFEC1971-8BF4-44B8-BD5C-805779F987C9}" name="Week Number" dataDxfId="641"/>
    <tableColumn id="3" xr3:uid="{A9F5297B-ACA7-4D9D-842B-9A24FD16BA05}" name="Weekly Content 1" dataDxfId="640"/>
    <tableColumn id="4" xr3:uid="{B96BEEEA-7F39-4C28-9F20-2E7BAC5D76C4}" name="Weekly Content 2" dataDxfId="639"/>
    <tableColumn id="5" xr3:uid="{6D853DE2-8A0D-4998-B49D-5DECC81696CA}" name="Weekly Content 3" dataDxfId="638"/>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autoFilter ref="C18:D24" xr:uid="{B71A3569-AA65-4A4E-98A2-885F5C38B46D}">
    <filterColumn colId="0" hiddenButton="1"/>
    <filterColumn colId="1" hiddenButton="1"/>
  </autoFilter>
  <tableColumns count="2">
    <tableColumn id="1" xr3:uid="{E1F6A0CE-A0D1-484E-806D-5F1EE294F6C5}" name="Component" dataDxfId="637"/>
    <tableColumn id="2" xr3:uid="{C29C0E16-5D02-4470-B9A3-F33C24B509D3}" name="Contact Hours" dataDxfId="636"/>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56" totalsRowShown="0" headerRowDxfId="635" dataDxfId="634">
  <autoFilter ref="C45:F5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33"/>
    <tableColumn id="2" xr3:uid="{9CB0238A-1328-4A0D-AAE2-50C376C7235C}" name="LO Number" dataDxfId="632"/>
    <tableColumn id="3" xr3:uid="{96B6D864-B246-4570-9A1C-3387C1ABD880}" name="Graduate Skills Category" dataDxfId="631"/>
    <tableColumn id="4" xr3:uid="{D00C4D9A-F418-40FC-AB6A-A84F0B2A9E4C}" name="Graduate Skill" dataDxfId="630"/>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dataDxfId="629">
  <autoFilter ref="F6:F8" xr:uid="{9552138F-2332-4BC4-A585-0E13162881A5}"/>
  <tableColumns count="1">
    <tableColumn id="1" xr3:uid="{31A9816E-6125-4BB1-B024-023BC57E4CF3}" name="Aims" dataDxfId="628"/>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dataDxfId="627">
  <autoFilter ref="F10:F13" xr:uid="{94F18F67-3F10-4F6E-A953-4FE3399B07F2}"/>
  <tableColumns count="1">
    <tableColumn id="1" xr3:uid="{6A2A3EA9-0D72-4A0E-A2B5-FF641EDBA034}" name="Outline Syllabus" dataDxfId="626"/>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dataDxfId="625">
  <autoFilter ref="F15:F20" xr:uid="{1B2BCD7B-6C15-4B1C-86BC-48FF83D8F225}"/>
  <tableColumns count="1">
    <tableColumn id="1" xr3:uid="{3ECD395E-FA33-4C57-93BB-6A0232B1FB84}" name="Module Overview" dataDxfId="62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dataDxfId="623">
  <autoFilter ref="F22:F33" xr:uid="{D5968C0A-6D7E-4221-87EE-78A85A4039B3}"/>
  <tableColumns count="1">
    <tableColumn id="1" xr3:uid="{7082D249-848A-49C3-8DF4-B67EE67DF58C}" name="Additional Information/Notes" dataDxfId="622"/>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autoFilter ref="C6:D14" xr:uid="{CD75D2A7-14B1-4ABD-B64D-6E875F9BC652}">
    <filterColumn colId="0" hiddenButton="1"/>
    <filterColumn colId="1" hiddenButton="1"/>
  </autoFilter>
  <tableColumns count="2">
    <tableColumn id="1" xr3:uid="{A93989B6-C5A6-451F-AE89-104E146E0EF0}" name="Module Data" dataDxfId="98"/>
    <tableColumn id="2" xr3:uid="{4717CF38-7FE1-4468-A6C2-052FB6958B0C}" name="Details" dataDxfId="97"/>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96">
  <autoFilter ref="C28:D33" xr:uid="{22316987-6BEB-4FAF-9619-BF9BE9909CFA}">
    <filterColumn colId="0" hiddenButton="1"/>
    <filterColumn colId="1" hiddenButton="1"/>
  </autoFilter>
  <tableColumns count="2">
    <tableColumn id="1" xr3:uid="{6330B93C-1643-4FCC-A51A-A60DFF28F508}" name="LO Number" dataDxfId="95"/>
    <tableColumn id="2" xr3:uid="{B8FEEBD8-E561-4EC1-821D-0E8D81AFB843}" name="LO Description" dataDxfId="94"/>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92"/>
    <tableColumn id="2" xr3:uid="{37DDB860-944C-49CE-BBAB-4C9965368CC2}" name="Assessment Type" dataDxfId="91"/>
    <tableColumn id="7" xr3:uid="{ED861CB4-2B63-4253-B5BE-DE88E4F73F2E}" name="Assessment Specific" dataDxfId="90"/>
    <tableColumn id="3" xr3:uid="{1DCB063F-9FB2-4041-BF76-A84A3B5663BB}" name="Assessment Description" dataDxfId="89"/>
    <tableColumn id="4" xr3:uid="{26C6EB23-C381-45B7-BCF2-AAF849B39CB2}" name="Weighting" dataDxfId="88"/>
    <tableColumn id="5" xr3:uid="{9E9E73E0-F346-4712-A521-E6CBD773E6DC}" name="Due Week" dataDxfId="87"/>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61:F85" totalsRowShown="0">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86"/>
    <tableColumn id="2" xr3:uid="{9F2CA314-7251-40AD-875D-FDBE444AE8CC}" name="Week Number" dataDxfId="85"/>
    <tableColumn id="3" xr3:uid="{46103C64-EFA8-45A5-86D1-05E1F58CDC16}" name="Weekly Content 1" dataDxfId="84"/>
    <tableColumn id="4" xr3:uid="{CD53E2F5-AA95-424B-BF40-C872C1A02C0E}" name="Weekly Content 2" dataDxfId="83"/>
    <tableColumn id="5" xr3:uid="{975461FA-2E01-4A1F-9002-F6756C0E6D27}" name="Weekly Content 3" dataDxfId="82"/>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autoFilter ref="C18:D24" xr:uid="{B71A3569-AA65-4A4E-98A2-885F5C38B46D}">
    <filterColumn colId="0" hiddenButton="1"/>
    <filterColumn colId="1" hiddenButton="1"/>
  </autoFilter>
  <tableColumns count="2">
    <tableColumn id="1" xr3:uid="{84D4DC95-B091-4EC4-BD9F-E1414E1ED663}" name="Component" dataDxfId="81"/>
    <tableColumn id="2" xr3:uid="{FDF142ED-DB38-4C6B-974B-85FCB5F78A66}" name="Contact Hours" dataDxfId="80"/>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57" totalsRowShown="0" headerRowDxfId="79" dataDxfId="78">
  <autoFilter ref="C45:F5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77"/>
    <tableColumn id="2" xr3:uid="{52365B2B-58FF-4272-83A0-0634C708D5DA}" name="LO Number" dataDxfId="76"/>
    <tableColumn id="3" xr3:uid="{365F3B95-BB30-4DC3-B449-C011CC935255}" name="Graduate Skills Category" dataDxfId="75"/>
    <tableColumn id="4" xr3:uid="{256AA9F3-5FDE-43AA-AF06-C9277EFAE7AA}" name="Graduate Skill" dataDxfId="74"/>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dataDxfId="73">
  <autoFilter ref="F6:F8" xr:uid="{9552138F-2332-4BC4-A585-0E13162881A5}"/>
  <tableColumns count="1">
    <tableColumn id="1" xr3:uid="{20ACFDED-B70B-4A37-8748-E2398DA2866E}" name="Aims" dataDxfId="72"/>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dataDxfId="71">
  <autoFilter ref="F10:F13" xr:uid="{94F18F67-3F10-4F6E-A953-4FE3399B07F2}"/>
  <tableColumns count="1">
    <tableColumn id="1" xr3:uid="{28548C89-3381-4F89-8618-132773B9AFDF}" name="Outline Syllabus" dataDxfId="70"/>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dataDxfId="69">
  <autoFilter ref="F15:F20" xr:uid="{1B2BCD7B-6C15-4B1C-86BC-48FF83D8F225}"/>
  <tableColumns count="1">
    <tableColumn id="1" xr3:uid="{E8562468-335C-46B5-B44B-DD03585A4A33}" name="Module Overview" dataDxfId="68"/>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dataDxfId="67">
  <autoFilter ref="F22:F33" xr:uid="{D5968C0A-6D7E-4221-87EE-78A85A4039B3}"/>
  <tableColumns count="1">
    <tableColumn id="1" xr3:uid="{33EAFAF4-27B4-468B-AC97-74ABA5DAA992}" name="Additional Information/Notes" dataDxfId="66"/>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autoFilter ref="C6:D14" xr:uid="{CD75D2A7-14B1-4ABD-B64D-6E875F9BC652}">
    <filterColumn colId="0" hiddenButton="1"/>
    <filterColumn colId="1" hiddenButton="1"/>
  </autoFilter>
  <tableColumns count="2">
    <tableColumn id="1" xr3:uid="{29D4E0BE-5C0F-4EF3-BF95-85E95BCEF890}" name="Module Data" dataDxfId="621"/>
    <tableColumn id="2" xr3:uid="{8CF62EB8-FFB4-436A-9EE3-575FDB15387F}" name="Details" dataDxfId="620"/>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619">
  <autoFilter ref="C28:D33" xr:uid="{22316987-6BEB-4FAF-9619-BF9BE9909CFA}">
    <filterColumn colId="0" hiddenButton="1"/>
    <filterColumn colId="1" hiddenButton="1"/>
  </autoFilter>
  <tableColumns count="2">
    <tableColumn id="1" xr3:uid="{ABACB5F8-1C23-4668-B7BA-EF2517F6F237}" name="LO Number" dataDxfId="618"/>
    <tableColumn id="2" xr3:uid="{16EFEC94-FB26-48E6-A1CD-F272E329A036}" name="LO Description" dataDxfId="617"/>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61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615"/>
    <tableColumn id="2" xr3:uid="{2BC12B11-B6CF-4E7C-B492-9E71A2A4DCFC}" name="Assessment Type" dataDxfId="614"/>
    <tableColumn id="7" xr3:uid="{F22466C0-E91B-4130-82AB-931BDD5DAFD5}" name="Assessment Specific" dataDxfId="613"/>
    <tableColumn id="3" xr3:uid="{A2D2688F-0CD2-442B-B2C4-399FA320B460}" name="Assessment Description" dataDxfId="612"/>
    <tableColumn id="4" xr3:uid="{9C3172F4-207C-490E-A1A4-3782CCE0F62E}" name="Weighting" dataDxfId="611"/>
    <tableColumn id="5" xr3:uid="{5D552087-F8C1-4DC6-AB58-461CAA57A675}" name="Due Week" dataDxfId="610"/>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61:F85" totalsRowShown="0">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609"/>
    <tableColumn id="2" xr3:uid="{C3767A97-7DDC-4C9C-BAA0-36AD5C496EEE}" name="Week Number" dataDxfId="608"/>
    <tableColumn id="3" xr3:uid="{ECEBB099-0848-4BF9-A0F1-A91B05144BDE}" name="Weekly Content 1" dataDxfId="607"/>
    <tableColumn id="4" xr3:uid="{C2073020-3A29-4533-9629-7F40A8DD2B8B}" name="Weekly Content 2" dataDxfId="606"/>
    <tableColumn id="5" xr3:uid="{6345D17D-CE7F-4BE7-9354-5B3222EE1FDE}" name="Weekly Content 3" dataDxfId="605"/>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autoFilter ref="C18:D24" xr:uid="{B71A3569-AA65-4A4E-98A2-885F5C38B46D}">
    <filterColumn colId="0" hiddenButton="1"/>
    <filterColumn colId="1" hiddenButton="1"/>
  </autoFilter>
  <tableColumns count="2">
    <tableColumn id="1" xr3:uid="{B46B0870-C95C-4D4E-B01A-05CA40485288}" name="Component" dataDxfId="604"/>
    <tableColumn id="2" xr3:uid="{A34E191B-0F4D-40A9-98C4-DFC5C0ED5B03}" name="Contact Hours" dataDxfId="603"/>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57" totalsRowShown="0" headerRowDxfId="602" dataDxfId="601">
  <autoFilter ref="C45:F5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600"/>
    <tableColumn id="2" xr3:uid="{D948967E-B1D8-422E-BC05-E5DE64BFE116}" name="LO Number" dataDxfId="599"/>
    <tableColumn id="3" xr3:uid="{41BBFD1D-FBB9-4518-8884-EB40901F4694}" name="Graduate Skills Category" dataDxfId="598"/>
    <tableColumn id="4" xr3:uid="{913662D7-6EF1-491B-A990-50699C27238F}" name="Graduate Skill" dataDxfId="597"/>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dataDxfId="596">
  <autoFilter ref="F6:F8" xr:uid="{9552138F-2332-4BC4-A585-0E13162881A5}"/>
  <tableColumns count="1">
    <tableColumn id="1" xr3:uid="{2CF6523F-40A9-456F-8FAA-4363371E379D}" name="Aims" dataDxfId="595"/>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dataDxfId="594">
  <autoFilter ref="F10:F13" xr:uid="{94F18F67-3F10-4F6E-A953-4FE3399B07F2}"/>
  <tableColumns count="1">
    <tableColumn id="1" xr3:uid="{5BDD719A-56F8-4CFB-8C2B-B09D9EFEEBC9}" name="Outline Syllabus" dataDxfId="593"/>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dataDxfId="592">
  <autoFilter ref="F15:F20" xr:uid="{1B2BCD7B-6C15-4B1C-86BC-48FF83D8F225}"/>
  <tableColumns count="1">
    <tableColumn id="1" xr3:uid="{6FA2E212-5F86-4DAE-AF6E-5A52409DCB13}" name="Module Overview" dataDxfId="591"/>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dataDxfId="590">
  <autoFilter ref="F22:F33" xr:uid="{D5968C0A-6D7E-4221-87EE-78A85A4039B3}"/>
  <tableColumns count="1">
    <tableColumn id="1" xr3:uid="{8FE8F154-AB86-4DDE-9840-555725F99393}" name="Additional Information/Notes" dataDxfId="589"/>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autoFilter ref="C6:D14" xr:uid="{CD75D2A7-14B1-4ABD-B64D-6E875F9BC652}">
    <filterColumn colId="0" hiddenButton="1"/>
    <filterColumn colId="1" hiddenButton="1"/>
  </autoFilter>
  <tableColumns count="2">
    <tableColumn id="1" xr3:uid="{8F10F388-99AB-4D28-B816-601553218F24}" name="Module Data" dataDxfId="588"/>
    <tableColumn id="2" xr3:uid="{AE7AA7A8-FBD0-4010-AD14-259A290F3DBF}" name="Details" dataDxfId="587"/>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586">
  <autoFilter ref="C28:D33" xr:uid="{22316987-6BEB-4FAF-9619-BF9BE9909CFA}">
    <filterColumn colId="0" hiddenButton="1"/>
    <filterColumn colId="1" hiddenButton="1"/>
  </autoFilter>
  <tableColumns count="2">
    <tableColumn id="1" xr3:uid="{65874036-7B81-4E0E-AD1F-388C30468A0C}" name="LO Number" dataDxfId="585"/>
    <tableColumn id="2" xr3:uid="{AB5F4256-8EBE-42B2-864C-6175401C4B94}" name="LO Description" dataDxfId="584"/>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5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82"/>
    <tableColumn id="2" xr3:uid="{A7D8377D-26A9-4C0C-89E5-2BBF15A2C53A}" name="Assessment Type" dataDxfId="581"/>
    <tableColumn id="7" xr3:uid="{902CD105-3E65-4D48-9EBC-28A512F14EA4}" name="Assessment Specific" dataDxfId="580"/>
    <tableColumn id="3" xr3:uid="{F0188AEF-B58B-42EE-B788-6BDBEC8A2666}" name="Assessment Description" dataDxfId="579"/>
    <tableColumn id="4" xr3:uid="{463AE76C-D818-4D0D-9C85-14C568E969CF}" name="Weighting" dataDxfId="578"/>
    <tableColumn id="5" xr3:uid="{F3A74D3A-9891-4785-8514-2F35F953399C}" name="Due Week" dataDxfId="577"/>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76"/>
    <tableColumn id="2" xr3:uid="{779570F9-536A-4051-99E1-6CF566D7A0D1}" name="Week Number" dataDxfId="575"/>
    <tableColumn id="3" xr3:uid="{B34499F2-A07D-444A-9F9C-30E044383158}" name="Weekly Content 1" dataDxfId="574"/>
    <tableColumn id="4" xr3:uid="{F39D2B5F-C444-4352-91E8-C0744DF26B06}" name="Weekly Content 2" dataDxfId="573"/>
    <tableColumn id="5" xr3:uid="{694E2C5F-AF9A-4034-8744-D2347A9BD5B9}" name="Weekly Content 3" dataDxfId="572"/>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autoFilter ref="C18:D24" xr:uid="{B71A3569-AA65-4A4E-98A2-885F5C38B46D}">
    <filterColumn colId="0" hiddenButton="1"/>
    <filterColumn colId="1" hiddenButton="1"/>
  </autoFilter>
  <tableColumns count="2">
    <tableColumn id="1" xr3:uid="{AACE1E36-CD18-4943-8A94-8FD55C616649}" name="Component" dataDxfId="571"/>
    <tableColumn id="2" xr3:uid="{B1979956-177B-4D66-BF9C-2582ABBB4BF9}" name="Contact Hours" dataDxfId="570"/>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56" totalsRowShown="0" headerRowDxfId="569" dataDxfId="568">
  <autoFilter ref="C45:F5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67"/>
    <tableColumn id="2" xr3:uid="{BBF5102E-4D62-467D-89A8-6878CBB973B5}" name="LO Number" dataDxfId="566"/>
    <tableColumn id="3" xr3:uid="{19F9550F-E174-446A-8CD8-FB222F828FA2}" name="Graduate Skills Category" dataDxfId="565"/>
    <tableColumn id="4" xr3:uid="{22926E4B-AB40-45D5-A07C-199AB2307121}" name="Graduate Skill" dataDxfId="564"/>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dataDxfId="563">
  <autoFilter ref="F6:F8" xr:uid="{9552138F-2332-4BC4-A585-0E13162881A5}"/>
  <tableColumns count="1">
    <tableColumn id="1" xr3:uid="{75179496-A8E3-4C17-A2D2-8AF29C0BD18A}" name="Aims" dataDxfId="562"/>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dataDxfId="561">
  <autoFilter ref="F10:F13" xr:uid="{94F18F67-3F10-4F6E-A953-4FE3399B07F2}"/>
  <tableColumns count="1">
    <tableColumn id="1" xr3:uid="{C11B339B-A121-4F67-998C-0EB7843C79D2}" name="Outline Syllabus" dataDxfId="560"/>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dataDxfId="559">
  <autoFilter ref="F15:F20" xr:uid="{1B2BCD7B-6C15-4B1C-86BC-48FF83D8F225}"/>
  <tableColumns count="1">
    <tableColumn id="1" xr3:uid="{B644A5C6-F53D-4CAC-B23F-A22EE05D52F7}" name="Module Overview" dataDxfId="558"/>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dataDxfId="557">
  <autoFilter ref="F22:F33" xr:uid="{D5968C0A-6D7E-4221-87EE-78A85A4039B3}"/>
  <tableColumns count="1">
    <tableColumn id="1" xr3:uid="{17E3BB4C-BB7C-4827-AAED-6C9AECAD47FE}" name="Additional Information/Notes" dataDxfId="556"/>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autoFilter ref="C6:D14" xr:uid="{CD75D2A7-14B1-4ABD-B64D-6E875F9BC652}">
    <filterColumn colId="0" hiddenButton="1"/>
    <filterColumn colId="1" hiddenButton="1"/>
  </autoFilter>
  <tableColumns count="2">
    <tableColumn id="1" xr3:uid="{59632FD2-ADF3-4C82-8BD5-420F294E11C7}" name="Module Data" dataDxfId="423"/>
    <tableColumn id="2" xr3:uid="{8CCBAE8A-F2FE-41C4-ACC2-A97D717C0112}" name="Details" dataDxfId="422"/>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421">
  <autoFilter ref="C28:D33" xr:uid="{22316987-6BEB-4FAF-9619-BF9BE9909CFA}">
    <filterColumn colId="0" hiddenButton="1"/>
    <filterColumn colId="1" hiddenButton="1"/>
  </autoFilter>
  <tableColumns count="2">
    <tableColumn id="1" xr3:uid="{4EF000E4-780E-462E-94B9-665B9C66E80A}" name="LO Number" dataDxfId="420"/>
    <tableColumn id="2" xr3:uid="{8DE7FF42-E93D-4882-90E1-F03BDCC7C663}" name="LO Description" dataDxfId="41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41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417"/>
    <tableColumn id="2" xr3:uid="{E56CBD09-3E9D-4390-BC32-4320288ECF49}" name="Assessment Type" dataDxfId="416"/>
    <tableColumn id="7" xr3:uid="{2042A595-88BB-48AE-8DE9-08F9843A65F4}" name="Assessment Specific" dataDxfId="415"/>
    <tableColumn id="3" xr3:uid="{4E7A1FBA-AC92-4C49-968B-C1C40CDF45A5}" name="Assessment Description" dataDxfId="414"/>
    <tableColumn id="4" xr3:uid="{0A8E3B7A-41B3-4C6C-BD7C-F70005A5518B}" name="Weighting" dataDxfId="413"/>
    <tableColumn id="5" xr3:uid="{41BF57AA-9057-4D7D-B892-C99EED25778F}" name="Due Week" dataDxfId="41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411"/>
    <tableColumn id="2" xr3:uid="{592CAF7B-B3BC-484C-9EF6-A0DBEF72E67F}" name="Week Number" dataDxfId="410"/>
    <tableColumn id="3" xr3:uid="{C9C70C18-20BE-49C0-8CBE-BE6063301D8B}" name="Weekly Content 1" dataDxfId="409"/>
    <tableColumn id="4" xr3:uid="{F2059AD0-6761-42AB-90EB-C1B04E0C7353}" name="Weekly Content 2" dataDxfId="408"/>
    <tableColumn id="5" xr3:uid="{C5FF21DA-C072-4003-8733-39BDF19353FA}" name="Weekly Content 3" dataDxfId="407"/>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autoFilter ref="C18:D24" xr:uid="{B71A3569-AA65-4A4E-98A2-885F5C38B46D}">
    <filterColumn colId="0" hiddenButton="1"/>
    <filterColumn colId="1" hiddenButton="1"/>
  </autoFilter>
  <tableColumns count="2">
    <tableColumn id="1" xr3:uid="{E76F71CE-1496-4AF6-BD8E-AC4301E5C11C}" name="Component" dataDxfId="406"/>
    <tableColumn id="2" xr3:uid="{10A8B829-22E5-44FA-B898-C017E70406A4}" name="Contact Hours" dataDxfId="405"/>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56" totalsRowShown="0" headerRowDxfId="404" dataDxfId="403">
  <autoFilter ref="C45:F5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402"/>
    <tableColumn id="2" xr3:uid="{EA5FDCD9-1E61-472D-81F9-2883B9641747}" name="LO Number" dataDxfId="401"/>
    <tableColumn id="3" xr3:uid="{CCCF5ADA-06E0-4A91-83AE-399B900464ED}" name="Graduate Skills Category" dataDxfId="400"/>
    <tableColumn id="4" xr3:uid="{D6FEAFFF-68F2-40EF-BDC4-92DC8AF60B0B}" name="Graduate Skill" dataDxfId="399"/>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dataDxfId="398">
  <autoFilter ref="F6:F8" xr:uid="{9552138F-2332-4BC4-A585-0E13162881A5}"/>
  <tableColumns count="1">
    <tableColumn id="1" xr3:uid="{805616E4-B757-49C5-8AFD-679FD1C3035C}" name="Aims" dataDxfId="397"/>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dataDxfId="396">
  <autoFilter ref="F10:F13" xr:uid="{94F18F67-3F10-4F6E-A953-4FE3399B07F2}"/>
  <tableColumns count="1">
    <tableColumn id="1" xr3:uid="{AC4E006D-D99C-4E50-B5D9-56154F4430AD}" name="Outline Syllabus" dataDxfId="395"/>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dataDxfId="394">
  <autoFilter ref="F15:F20" xr:uid="{1B2BCD7B-6C15-4B1C-86BC-48FF83D8F225}"/>
  <tableColumns count="1">
    <tableColumn id="1" xr3:uid="{D99038A9-7472-476F-8C90-5531054233FC}" name="Module Overview" dataDxfId="39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dataDxfId="392">
  <autoFilter ref="F22:F33" xr:uid="{D5968C0A-6D7E-4221-87EE-78A85A4039B3}"/>
  <tableColumns count="1">
    <tableColumn id="1" xr3:uid="{3994805D-762E-401D-88C3-584C97999D0D}" name="Additional Information/Notes" dataDxfId="391"/>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autoFilter ref="C6:D14" xr:uid="{CD75D2A7-14B1-4ABD-B64D-6E875F9BC652}">
    <filterColumn colId="0" hiddenButton="1"/>
    <filterColumn colId="1" hiddenButton="1"/>
  </autoFilter>
  <tableColumns count="2">
    <tableColumn id="1" xr3:uid="{070BBF13-BA41-4DE1-A713-FB0E8630711C}" name="Module Data" dataDxfId="390"/>
    <tableColumn id="2" xr3:uid="{0E3F0926-B28A-4EA7-AAE9-E35BEC0A4DF5}" name="Details" dataDxfId="389"/>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388">
  <autoFilter ref="C28:D33" xr:uid="{22316987-6BEB-4FAF-9619-BF9BE9909CFA}">
    <filterColumn colId="0" hiddenButton="1"/>
    <filterColumn colId="1" hiddenButton="1"/>
  </autoFilter>
  <tableColumns count="2">
    <tableColumn id="1" xr3:uid="{6088F306-C9B4-4ED7-9EEC-A674129ECCC9}" name="LO Number" dataDxfId="387"/>
    <tableColumn id="2" xr3:uid="{43834854-BE01-444E-8E1C-AE64963B358A}" name="LO Description" dataDxfId="386"/>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38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384"/>
    <tableColumn id="2" xr3:uid="{E2407AF6-3C98-4FD1-B31B-CB85A955F2E3}" name="Assessment Type" dataDxfId="383"/>
    <tableColumn id="7" xr3:uid="{803004E8-4057-430E-BD7F-E6A122487416}" name="Assessment Specific" dataDxfId="382"/>
    <tableColumn id="3" xr3:uid="{E82EABFF-0858-4F25-A741-AD63FC636934}" name="Assessment Description" dataDxfId="381"/>
    <tableColumn id="4" xr3:uid="{C435B8B1-D65F-4F43-8C3B-45550CBDD4FC}" name="Weighting" dataDxfId="380"/>
    <tableColumn id="5" xr3:uid="{03FBD12C-63B3-45F3-8CCB-172C1C96BB7E}" name="Due Week" dataDxfId="379"/>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378"/>
    <tableColumn id="2" xr3:uid="{0DEEBD8D-895D-4DB2-9CAB-767B56867428}" name="Week Number" dataDxfId="377"/>
    <tableColumn id="3" xr3:uid="{7E2D8092-2899-4612-BA2F-D50BF49F0F02}" name="Weekly Content 1" dataDxfId="376"/>
    <tableColumn id="4" xr3:uid="{543E0828-8F90-405C-8DC4-A27DEA150475}" name="Weekly Content 2" dataDxfId="375"/>
    <tableColumn id="5" xr3:uid="{CFCB0F41-D4BE-4456-B805-D7551BF9E83C}" name="Weekly Content 3" dataDxfId="37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autoFilter ref="C18:D24" xr:uid="{B71A3569-AA65-4A4E-98A2-885F5C38B46D}">
    <filterColumn colId="0" hiddenButton="1"/>
    <filterColumn colId="1" hiddenButton="1"/>
  </autoFilter>
  <tableColumns count="2">
    <tableColumn id="1" xr3:uid="{A95790DB-8258-4803-8284-4A4A89FC1A81}" name="Component" dataDxfId="373"/>
    <tableColumn id="2" xr3:uid="{F8CDBB8B-28A2-40B8-8AB1-6707537C499B}" name="Contact Hours" dataDxfId="37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56" totalsRowShown="0" headerRowDxfId="371" dataDxfId="370">
  <autoFilter ref="C45:F5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369"/>
    <tableColumn id="2" xr3:uid="{0A9CFE48-B3C3-4D3C-9F56-3062488E96D8}" name="LO Number" dataDxfId="368"/>
    <tableColumn id="3" xr3:uid="{F14AC592-27AF-4E15-B730-92515D2D5861}" name="Graduate Skills Category" dataDxfId="367"/>
    <tableColumn id="4" xr3:uid="{33BA90E8-AAD8-435C-9AC1-A549EDBF7228}" name="Graduate Skill" dataDxfId="36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dataDxfId="365">
  <autoFilter ref="F6:F8" xr:uid="{9552138F-2332-4BC4-A585-0E13162881A5}"/>
  <tableColumns count="1">
    <tableColumn id="1" xr3:uid="{95B55738-9EA9-42EF-9542-C1E475114357}" name="Aims" dataDxfId="36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dataDxfId="363">
  <autoFilter ref="F10:F13" xr:uid="{94F18F67-3F10-4F6E-A953-4FE3399B07F2}"/>
  <tableColumns count="1">
    <tableColumn id="1" xr3:uid="{773F3BC1-153C-4CA9-9626-F7014E9C09FC}" name="Outline Syllabus" dataDxfId="36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dataDxfId="361">
  <autoFilter ref="F15:F20" xr:uid="{1B2BCD7B-6C15-4B1C-86BC-48FF83D8F225}"/>
  <tableColumns count="1">
    <tableColumn id="1" xr3:uid="{5AB497BE-0287-4B15-828E-068ECF632096}" name="Module Overview" dataDxfId="36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dataDxfId="359">
  <autoFilter ref="F22:F33" xr:uid="{D5968C0A-6D7E-4221-87EE-78A85A4039B3}"/>
  <tableColumns count="1">
    <tableColumn id="1" xr3:uid="{050403C8-321F-4DA4-B6C6-73EFBF9C2B3A}" name="Additional Information/Notes" dataDxfId="35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autoFilter ref="C6:D14" xr:uid="{CD75D2A7-14B1-4ABD-B64D-6E875F9BC652}">
    <filterColumn colId="0" hiddenButton="1"/>
    <filterColumn colId="1" hiddenButton="1"/>
  </autoFilter>
  <tableColumns count="2">
    <tableColumn id="1" xr3:uid="{1C097530-B4B2-49B5-9A38-694FB66998A6}" name="Module Data" dataDxfId="32"/>
    <tableColumn id="2" xr3:uid="{614B3911-F5ED-4B05-8A07-45A7AB4CFB52}" name="Details" dataDxfId="31"/>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30">
  <autoFilter ref="C28:D33" xr:uid="{22316987-6BEB-4FAF-9619-BF9BE9909CFA}">
    <filterColumn colId="0" hiddenButton="1"/>
    <filterColumn colId="1" hiddenButton="1"/>
  </autoFilter>
  <tableColumns count="2">
    <tableColumn id="1" xr3:uid="{35E5C1D8-FDBE-4821-B0A4-A27E42F34EF4}" name="LO Number" dataDxfId="29"/>
    <tableColumn id="2" xr3:uid="{73BDB3B5-85D4-4EC4-AD91-D458B8D1A13B}" name="LO Description" dataDxfId="28"/>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2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26"/>
    <tableColumn id="2" xr3:uid="{AF86F5B1-FF29-4F6F-A5B8-A38E3BC1D030}" name="Assessment Type" dataDxfId="25"/>
    <tableColumn id="7" xr3:uid="{268D098B-B2AC-48D1-8C93-1931D4DE6AB3}" name="Assessment Specific" dataDxfId="24"/>
    <tableColumn id="3" xr3:uid="{8CE69AB0-F52A-4FCB-ABAE-8BC40377EBFE}" name="Assessment Description" dataDxfId="23"/>
    <tableColumn id="4" xr3:uid="{D5BB5EE6-FB13-43AB-8E1C-E693D40E6BF0}" name="Weighting" dataDxfId="22"/>
    <tableColumn id="5" xr3:uid="{F2049C7E-C5BD-40CF-96F7-3CF3E251AA9C}" name="Due Week" dataDxfId="21"/>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20"/>
    <tableColumn id="2" xr3:uid="{3E5B5951-E025-4950-A5CA-C0E79C3EEC69}" name="Week Number" dataDxfId="19"/>
    <tableColumn id="3" xr3:uid="{F9C32F04-0801-43F1-8091-DC40F8686858}" name="Weekly Content 1" dataDxfId="18"/>
    <tableColumn id="4" xr3:uid="{FA80DB17-0F80-4708-8DB2-144E6C81F8FA}" name="Weekly Content 2" dataDxfId="17"/>
    <tableColumn id="5" xr3:uid="{56A4E034-2385-43D6-A3E9-53F2A39959F5}" name="Weekly Content 3" dataDxfId="16"/>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autoFilter ref="C18:D24" xr:uid="{B71A3569-AA65-4A4E-98A2-885F5C38B46D}">
    <filterColumn colId="0" hiddenButton="1"/>
    <filterColumn colId="1" hiddenButton="1"/>
  </autoFilter>
  <tableColumns count="2">
    <tableColumn id="1" xr3:uid="{6C8E6598-2974-4356-A517-0C8CAEC4B9A6}" name="Component" dataDxfId="15"/>
    <tableColumn id="2" xr3:uid="{AC5AC74A-364C-4EEE-97C7-F5085AF8F46A}" name="Contact Hours" dataDxfId="14"/>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56" totalsRowShown="0" headerRowDxfId="13" dataDxfId="12">
  <autoFilter ref="C45:F5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11"/>
    <tableColumn id="2" xr3:uid="{F343AF7C-C9D2-4A5E-A10A-9D229CB18D29}" name="LO Number" dataDxfId="10"/>
    <tableColumn id="3" xr3:uid="{64B910F9-13E3-4711-AA05-211E9CF37C70}" name="Graduate Skills Category" dataDxfId="9"/>
    <tableColumn id="4" xr3:uid="{2D114B02-AD52-4ABD-A1E0-DA14541743A0}" name="Graduate Skill" dataDxfId="8"/>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dataDxfId="7">
  <autoFilter ref="F6:F8" xr:uid="{9552138F-2332-4BC4-A585-0E13162881A5}"/>
  <tableColumns count="1">
    <tableColumn id="1" xr3:uid="{72C0010A-7E65-4165-85B1-92F42C49D790}" name="Aims" dataDxfId="6"/>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dataDxfId="5">
  <autoFilter ref="F10:F13" xr:uid="{94F18F67-3F10-4F6E-A953-4FE3399B07F2}"/>
  <tableColumns count="1">
    <tableColumn id="1" xr3:uid="{40F38839-A844-4EAD-B354-606D615D253D}" name="Outline Syllabus" dataDxfId="4"/>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dataDxfId="3">
  <autoFilter ref="F15:F20" xr:uid="{1B2BCD7B-6C15-4B1C-86BC-48FF83D8F225}"/>
  <tableColumns count="1">
    <tableColumn id="1" xr3:uid="{F0EA7A21-A240-4378-ABC5-4F4BC08223CF}" name="Module Overview" dataDxfId="2"/>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dataDxfId="1">
  <autoFilter ref="F22:F33" xr:uid="{D5968C0A-6D7E-4221-87EE-78A85A4039B3}"/>
  <tableColumns count="1">
    <tableColumn id="1" xr3:uid="{29B53D27-6E02-4157-BA49-5A597182E735}" name="Additional Information/Notes" dataDxfId="0"/>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autoFilter ref="C6:D14" xr:uid="{CD75D2A7-14B1-4ABD-B64D-6E875F9BC652}">
    <filterColumn colId="0" hiddenButton="1"/>
    <filterColumn colId="1" hiddenButton="1"/>
  </autoFilter>
  <tableColumns count="2">
    <tableColumn id="1" xr3:uid="{259296C2-F94D-4D8E-8A48-375C8B32976A}" name="Module Data" dataDxfId="357"/>
    <tableColumn id="2" xr3:uid="{FBE26AB7-C871-483E-8BF5-3102A6CBA6A9}" name="Details" dataDxfId="356"/>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355">
  <autoFilter ref="C28:D33" xr:uid="{22316987-6BEB-4FAF-9619-BF9BE9909CFA}">
    <filterColumn colId="0" hiddenButton="1"/>
    <filterColumn colId="1" hiddenButton="1"/>
  </autoFilter>
  <tableColumns count="2">
    <tableColumn id="1" xr3:uid="{A4A042E5-B73A-4E95-83BE-374230EAEF75}" name="LO Number" dataDxfId="354"/>
    <tableColumn id="2" xr3:uid="{4CC50DE2-34DC-4FAA-BB54-72EB81C5A918}" name="LO Description" dataDxfId="353"/>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35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351"/>
    <tableColumn id="2" xr3:uid="{846FFE48-B8E8-4A55-98C3-5451769A8EB5}" name="Assessment Type" dataDxfId="350"/>
    <tableColumn id="7" xr3:uid="{82AE06D6-F94C-441D-B6C3-297200BD5794}" name="Assessment Specific" dataDxfId="349"/>
    <tableColumn id="3" xr3:uid="{FEAAD1E7-46DD-4E01-9EEE-AB9037A04A09}" name="Assessment Description" dataDxfId="348"/>
    <tableColumn id="4" xr3:uid="{C4BFD846-DFE3-41AB-966C-3EFB00B2A790}" name="Weighting" dataDxfId="347"/>
    <tableColumn id="5" xr3:uid="{476F5563-CB55-4B33-88F8-D363824819FD}" name="Due Week" dataDxfId="346"/>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345"/>
    <tableColumn id="2" xr3:uid="{B9620A06-7C82-4FF4-995F-02655A14B62E}" name="Week Number" dataDxfId="344"/>
    <tableColumn id="3" xr3:uid="{90BEA63A-0B10-4F26-B07B-76B2D9A73B94}" name="Weekly Content 1" dataDxfId="343"/>
    <tableColumn id="4" xr3:uid="{BA0A787E-3BAF-4419-9436-D40693419273}" name="Weekly Content 2" dataDxfId="342"/>
    <tableColumn id="5" xr3:uid="{3E95C25D-5EE2-483B-B9C6-B69D6222BD63}" name="Weekly Content 3" dataDxfId="341"/>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autoFilter ref="C18:D24" xr:uid="{B71A3569-AA65-4A4E-98A2-885F5C38B46D}">
    <filterColumn colId="0" hiddenButton="1"/>
    <filterColumn colId="1" hiddenButton="1"/>
  </autoFilter>
  <tableColumns count="2">
    <tableColumn id="1" xr3:uid="{17D1F957-8C58-47BC-9BD8-09011C101FC1}" name="Component" dataDxfId="340"/>
    <tableColumn id="2" xr3:uid="{F76831A8-1692-44D6-9D6D-3D5E7EBE7CB7}" name="Contact Hours" dataDxfId="339"/>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56" totalsRowShown="0" headerRowDxfId="338">
  <autoFilter ref="C45:F5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tableColumn id="2" xr3:uid="{AFA09957-495C-47A6-9409-B82CF20C9FEE}" name="LO Number"/>
    <tableColumn id="3" xr3:uid="{4A6EF506-39E0-4A77-AB9A-A419A13B11BA}" name="Graduate Skills Category"/>
    <tableColumn id="4" xr3:uid="{1CC8553E-650D-4CC9-BCBD-8A5C77CF26BC}" name="Graduate Skill"/>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dataDxfId="337">
  <autoFilter ref="F6:F8" xr:uid="{9552138F-2332-4BC4-A585-0E13162881A5}"/>
  <tableColumns count="1">
    <tableColumn id="1" xr3:uid="{8B84DA76-C73A-484B-AB85-93CE53A85FF5}" name="Aims" dataDxfId="336"/>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dataDxfId="335">
  <autoFilter ref="F10:F13" xr:uid="{94F18F67-3F10-4F6E-A953-4FE3399B07F2}"/>
  <tableColumns count="1">
    <tableColumn id="1" xr3:uid="{7BB23C35-AB5C-4E42-B2E9-C41B68F5AF1F}" name="Outline Syllabus" dataDxfId="334"/>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dataDxfId="333">
  <autoFilter ref="F15:F20" xr:uid="{1B2BCD7B-6C15-4B1C-86BC-48FF83D8F225}"/>
  <tableColumns count="1">
    <tableColumn id="1" xr3:uid="{A7EAB096-E6DB-40BE-B37B-256679A7DD5C}" name="Module Overview" dataDxfId="332"/>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dataDxfId="331">
  <autoFilter ref="F22:F33" xr:uid="{D5968C0A-6D7E-4221-87EE-78A85A4039B3}"/>
  <tableColumns count="1">
    <tableColumn id="1" xr3:uid="{C72ADE2C-BCB8-499B-B1B7-EDB3A3B2FE5B}" name="Additional Information/Notes" dataDxfId="330"/>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autoFilter ref="C6:D14" xr:uid="{CD75D2A7-14B1-4ABD-B64D-6E875F9BC652}">
    <filterColumn colId="0" hiddenButton="1"/>
    <filterColumn colId="1" hiddenButton="1"/>
  </autoFilter>
  <tableColumns count="2">
    <tableColumn id="1" xr3:uid="{294825A0-B000-4273-A73D-4BDF1B0EEF00}" name="Module Data" dataDxfId="329"/>
    <tableColumn id="2" xr3:uid="{BFFFACD7-D0A7-40F6-BF15-469686406C3F}" name="Details" dataDxfId="328"/>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327">
  <autoFilter ref="C28:D33" xr:uid="{22316987-6BEB-4FAF-9619-BF9BE9909CFA}">
    <filterColumn colId="0" hiddenButton="1"/>
    <filterColumn colId="1" hiddenButton="1"/>
  </autoFilter>
  <tableColumns count="2">
    <tableColumn id="1" xr3:uid="{EB0958A2-9E66-44D9-A8DF-610B48FE0AC6}" name="LO Number" dataDxfId="326"/>
    <tableColumn id="2" xr3:uid="{0F368925-4523-471B-A68D-184E05AABCF7}" name="LO Description" dataDxfId="325"/>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3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23"/>
    <tableColumn id="2" xr3:uid="{1FA5C130-1C0E-45D6-8735-EA79A0166F2D}" name="Assessment Type" dataDxfId="322"/>
    <tableColumn id="7" xr3:uid="{34024CC2-5A32-45FD-95BD-978953E7F41B}" name="Assessment Specific" dataDxfId="321"/>
    <tableColumn id="3" xr3:uid="{5DA2B338-CCFE-4568-ACFD-CC8F0B883170}" name="Assessment Description" dataDxfId="320"/>
    <tableColumn id="4" xr3:uid="{597ADF95-B9B9-411B-8079-7F615E89550C}" name="Weighting" dataDxfId="319"/>
    <tableColumn id="5" xr3:uid="{A0D1FD19-8DF8-4595-ADE8-675937B4A7F4}" name="Due Week" dataDxfId="318"/>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17"/>
    <tableColumn id="2" xr3:uid="{633971FF-9E7F-4A44-865E-D409908313D1}" name="Week Number" dataDxfId="316"/>
    <tableColumn id="3" xr3:uid="{77413702-BFB9-4DEA-BF99-C2A188E22509}" name="Weekly Content 1" dataDxfId="315"/>
    <tableColumn id="4" xr3:uid="{DD1B7D42-32B3-4CC2-9308-AD66B052F8DB}" name="Weekly Content 2" dataDxfId="314"/>
    <tableColumn id="5" xr3:uid="{504E9A1A-C43C-49D3-BB42-E4DD5A49EFCE}" name="Weekly Content 3" dataDxfId="313"/>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autoFilter ref="C18:D24" xr:uid="{B71A3569-AA65-4A4E-98A2-885F5C38B46D}">
    <filterColumn colId="0" hiddenButton="1"/>
    <filterColumn colId="1" hiddenButton="1"/>
  </autoFilter>
  <tableColumns count="2">
    <tableColumn id="1" xr3:uid="{5D165BDB-09FC-4AAA-91DB-E67A247DFF72}" name="Component" dataDxfId="312"/>
    <tableColumn id="2" xr3:uid="{E28A3B10-E692-47D9-A3AD-18128B6A4794}" name="Contact Hours" dataDxfId="31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67" totalsRowShown="0" headerRowDxfId="310" dataDxfId="309">
  <autoFilter ref="C45:F6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08"/>
    <tableColumn id="2" xr3:uid="{A7D6827C-7020-4950-BD3E-00625169C68E}" name="LO Number" dataDxfId="307"/>
    <tableColumn id="3" xr3:uid="{1F68EB03-6C47-4955-9791-229A42D1A45A}" name="Graduate Skills Category" dataDxfId="306"/>
    <tableColumn id="4" xr3:uid="{1FD832D4-8E97-4B72-9B09-606CF407E6C7}" name="Graduate Skill" dataDxfId="305"/>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dataDxfId="304">
  <autoFilter ref="F6:F8" xr:uid="{9552138F-2332-4BC4-A585-0E13162881A5}"/>
  <tableColumns count="1">
    <tableColumn id="1" xr3:uid="{2EE5D059-BB6B-4406-AF24-CB56C5C24856}" name="Aims" dataDxfId="303"/>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dataDxfId="302">
  <autoFilter ref="F10:F13" xr:uid="{94F18F67-3F10-4F6E-A953-4FE3399B07F2}"/>
  <tableColumns count="1">
    <tableColumn id="1" xr3:uid="{CF8ACDF4-0E48-466C-AF99-EC810B28E6AF}" name="Outline Syllabus" dataDxfId="301"/>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dataDxfId="300">
  <autoFilter ref="F15:F20" xr:uid="{1B2BCD7B-6C15-4B1C-86BC-48FF83D8F225}"/>
  <tableColumns count="1">
    <tableColumn id="1" xr3:uid="{C16E0E90-DC44-4185-AB55-C39332B32B2D}" name="Module Overview" dataDxfId="299"/>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dataDxfId="298">
  <autoFilter ref="F22:F33" xr:uid="{D5968C0A-6D7E-4221-87EE-78A85A4039B3}"/>
  <tableColumns count="1">
    <tableColumn id="1" xr3:uid="{719B4DA9-E67A-4094-A58E-921C645096BE}" name="Additional Information/Notes" dataDxfId="297"/>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autoFilter ref="C6:D14" xr:uid="{CD75D2A7-14B1-4ABD-B64D-6E875F9BC652}">
    <filterColumn colId="0" hiddenButton="1"/>
    <filterColumn colId="1" hiddenButton="1"/>
  </autoFilter>
  <tableColumns count="2">
    <tableColumn id="1" xr3:uid="{B946128C-97AA-429A-BFB7-14DA62D23F93}" name="Module Data" dataDxfId="296"/>
    <tableColumn id="2" xr3:uid="{9E5B10EF-821C-4302-A35D-3F36AB2362C9}" name="Details" dataDxfId="295"/>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294">
  <autoFilter ref="C28:D33" xr:uid="{22316987-6BEB-4FAF-9619-BF9BE9909CFA}">
    <filterColumn colId="0" hiddenButton="1"/>
    <filterColumn colId="1" hiddenButton="1"/>
  </autoFilter>
  <tableColumns count="2">
    <tableColumn id="1" xr3:uid="{3806001B-7A24-4470-B13B-816824C48A87}" name="LO Number" dataDxfId="293"/>
    <tableColumn id="2" xr3:uid="{D801C621-044F-4B79-AEEF-83CB123A3537}" name="LO Description" dataDxfId="29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290"/>
    <tableColumn id="2" xr3:uid="{64354A91-AE63-4D1E-BE94-8BE1D1CC7A59}" name="Assessment Type" dataDxfId="289"/>
    <tableColumn id="7" xr3:uid="{530A1FC8-EA43-41F4-BFFD-95021CCF673E}" name="Assessment Specific" dataDxfId="288"/>
    <tableColumn id="3" xr3:uid="{D7982B35-955C-4EF8-8FFF-272E5115BF74}" name="Assessment Description" dataDxfId="287"/>
    <tableColumn id="4" xr3:uid="{3D5D5D25-1897-4307-B2B9-AB9926C0783C}" name="Weighting" dataDxfId="286"/>
    <tableColumn id="5" xr3:uid="{41F93229-30BA-4DE4-BA85-1B8D0C842BE7}" name="Due Week" dataDxfId="285"/>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84"/>
    <tableColumn id="2" xr3:uid="{6B27DC11-3985-495E-B86E-D8AEE2E81BAF}" name="Week Number" dataDxfId="283"/>
    <tableColumn id="3" xr3:uid="{B399D5B9-AB04-4B80-8627-ADE3E5852A07}" name="Weekly Content 1" dataDxfId="282"/>
    <tableColumn id="4" xr3:uid="{F9B22473-EB7D-423C-B21A-CD3C0CD2604C}" name="Weekly Content 2" dataDxfId="281"/>
    <tableColumn id="5" xr3:uid="{BDB725C3-96D9-443B-8128-47286ADCA89C}" name="Weekly Content 3" dataDxfId="280"/>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autoFilter ref="C18:D24" xr:uid="{B71A3569-AA65-4A4E-98A2-885F5C38B46D}">
    <filterColumn colId="0" hiddenButton="1"/>
    <filterColumn colId="1" hiddenButton="1"/>
  </autoFilter>
  <tableColumns count="2">
    <tableColumn id="1" xr3:uid="{157B6D45-69F3-4709-8CC3-C24641471D5F}" name="Component" dataDxfId="279"/>
    <tableColumn id="2" xr3:uid="{99B73441-0316-4CCD-B0C7-06884A8A7754}" name="Contact Hours" dataDxfId="278"/>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56" totalsRowShown="0" headerRowDxfId="277" dataDxfId="276">
  <autoFilter ref="C45:F5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275"/>
    <tableColumn id="2" xr3:uid="{EF2FFCFD-E58D-4443-B708-BCE0D7EB93E1}" name="LO Number" dataDxfId="274"/>
    <tableColumn id="3" xr3:uid="{8E20D7DD-0908-49BF-87A5-AB3FCB98D85C}" name="Graduate Skills Category" dataDxfId="273"/>
    <tableColumn id="4" xr3:uid="{C5033368-6F6A-4D25-8F22-ECB65757E12D}" name="Graduate Skill" dataDxfId="272"/>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dataDxfId="271">
  <autoFilter ref="F6:F8" xr:uid="{9552138F-2332-4BC4-A585-0E13162881A5}"/>
  <tableColumns count="1">
    <tableColumn id="1" xr3:uid="{95683184-77D7-4D5F-B6CD-76493CDECA59}" name="Aims" dataDxfId="270"/>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dataDxfId="269">
  <autoFilter ref="F10:F13" xr:uid="{94F18F67-3F10-4F6E-A953-4FE3399B07F2}"/>
  <tableColumns count="1">
    <tableColumn id="1" xr3:uid="{5EEDAB62-FC71-46AD-86A7-2D7304C83206}" name="Outline Syllabus" dataDxfId="268"/>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dataDxfId="267">
  <autoFilter ref="F15:F20" xr:uid="{1B2BCD7B-6C15-4B1C-86BC-48FF83D8F225}"/>
  <tableColumns count="1">
    <tableColumn id="1" xr3:uid="{0DC5DF41-105A-41BF-AF39-34EA66DFB865}" name="Module Overview" dataDxfId="266"/>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dataDxfId="265">
  <autoFilter ref="F22:F33" xr:uid="{D5968C0A-6D7E-4221-87EE-78A85A4039B3}"/>
  <tableColumns count="1">
    <tableColumn id="1" xr3:uid="{38D613A6-4794-4339-B091-D4F707A1828F}" name="Additional Information/Notes" dataDxfId="264"/>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autoFilter ref="C6:D14" xr:uid="{CD75D2A7-14B1-4ABD-B64D-6E875F9BC652}">
    <filterColumn colId="0" hiddenButton="1"/>
    <filterColumn colId="1" hiddenButton="1"/>
  </autoFilter>
  <tableColumns count="2">
    <tableColumn id="1" xr3:uid="{F8338C20-999E-4297-841F-9EE93A275BC1}" name="Module Data" dataDxfId="65"/>
    <tableColumn id="2" xr3:uid="{DD3D0DAB-0512-4653-894E-2A43CB80A14F}" name="Details" dataDxfId="64"/>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63">
  <autoFilter ref="C28:D33" xr:uid="{22316987-6BEB-4FAF-9619-BF9BE9909CFA}">
    <filterColumn colId="0" hiddenButton="1"/>
    <filterColumn colId="1" hiddenButton="1"/>
  </autoFilter>
  <tableColumns count="2">
    <tableColumn id="1" xr3:uid="{360A9A1C-A283-4342-B2CD-121409E92237}" name="LO Number" dataDxfId="62"/>
    <tableColumn id="2" xr3:uid="{D77336CC-4999-44E1-B85F-06159DECADC9}" name="LO Description" dataDxfId="61"/>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59"/>
    <tableColumn id="2" xr3:uid="{D102834D-EA77-4D8D-AF03-4D1253A95943}" name="Assessment Type" dataDxfId="58"/>
    <tableColumn id="7" xr3:uid="{6A820545-0789-4C0D-A647-FC3F67E4210C}" name="Assessment Specific" dataDxfId="57"/>
    <tableColumn id="3" xr3:uid="{5D59550A-157C-41E1-B08D-4B5CA96021E8}" name="Assessment Description" dataDxfId="56"/>
    <tableColumn id="4" xr3:uid="{08D7A47C-3DFE-49EE-A529-CCB01F0D916F}" name="Weighting" dataDxfId="55"/>
    <tableColumn id="5" xr3:uid="{A42FACF0-B475-435F-8764-79130DAAEBB9}" name="Due Week" dataDxfId="54"/>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53"/>
    <tableColumn id="2" xr3:uid="{6C4F4CD8-E2EA-46BF-8EAC-7E670D3B07CA}" name="Week Number" dataDxfId="52"/>
    <tableColumn id="3" xr3:uid="{40BFBB60-729C-4EC6-A8F3-E2411EF0888B}" name="Weekly Content 1" dataDxfId="51"/>
    <tableColumn id="4" xr3:uid="{F65B9FF2-E151-4466-971C-B7438924C1A8}" name="Weekly Content 2" dataDxfId="50"/>
    <tableColumn id="5" xr3:uid="{6A2B2E4C-CB26-4F3D-B0E8-EB3063A556F7}" name="Weekly Content 3" dataDxfId="49"/>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autoFilter ref="C18:D24" xr:uid="{B71A3569-AA65-4A4E-98A2-885F5C38B46D}">
    <filterColumn colId="0" hiddenButton="1"/>
    <filterColumn colId="1" hiddenButton="1"/>
  </autoFilter>
  <tableColumns count="2">
    <tableColumn id="1" xr3:uid="{BCDF52D9-CC8A-47BD-9C49-2D01E1059F91}" name="Component" dataDxfId="48"/>
    <tableColumn id="2" xr3:uid="{BD08259C-3B56-4A0B-B83D-6944A6CB2E8C}" name="Contact Hours" dataDxfId="47"/>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56" totalsRowShown="0" headerRowDxfId="46" dataDxfId="45">
  <autoFilter ref="C45:F5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44"/>
    <tableColumn id="2" xr3:uid="{6DFA238E-D9FA-4C1B-AC76-81F3134AF2FB}" name="LO Number" dataDxfId="43"/>
    <tableColumn id="3" xr3:uid="{AFADD497-E043-4C5A-9358-01FDAF376932}" name="Graduate Skills Category" dataDxfId="42"/>
    <tableColumn id="4" xr3:uid="{56BA5CBC-2213-453E-B8E7-13C7B1D96EF0}" name="Graduate Skill" dataDxfId="41"/>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dataDxfId="40">
  <autoFilter ref="F6:F8" xr:uid="{9552138F-2332-4BC4-A585-0E13162881A5}"/>
  <tableColumns count="1">
    <tableColumn id="1" xr3:uid="{A0267780-C0EB-4306-AD01-D2C059ADA9E4}" name="Aims" dataDxfId="39"/>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dataDxfId="38">
  <autoFilter ref="F10:F13" xr:uid="{94F18F67-3F10-4F6E-A953-4FE3399B07F2}"/>
  <tableColumns count="1">
    <tableColumn id="1" xr3:uid="{BB1D3EF2-0CA6-4122-B8DF-C71EA5E06D8C}" name="Outline Syllabus" dataDxfId="37"/>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dataDxfId="36">
  <autoFilter ref="F15:F20" xr:uid="{1B2BCD7B-6C15-4B1C-86BC-48FF83D8F225}"/>
  <tableColumns count="1">
    <tableColumn id="1" xr3:uid="{0EBC70A1-3D05-4113-BF67-EAD2BD7D7FFF}" name="Module Overview" dataDxfId="35"/>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dataDxfId="34">
  <autoFilter ref="F22:F33" xr:uid="{D5968C0A-6D7E-4221-87EE-78A85A4039B3}"/>
  <tableColumns count="1">
    <tableColumn id="1" xr3:uid="{4DADF9D2-88EE-4868-9220-536D564B2285}" name="Additional Information/Notes" dataDxfId="33"/>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autoFilter ref="C6:D14" xr:uid="{CD75D2A7-14B1-4ABD-B64D-6E875F9BC652}">
    <filterColumn colId="0" hiddenButton="1"/>
    <filterColumn colId="1" hiddenButton="1"/>
  </autoFilter>
  <tableColumns count="2">
    <tableColumn id="1" xr3:uid="{4312B193-D095-44A4-B0FA-8864AE0BCBEF}" name="Module Data" dataDxfId="263"/>
    <tableColumn id="2" xr3:uid="{4F08D2F7-88F2-4061-857B-CBAD6623F570}" name="Details" dataDxfId="262"/>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61">
  <autoFilter ref="C28:D33" xr:uid="{22316987-6BEB-4FAF-9619-BF9BE9909CFA}">
    <filterColumn colId="0" hiddenButton="1"/>
    <filterColumn colId="1" hiddenButton="1"/>
  </autoFilter>
  <tableColumns count="2">
    <tableColumn id="1" xr3:uid="{87282965-A2DA-4B4E-8D06-98090F28BEEF}" name="LO Number" dataDxfId="260"/>
    <tableColumn id="2" xr3:uid="{5860F21B-133F-4A88-A61B-07CF39BC7E21}" name="LO Description" dataDxfId="259"/>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57"/>
    <tableColumn id="2" xr3:uid="{02E86080-DD71-4108-821B-E566F188DEA2}" name="Assessment Type" dataDxfId="256"/>
    <tableColumn id="7" xr3:uid="{47CA01EB-2FAC-4F47-BB5B-4ACF9B64B490}" name="Assessment Specific" dataDxfId="255"/>
    <tableColumn id="3" xr3:uid="{FBD48AF8-7B7F-4162-9266-C7CCFD60F0E7}" name="Assessment Description" dataDxfId="254"/>
    <tableColumn id="4" xr3:uid="{B1C6A884-1B35-475C-8890-451E2B62B45B}" name="Weighting" dataDxfId="253"/>
    <tableColumn id="5" xr3:uid="{52275FFC-C744-424D-9DA8-F4384F058801}" name="Due Week" dataDxfId="252"/>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51"/>
    <tableColumn id="2" xr3:uid="{F2C231FA-6829-4DDE-AADC-3E8FA43A1138}" name="Week Number" dataDxfId="250"/>
    <tableColumn id="3" xr3:uid="{BF2905C5-0007-47A2-850C-6A3A59009B1B}" name="Weekly Content 1" dataDxfId="249"/>
    <tableColumn id="4" xr3:uid="{87E349A9-C7DB-4B62-AE2D-73DF6FE87FF2}" name="Weekly Content 2" dataDxfId="248"/>
    <tableColumn id="5" xr3:uid="{9335E186-D4FA-4BC9-96F6-48CA2E66C8B8}" name="Weekly Content 3" dataDxfId="247"/>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autoFilter ref="C18:D24" xr:uid="{B71A3569-AA65-4A4E-98A2-885F5C38B46D}">
    <filterColumn colId="0" hiddenButton="1"/>
    <filterColumn colId="1" hiddenButton="1"/>
  </autoFilter>
  <tableColumns count="2">
    <tableColumn id="1" xr3:uid="{9CDDC04F-6E44-4B1D-B2F7-BCFB91288FF8}" name="Component" dataDxfId="246"/>
    <tableColumn id="2" xr3:uid="{0A78BA71-0A43-4908-AD5D-EAD433A8F0CB}" name="Contact Hours" dataDxfId="245"/>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56" totalsRowShown="0" headerRowDxfId="244" dataDxfId="243">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42"/>
    <tableColumn id="2" xr3:uid="{38F835BE-5EB1-4FFA-8259-BEB6E39C8FA1}" name="LO Number" dataDxfId="241"/>
    <tableColumn id="3" xr3:uid="{C6B979A3-0E5A-464F-B5CD-CBA3047E98BE}" name="Graduate Skills Category" dataDxfId="240"/>
    <tableColumn id="4" xr3:uid="{2D7AD4B8-14A9-4533-A3C6-5E7125BAACC7}" name="Graduate Skill" dataDxfId="239"/>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dataDxfId="238">
  <autoFilter ref="F6:F8" xr:uid="{9552138F-2332-4BC4-A585-0E13162881A5}"/>
  <tableColumns count="1">
    <tableColumn id="1" xr3:uid="{9E1F2909-CE11-40D2-90E4-0F2548AB10B2}" name="Aims" dataDxfId="237"/>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dataDxfId="236">
  <autoFilter ref="F10:F13" xr:uid="{94F18F67-3F10-4F6E-A953-4FE3399B07F2}"/>
  <tableColumns count="1">
    <tableColumn id="1" xr3:uid="{454BC257-77E7-4C9C-B231-D65E8EE20325}" name="Outline Syllabus" dataDxfId="235"/>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dataDxfId="234">
  <autoFilter ref="F15:F20" xr:uid="{1B2BCD7B-6C15-4B1C-86BC-48FF83D8F225}"/>
  <tableColumns count="1">
    <tableColumn id="1" xr3:uid="{D37E1C0D-C9AF-4C78-BCFF-8B2CE993F50A}" name="Module Overview" dataDxfId="233"/>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dataDxfId="232">
  <autoFilter ref="F22:F33" xr:uid="{D5968C0A-6D7E-4221-87EE-78A85A4039B3}"/>
  <tableColumns count="1">
    <tableColumn id="1" xr3:uid="{E8342C1A-2B62-4E1C-B80B-B12917066000}" name="Additional Information/Notes" dataDxfId="231"/>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autoFilter ref="C6:D14" xr:uid="{CD75D2A7-14B1-4ABD-B64D-6E875F9BC652}">
    <filterColumn colId="0" hiddenButton="1"/>
    <filterColumn colId="1" hiddenButton="1"/>
  </autoFilter>
  <tableColumns count="2">
    <tableColumn id="1" xr3:uid="{5D38FCD1-7A3F-4025-AC69-E6A90C68A79E}" name="Module Data" dataDxfId="230"/>
    <tableColumn id="2" xr3:uid="{ACE861FD-0C1D-4D19-A0A8-AC83427FA81A}" name="Details" dataDxfId="229"/>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28">
  <autoFilter ref="C28:D33" xr:uid="{22316987-6BEB-4FAF-9619-BF9BE9909CFA}">
    <filterColumn colId="0" hiddenButton="1"/>
    <filterColumn colId="1" hiddenButton="1"/>
  </autoFilter>
  <tableColumns count="2">
    <tableColumn id="1" xr3:uid="{92FDE3DF-EAC0-4CA6-A5B4-E15BAAC4A01D}" name="LO Number" dataDxfId="227"/>
    <tableColumn id="2" xr3:uid="{A384CFCB-55B0-46B7-AF9A-FAAC6022096A}" name="LO Description" dataDxfId="226"/>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24"/>
    <tableColumn id="2" xr3:uid="{390EF809-FA62-405F-B84C-B2AD571CEBAA}" name="Assessment Type" dataDxfId="223"/>
    <tableColumn id="7" xr3:uid="{2B1618E6-AA98-4A15-AE0C-79993F1BAFB7}" name="Assessment Specific" dataDxfId="222"/>
    <tableColumn id="3" xr3:uid="{138C3352-0967-40A6-A5BE-4B32DEC01ACB}" name="Assessment Description" dataDxfId="221"/>
    <tableColumn id="4" xr3:uid="{F4B4B6BF-3460-42E3-849C-1BBE242E83C3}" name="Weighting" dataDxfId="220"/>
    <tableColumn id="5" xr3:uid="{E52307F9-F56A-42FC-9A76-6A630F2C5B71}" name="Due Week" dataDxfId="219"/>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66:F90" totalsRowShown="0">
  <autoFilter ref="B66:F9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18"/>
    <tableColumn id="2" xr3:uid="{1B7B234D-0DD9-4913-9C62-18CC4E0FD5D6}" name="Week Number" dataDxfId="217"/>
    <tableColumn id="3" xr3:uid="{FDA6287D-7D09-41DC-96F1-E9BCD4B11D2E}" name="Weekly Content 1" dataDxfId="216"/>
    <tableColumn id="4" xr3:uid="{C104D628-2E09-432B-BC7A-B7E29838D1BD}" name="Weekly Content 2" dataDxfId="215"/>
    <tableColumn id="5" xr3:uid="{6CD950CC-83A5-4FD3-93FC-B284F6F6350E}" name="Weekly Content 3" dataDxfId="214"/>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autoFilter ref="C18:D24" xr:uid="{B71A3569-AA65-4A4E-98A2-885F5C38B46D}">
    <filterColumn colId="0" hiddenButton="1"/>
    <filterColumn colId="1" hiddenButton="1"/>
  </autoFilter>
  <tableColumns count="2">
    <tableColumn id="1" xr3:uid="{27F817B7-6395-4976-9120-60D5C9775BA5}" name="Component" dataDxfId="213"/>
    <tableColumn id="2" xr3:uid="{D9B68E50-AFDD-4B94-80F2-BAB157C2FF40}" name="Contact Hours" dataDxfId="212"/>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62" totalsRowShown="0" headerRowDxfId="211" dataDxfId="210">
  <autoFilter ref="C45:F6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09"/>
    <tableColumn id="2" xr3:uid="{CF29F699-8C1A-4AC4-A563-FCBB128AC8F3}" name="LO Number" dataDxfId="208"/>
    <tableColumn id="3" xr3:uid="{B1082C18-E8C1-42F9-B74D-584EBA4A0A39}" name="Graduate Skills Category" dataDxfId="207"/>
    <tableColumn id="4" xr3:uid="{BD6D6488-ABFD-45B6-B06F-748690280986}" name="Graduate Skill" dataDxfId="206"/>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dataDxfId="205">
  <autoFilter ref="F6:F8" xr:uid="{9552138F-2332-4BC4-A585-0E13162881A5}"/>
  <tableColumns count="1">
    <tableColumn id="1" xr3:uid="{E2B338AF-53C9-469A-B45D-DF4BE4CCBDD0}" name="Aims" dataDxfId="204"/>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dataDxfId="203">
  <autoFilter ref="F10:F13" xr:uid="{94F18F67-3F10-4F6E-A953-4FE3399B07F2}"/>
  <tableColumns count="1">
    <tableColumn id="1" xr3:uid="{0B585185-EFA9-44AB-A953-91DF09E1C8F4}" name="Outline Syllabus" dataDxfId="202"/>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dataDxfId="201">
  <autoFilter ref="F15:F20" xr:uid="{1B2BCD7B-6C15-4B1C-86BC-48FF83D8F225}"/>
  <tableColumns count="1">
    <tableColumn id="1" xr3:uid="{8DA5C005-FC9F-4CBE-A281-B2B92A53526A}" name="Module Overview" dataDxfId="200"/>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dataDxfId="199">
  <autoFilter ref="F22:F33" xr:uid="{D5968C0A-6D7E-4221-87EE-78A85A4039B3}"/>
  <tableColumns count="1">
    <tableColumn id="1" xr3:uid="{D67854B5-D179-408B-A477-7F6E3033D84B}" name="Additional Information/Notes" dataDxfId="198"/>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autoFilter ref="C6:D14" xr:uid="{CD75D2A7-14B1-4ABD-B64D-6E875F9BC652}">
    <filterColumn colId="0" hiddenButton="1"/>
    <filterColumn colId="1" hiddenButton="1"/>
  </autoFilter>
  <tableColumns count="2">
    <tableColumn id="1" xr3:uid="{EB65BA05-1DE9-4FD7-BDBD-BDE47DF298A4}" name="Module Data" dataDxfId="555"/>
    <tableColumn id="2" xr3:uid="{310F2A93-D88D-4CC8-AC0C-C016B97380F6}" name="Details" dataDxfId="554"/>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553">
  <autoFilter ref="C28:D33" xr:uid="{22316987-6BEB-4FAF-9619-BF9BE9909CFA}">
    <filterColumn colId="0" hiddenButton="1"/>
    <filterColumn colId="1" hiddenButton="1"/>
  </autoFilter>
  <tableColumns count="2">
    <tableColumn id="1" xr3:uid="{2DA2E0DF-8487-4F48-AD57-6C8EF1F6A824}" name="LO Number" dataDxfId="552"/>
    <tableColumn id="2" xr3:uid="{5F671E3D-DB5F-4A86-A8E8-215D497F640F}" name="LO Description" dataDxfId="551"/>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5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549"/>
    <tableColumn id="2" xr3:uid="{99037CEE-E227-4DE7-AC0C-42C69784F090}" name="Assessment Type" dataDxfId="548"/>
    <tableColumn id="7" xr3:uid="{EE90A0B1-86AF-42EC-AB37-5E98D709E3E4}" name="Assessment Specific" dataDxfId="547"/>
    <tableColumn id="3" xr3:uid="{8B0C1721-2FDC-4C1A-AECE-975C6F1434A1}" name="Assessment Description" dataDxfId="546"/>
    <tableColumn id="4" xr3:uid="{876D72EC-520F-497B-8AC7-6AF0A5409783}" name="Weighting" dataDxfId="545"/>
    <tableColumn id="5" xr3:uid="{31A1A910-0DF5-428E-806F-6E026C606C3B}" name="Due Week" dataDxfId="544"/>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543"/>
    <tableColumn id="2" xr3:uid="{8C49AFEC-B460-42E3-B373-FC0AB260F379}" name="Week Number" dataDxfId="542"/>
    <tableColumn id="3" xr3:uid="{A81B53B3-7EE2-4FDF-9110-0A8C17CA27E0}" name="Weekly Content 1" dataDxfId="541"/>
    <tableColumn id="4" xr3:uid="{362C63E5-C442-416C-9DB4-4F34D3EDDEF3}" name="Weekly Content 2" dataDxfId="540"/>
    <tableColumn id="5" xr3:uid="{E3C14089-4743-4CA8-9480-E777866BAF64}" name="Weekly Content 3" dataDxfId="539"/>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autoFilter ref="C18:D24" xr:uid="{B71A3569-AA65-4A4E-98A2-885F5C38B46D}">
    <filterColumn colId="0" hiddenButton="1"/>
    <filterColumn colId="1" hiddenButton="1"/>
  </autoFilter>
  <tableColumns count="2">
    <tableColumn id="1" xr3:uid="{7C918E81-2521-4CC2-B784-37E43EEC3CDD}" name="Component" dataDxfId="538"/>
    <tableColumn id="2" xr3:uid="{0D2A69D7-E2F7-4C5C-8E4D-714C66054E76}" name="Contact Hours" dataDxfId="537"/>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56" totalsRowShown="0" headerRowDxfId="536" dataDxfId="535">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534"/>
    <tableColumn id="2" xr3:uid="{8D3D6147-F8A2-4D54-BC97-772B8CE44EA3}" name="LO Number" dataDxfId="533"/>
    <tableColumn id="3" xr3:uid="{C41D8ED0-797F-45E8-B847-5F5796F9B51E}" name="Graduate Skills Category" dataDxfId="532"/>
    <tableColumn id="4" xr3:uid="{28997C86-0364-497D-A258-1C7BA682BCAA}" name="Graduate Skill" dataDxfId="531"/>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dataDxfId="530">
  <autoFilter ref="F6:F8" xr:uid="{9552138F-2332-4BC4-A585-0E13162881A5}"/>
  <tableColumns count="1">
    <tableColumn id="1" xr3:uid="{3E728AAA-21E1-43D6-98EC-781D610D5B5C}" name="Aims" dataDxfId="529"/>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dataDxfId="528">
  <autoFilter ref="F10:F13" xr:uid="{94F18F67-3F10-4F6E-A953-4FE3399B07F2}"/>
  <tableColumns count="1">
    <tableColumn id="1" xr3:uid="{CAFF733E-EEBF-4C10-ACD1-A6DDCD33C63A}" name="Outline Syllabus" dataDxfId="527"/>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dataDxfId="526">
  <autoFilter ref="F15:F20" xr:uid="{1B2BCD7B-6C15-4B1C-86BC-48FF83D8F225}"/>
  <tableColumns count="1">
    <tableColumn id="1" xr3:uid="{3D131B43-1A6C-42C4-B635-F81D00AEF103}" name="Module Overview" dataDxfId="525"/>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dataDxfId="524">
  <autoFilter ref="F22:F33" xr:uid="{D5968C0A-6D7E-4221-87EE-78A85A4039B3}"/>
  <tableColumns count="1">
    <tableColumn id="1" xr3:uid="{DBD01D3B-64A5-4A59-96FF-8858AB682507}" name="Additional Information/Notes" dataDxfId="523"/>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autoFilter ref="C6:D14" xr:uid="{CD75D2A7-14B1-4ABD-B64D-6E875F9BC652}">
    <filterColumn colId="0" hiddenButton="1"/>
    <filterColumn colId="1" hiddenButton="1"/>
  </autoFilter>
  <tableColumns count="2">
    <tableColumn id="1" xr3:uid="{7833E623-ED87-40CE-93D2-B78B6A7D7E94}" name="Module Data" dataDxfId="522"/>
    <tableColumn id="2" xr3:uid="{0659839B-A1DA-4204-9267-1A4CC295A6EF}" name="Details" dataDxfId="521"/>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520">
  <autoFilter ref="C28:D33" xr:uid="{22316987-6BEB-4FAF-9619-BF9BE9909CFA}">
    <filterColumn colId="0" hiddenButton="1"/>
    <filterColumn colId="1" hiddenButton="1"/>
  </autoFilter>
  <tableColumns count="2">
    <tableColumn id="1" xr3:uid="{FEDC5FCD-23F6-4532-A565-C979DFEE6452}" name="LO Number" dataDxfId="519"/>
    <tableColumn id="2" xr3:uid="{1F64A8B9-B360-490C-BD12-64A29F9CF82F}" name="LO Description" dataDxfId="518"/>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5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516"/>
    <tableColumn id="2" xr3:uid="{0FE47FA8-B999-4405-B49D-E106E82A7509}" name="Assessment Type" dataDxfId="515"/>
    <tableColumn id="7" xr3:uid="{61D6D411-EDDD-4962-A754-A4B5EEB96263}" name="Assessment Specific" dataDxfId="514"/>
    <tableColumn id="3" xr3:uid="{1A288D47-FFDF-4BA0-94F1-9B647BE04DCC}" name="Assessment Description" dataDxfId="513"/>
    <tableColumn id="4" xr3:uid="{ED08857B-A938-490D-9B30-962DE64252AB}" name="Weighting" dataDxfId="512"/>
    <tableColumn id="5" xr3:uid="{581E13F4-4545-426B-8995-08E09758F5CB}" name="Due Week" dataDxfId="511"/>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510"/>
    <tableColumn id="2" xr3:uid="{BED16F5A-D8C5-4300-A763-C0065F48E598}" name="Week Number" dataDxfId="509"/>
    <tableColumn id="3" xr3:uid="{1C3278D5-9F89-43C0-84A5-ACE6AE3BF8C8}" name="Weekly Content 1" dataDxfId="508"/>
    <tableColumn id="4" xr3:uid="{8ADEF497-35DC-4945-B42C-DCA4C8DB67C9}" name="Weekly Content 2" dataDxfId="507"/>
    <tableColumn id="5" xr3:uid="{E6B69E39-A78E-4994-8E8F-40C76F0002A1}" name="Weekly Content 3" dataDxfId="506"/>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autoFilter ref="C18:D24" xr:uid="{B71A3569-AA65-4A4E-98A2-885F5C38B46D}">
    <filterColumn colId="0" hiddenButton="1"/>
    <filterColumn colId="1" hiddenButton="1"/>
  </autoFilter>
  <tableColumns count="2">
    <tableColumn id="1" xr3:uid="{2FFE33E1-E3D8-499A-B70C-70494FCFC11F}" name="Component" dataDxfId="505"/>
    <tableColumn id="2" xr3:uid="{D8D74B7C-DED1-4107-9D9B-A69709137AF1}" name="Contact Hours" dataDxfId="504"/>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56" totalsRowShown="0" headerRowDxfId="503" dataDxfId="502">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501"/>
    <tableColumn id="2" xr3:uid="{3DE98FE2-3138-46D6-BD99-F2FB47042775}" name="LO Number" dataDxfId="500"/>
    <tableColumn id="3" xr3:uid="{810A03D8-C153-4962-9C3C-D761D27C4A3F}" name="Graduate Skills Category" dataDxfId="499"/>
    <tableColumn id="4" xr3:uid="{C3B0D1F6-1274-4ED1-9705-01F40BB1E2F2}" name="Graduate Skill" dataDxfId="498"/>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dataDxfId="497">
  <autoFilter ref="F6:F8" xr:uid="{9552138F-2332-4BC4-A585-0E13162881A5}"/>
  <tableColumns count="1">
    <tableColumn id="1" xr3:uid="{C445F0C7-61B3-46CB-A56F-67D79AE54D5C}" name="Aims" dataDxfId="496"/>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dataDxfId="495">
  <autoFilter ref="F10:F13" xr:uid="{94F18F67-3F10-4F6E-A953-4FE3399B07F2}"/>
  <tableColumns count="1">
    <tableColumn id="1" xr3:uid="{CAABEA9D-6FBF-459A-AD97-585A17318A01}" name="Outline Syllabus" dataDxfId="494"/>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dataDxfId="493">
  <autoFilter ref="F15:F20" xr:uid="{1B2BCD7B-6C15-4B1C-86BC-48FF83D8F225}"/>
  <tableColumns count="1">
    <tableColumn id="1" xr3:uid="{A14625FC-0807-41B3-BEF3-09E7E979EFED}" name="Module Overview" dataDxfId="492"/>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dataDxfId="491">
  <autoFilter ref="F22:F33" xr:uid="{D5968C0A-6D7E-4221-87EE-78A85A4039B3}"/>
  <tableColumns count="1">
    <tableColumn id="1" xr3:uid="{0F69CA79-BA33-4E25-8FA9-233F7FC95036}" name="Additional Information/Notes" dataDxfId="490"/>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autoFilter ref="C6:D14" xr:uid="{CD75D2A7-14B1-4ABD-B64D-6E875F9BC652}">
    <filterColumn colId="0" hiddenButton="1"/>
    <filterColumn colId="1" hiddenButton="1"/>
  </autoFilter>
  <tableColumns count="2">
    <tableColumn id="1" xr3:uid="{06BDFAA3-479A-4BBC-9915-8C7BAD6E936F}" name="Module Data" dataDxfId="489"/>
    <tableColumn id="2" xr3:uid="{88C1139F-D00E-41AC-AAA3-7F947DD3692E}" name="Details" dataDxfId="488"/>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487">
  <autoFilter ref="C28:D33" xr:uid="{22316987-6BEB-4FAF-9619-BF9BE9909CFA}">
    <filterColumn colId="0" hiddenButton="1"/>
    <filterColumn colId="1" hiddenButton="1"/>
  </autoFilter>
  <tableColumns count="2">
    <tableColumn id="1" xr3:uid="{BD831C2D-873F-4998-A52A-F0B0FFD7968F}" name="LO Number" dataDxfId="486"/>
    <tableColumn id="2" xr3:uid="{1BA07E0C-CECD-4EA1-95B7-176525BCA192}" name="LO Description" dataDxfId="485"/>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4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483"/>
    <tableColumn id="2" xr3:uid="{073B1C1C-0D75-4D35-9FCA-2B312A5ED358}" name="Assessment Type" dataDxfId="482"/>
    <tableColumn id="7" xr3:uid="{071C21B2-890F-443A-86AA-C710C5744CED}" name="Assessment Specific" dataDxfId="481"/>
    <tableColumn id="3" xr3:uid="{A198D730-F6D1-47E9-A6FA-E8F8BA77CD85}" name="Assessment Description" dataDxfId="480"/>
    <tableColumn id="4" xr3:uid="{862B274B-375D-412B-941A-F96D77BAB655}" name="Weighting" dataDxfId="479"/>
    <tableColumn id="5" xr3:uid="{31C4237D-6059-4BF1-AD5B-5ED6BA8C43C2}" name="Due Week" dataDxfId="478"/>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477"/>
    <tableColumn id="2" xr3:uid="{02F13E06-E65A-4AFE-8D67-E2133F40E94E}" name="Week Number" dataDxfId="476"/>
    <tableColumn id="3" xr3:uid="{622E2BE4-4ADC-49E4-80A5-92158A4B4565}" name="Weekly Content 1" dataDxfId="475"/>
    <tableColumn id="4" xr3:uid="{70F5763E-49CE-4BB6-AE7B-48EE4EFDF193}" name="Weekly Content 2" dataDxfId="474"/>
    <tableColumn id="5" xr3:uid="{19393265-A875-4C1F-ABDC-2C80B2BC8433}" name="Weekly Content 3" dataDxfId="473"/>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autoFilter ref="C18:D24" xr:uid="{B71A3569-AA65-4A4E-98A2-885F5C38B46D}">
    <filterColumn colId="0" hiddenButton="1"/>
    <filterColumn colId="1" hiddenButton="1"/>
  </autoFilter>
  <tableColumns count="2">
    <tableColumn id="1" xr3:uid="{3CB3CF83-F534-442B-BFBB-7069B2473590}" name="Component" dataDxfId="472"/>
    <tableColumn id="2" xr3:uid="{A6DA5467-53EE-43D7-9A23-DC36B887A605}" name="Contact Hours" dataDxfId="471"/>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56" totalsRowShown="0" headerRowDxfId="470" dataDxfId="469">
  <autoFilter ref="C45:F5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468"/>
    <tableColumn id="2" xr3:uid="{36743B67-FBBC-4B9D-80DB-B5F4EE41B207}" name="LO Number" dataDxfId="467"/>
    <tableColumn id="3" xr3:uid="{0EA32A76-827B-4807-803F-742CBE030D84}" name="Graduate Skills Category" dataDxfId="466"/>
    <tableColumn id="4" xr3:uid="{BA130ADB-6060-40D2-9E79-B61C98C5C88F}" name="Graduate Skill" dataDxfId="465"/>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dataDxfId="464">
  <autoFilter ref="F6:F8" xr:uid="{9552138F-2332-4BC4-A585-0E13162881A5}"/>
  <tableColumns count="1">
    <tableColumn id="1" xr3:uid="{07962947-B408-415F-8A82-F59CCF1578AB}" name="Aims" dataDxfId="463"/>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dataDxfId="462">
  <autoFilter ref="F10:F13" xr:uid="{94F18F67-3F10-4F6E-A953-4FE3399B07F2}"/>
  <tableColumns count="1">
    <tableColumn id="1" xr3:uid="{25CBD8F4-D3C3-4881-AD03-3B068068E1B7}" name="Outline Syllabus" dataDxfId="461"/>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dataDxfId="460">
  <autoFilter ref="F15:F20" xr:uid="{1B2BCD7B-6C15-4B1C-86BC-48FF83D8F225}"/>
  <tableColumns count="1">
    <tableColumn id="1" xr3:uid="{6CAF4282-21AD-4117-8648-19B290673EF5}" name="Module Overview" dataDxfId="459"/>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dataDxfId="458">
  <autoFilter ref="F22:F33" xr:uid="{D5968C0A-6D7E-4221-87EE-78A85A4039B3}"/>
  <tableColumns count="1">
    <tableColumn id="1" xr3:uid="{6C784C6F-DE98-4ADB-8DC3-84A9477FAE0C}" name="Additional Information/Notes" dataDxfId="457"/>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autoFilter ref="C6:D14" xr:uid="{CD75D2A7-14B1-4ABD-B64D-6E875F9BC652}">
    <filterColumn colId="0" hiddenButton="1"/>
    <filterColumn colId="1" hiddenButton="1"/>
  </autoFilter>
  <tableColumns count="2">
    <tableColumn id="1" xr3:uid="{003D85AB-DC18-4963-8429-2D172F516B3E}" name="Module Data" dataDxfId="456"/>
    <tableColumn id="2" xr3:uid="{85139526-41CF-4CCD-BD9C-741E3F4F2920}" name="Details" dataDxfId="455"/>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454">
  <autoFilter ref="C28:D33" xr:uid="{22316987-6BEB-4FAF-9619-BF9BE9909CFA}">
    <filterColumn colId="0" hiddenButton="1"/>
    <filterColumn colId="1" hiddenButton="1"/>
  </autoFilter>
  <tableColumns count="2">
    <tableColumn id="1" xr3:uid="{1DC30917-B49D-4C7F-9E25-FBC5CAD9C400}" name="LO Number" dataDxfId="453"/>
    <tableColumn id="2" xr3:uid="{952C1089-C63F-468E-894F-7522AA998AC3}" name="LO Description" dataDxfId="452"/>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4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450"/>
    <tableColumn id="2" xr3:uid="{803C22E3-C384-4AB5-AE31-4D40460ED0A1}" name="Assessment Type" dataDxfId="449"/>
    <tableColumn id="7" xr3:uid="{C4A45769-5895-4AF4-9F31-44700B697BFD}" name="Assessment Specific" dataDxfId="448"/>
    <tableColumn id="3" xr3:uid="{FFF5B57D-0618-4003-B7E6-B03D7EC23527}" name="Assessment Description" dataDxfId="447"/>
    <tableColumn id="4" xr3:uid="{E428CF52-BDBE-4BAE-BE2E-A5A269E31391}" name="Weighting" dataDxfId="446"/>
    <tableColumn id="5" xr3:uid="{0456530C-E6FF-4AC9-BC78-1BCF9137ABEF}" name="Due Week" dataDxfId="445"/>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444"/>
    <tableColumn id="2" xr3:uid="{24B8FCA2-0ADD-409E-97AD-E7932ADBC4BA}" name="Week Number" dataDxfId="443"/>
    <tableColumn id="3" xr3:uid="{9A527A77-2946-4A22-B924-26F7ACB0268C}" name="Weekly Content 1" dataDxfId="442"/>
    <tableColumn id="4" xr3:uid="{11A1E556-85EB-4AE8-8856-5231CEE6EA87}" name="Weekly Content 2" dataDxfId="441"/>
    <tableColumn id="5" xr3:uid="{4E38731E-46FF-42DB-B350-4FE11BF2D6CC}" name="Weekly Content 3" dataDxfId="440"/>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autoFilter ref="C18:D24" xr:uid="{B71A3569-AA65-4A4E-98A2-885F5C38B46D}">
    <filterColumn colId="0" hiddenButton="1"/>
    <filterColumn colId="1" hiddenButton="1"/>
  </autoFilter>
  <tableColumns count="2">
    <tableColumn id="1" xr3:uid="{95CDC712-3B6D-4C16-B04E-549B61DA5022}" name="Component" dataDxfId="439"/>
    <tableColumn id="2" xr3:uid="{B695C860-F8BF-48B4-9F05-9E73F12A7156}" name="Contact Hours" dataDxfId="438"/>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56" totalsRowShown="0" headerRowDxfId="437" dataDxfId="436">
  <autoFilter ref="C45:F5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435"/>
    <tableColumn id="2" xr3:uid="{A2A784A6-AACE-4E36-91DF-72D5CE28095F}" name="LO Number" dataDxfId="434"/>
    <tableColumn id="3" xr3:uid="{F6F2DE07-0BDD-4A1A-941F-0DCAD01220D1}" name="Graduate Skills Category" dataDxfId="433"/>
    <tableColumn id="4" xr3:uid="{F9229346-8201-407C-9CE2-141C500E832D}" name="Graduate Skill" dataDxfId="432"/>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dataDxfId="431">
  <autoFilter ref="F6:F8" xr:uid="{9552138F-2332-4BC4-A585-0E13162881A5}"/>
  <tableColumns count="1">
    <tableColumn id="1" xr3:uid="{9CF71A0E-81E1-475E-97A1-21722534446B}" name="Aims" dataDxfId="430"/>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dataDxfId="429">
  <autoFilter ref="F10:F13" xr:uid="{94F18F67-3F10-4F6E-A953-4FE3399B07F2}"/>
  <tableColumns count="1">
    <tableColumn id="1" xr3:uid="{EAF9AC93-48F9-4BB8-A9A0-24E442041D11}" name="Outline Syllabus" dataDxfId="428"/>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dataDxfId="427">
  <autoFilter ref="F15:F20" xr:uid="{1B2BCD7B-6C15-4B1C-86BC-48FF83D8F225}"/>
  <tableColumns count="1">
    <tableColumn id="1" xr3:uid="{DDD0AB10-61E7-41E6-B8F1-8D720BC48395}" name="Module Overview" dataDxfId="426"/>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dataDxfId="425">
  <autoFilter ref="F22:F33" xr:uid="{D5968C0A-6D7E-4221-87EE-78A85A4039B3}"/>
  <tableColumns count="1">
    <tableColumn id="1" xr3:uid="{3AE20833-E0CC-41C3-A178-FA35088F61A6}" name="Additional Information/Notes" dataDxfId="424"/>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197"/>
    <tableColumn id="2" xr3:uid="{32675E2E-11CE-466F-A203-8CBAD85B6106}" name="Details" dataDxfId="196"/>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195">
  <autoFilter ref="C28:D33" xr:uid="{22316987-6BEB-4FAF-9619-BF9BE9909CFA}">
    <filterColumn colId="0" hiddenButton="1"/>
    <filterColumn colId="1" hiddenButton="1"/>
  </autoFilter>
  <tableColumns count="2">
    <tableColumn id="1" xr3:uid="{406B4062-5346-4191-8E7D-3F30BE30CD89}" name="LO Number" dataDxfId="194"/>
    <tableColumn id="2" xr3:uid="{ECDF9592-E009-4317-AD78-8EDF29F5314D}" name="LO Description" dataDxfId="193"/>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191"/>
    <tableColumn id="2" xr3:uid="{9D0C9230-12A2-4CE1-AB8A-41C89C86FD6D}" name="Assessment Type" dataDxfId="190"/>
    <tableColumn id="7" xr3:uid="{CC85B4C4-D7B8-480C-8D99-2924B268E3B7}" name="Assessment Specific" dataDxfId="189"/>
    <tableColumn id="3" xr3:uid="{80BCCA64-D2D0-4773-BD53-30A11175D3FF}" name="Assessment Description" dataDxfId="188"/>
    <tableColumn id="4" xr3:uid="{FF66551B-1874-4D01-BA52-4FB7B725A9C6}" name="Weighting" dataDxfId="187"/>
    <tableColumn id="5" xr3:uid="{5C36320D-1108-4E73-A6DD-2E99CDC6AA42}" name="Due Week" dataDxfId="186"/>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185"/>
    <tableColumn id="2" xr3:uid="{ABF01243-32FF-4D9F-A5E6-C4E4A07A3919}" name="Week Number" dataDxfId="184"/>
    <tableColumn id="3" xr3:uid="{5B208949-9811-4F2D-B05F-33A20DED36C5}" name="Weekly Content 1" dataDxfId="183"/>
    <tableColumn id="4" xr3:uid="{26B1AC14-0649-47D5-8A21-246674936AB4}" name="Weekly Content 2" dataDxfId="182"/>
    <tableColumn id="5" xr3:uid="{5B9975D5-79A7-4F7E-84FE-882367A23783}" name="Weekly Content 3" dataDxfId="181"/>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180"/>
    <tableColumn id="2" xr3:uid="{C657DF13-3A82-4B4D-AC3C-87AC7DBF2362}" name="Contact Hours" dataDxfId="179"/>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56" totalsRowShown="0" headerRowDxfId="178" dataDxfId="177">
  <autoFilter ref="C45:F5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176"/>
    <tableColumn id="2" xr3:uid="{3CC09ACF-36D5-49FE-8A29-1074730BAF04}" name="LO Number" dataDxfId="175"/>
    <tableColumn id="3" xr3:uid="{523070E8-BAE6-434E-BD26-958EC10A182B}" name="Graduate Skills Category" dataDxfId="174"/>
    <tableColumn id="4" xr3:uid="{2572A7A7-898C-4A7E-8D9C-B1F6C0FBEE94}" name="Graduate Skill" dataDxfId="173"/>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172">
  <autoFilter ref="F6:F8" xr:uid="{9552138F-2332-4BC4-A585-0E13162881A5}"/>
  <tableColumns count="1">
    <tableColumn id="1" xr3:uid="{03C505AA-48A0-4A88-9F49-B7FF5C16BCAE}" name="Aims" dataDxfId="171"/>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170">
  <autoFilter ref="F10:F13" xr:uid="{94F18F67-3F10-4F6E-A953-4FE3399B07F2}"/>
  <tableColumns count="1">
    <tableColumn id="1" xr3:uid="{D82AB61C-3BCC-45E5-A0F7-2A8249EBEA58}" name="Outline Syllabus" dataDxfId="169"/>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168">
  <autoFilter ref="F15:F20" xr:uid="{1B2BCD7B-6C15-4B1C-86BC-48FF83D8F225}"/>
  <tableColumns count="1">
    <tableColumn id="1" xr3:uid="{A736E8CD-3F0B-4824-AA95-F9779192F7D4}" name="Module Overview" dataDxfId="167"/>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166">
  <autoFilter ref="F22:F33" xr:uid="{D5968C0A-6D7E-4221-87EE-78A85A4039B3}"/>
  <tableColumns count="1">
    <tableColumn id="1" xr3:uid="{85005615-7F38-4006-93CA-9CB054C3BDFF}" name="Additional Information/Notes" dataDxfId="165"/>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164"/>
    <tableColumn id="2" xr3:uid="{7CDC44CD-A513-4579-ACC6-09E7304BB1BE}" name="Details" dataDxfId="163"/>
  </tableColumns>
  <tableStyleInfo name="TableStyleMedium6"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162">
  <autoFilter ref="C28:D33" xr:uid="{22316987-6BEB-4FAF-9619-BF9BE9909CFA}">
    <filterColumn colId="0" hiddenButton="1"/>
    <filterColumn colId="1" hiddenButton="1"/>
  </autoFilter>
  <tableColumns count="2">
    <tableColumn id="1" xr3:uid="{A75FADC5-DEDB-4B6C-9F57-BD04056AC57B}" name="LO Number" dataDxfId="161"/>
    <tableColumn id="2" xr3:uid="{2529C995-9CF3-46B4-B1CE-40C8315EEAF2}" name="LO Description" dataDxfId="160"/>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1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158"/>
    <tableColumn id="2" xr3:uid="{707D2CCB-425D-48C3-A5FF-A62091BB3A56}" name="Assessment Type" dataDxfId="157"/>
    <tableColumn id="7" xr3:uid="{EB4F45BA-D8C2-4768-9796-02D50E7330DF}" name="Assessment Specific" dataDxfId="156"/>
    <tableColumn id="3" xr3:uid="{5B969136-9DE0-4A71-AF46-BE9B9C988057}" name="Assessment Description" dataDxfId="155"/>
    <tableColumn id="4" xr3:uid="{C51F8C6E-75D1-4D2A-980F-3DFD604FDE94}" name="Weighting" dataDxfId="154"/>
    <tableColumn id="5" xr3:uid="{732B8B1F-0938-4D2E-A221-A6E8EC0CEA2A}" name="Due Week" dataDxfId="153"/>
  </tableColumns>
  <tableStyleInfo name="TableStyleMedium3"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152"/>
    <tableColumn id="2" xr3:uid="{B5886C84-F0E2-476E-B7F8-D50AED341227}" name="Week Number" dataDxfId="151"/>
    <tableColumn id="3" xr3:uid="{E72094EC-2F0A-4C32-8DE0-3CB3CF696309}" name="Weekly Content 1" dataDxfId="150"/>
    <tableColumn id="4" xr3:uid="{15BE7A5A-AEE2-4BE3-9FDF-71CA774FE739}" name="Weekly Content 2" dataDxfId="149"/>
    <tableColumn id="5" xr3:uid="{C4CF9651-D5F8-4074-B5BD-359D74967851}" name="Weekly Content 3" dataDxfId="148"/>
  </tableColumns>
  <tableStyleInfo name="TableStyleMedium4"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147"/>
    <tableColumn id="2" xr3:uid="{C0E95D7F-8DB9-4A30-B523-E4812C2D666C}" name="Contact Hours" dataDxfId="146"/>
  </tableColumns>
  <tableStyleInfo name="TableStyleMedium2"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56" totalsRowShown="0" headerRowDxfId="145" dataDxfId="144">
  <autoFilter ref="C45:F5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43"/>
    <tableColumn id="2" xr3:uid="{2008E8A1-90F0-4A5C-A0CF-4F307DD2E2D8}" name="LO Number" dataDxfId="142"/>
    <tableColumn id="3" xr3:uid="{3A4DD78F-A393-4DAB-8994-3FEC28769F43}" name="Graduate Skills Category" dataDxfId="141"/>
    <tableColumn id="4" xr3:uid="{3CC06E09-AB6C-4DEE-8FEB-FEE7643702C5}" name="Graduate Skill" dataDxfId="140"/>
  </tableColumns>
  <tableStyleInfo name="TableStyleMedium3"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139">
  <autoFilter ref="F6:F8" xr:uid="{9552138F-2332-4BC4-A585-0E13162881A5}"/>
  <tableColumns count="1">
    <tableColumn id="1" xr3:uid="{71044305-7275-4074-BD40-FFAF45A8E291}" name="Aims" dataDxfId="138"/>
  </tableColumns>
  <tableStyleInfo name="TableStyleMedium6"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137">
  <autoFilter ref="F10:F13" xr:uid="{94F18F67-3F10-4F6E-A953-4FE3399B07F2}"/>
  <tableColumns count="1">
    <tableColumn id="1" xr3:uid="{409A0DF2-4B7A-4C37-A61C-CA2805617B9D}" name="Outline Syllabus" dataDxfId="136"/>
  </tableColumns>
  <tableStyleInfo name="TableStyleMedium6"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135">
  <autoFilter ref="F15:F20" xr:uid="{1B2BCD7B-6C15-4B1C-86BC-48FF83D8F225}"/>
  <tableColumns count="1">
    <tableColumn id="1" xr3:uid="{5E6F0374-DB3C-4DCF-968A-D7EB3D575A6B}" name="Module Overview" dataDxfId="134"/>
  </tableColumns>
  <tableStyleInfo name="TableStyleMedium6"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33">
  <autoFilter ref="F22:F33" xr:uid="{D5968C0A-6D7E-4221-87EE-78A85A4039B3}"/>
  <tableColumns count="1">
    <tableColumn id="1" xr3:uid="{EBE60D7D-4BB5-4F06-A2E4-CFAAE9F14014}" name="Additional Information/Notes" dataDxfId="132"/>
  </tableColumns>
  <tableStyleInfo name="TableStyleMedium6"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8" dT="2026-07-27T12:59:14.78" personId="{14AE07FE-F738-4266-B42F-DFD851BB43E4}" id="{4A4639F2-A442-4E2B-B6AB-49C3D0DE195A}">
    <text>This is a portfolio made up of three mini essays.</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57.xml"/><Relationship Id="rId3" Type="http://schemas.openxmlformats.org/officeDocument/2006/relationships/table" Target="../tables/table252.xml"/><Relationship Id="rId7" Type="http://schemas.openxmlformats.org/officeDocument/2006/relationships/table" Target="../tables/table256.xml"/><Relationship Id="rId2" Type="http://schemas.openxmlformats.org/officeDocument/2006/relationships/table" Target="../tables/table251.xml"/><Relationship Id="rId1" Type="http://schemas.openxmlformats.org/officeDocument/2006/relationships/printerSettings" Target="../printerSettings/printerSettings26.bin"/><Relationship Id="rId6" Type="http://schemas.openxmlformats.org/officeDocument/2006/relationships/table" Target="../tables/table255.xml"/><Relationship Id="rId11" Type="http://schemas.openxmlformats.org/officeDocument/2006/relationships/table" Target="../tables/table260.xml"/><Relationship Id="rId5" Type="http://schemas.openxmlformats.org/officeDocument/2006/relationships/table" Target="../tables/table254.xml"/><Relationship Id="rId10" Type="http://schemas.openxmlformats.org/officeDocument/2006/relationships/table" Target="../tables/table259.xml"/><Relationship Id="rId4" Type="http://schemas.openxmlformats.org/officeDocument/2006/relationships/table" Target="../tables/table253.xml"/><Relationship Id="rId9" Type="http://schemas.openxmlformats.org/officeDocument/2006/relationships/table" Target="../tables/table258.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62.xml"/><Relationship Id="rId1" Type="http://schemas.openxmlformats.org/officeDocument/2006/relationships/table" Target="../tables/table2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84"/>
  <sheetViews>
    <sheetView showGridLines="0" topLeftCell="C1" zoomScale="85" zoomScaleNormal="85" workbookViewId="0">
      <selection activeCell="F54" sqref="F54"/>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6</v>
      </c>
      <c r="E8" s="4"/>
      <c r="F8" s="24"/>
    </row>
    <row r="9" spans="2:6" x14ac:dyDescent="0.25">
      <c r="C9" s="3" t="s">
        <v>7</v>
      </c>
      <c r="D9" s="21"/>
      <c r="E9" s="4"/>
    </row>
    <row r="10" spans="2:6" x14ac:dyDescent="0.25">
      <c r="C10" s="3" t="s">
        <v>8</v>
      </c>
      <c r="D10" s="21"/>
      <c r="E10" s="4"/>
      <c r="F10" t="s">
        <v>9</v>
      </c>
    </row>
    <row r="11" spans="2:6" x14ac:dyDescent="0.25">
      <c r="C11" s="3" t="s">
        <v>10</v>
      </c>
      <c r="D11" s="21"/>
      <c r="E11" s="4"/>
      <c r="F11" s="24"/>
    </row>
    <row r="12" spans="2:6" x14ac:dyDescent="0.25">
      <c r="C12" s="3" t="s">
        <v>11</v>
      </c>
      <c r="D12" s="21"/>
      <c r="E12" s="4"/>
      <c r="F12" s="24"/>
    </row>
    <row r="13" spans="2:6" x14ac:dyDescent="0.25">
      <c r="C13" s="3" t="s">
        <v>12</v>
      </c>
      <c r="D13" s="21"/>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c r="E39" s="21"/>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2:6" x14ac:dyDescent="0.25">
      <c r="C49" s="25" t="s">
        <v>44</v>
      </c>
      <c r="D49" s="24" t="s">
        <v>29</v>
      </c>
      <c r="E49" s="24" t="s">
        <v>55</v>
      </c>
      <c r="F49" s="24" t="s">
        <v>56</v>
      </c>
    </row>
    <row r="50" spans="2:6" x14ac:dyDescent="0.25">
      <c r="C50" s="25" t="s">
        <v>44</v>
      </c>
      <c r="D50" s="24" t="s">
        <v>29</v>
      </c>
      <c r="E50" s="24" t="s">
        <v>57</v>
      </c>
      <c r="F50" s="24" t="s">
        <v>58</v>
      </c>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65</v>
      </c>
      <c r="E61" s="21"/>
      <c r="F61" s="21"/>
    </row>
    <row r="62" spans="2:6" x14ac:dyDescent="0.25">
      <c r="B62" s="7">
        <v>1</v>
      </c>
      <c r="C62" s="1">
        <v>2</v>
      </c>
      <c r="D62" s="21" t="s">
        <v>66</v>
      </c>
      <c r="E62" s="21" t="s">
        <v>67</v>
      </c>
      <c r="F62" s="21" t="s">
        <v>18</v>
      </c>
    </row>
    <row r="63" spans="2:6" x14ac:dyDescent="0.25">
      <c r="B63" s="7">
        <v>1</v>
      </c>
      <c r="C63" s="1">
        <v>3</v>
      </c>
      <c r="D63" s="21" t="s">
        <v>68</v>
      </c>
      <c r="E63" s="21"/>
      <c r="F63" s="21"/>
    </row>
    <row r="64" spans="2:6" x14ac:dyDescent="0.25">
      <c r="B64" s="7">
        <v>1</v>
      </c>
      <c r="C64" s="1">
        <v>4</v>
      </c>
      <c r="D64" s="21" t="s">
        <v>69</v>
      </c>
      <c r="E64" s="21" t="s">
        <v>70</v>
      </c>
      <c r="F64" s="21" t="s">
        <v>18</v>
      </c>
    </row>
    <row r="65" spans="2:6" x14ac:dyDescent="0.25">
      <c r="B65" s="7">
        <v>1</v>
      </c>
      <c r="C65" s="1">
        <v>5</v>
      </c>
      <c r="D65" s="21" t="s">
        <v>71</v>
      </c>
      <c r="E65" s="21"/>
      <c r="F65" s="21"/>
    </row>
    <row r="66" spans="2:6" x14ac:dyDescent="0.25">
      <c r="B66" s="7">
        <v>1</v>
      </c>
      <c r="C66" s="1">
        <v>6</v>
      </c>
      <c r="D66" s="21" t="s">
        <v>72</v>
      </c>
      <c r="E66" s="21"/>
      <c r="F66" s="21" t="s">
        <v>18</v>
      </c>
    </row>
    <row r="67" spans="2:6" x14ac:dyDescent="0.25">
      <c r="B67" s="7">
        <v>1</v>
      </c>
      <c r="C67" s="1">
        <v>7</v>
      </c>
      <c r="D67" s="21" t="s">
        <v>73</v>
      </c>
      <c r="E67" s="21"/>
      <c r="F67" s="21"/>
    </row>
    <row r="68" spans="2:6" x14ac:dyDescent="0.25">
      <c r="B68" s="7">
        <v>1</v>
      </c>
      <c r="C68" s="1">
        <v>8</v>
      </c>
      <c r="D68" s="21" t="s">
        <v>74</v>
      </c>
      <c r="E68" s="21"/>
      <c r="F68" s="21" t="s">
        <v>18</v>
      </c>
    </row>
    <row r="69" spans="2:6" x14ac:dyDescent="0.25">
      <c r="B69" s="7">
        <v>1</v>
      </c>
      <c r="C69" s="1">
        <v>9</v>
      </c>
      <c r="D69" s="21" t="s">
        <v>75</v>
      </c>
      <c r="E69" s="21"/>
      <c r="F69" s="21"/>
    </row>
    <row r="70" spans="2:6" x14ac:dyDescent="0.25">
      <c r="B70" s="7">
        <v>1</v>
      </c>
      <c r="C70" s="1">
        <v>10</v>
      </c>
      <c r="D70" s="21" t="s">
        <v>76</v>
      </c>
      <c r="E70" s="21" t="s">
        <v>77</v>
      </c>
      <c r="F70" s="21" t="s">
        <v>18</v>
      </c>
    </row>
    <row r="71" spans="2:6" x14ac:dyDescent="0.25">
      <c r="B71" s="7">
        <v>1</v>
      </c>
      <c r="C71" s="1">
        <v>11</v>
      </c>
      <c r="D71" s="21" t="s">
        <v>78</v>
      </c>
      <c r="E71" s="21"/>
      <c r="F71" s="21"/>
    </row>
    <row r="72" spans="2:6" x14ac:dyDescent="0.25">
      <c r="B72" s="7">
        <v>1</v>
      </c>
      <c r="C72" s="1">
        <v>12</v>
      </c>
      <c r="D72" s="21" t="s">
        <v>79</v>
      </c>
      <c r="E72" s="21"/>
      <c r="F72" s="21" t="s">
        <v>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5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D46:D56</xm:sqref>
        </x14:dataValidation>
        <x14:dataValidation type="list" allowBlank="1" showInputMessage="1" showErrorMessage="1" xr:uid="{C4F92686-9322-4C4E-8993-76138DE80E0B}">
          <x14:formula1>
            <xm:f>LISTS!$J$7:$J$16</xm:f>
          </x14:formula1>
          <xm:sqref>E46:E56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84"/>
  <sheetViews>
    <sheetView showGridLines="0" topLeftCell="A11" zoomScale="60" zoomScaleNormal="85" workbookViewId="0">
      <selection activeCell="D13" sqref="D13"/>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SPS4101</v>
      </c>
      <c r="D2" s="20" t="str">
        <f>D8</f>
        <v xml:space="preserve">Professional Practice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05" x14ac:dyDescent="0.25">
      <c r="B7" s="2"/>
      <c r="C7" s="3" t="s">
        <v>4</v>
      </c>
      <c r="D7" s="21" t="s">
        <v>195</v>
      </c>
      <c r="E7" s="4"/>
      <c r="F7" s="40" t="s">
        <v>196</v>
      </c>
    </row>
    <row r="8" spans="2:6" x14ac:dyDescent="0.25">
      <c r="B8" s="2"/>
      <c r="C8" s="3" t="s">
        <v>6</v>
      </c>
      <c r="D8" s="21" t="s">
        <v>197</v>
      </c>
      <c r="E8" s="4"/>
      <c r="F8" s="24"/>
    </row>
    <row r="9" spans="2:6" x14ac:dyDescent="0.25">
      <c r="C9" s="3" t="s">
        <v>7</v>
      </c>
      <c r="D9" s="21">
        <v>20</v>
      </c>
      <c r="E9" s="4"/>
    </row>
    <row r="10" spans="2:6" x14ac:dyDescent="0.25">
      <c r="C10" s="3" t="s">
        <v>8</v>
      </c>
      <c r="D10" s="21">
        <v>1</v>
      </c>
      <c r="E10" s="4"/>
      <c r="F10" t="s">
        <v>9</v>
      </c>
    </row>
    <row r="11" spans="2:6" ht="180" x14ac:dyDescent="0.25">
      <c r="C11" s="3" t="s">
        <v>10</v>
      </c>
      <c r="D11" s="21">
        <v>4</v>
      </c>
      <c r="E11" s="4"/>
      <c r="F11" s="32" t="s">
        <v>198</v>
      </c>
    </row>
    <row r="12" spans="2:6" x14ac:dyDescent="0.25">
      <c r="C12" s="3" t="s">
        <v>11</v>
      </c>
      <c r="D12" s="21" t="s">
        <v>199</v>
      </c>
      <c r="E12" s="4"/>
      <c r="F12" s="24"/>
    </row>
    <row r="13" spans="2:6" x14ac:dyDescent="0.25">
      <c r="C13" s="3" t="s">
        <v>12</v>
      </c>
      <c r="D13" s="21" t="s">
        <v>200</v>
      </c>
      <c r="E13" s="4"/>
      <c r="F13" s="24"/>
    </row>
    <row r="14" spans="2:6" x14ac:dyDescent="0.25">
      <c r="C14" s="3" t="s">
        <v>13</v>
      </c>
      <c r="D14" s="21" t="s">
        <v>201</v>
      </c>
      <c r="E14" s="4"/>
    </row>
    <row r="15" spans="2:6" x14ac:dyDescent="0.25">
      <c r="C15" s="3"/>
      <c r="D15" s="4"/>
      <c r="E15" s="4"/>
      <c r="F15" t="s">
        <v>14</v>
      </c>
    </row>
    <row r="16" spans="2:6" ht="90" x14ac:dyDescent="0.25">
      <c r="C16" s="3"/>
      <c r="D16" s="4"/>
      <c r="E16" s="4"/>
      <c r="F16" s="40" t="s">
        <v>202</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5</v>
      </c>
      <c r="E20" s="4"/>
      <c r="F20" s="24"/>
    </row>
    <row r="21" spans="3:6" x14ac:dyDescent="0.25">
      <c r="C21" s="3" t="s">
        <v>19</v>
      </c>
      <c r="D21" s="22">
        <v>3</v>
      </c>
      <c r="E21" s="4"/>
    </row>
    <row r="22" spans="3:6" x14ac:dyDescent="0.25">
      <c r="C22" s="3" t="s">
        <v>20</v>
      </c>
      <c r="D22" s="22">
        <v>10</v>
      </c>
      <c r="E22" s="4"/>
      <c r="F22" t="s">
        <v>21</v>
      </c>
    </row>
    <row r="23" spans="3:6" x14ac:dyDescent="0.25">
      <c r="C23" s="3" t="s">
        <v>22</v>
      </c>
      <c r="D23" s="22">
        <v>4</v>
      </c>
      <c r="E23" s="4"/>
      <c r="F23" t="s">
        <v>203</v>
      </c>
    </row>
    <row r="24" spans="3:6" x14ac:dyDescent="0.25">
      <c r="C24" s="3" t="s">
        <v>23</v>
      </c>
      <c r="D24" s="1">
        <f>SUM(D19:D23)</f>
        <v>44</v>
      </c>
      <c r="E24" s="4"/>
      <c r="F24" t="s">
        <v>204</v>
      </c>
    </row>
    <row r="25" spans="3:6" x14ac:dyDescent="0.25">
      <c r="F25" t="s">
        <v>205</v>
      </c>
    </row>
    <row r="26" spans="3:6" x14ac:dyDescent="0.25">
      <c r="F26" s="24"/>
    </row>
    <row r="27" spans="3:6" ht="18.75" x14ac:dyDescent="0.25">
      <c r="C27" s="5" t="s">
        <v>24</v>
      </c>
      <c r="D27" s="12" t="s">
        <v>25</v>
      </c>
      <c r="F27" s="24"/>
    </row>
    <row r="28" spans="3:6" x14ac:dyDescent="0.25">
      <c r="C28" s="3" t="s">
        <v>26</v>
      </c>
      <c r="D28" s="3" t="s">
        <v>27</v>
      </c>
      <c r="E28" s="3"/>
      <c r="F28" s="24"/>
    </row>
    <row r="29" spans="3:6" ht="60" x14ac:dyDescent="0.25">
      <c r="C29" s="3" t="s">
        <v>28</v>
      </c>
      <c r="D29" s="39" t="s">
        <v>698</v>
      </c>
      <c r="E29" s="4"/>
      <c r="F29" s="24"/>
    </row>
    <row r="30" spans="3:6" ht="45" x14ac:dyDescent="0.25">
      <c r="C30" s="3" t="s">
        <v>29</v>
      </c>
      <c r="D30" s="39" t="s">
        <v>699</v>
      </c>
      <c r="E30" s="4"/>
      <c r="F30" s="24"/>
    </row>
    <row r="31" spans="3:6" ht="60" x14ac:dyDescent="0.25">
      <c r="C31" s="3" t="s">
        <v>30</v>
      </c>
      <c r="D31" s="39" t="s">
        <v>700</v>
      </c>
      <c r="E31" s="4"/>
      <c r="F31" s="24"/>
    </row>
    <row r="32" spans="3:6" x14ac:dyDescent="0.25">
      <c r="C32" s="3"/>
      <c r="D32" s="21"/>
      <c r="E32" s="4"/>
      <c r="F32" s="24"/>
    </row>
    <row r="33" spans="3:8" x14ac:dyDescent="0.25">
      <c r="C33" s="3"/>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41</v>
      </c>
      <c r="E38" s="21" t="s">
        <v>206</v>
      </c>
      <c r="F38" s="21" t="s">
        <v>679</v>
      </c>
      <c r="G38" s="23">
        <v>0.4</v>
      </c>
      <c r="H38" s="21">
        <v>8</v>
      </c>
    </row>
    <row r="39" spans="3:8" ht="75" x14ac:dyDescent="0.25">
      <c r="C39" s="3" t="s">
        <v>44</v>
      </c>
      <c r="D39" s="21" t="s">
        <v>94</v>
      </c>
      <c r="E39" s="21" t="s">
        <v>207</v>
      </c>
      <c r="F39" s="40" t="s">
        <v>680</v>
      </c>
      <c r="G39" s="23">
        <v>0.6</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105</v>
      </c>
      <c r="F46" s="24" t="s">
        <v>106</v>
      </c>
    </row>
    <row r="47" spans="3:8" x14ac:dyDescent="0.25">
      <c r="C47" s="25" t="s">
        <v>40</v>
      </c>
      <c r="D47" s="24" t="s">
        <v>28</v>
      </c>
      <c r="E47" s="24" t="s">
        <v>424</v>
      </c>
      <c r="F47" s="24" t="s">
        <v>426</v>
      </c>
    </row>
    <row r="48" spans="3:8" x14ac:dyDescent="0.25">
      <c r="C48" s="25" t="s">
        <v>40</v>
      </c>
      <c r="D48" s="24" t="s">
        <v>28</v>
      </c>
      <c r="E48" s="24" t="s">
        <v>55</v>
      </c>
      <c r="F48" s="24" t="s">
        <v>56</v>
      </c>
    </row>
    <row r="49" spans="2:6" x14ac:dyDescent="0.25">
      <c r="C49" s="25"/>
      <c r="D49" s="24"/>
      <c r="E49" s="24"/>
      <c r="F49" s="24"/>
    </row>
    <row r="50" spans="2:6" x14ac:dyDescent="0.25">
      <c r="C50" s="25" t="s">
        <v>44</v>
      </c>
      <c r="D50" s="24" t="s">
        <v>29</v>
      </c>
      <c r="E50" s="24" t="s">
        <v>55</v>
      </c>
      <c r="F50" s="24" t="s">
        <v>308</v>
      </c>
    </row>
    <row r="51" spans="2:6" x14ac:dyDescent="0.25">
      <c r="C51" s="25" t="s">
        <v>44</v>
      </c>
      <c r="D51" s="24" t="s">
        <v>30</v>
      </c>
      <c r="E51" s="24" t="s">
        <v>105</v>
      </c>
      <c r="F51" s="24" t="s">
        <v>670</v>
      </c>
    </row>
    <row r="52" spans="2:6" x14ac:dyDescent="0.25">
      <c r="C52" s="25" t="s">
        <v>44</v>
      </c>
      <c r="D52" s="24" t="s">
        <v>30</v>
      </c>
      <c r="E52" s="24" t="s">
        <v>164</v>
      </c>
      <c r="F52" s="24" t="s">
        <v>420</v>
      </c>
    </row>
    <row r="53" spans="2:6" x14ac:dyDescent="0.25">
      <c r="C53" s="25"/>
      <c r="D53" s="24"/>
      <c r="E53" s="24"/>
      <c r="F53" s="24"/>
    </row>
    <row r="54" spans="2:6" x14ac:dyDescent="0.25">
      <c r="C54" s="25"/>
      <c r="D54" s="24"/>
      <c r="E54" s="24"/>
      <c r="F54" s="24"/>
    </row>
    <row r="55" spans="2:6" x14ac:dyDescent="0.25">
      <c r="C55" s="25"/>
      <c r="D55" s="24"/>
      <c r="E55" s="24"/>
      <c r="F55" s="24"/>
    </row>
    <row r="56" spans="2:6" x14ac:dyDescent="0.25">
      <c r="C56" s="25"/>
      <c r="D56" s="24"/>
      <c r="E56" s="24"/>
      <c r="F56" s="24"/>
    </row>
    <row r="59" spans="2:6" ht="18.75" x14ac:dyDescent="0.25">
      <c r="C59" s="5" t="s">
        <v>59</v>
      </c>
    </row>
    <row r="60" spans="2:6" x14ac:dyDescent="0.25">
      <c r="B60" t="s">
        <v>60</v>
      </c>
      <c r="C60" s="1" t="s">
        <v>61</v>
      </c>
      <c r="D60" s="1" t="s">
        <v>62</v>
      </c>
      <c r="E60" s="1" t="s">
        <v>63</v>
      </c>
      <c r="F60" s="1" t="s">
        <v>64</v>
      </c>
    </row>
    <row r="61" spans="2:6" ht="75" x14ac:dyDescent="0.25">
      <c r="B61" s="7">
        <v>1</v>
      </c>
      <c r="C61" s="1">
        <v>1</v>
      </c>
      <c r="D61" s="32" t="s">
        <v>695</v>
      </c>
      <c r="E61" s="38" t="s">
        <v>208</v>
      </c>
      <c r="F61" s="21" t="s">
        <v>696</v>
      </c>
    </row>
    <row r="62" spans="2:6" ht="75" x14ac:dyDescent="0.25">
      <c r="B62" s="7">
        <v>1</v>
      </c>
      <c r="C62" s="1">
        <v>2</v>
      </c>
      <c r="D62" s="64" t="s">
        <v>701</v>
      </c>
      <c r="E62" s="32" t="s">
        <v>690</v>
      </c>
      <c r="F62" s="32" t="s">
        <v>693</v>
      </c>
    </row>
    <row r="63" spans="2:6" ht="45" x14ac:dyDescent="0.25">
      <c r="B63" s="7">
        <v>1</v>
      </c>
      <c r="C63" s="1">
        <v>3</v>
      </c>
      <c r="D63" s="39" t="s">
        <v>209</v>
      </c>
      <c r="E63" s="39" t="s">
        <v>210</v>
      </c>
      <c r="F63" s="39" t="s">
        <v>211</v>
      </c>
    </row>
    <row r="64" spans="2:6" ht="45" x14ac:dyDescent="0.25">
      <c r="B64" s="7">
        <v>1</v>
      </c>
      <c r="C64" s="1">
        <v>4</v>
      </c>
      <c r="D64" s="40" t="s">
        <v>692</v>
      </c>
      <c r="E64" s="37" t="s">
        <v>212</v>
      </c>
      <c r="F64" s="21" t="s">
        <v>213</v>
      </c>
    </row>
    <row r="65" spans="2:6" ht="45" x14ac:dyDescent="0.25">
      <c r="B65" s="7">
        <v>1</v>
      </c>
      <c r="C65" s="1">
        <v>5</v>
      </c>
      <c r="D65" s="63" t="s">
        <v>691</v>
      </c>
      <c r="E65" s="21" t="s">
        <v>214</v>
      </c>
      <c r="F65" s="21" t="s">
        <v>215</v>
      </c>
    </row>
    <row r="66" spans="2:6" ht="45" x14ac:dyDescent="0.25">
      <c r="B66" s="7">
        <v>1</v>
      </c>
      <c r="C66" s="1">
        <v>6</v>
      </c>
      <c r="D66" s="41" t="s">
        <v>216</v>
      </c>
      <c r="E66" s="21" t="s">
        <v>217</v>
      </c>
      <c r="F66" t="s">
        <v>218</v>
      </c>
    </row>
    <row r="67" spans="2:6" x14ac:dyDescent="0.25">
      <c r="B67" s="7">
        <v>1</v>
      </c>
      <c r="C67" s="1">
        <v>7</v>
      </c>
      <c r="D67" s="21" t="s">
        <v>682</v>
      </c>
      <c r="E67" s="21"/>
      <c r="F67" s="21"/>
    </row>
    <row r="68" spans="2:6" ht="45" x14ac:dyDescent="0.25">
      <c r="B68" s="7">
        <v>1</v>
      </c>
      <c r="C68" s="1">
        <v>8</v>
      </c>
      <c r="D68" s="40" t="s">
        <v>703</v>
      </c>
      <c r="E68" s="21" t="s">
        <v>697</v>
      </c>
      <c r="F68" s="21" t="s">
        <v>683</v>
      </c>
    </row>
    <row r="69" spans="2:6" ht="45" x14ac:dyDescent="0.25">
      <c r="B69" s="7">
        <v>1</v>
      </c>
      <c r="C69" s="1">
        <v>9</v>
      </c>
      <c r="D69" s="32" t="s">
        <v>702</v>
      </c>
      <c r="E69" s="32" t="s">
        <v>704</v>
      </c>
      <c r="F69" s="32" t="s">
        <v>705</v>
      </c>
    </row>
    <row r="70" spans="2:6" ht="60" x14ac:dyDescent="0.25">
      <c r="B70" s="7">
        <v>1</v>
      </c>
      <c r="C70" s="1">
        <v>10</v>
      </c>
      <c r="D70" s="21" t="s">
        <v>688</v>
      </c>
      <c r="E70" s="21" t="s">
        <v>687</v>
      </c>
      <c r="F70" s="21" t="s">
        <v>684</v>
      </c>
    </row>
    <row r="71" spans="2:6" ht="60" x14ac:dyDescent="0.25">
      <c r="B71" s="7">
        <v>1</v>
      </c>
      <c r="C71" s="1">
        <v>11</v>
      </c>
      <c r="D71" s="21" t="s">
        <v>694</v>
      </c>
      <c r="E71" s="21" t="s">
        <v>686</v>
      </c>
      <c r="F71" s="21" t="s">
        <v>685</v>
      </c>
    </row>
    <row r="72" spans="2:6" ht="60" x14ac:dyDescent="0.25">
      <c r="B72" s="7">
        <v>1</v>
      </c>
      <c r="C72" s="1">
        <v>12</v>
      </c>
      <c r="D72" s="32" t="s">
        <v>689</v>
      </c>
      <c r="E72" s="32"/>
      <c r="F72" s="32" t="s">
        <v>681</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84"/>
  <sheetViews>
    <sheetView showGridLines="0" tabSelected="1" topLeftCell="A52" zoomScale="85" zoomScaleNormal="85" workbookViewId="0">
      <selection activeCell="D81" sqref="D81"/>
    </sheetView>
  </sheetViews>
  <sheetFormatPr defaultRowHeight="15" x14ac:dyDescent="0.25"/>
  <cols>
    <col min="3" max="3" width="33.28515625" customWidth="1"/>
    <col min="4" max="4" width="55.1406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4102SPS</v>
      </c>
      <c r="D2" s="20" t="str">
        <f>D8</f>
        <v>Understanding Physical Activity and Sedentary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219</v>
      </c>
      <c r="E7" s="4"/>
      <c r="F7" s="32" t="s">
        <v>220</v>
      </c>
    </row>
    <row r="8" spans="2:6" ht="30" x14ac:dyDescent="0.25">
      <c r="B8" s="2"/>
      <c r="C8" s="3" t="s">
        <v>6</v>
      </c>
      <c r="D8" s="21" t="s">
        <v>221</v>
      </c>
      <c r="E8" s="4"/>
      <c r="F8" s="32" t="s">
        <v>222</v>
      </c>
    </row>
    <row r="9" spans="2:6" x14ac:dyDescent="0.25">
      <c r="C9" s="3" t="s">
        <v>7</v>
      </c>
      <c r="D9" s="21">
        <v>20</v>
      </c>
      <c r="E9" s="4"/>
    </row>
    <row r="10" spans="2:6" x14ac:dyDescent="0.25">
      <c r="C10" s="3" t="s">
        <v>8</v>
      </c>
      <c r="D10" s="21">
        <v>2</v>
      </c>
      <c r="E10" s="4"/>
      <c r="F10" t="s">
        <v>9</v>
      </c>
    </row>
    <row r="11" spans="2:6" ht="90" x14ac:dyDescent="0.25">
      <c r="C11" s="3" t="s">
        <v>10</v>
      </c>
      <c r="D11" s="21">
        <v>4</v>
      </c>
      <c r="E11" s="4"/>
      <c r="F11" s="55" t="s">
        <v>223</v>
      </c>
    </row>
    <row r="12" spans="2:6" x14ac:dyDescent="0.25">
      <c r="C12" s="3" t="s">
        <v>11</v>
      </c>
      <c r="D12" s="21" t="s">
        <v>224</v>
      </c>
      <c r="E12" s="4"/>
      <c r="F12" s="24"/>
    </row>
    <row r="13" spans="2:6" x14ac:dyDescent="0.25">
      <c r="C13" s="3" t="s">
        <v>12</v>
      </c>
      <c r="D13" s="21" t="s">
        <v>87</v>
      </c>
      <c r="E13" s="4"/>
      <c r="F13" s="24"/>
    </row>
    <row r="14" spans="2:6" x14ac:dyDescent="0.25">
      <c r="C14" s="3" t="s">
        <v>13</v>
      </c>
      <c r="D14" s="21" t="s">
        <v>201</v>
      </c>
      <c r="E14" s="4"/>
    </row>
    <row r="15" spans="2:6" x14ac:dyDescent="0.25">
      <c r="C15" s="3"/>
      <c r="D15" s="4"/>
      <c r="E15" s="4"/>
      <c r="F15" t="s">
        <v>14</v>
      </c>
    </row>
    <row r="16" spans="2:6" ht="75" x14ac:dyDescent="0.25">
      <c r="C16" s="3"/>
      <c r="D16" s="4"/>
      <c r="E16" s="4"/>
      <c r="F16" s="55" t="s">
        <v>225</v>
      </c>
    </row>
    <row r="17" spans="3:6" ht="18.75" x14ac:dyDescent="0.25">
      <c r="C17" s="5" t="s">
        <v>15</v>
      </c>
      <c r="D17" s="4"/>
      <c r="E17" s="4"/>
      <c r="F17" s="24"/>
    </row>
    <row r="18" spans="3:6" x14ac:dyDescent="0.25">
      <c r="C18" s="3" t="s">
        <v>16</v>
      </c>
      <c r="D18" s="1" t="s">
        <v>15</v>
      </c>
      <c r="E18" s="4"/>
      <c r="F18" s="24"/>
    </row>
    <row r="19" spans="3:6" x14ac:dyDescent="0.25">
      <c r="C19" s="3" t="s">
        <v>17</v>
      </c>
      <c r="D19" s="22">
        <v>23</v>
      </c>
      <c r="E19" s="4"/>
      <c r="F19" s="24"/>
    </row>
    <row r="20" spans="3:6" x14ac:dyDescent="0.25">
      <c r="C20" s="3" t="s">
        <v>18</v>
      </c>
      <c r="D20" s="22"/>
      <c r="E20" s="4"/>
      <c r="F20" s="24"/>
    </row>
    <row r="21" spans="3:6" x14ac:dyDescent="0.25">
      <c r="C21" s="3" t="s">
        <v>19</v>
      </c>
      <c r="D21" s="22"/>
      <c r="E21" s="4"/>
    </row>
    <row r="22" spans="3:6" x14ac:dyDescent="0.25">
      <c r="C22" s="3" t="s">
        <v>20</v>
      </c>
      <c r="D22" s="22">
        <v>17</v>
      </c>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21" t="s">
        <v>226</v>
      </c>
      <c r="E29" s="4"/>
      <c r="F29" s="24"/>
    </row>
    <row r="30" spans="3:6" ht="30" x14ac:dyDescent="0.25">
      <c r="C30" s="3" t="s">
        <v>29</v>
      </c>
      <c r="D30" s="21" t="s">
        <v>227</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97</v>
      </c>
      <c r="E38" s="21" t="s">
        <v>98</v>
      </c>
      <c r="F38" s="21" t="s">
        <v>228</v>
      </c>
      <c r="G38" s="23">
        <v>0.5</v>
      </c>
      <c r="H38" s="21">
        <v>6</v>
      </c>
    </row>
    <row r="39" spans="3:8" x14ac:dyDescent="0.25">
      <c r="C39" s="3" t="s">
        <v>44</v>
      </c>
      <c r="D39" s="21" t="s">
        <v>41</v>
      </c>
      <c r="E39" s="21" t="s">
        <v>42</v>
      </c>
      <c r="F39" s="21" t="s">
        <v>229</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29</v>
      </c>
      <c r="E48" s="24" t="s">
        <v>50</v>
      </c>
      <c r="F48" s="24" t="s">
        <v>51</v>
      </c>
    </row>
    <row r="49" spans="2:6" x14ac:dyDescent="0.25">
      <c r="C49" s="25" t="s">
        <v>44</v>
      </c>
      <c r="D49" s="24" t="s">
        <v>29</v>
      </c>
      <c r="E49" s="24" t="s">
        <v>57</v>
      </c>
      <c r="F49" s="24" t="s">
        <v>56</v>
      </c>
    </row>
    <row r="50" spans="2:6" x14ac:dyDescent="0.25">
      <c r="C50" s="25" t="s">
        <v>44</v>
      </c>
      <c r="D50" s="24" t="s">
        <v>29</v>
      </c>
      <c r="E50" s="24" t="s">
        <v>57</v>
      </c>
      <c r="F50" s="24" t="s">
        <v>58</v>
      </c>
    </row>
    <row r="51" spans="2:6" x14ac:dyDescent="0.25">
      <c r="C51" s="25" t="s">
        <v>44</v>
      </c>
      <c r="D51" s="24" t="s">
        <v>29</v>
      </c>
      <c r="E51" s="24" t="s">
        <v>53</v>
      </c>
      <c r="F51" s="24" t="s">
        <v>161</v>
      </c>
    </row>
    <row r="52" spans="2:6" x14ac:dyDescent="0.25">
      <c r="C52" s="25" t="s">
        <v>45</v>
      </c>
      <c r="D52" s="24" t="s">
        <v>29</v>
      </c>
      <c r="E52" s="24" t="s">
        <v>102</v>
      </c>
      <c r="F52" s="24" t="s">
        <v>230</v>
      </c>
    </row>
    <row r="53" spans="2:6" x14ac:dyDescent="0.25">
      <c r="C53" s="25" t="s">
        <v>45</v>
      </c>
      <c r="D53" s="24" t="s">
        <v>29</v>
      </c>
      <c r="E53" s="24" t="s">
        <v>102</v>
      </c>
      <c r="F53" s="24" t="s">
        <v>103</v>
      </c>
    </row>
    <row r="54" spans="2:6" x14ac:dyDescent="0.25">
      <c r="C54" s="25" t="s">
        <v>45</v>
      </c>
      <c r="D54" s="24" t="s">
        <v>29</v>
      </c>
      <c r="E54" s="24" t="s">
        <v>55</v>
      </c>
      <c r="F54" s="24" t="s">
        <v>56</v>
      </c>
    </row>
    <row r="55" spans="2:6" x14ac:dyDescent="0.25">
      <c r="C55" s="25" t="s">
        <v>46</v>
      </c>
      <c r="D55" s="24" t="s">
        <v>29</v>
      </c>
      <c r="E55" s="24" t="s">
        <v>164</v>
      </c>
      <c r="F55" s="24"/>
    </row>
    <row r="56" spans="2:6" x14ac:dyDescent="0.25">
      <c r="C56" s="25" t="s">
        <v>46</v>
      </c>
      <c r="D56" s="24" t="s">
        <v>29</v>
      </c>
      <c r="E56" s="24" t="s">
        <v>105</v>
      </c>
      <c r="F56" s="24" t="s">
        <v>106</v>
      </c>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ht="30" x14ac:dyDescent="0.25">
      <c r="B73" s="7">
        <v>2</v>
      </c>
      <c r="C73" s="1">
        <v>1</v>
      </c>
      <c r="D73" s="21" t="s">
        <v>231</v>
      </c>
      <c r="E73" s="21"/>
      <c r="F73" s="21"/>
    </row>
    <row r="74" spans="2:6" ht="30" x14ac:dyDescent="0.25">
      <c r="B74" s="7">
        <v>2</v>
      </c>
      <c r="C74" s="1">
        <v>2</v>
      </c>
      <c r="D74" s="21" t="s">
        <v>232</v>
      </c>
      <c r="E74" s="21"/>
      <c r="F74" s="21"/>
    </row>
    <row r="75" spans="2:6" ht="30" x14ac:dyDescent="0.25">
      <c r="B75" s="7">
        <v>2</v>
      </c>
      <c r="C75" s="1">
        <v>3</v>
      </c>
      <c r="D75" s="21" t="s">
        <v>233</v>
      </c>
      <c r="E75" s="21"/>
      <c r="F75" s="21"/>
    </row>
    <row r="76" spans="2:6" ht="30" x14ac:dyDescent="0.25">
      <c r="B76" s="7">
        <v>2</v>
      </c>
      <c r="C76" s="1">
        <v>4</v>
      </c>
      <c r="D76" s="21" t="s">
        <v>234</v>
      </c>
      <c r="E76" s="21"/>
      <c r="F76" s="21"/>
    </row>
    <row r="77" spans="2:6" x14ac:dyDescent="0.25">
      <c r="B77" s="7">
        <v>2</v>
      </c>
      <c r="C77" s="1">
        <v>5</v>
      </c>
      <c r="D77" s="21" t="s">
        <v>235</v>
      </c>
      <c r="E77" s="21"/>
      <c r="F77" s="21"/>
    </row>
    <row r="78" spans="2:6" x14ac:dyDescent="0.25">
      <c r="B78" s="7">
        <v>2</v>
      </c>
      <c r="C78" s="1">
        <v>6</v>
      </c>
      <c r="D78" s="21" t="s">
        <v>236</v>
      </c>
      <c r="E78" s="21"/>
      <c r="F78" s="21"/>
    </row>
    <row r="79" spans="2:6" x14ac:dyDescent="0.25">
      <c r="B79" s="7">
        <v>2</v>
      </c>
      <c r="C79" s="1">
        <v>7</v>
      </c>
      <c r="D79" s="21" t="s">
        <v>237</v>
      </c>
      <c r="E79" s="21"/>
      <c r="F79" s="21"/>
    </row>
    <row r="80" spans="2:6" x14ac:dyDescent="0.25">
      <c r="B80" s="7">
        <v>2</v>
      </c>
      <c r="C80" s="1">
        <v>8</v>
      </c>
      <c r="D80" s="21" t="s">
        <v>238</v>
      </c>
      <c r="E80" s="21"/>
      <c r="F80" s="21"/>
    </row>
    <row r="81" spans="2:6" x14ac:dyDescent="0.25">
      <c r="B81" s="7">
        <v>2</v>
      </c>
      <c r="C81" s="1">
        <v>9</v>
      </c>
      <c r="D81" s="21" t="s">
        <v>239</v>
      </c>
      <c r="E81" s="21"/>
      <c r="F81" s="21"/>
    </row>
    <row r="82" spans="2:6" x14ac:dyDescent="0.25">
      <c r="B82" s="7">
        <v>2</v>
      </c>
      <c r="C82" s="1">
        <v>10</v>
      </c>
      <c r="D82" s="21" t="s">
        <v>240</v>
      </c>
      <c r="E82" s="21"/>
      <c r="F82" s="21"/>
    </row>
    <row r="83" spans="2:6" x14ac:dyDescent="0.25">
      <c r="B83" s="7">
        <v>2</v>
      </c>
      <c r="C83" s="1">
        <v>11</v>
      </c>
      <c r="D83" s="21" t="s">
        <v>241</v>
      </c>
      <c r="E83" s="21"/>
      <c r="F83" s="21"/>
    </row>
    <row r="84" spans="2:6" x14ac:dyDescent="0.25">
      <c r="B84" s="7">
        <v>2</v>
      </c>
      <c r="C84" s="1">
        <v>12</v>
      </c>
      <c r="D84" s="21" t="s">
        <v>242</v>
      </c>
      <c r="E84" s="21"/>
      <c r="F84" s="21"/>
    </row>
  </sheetData>
  <sheetProtection sheet="1" objects="1" scenarios="1" selectLockedCells="1" sort="0" autoFilter="0" pivotTables="0"/>
  <dataValidations count="4">
    <dataValidation type="list" allowBlank="1" showInputMessage="1" showErrorMessage="1" sqref="F46:F5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E46:E56</xm:sqref>
        </x14:dataValidation>
        <x14:dataValidation type="list" allowBlank="1" showInputMessage="1" showErrorMessage="1" xr:uid="{8DB1470E-FA87-4F86-BE0F-94516A5BA1C9}">
          <x14:formula1>
            <xm:f>LISTS!$E$7:$E$11</xm:f>
          </x14:formula1>
          <xm:sqref>D46:D56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84"/>
  <sheetViews>
    <sheetView showGridLines="0" zoomScale="85" zoomScaleNormal="85" workbookViewId="0">
      <selection activeCell="D38" sqref="D38:H39"/>
    </sheetView>
  </sheetViews>
  <sheetFormatPr defaultRowHeight="15" x14ac:dyDescent="0.25"/>
  <cols>
    <col min="3" max="3" width="33.28515625" customWidth="1"/>
    <col min="4" max="4" width="55.1406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4091SPS</v>
      </c>
      <c r="D2" s="20" t="str">
        <f>D8</f>
        <v>Research Methods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805</v>
      </c>
      <c r="E7" s="4"/>
      <c r="F7" s="32"/>
    </row>
    <row r="8" spans="2:6" x14ac:dyDescent="0.25">
      <c r="B8" s="2"/>
      <c r="C8" s="3" t="s">
        <v>6</v>
      </c>
      <c r="D8" s="21" t="s">
        <v>806</v>
      </c>
      <c r="E8" s="4"/>
      <c r="F8" s="32"/>
    </row>
    <row r="9" spans="2:6" x14ac:dyDescent="0.25">
      <c r="C9" s="3" t="s">
        <v>7</v>
      </c>
      <c r="D9" s="21"/>
      <c r="E9" s="4"/>
    </row>
    <row r="10" spans="2:6" x14ac:dyDescent="0.25">
      <c r="C10" s="3" t="s">
        <v>8</v>
      </c>
      <c r="D10" s="21"/>
      <c r="E10" s="4"/>
      <c r="F10" t="s">
        <v>9</v>
      </c>
    </row>
    <row r="11" spans="2:6" x14ac:dyDescent="0.25">
      <c r="C11" s="3" t="s">
        <v>10</v>
      </c>
      <c r="D11" s="21"/>
      <c r="E11" s="4"/>
      <c r="F11" s="55"/>
    </row>
    <row r="12" spans="2:6" x14ac:dyDescent="0.25">
      <c r="C12" s="3" t="s">
        <v>11</v>
      </c>
      <c r="D12" s="21"/>
      <c r="E12" s="4"/>
      <c r="F12" s="24"/>
    </row>
    <row r="13" spans="2:6" x14ac:dyDescent="0.25">
      <c r="C13" s="3" t="s">
        <v>12</v>
      </c>
      <c r="D13" s="21" t="s">
        <v>638</v>
      </c>
      <c r="E13" s="4"/>
      <c r="F13" s="24"/>
    </row>
    <row r="14" spans="2:6" x14ac:dyDescent="0.25">
      <c r="C14" s="3" t="s">
        <v>13</v>
      </c>
      <c r="D14" s="21"/>
      <c r="E14" s="4"/>
    </row>
    <row r="15" spans="2:6" x14ac:dyDescent="0.25">
      <c r="C15" s="3"/>
      <c r="D15" s="4"/>
      <c r="E15" s="4"/>
      <c r="F15" t="s">
        <v>14</v>
      </c>
    </row>
    <row r="16" spans="2:6" x14ac:dyDescent="0.25">
      <c r="C16" s="3"/>
      <c r="D16" s="4"/>
      <c r="E16" s="4"/>
      <c r="F16" s="55"/>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21"/>
      <c r="G38" s="23"/>
      <c r="H38" s="21"/>
    </row>
    <row r="39" spans="3:8" x14ac:dyDescent="0.25">
      <c r="C39" s="3" t="s">
        <v>44</v>
      </c>
      <c r="D39" s="21"/>
      <c r="E39" s="21"/>
      <c r="F39" s="21"/>
      <c r="G39" s="23"/>
      <c r="H39" s="21"/>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29</v>
      </c>
      <c r="E48" s="24" t="s">
        <v>50</v>
      </c>
      <c r="F48" s="24" t="s">
        <v>51</v>
      </c>
    </row>
    <row r="49" spans="2:6" x14ac:dyDescent="0.25">
      <c r="C49" s="25" t="s">
        <v>44</v>
      </c>
      <c r="D49" s="24" t="s">
        <v>29</v>
      </c>
      <c r="E49" s="24" t="s">
        <v>57</v>
      </c>
      <c r="F49" s="24" t="s">
        <v>56</v>
      </c>
    </row>
    <row r="50" spans="2:6" x14ac:dyDescent="0.25">
      <c r="C50" s="25" t="s">
        <v>44</v>
      </c>
      <c r="D50" s="24" t="s">
        <v>29</v>
      </c>
      <c r="E50" s="24" t="s">
        <v>57</v>
      </c>
      <c r="F50" s="24" t="s">
        <v>58</v>
      </c>
    </row>
    <row r="51" spans="2:6" x14ac:dyDescent="0.25">
      <c r="C51" s="25" t="s">
        <v>44</v>
      </c>
      <c r="D51" s="24" t="s">
        <v>29</v>
      </c>
      <c r="E51" s="24" t="s">
        <v>53</v>
      </c>
      <c r="F51" s="24" t="s">
        <v>161</v>
      </c>
    </row>
    <row r="52" spans="2:6" x14ac:dyDescent="0.25">
      <c r="C52" s="25" t="s">
        <v>45</v>
      </c>
      <c r="D52" s="24" t="s">
        <v>29</v>
      </c>
      <c r="E52" s="24" t="s">
        <v>102</v>
      </c>
      <c r="F52" s="24" t="s">
        <v>230</v>
      </c>
    </row>
    <row r="53" spans="2:6" x14ac:dyDescent="0.25">
      <c r="C53" s="25" t="s">
        <v>45</v>
      </c>
      <c r="D53" s="24" t="s">
        <v>29</v>
      </c>
      <c r="E53" s="24" t="s">
        <v>102</v>
      </c>
      <c r="F53" s="24" t="s">
        <v>103</v>
      </c>
    </row>
    <row r="54" spans="2:6" x14ac:dyDescent="0.25">
      <c r="C54" s="25" t="s">
        <v>45</v>
      </c>
      <c r="D54" s="24" t="s">
        <v>29</v>
      </c>
      <c r="E54" s="24" t="s">
        <v>55</v>
      </c>
      <c r="F54" s="24" t="s">
        <v>56</v>
      </c>
    </row>
    <row r="55" spans="2:6" x14ac:dyDescent="0.25">
      <c r="C55" s="25" t="s">
        <v>46</v>
      </c>
      <c r="D55" s="24" t="s">
        <v>29</v>
      </c>
      <c r="E55" s="24" t="s">
        <v>164</v>
      </c>
      <c r="F55" s="24"/>
    </row>
    <row r="56" spans="2:6" x14ac:dyDescent="0.25">
      <c r="C56" s="25" t="s">
        <v>46</v>
      </c>
      <c r="D56" s="24" t="s">
        <v>29</v>
      </c>
      <c r="E56" s="24" t="s">
        <v>105</v>
      </c>
      <c r="F56" s="24" t="s">
        <v>106</v>
      </c>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56"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D46:D56</xm:sqref>
        </x14:dataValidation>
        <x14:dataValidation type="list" allowBlank="1" showInputMessage="1" showErrorMessage="1" xr:uid="{3B0702EA-71A6-4767-BBE4-F0BCC8D665AF}">
          <x14:formula1>
            <xm:f>LISTS!$J$7:$J$16</xm:f>
          </x14:formula1>
          <xm:sqref>E46:E56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84"/>
  <sheetViews>
    <sheetView showGridLines="0" topLeftCell="A13" zoomScale="85" zoomScaleNormal="85" workbookViewId="0">
      <selection activeCell="F63" sqref="F63"/>
    </sheetView>
  </sheetViews>
  <sheetFormatPr defaultRowHeight="15" x14ac:dyDescent="0.25"/>
  <cols>
    <col min="3" max="3" width="33.28515625" customWidth="1"/>
    <col min="4" max="4" width="51.5703125" customWidth="1"/>
    <col min="5" max="5" width="82.7109375" bestFit="1" customWidth="1"/>
    <col min="6" max="6" width="126.85546875" customWidth="1"/>
    <col min="7" max="7" width="12.42578125" customWidth="1"/>
    <col min="8" max="8" width="15.5703125" customWidth="1"/>
    <col min="9" max="9" width="14.7109375" customWidth="1"/>
  </cols>
  <sheetData>
    <row r="2" spans="2:6" ht="26.25" x14ac:dyDescent="0.4">
      <c r="C2" s="20" t="str">
        <f>D7</f>
        <v>4092SPS</v>
      </c>
      <c r="D2" s="20" t="str">
        <f>D8</f>
        <v>TBC</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80</v>
      </c>
      <c r="E7" s="4"/>
      <c r="F7" s="32" t="s">
        <v>81</v>
      </c>
    </row>
    <row r="8" spans="2:6" ht="30" x14ac:dyDescent="0.25">
      <c r="B8" s="2"/>
      <c r="C8" s="3" t="s">
        <v>6</v>
      </c>
      <c r="D8" s="21" t="s">
        <v>82</v>
      </c>
      <c r="E8" s="4"/>
      <c r="F8" s="32" t="s">
        <v>83</v>
      </c>
    </row>
    <row r="9" spans="2:6" x14ac:dyDescent="0.25">
      <c r="C9" s="3" t="s">
        <v>7</v>
      </c>
      <c r="D9" s="21">
        <v>20</v>
      </c>
      <c r="E9" s="4"/>
    </row>
    <row r="10" spans="2:6" x14ac:dyDescent="0.25">
      <c r="C10" s="3" t="s">
        <v>8</v>
      </c>
      <c r="D10" s="21">
        <v>1</v>
      </c>
      <c r="E10" s="4"/>
      <c r="F10" t="s">
        <v>9</v>
      </c>
    </row>
    <row r="11" spans="2:6" ht="30" x14ac:dyDescent="0.25">
      <c r="C11" s="3" t="s">
        <v>10</v>
      </c>
      <c r="D11" s="21">
        <v>4</v>
      </c>
      <c r="E11" s="4"/>
      <c r="F11" s="48" t="s">
        <v>84</v>
      </c>
    </row>
    <row r="12" spans="2:6" ht="45" x14ac:dyDescent="0.25">
      <c r="C12" s="3" t="s">
        <v>11</v>
      </c>
      <c r="D12" s="21" t="s">
        <v>85</v>
      </c>
      <c r="E12" s="4"/>
      <c r="F12" s="48" t="s">
        <v>86</v>
      </c>
    </row>
    <row r="13" spans="2:6" ht="75" x14ac:dyDescent="0.25">
      <c r="C13" s="3" t="s">
        <v>12</v>
      </c>
      <c r="D13" s="21" t="s">
        <v>87</v>
      </c>
      <c r="E13" s="4"/>
      <c r="F13" s="48" t="s">
        <v>88</v>
      </c>
    </row>
    <row r="14" spans="2:6" x14ac:dyDescent="0.25">
      <c r="C14" s="3" t="s">
        <v>13</v>
      </c>
      <c r="D14" s="21" t="s">
        <v>89</v>
      </c>
      <c r="E14" s="4"/>
    </row>
    <row r="15" spans="2:6" x14ac:dyDescent="0.25">
      <c r="C15" s="3"/>
      <c r="D15" s="4"/>
      <c r="E15" s="4"/>
      <c r="F15" t="s">
        <v>14</v>
      </c>
    </row>
    <row r="16" spans="2:6" ht="165" x14ac:dyDescent="0.25">
      <c r="C16" s="3"/>
      <c r="D16" s="4"/>
      <c r="E16" s="4"/>
      <c r="F16" s="59" t="s">
        <v>90</v>
      </c>
    </row>
    <row r="17" spans="3:6" ht="18.75" x14ac:dyDescent="0.25">
      <c r="C17" s="5" t="s">
        <v>15</v>
      </c>
      <c r="D17" s="4"/>
      <c r="E17" s="4"/>
      <c r="F17" s="24"/>
    </row>
    <row r="18" spans="3:6" x14ac:dyDescent="0.25">
      <c r="C18" s="3" t="s">
        <v>16</v>
      </c>
      <c r="D18" s="1" t="s">
        <v>15</v>
      </c>
      <c r="E18" s="4"/>
      <c r="F18" s="24"/>
    </row>
    <row r="19" spans="3:6" x14ac:dyDescent="0.25">
      <c r="C19" s="3" t="s">
        <v>17</v>
      </c>
      <c r="D19" s="22">
        <v>33</v>
      </c>
      <c r="E19" s="4"/>
      <c r="F19" s="24"/>
    </row>
    <row r="20" spans="3:6" x14ac:dyDescent="0.25">
      <c r="C20" s="3" t="s">
        <v>18</v>
      </c>
      <c r="D20" s="22">
        <v>1</v>
      </c>
      <c r="E20" s="4"/>
      <c r="F20" s="24"/>
    </row>
    <row r="21" spans="3:6" x14ac:dyDescent="0.25">
      <c r="C21" s="3" t="s">
        <v>19</v>
      </c>
      <c r="D21" s="22">
        <v>6</v>
      </c>
      <c r="E21" s="4"/>
    </row>
    <row r="22" spans="3:6" x14ac:dyDescent="0.25">
      <c r="C22" s="3" t="s">
        <v>20</v>
      </c>
      <c r="D22" s="22">
        <v>1</v>
      </c>
      <c r="E22" s="4"/>
      <c r="F22" t="s">
        <v>21</v>
      </c>
    </row>
    <row r="23" spans="3:6" x14ac:dyDescent="0.25">
      <c r="C23" s="3" t="s">
        <v>22</v>
      </c>
      <c r="D23" s="22">
        <v>3</v>
      </c>
      <c r="E23" s="4"/>
      <c r="F23" s="24"/>
    </row>
    <row r="24" spans="3:6" x14ac:dyDescent="0.25">
      <c r="C24" s="3" t="s">
        <v>23</v>
      </c>
      <c r="D24" s="1">
        <f>SUM(D19:D23)</f>
        <v>44</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32" t="s">
        <v>91</v>
      </c>
      <c r="E29" s="4"/>
      <c r="F29" s="24"/>
    </row>
    <row r="30" spans="3:6" ht="30" x14ac:dyDescent="0.25">
      <c r="C30" s="3" t="s">
        <v>29</v>
      </c>
      <c r="D30" s="32" t="s">
        <v>92</v>
      </c>
      <c r="E30" s="4"/>
      <c r="F30" s="24"/>
    </row>
    <row r="31" spans="3:6" ht="30" x14ac:dyDescent="0.25">
      <c r="C31" s="3" t="s">
        <v>30</v>
      </c>
      <c r="D31" s="32" t="s">
        <v>93</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94</v>
      </c>
      <c r="E38" s="21" t="s">
        <v>95</v>
      </c>
      <c r="F38" s="21" t="s">
        <v>96</v>
      </c>
      <c r="G38" s="23">
        <v>0.5</v>
      </c>
      <c r="H38" s="21">
        <v>6</v>
      </c>
    </row>
    <row r="39" spans="3:8" x14ac:dyDescent="0.25">
      <c r="C39" s="3" t="s">
        <v>44</v>
      </c>
      <c r="D39" s="21" t="s">
        <v>97</v>
      </c>
      <c r="E39" s="21" t="s">
        <v>98</v>
      </c>
      <c r="F39" s="21" t="s">
        <v>99</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52</v>
      </c>
    </row>
    <row r="47" spans="3:8" x14ac:dyDescent="0.25">
      <c r="C47" s="25" t="s">
        <v>40</v>
      </c>
      <c r="D47" s="24" t="s">
        <v>28</v>
      </c>
      <c r="E47" s="24" t="s">
        <v>50</v>
      </c>
      <c r="F47" s="24" t="s">
        <v>100</v>
      </c>
    </row>
    <row r="48" spans="3:8" x14ac:dyDescent="0.25">
      <c r="C48" s="25" t="s">
        <v>40</v>
      </c>
      <c r="D48" s="24" t="s">
        <v>29</v>
      </c>
      <c r="E48" s="24" t="s">
        <v>57</v>
      </c>
      <c r="F48" s="24" t="s">
        <v>101</v>
      </c>
    </row>
    <row r="49" spans="2:6" x14ac:dyDescent="0.25">
      <c r="C49" s="25" t="s">
        <v>40</v>
      </c>
      <c r="D49" s="24" t="s">
        <v>29</v>
      </c>
      <c r="E49" s="24" t="s">
        <v>102</v>
      </c>
      <c r="F49" s="24" t="s">
        <v>103</v>
      </c>
    </row>
    <row r="50" spans="2:6" x14ac:dyDescent="0.25">
      <c r="C50" s="25" t="s">
        <v>40</v>
      </c>
      <c r="D50" s="24" t="s">
        <v>29</v>
      </c>
      <c r="E50" s="24" t="s">
        <v>55</v>
      </c>
      <c r="F50" s="24" t="s">
        <v>104</v>
      </c>
    </row>
    <row r="51" spans="2:6" x14ac:dyDescent="0.25">
      <c r="C51" s="25" t="s">
        <v>40</v>
      </c>
      <c r="D51" s="24" t="s">
        <v>30</v>
      </c>
      <c r="E51" s="24" t="s">
        <v>105</v>
      </c>
      <c r="F51" s="24" t="s">
        <v>106</v>
      </c>
    </row>
    <row r="52" spans="2:6" x14ac:dyDescent="0.25">
      <c r="C52" s="25" t="s">
        <v>44</v>
      </c>
      <c r="D52" s="24" t="s">
        <v>28</v>
      </c>
      <c r="E52" s="24" t="s">
        <v>50</v>
      </c>
      <c r="F52" s="24" t="s">
        <v>52</v>
      </c>
    </row>
    <row r="53" spans="2:6" x14ac:dyDescent="0.25">
      <c r="C53" s="25" t="s">
        <v>44</v>
      </c>
      <c r="D53" s="24" t="s">
        <v>29</v>
      </c>
      <c r="E53" s="24" t="s">
        <v>50</v>
      </c>
      <c r="F53" s="24" t="s">
        <v>52</v>
      </c>
    </row>
    <row r="54" spans="2:6" x14ac:dyDescent="0.25">
      <c r="C54" s="25" t="s">
        <v>44</v>
      </c>
      <c r="D54" s="24" t="s">
        <v>29</v>
      </c>
      <c r="E54" s="24" t="s">
        <v>50</v>
      </c>
      <c r="F54" s="24" t="s">
        <v>100</v>
      </c>
    </row>
    <row r="55" spans="2:6" x14ac:dyDescent="0.25">
      <c r="C55" s="25" t="s">
        <v>44</v>
      </c>
      <c r="D55" s="24" t="s">
        <v>30</v>
      </c>
      <c r="E55" s="24" t="s">
        <v>53</v>
      </c>
      <c r="F55" s="24" t="s">
        <v>107</v>
      </c>
    </row>
    <row r="56" spans="2:6" x14ac:dyDescent="0.25">
      <c r="C56" s="25"/>
      <c r="D56" s="24"/>
      <c r="E56" s="24"/>
      <c r="F56" s="24"/>
    </row>
    <row r="59" spans="2:6" ht="18.75" x14ac:dyDescent="0.25">
      <c r="C59" s="5" t="s">
        <v>59</v>
      </c>
    </row>
    <row r="60" spans="2:6" x14ac:dyDescent="0.25">
      <c r="B60" t="s">
        <v>60</v>
      </c>
      <c r="C60" s="1" t="s">
        <v>61</v>
      </c>
      <c r="D60" s="1" t="s">
        <v>62</v>
      </c>
      <c r="E60" s="1" t="s">
        <v>63</v>
      </c>
      <c r="F60" s="1" t="s">
        <v>64</v>
      </c>
    </row>
    <row r="61" spans="2:6" ht="45" x14ac:dyDescent="0.25">
      <c r="B61" s="7">
        <v>1</v>
      </c>
      <c r="C61" s="1">
        <v>1</v>
      </c>
      <c r="D61" s="57" t="s">
        <v>108</v>
      </c>
      <c r="E61" s="57" t="s">
        <v>109</v>
      </c>
      <c r="F61" s="59" t="s">
        <v>110</v>
      </c>
    </row>
    <row r="62" spans="2:6" ht="30" x14ac:dyDescent="0.25">
      <c r="B62" s="7">
        <v>1</v>
      </c>
      <c r="C62" s="1">
        <v>2</v>
      </c>
      <c r="D62" s="56" t="s">
        <v>111</v>
      </c>
      <c r="E62" s="57" t="s">
        <v>112</v>
      </c>
      <c r="F62" s="58" t="s">
        <v>113</v>
      </c>
    </row>
    <row r="63" spans="2:6" ht="30" x14ac:dyDescent="0.25">
      <c r="B63" s="7">
        <v>1</v>
      </c>
      <c r="C63" s="1">
        <v>3</v>
      </c>
      <c r="D63" s="56" t="s">
        <v>114</v>
      </c>
      <c r="E63" s="56" t="s">
        <v>115</v>
      </c>
      <c r="F63" s="60" t="s">
        <v>116</v>
      </c>
    </row>
    <row r="64" spans="2:6" ht="30" x14ac:dyDescent="0.25">
      <c r="B64" s="7">
        <v>1</v>
      </c>
      <c r="C64" s="1">
        <v>4</v>
      </c>
      <c r="D64" s="56" t="s">
        <v>117</v>
      </c>
      <c r="E64" s="56" t="s">
        <v>118</v>
      </c>
      <c r="F64" s="21" t="s">
        <v>119</v>
      </c>
    </row>
    <row r="65" spans="2:6" x14ac:dyDescent="0.25">
      <c r="B65" s="7">
        <v>1</v>
      </c>
      <c r="C65" s="1">
        <v>5</v>
      </c>
      <c r="D65" s="56" t="s">
        <v>120</v>
      </c>
      <c r="E65" s="56" t="s">
        <v>121</v>
      </c>
      <c r="F65" s="24" t="s">
        <v>122</v>
      </c>
    </row>
    <row r="66" spans="2:6" ht="30" x14ac:dyDescent="0.25">
      <c r="B66" s="7">
        <v>1</v>
      </c>
      <c r="C66" s="1">
        <v>6</v>
      </c>
      <c r="D66" s="56" t="s">
        <v>123</v>
      </c>
      <c r="E66" s="56" t="s">
        <v>124</v>
      </c>
      <c r="F66" s="61" t="s">
        <v>125</v>
      </c>
    </row>
    <row r="67" spans="2:6" x14ac:dyDescent="0.25">
      <c r="B67" s="7">
        <v>1</v>
      </c>
      <c r="C67" s="1">
        <v>7</v>
      </c>
      <c r="D67" s="56" t="s">
        <v>126</v>
      </c>
      <c r="E67" s="56" t="s">
        <v>127</v>
      </c>
      <c r="F67" s="21" t="s">
        <v>128</v>
      </c>
    </row>
    <row r="68" spans="2:6" ht="45" x14ac:dyDescent="0.25">
      <c r="B68" s="7">
        <v>1</v>
      </c>
      <c r="C68" s="1">
        <v>8</v>
      </c>
      <c r="D68" s="56" t="s">
        <v>129</v>
      </c>
      <c r="E68" s="56" t="s">
        <v>130</v>
      </c>
      <c r="F68" s="21" t="s">
        <v>131</v>
      </c>
    </row>
    <row r="69" spans="2:6" ht="30" x14ac:dyDescent="0.25">
      <c r="B69" s="7">
        <v>1</v>
      </c>
      <c r="C69" s="1">
        <v>9</v>
      </c>
      <c r="D69" s="56" t="s">
        <v>132</v>
      </c>
      <c r="E69" s="56" t="s">
        <v>133</v>
      </c>
      <c r="F69" s="62" t="s">
        <v>134</v>
      </c>
    </row>
    <row r="70" spans="2:6" ht="30" x14ac:dyDescent="0.25">
      <c r="B70" s="7">
        <v>1</v>
      </c>
      <c r="C70" s="1">
        <v>10</v>
      </c>
      <c r="D70" s="56" t="s">
        <v>135</v>
      </c>
      <c r="E70" s="56" t="s">
        <v>136</v>
      </c>
      <c r="F70" s="21" t="s">
        <v>137</v>
      </c>
    </row>
    <row r="71" spans="2:6" ht="30" x14ac:dyDescent="0.25">
      <c r="B71" s="7">
        <v>1</v>
      </c>
      <c r="C71" s="1">
        <v>11</v>
      </c>
      <c r="D71" s="56" t="s">
        <v>138</v>
      </c>
      <c r="E71" s="56" t="s">
        <v>139</v>
      </c>
      <c r="F71" s="21" t="s">
        <v>140</v>
      </c>
    </row>
    <row r="72" spans="2:6" ht="45" x14ac:dyDescent="0.25">
      <c r="B72" s="7">
        <v>1</v>
      </c>
      <c r="C72" s="1">
        <v>12</v>
      </c>
      <c r="D72" s="32" t="s">
        <v>141</v>
      </c>
      <c r="E72" s="32" t="s">
        <v>142</v>
      </c>
      <c r="F72" s="21" t="s">
        <v>143</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5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D46:D56</xm:sqref>
        </x14:dataValidation>
        <x14:dataValidation type="list" allowBlank="1" showInputMessage="1" showErrorMessage="1" xr:uid="{95157A6A-B091-4F3A-8EF6-A3BE869FBEBC}">
          <x14:formula1>
            <xm:f>LISTS!$J$7:$J$16</xm:f>
          </x14:formula1>
          <xm:sqref>E46:E56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5"/>
  <sheetViews>
    <sheetView showGridLines="0" topLeftCell="B7" zoomScale="85" zoomScaleNormal="85" workbookViewId="0">
      <selection activeCell="E92" sqref="E9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4094SPS</v>
      </c>
      <c r="D2" s="20" t="str">
        <f>D8</f>
        <v>Human Movement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4.5" x14ac:dyDescent="0.25">
      <c r="B7" s="2"/>
      <c r="C7" s="3" t="s">
        <v>4</v>
      </c>
      <c r="D7" s="21" t="s">
        <v>144</v>
      </c>
      <c r="E7" s="4"/>
      <c r="F7" s="34" t="s">
        <v>145</v>
      </c>
    </row>
    <row r="8" spans="2:6" x14ac:dyDescent="0.25">
      <c r="B8" s="2"/>
      <c r="C8" s="3" t="s">
        <v>6</v>
      </c>
      <c r="D8" s="21" t="s">
        <v>146</v>
      </c>
      <c r="E8" s="4"/>
      <c r="F8" s="24"/>
    </row>
    <row r="9" spans="2:6" x14ac:dyDescent="0.25">
      <c r="C9" s="3" t="s">
        <v>7</v>
      </c>
      <c r="D9" s="21">
        <v>20</v>
      </c>
      <c r="E9" s="4"/>
    </row>
    <row r="10" spans="2:6" x14ac:dyDescent="0.25">
      <c r="C10" s="3" t="s">
        <v>8</v>
      </c>
      <c r="D10" s="21">
        <v>2</v>
      </c>
      <c r="E10" s="4"/>
      <c r="F10" t="s">
        <v>9</v>
      </c>
    </row>
    <row r="11" spans="2:6" x14ac:dyDescent="0.25">
      <c r="C11" s="3" t="s">
        <v>10</v>
      </c>
      <c r="D11" s="21">
        <v>4</v>
      </c>
      <c r="E11" s="4"/>
      <c r="F11" s="24" t="s">
        <v>147</v>
      </c>
    </row>
    <row r="12" spans="2:6" x14ac:dyDescent="0.25">
      <c r="C12" s="3" t="s">
        <v>11</v>
      </c>
      <c r="D12" s="21" t="s">
        <v>148</v>
      </c>
      <c r="E12" s="4"/>
      <c r="F12" s="24" t="s">
        <v>149</v>
      </c>
    </row>
    <row r="13" spans="2:6" x14ac:dyDescent="0.25">
      <c r="C13" s="3" t="s">
        <v>12</v>
      </c>
      <c r="D13" s="21" t="s">
        <v>87</v>
      </c>
      <c r="E13" s="4"/>
      <c r="F13" s="24" t="s">
        <v>150</v>
      </c>
    </row>
    <row r="14" spans="2:6" x14ac:dyDescent="0.25">
      <c r="C14" s="3" t="s">
        <v>13</v>
      </c>
      <c r="D14" s="21" t="s">
        <v>151</v>
      </c>
      <c r="E14" s="4"/>
    </row>
    <row r="15" spans="2:6" x14ac:dyDescent="0.25">
      <c r="C15" s="3"/>
      <c r="D15" s="4"/>
      <c r="E15" s="4"/>
      <c r="F15" t="s">
        <v>14</v>
      </c>
    </row>
    <row r="16" spans="2:6" ht="153.75" x14ac:dyDescent="0.25">
      <c r="C16" s="3"/>
      <c r="D16" s="4"/>
      <c r="E16" s="4"/>
      <c r="F16" s="34" t="s">
        <v>152</v>
      </c>
    </row>
    <row r="17" spans="3:6" ht="18.75" x14ac:dyDescent="0.25">
      <c r="C17" s="5" t="s">
        <v>15</v>
      </c>
      <c r="D17" s="4"/>
      <c r="E17" s="4"/>
      <c r="F17" s="24"/>
    </row>
    <row r="18" spans="3:6" x14ac:dyDescent="0.25">
      <c r="C18" s="3" t="s">
        <v>16</v>
      </c>
      <c r="D18" s="1" t="s">
        <v>15</v>
      </c>
      <c r="E18" s="4"/>
      <c r="F18" s="24"/>
    </row>
    <row r="19" spans="3:6" x14ac:dyDescent="0.25">
      <c r="C19" s="3" t="s">
        <v>17</v>
      </c>
      <c r="D19" s="22">
        <v>11</v>
      </c>
      <c r="E19" s="4"/>
      <c r="F19" s="24"/>
    </row>
    <row r="20" spans="3:6" x14ac:dyDescent="0.25">
      <c r="C20" s="3" t="s">
        <v>18</v>
      </c>
      <c r="D20" s="22"/>
      <c r="E20" s="4"/>
      <c r="F20" s="24"/>
    </row>
    <row r="21" spans="3:6" x14ac:dyDescent="0.25">
      <c r="C21" s="3" t="s">
        <v>19</v>
      </c>
      <c r="D21" s="22">
        <v>6</v>
      </c>
      <c r="E21" s="4"/>
    </row>
    <row r="22" spans="3:6" x14ac:dyDescent="0.25">
      <c r="C22" s="3" t="s">
        <v>20</v>
      </c>
      <c r="D22" s="22">
        <v>11</v>
      </c>
      <c r="E22" s="4"/>
      <c r="F22" t="s">
        <v>21</v>
      </c>
    </row>
    <row r="23" spans="3:6" ht="60" x14ac:dyDescent="0.25">
      <c r="C23" s="3" t="s">
        <v>22</v>
      </c>
      <c r="D23" s="22">
        <v>11</v>
      </c>
      <c r="E23" s="4"/>
      <c r="F23" s="32" t="s">
        <v>153</v>
      </c>
    </row>
    <row r="24" spans="3:6" x14ac:dyDescent="0.25">
      <c r="C24" s="3" t="s">
        <v>23</v>
      </c>
      <c r="D24" s="1">
        <f>SUM(D19:D23)</f>
        <v>39</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33" t="s">
        <v>154</v>
      </c>
      <c r="E29" s="4"/>
      <c r="F29" s="24"/>
    </row>
    <row r="30" spans="3:6" ht="30" x14ac:dyDescent="0.25">
      <c r="C30" s="3" t="s">
        <v>29</v>
      </c>
      <c r="D30" s="33" t="s">
        <v>155</v>
      </c>
      <c r="E30" s="4"/>
      <c r="F30" s="24"/>
    </row>
    <row r="31" spans="3:6" ht="30" x14ac:dyDescent="0.25">
      <c r="C31" s="3" t="s">
        <v>30</v>
      </c>
      <c r="D31" s="33" t="s">
        <v>156</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97</v>
      </c>
      <c r="E38" s="21" t="s">
        <v>157</v>
      </c>
      <c r="F38" s="21" t="s">
        <v>158</v>
      </c>
      <c r="G38" s="23">
        <v>0.35</v>
      </c>
      <c r="H38" s="21">
        <v>6</v>
      </c>
    </row>
    <row r="39" spans="3:8" ht="105" x14ac:dyDescent="0.25">
      <c r="C39" s="3" t="s">
        <v>44</v>
      </c>
      <c r="D39" s="21" t="s">
        <v>41</v>
      </c>
      <c r="E39" s="21" t="s">
        <v>159</v>
      </c>
      <c r="F39" s="21" t="s">
        <v>160</v>
      </c>
      <c r="G39" s="23">
        <v>0.65</v>
      </c>
      <c r="H39" s="21">
        <v>13</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53</v>
      </c>
      <c r="F47" s="24" t="s">
        <v>161</v>
      </c>
    </row>
    <row r="48" spans="3:8" x14ac:dyDescent="0.25">
      <c r="C48" s="25" t="s">
        <v>44</v>
      </c>
      <c r="D48" s="24" t="s">
        <v>29</v>
      </c>
      <c r="E48" s="24" t="s">
        <v>50</v>
      </c>
      <c r="F48" s="24" t="s">
        <v>162</v>
      </c>
    </row>
    <row r="49" spans="3:6" x14ac:dyDescent="0.25">
      <c r="C49" s="25" t="s">
        <v>44</v>
      </c>
      <c r="D49" s="24" t="s">
        <v>29</v>
      </c>
      <c r="E49" s="24" t="s">
        <v>55</v>
      </c>
      <c r="F49" s="24" t="s">
        <v>163</v>
      </c>
    </row>
    <row r="50" spans="3:6" x14ac:dyDescent="0.25">
      <c r="C50" s="25" t="s">
        <v>44</v>
      </c>
      <c r="D50" s="24" t="s">
        <v>29</v>
      </c>
      <c r="E50" s="24" t="s">
        <v>57</v>
      </c>
      <c r="F50" s="24" t="s">
        <v>101</v>
      </c>
    </row>
    <row r="51" spans="3:6" x14ac:dyDescent="0.25">
      <c r="C51" s="25" t="s">
        <v>44</v>
      </c>
      <c r="D51" s="24" t="s">
        <v>29</v>
      </c>
      <c r="E51" s="24" t="s">
        <v>53</v>
      </c>
      <c r="F51" s="24" t="s">
        <v>161</v>
      </c>
    </row>
    <row r="52" spans="3:6" x14ac:dyDescent="0.25">
      <c r="C52" s="25" t="s">
        <v>44</v>
      </c>
      <c r="D52" s="24" t="s">
        <v>29</v>
      </c>
      <c r="E52" s="24" t="s">
        <v>164</v>
      </c>
      <c r="F52" s="24" t="s">
        <v>165</v>
      </c>
    </row>
    <row r="53" spans="3:6" x14ac:dyDescent="0.25">
      <c r="C53" s="25" t="s">
        <v>44</v>
      </c>
      <c r="D53" s="24" t="s">
        <v>29</v>
      </c>
      <c r="E53" s="24" t="s">
        <v>164</v>
      </c>
      <c r="F53" s="24" t="s">
        <v>166</v>
      </c>
    </row>
    <row r="54" spans="3:6" x14ac:dyDescent="0.25">
      <c r="C54" s="25" t="s">
        <v>44</v>
      </c>
      <c r="D54" s="24" t="s">
        <v>29</v>
      </c>
      <c r="E54" s="24" t="s">
        <v>164</v>
      </c>
      <c r="F54" s="24" t="s">
        <v>167</v>
      </c>
    </row>
    <row r="55" spans="3:6" x14ac:dyDescent="0.25">
      <c r="C55" s="25" t="s">
        <v>44</v>
      </c>
      <c r="D55" s="24" t="s">
        <v>29</v>
      </c>
      <c r="E55" s="24" t="s">
        <v>164</v>
      </c>
      <c r="F55" s="24" t="s">
        <v>168</v>
      </c>
    </row>
    <row r="56" spans="3:6" x14ac:dyDescent="0.25">
      <c r="C56" s="25" t="s">
        <v>44</v>
      </c>
      <c r="D56" s="24" t="s">
        <v>29</v>
      </c>
      <c r="E56" s="24" t="s">
        <v>169</v>
      </c>
      <c r="F56" s="24" t="s">
        <v>170</v>
      </c>
    </row>
    <row r="57" spans="3:6" x14ac:dyDescent="0.25">
      <c r="C57" s="25" t="s">
        <v>44</v>
      </c>
      <c r="D57" s="24" t="s">
        <v>30</v>
      </c>
      <c r="E57" s="24" t="s">
        <v>50</v>
      </c>
      <c r="F57" s="24" t="s">
        <v>162</v>
      </c>
    </row>
    <row r="58" spans="3:6" x14ac:dyDescent="0.25">
      <c r="C58" s="25" t="s">
        <v>44</v>
      </c>
      <c r="D58" s="24" t="s">
        <v>30</v>
      </c>
      <c r="E58" s="24" t="s">
        <v>55</v>
      </c>
      <c r="F58" s="24" t="s">
        <v>163</v>
      </c>
    </row>
    <row r="59" spans="3:6" x14ac:dyDescent="0.25">
      <c r="C59" s="25" t="s">
        <v>44</v>
      </c>
      <c r="D59" s="24" t="s">
        <v>30</v>
      </c>
      <c r="E59" s="24" t="s">
        <v>57</v>
      </c>
      <c r="F59" s="24" t="s">
        <v>101</v>
      </c>
    </row>
    <row r="60" spans="3:6" x14ac:dyDescent="0.25">
      <c r="C60" s="25" t="s">
        <v>44</v>
      </c>
      <c r="D60" s="24" t="s">
        <v>30</v>
      </c>
      <c r="E60" s="24" t="s">
        <v>53</v>
      </c>
      <c r="F60" s="24" t="s">
        <v>161</v>
      </c>
    </row>
    <row r="61" spans="3:6" x14ac:dyDescent="0.25">
      <c r="C61" s="25" t="s">
        <v>44</v>
      </c>
      <c r="D61" s="24" t="s">
        <v>30</v>
      </c>
      <c r="E61" s="24" t="s">
        <v>164</v>
      </c>
      <c r="F61" s="24" t="s">
        <v>165</v>
      </c>
    </row>
    <row r="62" spans="3:6" x14ac:dyDescent="0.25">
      <c r="C62" s="25" t="s">
        <v>44</v>
      </c>
      <c r="D62" s="24" t="s">
        <v>30</v>
      </c>
      <c r="E62" s="24" t="s">
        <v>164</v>
      </c>
      <c r="F62" s="24" t="s">
        <v>166</v>
      </c>
    </row>
    <row r="63" spans="3:6" x14ac:dyDescent="0.25">
      <c r="C63" s="25" t="s">
        <v>44</v>
      </c>
      <c r="D63" s="24" t="s">
        <v>30</v>
      </c>
      <c r="E63" s="24" t="s">
        <v>164</v>
      </c>
      <c r="F63" s="24" t="s">
        <v>167</v>
      </c>
    </row>
    <row r="64" spans="3:6" x14ac:dyDescent="0.25">
      <c r="C64" s="25" t="s">
        <v>44</v>
      </c>
      <c r="D64" s="24" t="s">
        <v>30</v>
      </c>
      <c r="E64" s="24" t="s">
        <v>164</v>
      </c>
      <c r="F64" s="24" t="s">
        <v>168</v>
      </c>
    </row>
    <row r="65" spans="2:6" x14ac:dyDescent="0.25">
      <c r="C65" s="25" t="s">
        <v>44</v>
      </c>
      <c r="D65" s="24" t="s">
        <v>30</v>
      </c>
      <c r="E65" s="24" t="s">
        <v>169</v>
      </c>
      <c r="F65" s="24" t="s">
        <v>170</v>
      </c>
    </row>
    <row r="66" spans="2:6" x14ac:dyDescent="0.25">
      <c r="C66" s="25"/>
      <c r="D66" s="24"/>
      <c r="E66" s="24"/>
      <c r="F66" s="24"/>
    </row>
    <row r="67" spans="2:6" x14ac:dyDescent="0.25">
      <c r="C67" s="25"/>
      <c r="D67" s="24"/>
      <c r="E67" s="24"/>
      <c r="F67" s="24"/>
    </row>
    <row r="70" spans="2:6" ht="18.75" x14ac:dyDescent="0.25">
      <c r="C70" s="5" t="s">
        <v>59</v>
      </c>
    </row>
    <row r="71" spans="2:6" x14ac:dyDescent="0.25">
      <c r="B71" t="s">
        <v>60</v>
      </c>
      <c r="C71" s="1" t="s">
        <v>61</v>
      </c>
      <c r="D71" s="1" t="s">
        <v>62</v>
      </c>
      <c r="E71" s="1" t="s">
        <v>63</v>
      </c>
      <c r="F71" s="1" t="s">
        <v>64</v>
      </c>
    </row>
    <row r="72" spans="2:6" x14ac:dyDescent="0.25">
      <c r="B72" s="7">
        <v>1</v>
      </c>
      <c r="C72" s="1">
        <v>1</v>
      </c>
      <c r="D72" s="21"/>
      <c r="E72" s="21"/>
      <c r="F72" s="21"/>
    </row>
    <row r="73" spans="2:6" x14ac:dyDescent="0.25">
      <c r="B73" s="7">
        <v>1</v>
      </c>
      <c r="C73" s="1">
        <v>2</v>
      </c>
      <c r="D73" s="21"/>
      <c r="E73" s="21"/>
      <c r="F73" s="21"/>
    </row>
    <row r="74" spans="2:6" x14ac:dyDescent="0.25">
      <c r="B74" s="7">
        <v>1</v>
      </c>
      <c r="C74" s="1">
        <v>3</v>
      </c>
      <c r="D74" s="21"/>
      <c r="E74" s="21"/>
      <c r="F74" s="21"/>
    </row>
    <row r="75" spans="2:6" x14ac:dyDescent="0.25">
      <c r="B75" s="7">
        <v>1</v>
      </c>
      <c r="C75" s="1">
        <v>4</v>
      </c>
      <c r="D75" s="21"/>
      <c r="E75" s="21"/>
      <c r="F75" s="21"/>
    </row>
    <row r="76" spans="2:6" x14ac:dyDescent="0.25">
      <c r="B76" s="7">
        <v>1</v>
      </c>
      <c r="C76" s="1">
        <v>5</v>
      </c>
      <c r="D76" s="21"/>
      <c r="E76" s="21"/>
      <c r="F76" s="21"/>
    </row>
    <row r="77" spans="2:6" x14ac:dyDescent="0.25">
      <c r="B77" s="7">
        <v>1</v>
      </c>
      <c r="C77" s="1">
        <v>6</v>
      </c>
      <c r="D77" s="21"/>
      <c r="E77" s="21"/>
      <c r="F77" s="21"/>
    </row>
    <row r="78" spans="2:6" x14ac:dyDescent="0.25">
      <c r="B78" s="7">
        <v>1</v>
      </c>
      <c r="C78" s="1">
        <v>7</v>
      </c>
      <c r="D78" s="21"/>
      <c r="E78" s="21"/>
      <c r="F78" s="21"/>
    </row>
    <row r="79" spans="2:6" x14ac:dyDescent="0.25">
      <c r="B79" s="7">
        <v>1</v>
      </c>
      <c r="C79" s="1">
        <v>8</v>
      </c>
      <c r="D79" s="21"/>
      <c r="E79" s="21"/>
      <c r="F79" s="21"/>
    </row>
    <row r="80" spans="2:6" x14ac:dyDescent="0.25">
      <c r="B80" s="7">
        <v>1</v>
      </c>
      <c r="C80" s="1">
        <v>9</v>
      </c>
      <c r="D80" s="21"/>
      <c r="E80" s="21"/>
      <c r="F80" s="21"/>
    </row>
    <row r="81" spans="2:6" x14ac:dyDescent="0.25">
      <c r="B81" s="7">
        <v>1</v>
      </c>
      <c r="C81" s="1">
        <v>10</v>
      </c>
      <c r="D81" s="21"/>
      <c r="E81" s="21"/>
      <c r="F81" s="21"/>
    </row>
    <row r="82" spans="2:6" x14ac:dyDescent="0.25">
      <c r="B82" s="7">
        <v>1</v>
      </c>
      <c r="C82" s="1">
        <v>11</v>
      </c>
      <c r="D82" s="21"/>
      <c r="E82" s="21"/>
      <c r="F82" s="21"/>
    </row>
    <row r="83" spans="2:6" x14ac:dyDescent="0.25">
      <c r="B83" s="7">
        <v>1</v>
      </c>
      <c r="C83" s="1">
        <v>12</v>
      </c>
      <c r="D83" s="21"/>
      <c r="E83" s="21"/>
      <c r="F83" s="21"/>
    </row>
    <row r="84" spans="2:6" ht="30" x14ac:dyDescent="0.25">
      <c r="B84" s="7">
        <v>2</v>
      </c>
      <c r="C84" s="1">
        <v>1</v>
      </c>
      <c r="D84" s="21" t="s">
        <v>171</v>
      </c>
      <c r="E84" s="21" t="s">
        <v>172</v>
      </c>
      <c r="F84" s="21" t="s">
        <v>173</v>
      </c>
    </row>
    <row r="85" spans="2:6" ht="45" x14ac:dyDescent="0.25">
      <c r="B85" s="7">
        <v>2</v>
      </c>
      <c r="C85" s="1">
        <v>2</v>
      </c>
      <c r="D85" s="21" t="s">
        <v>174</v>
      </c>
      <c r="E85" s="21" t="s">
        <v>175</v>
      </c>
      <c r="F85" s="49" t="s">
        <v>173</v>
      </c>
    </row>
    <row r="86" spans="2:6" ht="45" x14ac:dyDescent="0.25">
      <c r="B86" s="7">
        <v>2</v>
      </c>
      <c r="C86" s="1">
        <v>3</v>
      </c>
      <c r="D86" s="21" t="s">
        <v>176</v>
      </c>
      <c r="E86" s="21" t="s">
        <v>177</v>
      </c>
      <c r="F86" s="21" t="s">
        <v>178</v>
      </c>
    </row>
    <row r="87" spans="2:6" ht="30" x14ac:dyDescent="0.25">
      <c r="B87" s="7">
        <v>2</v>
      </c>
      <c r="C87" s="1">
        <v>4</v>
      </c>
      <c r="D87" s="21" t="s">
        <v>179</v>
      </c>
      <c r="E87" s="21" t="s">
        <v>180</v>
      </c>
      <c r="F87" s="21" t="s">
        <v>178</v>
      </c>
    </row>
    <row r="88" spans="2:6" ht="30" x14ac:dyDescent="0.25">
      <c r="B88" s="7">
        <v>2</v>
      </c>
      <c r="C88" s="1">
        <v>5</v>
      </c>
      <c r="D88" s="21" t="s">
        <v>181</v>
      </c>
      <c r="E88" s="21" t="s">
        <v>182</v>
      </c>
      <c r="F88" s="21" t="s">
        <v>178</v>
      </c>
    </row>
    <row r="89" spans="2:6" ht="30" x14ac:dyDescent="0.25">
      <c r="B89" s="7">
        <v>2</v>
      </c>
      <c r="C89" s="1">
        <v>6</v>
      </c>
      <c r="D89" s="21" t="s">
        <v>183</v>
      </c>
      <c r="E89" s="48" t="s">
        <v>184</v>
      </c>
      <c r="F89" s="49" t="s">
        <v>173</v>
      </c>
    </row>
    <row r="90" spans="2:6" ht="30" x14ac:dyDescent="0.25">
      <c r="B90" s="7">
        <v>2</v>
      </c>
      <c r="C90" s="1">
        <v>7</v>
      </c>
      <c r="D90" s="21" t="s">
        <v>185</v>
      </c>
      <c r="E90" s="21" t="s">
        <v>186</v>
      </c>
      <c r="F90" s="21" t="s">
        <v>178</v>
      </c>
    </row>
    <row r="91" spans="2:6" ht="30" x14ac:dyDescent="0.25">
      <c r="B91" s="7">
        <v>2</v>
      </c>
      <c r="C91" s="1">
        <v>8</v>
      </c>
      <c r="D91" s="21" t="s">
        <v>187</v>
      </c>
      <c r="E91" s="48" t="s">
        <v>188</v>
      </c>
      <c r="F91" s="49" t="s">
        <v>173</v>
      </c>
    </row>
    <row r="92" spans="2:6" ht="45" x14ac:dyDescent="0.25">
      <c r="B92" s="7">
        <v>2</v>
      </c>
      <c r="C92" s="1">
        <v>9</v>
      </c>
      <c r="D92" s="21" t="s">
        <v>189</v>
      </c>
      <c r="E92" s="21" t="s">
        <v>190</v>
      </c>
      <c r="F92" s="21" t="s">
        <v>178</v>
      </c>
    </row>
    <row r="93" spans="2:6" ht="30" x14ac:dyDescent="0.25">
      <c r="B93" s="7">
        <v>2</v>
      </c>
      <c r="C93" s="1">
        <v>10</v>
      </c>
      <c r="D93" s="21" t="s">
        <v>191</v>
      </c>
      <c r="E93" s="48" t="s">
        <v>192</v>
      </c>
      <c r="F93" s="21" t="s">
        <v>178</v>
      </c>
    </row>
    <row r="94" spans="2:6" x14ac:dyDescent="0.25">
      <c r="B94" s="7">
        <v>2</v>
      </c>
      <c r="C94" s="1">
        <v>11</v>
      </c>
      <c r="D94" s="21" t="s">
        <v>193</v>
      </c>
      <c r="E94" s="21" t="s">
        <v>194</v>
      </c>
      <c r="F94" s="21" t="s">
        <v>173</v>
      </c>
    </row>
    <row r="95" spans="2:6" x14ac:dyDescent="0.25">
      <c r="B95" s="7">
        <v>2</v>
      </c>
      <c r="C95" s="1">
        <v>12</v>
      </c>
      <c r="D95" s="21"/>
      <c r="E95" s="21"/>
      <c r="F95" s="21"/>
    </row>
  </sheetData>
  <sheetProtection sheet="1" objects="1" scenarios="1" selectLockedCells="1" sort="0" autoFilter="0" pivotTables="0"/>
  <dataValidations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6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D46:D67</xm:sqref>
        </x14:dataValidation>
        <x14:dataValidation type="list" allowBlank="1" showInputMessage="1" showErrorMessage="1" xr:uid="{C1ACB768-367A-4765-AEE3-B6D50718CC09}">
          <x14:formula1>
            <xm:f>LISTS!$J$7:$J$16</xm:f>
          </x14:formula1>
          <xm:sqref>E46:E67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84"/>
  <sheetViews>
    <sheetView showGridLines="0" topLeftCell="A39" zoomScale="85" zoomScaleNormal="85" workbookViewId="0">
      <selection activeCell="F68" sqref="F68:F7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5091SPS</v>
      </c>
      <c r="D2" s="20" t="str">
        <f>D8</f>
        <v>Research Methods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804</v>
      </c>
      <c r="E7" s="4"/>
      <c r="F7" s="24" t="s">
        <v>803</v>
      </c>
    </row>
    <row r="8" spans="2:6" x14ac:dyDescent="0.25">
      <c r="B8" s="2"/>
      <c r="C8" s="3" t="s">
        <v>6</v>
      </c>
      <c r="D8" s="21" t="s">
        <v>802</v>
      </c>
      <c r="E8" s="4"/>
      <c r="F8" s="24"/>
    </row>
    <row r="9" spans="2:6" x14ac:dyDescent="0.25">
      <c r="C9" s="3" t="s">
        <v>7</v>
      </c>
      <c r="D9" s="21">
        <v>20</v>
      </c>
      <c r="E9" s="4"/>
    </row>
    <row r="10" spans="2:6" x14ac:dyDescent="0.25">
      <c r="C10" s="3" t="s">
        <v>8</v>
      </c>
      <c r="D10" s="21">
        <v>2</v>
      </c>
      <c r="E10" s="4"/>
      <c r="F10" t="s">
        <v>9</v>
      </c>
    </row>
    <row r="11" spans="2:6" x14ac:dyDescent="0.25">
      <c r="C11" s="3" t="s">
        <v>10</v>
      </c>
      <c r="D11" s="21">
        <v>5</v>
      </c>
      <c r="E11" s="4"/>
      <c r="F11" s="24" t="s">
        <v>801</v>
      </c>
    </row>
    <row r="12" spans="2:6" x14ac:dyDescent="0.25">
      <c r="C12" s="3" t="s">
        <v>11</v>
      </c>
      <c r="D12" s="21" t="s">
        <v>800</v>
      </c>
      <c r="E12" s="4"/>
      <c r="F12" s="24" t="s">
        <v>799</v>
      </c>
    </row>
    <row r="13" spans="2:6" x14ac:dyDescent="0.25">
      <c r="C13" s="3" t="s">
        <v>12</v>
      </c>
      <c r="D13" s="21" t="s">
        <v>638</v>
      </c>
      <c r="E13" s="4"/>
      <c r="F13" s="24" t="s">
        <v>798</v>
      </c>
    </row>
    <row r="14" spans="2:6" x14ac:dyDescent="0.25">
      <c r="C14" s="3" t="s">
        <v>13</v>
      </c>
      <c r="D14" s="21" t="s">
        <v>89</v>
      </c>
      <c r="E14" s="4"/>
    </row>
    <row r="15" spans="2:6" x14ac:dyDescent="0.25">
      <c r="C15" s="3"/>
      <c r="D15" s="4"/>
      <c r="E15" s="4"/>
      <c r="F15" t="s">
        <v>14</v>
      </c>
    </row>
    <row r="16" spans="2:6" x14ac:dyDescent="0.25">
      <c r="C16" s="3"/>
      <c r="D16" s="4"/>
      <c r="E16" s="4"/>
      <c r="F16" s="24" t="s">
        <v>797</v>
      </c>
    </row>
    <row r="17" spans="3:6" ht="18.75" x14ac:dyDescent="0.25">
      <c r="C17" s="5" t="s">
        <v>15</v>
      </c>
      <c r="D17" s="4"/>
      <c r="E17" s="4"/>
      <c r="F17" s="24"/>
    </row>
    <row r="18" spans="3:6" x14ac:dyDescent="0.25">
      <c r="C18" s="3" t="s">
        <v>16</v>
      </c>
      <c r="D18" s="1" t="s">
        <v>15</v>
      </c>
      <c r="E18" s="4"/>
      <c r="F18" s="24"/>
    </row>
    <row r="19" spans="3:6" x14ac:dyDescent="0.25">
      <c r="C19" s="3" t="s">
        <v>17</v>
      </c>
      <c r="D19" s="22">
        <v>34</v>
      </c>
      <c r="E19" s="4"/>
      <c r="F19" s="24"/>
    </row>
    <row r="20" spans="3:6" x14ac:dyDescent="0.25">
      <c r="C20" s="3" t="s">
        <v>18</v>
      </c>
      <c r="D20" s="22">
        <v>6</v>
      </c>
      <c r="E20" s="4"/>
      <c r="F20" s="24"/>
    </row>
    <row r="21" spans="3:6" x14ac:dyDescent="0.25">
      <c r="C21" s="3" t="s">
        <v>19</v>
      </c>
      <c r="D21" s="22"/>
      <c r="E21" s="4"/>
    </row>
    <row r="22" spans="3:6" x14ac:dyDescent="0.25">
      <c r="C22" s="3" t="s">
        <v>20</v>
      </c>
      <c r="D22" s="22">
        <v>2</v>
      </c>
      <c r="E22" s="4"/>
      <c r="F22" t="s">
        <v>21</v>
      </c>
    </row>
    <row r="23" spans="3:6" x14ac:dyDescent="0.25">
      <c r="C23" s="3" t="s">
        <v>22</v>
      </c>
      <c r="D23" s="22"/>
      <c r="E23" s="4"/>
      <c r="F23" s="24"/>
    </row>
    <row r="24" spans="3:6" x14ac:dyDescent="0.25">
      <c r="C24" s="3" t="s">
        <v>23</v>
      </c>
      <c r="D24" s="1">
        <f>SUM(D19:D23)</f>
        <v>42</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796</v>
      </c>
      <c r="E29" s="4"/>
      <c r="F29" s="24"/>
    </row>
    <row r="30" spans="3:6" ht="45" x14ac:dyDescent="0.25">
      <c r="C30" s="3" t="s">
        <v>29</v>
      </c>
      <c r="D30" s="21" t="s">
        <v>795</v>
      </c>
      <c r="E30" s="4"/>
      <c r="F30" s="24"/>
    </row>
    <row r="31" spans="3:6" ht="60" x14ac:dyDescent="0.25">
      <c r="C31" s="3" t="s">
        <v>30</v>
      </c>
      <c r="D31" s="21" t="s">
        <v>794</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793</v>
      </c>
      <c r="G38" s="23">
        <v>0.5</v>
      </c>
      <c r="H38" s="21">
        <v>6</v>
      </c>
    </row>
    <row r="39" spans="3:8" x14ac:dyDescent="0.25">
      <c r="C39" s="3" t="s">
        <v>44</v>
      </c>
      <c r="D39" s="21" t="s">
        <v>253</v>
      </c>
      <c r="E39" s="21" t="s">
        <v>418</v>
      </c>
      <c r="F39" s="21" t="s">
        <v>792</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c r="D47" s="24" t="s">
        <v>28</v>
      </c>
      <c r="E47" s="24" t="s">
        <v>50</v>
      </c>
      <c r="F47" s="24" t="s">
        <v>52</v>
      </c>
    </row>
    <row r="48" spans="3:8" x14ac:dyDescent="0.25">
      <c r="C48" s="25"/>
      <c r="D48" s="24" t="s">
        <v>28</v>
      </c>
      <c r="E48" s="24" t="s">
        <v>53</v>
      </c>
      <c r="F48" s="24" t="s">
        <v>54</v>
      </c>
    </row>
    <row r="49" spans="2:6" x14ac:dyDescent="0.25">
      <c r="C49" s="25"/>
      <c r="D49" s="24" t="s">
        <v>29</v>
      </c>
      <c r="E49" s="24" t="s">
        <v>55</v>
      </c>
      <c r="F49" s="24" t="s">
        <v>56</v>
      </c>
    </row>
    <row r="50" spans="2:6" x14ac:dyDescent="0.25">
      <c r="C50" s="25"/>
      <c r="D50" s="24" t="s">
        <v>29</v>
      </c>
      <c r="E50" s="24" t="s">
        <v>57</v>
      </c>
      <c r="F50" s="24" t="s">
        <v>58</v>
      </c>
    </row>
    <row r="51" spans="2:6" x14ac:dyDescent="0.25">
      <c r="C51" s="25"/>
      <c r="D51" s="24" t="s">
        <v>30</v>
      </c>
      <c r="E51" s="24" t="s">
        <v>102</v>
      </c>
      <c r="F51" s="24" t="s">
        <v>103</v>
      </c>
    </row>
    <row r="52" spans="2:6" x14ac:dyDescent="0.25">
      <c r="C52" s="25" t="s">
        <v>44</v>
      </c>
      <c r="D52" s="24" t="s">
        <v>29</v>
      </c>
      <c r="E52" s="24" t="s">
        <v>50</v>
      </c>
      <c r="F52" s="24" t="s">
        <v>52</v>
      </c>
    </row>
    <row r="53" spans="2:6" x14ac:dyDescent="0.25">
      <c r="C53" s="25"/>
      <c r="D53" s="24" t="s">
        <v>29</v>
      </c>
      <c r="E53" s="24" t="s">
        <v>53</v>
      </c>
      <c r="F53" s="24" t="s">
        <v>54</v>
      </c>
    </row>
    <row r="54" spans="2:6" x14ac:dyDescent="0.25">
      <c r="C54" s="25"/>
      <c r="D54" s="24" t="s">
        <v>30</v>
      </c>
      <c r="E54" s="24" t="s">
        <v>102</v>
      </c>
      <c r="F54" s="24" t="s">
        <v>230</v>
      </c>
    </row>
    <row r="55" spans="2:6" x14ac:dyDescent="0.25">
      <c r="C55" s="25"/>
      <c r="D55" s="24" t="s">
        <v>30</v>
      </c>
      <c r="E55" s="24" t="s">
        <v>55</v>
      </c>
      <c r="F55" s="24" t="s">
        <v>257</v>
      </c>
    </row>
    <row r="56" spans="2:6" x14ac:dyDescent="0.25">
      <c r="C56" s="25"/>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791</v>
      </c>
      <c r="E61" s="21" t="s">
        <v>790</v>
      </c>
      <c r="F61" s="21"/>
    </row>
    <row r="62" spans="2:6" x14ac:dyDescent="0.25">
      <c r="B62" s="7">
        <v>1</v>
      </c>
      <c r="C62" s="1">
        <v>2</v>
      </c>
      <c r="D62" s="21" t="s">
        <v>789</v>
      </c>
      <c r="E62" s="21" t="s">
        <v>788</v>
      </c>
      <c r="F62" s="21"/>
    </row>
    <row r="63" spans="2:6" x14ac:dyDescent="0.25">
      <c r="B63" s="7">
        <v>1</v>
      </c>
      <c r="C63" s="1">
        <v>3</v>
      </c>
      <c r="D63" s="21" t="s">
        <v>787</v>
      </c>
      <c r="E63" s="21" t="s">
        <v>786</v>
      </c>
      <c r="F63" s="21"/>
    </row>
    <row r="64" spans="2:6" x14ac:dyDescent="0.25">
      <c r="B64" s="7">
        <v>1</v>
      </c>
      <c r="C64" s="1">
        <v>4</v>
      </c>
      <c r="D64" s="21" t="s">
        <v>785</v>
      </c>
      <c r="E64" s="21" t="s">
        <v>784</v>
      </c>
      <c r="F64" s="21"/>
    </row>
    <row r="65" spans="2:6" x14ac:dyDescent="0.25">
      <c r="B65" s="7">
        <v>1</v>
      </c>
      <c r="C65" s="1">
        <v>5</v>
      </c>
      <c r="D65" s="21" t="s">
        <v>783</v>
      </c>
      <c r="E65" s="21" t="s">
        <v>782</v>
      </c>
      <c r="F65" s="21"/>
    </row>
    <row r="66" spans="2:6" x14ac:dyDescent="0.25">
      <c r="B66" s="7">
        <v>1</v>
      </c>
      <c r="C66" s="1">
        <v>6</v>
      </c>
      <c r="D66" s="21" t="s">
        <v>781</v>
      </c>
      <c r="E66" s="21" t="s">
        <v>780</v>
      </c>
      <c r="F66" s="21"/>
    </row>
    <row r="67" spans="2:6" x14ac:dyDescent="0.25">
      <c r="B67" s="7">
        <v>1</v>
      </c>
      <c r="C67" s="1">
        <v>7</v>
      </c>
      <c r="D67" s="21"/>
      <c r="E67" s="21"/>
      <c r="F67" s="21"/>
    </row>
    <row r="68" spans="2:6" x14ac:dyDescent="0.25">
      <c r="B68" s="7">
        <v>1</v>
      </c>
      <c r="C68" s="1">
        <v>8</v>
      </c>
      <c r="D68" s="21" t="s">
        <v>779</v>
      </c>
      <c r="E68" s="21"/>
      <c r="F68" s="21"/>
    </row>
    <row r="69" spans="2:6" x14ac:dyDescent="0.25">
      <c r="B69" s="7">
        <v>1</v>
      </c>
      <c r="C69" s="1">
        <v>9</v>
      </c>
      <c r="D69" s="21" t="s">
        <v>778</v>
      </c>
      <c r="E69" s="21" t="s">
        <v>774</v>
      </c>
      <c r="F69" s="21"/>
    </row>
    <row r="70" spans="2:6" x14ac:dyDescent="0.25">
      <c r="B70" s="7">
        <v>1</v>
      </c>
      <c r="C70" s="1">
        <v>10</v>
      </c>
      <c r="D70" s="21" t="s">
        <v>777</v>
      </c>
      <c r="E70" s="21" t="s">
        <v>774</v>
      </c>
      <c r="F70" s="21"/>
    </row>
    <row r="71" spans="2:6" x14ac:dyDescent="0.25">
      <c r="B71" s="7">
        <v>1</v>
      </c>
      <c r="C71" s="1">
        <v>11</v>
      </c>
      <c r="D71" s="21" t="s">
        <v>776</v>
      </c>
      <c r="E71" s="21" t="s">
        <v>774</v>
      </c>
      <c r="F71" s="21"/>
    </row>
    <row r="72" spans="2:6" x14ac:dyDescent="0.25">
      <c r="B72" s="7">
        <v>1</v>
      </c>
      <c r="C72" s="1">
        <v>12</v>
      </c>
      <c r="D72" s="21" t="s">
        <v>775</v>
      </c>
      <c r="E72" s="21" t="s">
        <v>774</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8E884D7-F12C-48DC-A53D-24BA4F0CF85C}">
      <formula1>INDIRECT(VLOOKUP($E46, SkillNameMap, 2, FALSE))</formula1>
    </dataValidation>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84"/>
  <sheetViews>
    <sheetView showGridLines="0" topLeftCell="B1" zoomScale="85" zoomScaleNormal="85" workbookViewId="0">
      <selection activeCell="E61" sqref="E61"/>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5092SPS</v>
      </c>
      <c r="D2" s="20" t="str">
        <f>D8</f>
        <v>Physiological adaptations to exercise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243</v>
      </c>
      <c r="E7" s="4"/>
      <c r="F7" s="24"/>
    </row>
    <row r="8" spans="2:6" ht="60" x14ac:dyDescent="0.25">
      <c r="B8" s="2"/>
      <c r="C8" s="3" t="s">
        <v>6</v>
      </c>
      <c r="D8" s="21" t="s">
        <v>244</v>
      </c>
      <c r="E8" s="4"/>
      <c r="F8" s="48" t="s">
        <v>245</v>
      </c>
    </row>
    <row r="9" spans="2:6" x14ac:dyDescent="0.25">
      <c r="C9" s="3" t="s">
        <v>7</v>
      </c>
      <c r="D9" s="21">
        <v>20</v>
      </c>
      <c r="E9" s="4"/>
    </row>
    <row r="10" spans="2:6" x14ac:dyDescent="0.25">
      <c r="C10" s="3" t="s">
        <v>8</v>
      </c>
      <c r="D10" s="21">
        <v>2</v>
      </c>
      <c r="E10" s="4"/>
      <c r="F10" t="s">
        <v>9</v>
      </c>
    </row>
    <row r="11" spans="2:6" ht="45" x14ac:dyDescent="0.25">
      <c r="C11" s="3" t="s">
        <v>10</v>
      </c>
      <c r="D11" s="21">
        <v>5</v>
      </c>
      <c r="E11" s="4"/>
      <c r="F11" s="32" t="s">
        <v>246</v>
      </c>
    </row>
    <row r="12" spans="2:6" ht="45" x14ac:dyDescent="0.25">
      <c r="C12" s="3" t="s">
        <v>11</v>
      </c>
      <c r="D12" s="21" t="s">
        <v>247</v>
      </c>
      <c r="E12" s="4"/>
      <c r="F12" s="32" t="s">
        <v>248</v>
      </c>
    </row>
    <row r="13" spans="2:6" ht="30" x14ac:dyDescent="0.25">
      <c r="C13" s="3" t="s">
        <v>12</v>
      </c>
      <c r="D13" s="21" t="s">
        <v>87</v>
      </c>
      <c r="E13" s="4"/>
      <c r="F13" s="32" t="s">
        <v>249</v>
      </c>
    </row>
    <row r="14" spans="2:6" x14ac:dyDescent="0.25">
      <c r="C14" s="3" t="s">
        <v>13</v>
      </c>
      <c r="D14" s="21" t="s">
        <v>151</v>
      </c>
      <c r="E14" s="4"/>
    </row>
    <row r="15" spans="2:6" x14ac:dyDescent="0.25">
      <c r="C15" s="3"/>
      <c r="D15" s="4"/>
      <c r="E15" s="4"/>
      <c r="F15" t="s">
        <v>14</v>
      </c>
    </row>
    <row r="16" spans="2:6" ht="180" x14ac:dyDescent="0.25">
      <c r="C16" s="3"/>
      <c r="D16" s="4"/>
      <c r="E16" s="4"/>
      <c r="F16" s="32" t="s">
        <v>250</v>
      </c>
    </row>
    <row r="17" spans="3:6" ht="18.75" x14ac:dyDescent="0.25">
      <c r="C17" s="5" t="s">
        <v>15</v>
      </c>
      <c r="D17" s="4"/>
      <c r="E17" s="4"/>
      <c r="F17" s="24"/>
    </row>
    <row r="18" spans="3:6" x14ac:dyDescent="0.25">
      <c r="C18" s="3" t="s">
        <v>16</v>
      </c>
      <c r="D18" s="1" t="s">
        <v>15</v>
      </c>
      <c r="E18" s="4"/>
      <c r="F18" s="24"/>
    </row>
    <row r="19" spans="3:6" x14ac:dyDescent="0.25">
      <c r="C19" s="3" t="s">
        <v>17</v>
      </c>
      <c r="D19" s="22">
        <v>16</v>
      </c>
      <c r="E19" s="4"/>
      <c r="F19" s="24"/>
    </row>
    <row r="20" spans="3:6" x14ac:dyDescent="0.25">
      <c r="C20" s="3" t="s">
        <v>18</v>
      </c>
      <c r="D20" s="22">
        <v>5</v>
      </c>
      <c r="E20" s="4"/>
      <c r="F20" s="24"/>
    </row>
    <row r="21" spans="3:6" x14ac:dyDescent="0.25">
      <c r="C21" s="3" t="s">
        <v>19</v>
      </c>
      <c r="D21" s="22">
        <v>6</v>
      </c>
      <c r="E21" s="4"/>
    </row>
    <row r="22" spans="3:6" x14ac:dyDescent="0.25">
      <c r="C22" s="3" t="s">
        <v>20</v>
      </c>
      <c r="D22" s="22">
        <v>7</v>
      </c>
      <c r="E22" s="4"/>
      <c r="F22" t="s">
        <v>21</v>
      </c>
    </row>
    <row r="23" spans="3:6" x14ac:dyDescent="0.25">
      <c r="C23" s="3" t="s">
        <v>22</v>
      </c>
      <c r="D23" s="22">
        <v>6</v>
      </c>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50" t="s">
        <v>251</v>
      </c>
      <c r="E29" s="4"/>
      <c r="F29" s="24"/>
    </row>
    <row r="30" spans="3:6" ht="60" x14ac:dyDescent="0.25">
      <c r="C30" s="3" t="s">
        <v>29</v>
      </c>
      <c r="D30" s="48" t="s">
        <v>252</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253</v>
      </c>
      <c r="E38" s="21" t="s">
        <v>95</v>
      </c>
      <c r="F38" s="21" t="s">
        <v>254</v>
      </c>
      <c r="G38" s="23">
        <v>0.5</v>
      </c>
      <c r="H38" s="21">
        <v>8</v>
      </c>
    </row>
    <row r="39" spans="3:8" ht="45" x14ac:dyDescent="0.25">
      <c r="C39" s="3" t="s">
        <v>44</v>
      </c>
      <c r="D39" s="21" t="s">
        <v>41</v>
      </c>
      <c r="E39" s="21" t="s">
        <v>42</v>
      </c>
      <c r="F39" s="21" t="s">
        <v>255</v>
      </c>
      <c r="G39" s="23">
        <v>0.5</v>
      </c>
      <c r="H39" s="21" t="s">
        <v>256</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52</v>
      </c>
    </row>
    <row r="47" spans="3:8" x14ac:dyDescent="0.25">
      <c r="C47" s="25" t="s">
        <v>40</v>
      </c>
      <c r="D47" s="24" t="s">
        <v>28</v>
      </c>
      <c r="E47" s="24" t="s">
        <v>50</v>
      </c>
      <c r="F47" s="24" t="s">
        <v>100</v>
      </c>
    </row>
    <row r="48" spans="3:8" x14ac:dyDescent="0.25">
      <c r="C48" s="25" t="s">
        <v>40</v>
      </c>
      <c r="D48" s="24" t="s">
        <v>28</v>
      </c>
      <c r="E48" s="24" t="s">
        <v>57</v>
      </c>
      <c r="F48" s="24" t="s">
        <v>78</v>
      </c>
    </row>
    <row r="49" spans="2:6" x14ac:dyDescent="0.25">
      <c r="C49" s="25" t="s">
        <v>40</v>
      </c>
      <c r="D49" s="24" t="s">
        <v>28</v>
      </c>
      <c r="E49" s="24" t="s">
        <v>102</v>
      </c>
      <c r="F49" s="24" t="s">
        <v>103</v>
      </c>
    </row>
    <row r="50" spans="2:6" x14ac:dyDescent="0.25">
      <c r="C50" s="25" t="s">
        <v>40</v>
      </c>
      <c r="D50" s="24" t="s">
        <v>28</v>
      </c>
      <c r="E50" s="24" t="s">
        <v>55</v>
      </c>
      <c r="F50" s="24" t="s">
        <v>257</v>
      </c>
    </row>
    <row r="51" spans="2:6" x14ac:dyDescent="0.25">
      <c r="C51" s="25" t="s">
        <v>44</v>
      </c>
      <c r="D51" s="24" t="s">
        <v>29</v>
      </c>
      <c r="E51" s="24" t="s">
        <v>50</v>
      </c>
      <c r="F51" s="24" t="s">
        <v>258</v>
      </c>
    </row>
    <row r="52" spans="2:6" x14ac:dyDescent="0.25">
      <c r="C52" s="25" t="s">
        <v>44</v>
      </c>
      <c r="D52" s="24" t="s">
        <v>29</v>
      </c>
      <c r="E52" s="24" t="s">
        <v>55</v>
      </c>
      <c r="F52" s="24" t="s">
        <v>56</v>
      </c>
    </row>
    <row r="53" spans="2:6" x14ac:dyDescent="0.25">
      <c r="C53" s="25" t="s">
        <v>44</v>
      </c>
      <c r="D53" s="24" t="s">
        <v>29</v>
      </c>
      <c r="E53" s="24" t="s">
        <v>55</v>
      </c>
      <c r="F53" s="24" t="s">
        <v>259</v>
      </c>
    </row>
    <row r="54" spans="2:6" x14ac:dyDescent="0.25">
      <c r="C54" s="25" t="s">
        <v>44</v>
      </c>
      <c r="D54" s="24" t="s">
        <v>29</v>
      </c>
      <c r="E54" s="24" t="s">
        <v>164</v>
      </c>
      <c r="F54" s="24" t="s">
        <v>165</v>
      </c>
    </row>
    <row r="55" spans="2:6" x14ac:dyDescent="0.25">
      <c r="C55" s="25" t="s">
        <v>44</v>
      </c>
      <c r="D55" s="24" t="s">
        <v>29</v>
      </c>
      <c r="E55" s="24" t="s">
        <v>102</v>
      </c>
      <c r="F55" s="24" t="s">
        <v>260</v>
      </c>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261</v>
      </c>
      <c r="E73" s="21" t="s">
        <v>262</v>
      </c>
      <c r="F73" s="49" t="s">
        <v>263</v>
      </c>
    </row>
    <row r="74" spans="2:6" ht="30" x14ac:dyDescent="0.25">
      <c r="B74" s="7">
        <v>2</v>
      </c>
      <c r="C74" s="1">
        <v>2</v>
      </c>
      <c r="D74" s="21" t="s">
        <v>264</v>
      </c>
      <c r="E74" s="21" t="s">
        <v>265</v>
      </c>
      <c r="F74" s="49" t="s">
        <v>266</v>
      </c>
    </row>
    <row r="75" spans="2:6" ht="30" x14ac:dyDescent="0.25">
      <c r="B75" s="7">
        <v>2</v>
      </c>
      <c r="C75" s="1">
        <v>3</v>
      </c>
      <c r="D75" s="21" t="s">
        <v>267</v>
      </c>
      <c r="E75" s="21" t="s">
        <v>268</v>
      </c>
      <c r="F75" s="49" t="s">
        <v>269</v>
      </c>
    </row>
    <row r="76" spans="2:6" ht="30" x14ac:dyDescent="0.25">
      <c r="B76" s="7">
        <v>2</v>
      </c>
      <c r="C76" s="1">
        <v>4</v>
      </c>
      <c r="D76" s="21" t="s">
        <v>270</v>
      </c>
      <c r="E76" s="21" t="s">
        <v>271</v>
      </c>
      <c r="F76" s="21" t="s">
        <v>272</v>
      </c>
    </row>
    <row r="77" spans="2:6" ht="30" x14ac:dyDescent="0.25">
      <c r="B77" s="7">
        <v>2</v>
      </c>
      <c r="C77" s="1">
        <v>5</v>
      </c>
      <c r="D77" s="21" t="s">
        <v>273</v>
      </c>
      <c r="E77" s="21" t="s">
        <v>274</v>
      </c>
      <c r="F77" s="21" t="s">
        <v>275</v>
      </c>
    </row>
    <row r="78" spans="2:6" ht="30" x14ac:dyDescent="0.25">
      <c r="B78" s="7">
        <v>2</v>
      </c>
      <c r="C78" s="1">
        <v>6</v>
      </c>
      <c r="D78" s="21" t="s">
        <v>276</v>
      </c>
      <c r="E78" s="21" t="s">
        <v>277</v>
      </c>
      <c r="F78" s="21" t="s">
        <v>278</v>
      </c>
    </row>
    <row r="79" spans="2:6" x14ac:dyDescent="0.25">
      <c r="B79" s="7">
        <v>2</v>
      </c>
      <c r="C79" s="1">
        <v>7</v>
      </c>
      <c r="D79" s="21" t="s">
        <v>279</v>
      </c>
      <c r="E79" s="21"/>
      <c r="F79" s="21"/>
    </row>
    <row r="80" spans="2:6" ht="30" x14ac:dyDescent="0.25">
      <c r="B80" s="7">
        <v>2</v>
      </c>
      <c r="C80" s="1">
        <v>8</v>
      </c>
      <c r="D80" s="21" t="s">
        <v>280</v>
      </c>
      <c r="E80" s="21" t="s">
        <v>281</v>
      </c>
      <c r="F80" s="21"/>
    </row>
    <row r="81" spans="2:6" ht="30" x14ac:dyDescent="0.25">
      <c r="B81" s="7">
        <v>2</v>
      </c>
      <c r="C81" s="1">
        <v>9</v>
      </c>
      <c r="D81" s="21" t="s">
        <v>282</v>
      </c>
      <c r="E81" s="21" t="s">
        <v>283</v>
      </c>
      <c r="F81" s="47" t="s">
        <v>284</v>
      </c>
    </row>
    <row r="82" spans="2:6" ht="30" x14ac:dyDescent="0.25">
      <c r="B82" s="7">
        <v>2</v>
      </c>
      <c r="C82" s="1">
        <v>10</v>
      </c>
      <c r="D82" s="21" t="s">
        <v>285</v>
      </c>
      <c r="E82" s="21" t="s">
        <v>286</v>
      </c>
      <c r="F82" s="21" t="s">
        <v>287</v>
      </c>
    </row>
    <row r="83" spans="2:6" ht="45" x14ac:dyDescent="0.25">
      <c r="B83" s="7">
        <v>2</v>
      </c>
      <c r="C83" s="1">
        <v>11</v>
      </c>
      <c r="D83" s="21" t="s">
        <v>288</v>
      </c>
      <c r="E83" s="21" t="s">
        <v>289</v>
      </c>
      <c r="F83" s="21"/>
    </row>
    <row r="84" spans="2:6" ht="30" x14ac:dyDescent="0.25">
      <c r="B84" s="7">
        <v>2</v>
      </c>
      <c r="C84" s="1">
        <v>12</v>
      </c>
      <c r="D84" s="21" t="s">
        <v>290</v>
      </c>
      <c r="E84" s="21" t="s">
        <v>291</v>
      </c>
      <c r="F84" s="49" t="s">
        <v>292</v>
      </c>
    </row>
  </sheetData>
  <sheetProtection sheet="1" objects="1" scenarios="1"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5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D46:D56</xm:sqref>
        </x14:dataValidation>
        <x14:dataValidation type="list" allowBlank="1" showInputMessage="1" showErrorMessage="1" xr:uid="{5036F22C-DC1A-45C2-ACC5-04A85C0867A2}">
          <x14:formula1>
            <xm:f>LISTS!$J$7:$J$16</xm:f>
          </x14:formula1>
          <xm:sqref>E46:E56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85"/>
  <sheetViews>
    <sheetView showGridLines="0" topLeftCell="B1" zoomScale="85" zoomScaleNormal="85" workbookViewId="0">
      <selection activeCell="F78" sqref="F78"/>
    </sheetView>
  </sheetViews>
  <sheetFormatPr defaultRowHeight="15" x14ac:dyDescent="0.25"/>
  <cols>
    <col min="3" max="3" width="33.28515625" customWidth="1"/>
    <col min="4" max="4" width="55.140625" customWidth="1"/>
    <col min="5" max="5" width="67.28515625" customWidth="1"/>
    <col min="6" max="6" width="63.7109375" customWidth="1"/>
    <col min="7" max="7" width="12.42578125" customWidth="1"/>
    <col min="8" max="8" width="15.5703125" customWidth="1"/>
    <col min="9" max="9" width="14.7109375" customWidth="1"/>
  </cols>
  <sheetData>
    <row r="2" spans="2:6" ht="26.25" x14ac:dyDescent="0.4">
      <c r="C2" s="20" t="str">
        <f>D7</f>
        <v>5101SPS</v>
      </c>
      <c r="D2" s="20" t="str">
        <f>D8</f>
        <v>Professional Practice in Sport and Exercise Science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807</v>
      </c>
      <c r="E7" s="4"/>
      <c r="F7" s="32"/>
    </row>
    <row r="8" spans="2:6" x14ac:dyDescent="0.25">
      <c r="B8" s="2"/>
      <c r="C8" s="3" t="s">
        <v>6</v>
      </c>
      <c r="D8" s="21" t="s">
        <v>808</v>
      </c>
      <c r="E8" s="4"/>
      <c r="F8" s="24"/>
    </row>
    <row r="9" spans="2:6" x14ac:dyDescent="0.25">
      <c r="C9" s="3" t="s">
        <v>7</v>
      </c>
      <c r="D9" s="21">
        <v>20</v>
      </c>
      <c r="E9" s="4"/>
    </row>
    <row r="10" spans="2:6" x14ac:dyDescent="0.25">
      <c r="C10" s="3" t="s">
        <v>8</v>
      </c>
      <c r="D10" s="21">
        <v>1</v>
      </c>
      <c r="E10" s="4"/>
      <c r="F10" t="s">
        <v>9</v>
      </c>
    </row>
    <row r="11" spans="2:6" x14ac:dyDescent="0.25">
      <c r="C11" s="3" t="s">
        <v>10</v>
      </c>
      <c r="D11" s="21">
        <v>5</v>
      </c>
      <c r="E11" s="4"/>
      <c r="F11" s="24"/>
    </row>
    <row r="12" spans="2:6" x14ac:dyDescent="0.25">
      <c r="C12" s="3" t="s">
        <v>11</v>
      </c>
      <c r="D12" s="21"/>
      <c r="E12" s="4"/>
      <c r="F12" s="32"/>
    </row>
    <row r="13" spans="2:6" x14ac:dyDescent="0.25">
      <c r="C13" s="3" t="s">
        <v>12</v>
      </c>
      <c r="D13" s="21" t="s">
        <v>200</v>
      </c>
      <c r="E13" s="4"/>
      <c r="F13" s="24"/>
    </row>
    <row r="14" spans="2:6" x14ac:dyDescent="0.25">
      <c r="C14" s="3" t="s">
        <v>13</v>
      </c>
      <c r="D14" s="21" t="s">
        <v>201</v>
      </c>
      <c r="E14" s="4"/>
    </row>
    <row r="15" spans="2:6" x14ac:dyDescent="0.25">
      <c r="C15" s="3"/>
      <c r="D15" s="4"/>
      <c r="E15" s="4"/>
      <c r="F15" t="s">
        <v>14</v>
      </c>
    </row>
    <row r="16" spans="2:6" x14ac:dyDescent="0.25">
      <c r="C16" s="3"/>
      <c r="D16" s="4"/>
      <c r="E16" s="4"/>
      <c r="F16" s="32"/>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21"/>
      <c r="G38" s="23"/>
      <c r="H38" s="21"/>
    </row>
    <row r="39" spans="3:8" x14ac:dyDescent="0.25">
      <c r="C39" s="3" t="s">
        <v>44</v>
      </c>
      <c r="D39" s="21"/>
      <c r="E39" s="21"/>
      <c r="F39" s="53"/>
      <c r="G39" s="23"/>
      <c r="H39" s="21"/>
    </row>
    <row r="40" spans="3:8" x14ac:dyDescent="0.25">
      <c r="C40" s="3" t="s">
        <v>45</v>
      </c>
      <c r="D40" s="24"/>
      <c r="E40" s="24"/>
      <c r="F40" s="32"/>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c r="E46" s="24"/>
      <c r="F46" s="24"/>
    </row>
    <row r="47" spans="3:8" x14ac:dyDescent="0.25">
      <c r="C47" s="25" t="s">
        <v>40</v>
      </c>
      <c r="D47" s="24"/>
      <c r="E47" s="24"/>
      <c r="F47" s="24"/>
    </row>
    <row r="48" spans="3:8" x14ac:dyDescent="0.25">
      <c r="C48" s="25" t="s">
        <v>40</v>
      </c>
      <c r="D48" s="24"/>
      <c r="E48" s="24"/>
      <c r="F48" s="24"/>
    </row>
    <row r="49" spans="2:6" x14ac:dyDescent="0.25">
      <c r="C49" s="25" t="s">
        <v>40</v>
      </c>
      <c r="D49" s="24"/>
      <c r="E49" s="24"/>
      <c r="F49" s="24"/>
    </row>
    <row r="50" spans="2:6" x14ac:dyDescent="0.25">
      <c r="C50" s="25" t="s">
        <v>40</v>
      </c>
      <c r="D50" s="24"/>
      <c r="E50" s="24"/>
      <c r="F50" s="24"/>
    </row>
    <row r="51" spans="2:6" x14ac:dyDescent="0.25">
      <c r="C51" s="25" t="s">
        <v>44</v>
      </c>
      <c r="D51" s="24"/>
      <c r="E51" s="24"/>
      <c r="F51" s="24"/>
    </row>
    <row r="52" spans="2:6" x14ac:dyDescent="0.25">
      <c r="C52" s="25" t="s">
        <v>44</v>
      </c>
      <c r="D52" s="24"/>
      <c r="E52" s="24"/>
      <c r="F52" s="24"/>
    </row>
    <row r="53" spans="2:6" x14ac:dyDescent="0.25">
      <c r="C53" s="25" t="s">
        <v>44</v>
      </c>
      <c r="D53" s="24"/>
      <c r="E53" s="24"/>
      <c r="F53" s="24"/>
    </row>
    <row r="54" spans="2:6" x14ac:dyDescent="0.25">
      <c r="C54" s="25"/>
      <c r="D54" s="24"/>
      <c r="E54" s="24"/>
      <c r="F54" s="24"/>
    </row>
    <row r="55" spans="2:6" x14ac:dyDescent="0.25">
      <c r="C55" s="25"/>
      <c r="D55" s="24"/>
      <c r="E55" s="24"/>
      <c r="F55" s="24"/>
    </row>
    <row r="56" spans="2:6" x14ac:dyDescent="0.25">
      <c r="C56" s="25"/>
      <c r="D56" s="24"/>
      <c r="E56" s="24"/>
      <c r="F56" s="24"/>
    </row>
    <row r="57" spans="2:6" x14ac:dyDescent="0.25">
      <c r="C57" s="25"/>
      <c r="D57" s="24"/>
      <c r="E57" s="24"/>
      <c r="F57" s="24"/>
    </row>
    <row r="60" spans="2:6" ht="18.75" x14ac:dyDescent="0.25">
      <c r="C60" s="5" t="s">
        <v>59</v>
      </c>
    </row>
    <row r="61" spans="2:6" x14ac:dyDescent="0.25">
      <c r="B61" t="s">
        <v>60</v>
      </c>
      <c r="C61" s="1" t="s">
        <v>61</v>
      </c>
      <c r="D61" s="1" t="s">
        <v>62</v>
      </c>
      <c r="E61" s="1" t="s">
        <v>63</v>
      </c>
      <c r="F61" s="1" t="s">
        <v>64</v>
      </c>
    </row>
    <row r="62" spans="2:6" x14ac:dyDescent="0.25">
      <c r="B62" s="7">
        <v>1</v>
      </c>
      <c r="C62" s="1">
        <v>1</v>
      </c>
      <c r="D62" s="21"/>
      <c r="E62" s="21"/>
      <c r="F62" s="21"/>
    </row>
    <row r="63" spans="2:6" x14ac:dyDescent="0.25">
      <c r="B63" s="7">
        <v>1</v>
      </c>
      <c r="C63" s="1">
        <v>2</v>
      </c>
      <c r="D63" s="21"/>
      <c r="E63" s="21"/>
      <c r="F63" s="21"/>
    </row>
    <row r="64" spans="2:6" x14ac:dyDescent="0.25">
      <c r="B64" s="7">
        <v>1</v>
      </c>
      <c r="C64" s="1">
        <v>3</v>
      </c>
      <c r="D64" s="21"/>
      <c r="E64" s="21"/>
      <c r="F64" s="21"/>
    </row>
    <row r="65" spans="2:6" x14ac:dyDescent="0.25">
      <c r="B65" s="7">
        <v>1</v>
      </c>
      <c r="C65" s="1">
        <v>4</v>
      </c>
      <c r="D65" s="21"/>
      <c r="E65" s="21"/>
      <c r="F65" s="21"/>
    </row>
    <row r="66" spans="2:6" x14ac:dyDescent="0.25">
      <c r="B66" s="7">
        <v>1</v>
      </c>
      <c r="C66" s="1">
        <v>5</v>
      </c>
      <c r="D66" s="21"/>
      <c r="E66" s="21"/>
      <c r="F66" s="21"/>
    </row>
    <row r="67" spans="2:6" x14ac:dyDescent="0.25">
      <c r="B67" s="7">
        <v>1</v>
      </c>
      <c r="C67" s="1">
        <v>6</v>
      </c>
      <c r="D67" s="21"/>
      <c r="E67" s="21"/>
      <c r="F67" s="21"/>
    </row>
    <row r="68" spans="2:6" x14ac:dyDescent="0.25">
      <c r="B68" s="7">
        <v>1</v>
      </c>
      <c r="C68" s="1">
        <v>7</v>
      </c>
      <c r="D68" s="21"/>
      <c r="E68" s="21"/>
      <c r="F68" s="21"/>
    </row>
    <row r="69" spans="2:6" x14ac:dyDescent="0.25">
      <c r="B69" s="7">
        <v>1</v>
      </c>
      <c r="C69" s="1">
        <v>8</v>
      </c>
      <c r="D69" s="21"/>
      <c r="E69" s="21"/>
      <c r="F69" s="21"/>
    </row>
    <row r="70" spans="2:6" x14ac:dyDescent="0.25">
      <c r="B70" s="7">
        <v>1</v>
      </c>
      <c r="C70" s="1">
        <v>9</v>
      </c>
      <c r="D70" s="21"/>
      <c r="E70" s="21"/>
      <c r="F70" s="21"/>
    </row>
    <row r="71" spans="2:6" x14ac:dyDescent="0.25">
      <c r="B71" s="7">
        <v>1</v>
      </c>
      <c r="C71" s="1">
        <v>10</v>
      </c>
      <c r="D71" s="21"/>
      <c r="E71" s="21"/>
      <c r="F71" s="21"/>
    </row>
    <row r="72" spans="2:6" x14ac:dyDescent="0.25">
      <c r="B72" s="7">
        <v>1</v>
      </c>
      <c r="C72" s="1">
        <v>11</v>
      </c>
      <c r="D72" s="21"/>
      <c r="E72" s="21"/>
      <c r="F72" s="21"/>
    </row>
    <row r="73" spans="2:6" x14ac:dyDescent="0.25">
      <c r="B73" s="7">
        <v>1</v>
      </c>
      <c r="C73" s="1">
        <v>12</v>
      </c>
      <c r="D73" s="21"/>
      <c r="E73" s="21"/>
      <c r="F73" s="21"/>
    </row>
    <row r="74" spans="2:6" x14ac:dyDescent="0.25">
      <c r="B74" s="7">
        <v>2</v>
      </c>
      <c r="C74" s="1">
        <v>1</v>
      </c>
      <c r="D74" s="21"/>
      <c r="E74" s="21"/>
      <c r="F74" s="21"/>
    </row>
    <row r="75" spans="2:6" x14ac:dyDescent="0.25">
      <c r="B75" s="7">
        <v>2</v>
      </c>
      <c r="C75" s="1">
        <v>2</v>
      </c>
      <c r="D75" s="21"/>
      <c r="E75" s="21"/>
      <c r="F75" s="21"/>
    </row>
    <row r="76" spans="2:6" x14ac:dyDescent="0.25">
      <c r="B76" s="7">
        <v>2</v>
      </c>
      <c r="C76" s="1">
        <v>3</v>
      </c>
      <c r="D76" s="21"/>
      <c r="E76" s="21"/>
      <c r="F76" s="21"/>
    </row>
    <row r="77" spans="2:6" x14ac:dyDescent="0.25">
      <c r="B77" s="7">
        <v>2</v>
      </c>
      <c r="C77" s="1">
        <v>4</v>
      </c>
      <c r="D77" s="21"/>
      <c r="E77" s="21"/>
      <c r="F77" s="21"/>
    </row>
    <row r="78" spans="2:6" x14ac:dyDescent="0.25">
      <c r="B78" s="7">
        <v>2</v>
      </c>
      <c r="C78" s="1">
        <v>5</v>
      </c>
      <c r="D78" s="21"/>
      <c r="E78" s="21"/>
      <c r="F78" s="21"/>
    </row>
    <row r="79" spans="2:6" x14ac:dyDescent="0.25">
      <c r="B79" s="7">
        <v>2</v>
      </c>
      <c r="C79" s="1">
        <v>6</v>
      </c>
      <c r="D79" s="21"/>
      <c r="E79" s="21"/>
      <c r="F79" s="21"/>
    </row>
    <row r="80" spans="2:6" x14ac:dyDescent="0.25">
      <c r="B80" s="7">
        <v>2</v>
      </c>
      <c r="C80" s="1">
        <v>7</v>
      </c>
      <c r="D80" s="21"/>
      <c r="E80" s="21"/>
      <c r="F80" s="21"/>
    </row>
    <row r="81" spans="2:6" x14ac:dyDescent="0.25">
      <c r="B81" s="7">
        <v>2</v>
      </c>
      <c r="C81" s="1">
        <v>8</v>
      </c>
      <c r="D81" s="21"/>
      <c r="E81" s="21"/>
      <c r="F81" s="21"/>
    </row>
    <row r="82" spans="2:6" x14ac:dyDescent="0.25">
      <c r="B82" s="7">
        <v>2</v>
      </c>
      <c r="C82" s="1">
        <v>9</v>
      </c>
      <c r="D82" s="21"/>
      <c r="E82" s="21"/>
      <c r="F82" s="21"/>
    </row>
    <row r="83" spans="2:6" x14ac:dyDescent="0.25">
      <c r="B83" s="7">
        <v>2</v>
      </c>
      <c r="C83" s="1">
        <v>10</v>
      </c>
      <c r="D83" s="21"/>
      <c r="E83" s="21"/>
      <c r="F83" s="21"/>
    </row>
    <row r="84" spans="2:6" x14ac:dyDescent="0.25">
      <c r="B84" s="7">
        <v>2</v>
      </c>
      <c r="C84" s="1">
        <v>11</v>
      </c>
      <c r="D84" s="21"/>
      <c r="E84" s="21"/>
      <c r="F84" s="21"/>
    </row>
    <row r="85" spans="2:6" x14ac:dyDescent="0.25">
      <c r="B85" s="7">
        <v>2</v>
      </c>
      <c r="C85" s="1">
        <v>12</v>
      </c>
      <c r="D85" s="21"/>
      <c r="E85" s="21"/>
      <c r="F85" s="21"/>
    </row>
  </sheetData>
  <sheetProtection sheet="1" objects="1" scenarios="1" selectLockedCells="1" sort="0" autoFilter="0" pivotTables="0"/>
  <dataValidations count="4">
    <dataValidation type="list" allowBlank="1" showInputMessage="1" showErrorMessage="1" sqref="F46:F53 F55:F57" xr:uid="{D4416982-58EB-444B-9A31-B27A6DF0EE1F}">
      <formula1>INDIRECT(VLOOKUP($E46, SkillNameMap, 2, FALSE))</formula1>
    </dataValidation>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D55:D57</xm:sqref>
        </x14:dataValidation>
        <x14:dataValidation type="list" allowBlank="1" showInputMessage="1" showErrorMessage="1" xr:uid="{6C49387A-3B2B-4A59-8085-7E9548B36300}">
          <x14:formula1>
            <xm:f>LISTS!$J$7:$J$16</xm:f>
          </x14:formula1>
          <xm:sqref>E46:E53 E55:E57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85"/>
  <sheetViews>
    <sheetView showGridLines="0" topLeftCell="B1" zoomScale="85" zoomScaleNormal="85" workbookViewId="0">
      <selection activeCell="F53" sqref="F53"/>
    </sheetView>
  </sheetViews>
  <sheetFormatPr defaultRowHeight="15" x14ac:dyDescent="0.25"/>
  <cols>
    <col min="3" max="3" width="33.28515625" customWidth="1"/>
    <col min="4" max="4" width="55.140625" customWidth="1"/>
    <col min="5" max="5" width="67.28515625" customWidth="1"/>
    <col min="6" max="6" width="63.7109375" customWidth="1"/>
    <col min="7" max="7" width="12.42578125" customWidth="1"/>
    <col min="8" max="8" width="15.5703125" customWidth="1"/>
    <col min="9" max="9" width="14.7109375" customWidth="1"/>
  </cols>
  <sheetData>
    <row r="2" spans="2:6" ht="26.25" x14ac:dyDescent="0.4">
      <c r="C2" s="20" t="str">
        <f>D7</f>
        <v>5102SPS</v>
      </c>
      <c r="D2" s="20" t="str">
        <f>D8</f>
        <v>Influences and Assessment of Physical Activity and Sedentary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35" x14ac:dyDescent="0.25">
      <c r="B7" s="2"/>
      <c r="C7" s="3" t="s">
        <v>4</v>
      </c>
      <c r="D7" s="21" t="s">
        <v>293</v>
      </c>
      <c r="E7" s="4"/>
      <c r="F7" s="32" t="s">
        <v>294</v>
      </c>
    </row>
    <row r="8" spans="2:6" ht="30" x14ac:dyDescent="0.25">
      <c r="B8" s="2"/>
      <c r="C8" s="3" t="s">
        <v>6</v>
      </c>
      <c r="D8" s="21" t="s">
        <v>295</v>
      </c>
      <c r="E8" s="4"/>
      <c r="F8" s="24"/>
    </row>
    <row r="9" spans="2:6" x14ac:dyDescent="0.25">
      <c r="C9" s="3" t="s">
        <v>7</v>
      </c>
      <c r="D9" s="21">
        <v>20</v>
      </c>
      <c r="E9" s="4"/>
    </row>
    <row r="10" spans="2:6" x14ac:dyDescent="0.25">
      <c r="C10" s="3" t="s">
        <v>8</v>
      </c>
      <c r="D10" s="21">
        <v>1</v>
      </c>
      <c r="E10" s="4"/>
      <c r="F10" t="s">
        <v>9</v>
      </c>
    </row>
    <row r="11" spans="2:6" x14ac:dyDescent="0.25">
      <c r="C11" s="3" t="s">
        <v>10</v>
      </c>
      <c r="D11" s="21">
        <v>5</v>
      </c>
      <c r="E11" s="4"/>
      <c r="F11" s="24" t="s">
        <v>296</v>
      </c>
    </row>
    <row r="12" spans="2:6" ht="45" x14ac:dyDescent="0.25">
      <c r="C12" s="3" t="s">
        <v>11</v>
      </c>
      <c r="D12" s="21" t="s">
        <v>297</v>
      </c>
      <c r="E12" s="4"/>
      <c r="F12" s="32" t="s">
        <v>298</v>
      </c>
    </row>
    <row r="13" spans="2:6" x14ac:dyDescent="0.25">
      <c r="C13" s="3" t="s">
        <v>12</v>
      </c>
      <c r="D13" s="21" t="s">
        <v>87</v>
      </c>
      <c r="E13" s="4"/>
      <c r="F13" s="24"/>
    </row>
    <row r="14" spans="2:6" x14ac:dyDescent="0.25">
      <c r="C14" s="3" t="s">
        <v>13</v>
      </c>
      <c r="D14" s="21" t="s">
        <v>201</v>
      </c>
      <c r="E14" s="4"/>
    </row>
    <row r="15" spans="2:6" x14ac:dyDescent="0.25">
      <c r="C15" s="3"/>
      <c r="D15" s="4"/>
      <c r="E15" s="4"/>
      <c r="F15" t="s">
        <v>14</v>
      </c>
    </row>
    <row r="16" spans="2:6" ht="135" x14ac:dyDescent="0.25">
      <c r="C16" s="3"/>
      <c r="D16" s="4"/>
      <c r="E16" s="4"/>
      <c r="F16" s="32" t="s">
        <v>299</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14</v>
      </c>
      <c r="E20" s="4"/>
      <c r="F20" s="24"/>
    </row>
    <row r="21" spans="3:6" x14ac:dyDescent="0.25">
      <c r="C21" s="3" t="s">
        <v>19</v>
      </c>
      <c r="D21" s="22">
        <v>2</v>
      </c>
      <c r="E21" s="4"/>
    </row>
    <row r="22" spans="3:6" x14ac:dyDescent="0.25">
      <c r="C22" s="3" t="s">
        <v>20</v>
      </c>
      <c r="D22" s="22">
        <v>0</v>
      </c>
      <c r="E22" s="4"/>
      <c r="F22" t="s">
        <v>21</v>
      </c>
    </row>
    <row r="23" spans="3:6" x14ac:dyDescent="0.25">
      <c r="C23" s="3" t="s">
        <v>22</v>
      </c>
      <c r="D23" s="22">
        <v>11</v>
      </c>
      <c r="E23" s="4"/>
      <c r="F23" s="24"/>
    </row>
    <row r="24" spans="3:6" x14ac:dyDescent="0.25">
      <c r="C24" s="3" t="s">
        <v>23</v>
      </c>
      <c r="D24" s="1">
        <f>SUM(D19:D23)</f>
        <v>49</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300</v>
      </c>
      <c r="E29" s="4"/>
      <c r="F29" s="24"/>
    </row>
    <row r="30" spans="3:6" ht="30" x14ac:dyDescent="0.25">
      <c r="C30" s="3" t="s">
        <v>29</v>
      </c>
      <c r="D30" s="21" t="s">
        <v>301</v>
      </c>
      <c r="E30" s="4"/>
      <c r="F30" s="24"/>
    </row>
    <row r="31" spans="3:6" ht="30" x14ac:dyDescent="0.25">
      <c r="C31" s="3" t="s">
        <v>30</v>
      </c>
      <c r="D31" s="21" t="s">
        <v>302</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41</v>
      </c>
      <c r="E38" s="21" t="s">
        <v>42</v>
      </c>
      <c r="F38" s="21" t="s">
        <v>303</v>
      </c>
      <c r="G38" s="23">
        <v>0.5</v>
      </c>
      <c r="H38" s="21">
        <v>7</v>
      </c>
    </row>
    <row r="39" spans="3:8" ht="75" x14ac:dyDescent="0.25">
      <c r="C39" s="3" t="s">
        <v>44</v>
      </c>
      <c r="D39" s="21" t="s">
        <v>94</v>
      </c>
      <c r="E39" s="21"/>
      <c r="F39" s="53" t="s">
        <v>304</v>
      </c>
      <c r="G39" s="23">
        <v>0.5</v>
      </c>
      <c r="H39" s="21" t="s">
        <v>305</v>
      </c>
    </row>
    <row r="40" spans="3:8" x14ac:dyDescent="0.25">
      <c r="C40" s="3" t="s">
        <v>45</v>
      </c>
      <c r="D40" s="24"/>
      <c r="E40" s="24"/>
      <c r="F40" s="32"/>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102</v>
      </c>
      <c r="F47" s="24" t="s">
        <v>103</v>
      </c>
    </row>
    <row r="48" spans="3:8" x14ac:dyDescent="0.25">
      <c r="C48" s="25" t="s">
        <v>40</v>
      </c>
      <c r="D48" s="24" t="s">
        <v>28</v>
      </c>
      <c r="E48" s="24" t="s">
        <v>102</v>
      </c>
      <c r="F48" s="24" t="s">
        <v>230</v>
      </c>
    </row>
    <row r="49" spans="2:6" x14ac:dyDescent="0.25">
      <c r="C49" s="25" t="s">
        <v>40</v>
      </c>
      <c r="D49" s="24" t="s">
        <v>28</v>
      </c>
      <c r="E49" s="24" t="s">
        <v>55</v>
      </c>
      <c r="F49" s="24" t="s">
        <v>56</v>
      </c>
    </row>
    <row r="50" spans="2:6" x14ac:dyDescent="0.25">
      <c r="C50" s="25" t="s">
        <v>40</v>
      </c>
      <c r="D50" s="24" t="s">
        <v>28</v>
      </c>
      <c r="E50" s="24" t="s">
        <v>306</v>
      </c>
      <c r="F50" s="24" t="s">
        <v>307</v>
      </c>
    </row>
    <row r="51" spans="2:6" x14ac:dyDescent="0.25">
      <c r="C51" s="25" t="s">
        <v>44</v>
      </c>
      <c r="D51" s="24" t="s">
        <v>29</v>
      </c>
      <c r="E51" s="24" t="s">
        <v>53</v>
      </c>
      <c r="F51" s="24" t="s">
        <v>161</v>
      </c>
    </row>
    <row r="52" spans="2:6" x14ac:dyDescent="0.25">
      <c r="C52" s="25" t="s">
        <v>44</v>
      </c>
      <c r="D52" s="24" t="s">
        <v>29</v>
      </c>
      <c r="E52" s="24" t="s">
        <v>57</v>
      </c>
      <c r="F52" s="24" t="s">
        <v>58</v>
      </c>
    </row>
    <row r="53" spans="2:6" x14ac:dyDescent="0.25">
      <c r="C53" s="25" t="s">
        <v>44</v>
      </c>
      <c r="D53" s="24" t="s">
        <v>30</v>
      </c>
      <c r="E53" s="24" t="s">
        <v>55</v>
      </c>
      <c r="F53" s="24" t="s">
        <v>308</v>
      </c>
    </row>
    <row r="54" spans="2:6" x14ac:dyDescent="0.25">
      <c r="C54" s="25"/>
      <c r="D54" s="24"/>
      <c r="E54" s="24"/>
      <c r="F54" s="24"/>
    </row>
    <row r="55" spans="2:6" x14ac:dyDescent="0.25">
      <c r="C55" s="25"/>
      <c r="D55" s="24"/>
      <c r="E55" s="24"/>
      <c r="F55" s="24"/>
    </row>
    <row r="56" spans="2:6" x14ac:dyDescent="0.25">
      <c r="C56" s="25"/>
      <c r="D56" s="24"/>
      <c r="E56" s="24"/>
      <c r="F56" s="24"/>
    </row>
    <row r="57" spans="2:6" x14ac:dyDescent="0.25">
      <c r="C57" s="25"/>
      <c r="D57" s="24"/>
      <c r="E57" s="24"/>
      <c r="F57" s="24"/>
    </row>
    <row r="60" spans="2:6" ht="18.75" x14ac:dyDescent="0.25">
      <c r="C60" s="5" t="s">
        <v>59</v>
      </c>
    </row>
    <row r="61" spans="2:6" x14ac:dyDescent="0.25">
      <c r="B61" t="s">
        <v>60</v>
      </c>
      <c r="C61" s="1" t="s">
        <v>61</v>
      </c>
      <c r="D61" s="1" t="s">
        <v>62</v>
      </c>
      <c r="E61" s="1" t="s">
        <v>63</v>
      </c>
      <c r="F61" s="1" t="s">
        <v>64</v>
      </c>
    </row>
    <row r="62" spans="2:6" ht="30" x14ac:dyDescent="0.25">
      <c r="B62" s="7">
        <v>1</v>
      </c>
      <c r="C62" s="1">
        <v>1</v>
      </c>
      <c r="D62" s="21" t="s">
        <v>309</v>
      </c>
      <c r="E62" s="21" t="s">
        <v>310</v>
      </c>
      <c r="F62" s="21"/>
    </row>
    <row r="63" spans="2:6" x14ac:dyDescent="0.25">
      <c r="B63" s="7">
        <v>1</v>
      </c>
      <c r="C63" s="1">
        <v>2</v>
      </c>
      <c r="D63" s="21" t="s">
        <v>311</v>
      </c>
      <c r="E63" s="21" t="s">
        <v>312</v>
      </c>
      <c r="F63" s="21" t="s">
        <v>310</v>
      </c>
    </row>
    <row r="64" spans="2:6" x14ac:dyDescent="0.25">
      <c r="B64" s="7">
        <v>1</v>
      </c>
      <c r="C64" s="1">
        <v>3</v>
      </c>
      <c r="D64" s="21" t="s">
        <v>313</v>
      </c>
      <c r="E64" s="21" t="s">
        <v>312</v>
      </c>
      <c r="F64" s="21" t="s">
        <v>310</v>
      </c>
    </row>
    <row r="65" spans="2:6" x14ac:dyDescent="0.25">
      <c r="B65" s="7">
        <v>1</v>
      </c>
      <c r="C65" s="1">
        <v>4</v>
      </c>
      <c r="D65" s="21" t="s">
        <v>314</v>
      </c>
      <c r="E65" s="21" t="s">
        <v>312</v>
      </c>
      <c r="F65" s="21" t="s">
        <v>310</v>
      </c>
    </row>
    <row r="66" spans="2:6" x14ac:dyDescent="0.25">
      <c r="B66" s="7">
        <v>1</v>
      </c>
      <c r="C66" s="1">
        <v>5</v>
      </c>
      <c r="D66" s="21" t="s">
        <v>315</v>
      </c>
      <c r="E66" s="21" t="s">
        <v>312</v>
      </c>
      <c r="F66" s="21" t="s">
        <v>310</v>
      </c>
    </row>
    <row r="67" spans="2:6" x14ac:dyDescent="0.25">
      <c r="B67" s="7">
        <v>1</v>
      </c>
      <c r="C67" s="1">
        <v>6</v>
      </c>
      <c r="D67" s="21" t="s">
        <v>316</v>
      </c>
      <c r="E67" s="21" t="s">
        <v>310</v>
      </c>
      <c r="F67" s="21"/>
    </row>
    <row r="68" spans="2:6" x14ac:dyDescent="0.25">
      <c r="B68" s="7">
        <v>1</v>
      </c>
      <c r="C68" s="1">
        <v>7</v>
      </c>
      <c r="D68" s="21"/>
      <c r="E68" s="21"/>
      <c r="F68" s="21"/>
    </row>
    <row r="69" spans="2:6" x14ac:dyDescent="0.25">
      <c r="B69" s="7">
        <v>1</v>
      </c>
      <c r="C69" s="1">
        <v>8</v>
      </c>
      <c r="D69" s="21" t="s">
        <v>317</v>
      </c>
      <c r="E69" s="21" t="s">
        <v>318</v>
      </c>
      <c r="F69" s="21" t="s">
        <v>310</v>
      </c>
    </row>
    <row r="70" spans="2:6" x14ac:dyDescent="0.25">
      <c r="B70" s="7">
        <v>1</v>
      </c>
      <c r="C70" s="1">
        <v>9</v>
      </c>
      <c r="D70" s="21" t="s">
        <v>319</v>
      </c>
      <c r="E70" s="21" t="s">
        <v>320</v>
      </c>
      <c r="F70" s="21" t="s">
        <v>310</v>
      </c>
    </row>
    <row r="71" spans="2:6" x14ac:dyDescent="0.25">
      <c r="B71" s="7">
        <v>1</v>
      </c>
      <c r="C71" s="1">
        <v>10</v>
      </c>
      <c r="D71" s="21" t="s">
        <v>321</v>
      </c>
      <c r="E71" s="21" t="s">
        <v>322</v>
      </c>
      <c r="F71" s="21" t="s">
        <v>310</v>
      </c>
    </row>
    <row r="72" spans="2:6" x14ac:dyDescent="0.25">
      <c r="B72" s="7">
        <v>1</v>
      </c>
      <c r="C72" s="1">
        <v>11</v>
      </c>
      <c r="D72" s="21" t="s">
        <v>323</v>
      </c>
      <c r="E72" s="21" t="s">
        <v>324</v>
      </c>
      <c r="F72" s="21" t="s">
        <v>310</v>
      </c>
    </row>
    <row r="73" spans="2:6" x14ac:dyDescent="0.25">
      <c r="B73" s="7">
        <v>1</v>
      </c>
      <c r="C73" s="1">
        <v>12</v>
      </c>
      <c r="D73" s="21" t="s">
        <v>316</v>
      </c>
      <c r="E73" s="21" t="s">
        <v>310</v>
      </c>
      <c r="F73" s="21"/>
    </row>
    <row r="74" spans="2:6" x14ac:dyDescent="0.25">
      <c r="B74" s="7">
        <v>2</v>
      </c>
      <c r="C74" s="1">
        <v>1</v>
      </c>
      <c r="D74" s="21"/>
      <c r="E74" s="21"/>
      <c r="F74" s="21"/>
    </row>
    <row r="75" spans="2:6" x14ac:dyDescent="0.25">
      <c r="B75" s="7">
        <v>2</v>
      </c>
      <c r="C75" s="1">
        <v>2</v>
      </c>
      <c r="D75" s="21"/>
      <c r="E75" s="21"/>
      <c r="F75" s="21"/>
    </row>
    <row r="76" spans="2:6" x14ac:dyDescent="0.25">
      <c r="B76" s="7">
        <v>2</v>
      </c>
      <c r="C76" s="1">
        <v>3</v>
      </c>
      <c r="D76" s="21"/>
      <c r="E76" s="21"/>
      <c r="F76" s="21"/>
    </row>
    <row r="77" spans="2:6" x14ac:dyDescent="0.25">
      <c r="B77" s="7">
        <v>2</v>
      </c>
      <c r="C77" s="1">
        <v>4</v>
      </c>
      <c r="D77" s="21"/>
      <c r="E77" s="21"/>
      <c r="F77" s="21"/>
    </row>
    <row r="78" spans="2:6" x14ac:dyDescent="0.25">
      <c r="B78" s="7">
        <v>2</v>
      </c>
      <c r="C78" s="1">
        <v>5</v>
      </c>
      <c r="D78" s="21"/>
      <c r="E78" s="21"/>
      <c r="F78" s="21"/>
    </row>
    <row r="79" spans="2:6" x14ac:dyDescent="0.25">
      <c r="B79" s="7">
        <v>2</v>
      </c>
      <c r="C79" s="1">
        <v>6</v>
      </c>
      <c r="D79" s="21"/>
      <c r="E79" s="21"/>
      <c r="F79" s="21"/>
    </row>
    <row r="80" spans="2:6" x14ac:dyDescent="0.25">
      <c r="B80" s="7">
        <v>2</v>
      </c>
      <c r="C80" s="1">
        <v>7</v>
      </c>
      <c r="D80" s="21"/>
      <c r="E80" s="21"/>
      <c r="F80" s="21"/>
    </row>
    <row r="81" spans="2:6" x14ac:dyDescent="0.25">
      <c r="B81" s="7">
        <v>2</v>
      </c>
      <c r="C81" s="1">
        <v>8</v>
      </c>
      <c r="D81" s="21"/>
      <c r="E81" s="21"/>
      <c r="F81" s="21"/>
    </row>
    <row r="82" spans="2:6" x14ac:dyDescent="0.25">
      <c r="B82" s="7">
        <v>2</v>
      </c>
      <c r="C82" s="1">
        <v>9</v>
      </c>
      <c r="D82" s="21"/>
      <c r="E82" s="21"/>
      <c r="F82" s="21"/>
    </row>
    <row r="83" spans="2:6" x14ac:dyDescent="0.25">
      <c r="B83" s="7">
        <v>2</v>
      </c>
      <c r="C83" s="1">
        <v>10</v>
      </c>
      <c r="D83" s="21"/>
      <c r="E83" s="21"/>
      <c r="F83" s="21"/>
    </row>
    <row r="84" spans="2:6" x14ac:dyDescent="0.25">
      <c r="B84" s="7">
        <v>2</v>
      </c>
      <c r="C84" s="1">
        <v>11</v>
      </c>
      <c r="D84" s="21"/>
      <c r="E84" s="21"/>
      <c r="F84" s="21"/>
    </row>
    <row r="85" spans="2:6" x14ac:dyDescent="0.25">
      <c r="B85" s="7">
        <v>2</v>
      </c>
      <c r="C85" s="1">
        <v>12</v>
      </c>
      <c r="D85" s="21"/>
      <c r="E85" s="21"/>
      <c r="F85" s="21"/>
    </row>
  </sheetData>
  <sheetProtection sheet="1" objects="1" scenarios="1" selectLockedCells="1" sort="0" autoFilter="0" pivotTable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53 F55:F57" xr:uid="{892CDF0E-15A0-43A8-BD6A-62EF4D03C7D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E46:E53 E55:E57</xm:sqref>
        </x14:dataValidation>
        <x14:dataValidation type="list" allowBlank="1" showInputMessage="1" showErrorMessage="1" xr:uid="{4F387FE4-F215-4DCB-AA99-F2CB3B064FA3}">
          <x14:formula1>
            <xm:f>LISTS!$E$7:$E$11</xm:f>
          </x14:formula1>
          <xm:sqref>D46:D53 D55:D57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84"/>
  <sheetViews>
    <sheetView showGridLines="0" topLeftCell="B1" zoomScale="85" zoomScaleNormal="85" workbookViewId="0">
      <selection activeCell="E82" sqref="E8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5103SPS</v>
      </c>
      <c r="D2" s="20" t="str">
        <f>D8</f>
        <v xml:space="preserve">Biomechanics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732</v>
      </c>
      <c r="E7" s="4"/>
      <c r="F7" s="24"/>
    </row>
    <row r="8" spans="2:6" x14ac:dyDescent="0.25">
      <c r="B8" s="2"/>
      <c r="C8" s="3" t="s">
        <v>6</v>
      </c>
      <c r="D8" s="21" t="s">
        <v>733</v>
      </c>
      <c r="E8" s="4"/>
      <c r="F8" s="24"/>
    </row>
    <row r="9" spans="2:6" x14ac:dyDescent="0.25">
      <c r="C9" s="3" t="s">
        <v>7</v>
      </c>
      <c r="D9" s="21"/>
      <c r="E9" s="4"/>
    </row>
    <row r="10" spans="2:6" x14ac:dyDescent="0.25">
      <c r="C10" s="3" t="s">
        <v>8</v>
      </c>
      <c r="D10" s="21"/>
      <c r="E10" s="4"/>
      <c r="F10" t="s">
        <v>9</v>
      </c>
    </row>
    <row r="11" spans="2:6" x14ac:dyDescent="0.25">
      <c r="C11" s="3" t="s">
        <v>10</v>
      </c>
      <c r="D11" s="21">
        <v>5</v>
      </c>
      <c r="E11" s="4"/>
      <c r="F11" s="24"/>
    </row>
    <row r="12" spans="2:6" x14ac:dyDescent="0.25">
      <c r="C12" s="3" t="s">
        <v>11</v>
      </c>
      <c r="D12" s="21" t="s">
        <v>734</v>
      </c>
      <c r="E12" s="4"/>
      <c r="F12" s="24"/>
    </row>
    <row r="13" spans="2:6" x14ac:dyDescent="0.25">
      <c r="C13" s="3" t="s">
        <v>12</v>
      </c>
      <c r="D13" s="21" t="s">
        <v>87</v>
      </c>
      <c r="E13" s="4"/>
      <c r="F13" s="24"/>
    </row>
    <row r="14" spans="2:6" x14ac:dyDescent="0.25">
      <c r="C14" s="3" t="s">
        <v>13</v>
      </c>
      <c r="D14" s="21" t="s">
        <v>519</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735</v>
      </c>
      <c r="E29" s="4"/>
      <c r="F29" s="24"/>
    </row>
    <row r="30" spans="3:6" ht="30" x14ac:dyDescent="0.25">
      <c r="C30" s="3" t="s">
        <v>29</v>
      </c>
      <c r="D30" s="21" t="s">
        <v>736</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94</v>
      </c>
      <c r="E38" s="21" t="s">
        <v>95</v>
      </c>
      <c r="F38" s="21" t="s">
        <v>737</v>
      </c>
      <c r="G38" s="23">
        <v>0.5</v>
      </c>
      <c r="H38" s="21">
        <v>9</v>
      </c>
    </row>
    <row r="39" spans="3:8" ht="30" x14ac:dyDescent="0.25">
      <c r="C39" s="3" t="s">
        <v>44</v>
      </c>
      <c r="D39" s="21" t="s">
        <v>97</v>
      </c>
      <c r="E39" s="21" t="s">
        <v>98</v>
      </c>
      <c r="F39" s="21" t="s">
        <v>738</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c r="F46" s="24"/>
    </row>
    <row r="47" spans="3:8" x14ac:dyDescent="0.25">
      <c r="C47" s="25" t="s">
        <v>40</v>
      </c>
      <c r="D47" s="24" t="s">
        <v>28</v>
      </c>
      <c r="E47" s="24"/>
      <c r="F47" s="24"/>
    </row>
    <row r="48" spans="3:8" x14ac:dyDescent="0.25">
      <c r="C48" s="25" t="s">
        <v>40</v>
      </c>
      <c r="D48" s="24" t="s">
        <v>28</v>
      </c>
      <c r="E48" s="24"/>
      <c r="F48" s="24"/>
    </row>
    <row r="49" spans="2:6" x14ac:dyDescent="0.25">
      <c r="C49" s="25" t="s">
        <v>44</v>
      </c>
      <c r="D49" s="24" t="s">
        <v>29</v>
      </c>
      <c r="E49" s="24"/>
      <c r="F49" s="24"/>
    </row>
    <row r="50" spans="2:6" x14ac:dyDescent="0.25">
      <c r="C50" s="25" t="s">
        <v>44</v>
      </c>
      <c r="D50" s="24" t="s">
        <v>29</v>
      </c>
      <c r="E50" s="24"/>
      <c r="F50" s="24"/>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739</v>
      </c>
      <c r="E61" s="21" t="s">
        <v>740</v>
      </c>
      <c r="F61" s="21"/>
    </row>
    <row r="62" spans="2:6" x14ac:dyDescent="0.25">
      <c r="B62" s="7">
        <v>1</v>
      </c>
      <c r="C62" s="1">
        <v>2</v>
      </c>
      <c r="D62" s="21" t="s">
        <v>741</v>
      </c>
      <c r="E62" s="21" t="s">
        <v>742</v>
      </c>
      <c r="F62" s="21"/>
    </row>
    <row r="63" spans="2:6" x14ac:dyDescent="0.25">
      <c r="B63" s="7">
        <v>1</v>
      </c>
      <c r="C63" s="1">
        <v>3</v>
      </c>
      <c r="D63" s="21" t="s">
        <v>743</v>
      </c>
      <c r="E63" s="21" t="s">
        <v>747</v>
      </c>
      <c r="F63" s="21"/>
    </row>
    <row r="64" spans="2:6" x14ac:dyDescent="0.25">
      <c r="B64" s="7">
        <v>1</v>
      </c>
      <c r="C64" s="1">
        <v>4</v>
      </c>
      <c r="D64" s="21" t="s">
        <v>744</v>
      </c>
      <c r="E64" s="21" t="s">
        <v>748</v>
      </c>
      <c r="F64" s="21"/>
    </row>
    <row r="65" spans="2:6" x14ac:dyDescent="0.25">
      <c r="B65" s="7">
        <v>1</v>
      </c>
      <c r="C65" s="1">
        <v>5</v>
      </c>
      <c r="D65" s="21" t="s">
        <v>745</v>
      </c>
      <c r="E65" s="21" t="s">
        <v>749</v>
      </c>
      <c r="F65" s="21"/>
    </row>
    <row r="66" spans="2:6" x14ac:dyDescent="0.25">
      <c r="B66" s="7">
        <v>1</v>
      </c>
      <c r="C66" s="1">
        <v>6</v>
      </c>
      <c r="D66" s="21" t="s">
        <v>751</v>
      </c>
      <c r="E66" s="21" t="s">
        <v>750</v>
      </c>
      <c r="F66" s="21"/>
    </row>
    <row r="67" spans="2:6" x14ac:dyDescent="0.25">
      <c r="B67" s="7">
        <v>1</v>
      </c>
      <c r="C67" s="1">
        <v>7</v>
      </c>
      <c r="D67" s="21" t="s">
        <v>746</v>
      </c>
      <c r="E67" s="21" t="s">
        <v>752</v>
      </c>
      <c r="F67" s="21"/>
    </row>
    <row r="68" spans="2:6" x14ac:dyDescent="0.25">
      <c r="B68" s="7">
        <v>1</v>
      </c>
      <c r="C68" s="1">
        <v>8</v>
      </c>
      <c r="D68" s="21"/>
      <c r="E68" s="21"/>
      <c r="F68" s="21"/>
    </row>
    <row r="69" spans="2:6" x14ac:dyDescent="0.25">
      <c r="B69" s="7">
        <v>1</v>
      </c>
      <c r="C69" s="1">
        <v>9</v>
      </c>
      <c r="D69" s="21" t="s">
        <v>753</v>
      </c>
      <c r="E69" s="21" t="s">
        <v>757</v>
      </c>
      <c r="F69" s="21"/>
    </row>
    <row r="70" spans="2:6" x14ac:dyDescent="0.25">
      <c r="B70" s="7">
        <v>1</v>
      </c>
      <c r="C70" s="1">
        <v>10</v>
      </c>
      <c r="D70" s="21" t="s">
        <v>754</v>
      </c>
      <c r="E70" s="21" t="s">
        <v>758</v>
      </c>
      <c r="F70" s="21"/>
    </row>
    <row r="71" spans="2:6" x14ac:dyDescent="0.25">
      <c r="B71" s="7">
        <v>1</v>
      </c>
      <c r="C71" s="1">
        <v>11</v>
      </c>
      <c r="D71" s="21" t="s">
        <v>755</v>
      </c>
      <c r="E71" s="21" t="s">
        <v>759</v>
      </c>
      <c r="F71" s="21"/>
    </row>
    <row r="72" spans="2:6" x14ac:dyDescent="0.25">
      <c r="B72" s="7">
        <v>1</v>
      </c>
      <c r="C72" s="1">
        <v>12</v>
      </c>
      <c r="D72" s="21" t="s">
        <v>756</v>
      </c>
      <c r="E72" s="21" t="s">
        <v>760</v>
      </c>
      <c r="F72" s="21" t="s">
        <v>761</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E46:E56</xm:sqref>
        </x14:dataValidation>
        <x14:dataValidation type="list" allowBlank="1" showInputMessage="1" showErrorMessage="1" xr:uid="{06465257-54DA-440C-A18F-A20A74E289A8}">
          <x14:formula1>
            <xm:f>LISTS!$E$7:$E$11</xm:f>
          </x14:formula1>
          <xm:sqref>D46:D56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84"/>
  <sheetViews>
    <sheetView showGridLines="0" topLeftCell="B1" zoomScale="85" zoomScaleNormal="85" workbookViewId="0">
      <selection activeCell="D47" sqref="D4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6101SPS</v>
      </c>
      <c r="D2" s="20" t="str">
        <f>D8</f>
        <v>Sport and Injury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762</v>
      </c>
      <c r="E7" s="4"/>
      <c r="F7" s="24" t="s">
        <v>763</v>
      </c>
    </row>
    <row r="8" spans="2:6" x14ac:dyDescent="0.25">
      <c r="B8" s="2"/>
      <c r="C8" s="3" t="s">
        <v>6</v>
      </c>
      <c r="D8" s="21" t="s">
        <v>764</v>
      </c>
      <c r="E8" s="4"/>
      <c r="F8" s="24"/>
    </row>
    <row r="9" spans="2:6" x14ac:dyDescent="0.25">
      <c r="C9" s="3" t="s">
        <v>7</v>
      </c>
      <c r="D9" s="21">
        <v>20</v>
      </c>
      <c r="E9" s="4"/>
    </row>
    <row r="10" spans="2:6" x14ac:dyDescent="0.25">
      <c r="C10" s="3" t="s">
        <v>8</v>
      </c>
      <c r="D10" s="21">
        <v>1</v>
      </c>
      <c r="E10" s="4"/>
      <c r="F10" t="s">
        <v>9</v>
      </c>
    </row>
    <row r="11" spans="2:6" x14ac:dyDescent="0.25">
      <c r="C11" s="3" t="s">
        <v>10</v>
      </c>
      <c r="D11" s="21">
        <v>6</v>
      </c>
      <c r="E11" s="4"/>
      <c r="F11" s="24" t="s">
        <v>765</v>
      </c>
    </row>
    <row r="12" spans="2:6" x14ac:dyDescent="0.25">
      <c r="C12" s="3" t="s">
        <v>11</v>
      </c>
      <c r="D12" s="21" t="s">
        <v>766</v>
      </c>
      <c r="E12" s="4"/>
      <c r="F12" s="24" t="s">
        <v>767</v>
      </c>
    </row>
    <row r="13" spans="2:6" x14ac:dyDescent="0.25">
      <c r="C13" s="3" t="s">
        <v>12</v>
      </c>
      <c r="D13" s="21" t="s">
        <v>351</v>
      </c>
      <c r="E13" s="4"/>
      <c r="F13" s="24" t="s">
        <v>768</v>
      </c>
    </row>
    <row r="14" spans="2:6" x14ac:dyDescent="0.25">
      <c r="C14" s="3" t="s">
        <v>13</v>
      </c>
      <c r="D14" s="21" t="s">
        <v>201</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20</v>
      </c>
      <c r="E19" s="4"/>
      <c r="F19" s="24"/>
    </row>
    <row r="20" spans="3:6" x14ac:dyDescent="0.25">
      <c r="C20" s="3" t="s">
        <v>18</v>
      </c>
      <c r="D20" s="22">
        <v>9</v>
      </c>
      <c r="E20" s="4"/>
      <c r="F20" s="24"/>
    </row>
    <row r="21" spans="3:6" x14ac:dyDescent="0.25">
      <c r="C21" s="3" t="s">
        <v>19</v>
      </c>
      <c r="D21" s="22">
        <v>13</v>
      </c>
      <c r="E21" s="4"/>
    </row>
    <row r="22" spans="3:6" x14ac:dyDescent="0.25">
      <c r="C22" s="3" t="s">
        <v>20</v>
      </c>
      <c r="D22" s="22">
        <v>0</v>
      </c>
      <c r="E22" s="4"/>
      <c r="F22" t="s">
        <v>21</v>
      </c>
    </row>
    <row r="23" spans="3:6" x14ac:dyDescent="0.25">
      <c r="C23" s="3" t="s">
        <v>22</v>
      </c>
      <c r="D23" s="22">
        <v>0</v>
      </c>
      <c r="E23" s="4"/>
      <c r="F23" s="24"/>
    </row>
    <row r="24" spans="3:6" x14ac:dyDescent="0.25">
      <c r="C24" s="3" t="s">
        <v>23</v>
      </c>
      <c r="D24" s="1">
        <f>SUM(D19:D23)</f>
        <v>42</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4" t="s">
        <v>769</v>
      </c>
      <c r="E29" s="4"/>
      <c r="F29" s="24"/>
    </row>
    <row r="30" spans="3:6" x14ac:dyDescent="0.25">
      <c r="C30" s="3" t="s">
        <v>29</v>
      </c>
      <c r="D30" s="24" t="s">
        <v>770</v>
      </c>
      <c r="E30" s="4"/>
      <c r="F30" s="24"/>
    </row>
    <row r="31" spans="3:6" x14ac:dyDescent="0.25">
      <c r="C31" s="3" t="s">
        <v>30</v>
      </c>
      <c r="D31" s="24" t="s">
        <v>771</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253</v>
      </c>
      <c r="E38" s="21" t="s">
        <v>393</v>
      </c>
      <c r="F38" s="21" t="s">
        <v>772</v>
      </c>
      <c r="G38" s="23">
        <v>0.5</v>
      </c>
      <c r="H38" s="21">
        <v>6</v>
      </c>
    </row>
    <row r="39" spans="3:8" x14ac:dyDescent="0.25">
      <c r="C39" s="3" t="s">
        <v>44</v>
      </c>
      <c r="D39" s="21" t="s">
        <v>253</v>
      </c>
      <c r="E39" s="21" t="s">
        <v>591</v>
      </c>
      <c r="F39" s="21" t="s">
        <v>773</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2:6" x14ac:dyDescent="0.25">
      <c r="C49" s="25" t="s">
        <v>44</v>
      </c>
      <c r="D49" s="24" t="s">
        <v>29</v>
      </c>
      <c r="E49" s="24" t="s">
        <v>55</v>
      </c>
      <c r="F49" s="24" t="s">
        <v>56</v>
      </c>
    </row>
    <row r="50" spans="2:6" x14ac:dyDescent="0.25">
      <c r="C50" s="25" t="s">
        <v>44</v>
      </c>
      <c r="D50" s="24" t="s">
        <v>29</v>
      </c>
      <c r="E50" s="24" t="s">
        <v>57</v>
      </c>
      <c r="F50" s="24" t="s">
        <v>58</v>
      </c>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65</v>
      </c>
      <c r="E61" s="21"/>
      <c r="F61" s="21"/>
    </row>
    <row r="62" spans="2:6" x14ac:dyDescent="0.25">
      <c r="B62" s="7">
        <v>1</v>
      </c>
      <c r="C62" s="1">
        <v>2</v>
      </c>
      <c r="D62" s="21" t="s">
        <v>66</v>
      </c>
      <c r="E62" s="21" t="s">
        <v>67</v>
      </c>
      <c r="F62" s="21" t="s">
        <v>18</v>
      </c>
    </row>
    <row r="63" spans="2:6" x14ac:dyDescent="0.25">
      <c r="B63" s="7">
        <v>1</v>
      </c>
      <c r="C63" s="1">
        <v>3</v>
      </c>
      <c r="D63" s="21" t="s">
        <v>68</v>
      </c>
      <c r="E63" s="21"/>
      <c r="F63" s="21"/>
    </row>
    <row r="64" spans="2:6" x14ac:dyDescent="0.25">
      <c r="B64" s="7">
        <v>1</v>
      </c>
      <c r="C64" s="1">
        <v>4</v>
      </c>
      <c r="D64" s="21" t="s">
        <v>69</v>
      </c>
      <c r="E64" s="21" t="s">
        <v>70</v>
      </c>
      <c r="F64" s="21" t="s">
        <v>18</v>
      </c>
    </row>
    <row r="65" spans="2:6" x14ac:dyDescent="0.25">
      <c r="B65" s="7">
        <v>1</v>
      </c>
      <c r="C65" s="1">
        <v>5</v>
      </c>
      <c r="D65" s="21" t="s">
        <v>71</v>
      </c>
      <c r="E65" s="21"/>
      <c r="F65" s="21"/>
    </row>
    <row r="66" spans="2:6" x14ac:dyDescent="0.25">
      <c r="B66" s="7">
        <v>1</v>
      </c>
      <c r="C66" s="1">
        <v>6</v>
      </c>
      <c r="D66" s="21" t="s">
        <v>72</v>
      </c>
      <c r="E66" s="21"/>
      <c r="F66" s="21" t="s">
        <v>18</v>
      </c>
    </row>
    <row r="67" spans="2:6" x14ac:dyDescent="0.25">
      <c r="B67" s="7">
        <v>1</v>
      </c>
      <c r="C67" s="1">
        <v>7</v>
      </c>
      <c r="D67" s="21" t="s">
        <v>73</v>
      </c>
      <c r="E67" s="21"/>
      <c r="F67" s="21"/>
    </row>
    <row r="68" spans="2:6" x14ac:dyDescent="0.25">
      <c r="B68" s="7">
        <v>1</v>
      </c>
      <c r="C68" s="1">
        <v>8</v>
      </c>
      <c r="D68" s="21" t="s">
        <v>74</v>
      </c>
      <c r="E68" s="21"/>
      <c r="F68" s="21" t="s">
        <v>18</v>
      </c>
    </row>
    <row r="69" spans="2:6" x14ac:dyDescent="0.25">
      <c r="B69" s="7">
        <v>1</v>
      </c>
      <c r="C69" s="1">
        <v>9</v>
      </c>
      <c r="D69" s="21" t="s">
        <v>75</v>
      </c>
      <c r="E69" s="21"/>
      <c r="F69" s="21"/>
    </row>
    <row r="70" spans="2:6" x14ac:dyDescent="0.25">
      <c r="B70" s="7">
        <v>1</v>
      </c>
      <c r="C70" s="1">
        <v>10</v>
      </c>
      <c r="D70" s="21" t="s">
        <v>76</v>
      </c>
      <c r="E70" s="21" t="s">
        <v>77</v>
      </c>
      <c r="F70" s="21" t="s">
        <v>18</v>
      </c>
    </row>
    <row r="71" spans="2:6" x14ac:dyDescent="0.25">
      <c r="B71" s="7">
        <v>1</v>
      </c>
      <c r="C71" s="1">
        <v>11</v>
      </c>
      <c r="D71" s="21" t="s">
        <v>78</v>
      </c>
      <c r="E71" s="21"/>
      <c r="F71" s="21"/>
    </row>
    <row r="72" spans="2:6" x14ac:dyDescent="0.25">
      <c r="B72" s="7">
        <v>1</v>
      </c>
      <c r="C72" s="1">
        <v>12</v>
      </c>
      <c r="D72" s="21" t="s">
        <v>79</v>
      </c>
      <c r="E72" s="21"/>
      <c r="F72" s="21" t="s">
        <v>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56" xr:uid="{D3193D47-8E41-4ECA-A93B-A34DD3B6EE5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84"/>
  <sheetViews>
    <sheetView showGridLines="0" topLeftCell="A54" zoomScale="85" zoomScaleNormal="85" workbookViewId="0">
      <selection activeCell="F8" sqref="F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6102SPS</v>
      </c>
      <c r="D2" s="20" t="str">
        <f>D8</f>
        <v>Physical activity and sedentary behaviour across the life course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438</v>
      </c>
      <c r="E7" s="4"/>
      <c r="F7" s="24"/>
    </row>
    <row r="8" spans="2:6" ht="90" x14ac:dyDescent="0.25">
      <c r="B8" s="2"/>
      <c r="C8" s="3" t="s">
        <v>6</v>
      </c>
      <c r="D8" s="21" t="s">
        <v>439</v>
      </c>
      <c r="E8" s="4"/>
      <c r="F8" s="47" t="s">
        <v>440</v>
      </c>
    </row>
    <row r="9" spans="2:6" x14ac:dyDescent="0.25">
      <c r="C9" s="3" t="s">
        <v>7</v>
      </c>
      <c r="D9" s="21">
        <v>20</v>
      </c>
      <c r="E9" s="4"/>
    </row>
    <row r="10" spans="2:6" x14ac:dyDescent="0.25">
      <c r="C10" s="3" t="s">
        <v>8</v>
      </c>
      <c r="D10" s="21">
        <v>1</v>
      </c>
      <c r="E10" s="4"/>
      <c r="F10" t="s">
        <v>9</v>
      </c>
    </row>
    <row r="11" spans="2:6" x14ac:dyDescent="0.25">
      <c r="C11" s="3" t="s">
        <v>10</v>
      </c>
      <c r="D11" s="21">
        <v>6</v>
      </c>
      <c r="E11" s="4"/>
      <c r="F11" s="24" t="s">
        <v>441</v>
      </c>
    </row>
    <row r="12" spans="2:6" x14ac:dyDescent="0.25">
      <c r="C12" s="3" t="s">
        <v>11</v>
      </c>
      <c r="D12" s="21" t="s">
        <v>442</v>
      </c>
      <c r="E12" s="4"/>
      <c r="F12" s="24" t="s">
        <v>443</v>
      </c>
    </row>
    <row r="13" spans="2:6" x14ac:dyDescent="0.25">
      <c r="C13" s="3" t="s">
        <v>12</v>
      </c>
      <c r="D13" s="21" t="s">
        <v>351</v>
      </c>
      <c r="E13" s="4"/>
      <c r="F13" s="24"/>
    </row>
    <row r="14" spans="2:6" x14ac:dyDescent="0.25">
      <c r="C14" s="3" t="s">
        <v>13</v>
      </c>
      <c r="D14" s="21" t="s">
        <v>201</v>
      </c>
      <c r="E14" s="4"/>
    </row>
    <row r="15" spans="2:6" x14ac:dyDescent="0.25">
      <c r="C15" s="3"/>
      <c r="D15" s="4"/>
      <c r="E15" s="4"/>
      <c r="F15" t="s">
        <v>14</v>
      </c>
    </row>
    <row r="16" spans="2:6" x14ac:dyDescent="0.25">
      <c r="C16" s="3"/>
      <c r="D16" s="4"/>
      <c r="E16" s="4"/>
      <c r="F16" s="24" t="s">
        <v>444</v>
      </c>
    </row>
    <row r="17" spans="3:6" ht="18.75" x14ac:dyDescent="0.25">
      <c r="C17" s="5" t="s">
        <v>15</v>
      </c>
      <c r="D17" s="4"/>
      <c r="E17" s="4"/>
      <c r="F17" s="24"/>
    </row>
    <row r="18" spans="3:6" x14ac:dyDescent="0.25">
      <c r="C18" s="3" t="s">
        <v>16</v>
      </c>
      <c r="D18" s="1" t="s">
        <v>15</v>
      </c>
      <c r="E18" s="4"/>
      <c r="F18" s="24"/>
    </row>
    <row r="19" spans="3:6" x14ac:dyDescent="0.25">
      <c r="C19" s="3" t="s">
        <v>17</v>
      </c>
      <c r="D19" s="22">
        <v>20</v>
      </c>
      <c r="E19" s="4"/>
      <c r="F19" s="24"/>
    </row>
    <row r="20" spans="3:6" x14ac:dyDescent="0.25">
      <c r="C20" s="3" t="s">
        <v>18</v>
      </c>
      <c r="D20" s="22">
        <v>16</v>
      </c>
      <c r="E20" s="4"/>
      <c r="F20" s="24"/>
    </row>
    <row r="21" spans="3:6" x14ac:dyDescent="0.25">
      <c r="C21" s="3" t="s">
        <v>19</v>
      </c>
      <c r="D21" s="22">
        <v>4</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46" t="s">
        <v>445</v>
      </c>
      <c r="E29" s="4"/>
      <c r="F29" s="24"/>
    </row>
    <row r="30" spans="3:6" ht="45" x14ac:dyDescent="0.25">
      <c r="C30" s="3" t="s">
        <v>29</v>
      </c>
      <c r="D30" s="21" t="s">
        <v>445</v>
      </c>
      <c r="E30" s="4"/>
      <c r="F30" s="24"/>
    </row>
    <row r="31" spans="3:6" ht="60" x14ac:dyDescent="0.25">
      <c r="C31" s="3" t="s">
        <v>30</v>
      </c>
      <c r="D31" s="21" t="s">
        <v>446</v>
      </c>
      <c r="E31" s="4"/>
      <c r="F31" s="24"/>
    </row>
    <row r="32" spans="3:6" ht="45" x14ac:dyDescent="0.25">
      <c r="C32" s="3" t="s">
        <v>31</v>
      </c>
      <c r="D32" s="21" t="s">
        <v>447</v>
      </c>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94</v>
      </c>
      <c r="E38" s="21" t="s">
        <v>418</v>
      </c>
      <c r="F38" s="21" t="s">
        <v>448</v>
      </c>
      <c r="G38" s="23">
        <v>0.5</v>
      </c>
      <c r="H38" s="21">
        <v>7</v>
      </c>
    </row>
    <row r="39" spans="3:8" ht="30" x14ac:dyDescent="0.25">
      <c r="C39" s="3" t="s">
        <v>44</v>
      </c>
      <c r="D39" s="21" t="s">
        <v>41</v>
      </c>
      <c r="E39" s="21" t="s">
        <v>206</v>
      </c>
      <c r="F39" s="21" t="s">
        <v>449</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162</v>
      </c>
    </row>
    <row r="47" spans="3:8" x14ac:dyDescent="0.25">
      <c r="C47" s="25" t="s">
        <v>40</v>
      </c>
      <c r="D47" s="24" t="s">
        <v>29</v>
      </c>
      <c r="E47" s="24" t="s">
        <v>102</v>
      </c>
      <c r="F47" s="24" t="s">
        <v>260</v>
      </c>
    </row>
    <row r="48" spans="3:8" x14ac:dyDescent="0.25">
      <c r="C48" s="25" t="s">
        <v>40</v>
      </c>
      <c r="D48" s="24" t="s">
        <v>31</v>
      </c>
      <c r="E48" s="24" t="s">
        <v>50</v>
      </c>
      <c r="F48" s="24" t="s">
        <v>162</v>
      </c>
    </row>
    <row r="49" spans="2:6" x14ac:dyDescent="0.25">
      <c r="C49" s="25" t="s">
        <v>44</v>
      </c>
      <c r="D49" s="24" t="s">
        <v>29</v>
      </c>
      <c r="E49" s="24" t="s">
        <v>102</v>
      </c>
      <c r="F49" s="24" t="s">
        <v>260</v>
      </c>
    </row>
    <row r="50" spans="2:6" x14ac:dyDescent="0.25">
      <c r="C50" s="25" t="s">
        <v>44</v>
      </c>
      <c r="D50" s="24" t="s">
        <v>30</v>
      </c>
      <c r="E50" s="24" t="s">
        <v>50</v>
      </c>
      <c r="F50" s="24" t="s">
        <v>360</v>
      </c>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450</v>
      </c>
      <c r="E61" s="21" t="s">
        <v>451</v>
      </c>
      <c r="F61" s="21" t="s">
        <v>452</v>
      </c>
    </row>
    <row r="62" spans="2:6" x14ac:dyDescent="0.25">
      <c r="B62" s="7">
        <v>1</v>
      </c>
      <c r="C62" s="1">
        <v>2</v>
      </c>
      <c r="D62" s="21" t="s">
        <v>453</v>
      </c>
      <c r="E62" s="21" t="s">
        <v>454</v>
      </c>
      <c r="F62" s="21" t="s">
        <v>455</v>
      </c>
    </row>
    <row r="63" spans="2:6" x14ac:dyDescent="0.25">
      <c r="B63" s="7">
        <v>1</v>
      </c>
      <c r="C63" s="1">
        <v>3</v>
      </c>
      <c r="D63" s="21" t="s">
        <v>456</v>
      </c>
      <c r="E63" s="21" t="s">
        <v>457</v>
      </c>
      <c r="F63" s="21" t="s">
        <v>458</v>
      </c>
    </row>
    <row r="64" spans="2:6" x14ac:dyDescent="0.25">
      <c r="B64" s="7">
        <v>1</v>
      </c>
      <c r="C64" s="1">
        <v>4</v>
      </c>
      <c r="D64" s="21" t="s">
        <v>459</v>
      </c>
      <c r="E64" s="21" t="s">
        <v>460</v>
      </c>
      <c r="F64" s="21" t="s">
        <v>461</v>
      </c>
    </row>
    <row r="65" spans="2:6" x14ac:dyDescent="0.25">
      <c r="B65" s="7">
        <v>1</v>
      </c>
      <c r="C65" s="1">
        <v>5</v>
      </c>
      <c r="D65" s="21" t="s">
        <v>462</v>
      </c>
      <c r="E65" s="21" t="s">
        <v>463</v>
      </c>
      <c r="F65" s="21" t="s">
        <v>464</v>
      </c>
    </row>
    <row r="66" spans="2:6" x14ac:dyDescent="0.25">
      <c r="B66" s="7">
        <v>1</v>
      </c>
      <c r="C66" s="1">
        <v>6</v>
      </c>
      <c r="D66" s="21" t="s">
        <v>465</v>
      </c>
      <c r="E66" s="21" t="s">
        <v>466</v>
      </c>
      <c r="F66" s="21" t="s">
        <v>467</v>
      </c>
    </row>
    <row r="67" spans="2:6" x14ac:dyDescent="0.25">
      <c r="B67" s="7">
        <v>1</v>
      </c>
      <c r="C67" s="1">
        <v>7</v>
      </c>
      <c r="D67" s="21" t="s">
        <v>237</v>
      </c>
      <c r="E67" s="21" t="s">
        <v>468</v>
      </c>
      <c r="F67" s="21"/>
    </row>
    <row r="68" spans="2:6" x14ac:dyDescent="0.25">
      <c r="B68" s="7">
        <v>1</v>
      </c>
      <c r="C68" s="1">
        <v>8</v>
      </c>
      <c r="D68" s="21" t="s">
        <v>469</v>
      </c>
      <c r="E68" s="21" t="s">
        <v>470</v>
      </c>
      <c r="F68" s="21" t="s">
        <v>471</v>
      </c>
    </row>
    <row r="69" spans="2:6" x14ac:dyDescent="0.25">
      <c r="B69" s="7">
        <v>1</v>
      </c>
      <c r="C69" s="1">
        <v>9</v>
      </c>
      <c r="D69" s="21" t="s">
        <v>472</v>
      </c>
      <c r="E69" s="21" t="s">
        <v>473</v>
      </c>
      <c r="F69" s="21" t="s">
        <v>474</v>
      </c>
    </row>
    <row r="70" spans="2:6" x14ac:dyDescent="0.25">
      <c r="B70" s="7">
        <v>1</v>
      </c>
      <c r="C70" s="1">
        <v>10</v>
      </c>
      <c r="D70" s="21" t="s">
        <v>475</v>
      </c>
      <c r="E70" s="21" t="s">
        <v>476</v>
      </c>
      <c r="F70" s="21" t="s">
        <v>477</v>
      </c>
    </row>
    <row r="71" spans="2:6" x14ac:dyDescent="0.25">
      <c r="B71" s="7">
        <v>1</v>
      </c>
      <c r="C71" s="1">
        <v>11</v>
      </c>
      <c r="D71" s="21" t="s">
        <v>478</v>
      </c>
      <c r="E71" s="21" t="s">
        <v>479</v>
      </c>
      <c r="F71" s="21" t="s">
        <v>480</v>
      </c>
    </row>
    <row r="72" spans="2:6" x14ac:dyDescent="0.25">
      <c r="B72" s="7">
        <v>1</v>
      </c>
      <c r="C72" s="1">
        <v>12</v>
      </c>
      <c r="D72" s="21" t="s">
        <v>481</v>
      </c>
      <c r="E72" s="21" t="s">
        <v>481</v>
      </c>
      <c r="F72" s="21" t="s">
        <v>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E46:E56</xm:sqref>
        </x14:dataValidation>
        <x14:dataValidation type="list" allowBlank="1" showInputMessage="1" showErrorMessage="1" xr:uid="{14DAA443-23DD-4C34-A97A-3ECF7C0E8C55}">
          <x14:formula1>
            <xm:f>LISTS!$E$7:$E$11</xm:f>
          </x14:formula1>
          <xm:sqref>D46:D56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84"/>
  <sheetViews>
    <sheetView showGridLines="0" zoomScale="85" zoomScaleNormal="85" workbookViewId="0">
      <selection activeCell="D9" sqref="D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6103SPS</v>
      </c>
      <c r="D2" s="20" t="str">
        <f>D8</f>
        <v>Exercise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811</v>
      </c>
      <c r="E7" s="4"/>
      <c r="F7" s="24"/>
    </row>
    <row r="8" spans="2:6" x14ac:dyDescent="0.25">
      <c r="B8" s="2"/>
      <c r="C8" s="3" t="s">
        <v>6</v>
      </c>
      <c r="D8" s="21" t="s">
        <v>812</v>
      </c>
      <c r="E8" s="4"/>
      <c r="F8" s="47"/>
    </row>
    <row r="9" spans="2:6" x14ac:dyDescent="0.25">
      <c r="C9" s="3" t="s">
        <v>7</v>
      </c>
      <c r="D9" s="21"/>
      <c r="E9" s="4"/>
    </row>
    <row r="10" spans="2:6" x14ac:dyDescent="0.25">
      <c r="C10" s="3" t="s">
        <v>8</v>
      </c>
      <c r="D10" s="21"/>
      <c r="E10" s="4"/>
      <c r="F10" t="s">
        <v>9</v>
      </c>
    </row>
    <row r="11" spans="2:6" x14ac:dyDescent="0.25">
      <c r="C11" s="3" t="s">
        <v>10</v>
      </c>
      <c r="D11" s="21"/>
      <c r="E11" s="4"/>
      <c r="F11" s="24"/>
    </row>
    <row r="12" spans="2:6" x14ac:dyDescent="0.25">
      <c r="C12" s="3" t="s">
        <v>11</v>
      </c>
      <c r="D12" s="21"/>
      <c r="E12" s="4"/>
      <c r="F12" s="24"/>
    </row>
    <row r="13" spans="2:6" x14ac:dyDescent="0.25">
      <c r="C13" s="3" t="s">
        <v>12</v>
      </c>
      <c r="D13" s="21"/>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46"/>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21"/>
      <c r="G38" s="23"/>
      <c r="H38" s="21"/>
    </row>
    <row r="39" spans="3:8" x14ac:dyDescent="0.25">
      <c r="C39" s="3" t="s">
        <v>44</v>
      </c>
      <c r="D39" s="21"/>
      <c r="E39" s="21"/>
      <c r="F39" s="21"/>
      <c r="G39" s="23"/>
      <c r="H39" s="21"/>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162</v>
      </c>
    </row>
    <row r="47" spans="3:8" x14ac:dyDescent="0.25">
      <c r="C47" s="25" t="s">
        <v>40</v>
      </c>
      <c r="D47" s="24" t="s">
        <v>29</v>
      </c>
      <c r="E47" s="24" t="s">
        <v>102</v>
      </c>
      <c r="F47" s="24" t="s">
        <v>260</v>
      </c>
    </row>
    <row r="48" spans="3:8" x14ac:dyDescent="0.25">
      <c r="C48" s="25" t="s">
        <v>40</v>
      </c>
      <c r="D48" s="24" t="s">
        <v>31</v>
      </c>
      <c r="E48" s="24" t="s">
        <v>50</v>
      </c>
      <c r="F48" s="24" t="s">
        <v>162</v>
      </c>
    </row>
    <row r="49" spans="2:6" x14ac:dyDescent="0.25">
      <c r="C49" s="25" t="s">
        <v>44</v>
      </c>
      <c r="D49" s="24" t="s">
        <v>29</v>
      </c>
      <c r="E49" s="24" t="s">
        <v>102</v>
      </c>
      <c r="F49" s="24" t="s">
        <v>260</v>
      </c>
    </row>
    <row r="50" spans="2:6" x14ac:dyDescent="0.25">
      <c r="C50" s="25" t="s">
        <v>44</v>
      </c>
      <c r="D50" s="24" t="s">
        <v>30</v>
      </c>
      <c r="E50" s="24" t="s">
        <v>50</v>
      </c>
      <c r="F50" s="24" t="s">
        <v>360</v>
      </c>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E38:E41" xr:uid="{F70CFF68-430D-4C69-8888-63611FF54652}">
      <formula1>INDIRECT("LISTAssess[Assessment Specific]")</formula1>
    </dataValidation>
    <dataValidation type="list" allowBlank="1" showInputMessage="1" showErrorMessage="1" sqref="F46:F56" xr:uid="{3C579B9B-EFA1-4369-AAE0-F4DE0D5D308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D46:D56</xm:sqref>
        </x14:dataValidation>
        <x14:dataValidation type="list" allowBlank="1" showInputMessage="1" showErrorMessage="1" xr:uid="{D8A55508-8652-4F73-9662-266E699057AC}">
          <x14:formula1>
            <xm:f>LISTS!$J$7:$J$16</xm:f>
          </x14:formula1>
          <xm:sqref>E46:E56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84"/>
  <sheetViews>
    <sheetView showGridLines="0" topLeftCell="A42" zoomScale="85" zoomScaleNormal="85" workbookViewId="0">
      <selection activeCell="D67" sqref="D6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6104SPS</v>
      </c>
      <c r="D2" s="20" t="str">
        <f>D8</f>
        <v>Cardiovascular Physiology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482</v>
      </c>
      <c r="E7" s="4"/>
      <c r="F7" s="24"/>
    </row>
    <row r="8" spans="2:6" x14ac:dyDescent="0.25">
      <c r="B8" s="2"/>
      <c r="C8" s="3" t="s">
        <v>6</v>
      </c>
      <c r="D8" s="21" t="s">
        <v>483</v>
      </c>
      <c r="E8" s="4"/>
      <c r="F8" s="24"/>
    </row>
    <row r="9" spans="2:6" x14ac:dyDescent="0.25">
      <c r="C9" s="3" t="s">
        <v>7</v>
      </c>
      <c r="D9" s="21">
        <v>20</v>
      </c>
      <c r="E9" s="4"/>
    </row>
    <row r="10" spans="2:6" x14ac:dyDescent="0.25">
      <c r="C10" s="3" t="s">
        <v>8</v>
      </c>
      <c r="D10" s="21">
        <v>1</v>
      </c>
      <c r="E10" s="4"/>
      <c r="F10" t="s">
        <v>9</v>
      </c>
    </row>
    <row r="11" spans="2:6" x14ac:dyDescent="0.25">
      <c r="C11" s="3" t="s">
        <v>10</v>
      </c>
      <c r="D11" s="21">
        <v>6</v>
      </c>
      <c r="E11" s="4"/>
      <c r="F11" s="24"/>
    </row>
    <row r="12" spans="2:6" x14ac:dyDescent="0.25">
      <c r="C12" s="3" t="s">
        <v>11</v>
      </c>
      <c r="D12" s="21" t="s">
        <v>484</v>
      </c>
      <c r="E12" s="4"/>
      <c r="F12" s="24"/>
    </row>
    <row r="13" spans="2:6" x14ac:dyDescent="0.25">
      <c r="C13" s="3" t="s">
        <v>12</v>
      </c>
      <c r="D13" s="21" t="s">
        <v>351</v>
      </c>
      <c r="E13" s="4"/>
      <c r="F13" s="24"/>
    </row>
    <row r="14" spans="2:6" x14ac:dyDescent="0.25">
      <c r="C14" s="3" t="s">
        <v>13</v>
      </c>
      <c r="D14" s="21" t="s">
        <v>201</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4</v>
      </c>
      <c r="E20" s="4"/>
      <c r="F20" s="24"/>
    </row>
    <row r="21" spans="3:6" x14ac:dyDescent="0.25">
      <c r="C21" s="3" t="s">
        <v>19</v>
      </c>
      <c r="D21" s="22">
        <v>16</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38</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60" x14ac:dyDescent="0.25">
      <c r="C29" s="3" t="s">
        <v>28</v>
      </c>
      <c r="D29" s="21" t="s">
        <v>485</v>
      </c>
      <c r="E29" s="4"/>
      <c r="F29" s="24"/>
    </row>
    <row r="30" spans="3:6" ht="30" x14ac:dyDescent="0.25">
      <c r="C30" s="3" t="s">
        <v>29</v>
      </c>
      <c r="D30" s="21" t="s">
        <v>486</v>
      </c>
      <c r="E30" s="4"/>
      <c r="F30" s="24"/>
    </row>
    <row r="31" spans="3:6" ht="60" x14ac:dyDescent="0.25">
      <c r="C31" s="3" t="s">
        <v>30</v>
      </c>
      <c r="D31" s="21" t="s">
        <v>487</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206</v>
      </c>
      <c r="F38" s="21" t="s">
        <v>488</v>
      </c>
      <c r="G38" s="23">
        <v>0.5</v>
      </c>
      <c r="H38" s="21">
        <v>8</v>
      </c>
    </row>
    <row r="39" spans="3:8" x14ac:dyDescent="0.25">
      <c r="C39" s="3" t="s">
        <v>44</v>
      </c>
      <c r="D39" s="21" t="s">
        <v>97</v>
      </c>
      <c r="E39" s="21" t="s">
        <v>98</v>
      </c>
      <c r="F39" s="21" t="s">
        <v>489</v>
      </c>
      <c r="G39" s="23">
        <v>0.5</v>
      </c>
      <c r="H39" s="21">
        <v>18</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ht="15.75" x14ac:dyDescent="0.25">
      <c r="C46" s="42" t="s">
        <v>40</v>
      </c>
      <c r="D46" s="42" t="s">
        <v>28</v>
      </c>
      <c r="E46" s="42" t="s">
        <v>57</v>
      </c>
      <c r="F46" s="42" t="s">
        <v>490</v>
      </c>
    </row>
    <row r="47" spans="3:8" ht="15.75" x14ac:dyDescent="0.25">
      <c r="C47" s="42" t="s">
        <v>40</v>
      </c>
      <c r="D47" s="42" t="s">
        <v>28</v>
      </c>
      <c r="E47" s="42" t="s">
        <v>55</v>
      </c>
      <c r="F47" s="42" t="s">
        <v>56</v>
      </c>
    </row>
    <row r="48" spans="3:8" ht="15.75" x14ac:dyDescent="0.25">
      <c r="C48" s="42" t="s">
        <v>40</v>
      </c>
      <c r="D48" s="42" t="s">
        <v>29</v>
      </c>
      <c r="E48" s="42" t="s">
        <v>50</v>
      </c>
      <c r="F48" s="42" t="s">
        <v>491</v>
      </c>
    </row>
    <row r="49" spans="2:6" ht="15.75" x14ac:dyDescent="0.25">
      <c r="C49" s="42" t="s">
        <v>40</v>
      </c>
      <c r="D49" s="42" t="s">
        <v>29</v>
      </c>
      <c r="E49" s="42" t="s">
        <v>50</v>
      </c>
      <c r="F49" s="42" t="s">
        <v>100</v>
      </c>
    </row>
    <row r="50" spans="2:6" ht="15.75" x14ac:dyDescent="0.25">
      <c r="C50" s="42" t="s">
        <v>40</v>
      </c>
      <c r="D50" s="42" t="s">
        <v>30</v>
      </c>
      <c r="E50" s="42" t="s">
        <v>50</v>
      </c>
      <c r="F50" s="42" t="s">
        <v>162</v>
      </c>
    </row>
    <row r="51" spans="2:6" ht="15.75" x14ac:dyDescent="0.25">
      <c r="C51" s="42" t="s">
        <v>40</v>
      </c>
      <c r="D51" s="42" t="s">
        <v>30</v>
      </c>
      <c r="E51" s="42" t="s">
        <v>53</v>
      </c>
      <c r="F51" s="42" t="s">
        <v>491</v>
      </c>
    </row>
    <row r="52" spans="2:6" ht="15.75" x14ac:dyDescent="0.25">
      <c r="C52" s="42" t="s">
        <v>44</v>
      </c>
      <c r="D52" s="42" t="s">
        <v>28</v>
      </c>
      <c r="E52" s="42" t="s">
        <v>50</v>
      </c>
      <c r="F52" s="42" t="s">
        <v>258</v>
      </c>
    </row>
    <row r="53" spans="2:6" ht="15.75" x14ac:dyDescent="0.25">
      <c r="C53" s="42" t="s">
        <v>44</v>
      </c>
      <c r="D53" s="42" t="s">
        <v>28</v>
      </c>
      <c r="E53" s="42" t="s">
        <v>50</v>
      </c>
      <c r="F53" s="42" t="s">
        <v>52</v>
      </c>
    </row>
    <row r="54" spans="2:6" ht="15.75" x14ac:dyDescent="0.25">
      <c r="C54" s="42" t="s">
        <v>44</v>
      </c>
      <c r="D54" s="42" t="s">
        <v>29</v>
      </c>
      <c r="E54" s="42" t="s">
        <v>50</v>
      </c>
      <c r="F54" s="42" t="s">
        <v>100</v>
      </c>
    </row>
    <row r="55" spans="2:6" ht="15.75" x14ac:dyDescent="0.25">
      <c r="C55" s="42" t="s">
        <v>44</v>
      </c>
      <c r="D55" s="42" t="s">
        <v>30</v>
      </c>
      <c r="E55" s="42" t="s">
        <v>50</v>
      </c>
      <c r="F55" s="42" t="s">
        <v>162</v>
      </c>
    </row>
    <row r="56" spans="2:6" ht="15.75" x14ac:dyDescent="0.25">
      <c r="C56" s="42" t="s">
        <v>44</v>
      </c>
      <c r="D56" s="42" t="s">
        <v>30</v>
      </c>
      <c r="E56" s="42" t="s">
        <v>53</v>
      </c>
      <c r="F56" s="42" t="s">
        <v>491</v>
      </c>
    </row>
    <row r="59" spans="2:6" ht="18.75" x14ac:dyDescent="0.25">
      <c r="C59" s="5" t="s">
        <v>59</v>
      </c>
    </row>
    <row r="60" spans="2:6" x14ac:dyDescent="0.25">
      <c r="B60" t="s">
        <v>60</v>
      </c>
      <c r="C60" s="1" t="s">
        <v>61</v>
      </c>
      <c r="D60" s="1" t="s">
        <v>62</v>
      </c>
      <c r="E60" s="1" t="s">
        <v>63</v>
      </c>
      <c r="F60" s="1" t="s">
        <v>64</v>
      </c>
    </row>
    <row r="61" spans="2:6" ht="15.75" x14ac:dyDescent="0.25">
      <c r="B61" s="7">
        <v>1</v>
      </c>
      <c r="C61" s="1">
        <v>1</v>
      </c>
      <c r="D61" s="42" t="s">
        <v>492</v>
      </c>
      <c r="E61" s="42" t="s">
        <v>493</v>
      </c>
      <c r="F61" s="21"/>
    </row>
    <row r="62" spans="2:6" ht="15.75" x14ac:dyDescent="0.25">
      <c r="B62" s="7">
        <v>1</v>
      </c>
      <c r="C62" s="1">
        <v>2</v>
      </c>
      <c r="D62" s="42" t="s">
        <v>494</v>
      </c>
      <c r="E62" s="42" t="s">
        <v>493</v>
      </c>
      <c r="F62" s="21"/>
    </row>
    <row r="63" spans="2:6" ht="15.75" x14ac:dyDescent="0.25">
      <c r="B63" s="7">
        <v>1</v>
      </c>
      <c r="C63" s="1">
        <v>3</v>
      </c>
      <c r="D63" s="42" t="s">
        <v>495</v>
      </c>
      <c r="E63" s="42" t="s">
        <v>496</v>
      </c>
      <c r="F63" s="21"/>
    </row>
    <row r="64" spans="2:6" ht="15.75" x14ac:dyDescent="0.25">
      <c r="B64" s="7">
        <v>1</v>
      </c>
      <c r="C64" s="1">
        <v>4</v>
      </c>
      <c r="D64" s="42" t="s">
        <v>497</v>
      </c>
      <c r="E64" s="42" t="s">
        <v>498</v>
      </c>
      <c r="F64" s="21"/>
    </row>
    <row r="65" spans="2:6" ht="15.75" x14ac:dyDescent="0.25">
      <c r="B65" s="7">
        <v>1</v>
      </c>
      <c r="C65" s="1">
        <v>5</v>
      </c>
      <c r="D65" s="42" t="s">
        <v>499</v>
      </c>
      <c r="E65" s="42" t="s">
        <v>500</v>
      </c>
      <c r="F65" s="21"/>
    </row>
    <row r="66" spans="2:6" ht="15.75" x14ac:dyDescent="0.25">
      <c r="B66" s="7">
        <v>1</v>
      </c>
      <c r="C66" s="1">
        <v>6</v>
      </c>
      <c r="D66" s="42" t="s">
        <v>501</v>
      </c>
      <c r="E66" s="42" t="s">
        <v>502</v>
      </c>
      <c r="F66" s="21"/>
    </row>
    <row r="67" spans="2:6" ht="15.75" x14ac:dyDescent="0.25">
      <c r="B67" s="7">
        <v>1</v>
      </c>
      <c r="C67" s="1">
        <v>7</v>
      </c>
      <c r="D67" s="42" t="s">
        <v>503</v>
      </c>
      <c r="E67" s="40"/>
      <c r="F67" s="21"/>
    </row>
    <row r="68" spans="2:6" ht="15.75" x14ac:dyDescent="0.25">
      <c r="B68" s="7">
        <v>1</v>
      </c>
      <c r="C68" s="1">
        <v>8</v>
      </c>
      <c r="D68" s="42" t="s">
        <v>504</v>
      </c>
      <c r="E68" s="40"/>
      <c r="F68" s="21"/>
    </row>
    <row r="69" spans="2:6" ht="15.75" x14ac:dyDescent="0.25">
      <c r="B69" s="7">
        <v>1</v>
      </c>
      <c r="C69" s="1">
        <v>9</v>
      </c>
      <c r="D69" s="42" t="s">
        <v>505</v>
      </c>
      <c r="E69" s="42" t="s">
        <v>506</v>
      </c>
      <c r="F69" s="21"/>
    </row>
    <row r="70" spans="2:6" ht="15.75" x14ac:dyDescent="0.25">
      <c r="B70" s="7">
        <v>1</v>
      </c>
      <c r="C70" s="1">
        <v>10</v>
      </c>
      <c r="D70" s="42" t="s">
        <v>507</v>
      </c>
      <c r="E70" s="42" t="s">
        <v>508</v>
      </c>
      <c r="F70" s="21"/>
    </row>
    <row r="71" spans="2:6" ht="15.75" x14ac:dyDescent="0.25">
      <c r="B71" s="7">
        <v>1</v>
      </c>
      <c r="C71" s="1">
        <v>11</v>
      </c>
      <c r="D71" s="42" t="s">
        <v>509</v>
      </c>
      <c r="E71" s="42" t="s">
        <v>510</v>
      </c>
      <c r="F71" s="21"/>
    </row>
    <row r="72" spans="2:6" ht="15.75" x14ac:dyDescent="0.25">
      <c r="B72" s="7">
        <v>1</v>
      </c>
      <c r="C72" s="1">
        <v>12</v>
      </c>
      <c r="D72" s="42" t="s">
        <v>511</v>
      </c>
      <c r="E72" s="42" t="s">
        <v>512</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3">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94"/>
  <sheetViews>
    <sheetView showGridLines="0" zoomScale="80" zoomScaleNormal="80" workbookViewId="0">
      <selection activeCell="D57" sqref="D5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6105SPS</v>
      </c>
      <c r="D2" s="20" t="str">
        <f>D8</f>
        <v>Clinical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513</v>
      </c>
      <c r="E7" s="4"/>
      <c r="F7" s="24" t="s">
        <v>514</v>
      </c>
    </row>
    <row r="8" spans="2:6" x14ac:dyDescent="0.25">
      <c r="B8" s="2"/>
      <c r="C8" s="3" t="s">
        <v>6</v>
      </c>
      <c r="D8" s="21" t="s">
        <v>515</v>
      </c>
      <c r="E8" s="4"/>
      <c r="F8" s="24" t="s">
        <v>516</v>
      </c>
    </row>
    <row r="9" spans="2:6" x14ac:dyDescent="0.25">
      <c r="C9" s="3" t="s">
        <v>7</v>
      </c>
      <c r="D9" s="21">
        <v>20</v>
      </c>
      <c r="E9" s="4"/>
    </row>
    <row r="10" spans="2:6" x14ac:dyDescent="0.25">
      <c r="C10" s="3" t="s">
        <v>8</v>
      </c>
      <c r="D10" s="21">
        <v>2</v>
      </c>
      <c r="E10" s="4"/>
      <c r="F10" t="s">
        <v>9</v>
      </c>
    </row>
    <row r="11" spans="2:6" x14ac:dyDescent="0.25">
      <c r="C11" s="3" t="s">
        <v>10</v>
      </c>
      <c r="D11" s="21">
        <v>6</v>
      </c>
      <c r="E11" s="4"/>
      <c r="F11" s="24" t="s">
        <v>517</v>
      </c>
    </row>
    <row r="12" spans="2:6" x14ac:dyDescent="0.25">
      <c r="C12" s="3" t="s">
        <v>11</v>
      </c>
      <c r="D12" s="21" t="s">
        <v>518</v>
      </c>
      <c r="E12" s="4"/>
      <c r="F12" s="24"/>
    </row>
    <row r="13" spans="2:6" x14ac:dyDescent="0.25">
      <c r="C13" s="3" t="s">
        <v>12</v>
      </c>
      <c r="D13" s="21" t="s">
        <v>351</v>
      </c>
      <c r="E13" s="4"/>
      <c r="F13" s="24"/>
    </row>
    <row r="14" spans="2:6" x14ac:dyDescent="0.25">
      <c r="C14" s="3" t="s">
        <v>13</v>
      </c>
      <c r="D14" s="21" t="s">
        <v>519</v>
      </c>
      <c r="E14" s="4"/>
    </row>
    <row r="15" spans="2:6" x14ac:dyDescent="0.25">
      <c r="C15" s="3"/>
      <c r="D15" s="4"/>
      <c r="E15" s="4"/>
      <c r="F15" t="s">
        <v>14</v>
      </c>
    </row>
    <row r="16" spans="2:6" x14ac:dyDescent="0.25">
      <c r="C16" s="3"/>
      <c r="D16" s="4"/>
      <c r="E16" s="4"/>
      <c r="F16" s="24" t="s">
        <v>520</v>
      </c>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4</v>
      </c>
      <c r="E20" s="4"/>
      <c r="F20" s="24"/>
    </row>
    <row r="21" spans="3:6" x14ac:dyDescent="0.25">
      <c r="C21" s="3" t="s">
        <v>19</v>
      </c>
      <c r="D21" s="22">
        <v>8</v>
      </c>
      <c r="E21" s="4"/>
    </row>
    <row r="22" spans="3:6" x14ac:dyDescent="0.25">
      <c r="C22" s="3" t="s">
        <v>20</v>
      </c>
      <c r="D22" s="22">
        <v>4</v>
      </c>
      <c r="E22" s="4"/>
      <c r="F22" t="s">
        <v>21</v>
      </c>
    </row>
    <row r="23" spans="3:6" x14ac:dyDescent="0.25">
      <c r="C23" s="3" t="s">
        <v>22</v>
      </c>
      <c r="D23" s="22">
        <v>4</v>
      </c>
      <c r="E23" s="4"/>
      <c r="F23" s="24" t="s">
        <v>521</v>
      </c>
    </row>
    <row r="24" spans="3:6" x14ac:dyDescent="0.25">
      <c r="C24" s="3" t="s">
        <v>23</v>
      </c>
      <c r="D24" s="1">
        <f>SUM(D19:D23)</f>
        <v>38</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522</v>
      </c>
      <c r="E29" s="4"/>
      <c r="F29" s="24"/>
    </row>
    <row r="30" spans="3:6" ht="30" x14ac:dyDescent="0.25">
      <c r="C30" s="3" t="s">
        <v>29</v>
      </c>
      <c r="D30" s="21" t="s">
        <v>523</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253</v>
      </c>
      <c r="E38" s="21" t="s">
        <v>393</v>
      </c>
      <c r="F38" s="21" t="s">
        <v>524</v>
      </c>
      <c r="G38" s="23">
        <v>0.5</v>
      </c>
      <c r="H38" s="21">
        <v>7</v>
      </c>
    </row>
    <row r="39" spans="3:8" ht="30" x14ac:dyDescent="0.25">
      <c r="C39" s="3" t="s">
        <v>44</v>
      </c>
      <c r="D39" s="21" t="s">
        <v>97</v>
      </c>
      <c r="E39" s="21" t="s">
        <v>418</v>
      </c>
      <c r="F39" s="21" t="s">
        <v>525</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100</v>
      </c>
    </row>
    <row r="47" spans="3:8" x14ac:dyDescent="0.25">
      <c r="C47" s="25" t="s">
        <v>40</v>
      </c>
      <c r="D47" s="24" t="s">
        <v>28</v>
      </c>
      <c r="E47" s="24" t="s">
        <v>50</v>
      </c>
      <c r="F47" s="24" t="s">
        <v>52</v>
      </c>
    </row>
    <row r="48" spans="3:8" x14ac:dyDescent="0.25">
      <c r="C48" s="25" t="s">
        <v>40</v>
      </c>
      <c r="D48" s="24" t="s">
        <v>28</v>
      </c>
      <c r="E48" s="24" t="s">
        <v>50</v>
      </c>
      <c r="F48" s="24" t="s">
        <v>51</v>
      </c>
    </row>
    <row r="49" spans="3:6" x14ac:dyDescent="0.25">
      <c r="C49" s="25" t="s">
        <v>40</v>
      </c>
      <c r="D49" s="24" t="s">
        <v>28</v>
      </c>
      <c r="E49" s="24" t="s">
        <v>50</v>
      </c>
      <c r="F49" s="24" t="s">
        <v>162</v>
      </c>
    </row>
    <row r="50" spans="3:6" x14ac:dyDescent="0.25">
      <c r="C50" s="25" t="s">
        <v>40</v>
      </c>
      <c r="D50" s="24" t="s">
        <v>28</v>
      </c>
      <c r="E50" s="24" t="s">
        <v>57</v>
      </c>
      <c r="F50" s="24" t="s">
        <v>490</v>
      </c>
    </row>
    <row r="51" spans="3:6" x14ac:dyDescent="0.25">
      <c r="C51" s="25" t="s">
        <v>40</v>
      </c>
      <c r="D51" s="24" t="s">
        <v>28</v>
      </c>
      <c r="E51" s="24" t="s">
        <v>57</v>
      </c>
      <c r="F51" s="24" t="s">
        <v>101</v>
      </c>
    </row>
    <row r="52" spans="3:6" x14ac:dyDescent="0.25">
      <c r="C52" s="25" t="s">
        <v>40</v>
      </c>
      <c r="D52" s="24" t="s">
        <v>28</v>
      </c>
      <c r="E52" s="24" t="s">
        <v>57</v>
      </c>
      <c r="F52" s="24" t="s">
        <v>78</v>
      </c>
    </row>
    <row r="53" spans="3:6" x14ac:dyDescent="0.25">
      <c r="C53" s="25" t="s">
        <v>40</v>
      </c>
      <c r="D53" s="24" t="s">
        <v>28</v>
      </c>
      <c r="E53" s="24" t="s">
        <v>57</v>
      </c>
      <c r="F53" s="24" t="s">
        <v>526</v>
      </c>
    </row>
    <row r="54" spans="3:6" x14ac:dyDescent="0.25">
      <c r="C54" s="25" t="s">
        <v>40</v>
      </c>
      <c r="D54" s="24" t="s">
        <v>28</v>
      </c>
      <c r="E54" s="24" t="s">
        <v>57</v>
      </c>
      <c r="F54" s="24" t="s">
        <v>58</v>
      </c>
    </row>
    <row r="55" spans="3:6" x14ac:dyDescent="0.25">
      <c r="C55" s="25" t="s">
        <v>40</v>
      </c>
      <c r="D55" s="24" t="s">
        <v>28</v>
      </c>
      <c r="E55" s="24" t="s">
        <v>57</v>
      </c>
      <c r="F55" s="24" t="s">
        <v>344</v>
      </c>
    </row>
    <row r="56" spans="3:6" x14ac:dyDescent="0.25">
      <c r="C56" s="25" t="s">
        <v>527</v>
      </c>
      <c r="D56" s="24"/>
      <c r="E56" s="24" t="s">
        <v>53</v>
      </c>
      <c r="F56" s="24" t="s">
        <v>54</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ht="30" x14ac:dyDescent="0.25">
      <c r="B83" s="7">
        <v>2</v>
      </c>
      <c r="C83" s="1">
        <v>1</v>
      </c>
      <c r="D83" s="21" t="s">
        <v>528</v>
      </c>
      <c r="E83" s="21" t="s">
        <v>529</v>
      </c>
      <c r="F83" s="21"/>
    </row>
    <row r="84" spans="2:6" ht="30" x14ac:dyDescent="0.25">
      <c r="B84" s="7">
        <v>2</v>
      </c>
      <c r="C84" s="1">
        <v>2</v>
      </c>
      <c r="D84" s="21" t="s">
        <v>530</v>
      </c>
      <c r="E84" s="21" t="s">
        <v>531</v>
      </c>
      <c r="F84" s="21"/>
    </row>
    <row r="85" spans="2:6" ht="45" x14ac:dyDescent="0.25">
      <c r="B85" s="7">
        <v>2</v>
      </c>
      <c r="C85" s="1">
        <v>3</v>
      </c>
      <c r="D85" s="21" t="s">
        <v>532</v>
      </c>
      <c r="E85" s="21" t="s">
        <v>533</v>
      </c>
      <c r="F85" s="21"/>
    </row>
    <row r="86" spans="2:6" x14ac:dyDescent="0.25">
      <c r="B86" s="7">
        <v>2</v>
      </c>
      <c r="C86" s="1">
        <v>4</v>
      </c>
      <c r="D86" s="21" t="s">
        <v>534</v>
      </c>
      <c r="E86" s="21" t="s">
        <v>535</v>
      </c>
      <c r="F86" s="21"/>
    </row>
    <row r="87" spans="2:6" x14ac:dyDescent="0.25">
      <c r="B87" s="7">
        <v>2</v>
      </c>
      <c r="C87" s="1">
        <v>5</v>
      </c>
      <c r="D87" s="21" t="s">
        <v>536</v>
      </c>
      <c r="E87" s="21" t="s">
        <v>537</v>
      </c>
      <c r="F87" s="21"/>
    </row>
    <row r="88" spans="2:6" ht="30" x14ac:dyDescent="0.25">
      <c r="B88" s="7">
        <v>2</v>
      </c>
      <c r="C88" s="1">
        <v>6</v>
      </c>
      <c r="D88" s="21" t="s">
        <v>538</v>
      </c>
      <c r="E88" s="21" t="s">
        <v>539</v>
      </c>
      <c r="F88" s="21"/>
    </row>
    <row r="89" spans="2:6" x14ac:dyDescent="0.25">
      <c r="B89" s="7">
        <v>2</v>
      </c>
      <c r="C89" s="1">
        <v>7</v>
      </c>
      <c r="D89" s="21" t="s">
        <v>540</v>
      </c>
      <c r="E89" s="21" t="s">
        <v>541</v>
      </c>
      <c r="F89" s="21"/>
    </row>
    <row r="90" spans="2:6" ht="30" x14ac:dyDescent="0.25">
      <c r="B90" s="7">
        <v>2</v>
      </c>
      <c r="C90" s="1">
        <v>8</v>
      </c>
      <c r="D90" s="21" t="s">
        <v>542</v>
      </c>
      <c r="E90" s="21" t="s">
        <v>543</v>
      </c>
      <c r="F90" s="21"/>
    </row>
    <row r="91" spans="2:6" ht="30" x14ac:dyDescent="0.25">
      <c r="B91" s="7">
        <v>2</v>
      </c>
      <c r="C91" s="1">
        <v>9</v>
      </c>
      <c r="D91" s="21" t="s">
        <v>544</v>
      </c>
      <c r="E91" s="21" t="s">
        <v>545</v>
      </c>
      <c r="F91" s="21"/>
    </row>
    <row r="92" spans="2:6" x14ac:dyDescent="0.25">
      <c r="B92" s="7">
        <v>2</v>
      </c>
      <c r="C92" s="1">
        <v>10</v>
      </c>
      <c r="D92" s="21" t="s">
        <v>546</v>
      </c>
      <c r="E92" s="21" t="s">
        <v>547</v>
      </c>
      <c r="F92" s="21"/>
    </row>
    <row r="93" spans="2:6" x14ac:dyDescent="0.25">
      <c r="B93" s="7">
        <v>2</v>
      </c>
      <c r="C93" s="1">
        <v>11</v>
      </c>
      <c r="D93" s="21" t="s">
        <v>548</v>
      </c>
      <c r="E93" s="21"/>
      <c r="F93" s="21"/>
    </row>
    <row r="94" spans="2:6" x14ac:dyDescent="0.25">
      <c r="B94" s="7">
        <v>2</v>
      </c>
      <c r="C94" s="1">
        <v>12</v>
      </c>
      <c r="D94" s="21"/>
      <c r="E94" s="21"/>
      <c r="F9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84"/>
  <sheetViews>
    <sheetView showGridLines="0" topLeftCell="B47" zoomScale="85" zoomScaleNormal="85" workbookViewId="0">
      <selection activeCell="H38" sqref="H38"/>
    </sheetView>
  </sheetViews>
  <sheetFormatPr defaultRowHeight="15" x14ac:dyDescent="0.25"/>
  <cols>
    <col min="3" max="3" width="33.28515625" customWidth="1"/>
    <col min="4" max="4" width="51.5703125" customWidth="1"/>
    <col min="5" max="5" width="42.42578125" customWidth="1"/>
    <col min="6" max="6" width="71" customWidth="1"/>
    <col min="7" max="7" width="12.42578125" customWidth="1"/>
    <col min="8" max="8" width="15.5703125" customWidth="1"/>
    <col min="9" max="9" width="14.7109375" customWidth="1"/>
  </cols>
  <sheetData>
    <row r="2" spans="2:6" ht="26.25" x14ac:dyDescent="0.4">
      <c r="C2" s="20" t="str">
        <f>D7</f>
        <v>6106SPS</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65" x14ac:dyDescent="0.25">
      <c r="B7" s="2"/>
      <c r="C7" s="3" t="s">
        <v>4</v>
      </c>
      <c r="D7" s="21" t="s">
        <v>549</v>
      </c>
      <c r="E7" s="4"/>
      <c r="F7" s="32" t="s">
        <v>550</v>
      </c>
    </row>
    <row r="8" spans="2:6" x14ac:dyDescent="0.25">
      <c r="B8" s="2"/>
      <c r="C8" s="3" t="s">
        <v>6</v>
      </c>
      <c r="D8" s="21" t="s">
        <v>6</v>
      </c>
      <c r="E8" s="4"/>
      <c r="F8" s="24"/>
    </row>
    <row r="9" spans="2:6" x14ac:dyDescent="0.25">
      <c r="C9" s="3" t="s">
        <v>7</v>
      </c>
      <c r="D9" s="21">
        <v>20</v>
      </c>
      <c r="E9" s="4"/>
    </row>
    <row r="10" spans="2:6" x14ac:dyDescent="0.25">
      <c r="C10" s="3" t="s">
        <v>8</v>
      </c>
      <c r="D10" s="21">
        <v>2</v>
      </c>
      <c r="E10" s="4"/>
      <c r="F10" t="s">
        <v>9</v>
      </c>
    </row>
    <row r="11" spans="2:6" ht="75" x14ac:dyDescent="0.25">
      <c r="C11" s="3" t="s">
        <v>10</v>
      </c>
      <c r="D11" s="21">
        <v>6</v>
      </c>
      <c r="E11" s="4"/>
      <c r="F11" s="32" t="s">
        <v>551</v>
      </c>
    </row>
    <row r="12" spans="2:6" ht="60" x14ac:dyDescent="0.25">
      <c r="C12" s="3" t="s">
        <v>11</v>
      </c>
      <c r="D12" s="21" t="s">
        <v>552</v>
      </c>
      <c r="E12" s="4"/>
      <c r="F12" s="32" t="s">
        <v>553</v>
      </c>
    </row>
    <row r="13" spans="2:6" ht="75" x14ac:dyDescent="0.25">
      <c r="C13" s="3" t="s">
        <v>12</v>
      </c>
      <c r="D13" s="21" t="s">
        <v>351</v>
      </c>
      <c r="E13" s="4"/>
      <c r="F13" s="32" t="s">
        <v>554</v>
      </c>
    </row>
    <row r="14" spans="2:6" x14ac:dyDescent="0.25">
      <c r="C14" s="3" t="s">
        <v>13</v>
      </c>
      <c r="D14" s="21" t="s">
        <v>201</v>
      </c>
      <c r="E14" s="4"/>
    </row>
    <row r="15" spans="2:6" x14ac:dyDescent="0.25">
      <c r="C15" s="3"/>
      <c r="D15" s="4"/>
      <c r="E15" s="4"/>
      <c r="F15" t="s">
        <v>14</v>
      </c>
    </row>
    <row r="16" spans="2:6" ht="90" x14ac:dyDescent="0.25">
      <c r="C16" s="3"/>
      <c r="D16" s="4"/>
      <c r="E16" s="4"/>
      <c r="F16" s="32" t="s">
        <v>555</v>
      </c>
    </row>
    <row r="17" spans="3:6" ht="90" x14ac:dyDescent="0.25">
      <c r="C17" s="5" t="s">
        <v>15</v>
      </c>
      <c r="D17" s="4"/>
      <c r="E17" s="4"/>
      <c r="F17" s="32" t="s">
        <v>556</v>
      </c>
    </row>
    <row r="18" spans="3:6" ht="60" x14ac:dyDescent="0.25">
      <c r="C18" s="3" t="s">
        <v>16</v>
      </c>
      <c r="D18" s="1" t="s">
        <v>15</v>
      </c>
      <c r="E18" s="4"/>
      <c r="F18" s="32" t="s">
        <v>557</v>
      </c>
    </row>
    <row r="19" spans="3:6" x14ac:dyDescent="0.25">
      <c r="C19" s="3" t="s">
        <v>17</v>
      </c>
      <c r="D19" s="22">
        <v>22</v>
      </c>
      <c r="E19" s="4"/>
      <c r="F19" s="24"/>
    </row>
    <row r="20" spans="3:6" x14ac:dyDescent="0.25">
      <c r="C20" s="3" t="s">
        <v>18</v>
      </c>
      <c r="D20" s="22">
        <v>16</v>
      </c>
      <c r="E20" s="4"/>
      <c r="F20" s="24"/>
    </row>
    <row r="21" spans="3:6" x14ac:dyDescent="0.25">
      <c r="C21" s="3" t="s">
        <v>19</v>
      </c>
      <c r="D21" s="22"/>
      <c r="E21" s="4"/>
    </row>
    <row r="22" spans="3:6" x14ac:dyDescent="0.25">
      <c r="C22" s="3" t="s">
        <v>20</v>
      </c>
      <c r="D22" s="22">
        <v>8</v>
      </c>
      <c r="E22" s="4"/>
      <c r="F22" t="s">
        <v>21</v>
      </c>
    </row>
    <row r="23" spans="3:6" x14ac:dyDescent="0.25">
      <c r="C23" s="3" t="s">
        <v>22</v>
      </c>
      <c r="D23" s="22"/>
      <c r="E23" s="4"/>
      <c r="F23" s="24"/>
    </row>
    <row r="24" spans="3:6" x14ac:dyDescent="0.25">
      <c r="C24" s="3" t="s">
        <v>23</v>
      </c>
      <c r="D24" s="1">
        <f>SUM(D19:D23)</f>
        <v>46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75" x14ac:dyDescent="0.25">
      <c r="C29" s="3" t="s">
        <v>28</v>
      </c>
      <c r="D29" s="32" t="s">
        <v>558</v>
      </c>
      <c r="E29" s="4"/>
      <c r="F29" s="24"/>
    </row>
    <row r="30" spans="3:6" ht="75" x14ac:dyDescent="0.25">
      <c r="C30" s="3" t="s">
        <v>29</v>
      </c>
      <c r="D30" s="32" t="s">
        <v>559</v>
      </c>
      <c r="E30" s="4"/>
      <c r="F30" s="24"/>
    </row>
    <row r="31" spans="3:6" ht="60" x14ac:dyDescent="0.25">
      <c r="C31" s="3" t="s">
        <v>30</v>
      </c>
      <c r="D31" s="32" t="s">
        <v>560</v>
      </c>
      <c r="E31" s="4"/>
      <c r="F31" s="24"/>
    </row>
    <row r="32" spans="3:6" ht="60" x14ac:dyDescent="0.25">
      <c r="C32" s="3" t="s">
        <v>31</v>
      </c>
      <c r="D32" s="32" t="s">
        <v>561</v>
      </c>
      <c r="E32" s="4"/>
      <c r="F32" s="24"/>
    </row>
    <row r="33" spans="3:8" ht="60" x14ac:dyDescent="0.25">
      <c r="C33" s="3" t="s">
        <v>32</v>
      </c>
      <c r="D33" s="32" t="s">
        <v>562</v>
      </c>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253</v>
      </c>
      <c r="E38" s="21" t="s">
        <v>418</v>
      </c>
      <c r="F38" s="54" t="s">
        <v>563</v>
      </c>
      <c r="G38" s="23">
        <v>0.4</v>
      </c>
      <c r="H38" s="21">
        <v>24</v>
      </c>
    </row>
    <row r="39" spans="3:8" x14ac:dyDescent="0.25">
      <c r="C39" s="3" t="s">
        <v>44</v>
      </c>
      <c r="D39" s="21" t="s">
        <v>41</v>
      </c>
      <c r="E39" s="21" t="s">
        <v>206</v>
      </c>
      <c r="F39" s="21" t="s">
        <v>564</v>
      </c>
      <c r="G39" s="23">
        <v>0.6</v>
      </c>
      <c r="H39" s="21">
        <v>33</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162</v>
      </c>
    </row>
    <row r="47" spans="3:8" x14ac:dyDescent="0.25">
      <c r="C47" s="25" t="s">
        <v>40</v>
      </c>
      <c r="D47" s="24" t="s">
        <v>29</v>
      </c>
      <c r="E47" s="24" t="s">
        <v>102</v>
      </c>
      <c r="F47" s="24" t="s">
        <v>260</v>
      </c>
    </row>
    <row r="48" spans="3:8" x14ac:dyDescent="0.25">
      <c r="C48" s="25" t="s">
        <v>40</v>
      </c>
      <c r="D48" s="24" t="s">
        <v>30</v>
      </c>
      <c r="E48" s="24" t="s">
        <v>53</v>
      </c>
      <c r="F48" s="24" t="s">
        <v>161</v>
      </c>
    </row>
    <row r="49" spans="2:6" x14ac:dyDescent="0.25">
      <c r="C49" s="25" t="s">
        <v>40</v>
      </c>
      <c r="D49" s="24" t="s">
        <v>31</v>
      </c>
      <c r="E49" s="24" t="s">
        <v>424</v>
      </c>
      <c r="F49" s="24" t="s">
        <v>425</v>
      </c>
    </row>
    <row r="50" spans="2:6" x14ac:dyDescent="0.25">
      <c r="C50" s="25" t="s">
        <v>40</v>
      </c>
      <c r="D50" s="24" t="s">
        <v>32</v>
      </c>
      <c r="E50" s="24" t="s">
        <v>55</v>
      </c>
      <c r="F50" s="24" t="s">
        <v>104</v>
      </c>
    </row>
    <row r="51" spans="2:6" x14ac:dyDescent="0.25">
      <c r="C51" s="25" t="s">
        <v>44</v>
      </c>
      <c r="D51" s="24" t="s">
        <v>28</v>
      </c>
      <c r="E51" s="24" t="s">
        <v>169</v>
      </c>
      <c r="F51" s="24" t="s">
        <v>434</v>
      </c>
    </row>
    <row r="52" spans="2:6" x14ac:dyDescent="0.25">
      <c r="C52" s="25" t="s">
        <v>44</v>
      </c>
      <c r="D52" s="24" t="s">
        <v>29</v>
      </c>
      <c r="E52" s="24" t="s">
        <v>102</v>
      </c>
      <c r="F52" s="24" t="s">
        <v>230</v>
      </c>
    </row>
    <row r="53" spans="2:6" x14ac:dyDescent="0.25">
      <c r="C53" s="25" t="s">
        <v>44</v>
      </c>
      <c r="D53" s="24" t="s">
        <v>30</v>
      </c>
      <c r="E53" s="24" t="s">
        <v>50</v>
      </c>
      <c r="F53" s="24" t="s">
        <v>100</v>
      </c>
    </row>
    <row r="54" spans="2:6" x14ac:dyDescent="0.25">
      <c r="C54" s="25" t="s">
        <v>44</v>
      </c>
      <c r="D54" s="24" t="s">
        <v>31</v>
      </c>
      <c r="E54" s="24" t="s">
        <v>169</v>
      </c>
      <c r="F54" s="24" t="s">
        <v>434</v>
      </c>
    </row>
    <row r="55" spans="2:6" x14ac:dyDescent="0.25">
      <c r="C55" s="25" t="s">
        <v>44</v>
      </c>
      <c r="D55" s="24" t="s">
        <v>32</v>
      </c>
      <c r="E55" s="24" t="s">
        <v>55</v>
      </c>
      <c r="F55" s="24" t="s">
        <v>56</v>
      </c>
    </row>
    <row r="56" spans="2:6" x14ac:dyDescent="0.25">
      <c r="C56" s="25" t="s">
        <v>565</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171</v>
      </c>
      <c r="E73" s="21" t="s">
        <v>18</v>
      </c>
      <c r="F73" s="21" t="s">
        <v>566</v>
      </c>
    </row>
    <row r="74" spans="2:6" x14ac:dyDescent="0.25">
      <c r="B74" s="7">
        <v>2</v>
      </c>
      <c r="C74" s="1">
        <v>2</v>
      </c>
      <c r="D74" s="21" t="s">
        <v>567</v>
      </c>
      <c r="E74" s="21" t="s">
        <v>18</v>
      </c>
      <c r="F74" s="21" t="s">
        <v>566</v>
      </c>
    </row>
    <row r="75" spans="2:6" x14ac:dyDescent="0.25">
      <c r="B75" s="7">
        <v>2</v>
      </c>
      <c r="C75" s="1">
        <v>3</v>
      </c>
      <c r="D75" s="21" t="s">
        <v>568</v>
      </c>
      <c r="E75" s="21" t="s">
        <v>18</v>
      </c>
      <c r="F75" s="21" t="s">
        <v>566</v>
      </c>
    </row>
    <row r="76" spans="2:6" x14ac:dyDescent="0.25">
      <c r="B76" s="7">
        <v>2</v>
      </c>
      <c r="C76" s="1">
        <v>4</v>
      </c>
      <c r="D76" s="21" t="s">
        <v>569</v>
      </c>
      <c r="E76" s="21" t="s">
        <v>18</v>
      </c>
      <c r="F76" s="21" t="s">
        <v>566</v>
      </c>
    </row>
    <row r="77" spans="2:6" ht="30" x14ac:dyDescent="0.25">
      <c r="B77" s="7">
        <v>2</v>
      </c>
      <c r="C77" s="1">
        <v>5</v>
      </c>
      <c r="D77" s="21" t="s">
        <v>570</v>
      </c>
      <c r="E77" s="21" t="s">
        <v>18</v>
      </c>
      <c r="F77" s="21" t="s">
        <v>566</v>
      </c>
    </row>
    <row r="78" spans="2:6" x14ac:dyDescent="0.25">
      <c r="B78" s="7">
        <v>2</v>
      </c>
      <c r="C78" s="1">
        <v>6</v>
      </c>
      <c r="D78" s="21" t="s">
        <v>571</v>
      </c>
      <c r="E78" s="21" t="s">
        <v>20</v>
      </c>
      <c r="F78" s="21" t="s">
        <v>566</v>
      </c>
    </row>
    <row r="79" spans="2:6" x14ac:dyDescent="0.25">
      <c r="B79" s="7">
        <v>2</v>
      </c>
      <c r="C79" s="1">
        <v>7</v>
      </c>
      <c r="D79" s="21" t="s">
        <v>572</v>
      </c>
      <c r="E79" s="21" t="s">
        <v>572</v>
      </c>
      <c r="F79" s="21" t="s">
        <v>566</v>
      </c>
    </row>
    <row r="80" spans="2:6" x14ac:dyDescent="0.25">
      <c r="B80" s="7">
        <v>2</v>
      </c>
      <c r="C80" s="1">
        <v>8</v>
      </c>
      <c r="D80" s="21" t="s">
        <v>573</v>
      </c>
      <c r="E80" s="21" t="s">
        <v>20</v>
      </c>
      <c r="F80" s="21" t="s">
        <v>566</v>
      </c>
    </row>
    <row r="81" spans="2:6" x14ac:dyDescent="0.25">
      <c r="B81" s="7">
        <v>2</v>
      </c>
      <c r="C81" s="1">
        <v>9</v>
      </c>
      <c r="D81" s="21" t="s">
        <v>574</v>
      </c>
      <c r="E81" s="21" t="s">
        <v>20</v>
      </c>
      <c r="F81" s="21" t="s">
        <v>566</v>
      </c>
    </row>
    <row r="82" spans="2:6" x14ac:dyDescent="0.25">
      <c r="B82" s="7">
        <v>2</v>
      </c>
      <c r="C82" s="1">
        <v>10</v>
      </c>
      <c r="D82" s="21" t="s">
        <v>575</v>
      </c>
      <c r="E82" s="21" t="s">
        <v>20</v>
      </c>
      <c r="F82" s="21" t="s">
        <v>566</v>
      </c>
    </row>
    <row r="83" spans="2:6" ht="30" x14ac:dyDescent="0.25">
      <c r="B83" s="7">
        <v>2</v>
      </c>
      <c r="C83" s="1">
        <v>11</v>
      </c>
      <c r="D83" s="21" t="s">
        <v>576</v>
      </c>
      <c r="E83" s="21" t="s">
        <v>18</v>
      </c>
      <c r="F83" s="21" t="s">
        <v>566</v>
      </c>
    </row>
    <row r="84" spans="2:6" x14ac:dyDescent="0.25">
      <c r="B84" s="7">
        <v>2</v>
      </c>
      <c r="C84" s="1">
        <v>12</v>
      </c>
      <c r="D84" s="21" t="s">
        <v>577</v>
      </c>
      <c r="E84" s="21" t="s">
        <v>193</v>
      </c>
      <c r="F84" s="21" t="s">
        <v>566</v>
      </c>
    </row>
  </sheetData>
  <sheetProtection sheet="1" objects="1" scenarios="1" selectLockedCells="1" sort="0" autoFilter="0" pivotTables="0"/>
  <dataValidations count="4">
    <dataValidation type="list" allowBlank="1" showInputMessage="1" showErrorMessage="1" sqref="F46:F5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E46:E56</xm:sqref>
        </x14:dataValidation>
        <x14:dataValidation type="list" allowBlank="1" showInputMessage="1" showErrorMessage="1" xr:uid="{D5185C3B-86B1-46E5-8604-328E877B51BB}">
          <x14:formula1>
            <xm:f>LISTS!$E$7:$E$11</xm:f>
          </x14:formula1>
          <xm:sqref>D46:D56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84"/>
  <sheetViews>
    <sheetView showGridLines="0" topLeftCell="B30" zoomScale="85" zoomScaleNormal="85" workbookViewId="0">
      <selection activeCell="D7" sqref="D7"/>
    </sheetView>
  </sheetViews>
  <sheetFormatPr defaultRowHeight="15" x14ac:dyDescent="0.25"/>
  <cols>
    <col min="3" max="3" width="33.28515625" customWidth="1"/>
    <col min="4" max="4" width="51.5703125" customWidth="1"/>
    <col min="5" max="5" width="42.42578125" customWidth="1"/>
    <col min="6" max="6" width="71" customWidth="1"/>
    <col min="7" max="7" width="12.42578125" customWidth="1"/>
    <col min="8" max="8" width="15.5703125" customWidth="1"/>
    <col min="9" max="9" width="14.7109375" customWidth="1"/>
  </cols>
  <sheetData>
    <row r="2" spans="2:6" ht="26.25" x14ac:dyDescent="0.4">
      <c r="C2" s="20" t="str">
        <f>D7</f>
        <v>6107SPS</v>
      </c>
      <c r="D2" s="20" t="str">
        <f>D8</f>
        <v>Environmental Physiology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809</v>
      </c>
      <c r="E7" s="4"/>
      <c r="F7" s="32"/>
    </row>
    <row r="8" spans="2:6" x14ac:dyDescent="0.25">
      <c r="B8" s="2"/>
      <c r="C8" s="3" t="s">
        <v>6</v>
      </c>
      <c r="D8" s="21" t="s">
        <v>810</v>
      </c>
      <c r="E8" s="4"/>
      <c r="F8" s="24"/>
    </row>
    <row r="9" spans="2:6" x14ac:dyDescent="0.25">
      <c r="C9" s="3" t="s">
        <v>7</v>
      </c>
      <c r="D9" s="21"/>
      <c r="E9" s="4"/>
    </row>
    <row r="10" spans="2:6" x14ac:dyDescent="0.25">
      <c r="C10" s="3" t="s">
        <v>8</v>
      </c>
      <c r="D10" s="21"/>
      <c r="E10" s="4"/>
      <c r="F10" t="s">
        <v>9</v>
      </c>
    </row>
    <row r="11" spans="2:6" x14ac:dyDescent="0.25">
      <c r="C11" s="3" t="s">
        <v>10</v>
      </c>
      <c r="D11" s="21"/>
      <c r="E11" s="4"/>
      <c r="F11" s="32"/>
    </row>
    <row r="12" spans="2:6" x14ac:dyDescent="0.25">
      <c r="C12" s="3" t="s">
        <v>11</v>
      </c>
      <c r="D12" s="21"/>
      <c r="E12" s="4"/>
      <c r="F12" s="32"/>
    </row>
    <row r="13" spans="2:6" x14ac:dyDescent="0.25">
      <c r="C13" s="3" t="s">
        <v>12</v>
      </c>
      <c r="D13" s="21"/>
      <c r="E13" s="4"/>
      <c r="F13" s="32"/>
    </row>
    <row r="14" spans="2:6" x14ac:dyDescent="0.25">
      <c r="C14" s="3" t="s">
        <v>13</v>
      </c>
      <c r="D14" s="21"/>
      <c r="E14" s="4"/>
    </row>
    <row r="15" spans="2:6" x14ac:dyDescent="0.25">
      <c r="C15" s="3"/>
      <c r="D15" s="4"/>
      <c r="E15" s="4"/>
      <c r="F15" t="s">
        <v>14</v>
      </c>
    </row>
    <row r="16" spans="2:6" x14ac:dyDescent="0.25">
      <c r="C16" s="3"/>
      <c r="D16" s="4"/>
      <c r="E16" s="4"/>
      <c r="F16" s="32"/>
    </row>
    <row r="17" spans="3:6" ht="18.75" x14ac:dyDescent="0.25">
      <c r="C17" s="5" t="s">
        <v>15</v>
      </c>
      <c r="D17" s="4"/>
      <c r="E17" s="4"/>
      <c r="F17" s="32"/>
    </row>
    <row r="18" spans="3:6" x14ac:dyDescent="0.25">
      <c r="C18" s="3" t="s">
        <v>16</v>
      </c>
      <c r="D18" s="1" t="s">
        <v>15</v>
      </c>
      <c r="E18" s="4"/>
      <c r="F18" s="32"/>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32"/>
      <c r="E29" s="4"/>
      <c r="F29" s="24"/>
    </row>
    <row r="30" spans="3:6" x14ac:dyDescent="0.25">
      <c r="C30" s="3" t="s">
        <v>29</v>
      </c>
      <c r="D30" s="32"/>
      <c r="E30" s="4"/>
      <c r="F30" s="24"/>
    </row>
    <row r="31" spans="3:6" x14ac:dyDescent="0.25">
      <c r="C31" s="3" t="s">
        <v>30</v>
      </c>
      <c r="D31" s="32"/>
      <c r="E31" s="4"/>
      <c r="F31" s="24"/>
    </row>
    <row r="32" spans="3:6" x14ac:dyDescent="0.25">
      <c r="C32" s="3" t="s">
        <v>31</v>
      </c>
      <c r="D32" s="32"/>
      <c r="E32" s="4"/>
      <c r="F32" s="24"/>
    </row>
    <row r="33" spans="3:8" x14ac:dyDescent="0.25">
      <c r="C33" s="3" t="s">
        <v>32</v>
      </c>
      <c r="D33" s="32"/>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54"/>
      <c r="G38" s="23"/>
      <c r="H38" s="21"/>
    </row>
    <row r="39" spans="3:8" x14ac:dyDescent="0.25">
      <c r="C39" s="3" t="s">
        <v>44</v>
      </c>
      <c r="D39" s="21"/>
      <c r="E39" s="21"/>
      <c r="F39" s="21"/>
      <c r="G39" s="23"/>
      <c r="H39" s="21"/>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c r="E46" s="24"/>
      <c r="F46" s="24"/>
    </row>
    <row r="47" spans="3:8" x14ac:dyDescent="0.25">
      <c r="C47" s="25" t="s">
        <v>40</v>
      </c>
      <c r="D47" s="24"/>
      <c r="E47" s="24"/>
      <c r="F47" s="24"/>
    </row>
    <row r="48" spans="3:8" x14ac:dyDescent="0.25">
      <c r="C48" s="25" t="s">
        <v>40</v>
      </c>
      <c r="D48" s="24"/>
      <c r="E48" s="24"/>
      <c r="F48" s="24"/>
    </row>
    <row r="49" spans="2:6" x14ac:dyDescent="0.25">
      <c r="C49" s="25" t="s">
        <v>40</v>
      </c>
      <c r="D49" s="24"/>
      <c r="E49" s="24"/>
      <c r="F49" s="24"/>
    </row>
    <row r="50" spans="2:6" x14ac:dyDescent="0.25">
      <c r="C50" s="25" t="s">
        <v>40</v>
      </c>
      <c r="D50" s="24"/>
      <c r="E50" s="24"/>
      <c r="F50" s="24"/>
    </row>
    <row r="51" spans="2:6" x14ac:dyDescent="0.25">
      <c r="C51" s="25" t="s">
        <v>44</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44</v>
      </c>
      <c r="D55" s="24"/>
      <c r="E55" s="24"/>
      <c r="F55" s="24"/>
    </row>
    <row r="56" spans="2:6" x14ac:dyDescent="0.25">
      <c r="C56" s="25" t="s">
        <v>44</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38:E41" xr:uid="{27ED70AE-0BE6-4926-B89E-CAE1153E545F}">
      <formula1>INDIRECT("LISTAssess[Assessment Specific]")</formula1>
    </dataValidation>
    <dataValidation type="list" allowBlank="1" showInputMessage="1" showErrorMessage="1" sqref="F46:F5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D38:D42</xm:sqref>
        </x14:dataValidation>
        <x14:dataValidation type="list" allowBlank="1" showInputMessage="1" showErrorMessage="1" xr:uid="{8CF8A831-3DC0-40E1-B8B5-362E5214EA0F}">
          <x14:formula1>
            <xm:f>LISTS!$E$7:$E$11</xm:f>
          </x14:formula1>
          <xm:sqref>D46:D56</xm:sqref>
        </x14:dataValidation>
        <x14:dataValidation type="list" allowBlank="1" showInputMessage="1" showErrorMessage="1" xr:uid="{DFCAE399-00E2-4B92-9C9E-43D9858796CB}">
          <x14:formula1>
            <xm:f>LISTS!$J$7:$J$16</xm:f>
          </x14:formula1>
          <xm:sqref>E46:E56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84"/>
  <sheetViews>
    <sheetView showGridLines="0" zoomScale="85" zoomScaleNormal="85" workbookViewId="0">
      <selection activeCell="D14" sqref="D14"/>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6108SPS</v>
      </c>
      <c r="D2" s="20" t="str">
        <f>D8</f>
        <v>Health and 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578</v>
      </c>
      <c r="E7" s="4"/>
      <c r="F7" s="24" t="s">
        <v>579</v>
      </c>
    </row>
    <row r="8" spans="2:6" x14ac:dyDescent="0.25">
      <c r="B8" s="2"/>
      <c r="C8" s="3" t="s">
        <v>6</v>
      </c>
      <c r="D8" s="21" t="s">
        <v>580</v>
      </c>
      <c r="E8" s="4"/>
      <c r="F8" s="24" t="s">
        <v>581</v>
      </c>
    </row>
    <row r="9" spans="2:6" x14ac:dyDescent="0.25">
      <c r="C9" s="3" t="s">
        <v>7</v>
      </c>
      <c r="D9" s="21"/>
      <c r="E9" s="4"/>
    </row>
    <row r="10" spans="2:6" x14ac:dyDescent="0.25">
      <c r="C10" s="3" t="s">
        <v>8</v>
      </c>
      <c r="D10" s="21"/>
      <c r="E10" s="4"/>
      <c r="F10" t="s">
        <v>9</v>
      </c>
    </row>
    <row r="11" spans="2:6" x14ac:dyDescent="0.25">
      <c r="C11" s="3" t="s">
        <v>10</v>
      </c>
      <c r="D11" s="21"/>
      <c r="E11" s="4"/>
      <c r="F11" s="24" t="s">
        <v>582</v>
      </c>
    </row>
    <row r="12" spans="2:6" ht="60" x14ac:dyDescent="0.25">
      <c r="C12" s="3" t="s">
        <v>11</v>
      </c>
      <c r="D12" s="21"/>
      <c r="E12" s="4"/>
      <c r="F12" s="32" t="s">
        <v>583</v>
      </c>
    </row>
    <row r="13" spans="2:6" ht="60" x14ac:dyDescent="0.25">
      <c r="C13" s="3" t="s">
        <v>12</v>
      </c>
      <c r="D13" s="21" t="s">
        <v>351</v>
      </c>
      <c r="E13" s="4"/>
      <c r="F13" s="32" t="s">
        <v>584</v>
      </c>
    </row>
    <row r="14" spans="2:6" x14ac:dyDescent="0.25">
      <c r="C14" s="3" t="s">
        <v>13</v>
      </c>
      <c r="D14" s="21"/>
      <c r="E14" s="4"/>
    </row>
    <row r="15" spans="2:6" x14ac:dyDescent="0.25">
      <c r="C15" s="3"/>
      <c r="D15" s="4"/>
      <c r="E15" s="4"/>
      <c r="F15" t="s">
        <v>14</v>
      </c>
    </row>
    <row r="16" spans="2:6" x14ac:dyDescent="0.25">
      <c r="C16" s="3"/>
      <c r="D16" s="4"/>
      <c r="E16" s="4"/>
      <c r="F16" s="24" t="s">
        <v>585</v>
      </c>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14</v>
      </c>
      <c r="E20" s="4"/>
      <c r="F20" s="24"/>
    </row>
    <row r="21" spans="3:6" x14ac:dyDescent="0.25">
      <c r="C21" s="3" t="s">
        <v>19</v>
      </c>
      <c r="D21" s="22">
        <v>2</v>
      </c>
      <c r="E21" s="4"/>
    </row>
    <row r="22" spans="3:6" x14ac:dyDescent="0.25">
      <c r="C22" s="3" t="s">
        <v>20</v>
      </c>
      <c r="D22" s="22">
        <v>2</v>
      </c>
      <c r="E22" s="4"/>
      <c r="F22" t="s">
        <v>21</v>
      </c>
    </row>
    <row r="23" spans="3:6" x14ac:dyDescent="0.25">
      <c r="C23" s="3" t="s">
        <v>22</v>
      </c>
      <c r="D23" s="22"/>
      <c r="E23" s="4"/>
      <c r="F23" s="24"/>
    </row>
    <row r="24" spans="3:6" x14ac:dyDescent="0.25">
      <c r="C24" s="3" t="s">
        <v>23</v>
      </c>
      <c r="D24" s="1">
        <f>SUM(D19:D23)</f>
        <v>36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586</v>
      </c>
      <c r="E29" s="4"/>
      <c r="F29" s="24"/>
    </row>
    <row r="30" spans="3:6" ht="45" x14ac:dyDescent="0.25">
      <c r="C30" s="3" t="s">
        <v>29</v>
      </c>
      <c r="D30" s="21" t="s">
        <v>587</v>
      </c>
      <c r="E30" s="4"/>
      <c r="F30" s="24"/>
    </row>
    <row r="31" spans="3:6" ht="30" x14ac:dyDescent="0.25">
      <c r="C31" s="3" t="s">
        <v>30</v>
      </c>
      <c r="D31" s="21" t="s">
        <v>588</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42</v>
      </c>
      <c r="F38" s="21" t="s">
        <v>589</v>
      </c>
      <c r="G38" s="23" t="s">
        <v>590</v>
      </c>
      <c r="H38" s="21">
        <v>9</v>
      </c>
    </row>
    <row r="39" spans="3:8" x14ac:dyDescent="0.25">
      <c r="C39" s="3" t="s">
        <v>44</v>
      </c>
      <c r="D39" s="21" t="s">
        <v>94</v>
      </c>
      <c r="E39" s="21" t="s">
        <v>591</v>
      </c>
      <c r="F39" s="21" t="s">
        <v>592</v>
      </c>
      <c r="G39" s="23">
        <v>0.7</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ht="15.75" x14ac:dyDescent="0.25">
      <c r="C46" s="43" t="s">
        <v>40</v>
      </c>
      <c r="D46" s="42" t="s">
        <v>28</v>
      </c>
      <c r="E46" s="42" t="s">
        <v>57</v>
      </c>
      <c r="F46" s="42" t="s">
        <v>490</v>
      </c>
    </row>
    <row r="47" spans="3:8" ht="15.75" x14ac:dyDescent="0.25">
      <c r="C47" s="44" t="s">
        <v>40</v>
      </c>
      <c r="D47" s="42" t="s">
        <v>28</v>
      </c>
      <c r="E47" s="42" t="s">
        <v>55</v>
      </c>
      <c r="F47" s="42" t="s">
        <v>56</v>
      </c>
    </row>
    <row r="48" spans="3:8" ht="15.75" x14ac:dyDescent="0.25">
      <c r="C48" s="43" t="s">
        <v>40</v>
      </c>
      <c r="D48" s="42" t="s">
        <v>29</v>
      </c>
      <c r="E48" s="42" t="s">
        <v>50</v>
      </c>
      <c r="F48" s="42" t="s">
        <v>491</v>
      </c>
    </row>
    <row r="49" spans="2:6" ht="15.75" x14ac:dyDescent="0.25">
      <c r="C49" s="44" t="s">
        <v>40</v>
      </c>
      <c r="D49" s="42" t="s">
        <v>29</v>
      </c>
      <c r="E49" s="42" t="s">
        <v>50</v>
      </c>
      <c r="F49" s="42" t="s">
        <v>100</v>
      </c>
    </row>
    <row r="50" spans="2:6" ht="15.75" x14ac:dyDescent="0.25">
      <c r="C50" s="43" t="s">
        <v>40</v>
      </c>
      <c r="D50" s="42" t="s">
        <v>30</v>
      </c>
      <c r="E50" s="42" t="s">
        <v>50</v>
      </c>
      <c r="F50" s="42" t="s">
        <v>162</v>
      </c>
    </row>
    <row r="51" spans="2:6" ht="15.75" x14ac:dyDescent="0.25">
      <c r="C51" s="44" t="s">
        <v>44</v>
      </c>
      <c r="D51" s="42" t="s">
        <v>30</v>
      </c>
      <c r="E51" s="42" t="s">
        <v>53</v>
      </c>
      <c r="F51" s="42" t="s">
        <v>491</v>
      </c>
    </row>
    <row r="52" spans="2:6" ht="15.75" x14ac:dyDescent="0.25">
      <c r="C52" s="43" t="s">
        <v>44</v>
      </c>
      <c r="D52" s="42" t="s">
        <v>28</v>
      </c>
      <c r="E52" s="42" t="s">
        <v>50</v>
      </c>
      <c r="F52" s="42" t="s">
        <v>258</v>
      </c>
    </row>
    <row r="53" spans="2:6" ht="15.75" x14ac:dyDescent="0.25">
      <c r="C53" s="44" t="s">
        <v>44</v>
      </c>
      <c r="D53" s="42" t="s">
        <v>28</v>
      </c>
      <c r="E53" s="42" t="s">
        <v>50</v>
      </c>
      <c r="F53" s="42" t="s">
        <v>52</v>
      </c>
    </row>
    <row r="54" spans="2:6" ht="15.75" x14ac:dyDescent="0.25">
      <c r="C54" s="43" t="s">
        <v>44</v>
      </c>
      <c r="D54" s="42" t="s">
        <v>29</v>
      </c>
      <c r="E54" s="42" t="s">
        <v>50</v>
      </c>
      <c r="F54" s="42" t="s">
        <v>100</v>
      </c>
    </row>
    <row r="55" spans="2:6" ht="15.75" x14ac:dyDescent="0.25">
      <c r="C55" s="25" t="s">
        <v>44</v>
      </c>
      <c r="D55" s="42" t="s">
        <v>30</v>
      </c>
      <c r="E55" s="42" t="s">
        <v>50</v>
      </c>
      <c r="F55" s="42" t="s">
        <v>162</v>
      </c>
    </row>
    <row r="56" spans="2:6" ht="15.75" x14ac:dyDescent="0.25">
      <c r="C56" s="25" t="s">
        <v>44</v>
      </c>
      <c r="D56" s="42" t="s">
        <v>30</v>
      </c>
      <c r="E56" s="42" t="s">
        <v>53</v>
      </c>
      <c r="F56" s="42" t="s">
        <v>491</v>
      </c>
    </row>
    <row r="59" spans="2:6" ht="18.75" x14ac:dyDescent="0.25">
      <c r="C59" s="5" t="s">
        <v>59</v>
      </c>
    </row>
    <row r="60" spans="2:6" x14ac:dyDescent="0.25">
      <c r="B60" t="s">
        <v>60</v>
      </c>
      <c r="C60" s="1" t="s">
        <v>61</v>
      </c>
      <c r="D60" s="1" t="s">
        <v>62</v>
      </c>
      <c r="E60" s="1" t="s">
        <v>63</v>
      </c>
      <c r="F60" s="1" t="s">
        <v>64</v>
      </c>
    </row>
    <row r="61" spans="2:6" ht="30" x14ac:dyDescent="0.25">
      <c r="B61" s="7">
        <v>1</v>
      </c>
      <c r="C61" s="1">
        <v>1</v>
      </c>
      <c r="D61" s="21" t="s">
        <v>593</v>
      </c>
      <c r="E61" s="21"/>
      <c r="F61" s="21"/>
    </row>
    <row r="62" spans="2:6" x14ac:dyDescent="0.25">
      <c r="B62" s="7">
        <v>1</v>
      </c>
      <c r="C62" s="1">
        <v>2</v>
      </c>
      <c r="D62" s="21" t="s">
        <v>594</v>
      </c>
      <c r="E62" s="21" t="s">
        <v>595</v>
      </c>
      <c r="F62" s="21"/>
    </row>
    <row r="63" spans="2:6" x14ac:dyDescent="0.25">
      <c r="B63" s="7">
        <v>1</v>
      </c>
      <c r="C63" s="1">
        <v>3</v>
      </c>
      <c r="D63" s="21" t="s">
        <v>596</v>
      </c>
      <c r="E63" s="21" t="s">
        <v>597</v>
      </c>
      <c r="F63" s="21"/>
    </row>
    <row r="64" spans="2:6" x14ac:dyDescent="0.25">
      <c r="B64" s="7">
        <v>1</v>
      </c>
      <c r="C64" s="1">
        <v>4</v>
      </c>
      <c r="D64" s="21" t="s">
        <v>598</v>
      </c>
      <c r="E64" s="21" t="s">
        <v>599</v>
      </c>
      <c r="F64" s="21" t="s">
        <v>600</v>
      </c>
    </row>
    <row r="65" spans="2:6" x14ac:dyDescent="0.25">
      <c r="B65" s="7">
        <v>1</v>
      </c>
      <c r="C65" s="1">
        <v>5</v>
      </c>
      <c r="D65" s="21" t="s">
        <v>601</v>
      </c>
      <c r="E65" s="21" t="s">
        <v>602</v>
      </c>
      <c r="F65" s="21" t="s">
        <v>603</v>
      </c>
    </row>
    <row r="66" spans="2:6" x14ac:dyDescent="0.25">
      <c r="B66" s="7">
        <v>1</v>
      </c>
      <c r="C66" s="1">
        <v>6</v>
      </c>
      <c r="D66" s="21" t="s">
        <v>604</v>
      </c>
      <c r="E66" s="21" t="s">
        <v>605</v>
      </c>
      <c r="F66" s="21" t="s">
        <v>606</v>
      </c>
    </row>
    <row r="67" spans="2:6" ht="18" x14ac:dyDescent="0.35">
      <c r="B67" s="7">
        <v>1</v>
      </c>
      <c r="C67" s="1">
        <v>7</v>
      </c>
      <c r="D67" s="45" t="s">
        <v>503</v>
      </c>
      <c r="E67" s="21"/>
      <c r="F67" s="21"/>
    </row>
    <row r="68" spans="2:6" x14ac:dyDescent="0.25">
      <c r="B68" s="7">
        <v>1</v>
      </c>
      <c r="C68" s="1">
        <v>8</v>
      </c>
      <c r="D68" s="21" t="s">
        <v>607</v>
      </c>
      <c r="E68" s="21" t="s">
        <v>608</v>
      </c>
      <c r="F68" s="21" t="s">
        <v>609</v>
      </c>
    </row>
    <row r="69" spans="2:6" x14ac:dyDescent="0.25">
      <c r="B69" s="7">
        <v>1</v>
      </c>
      <c r="C69" s="1">
        <v>9</v>
      </c>
      <c r="D69" s="21" t="s">
        <v>610</v>
      </c>
      <c r="E69" s="21" t="s">
        <v>611</v>
      </c>
      <c r="F69" s="21"/>
    </row>
    <row r="70" spans="2:6" x14ac:dyDescent="0.25">
      <c r="B70" s="7">
        <v>1</v>
      </c>
      <c r="C70" s="1">
        <v>10</v>
      </c>
      <c r="D70" s="21" t="s">
        <v>612</v>
      </c>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90"/>
  <sheetViews>
    <sheetView showGridLines="0" zoomScale="85" zoomScaleNormal="85" workbookViewId="0">
      <selection activeCell="D30" sqref="D30"/>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6109SPS</v>
      </c>
      <c r="D2" s="20" t="str">
        <f>D8</f>
        <v>Applied Professional Practice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613</v>
      </c>
      <c r="E7" s="4"/>
      <c r="F7" s="32" t="s">
        <v>614</v>
      </c>
    </row>
    <row r="8" spans="2:6" ht="15.75" x14ac:dyDescent="0.25">
      <c r="B8" s="2"/>
      <c r="C8" s="3" t="s">
        <v>6</v>
      </c>
      <c r="D8" s="26" t="s">
        <v>615</v>
      </c>
      <c r="E8" s="4"/>
      <c r="F8" s="24"/>
    </row>
    <row r="9" spans="2:6" x14ac:dyDescent="0.25">
      <c r="C9" s="3" t="s">
        <v>7</v>
      </c>
      <c r="D9" s="21">
        <v>20</v>
      </c>
      <c r="E9" s="4"/>
    </row>
    <row r="10" spans="2:6" x14ac:dyDescent="0.25">
      <c r="C10" s="3" t="s">
        <v>8</v>
      </c>
      <c r="D10" s="21" t="s">
        <v>328</v>
      </c>
      <c r="E10" s="4"/>
      <c r="F10" t="s">
        <v>9</v>
      </c>
    </row>
    <row r="11" spans="2:6" ht="30" x14ac:dyDescent="0.25">
      <c r="C11" s="3" t="s">
        <v>10</v>
      </c>
      <c r="D11" s="21">
        <v>6</v>
      </c>
      <c r="E11" s="4"/>
      <c r="F11" s="32" t="s">
        <v>616</v>
      </c>
    </row>
    <row r="12" spans="2:6" x14ac:dyDescent="0.25">
      <c r="C12" s="3" t="s">
        <v>11</v>
      </c>
      <c r="D12" s="21" t="s">
        <v>617</v>
      </c>
      <c r="E12" s="4"/>
      <c r="F12" s="24"/>
    </row>
    <row r="13" spans="2:6" x14ac:dyDescent="0.25">
      <c r="C13" s="3" t="s">
        <v>12</v>
      </c>
      <c r="D13" s="21" t="s">
        <v>200</v>
      </c>
      <c r="E13" s="4"/>
      <c r="F13" s="24"/>
    </row>
    <row r="14" spans="2:6" x14ac:dyDescent="0.25">
      <c r="C14" s="3" t="s">
        <v>13</v>
      </c>
      <c r="D14" s="21" t="s">
        <v>201</v>
      </c>
      <c r="E14" s="4"/>
    </row>
    <row r="15" spans="2:6" x14ac:dyDescent="0.25">
      <c r="C15" s="3"/>
      <c r="D15" s="4"/>
      <c r="E15" s="4"/>
      <c r="F15" t="s">
        <v>14</v>
      </c>
    </row>
    <row r="16" spans="2:6" ht="135" x14ac:dyDescent="0.25">
      <c r="C16" s="3"/>
      <c r="D16" s="4"/>
      <c r="E16" s="4"/>
      <c r="F16" s="32" t="s">
        <v>618</v>
      </c>
    </row>
    <row r="17" spans="3:6" ht="18.75" x14ac:dyDescent="0.25">
      <c r="C17" s="5" t="s">
        <v>15</v>
      </c>
      <c r="D17" s="4"/>
      <c r="E17" s="4"/>
      <c r="F17" s="24"/>
    </row>
    <row r="18" spans="3:6" x14ac:dyDescent="0.25">
      <c r="C18" s="3" t="s">
        <v>16</v>
      </c>
      <c r="D18" s="1" t="s">
        <v>15</v>
      </c>
      <c r="E18" s="4"/>
      <c r="F18" s="24"/>
    </row>
    <row r="19" spans="3:6" x14ac:dyDescent="0.25">
      <c r="C19" s="3" t="s">
        <v>17</v>
      </c>
      <c r="D19" s="22">
        <v>10</v>
      </c>
      <c r="E19" s="4"/>
      <c r="F19" s="24"/>
    </row>
    <row r="20" spans="3:6" x14ac:dyDescent="0.25">
      <c r="C20" s="3" t="s">
        <v>18</v>
      </c>
      <c r="D20" s="22"/>
      <c r="E20" s="4"/>
      <c r="F20" s="24"/>
    </row>
    <row r="21" spans="3:6" x14ac:dyDescent="0.25">
      <c r="C21" s="3" t="s">
        <v>19</v>
      </c>
      <c r="D21" s="22">
        <v>40</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50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7.25" x14ac:dyDescent="0.25">
      <c r="C29" s="3" t="s">
        <v>28</v>
      </c>
      <c r="D29" s="27" t="s">
        <v>619</v>
      </c>
      <c r="E29" s="4"/>
      <c r="F29" s="24"/>
    </row>
    <row r="30" spans="3:6" ht="31.5" x14ac:dyDescent="0.25">
      <c r="C30" s="3" t="s">
        <v>29</v>
      </c>
      <c r="D30" s="27" t="s">
        <v>620</v>
      </c>
      <c r="E30" s="4"/>
      <c r="F30" s="24"/>
    </row>
    <row r="31" spans="3:6" ht="31.5" x14ac:dyDescent="0.25">
      <c r="C31" s="3" t="s">
        <v>30</v>
      </c>
      <c r="D31" s="28" t="s">
        <v>621</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9" t="s">
        <v>94</v>
      </c>
      <c r="E38" s="21" t="s">
        <v>591</v>
      </c>
      <c r="F38" s="21" t="s">
        <v>622</v>
      </c>
      <c r="G38" s="23">
        <v>0.5</v>
      </c>
      <c r="H38" s="21">
        <v>26</v>
      </c>
    </row>
    <row r="39" spans="3:8" ht="90.75" x14ac:dyDescent="0.25">
      <c r="C39" s="3" t="s">
        <v>44</v>
      </c>
      <c r="D39" s="21" t="s">
        <v>41</v>
      </c>
      <c r="E39" s="21" t="s">
        <v>206</v>
      </c>
      <c r="F39" s="30" t="s">
        <v>623</v>
      </c>
      <c r="G39" s="23">
        <v>0.5</v>
      </c>
      <c r="H39" s="21">
        <v>26</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100</v>
      </c>
    </row>
    <row r="47" spans="3:8" x14ac:dyDescent="0.25">
      <c r="C47" s="25" t="s">
        <v>44</v>
      </c>
      <c r="D47" s="24" t="s">
        <v>28</v>
      </c>
      <c r="E47" s="24" t="s">
        <v>50</v>
      </c>
      <c r="F47" s="24" t="s">
        <v>360</v>
      </c>
    </row>
    <row r="48" spans="3:8" x14ac:dyDescent="0.25">
      <c r="C48" s="25" t="s">
        <v>40</v>
      </c>
      <c r="D48" s="24" t="s">
        <v>30</v>
      </c>
      <c r="E48" s="24" t="s">
        <v>57</v>
      </c>
      <c r="F48" s="24" t="s">
        <v>78</v>
      </c>
    </row>
    <row r="49" spans="3:6" x14ac:dyDescent="0.25">
      <c r="C49" s="25" t="s">
        <v>40</v>
      </c>
      <c r="D49" s="24" t="s">
        <v>30</v>
      </c>
      <c r="E49" s="24" t="s">
        <v>53</v>
      </c>
      <c r="F49" s="24" t="s">
        <v>107</v>
      </c>
    </row>
    <row r="50" spans="3:6" x14ac:dyDescent="0.25">
      <c r="C50" s="25" t="s">
        <v>40</v>
      </c>
      <c r="D50" s="24" t="s">
        <v>30</v>
      </c>
      <c r="E50" s="24" t="s">
        <v>102</v>
      </c>
      <c r="F50" s="24" t="s">
        <v>103</v>
      </c>
    </row>
    <row r="51" spans="3:6" x14ac:dyDescent="0.25">
      <c r="C51" s="25" t="s">
        <v>44</v>
      </c>
      <c r="D51" s="24" t="s">
        <v>30</v>
      </c>
      <c r="E51" s="24" t="s">
        <v>105</v>
      </c>
      <c r="F51" s="24" t="s">
        <v>106</v>
      </c>
    </row>
    <row r="52" spans="3:6" x14ac:dyDescent="0.25">
      <c r="C52" s="25" t="s">
        <v>44</v>
      </c>
      <c r="D52" s="24" t="s">
        <v>29</v>
      </c>
      <c r="E52" s="24" t="s">
        <v>55</v>
      </c>
      <c r="F52" s="24" t="s">
        <v>56</v>
      </c>
    </row>
    <row r="53" spans="3:6" x14ac:dyDescent="0.25">
      <c r="C53" s="25" t="s">
        <v>44</v>
      </c>
      <c r="D53" s="24" t="s">
        <v>29</v>
      </c>
      <c r="E53" s="24" t="s">
        <v>169</v>
      </c>
      <c r="F53" s="24" t="s">
        <v>434</v>
      </c>
    </row>
    <row r="54" spans="3:6" x14ac:dyDescent="0.25">
      <c r="C54" s="25" t="s">
        <v>44</v>
      </c>
      <c r="D54" s="24" t="s">
        <v>30</v>
      </c>
      <c r="E54" s="24" t="s">
        <v>164</v>
      </c>
      <c r="F54" s="24" t="s">
        <v>420</v>
      </c>
    </row>
    <row r="55" spans="3:6" x14ac:dyDescent="0.25">
      <c r="C55" s="25" t="s">
        <v>44</v>
      </c>
      <c r="D55" s="24" t="s">
        <v>30</v>
      </c>
      <c r="E55" s="24" t="s">
        <v>164</v>
      </c>
      <c r="F55" s="24" t="s">
        <v>165</v>
      </c>
    </row>
    <row r="56" spans="3:6" x14ac:dyDescent="0.25">
      <c r="C56" s="25" t="s">
        <v>44</v>
      </c>
      <c r="D56" s="24" t="s">
        <v>30</v>
      </c>
      <c r="E56" s="24" t="s">
        <v>424</v>
      </c>
      <c r="F56" s="24" t="s">
        <v>437</v>
      </c>
    </row>
    <row r="57" spans="3:6" x14ac:dyDescent="0.25">
      <c r="C57" s="25" t="s">
        <v>44</v>
      </c>
      <c r="D57" s="24" t="s">
        <v>28</v>
      </c>
      <c r="E57" s="24" t="s">
        <v>424</v>
      </c>
      <c r="F57" s="24" t="s">
        <v>426</v>
      </c>
    </row>
    <row r="58" spans="3:6" x14ac:dyDescent="0.25">
      <c r="C58" s="25" t="s">
        <v>44</v>
      </c>
      <c r="D58" s="24" t="s">
        <v>29</v>
      </c>
      <c r="E58" s="24" t="s">
        <v>306</v>
      </c>
      <c r="F58" s="24" t="s">
        <v>307</v>
      </c>
    </row>
    <row r="59" spans="3:6" x14ac:dyDescent="0.25">
      <c r="C59" s="25" t="s">
        <v>44</v>
      </c>
      <c r="D59" s="24" t="s">
        <v>29</v>
      </c>
      <c r="E59" s="24" t="s">
        <v>306</v>
      </c>
      <c r="F59" s="24" t="s">
        <v>428</v>
      </c>
    </row>
    <row r="60" spans="3:6" x14ac:dyDescent="0.25">
      <c r="C60" s="25" t="s">
        <v>44</v>
      </c>
      <c r="D60" s="24" t="s">
        <v>29</v>
      </c>
      <c r="E60" s="24" t="s">
        <v>306</v>
      </c>
      <c r="F60" s="24" t="s">
        <v>429</v>
      </c>
    </row>
    <row r="61" spans="3:6" x14ac:dyDescent="0.25">
      <c r="C61" s="25" t="s">
        <v>44</v>
      </c>
      <c r="D61" s="24" t="s">
        <v>29</v>
      </c>
      <c r="E61" s="24" t="s">
        <v>306</v>
      </c>
      <c r="F61" s="24" t="s">
        <v>430</v>
      </c>
    </row>
    <row r="62" spans="3:6" x14ac:dyDescent="0.25">
      <c r="C62" s="25"/>
      <c r="D62" s="24"/>
      <c r="E62" s="24"/>
      <c r="F62" s="24"/>
    </row>
    <row r="65" spans="2:6" ht="18.75" x14ac:dyDescent="0.25">
      <c r="C65" s="5" t="s">
        <v>59</v>
      </c>
    </row>
    <row r="66" spans="2:6" x14ac:dyDescent="0.25">
      <c r="B66" t="s">
        <v>60</v>
      </c>
      <c r="C66" s="1" t="s">
        <v>61</v>
      </c>
      <c r="D66" s="1" t="s">
        <v>62</v>
      </c>
      <c r="E66" s="1" t="s">
        <v>63</v>
      </c>
      <c r="F66" s="1" t="s">
        <v>64</v>
      </c>
    </row>
    <row r="67" spans="2:6" x14ac:dyDescent="0.25">
      <c r="B67" s="7">
        <v>1</v>
      </c>
      <c r="C67" s="1">
        <v>1</v>
      </c>
      <c r="D67" s="31" t="s">
        <v>624</v>
      </c>
      <c r="E67" s="21"/>
      <c r="F67" s="21" t="s">
        <v>17</v>
      </c>
    </row>
    <row r="68" spans="2:6" x14ac:dyDescent="0.25">
      <c r="B68" s="7">
        <v>1</v>
      </c>
      <c r="C68" s="1">
        <v>2</v>
      </c>
      <c r="D68" s="31" t="s">
        <v>625</v>
      </c>
      <c r="E68" s="21"/>
      <c r="F68" s="21" t="s">
        <v>17</v>
      </c>
    </row>
    <row r="69" spans="2:6" x14ac:dyDescent="0.25">
      <c r="B69" s="7">
        <v>1</v>
      </c>
      <c r="C69" s="1">
        <v>3</v>
      </c>
      <c r="D69" s="31" t="s">
        <v>626</v>
      </c>
      <c r="E69" s="21"/>
      <c r="F69" s="21" t="s">
        <v>17</v>
      </c>
    </row>
    <row r="70" spans="2:6" x14ac:dyDescent="0.25">
      <c r="B70" s="7">
        <v>1</v>
      </c>
      <c r="C70" s="1">
        <v>4</v>
      </c>
      <c r="D70" s="31" t="s">
        <v>627</v>
      </c>
      <c r="E70" s="21"/>
      <c r="F70" s="21" t="s">
        <v>17</v>
      </c>
    </row>
    <row r="71" spans="2:6" x14ac:dyDescent="0.25">
      <c r="B71" s="7">
        <v>1</v>
      </c>
      <c r="C71" s="1">
        <v>5</v>
      </c>
      <c r="D71" s="31" t="s">
        <v>628</v>
      </c>
      <c r="E71" s="21"/>
      <c r="F71" s="21" t="s">
        <v>17</v>
      </c>
    </row>
    <row r="72" spans="2:6" x14ac:dyDescent="0.25">
      <c r="B72" s="7">
        <v>1</v>
      </c>
      <c r="C72" s="1">
        <v>6</v>
      </c>
      <c r="D72" s="31" t="s">
        <v>629</v>
      </c>
      <c r="E72" s="21"/>
      <c r="F72" s="21" t="s">
        <v>17</v>
      </c>
    </row>
    <row r="73" spans="2:6" x14ac:dyDescent="0.25">
      <c r="B73" s="7">
        <v>1</v>
      </c>
      <c r="C73" s="1">
        <v>7</v>
      </c>
      <c r="D73" s="21"/>
      <c r="E73" s="21"/>
      <c r="F73" s="21"/>
    </row>
    <row r="74" spans="2:6" x14ac:dyDescent="0.25">
      <c r="B74" s="7">
        <v>1</v>
      </c>
      <c r="C74" s="1">
        <v>8</v>
      </c>
      <c r="D74" s="21"/>
      <c r="E74" s="21"/>
      <c r="F74" s="21"/>
    </row>
    <row r="75" spans="2:6" x14ac:dyDescent="0.25">
      <c r="B75" s="7">
        <v>1</v>
      </c>
      <c r="C75" s="1">
        <v>9</v>
      </c>
      <c r="D75" s="21"/>
      <c r="E75" s="21"/>
      <c r="F75" s="21"/>
    </row>
    <row r="76" spans="2:6" x14ac:dyDescent="0.25">
      <c r="B76" s="7">
        <v>1</v>
      </c>
      <c r="C76" s="1">
        <v>10</v>
      </c>
      <c r="D76" s="21"/>
      <c r="E76" s="21"/>
      <c r="F76" s="21"/>
    </row>
    <row r="77" spans="2:6" x14ac:dyDescent="0.25">
      <c r="B77" s="7">
        <v>1</v>
      </c>
      <c r="C77" s="1">
        <v>11</v>
      </c>
      <c r="D77" s="21"/>
      <c r="E77" s="21"/>
      <c r="F77" s="21"/>
    </row>
    <row r="78" spans="2:6" x14ac:dyDescent="0.25">
      <c r="B78" s="7">
        <v>1</v>
      </c>
      <c r="C78" s="1">
        <v>12</v>
      </c>
      <c r="D78" s="21"/>
      <c r="E78" s="21"/>
      <c r="F78" s="21"/>
    </row>
    <row r="79" spans="2:6" x14ac:dyDescent="0.25">
      <c r="B79" s="7">
        <v>2</v>
      </c>
      <c r="C79" s="1">
        <v>1</v>
      </c>
      <c r="D79" s="21"/>
      <c r="E79" s="21"/>
      <c r="F79" s="21"/>
    </row>
    <row r="80" spans="2:6" x14ac:dyDescent="0.25">
      <c r="B80" s="7">
        <v>2</v>
      </c>
      <c r="C80" s="1">
        <v>2</v>
      </c>
      <c r="D80" s="21"/>
      <c r="E80" s="21"/>
      <c r="F80" s="21"/>
    </row>
    <row r="81" spans="2:6" x14ac:dyDescent="0.25">
      <c r="B81" s="7">
        <v>2</v>
      </c>
      <c r="C81" s="1">
        <v>3</v>
      </c>
      <c r="D81" s="21"/>
      <c r="E81" s="21"/>
      <c r="F81" s="21"/>
    </row>
    <row r="82" spans="2:6" x14ac:dyDescent="0.25">
      <c r="B82" s="7">
        <v>2</v>
      </c>
      <c r="C82" s="1">
        <v>4</v>
      </c>
      <c r="D82" s="21"/>
      <c r="E82" s="21"/>
      <c r="F82" s="21"/>
    </row>
    <row r="83" spans="2:6" x14ac:dyDescent="0.25">
      <c r="B83" s="7">
        <v>2</v>
      </c>
      <c r="C83" s="1">
        <v>5</v>
      </c>
      <c r="D83" s="21"/>
      <c r="E83" s="21"/>
      <c r="F83" s="21"/>
    </row>
    <row r="84" spans="2:6" x14ac:dyDescent="0.25">
      <c r="B84" s="7">
        <v>2</v>
      </c>
      <c r="C84" s="1">
        <v>6</v>
      </c>
      <c r="D84" s="21"/>
      <c r="E84" s="21"/>
      <c r="F84" s="21"/>
    </row>
    <row r="85" spans="2:6" x14ac:dyDescent="0.25">
      <c r="B85" s="7">
        <v>2</v>
      </c>
      <c r="C85" s="1">
        <v>7</v>
      </c>
      <c r="D85" s="21"/>
      <c r="E85" s="21"/>
      <c r="F85" s="21"/>
    </row>
    <row r="86" spans="2:6" x14ac:dyDescent="0.25">
      <c r="B86" s="7">
        <v>2</v>
      </c>
      <c r="C86" s="1">
        <v>8</v>
      </c>
      <c r="D86" s="21"/>
      <c r="E86" s="21"/>
      <c r="F86" s="21"/>
    </row>
    <row r="87" spans="2:6" x14ac:dyDescent="0.25">
      <c r="B87" s="7">
        <v>2</v>
      </c>
      <c r="C87" s="1">
        <v>9</v>
      </c>
      <c r="D87" s="21"/>
      <c r="E87" s="21"/>
      <c r="F87" s="21"/>
    </row>
    <row r="88" spans="2:6" x14ac:dyDescent="0.25">
      <c r="B88" s="7">
        <v>2</v>
      </c>
      <c r="C88" s="1">
        <v>10</v>
      </c>
      <c r="D88" s="21"/>
      <c r="E88" s="21"/>
      <c r="F88" s="21"/>
    </row>
    <row r="89" spans="2:6" x14ac:dyDescent="0.25">
      <c r="B89" s="7">
        <v>2</v>
      </c>
      <c r="C89" s="1">
        <v>11</v>
      </c>
      <c r="D89" s="21"/>
      <c r="E89" s="21"/>
      <c r="F89" s="21"/>
    </row>
    <row r="90" spans="2:6" x14ac:dyDescent="0.25">
      <c r="B90" s="7">
        <v>2</v>
      </c>
      <c r="C90" s="1">
        <v>12</v>
      </c>
      <c r="D90" s="21"/>
      <c r="E90" s="21"/>
      <c r="F90" s="21"/>
    </row>
  </sheetData>
  <sheetProtection sheet="1" objects="1" scenarios="1" selectLockedCells="1" sort="0" autoFilter="0" pivotTables="0"/>
  <dataValidations count="4">
    <dataValidation type="list" allowBlank="1" showInputMessage="1" showErrorMessage="1" sqref="F46:F6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E46:E62</xm:sqref>
        </x14:dataValidation>
        <x14:dataValidation type="list" allowBlank="1" showInputMessage="1" showErrorMessage="1" xr:uid="{13524674-6569-4444-A927-B70E751D7616}">
          <x14:formula1>
            <xm:f>LISTS!$E$7:$E$11</xm:f>
          </x14:formula1>
          <xm:sqref>D46:D62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84"/>
  <sheetViews>
    <sheetView showGridLines="0" zoomScale="85" zoomScaleNormal="85" workbookViewId="0">
      <selection activeCell="D13" sqref="D13"/>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6091SPS</v>
      </c>
      <c r="D2" s="20" t="str">
        <f>D8</f>
        <v>Major Project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325</v>
      </c>
      <c r="E7" s="4"/>
      <c r="F7" s="24" t="s">
        <v>326</v>
      </c>
    </row>
    <row r="8" spans="2:6" x14ac:dyDescent="0.25">
      <c r="B8" s="2"/>
      <c r="C8" s="3" t="s">
        <v>6</v>
      </c>
      <c r="D8" s="21" t="s">
        <v>327</v>
      </c>
      <c r="E8" s="4"/>
      <c r="F8" s="24"/>
    </row>
    <row r="9" spans="2:6" x14ac:dyDescent="0.25">
      <c r="C9" s="3" t="s">
        <v>7</v>
      </c>
      <c r="D9" s="21">
        <v>40</v>
      </c>
      <c r="E9" s="4"/>
    </row>
    <row r="10" spans="2:6" x14ac:dyDescent="0.25">
      <c r="C10" s="3" t="s">
        <v>8</v>
      </c>
      <c r="D10" s="21" t="s">
        <v>328</v>
      </c>
      <c r="E10" s="4"/>
      <c r="F10" t="s">
        <v>9</v>
      </c>
    </row>
    <row r="11" spans="2:6" x14ac:dyDescent="0.25">
      <c r="C11" s="3" t="s">
        <v>10</v>
      </c>
      <c r="D11" s="21">
        <v>6</v>
      </c>
      <c r="E11" s="4"/>
      <c r="F11" s="24" t="s">
        <v>329</v>
      </c>
    </row>
    <row r="12" spans="2:6" x14ac:dyDescent="0.25">
      <c r="C12" s="3" t="s">
        <v>11</v>
      </c>
      <c r="D12" s="21"/>
      <c r="E12" s="4"/>
      <c r="F12" s="24" t="s">
        <v>330</v>
      </c>
    </row>
    <row r="13" spans="2:6" x14ac:dyDescent="0.25">
      <c r="C13" s="3" t="s">
        <v>12</v>
      </c>
      <c r="D13" s="21" t="s">
        <v>331</v>
      </c>
      <c r="E13" s="4"/>
      <c r="F13" s="24" t="s">
        <v>332</v>
      </c>
    </row>
    <row r="14" spans="2:6" x14ac:dyDescent="0.25">
      <c r="C14" s="3" t="s">
        <v>13</v>
      </c>
      <c r="D14" s="21" t="s">
        <v>89</v>
      </c>
      <c r="E14" s="4"/>
    </row>
    <row r="15" spans="2:6" x14ac:dyDescent="0.25">
      <c r="C15" s="3"/>
      <c r="D15" s="4"/>
      <c r="E15" s="4"/>
      <c r="F15" t="s">
        <v>14</v>
      </c>
    </row>
    <row r="16" spans="2:6" x14ac:dyDescent="0.25">
      <c r="C16" s="3"/>
      <c r="D16" s="4"/>
      <c r="E16" s="4"/>
      <c r="F16" s="24" t="s">
        <v>333</v>
      </c>
    </row>
    <row r="17" spans="3:6" ht="18.75" x14ac:dyDescent="0.25">
      <c r="C17" s="5" t="s">
        <v>15</v>
      </c>
      <c r="D17" s="4"/>
      <c r="E17" s="4"/>
      <c r="F17" s="24" t="s">
        <v>334</v>
      </c>
    </row>
    <row r="18" spans="3:6" x14ac:dyDescent="0.25">
      <c r="C18" s="3" t="s">
        <v>16</v>
      </c>
      <c r="D18" s="1" t="s">
        <v>15</v>
      </c>
      <c r="E18" s="4"/>
      <c r="F18" s="24" t="s">
        <v>335</v>
      </c>
    </row>
    <row r="19" spans="3:6" x14ac:dyDescent="0.25">
      <c r="C19" s="3" t="s">
        <v>17</v>
      </c>
      <c r="D19" s="22">
        <v>10</v>
      </c>
      <c r="E19" s="4"/>
      <c r="F19" s="24" t="s">
        <v>336</v>
      </c>
    </row>
    <row r="20" spans="3:6" x14ac:dyDescent="0.25">
      <c r="C20" s="3" t="s">
        <v>18</v>
      </c>
      <c r="D20" s="22">
        <v>26</v>
      </c>
      <c r="E20" s="4"/>
      <c r="F20" s="24" t="s">
        <v>337</v>
      </c>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36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338</v>
      </c>
      <c r="E29" s="4"/>
      <c r="F29" s="24"/>
    </row>
    <row r="30" spans="3:6" ht="30" x14ac:dyDescent="0.25">
      <c r="C30" s="3" t="s">
        <v>29</v>
      </c>
      <c r="D30" s="21" t="s">
        <v>339</v>
      </c>
      <c r="E30" s="4"/>
      <c r="F30" s="24"/>
    </row>
    <row r="31" spans="3:6" ht="30" x14ac:dyDescent="0.25">
      <c r="C31" s="3" t="s">
        <v>30</v>
      </c>
      <c r="D31" s="21" t="s">
        <v>340</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253</v>
      </c>
      <c r="E38" s="21" t="s">
        <v>341</v>
      </c>
      <c r="F38" s="21" t="s">
        <v>342</v>
      </c>
      <c r="G38" s="23">
        <v>0.6</v>
      </c>
      <c r="H38" s="21">
        <v>28</v>
      </c>
    </row>
    <row r="39" spans="3:8" ht="30" x14ac:dyDescent="0.25">
      <c r="C39" s="3" t="s">
        <v>44</v>
      </c>
      <c r="D39" s="21" t="s">
        <v>41</v>
      </c>
      <c r="E39" s="21" t="s">
        <v>206</v>
      </c>
      <c r="F39" s="21" t="s">
        <v>343</v>
      </c>
      <c r="G39" s="23">
        <v>0.4</v>
      </c>
      <c r="H39" s="21">
        <v>28</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57</v>
      </c>
      <c r="F46" s="24" t="s">
        <v>101</v>
      </c>
    </row>
    <row r="47" spans="3:8" x14ac:dyDescent="0.25">
      <c r="C47" s="25" t="s">
        <v>40</v>
      </c>
      <c r="D47" s="24" t="s">
        <v>28</v>
      </c>
      <c r="E47" s="24" t="s">
        <v>57</v>
      </c>
      <c r="F47" s="24" t="s">
        <v>344</v>
      </c>
    </row>
    <row r="48" spans="3:8" x14ac:dyDescent="0.25">
      <c r="C48" s="25" t="s">
        <v>40</v>
      </c>
      <c r="D48" s="24" t="s">
        <v>28</v>
      </c>
      <c r="E48" s="24" t="s">
        <v>53</v>
      </c>
      <c r="F48" s="24" t="s">
        <v>345</v>
      </c>
    </row>
    <row r="49" spans="2:6" x14ac:dyDescent="0.25">
      <c r="C49" s="25" t="s">
        <v>44</v>
      </c>
      <c r="D49" s="24" t="s">
        <v>28</v>
      </c>
      <c r="E49" s="24" t="s">
        <v>53</v>
      </c>
      <c r="F49" s="24" t="s">
        <v>107</v>
      </c>
    </row>
    <row r="50" spans="2:6" x14ac:dyDescent="0.25">
      <c r="C50" s="25" t="s">
        <v>44</v>
      </c>
      <c r="D50" s="24" t="s">
        <v>29</v>
      </c>
      <c r="E50" s="24" t="s">
        <v>50</v>
      </c>
      <c r="F50" s="24" t="s">
        <v>52</v>
      </c>
    </row>
    <row r="51" spans="2:6" x14ac:dyDescent="0.25">
      <c r="C51" s="25" t="s">
        <v>44</v>
      </c>
      <c r="D51" s="24" t="s">
        <v>29</v>
      </c>
      <c r="E51" s="24" t="s">
        <v>50</v>
      </c>
      <c r="F51" s="24" t="s">
        <v>100</v>
      </c>
    </row>
    <row r="52" spans="2:6" x14ac:dyDescent="0.25">
      <c r="C52" s="25" t="s">
        <v>45</v>
      </c>
      <c r="D52" s="24" t="s">
        <v>29</v>
      </c>
      <c r="E52" s="24" t="s">
        <v>50</v>
      </c>
      <c r="F52" s="24" t="s">
        <v>162</v>
      </c>
    </row>
    <row r="53" spans="2:6" x14ac:dyDescent="0.25">
      <c r="C53" s="25" t="s">
        <v>45</v>
      </c>
      <c r="D53" s="24" t="s">
        <v>29</v>
      </c>
      <c r="E53" s="24" t="s">
        <v>55</v>
      </c>
      <c r="F53" s="24" t="s">
        <v>257</v>
      </c>
    </row>
    <row r="54" spans="2:6" x14ac:dyDescent="0.25">
      <c r="C54" s="25" t="s">
        <v>45</v>
      </c>
      <c r="D54" s="24" t="s">
        <v>30</v>
      </c>
      <c r="E54" s="24" t="s">
        <v>102</v>
      </c>
      <c r="F54" s="24" t="s">
        <v>103</v>
      </c>
    </row>
    <row r="55" spans="2:6" x14ac:dyDescent="0.25">
      <c r="C55" s="25" t="s">
        <v>46</v>
      </c>
      <c r="D55" s="24" t="s">
        <v>30</v>
      </c>
      <c r="E55" s="24" t="s">
        <v>55</v>
      </c>
      <c r="F55" s="24" t="s">
        <v>56</v>
      </c>
    </row>
    <row r="56" spans="2:6" x14ac:dyDescent="0.25">
      <c r="C56" s="25" t="s">
        <v>46</v>
      </c>
      <c r="D56" s="24" t="s">
        <v>30</v>
      </c>
      <c r="E56" s="24" t="s">
        <v>164</v>
      </c>
      <c r="F56" s="24" t="s">
        <v>165</v>
      </c>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5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D46:D56</xm:sqref>
        </x14:dataValidation>
        <x14:dataValidation type="list" allowBlank="1" showInputMessage="1" showErrorMessage="1" xr:uid="{2751552D-9CB1-43E7-81A0-A1705BDEC705}">
          <x14:formula1>
            <xm:f>LISTS!$J$7:$J$16</xm:f>
          </x14:formula1>
          <xm:sqref>E46:E56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84"/>
  <sheetViews>
    <sheetView showGridLines="0" zoomScale="85" zoomScaleNormal="85" workbookViewId="0">
      <selection activeCell="E72" sqref="E7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6093SPS</v>
      </c>
      <c r="D2" s="20" t="str">
        <f>D8</f>
        <v>Strength and Conditioning</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346</v>
      </c>
      <c r="E7" s="4"/>
      <c r="F7" s="36" t="s">
        <v>347</v>
      </c>
    </row>
    <row r="8" spans="2:6" x14ac:dyDescent="0.25">
      <c r="B8" s="2"/>
      <c r="C8" s="3" t="s">
        <v>6</v>
      </c>
      <c r="D8" s="21" t="s">
        <v>348</v>
      </c>
      <c r="E8" s="4"/>
      <c r="F8" s="32"/>
    </row>
    <row r="9" spans="2:6" x14ac:dyDescent="0.25">
      <c r="C9" s="3" t="s">
        <v>7</v>
      </c>
      <c r="D9" s="21">
        <v>20</v>
      </c>
      <c r="E9" s="4"/>
    </row>
    <row r="10" spans="2:6" x14ac:dyDescent="0.25">
      <c r="C10" s="3" t="s">
        <v>8</v>
      </c>
      <c r="D10" s="21">
        <v>1</v>
      </c>
      <c r="E10" s="4"/>
      <c r="F10" t="s">
        <v>9</v>
      </c>
    </row>
    <row r="11" spans="2:6" x14ac:dyDescent="0.25">
      <c r="C11" s="3" t="s">
        <v>10</v>
      </c>
      <c r="D11" s="21">
        <v>6</v>
      </c>
      <c r="E11" s="4"/>
      <c r="F11" s="36" t="s">
        <v>349</v>
      </c>
    </row>
    <row r="12" spans="2:6" x14ac:dyDescent="0.25">
      <c r="C12" s="3" t="s">
        <v>11</v>
      </c>
      <c r="D12" s="21" t="s">
        <v>350</v>
      </c>
      <c r="E12" s="4"/>
      <c r="F12" s="24"/>
    </row>
    <row r="13" spans="2:6" x14ac:dyDescent="0.25">
      <c r="C13" s="3" t="s">
        <v>12</v>
      </c>
      <c r="D13" s="21" t="s">
        <v>351</v>
      </c>
      <c r="E13" s="4"/>
      <c r="F13" s="24"/>
    </row>
    <row r="14" spans="2:6" x14ac:dyDescent="0.25">
      <c r="C14" s="3" t="s">
        <v>13</v>
      </c>
      <c r="D14" s="21" t="s">
        <v>352</v>
      </c>
      <c r="E14" s="4"/>
    </row>
    <row r="15" spans="2:6" x14ac:dyDescent="0.25">
      <c r="C15" s="3"/>
      <c r="D15" s="4"/>
      <c r="E15" s="4"/>
      <c r="F15" t="s">
        <v>14</v>
      </c>
    </row>
    <row r="16" spans="2:6" x14ac:dyDescent="0.25">
      <c r="C16" s="3"/>
      <c r="D16" s="4"/>
      <c r="E16" s="4"/>
      <c r="F16" s="36" t="s">
        <v>353</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6</v>
      </c>
      <c r="E20" s="4"/>
      <c r="F20" s="24"/>
    </row>
    <row r="21" spans="3:6" x14ac:dyDescent="0.25">
      <c r="C21" s="3" t="s">
        <v>19</v>
      </c>
      <c r="D21" s="22">
        <v>12</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29.25" x14ac:dyDescent="0.25">
      <c r="C29" s="3" t="s">
        <v>28</v>
      </c>
      <c r="D29" s="35" t="s">
        <v>354</v>
      </c>
      <c r="E29" s="4"/>
      <c r="F29" s="24"/>
    </row>
    <row r="30" spans="3:6" ht="43.5" x14ac:dyDescent="0.25">
      <c r="C30" s="3" t="s">
        <v>29</v>
      </c>
      <c r="D30" s="35" t="s">
        <v>355</v>
      </c>
      <c r="E30" s="4"/>
      <c r="F30" s="24"/>
    </row>
    <row r="31" spans="3:6" ht="29.25" x14ac:dyDescent="0.25">
      <c r="C31" s="3" t="s">
        <v>30</v>
      </c>
      <c r="D31" s="35" t="s">
        <v>356</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206</v>
      </c>
      <c r="F38" s="21" t="s">
        <v>357</v>
      </c>
      <c r="G38" s="23">
        <v>0.5</v>
      </c>
      <c r="H38" s="21">
        <v>6</v>
      </c>
    </row>
    <row r="39" spans="3:8" x14ac:dyDescent="0.25">
      <c r="C39" s="3" t="s">
        <v>44</v>
      </c>
      <c r="D39" s="21" t="s">
        <v>94</v>
      </c>
      <c r="E39" s="21" t="s">
        <v>358</v>
      </c>
      <c r="F39" s="21" t="s">
        <v>359</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102</v>
      </c>
      <c r="F48" s="24" t="s">
        <v>103</v>
      </c>
    </row>
    <row r="49" spans="2:6" x14ac:dyDescent="0.25">
      <c r="C49" s="25" t="s">
        <v>40</v>
      </c>
      <c r="D49" s="24" t="s">
        <v>28</v>
      </c>
      <c r="E49" s="24" t="s">
        <v>55</v>
      </c>
      <c r="F49" s="24" t="s">
        <v>56</v>
      </c>
    </row>
    <row r="50" spans="2:6" x14ac:dyDescent="0.25">
      <c r="C50" s="25" t="s">
        <v>44</v>
      </c>
      <c r="D50" s="24" t="s">
        <v>29</v>
      </c>
      <c r="E50" s="24" t="s">
        <v>50</v>
      </c>
      <c r="F50" s="24" t="s">
        <v>360</v>
      </c>
    </row>
    <row r="51" spans="2:6" x14ac:dyDescent="0.25">
      <c r="C51" s="25" t="s">
        <v>44</v>
      </c>
      <c r="D51" s="24" t="s">
        <v>29</v>
      </c>
      <c r="E51" s="24" t="s">
        <v>53</v>
      </c>
      <c r="F51" s="24" t="s">
        <v>54</v>
      </c>
    </row>
    <row r="52" spans="2:6" x14ac:dyDescent="0.25">
      <c r="C52" s="25" t="s">
        <v>44</v>
      </c>
      <c r="D52" s="24" t="s">
        <v>29</v>
      </c>
      <c r="E52" s="24" t="s">
        <v>50</v>
      </c>
      <c r="F52" s="24" t="s">
        <v>100</v>
      </c>
    </row>
    <row r="53" spans="2:6" x14ac:dyDescent="0.25">
      <c r="C53" s="25" t="s">
        <v>44</v>
      </c>
      <c r="D53" s="24" t="s">
        <v>30</v>
      </c>
      <c r="E53" s="24" t="s">
        <v>50</v>
      </c>
      <c r="F53" s="24" t="s">
        <v>360</v>
      </c>
    </row>
    <row r="54" spans="2:6" x14ac:dyDescent="0.25">
      <c r="C54" s="25" t="s">
        <v>44</v>
      </c>
      <c r="D54" s="24" t="s">
        <v>30</v>
      </c>
      <c r="E54" s="24" t="s">
        <v>53</v>
      </c>
      <c r="F54" s="24" t="s">
        <v>161</v>
      </c>
    </row>
    <row r="55" spans="2:6" x14ac:dyDescent="0.25">
      <c r="C55" s="25" t="s">
        <v>46</v>
      </c>
      <c r="D55" s="24" t="s">
        <v>30</v>
      </c>
      <c r="E55" s="24" t="s">
        <v>53</v>
      </c>
      <c r="F55" s="24" t="s">
        <v>361</v>
      </c>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ht="30" x14ac:dyDescent="0.25">
      <c r="B61" s="7">
        <v>1</v>
      </c>
      <c r="C61" s="1">
        <v>1</v>
      </c>
      <c r="D61" s="21" t="s">
        <v>362</v>
      </c>
      <c r="E61" s="21" t="s">
        <v>363</v>
      </c>
      <c r="F61" s="21"/>
    </row>
    <row r="62" spans="2:6" x14ac:dyDescent="0.25">
      <c r="B62" s="7">
        <v>1</v>
      </c>
      <c r="C62" s="1">
        <v>2</v>
      </c>
      <c r="D62" s="21" t="s">
        <v>364</v>
      </c>
      <c r="E62" s="21" t="s">
        <v>365</v>
      </c>
      <c r="F62" s="21"/>
    </row>
    <row r="63" spans="2:6" x14ac:dyDescent="0.25">
      <c r="B63" s="7">
        <v>1</v>
      </c>
      <c r="C63" s="1">
        <v>3</v>
      </c>
      <c r="D63" s="21" t="s">
        <v>366</v>
      </c>
      <c r="E63" s="21" t="s">
        <v>367</v>
      </c>
      <c r="F63" s="21"/>
    </row>
    <row r="64" spans="2:6" x14ac:dyDescent="0.25">
      <c r="B64" s="7">
        <v>1</v>
      </c>
      <c r="C64" s="1">
        <v>4</v>
      </c>
      <c r="D64" s="21" t="s">
        <v>368</v>
      </c>
      <c r="E64" s="21" t="s">
        <v>369</v>
      </c>
      <c r="F64" s="21"/>
    </row>
    <row r="65" spans="2:6" x14ac:dyDescent="0.25">
      <c r="B65" s="7">
        <v>1</v>
      </c>
      <c r="C65" s="1">
        <v>5</v>
      </c>
      <c r="D65" s="21" t="s">
        <v>370</v>
      </c>
      <c r="E65" s="21" t="s">
        <v>371</v>
      </c>
      <c r="F65" s="21"/>
    </row>
    <row r="66" spans="2:6" x14ac:dyDescent="0.25">
      <c r="B66" s="7">
        <v>1</v>
      </c>
      <c r="C66" s="1">
        <v>6</v>
      </c>
      <c r="D66" s="21" t="s">
        <v>372</v>
      </c>
      <c r="E66" s="21" t="s">
        <v>373</v>
      </c>
      <c r="F66" s="21"/>
    </row>
    <row r="67" spans="2:6" x14ac:dyDescent="0.25">
      <c r="B67" s="7">
        <v>1</v>
      </c>
      <c r="C67" s="1">
        <v>7</v>
      </c>
      <c r="D67" s="21"/>
      <c r="E67" s="21"/>
      <c r="F67" s="21"/>
    </row>
    <row r="68" spans="2:6" x14ac:dyDescent="0.25">
      <c r="B68" s="7">
        <v>1</v>
      </c>
      <c r="C68" s="1">
        <v>8</v>
      </c>
      <c r="D68" s="21" t="s">
        <v>374</v>
      </c>
      <c r="E68" s="21" t="s">
        <v>375</v>
      </c>
      <c r="F68" s="21"/>
    </row>
    <row r="69" spans="2:6" x14ac:dyDescent="0.25">
      <c r="B69" s="7">
        <v>1</v>
      </c>
      <c r="C69" s="1">
        <v>9</v>
      </c>
      <c r="D69" s="21" t="s">
        <v>376</v>
      </c>
      <c r="E69" s="21" t="s">
        <v>377</v>
      </c>
      <c r="F69" s="21"/>
    </row>
    <row r="70" spans="2:6" ht="30" x14ac:dyDescent="0.25">
      <c r="B70" s="7">
        <v>1</v>
      </c>
      <c r="C70" s="1">
        <v>10</v>
      </c>
      <c r="D70" s="21" t="s">
        <v>378</v>
      </c>
      <c r="E70" s="21" t="s">
        <v>379</v>
      </c>
      <c r="F70" s="21"/>
    </row>
    <row r="71" spans="2:6" x14ac:dyDescent="0.25">
      <c r="B71" s="7">
        <v>1</v>
      </c>
      <c r="C71" s="1">
        <v>11</v>
      </c>
      <c r="D71" s="21" t="s">
        <v>380</v>
      </c>
      <c r="E71" s="21" t="s">
        <v>381</v>
      </c>
      <c r="F71" s="21"/>
    </row>
    <row r="72" spans="2:6" x14ac:dyDescent="0.25">
      <c r="B72" s="7">
        <v>1</v>
      </c>
      <c r="C72" s="1">
        <v>12</v>
      </c>
      <c r="D72" s="21" t="s">
        <v>382</v>
      </c>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84"/>
  <sheetViews>
    <sheetView showGridLines="0" zoomScale="85" zoomScaleNormal="85" workbookViewId="0">
      <selection activeCell="F39" sqref="F39"/>
    </sheetView>
  </sheetViews>
  <sheetFormatPr defaultRowHeight="15" x14ac:dyDescent="0.25"/>
  <cols>
    <col min="3" max="3" width="33.28515625" customWidth="1"/>
    <col min="4" max="4" width="55.42578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6094SPS</v>
      </c>
      <c r="D2" s="20" t="str">
        <f>D8</f>
        <v>Behaviour Change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75" x14ac:dyDescent="0.25">
      <c r="B7" s="2"/>
      <c r="C7" s="3" t="s">
        <v>4</v>
      </c>
      <c r="D7" s="21" t="s">
        <v>706</v>
      </c>
      <c r="E7" s="4"/>
      <c r="F7" s="32" t="s">
        <v>712</v>
      </c>
    </row>
    <row r="8" spans="2:6" x14ac:dyDescent="0.25">
      <c r="B8" s="2"/>
      <c r="C8" s="3" t="s">
        <v>6</v>
      </c>
      <c r="D8" s="21" t="s">
        <v>707</v>
      </c>
      <c r="E8" s="4"/>
      <c r="F8" s="24"/>
    </row>
    <row r="9" spans="2:6" x14ac:dyDescent="0.25">
      <c r="C9" s="3" t="s">
        <v>7</v>
      </c>
      <c r="D9" s="21">
        <v>20</v>
      </c>
      <c r="E9" s="4"/>
    </row>
    <row r="10" spans="2:6" x14ac:dyDescent="0.25">
      <c r="C10" s="3" t="s">
        <v>8</v>
      </c>
      <c r="D10" s="21">
        <v>1</v>
      </c>
      <c r="E10" s="4"/>
      <c r="F10" t="s">
        <v>9</v>
      </c>
    </row>
    <row r="11" spans="2:6" ht="135" x14ac:dyDescent="0.25">
      <c r="C11" s="3" t="s">
        <v>10</v>
      </c>
      <c r="D11" s="21">
        <v>6</v>
      </c>
      <c r="E11" s="4"/>
      <c r="F11" s="32" t="s">
        <v>713</v>
      </c>
    </row>
    <row r="12" spans="2:6" x14ac:dyDescent="0.25">
      <c r="C12" s="3" t="s">
        <v>11</v>
      </c>
      <c r="D12" s="21" t="s">
        <v>708</v>
      </c>
      <c r="E12" s="4"/>
      <c r="F12" s="24"/>
    </row>
    <row r="13" spans="2:6" x14ac:dyDescent="0.25">
      <c r="C13" s="3" t="s">
        <v>12</v>
      </c>
      <c r="D13" s="21" t="s">
        <v>351</v>
      </c>
      <c r="E13" s="4"/>
      <c r="F13" s="24"/>
    </row>
    <row r="14" spans="2:6" x14ac:dyDescent="0.25">
      <c r="C14" s="3" t="s">
        <v>13</v>
      </c>
      <c r="D14" s="21" t="s">
        <v>352</v>
      </c>
      <c r="E14" s="4"/>
    </row>
    <row r="15" spans="2:6" x14ac:dyDescent="0.25">
      <c r="C15" s="3"/>
      <c r="D15" s="4"/>
      <c r="E15" s="4"/>
      <c r="F15" t="s">
        <v>14</v>
      </c>
    </row>
    <row r="16" spans="2:6" ht="90" x14ac:dyDescent="0.25">
      <c r="C16" s="3"/>
      <c r="D16" s="4"/>
      <c r="E16" s="4"/>
      <c r="F16" s="32" t="s">
        <v>714</v>
      </c>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v>6</v>
      </c>
      <c r="E20" s="4"/>
      <c r="F20" s="24"/>
    </row>
    <row r="21" spans="3:6" x14ac:dyDescent="0.25">
      <c r="C21" s="3" t="s">
        <v>19</v>
      </c>
      <c r="D21" s="22"/>
      <c r="E21" s="4"/>
    </row>
    <row r="22" spans="3:6" x14ac:dyDescent="0.25">
      <c r="C22" s="3" t="s">
        <v>20</v>
      </c>
      <c r="D22" s="22">
        <v>27</v>
      </c>
      <c r="E22" s="4"/>
      <c r="F22" t="s">
        <v>21</v>
      </c>
    </row>
    <row r="23" spans="3:6" x14ac:dyDescent="0.25">
      <c r="C23" s="3" t="s">
        <v>22</v>
      </c>
      <c r="D23" s="22">
        <v>4</v>
      </c>
      <c r="E23" s="4"/>
      <c r="F23" s="24" t="s">
        <v>731</v>
      </c>
    </row>
    <row r="24" spans="3:6" x14ac:dyDescent="0.25">
      <c r="C24" s="3" t="s">
        <v>23</v>
      </c>
      <c r="D24" s="1">
        <f>SUM(D19:D23)</f>
        <v>37</v>
      </c>
      <c r="E24" s="4"/>
      <c r="F24" s="24" t="s">
        <v>726</v>
      </c>
    </row>
    <row r="25" spans="3:6" ht="30" x14ac:dyDescent="0.25">
      <c r="F25" s="32" t="s">
        <v>727</v>
      </c>
    </row>
    <row r="26" spans="3:6" x14ac:dyDescent="0.25">
      <c r="F26" s="24" t="s">
        <v>728</v>
      </c>
    </row>
    <row r="27" spans="3:6" ht="18.75" x14ac:dyDescent="0.25">
      <c r="C27" s="5" t="s">
        <v>24</v>
      </c>
      <c r="D27" s="12" t="s">
        <v>25</v>
      </c>
      <c r="F27" s="24" t="s">
        <v>729</v>
      </c>
    </row>
    <row r="28" spans="3:6" x14ac:dyDescent="0.25">
      <c r="C28" s="3" t="s">
        <v>26</v>
      </c>
      <c r="D28" s="3" t="s">
        <v>27</v>
      </c>
      <c r="E28" s="3"/>
      <c r="F28" s="24"/>
    </row>
    <row r="29" spans="3:6" x14ac:dyDescent="0.25">
      <c r="C29" s="3" t="s">
        <v>28</v>
      </c>
      <c r="D29" s="21" t="s">
        <v>709</v>
      </c>
      <c r="E29" s="4"/>
      <c r="F29" s="24"/>
    </row>
    <row r="30" spans="3:6" x14ac:dyDescent="0.25">
      <c r="C30" s="3" t="s">
        <v>29</v>
      </c>
      <c r="D30" s="21" t="s">
        <v>710</v>
      </c>
      <c r="E30" s="4"/>
      <c r="F30" s="24"/>
    </row>
    <row r="31" spans="3:6" ht="30" x14ac:dyDescent="0.25">
      <c r="C31" s="3" t="s">
        <v>30</v>
      </c>
      <c r="D31" s="21" t="s">
        <v>711</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206</v>
      </c>
      <c r="F38" s="21" t="s">
        <v>715</v>
      </c>
      <c r="G38" s="23">
        <v>0.5</v>
      </c>
      <c r="H38" s="21">
        <v>8</v>
      </c>
    </row>
    <row r="39" spans="3:8" ht="60" x14ac:dyDescent="0.25">
      <c r="C39" s="3" t="s">
        <v>44</v>
      </c>
      <c r="D39" s="21" t="s">
        <v>19</v>
      </c>
      <c r="E39" s="21"/>
      <c r="F39" s="21" t="s">
        <v>716</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100</v>
      </c>
    </row>
    <row r="47" spans="3:8" x14ac:dyDescent="0.25">
      <c r="C47" s="25" t="s">
        <v>40</v>
      </c>
      <c r="D47" s="24" t="s">
        <v>28</v>
      </c>
      <c r="E47" s="24" t="s">
        <v>50</v>
      </c>
      <c r="F47" s="24" t="s">
        <v>360</v>
      </c>
    </row>
    <row r="48" spans="3:8" x14ac:dyDescent="0.25">
      <c r="C48" s="25" t="s">
        <v>40</v>
      </c>
      <c r="D48" s="24" t="s">
        <v>28</v>
      </c>
      <c r="E48" s="24" t="s">
        <v>53</v>
      </c>
      <c r="F48" s="24" t="s">
        <v>161</v>
      </c>
    </row>
    <row r="49" spans="2:6" x14ac:dyDescent="0.25">
      <c r="C49" s="25" t="s">
        <v>44</v>
      </c>
      <c r="D49" s="24" t="s">
        <v>28</v>
      </c>
      <c r="E49" s="24" t="s">
        <v>55</v>
      </c>
      <c r="F49" s="24" t="s">
        <v>56</v>
      </c>
    </row>
    <row r="50" spans="2:6" x14ac:dyDescent="0.25">
      <c r="C50" s="25" t="s">
        <v>44</v>
      </c>
      <c r="D50" s="24" t="s">
        <v>29</v>
      </c>
      <c r="E50" s="24" t="s">
        <v>57</v>
      </c>
      <c r="F50" s="24" t="s">
        <v>344</v>
      </c>
    </row>
    <row r="51" spans="2:6" x14ac:dyDescent="0.25">
      <c r="C51" s="25" t="s">
        <v>44</v>
      </c>
      <c r="D51" s="24" t="s">
        <v>29</v>
      </c>
      <c r="E51" s="24" t="s">
        <v>306</v>
      </c>
      <c r="F51" s="24" t="s">
        <v>429</v>
      </c>
    </row>
    <row r="52" spans="2:6" x14ac:dyDescent="0.25">
      <c r="C52" s="25" t="s">
        <v>44</v>
      </c>
      <c r="D52" s="24" t="s">
        <v>29</v>
      </c>
      <c r="E52" s="24" t="s">
        <v>53</v>
      </c>
      <c r="F52" s="24" t="s">
        <v>161</v>
      </c>
    </row>
    <row r="53" spans="2:6" x14ac:dyDescent="0.25">
      <c r="C53" s="25" t="s">
        <v>44</v>
      </c>
      <c r="D53" s="24" t="s">
        <v>29</v>
      </c>
      <c r="E53" s="24" t="s">
        <v>164</v>
      </c>
      <c r="F53" s="24" t="s">
        <v>676</v>
      </c>
    </row>
    <row r="54" spans="2:6" x14ac:dyDescent="0.25">
      <c r="C54" s="25" t="s">
        <v>44</v>
      </c>
      <c r="D54" s="24" t="s">
        <v>29</v>
      </c>
      <c r="E54" s="24" t="s">
        <v>55</v>
      </c>
      <c r="F54" s="24" t="s">
        <v>308</v>
      </c>
    </row>
    <row r="55" spans="2:6" x14ac:dyDescent="0.25">
      <c r="C55" s="25" t="s">
        <v>44</v>
      </c>
      <c r="D55" s="24" t="s">
        <v>30</v>
      </c>
      <c r="E55" s="24" t="s">
        <v>105</v>
      </c>
      <c r="F55" s="24" t="s">
        <v>106</v>
      </c>
    </row>
    <row r="56" spans="2:6" x14ac:dyDescent="0.25">
      <c r="C56" s="25" t="s">
        <v>44</v>
      </c>
      <c r="D56" s="24" t="s">
        <v>30</v>
      </c>
      <c r="E56" s="24" t="s">
        <v>105</v>
      </c>
      <c r="F56" s="24" t="s">
        <v>668</v>
      </c>
    </row>
    <row r="59" spans="2:6" ht="18.75" x14ac:dyDescent="0.25">
      <c r="C59" s="5" t="s">
        <v>59</v>
      </c>
    </row>
    <row r="60" spans="2:6" x14ac:dyDescent="0.25">
      <c r="B60" t="s">
        <v>60</v>
      </c>
      <c r="C60" s="1" t="s">
        <v>61</v>
      </c>
      <c r="D60" s="1" t="s">
        <v>62</v>
      </c>
      <c r="E60" s="1" t="s">
        <v>63</v>
      </c>
      <c r="F60" s="1" t="s">
        <v>64</v>
      </c>
    </row>
    <row r="61" spans="2:6" ht="30" x14ac:dyDescent="0.25">
      <c r="B61" s="7">
        <v>1</v>
      </c>
      <c r="C61" s="1">
        <v>1</v>
      </c>
      <c r="D61" s="21" t="s">
        <v>717</v>
      </c>
      <c r="E61" s="21"/>
      <c r="F61" s="21"/>
    </row>
    <row r="62" spans="2:6" x14ac:dyDescent="0.25">
      <c r="B62" s="7">
        <v>1</v>
      </c>
      <c r="C62" s="1">
        <v>2</v>
      </c>
      <c r="D62" s="21" t="s">
        <v>718</v>
      </c>
      <c r="E62" s="21"/>
      <c r="F62" s="21"/>
    </row>
    <row r="63" spans="2:6" ht="30" x14ac:dyDescent="0.25">
      <c r="B63" s="7">
        <v>1</v>
      </c>
      <c r="C63" s="1">
        <v>3</v>
      </c>
      <c r="D63" s="21" t="s">
        <v>730</v>
      </c>
      <c r="E63" s="21"/>
      <c r="F63" s="21"/>
    </row>
    <row r="64" spans="2:6" x14ac:dyDescent="0.25">
      <c r="B64" s="7">
        <v>1</v>
      </c>
      <c r="C64" s="1">
        <v>4</v>
      </c>
      <c r="D64" s="21" t="s">
        <v>719</v>
      </c>
      <c r="E64" s="21"/>
      <c r="F64" s="21"/>
    </row>
    <row r="65" spans="2:6" x14ac:dyDescent="0.25">
      <c r="B65" s="7">
        <v>1</v>
      </c>
      <c r="C65" s="1">
        <v>5</v>
      </c>
      <c r="D65" s="21" t="s">
        <v>719</v>
      </c>
      <c r="E65" s="21"/>
      <c r="F65" s="21"/>
    </row>
    <row r="66" spans="2:6" x14ac:dyDescent="0.25">
      <c r="B66" s="7">
        <v>1</v>
      </c>
      <c r="C66" s="1">
        <v>6</v>
      </c>
      <c r="D66" s="21" t="s">
        <v>724</v>
      </c>
      <c r="E66" s="21"/>
      <c r="F66" s="21"/>
    </row>
    <row r="67" spans="2:6" x14ac:dyDescent="0.25">
      <c r="B67" s="7">
        <v>1</v>
      </c>
      <c r="C67" s="1">
        <v>7</v>
      </c>
      <c r="D67" s="21" t="s">
        <v>725</v>
      </c>
      <c r="E67" s="21"/>
      <c r="F67" s="21"/>
    </row>
    <row r="68" spans="2:6" x14ac:dyDescent="0.25">
      <c r="B68" s="7">
        <v>1</v>
      </c>
      <c r="C68" s="1">
        <v>8</v>
      </c>
      <c r="D68" s="21" t="s">
        <v>720</v>
      </c>
      <c r="E68" s="21"/>
      <c r="F68" s="21"/>
    </row>
    <row r="69" spans="2:6" x14ac:dyDescent="0.25">
      <c r="B69" s="7">
        <v>1</v>
      </c>
      <c r="C69" s="1">
        <v>9</v>
      </c>
      <c r="D69" s="21" t="s">
        <v>721</v>
      </c>
      <c r="E69" s="21"/>
      <c r="F69" s="21"/>
    </row>
    <row r="70" spans="2:6" x14ac:dyDescent="0.25">
      <c r="B70" s="7">
        <v>1</v>
      </c>
      <c r="C70" s="1">
        <v>10</v>
      </c>
      <c r="D70" s="21" t="s">
        <v>722</v>
      </c>
      <c r="E70" s="21"/>
      <c r="F70" s="21"/>
    </row>
    <row r="71" spans="2:6" x14ac:dyDescent="0.25">
      <c r="B71" s="7">
        <v>1</v>
      </c>
      <c r="C71" s="1">
        <v>11</v>
      </c>
      <c r="D71" s="21" t="s">
        <v>723</v>
      </c>
      <c r="E71" s="21"/>
      <c r="F71" s="21"/>
    </row>
    <row r="72" spans="2:6" x14ac:dyDescent="0.25">
      <c r="B72" s="7">
        <v>1</v>
      </c>
      <c r="C72" s="1">
        <v>12</v>
      </c>
      <c r="D72" s="21" t="s">
        <v>724</v>
      </c>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5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D46:D56</xm:sqref>
        </x14:dataValidation>
        <x14:dataValidation type="list" allowBlank="1" showInputMessage="1" showErrorMessage="1" xr:uid="{DECD246D-AAE1-4FC3-93DF-E0C783C29528}">
          <x14:formula1>
            <xm:f>LISTS!$J$7:$J$16</xm:f>
          </x14:formula1>
          <xm:sqref>E46:E56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84"/>
  <sheetViews>
    <sheetView showGridLines="0" zoomScale="85" zoomScaleNormal="85" workbookViewId="0">
      <selection activeCell="F39" sqref="F3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6095SPS</v>
      </c>
      <c r="D2" s="20" t="str">
        <f>D8</f>
        <v>Performance Analysis in Sport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383</v>
      </c>
      <c r="E7" s="4"/>
      <c r="F7" s="51" t="s">
        <v>384</v>
      </c>
    </row>
    <row r="8" spans="2:6" x14ac:dyDescent="0.25">
      <c r="B8" s="2"/>
      <c r="C8" s="3" t="s">
        <v>6</v>
      </c>
      <c r="D8" s="21" t="s">
        <v>385</v>
      </c>
      <c r="E8" s="4"/>
      <c r="F8" s="24"/>
    </row>
    <row r="9" spans="2:6" x14ac:dyDescent="0.25">
      <c r="C9" s="3" t="s">
        <v>7</v>
      </c>
      <c r="D9" s="21">
        <v>20</v>
      </c>
      <c r="E9" s="4"/>
    </row>
    <row r="10" spans="2:6" x14ac:dyDescent="0.25">
      <c r="C10" s="3" t="s">
        <v>8</v>
      </c>
      <c r="D10" s="21">
        <v>1</v>
      </c>
      <c r="E10" s="4"/>
      <c r="F10" t="s">
        <v>9</v>
      </c>
    </row>
    <row r="11" spans="2:6" ht="60" x14ac:dyDescent="0.25">
      <c r="C11" s="3" t="s">
        <v>10</v>
      </c>
      <c r="D11" s="21">
        <v>6</v>
      </c>
      <c r="E11" s="4"/>
      <c r="F11" s="52" t="s">
        <v>386</v>
      </c>
    </row>
    <row r="12" spans="2:6" x14ac:dyDescent="0.25">
      <c r="C12" s="3" t="s">
        <v>11</v>
      </c>
      <c r="D12" s="21" t="s">
        <v>387</v>
      </c>
      <c r="E12" s="4"/>
      <c r="F12" s="24"/>
    </row>
    <row r="13" spans="2:6" x14ac:dyDescent="0.25">
      <c r="C13" s="3" t="s">
        <v>12</v>
      </c>
      <c r="D13" s="21" t="s">
        <v>351</v>
      </c>
      <c r="E13" s="4"/>
      <c r="F13" s="24"/>
    </row>
    <row r="14" spans="2:6" x14ac:dyDescent="0.25">
      <c r="C14" s="3" t="s">
        <v>13</v>
      </c>
      <c r="D14" s="21" t="s">
        <v>352</v>
      </c>
      <c r="E14" s="4"/>
    </row>
    <row r="15" spans="2:6" x14ac:dyDescent="0.25">
      <c r="C15" s="3"/>
      <c r="D15" s="4"/>
      <c r="E15" s="4"/>
      <c r="F15" t="s">
        <v>14</v>
      </c>
    </row>
    <row r="16" spans="2:6" ht="60" x14ac:dyDescent="0.25">
      <c r="C16" s="3"/>
      <c r="D16" s="4"/>
      <c r="E16" s="4"/>
      <c r="F16" s="52" t="s">
        <v>388</v>
      </c>
    </row>
    <row r="17" spans="3:6" ht="75" x14ac:dyDescent="0.25">
      <c r="C17" s="5" t="s">
        <v>15</v>
      </c>
      <c r="D17" s="4"/>
      <c r="E17" s="4"/>
      <c r="F17" s="52" t="s">
        <v>389</v>
      </c>
    </row>
    <row r="18" spans="3:6" x14ac:dyDescent="0.25">
      <c r="C18" s="3" t="s">
        <v>16</v>
      </c>
      <c r="D18" s="1" t="s">
        <v>15</v>
      </c>
      <c r="E18" s="4"/>
      <c r="F18" s="24"/>
    </row>
    <row r="19" spans="3:6" x14ac:dyDescent="0.25">
      <c r="C19" s="3" t="s">
        <v>17</v>
      </c>
      <c r="D19" s="22">
        <v>22</v>
      </c>
      <c r="E19" s="4"/>
      <c r="F19" s="24"/>
    </row>
    <row r="20" spans="3:6" x14ac:dyDescent="0.25">
      <c r="C20" s="3" t="s">
        <v>18</v>
      </c>
      <c r="D20" s="22"/>
      <c r="E20" s="4"/>
      <c r="F20" s="24"/>
    </row>
    <row r="21" spans="3:6" x14ac:dyDescent="0.25">
      <c r="C21" s="3" t="s">
        <v>19</v>
      </c>
      <c r="D21" s="22">
        <v>16</v>
      </c>
      <c r="E21" s="4"/>
    </row>
    <row r="22" spans="3:6" x14ac:dyDescent="0.25">
      <c r="C22" s="3" t="s">
        <v>20</v>
      </c>
      <c r="D22" s="22">
        <v>6</v>
      </c>
      <c r="E22" s="4"/>
      <c r="F22" t="s">
        <v>21</v>
      </c>
    </row>
    <row r="23" spans="3:6" x14ac:dyDescent="0.25">
      <c r="C23" s="3" t="s">
        <v>22</v>
      </c>
      <c r="D23" s="22"/>
      <c r="E23" s="4"/>
      <c r="F23" s="51" t="s">
        <v>390</v>
      </c>
    </row>
    <row r="24" spans="3:6" x14ac:dyDescent="0.25">
      <c r="C24" s="3" t="s">
        <v>23</v>
      </c>
      <c r="D24" s="1">
        <f>SUM(D19:D23)</f>
        <v>44</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52" t="s">
        <v>391</v>
      </c>
      <c r="E29" s="4"/>
      <c r="F29" s="24"/>
    </row>
    <row r="30" spans="3:6" ht="60" x14ac:dyDescent="0.25">
      <c r="C30" s="3" t="s">
        <v>29</v>
      </c>
      <c r="D30" s="52" t="s">
        <v>392</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94</v>
      </c>
      <c r="E38" s="21" t="s">
        <v>393</v>
      </c>
      <c r="F38" s="21" t="s">
        <v>394</v>
      </c>
      <c r="G38" s="23">
        <v>0.6</v>
      </c>
      <c r="H38" s="21">
        <v>12</v>
      </c>
    </row>
    <row r="39" spans="3:8" x14ac:dyDescent="0.25">
      <c r="C39" s="3" t="s">
        <v>44</v>
      </c>
      <c r="D39" s="21" t="s">
        <v>41</v>
      </c>
      <c r="E39" s="21" t="s">
        <v>42</v>
      </c>
      <c r="F39" s="51" t="s">
        <v>395</v>
      </c>
      <c r="G39" s="23">
        <v>0.4</v>
      </c>
      <c r="H39" s="21" t="s">
        <v>396</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360</v>
      </c>
    </row>
    <row r="47" spans="3:8" x14ac:dyDescent="0.25">
      <c r="C47" s="25" t="s">
        <v>40</v>
      </c>
      <c r="D47" s="24" t="s">
        <v>28</v>
      </c>
      <c r="E47" s="24" t="s">
        <v>57</v>
      </c>
      <c r="F47" s="24" t="s">
        <v>78</v>
      </c>
    </row>
    <row r="48" spans="3:8" x14ac:dyDescent="0.25">
      <c r="C48" s="25" t="s">
        <v>40</v>
      </c>
      <c r="D48" s="24" t="s">
        <v>28</v>
      </c>
      <c r="E48" s="24" t="s">
        <v>102</v>
      </c>
      <c r="F48" s="24" t="s">
        <v>103</v>
      </c>
    </row>
    <row r="49" spans="2:6" x14ac:dyDescent="0.25">
      <c r="C49" s="25" t="s">
        <v>40</v>
      </c>
      <c r="D49" s="24" t="s">
        <v>28</v>
      </c>
      <c r="E49" s="24" t="s">
        <v>169</v>
      </c>
      <c r="F49" s="24" t="s">
        <v>170</v>
      </c>
    </row>
    <row r="50" spans="2:6" x14ac:dyDescent="0.25">
      <c r="C50" s="25" t="s">
        <v>40</v>
      </c>
      <c r="D50" s="24" t="s">
        <v>29</v>
      </c>
      <c r="E50" s="24" t="s">
        <v>53</v>
      </c>
      <c r="F50" s="24" t="s">
        <v>58</v>
      </c>
    </row>
    <row r="51" spans="2:6" x14ac:dyDescent="0.25">
      <c r="C51" s="25" t="s">
        <v>44</v>
      </c>
      <c r="D51" s="24" t="s">
        <v>28</v>
      </c>
      <c r="E51" s="24" t="s">
        <v>53</v>
      </c>
      <c r="F51" s="24" t="s">
        <v>54</v>
      </c>
    </row>
    <row r="52" spans="2:6" x14ac:dyDescent="0.25">
      <c r="C52" s="25" t="s">
        <v>44</v>
      </c>
      <c r="D52" s="24" t="s">
        <v>29</v>
      </c>
      <c r="E52" s="24" t="s">
        <v>55</v>
      </c>
      <c r="F52" s="24" t="s">
        <v>56</v>
      </c>
    </row>
    <row r="53" spans="2:6" x14ac:dyDescent="0.25">
      <c r="C53" s="25" t="s">
        <v>44</v>
      </c>
      <c r="D53" s="24" t="s">
        <v>29</v>
      </c>
      <c r="E53" s="24" t="s">
        <v>164</v>
      </c>
      <c r="F53" s="24" t="s">
        <v>165</v>
      </c>
    </row>
    <row r="54" spans="2:6" x14ac:dyDescent="0.25">
      <c r="C54" s="25"/>
      <c r="D54" s="24"/>
      <c r="E54" s="24"/>
      <c r="F54" s="24"/>
    </row>
    <row r="55" spans="2:6" x14ac:dyDescent="0.25">
      <c r="C55" s="25"/>
      <c r="D55" s="24"/>
      <c r="E55" s="24"/>
      <c r="F55" s="24"/>
    </row>
    <row r="56" spans="2:6" x14ac:dyDescent="0.25">
      <c r="C56" s="25"/>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47" t="s">
        <v>397</v>
      </c>
      <c r="E61" s="47" t="s">
        <v>398</v>
      </c>
      <c r="F61" s="21"/>
    </row>
    <row r="62" spans="2:6" x14ac:dyDescent="0.25">
      <c r="B62" s="7">
        <v>1</v>
      </c>
      <c r="C62" s="1">
        <v>2</v>
      </c>
      <c r="D62" s="47" t="s">
        <v>399</v>
      </c>
      <c r="E62" s="47" t="s">
        <v>400</v>
      </c>
      <c r="F62" s="21"/>
    </row>
    <row r="63" spans="2:6" x14ac:dyDescent="0.25">
      <c r="B63" s="7">
        <v>1</v>
      </c>
      <c r="C63" s="1">
        <v>3</v>
      </c>
      <c r="D63" s="47" t="s">
        <v>401</v>
      </c>
      <c r="E63" s="47" t="s">
        <v>402</v>
      </c>
      <c r="F63" s="21"/>
    </row>
    <row r="64" spans="2:6" x14ac:dyDescent="0.25">
      <c r="B64" s="7">
        <v>1</v>
      </c>
      <c r="C64" s="1">
        <v>4</v>
      </c>
      <c r="D64" s="47" t="s">
        <v>403</v>
      </c>
      <c r="E64" s="47" t="s">
        <v>402</v>
      </c>
      <c r="F64" s="21"/>
    </row>
    <row r="65" spans="2:6" x14ac:dyDescent="0.25">
      <c r="B65" s="7">
        <v>1</v>
      </c>
      <c r="C65" s="1">
        <v>5</v>
      </c>
      <c r="D65" s="47" t="s">
        <v>404</v>
      </c>
      <c r="E65" s="47" t="s">
        <v>405</v>
      </c>
      <c r="F65" s="21"/>
    </row>
    <row r="66" spans="2:6" ht="30" x14ac:dyDescent="0.25">
      <c r="B66" s="7">
        <v>1</v>
      </c>
      <c r="C66" s="1">
        <v>6</v>
      </c>
      <c r="D66" s="47" t="s">
        <v>406</v>
      </c>
      <c r="E66" s="47" t="s">
        <v>407</v>
      </c>
      <c r="F66" s="21"/>
    </row>
    <row r="67" spans="2:6" x14ac:dyDescent="0.25">
      <c r="B67" s="7">
        <v>1</v>
      </c>
      <c r="C67" s="1">
        <v>7</v>
      </c>
      <c r="D67" s="51" t="s">
        <v>408</v>
      </c>
      <c r="E67" s="53"/>
      <c r="F67" s="21"/>
    </row>
    <row r="68" spans="2:6" x14ac:dyDescent="0.25">
      <c r="B68" s="7">
        <v>1</v>
      </c>
      <c r="C68" s="1">
        <v>8</v>
      </c>
      <c r="D68" s="47" t="s">
        <v>409</v>
      </c>
      <c r="E68" s="47" t="s">
        <v>410</v>
      </c>
      <c r="F68" s="21"/>
    </row>
    <row r="69" spans="2:6" x14ac:dyDescent="0.25">
      <c r="B69" s="7">
        <v>1</v>
      </c>
      <c r="C69" s="1">
        <v>9</v>
      </c>
      <c r="D69" s="47" t="s">
        <v>411</v>
      </c>
      <c r="E69" s="47" t="s">
        <v>412</v>
      </c>
      <c r="F69" s="21"/>
    </row>
    <row r="70" spans="2:6" x14ac:dyDescent="0.25">
      <c r="B70" s="7">
        <v>1</v>
      </c>
      <c r="C70" s="1">
        <v>10</v>
      </c>
      <c r="D70" s="47" t="s">
        <v>413</v>
      </c>
      <c r="E70" s="47" t="s">
        <v>414</v>
      </c>
      <c r="F70" s="21"/>
    </row>
    <row r="71" spans="2:6" x14ac:dyDescent="0.25">
      <c r="B71" s="7">
        <v>1</v>
      </c>
      <c r="C71" s="1">
        <v>11</v>
      </c>
      <c r="D71" s="47" t="s">
        <v>415</v>
      </c>
      <c r="E71" s="47" t="s">
        <v>414</v>
      </c>
      <c r="F71" s="21"/>
    </row>
    <row r="72" spans="2:6" x14ac:dyDescent="0.25">
      <c r="B72" s="7">
        <v>1</v>
      </c>
      <c r="C72" s="1">
        <v>12</v>
      </c>
      <c r="D72" s="47" t="s">
        <v>416</v>
      </c>
      <c r="E72" s="47" t="s">
        <v>417</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5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D46:D56</xm:sqref>
        </x14:dataValidation>
        <x14:dataValidation type="list" allowBlank="1" showInputMessage="1" showErrorMessage="1" xr:uid="{3FF3E335-6CDA-4C7D-A2EC-D67506BB8937}">
          <x14:formula1>
            <xm:f>LISTS!$J$7:$J$16</xm:f>
          </x14:formula1>
          <xm:sqref>E46:E56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84"/>
  <sheetViews>
    <sheetView showGridLines="0" topLeftCell="B1" zoomScale="85" zoomScaleNormal="85" workbookViewId="0">
      <selection activeCell="F54" sqref="F54"/>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6</v>
      </c>
      <c r="E8" s="4"/>
      <c r="F8" s="24"/>
    </row>
    <row r="9" spans="2:6" x14ac:dyDescent="0.25">
      <c r="C9" s="3" t="s">
        <v>7</v>
      </c>
      <c r="D9" s="21"/>
      <c r="E9" s="4"/>
    </row>
    <row r="10" spans="2:6" x14ac:dyDescent="0.25">
      <c r="C10" s="3" t="s">
        <v>8</v>
      </c>
      <c r="D10" s="21"/>
      <c r="E10" s="4"/>
      <c r="F10" t="s">
        <v>9</v>
      </c>
    </row>
    <row r="11" spans="2:6" x14ac:dyDescent="0.25">
      <c r="C11" s="3" t="s">
        <v>10</v>
      </c>
      <c r="D11" s="21"/>
      <c r="E11" s="4"/>
      <c r="F11" s="24"/>
    </row>
    <row r="12" spans="2:6" x14ac:dyDescent="0.25">
      <c r="C12" s="3" t="s">
        <v>11</v>
      </c>
      <c r="D12" s="21"/>
      <c r="E12" s="4"/>
      <c r="F12" s="24"/>
    </row>
    <row r="13" spans="2:6" x14ac:dyDescent="0.25">
      <c r="C13" s="3" t="s">
        <v>12</v>
      </c>
      <c r="D13" s="21"/>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c r="E39" s="21"/>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2:6" x14ac:dyDescent="0.25">
      <c r="C49" s="25" t="s">
        <v>44</v>
      </c>
      <c r="D49" s="24" t="s">
        <v>29</v>
      </c>
      <c r="E49" s="24" t="s">
        <v>55</v>
      </c>
      <c r="F49" s="24" t="s">
        <v>56</v>
      </c>
    </row>
    <row r="50" spans="2:6" x14ac:dyDescent="0.25">
      <c r="C50" s="25" t="s">
        <v>44</v>
      </c>
      <c r="D50" s="24" t="s">
        <v>29</v>
      </c>
      <c r="E50" s="24" t="s">
        <v>57</v>
      </c>
      <c r="F50" s="24" t="s">
        <v>58</v>
      </c>
    </row>
    <row r="51" spans="2:6" x14ac:dyDescent="0.25">
      <c r="C51" s="25" t="s">
        <v>44</v>
      </c>
      <c r="D51" s="24"/>
      <c r="E51" s="24"/>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65</v>
      </c>
      <c r="E61" s="21"/>
      <c r="F61" s="21"/>
    </row>
    <row r="62" spans="2:6" x14ac:dyDescent="0.25">
      <c r="B62" s="7">
        <v>1</v>
      </c>
      <c r="C62" s="1">
        <v>2</v>
      </c>
      <c r="D62" s="21" t="s">
        <v>66</v>
      </c>
      <c r="E62" s="21" t="s">
        <v>67</v>
      </c>
      <c r="F62" s="21" t="s">
        <v>18</v>
      </c>
    </row>
    <row r="63" spans="2:6" x14ac:dyDescent="0.25">
      <c r="B63" s="7">
        <v>1</v>
      </c>
      <c r="C63" s="1">
        <v>3</v>
      </c>
      <c r="D63" s="21" t="s">
        <v>68</v>
      </c>
      <c r="E63" s="21"/>
      <c r="F63" s="21"/>
    </row>
    <row r="64" spans="2:6" x14ac:dyDescent="0.25">
      <c r="B64" s="7">
        <v>1</v>
      </c>
      <c r="C64" s="1">
        <v>4</v>
      </c>
      <c r="D64" s="21" t="s">
        <v>69</v>
      </c>
      <c r="E64" s="21" t="s">
        <v>70</v>
      </c>
      <c r="F64" s="21" t="s">
        <v>18</v>
      </c>
    </row>
    <row r="65" spans="2:6" x14ac:dyDescent="0.25">
      <c r="B65" s="7">
        <v>1</v>
      </c>
      <c r="C65" s="1">
        <v>5</v>
      </c>
      <c r="D65" s="21" t="s">
        <v>71</v>
      </c>
      <c r="E65" s="21"/>
      <c r="F65" s="21"/>
    </row>
    <row r="66" spans="2:6" x14ac:dyDescent="0.25">
      <c r="B66" s="7">
        <v>1</v>
      </c>
      <c r="C66" s="1">
        <v>6</v>
      </c>
      <c r="D66" s="21" t="s">
        <v>72</v>
      </c>
      <c r="E66" s="21"/>
      <c r="F66" s="21" t="s">
        <v>18</v>
      </c>
    </row>
    <row r="67" spans="2:6" x14ac:dyDescent="0.25">
      <c r="B67" s="7">
        <v>1</v>
      </c>
      <c r="C67" s="1">
        <v>7</v>
      </c>
      <c r="D67" s="21" t="s">
        <v>73</v>
      </c>
      <c r="E67" s="21"/>
      <c r="F67" s="21"/>
    </row>
    <row r="68" spans="2:6" x14ac:dyDescent="0.25">
      <c r="B68" s="7">
        <v>1</v>
      </c>
      <c r="C68" s="1">
        <v>8</v>
      </c>
      <c r="D68" s="21" t="s">
        <v>74</v>
      </c>
      <c r="E68" s="21"/>
      <c r="F68" s="21" t="s">
        <v>18</v>
      </c>
    </row>
    <row r="69" spans="2:6" x14ac:dyDescent="0.25">
      <c r="B69" s="7">
        <v>1</v>
      </c>
      <c r="C69" s="1">
        <v>9</v>
      </c>
      <c r="D69" s="21" t="s">
        <v>75</v>
      </c>
      <c r="E69" s="21"/>
      <c r="F69" s="21"/>
    </row>
    <row r="70" spans="2:6" x14ac:dyDescent="0.25">
      <c r="B70" s="7">
        <v>1</v>
      </c>
      <c r="C70" s="1">
        <v>10</v>
      </c>
      <c r="D70" s="21" t="s">
        <v>76</v>
      </c>
      <c r="E70" s="21" t="s">
        <v>77</v>
      </c>
      <c r="F70" s="21" t="s">
        <v>18</v>
      </c>
    </row>
    <row r="71" spans="2:6" x14ac:dyDescent="0.25">
      <c r="B71" s="7">
        <v>1</v>
      </c>
      <c r="C71" s="1">
        <v>11</v>
      </c>
      <c r="D71" s="21" t="s">
        <v>78</v>
      </c>
      <c r="E71" s="21"/>
      <c r="F71" s="21"/>
    </row>
    <row r="72" spans="2:6" x14ac:dyDescent="0.25">
      <c r="B72" s="7">
        <v>1</v>
      </c>
      <c r="C72" s="1">
        <v>12</v>
      </c>
      <c r="D72" s="21" t="s">
        <v>79</v>
      </c>
      <c r="E72" s="21"/>
      <c r="F72" s="21" t="s">
        <v>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E46:E56</xm:sqref>
        </x14:dataValidation>
        <x14:dataValidation type="list" allowBlank="1" showInputMessage="1" showErrorMessage="1" xr:uid="{EF051E7F-6115-4109-B4BA-E4BFB9CEC040}">
          <x14:formula1>
            <xm:f>LISTS!$E$7:$E$11</xm:f>
          </x14:formula1>
          <xm:sqref>D46:D56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84"/>
  <sheetViews>
    <sheetView showGridLines="0" topLeftCell="B1" zoomScale="85" zoomScaleNormal="85" workbookViewId="0">
      <selection activeCell="E83" sqref="E83"/>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SEM401</v>
      </c>
      <c r="D2" s="20"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630</v>
      </c>
      <c r="E8" s="4"/>
      <c r="F8" s="24"/>
    </row>
    <row r="9" spans="2:6" x14ac:dyDescent="0.25">
      <c r="C9" s="3" t="s">
        <v>7</v>
      </c>
      <c r="D9" s="21">
        <v>20</v>
      </c>
      <c r="E9" s="4"/>
    </row>
    <row r="10" spans="2:6" x14ac:dyDescent="0.25">
      <c r="C10" s="3" t="s">
        <v>8</v>
      </c>
      <c r="D10" s="21">
        <v>1</v>
      </c>
      <c r="E10" s="4"/>
      <c r="F10" t="s">
        <v>9</v>
      </c>
    </row>
    <row r="11" spans="2:6" x14ac:dyDescent="0.25">
      <c r="C11" s="3" t="s">
        <v>10</v>
      </c>
      <c r="D11" s="21">
        <v>4</v>
      </c>
      <c r="E11" s="4"/>
      <c r="F11" s="24"/>
    </row>
    <row r="12" spans="2:6" x14ac:dyDescent="0.25">
      <c r="C12" s="3" t="s">
        <v>11</v>
      </c>
      <c r="D12" s="21" t="s">
        <v>631</v>
      </c>
      <c r="E12" s="4"/>
      <c r="F12" s="24"/>
    </row>
    <row r="13" spans="2:6" x14ac:dyDescent="0.25">
      <c r="C13" s="3" t="s">
        <v>12</v>
      </c>
      <c r="D13" s="21" t="s">
        <v>87</v>
      </c>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12</v>
      </c>
      <c r="E20" s="4"/>
      <c r="F20" s="24"/>
    </row>
    <row r="21" spans="3:6" x14ac:dyDescent="0.25">
      <c r="C21" s="3" t="s">
        <v>19</v>
      </c>
      <c r="D21" s="22">
        <v>6</v>
      </c>
      <c r="E21" s="4"/>
    </row>
    <row r="22" spans="3:6" x14ac:dyDescent="0.25">
      <c r="C22" s="3" t="s">
        <v>20</v>
      </c>
      <c r="D22" s="22">
        <v>6</v>
      </c>
      <c r="E22" s="4"/>
      <c r="F22" t="s">
        <v>21</v>
      </c>
    </row>
    <row r="23" spans="3:6" x14ac:dyDescent="0.25">
      <c r="C23" s="3" t="s">
        <v>22</v>
      </c>
      <c r="D23" s="22">
        <v>0</v>
      </c>
      <c r="E23" s="4"/>
      <c r="F23" s="24"/>
    </row>
    <row r="24" spans="3:6" x14ac:dyDescent="0.25">
      <c r="C24" s="3" t="s">
        <v>23</v>
      </c>
      <c r="D24" s="1">
        <f>SUM(D19:D23)</f>
        <v>46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t="s">
        <v>632</v>
      </c>
      <c r="E29" s="4"/>
      <c r="F29" s="24"/>
    </row>
    <row r="30" spans="3:6" x14ac:dyDescent="0.25">
      <c r="C30" s="3" t="s">
        <v>29</v>
      </c>
      <c r="D30" s="21" t="s">
        <v>633</v>
      </c>
      <c r="E30" s="4"/>
      <c r="F30" s="24"/>
    </row>
    <row r="31" spans="3:6" x14ac:dyDescent="0.25">
      <c r="C31" s="3" t="s">
        <v>30</v>
      </c>
      <c r="D31" s="21" t="s">
        <v>634</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t="s">
        <v>97</v>
      </c>
      <c r="E39" s="21" t="s">
        <v>98</v>
      </c>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2:6" x14ac:dyDescent="0.25">
      <c r="C49" s="25" t="s">
        <v>44</v>
      </c>
      <c r="D49" s="24" t="s">
        <v>29</v>
      </c>
      <c r="E49" s="24" t="s">
        <v>55</v>
      </c>
      <c r="F49" s="24" t="s">
        <v>56</v>
      </c>
    </row>
    <row r="50" spans="2:6" x14ac:dyDescent="0.25">
      <c r="C50" s="25" t="s">
        <v>44</v>
      </c>
      <c r="D50" s="24" t="s">
        <v>29</v>
      </c>
      <c r="E50" s="24" t="s">
        <v>57</v>
      </c>
      <c r="F50" s="24" t="s">
        <v>58</v>
      </c>
    </row>
    <row r="51" spans="2:6" x14ac:dyDescent="0.25">
      <c r="C51" s="25" t="s">
        <v>44</v>
      </c>
      <c r="D51" s="24"/>
      <c r="E51" s="24" t="s">
        <v>55</v>
      </c>
      <c r="F51" s="24"/>
    </row>
    <row r="52" spans="2:6" x14ac:dyDescent="0.25">
      <c r="C52" s="25" t="s">
        <v>45</v>
      </c>
      <c r="D52" s="24"/>
      <c r="E52" s="24"/>
      <c r="F52" s="24"/>
    </row>
    <row r="53" spans="2:6" x14ac:dyDescent="0.25">
      <c r="C53" s="25" t="s">
        <v>45</v>
      </c>
      <c r="D53" s="24"/>
      <c r="E53" s="24"/>
      <c r="F53" s="24"/>
    </row>
    <row r="54" spans="2:6" x14ac:dyDescent="0.25">
      <c r="C54" s="25" t="s">
        <v>45</v>
      </c>
      <c r="D54" s="24"/>
      <c r="E54" s="24"/>
      <c r="F54" s="24"/>
    </row>
    <row r="55" spans="2:6" x14ac:dyDescent="0.25">
      <c r="C55" s="25" t="s">
        <v>46</v>
      </c>
      <c r="D55" s="24"/>
      <c r="E55" s="24"/>
      <c r="F55" s="24"/>
    </row>
    <row r="56" spans="2:6" x14ac:dyDescent="0.25">
      <c r="C56" s="25" t="s">
        <v>46</v>
      </c>
      <c r="D56" s="24"/>
      <c r="E56" s="24"/>
      <c r="F56" s="24"/>
    </row>
    <row r="59" spans="2:6" ht="18.75" x14ac:dyDescent="0.25">
      <c r="C59" s="5" t="s">
        <v>59</v>
      </c>
    </row>
    <row r="60" spans="2:6" x14ac:dyDescent="0.25">
      <c r="B60" t="s">
        <v>60</v>
      </c>
      <c r="C60" s="1" t="s">
        <v>61</v>
      </c>
      <c r="D60" s="1" t="s">
        <v>62</v>
      </c>
      <c r="E60" s="1" t="s">
        <v>63</v>
      </c>
      <c r="F60" s="1" t="s">
        <v>64</v>
      </c>
    </row>
    <row r="61" spans="2:6" x14ac:dyDescent="0.25">
      <c r="B61" s="7">
        <v>1</v>
      </c>
      <c r="C61" s="1">
        <v>1</v>
      </c>
      <c r="D61" s="21" t="s">
        <v>65</v>
      </c>
      <c r="E61" s="21"/>
      <c r="F61" s="21"/>
    </row>
    <row r="62" spans="2:6" x14ac:dyDescent="0.25">
      <c r="B62" s="7">
        <v>1</v>
      </c>
      <c r="C62" s="1">
        <v>2</v>
      </c>
      <c r="D62" s="21" t="s">
        <v>66</v>
      </c>
      <c r="E62" s="21" t="s">
        <v>67</v>
      </c>
      <c r="F62" s="21" t="s">
        <v>18</v>
      </c>
    </row>
    <row r="63" spans="2:6" x14ac:dyDescent="0.25">
      <c r="B63" s="7">
        <v>1</v>
      </c>
      <c r="C63" s="1">
        <v>3</v>
      </c>
      <c r="D63" s="21" t="s">
        <v>68</v>
      </c>
      <c r="E63" s="21"/>
      <c r="F63" s="21"/>
    </row>
    <row r="64" spans="2:6" x14ac:dyDescent="0.25">
      <c r="B64" s="7">
        <v>1</v>
      </c>
      <c r="C64" s="1">
        <v>4</v>
      </c>
      <c r="D64" s="21" t="s">
        <v>69</v>
      </c>
      <c r="E64" s="21" t="s">
        <v>70</v>
      </c>
      <c r="F64" s="21" t="s">
        <v>18</v>
      </c>
    </row>
    <row r="65" spans="2:6" x14ac:dyDescent="0.25">
      <c r="B65" s="7">
        <v>1</v>
      </c>
      <c r="C65" s="1">
        <v>5</v>
      </c>
      <c r="D65" s="21" t="s">
        <v>71</v>
      </c>
      <c r="E65" s="21"/>
      <c r="F65" s="21"/>
    </row>
    <row r="66" spans="2:6" x14ac:dyDescent="0.25">
      <c r="B66" s="7">
        <v>1</v>
      </c>
      <c r="C66" s="1">
        <v>6</v>
      </c>
      <c r="D66" s="21" t="s">
        <v>72</v>
      </c>
      <c r="E66" s="21"/>
      <c r="F66" s="21" t="s">
        <v>18</v>
      </c>
    </row>
    <row r="67" spans="2:6" x14ac:dyDescent="0.25">
      <c r="B67" s="7">
        <v>1</v>
      </c>
      <c r="C67" s="1">
        <v>7</v>
      </c>
      <c r="D67" s="21" t="s">
        <v>73</v>
      </c>
      <c r="E67" s="21"/>
      <c r="F67" s="21"/>
    </row>
    <row r="68" spans="2:6" x14ac:dyDescent="0.25">
      <c r="B68" s="7">
        <v>1</v>
      </c>
      <c r="C68" s="1">
        <v>8</v>
      </c>
      <c r="D68" s="21" t="s">
        <v>74</v>
      </c>
      <c r="E68" s="21"/>
      <c r="F68" s="21" t="s">
        <v>18</v>
      </c>
    </row>
    <row r="69" spans="2:6" x14ac:dyDescent="0.25">
      <c r="B69" s="7">
        <v>1</v>
      </c>
      <c r="C69" s="1">
        <v>9</v>
      </c>
      <c r="D69" s="21" t="s">
        <v>75</v>
      </c>
      <c r="E69" s="21"/>
      <c r="F69" s="21"/>
    </row>
    <row r="70" spans="2:6" x14ac:dyDescent="0.25">
      <c r="B70" s="7">
        <v>1</v>
      </c>
      <c r="C70" s="1">
        <v>10</v>
      </c>
      <c r="D70" s="21" t="s">
        <v>76</v>
      </c>
      <c r="E70" s="21" t="s">
        <v>77</v>
      </c>
      <c r="F70" s="21" t="s">
        <v>18</v>
      </c>
    </row>
    <row r="71" spans="2:6" x14ac:dyDescent="0.25">
      <c r="B71" s="7">
        <v>1</v>
      </c>
      <c r="C71" s="1">
        <v>11</v>
      </c>
      <c r="D71" s="21" t="s">
        <v>78</v>
      </c>
      <c r="E71" s="21"/>
      <c r="F71" s="21"/>
    </row>
    <row r="72" spans="2:6" x14ac:dyDescent="0.25">
      <c r="B72" s="7">
        <v>1</v>
      </c>
      <c r="C72" s="1">
        <v>12</v>
      </c>
      <c r="D72" s="21" t="s">
        <v>79</v>
      </c>
      <c r="E72" s="21"/>
      <c r="F72" s="21" t="s">
        <v>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phoneticPr fontId="2" type="noConversion"/>
  <dataValidations count="4">
    <dataValidation type="list" allowBlank="1" showInputMessage="1" showErrorMessage="1" sqref="F46:F5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E46:E56</xm:sqref>
        </x14:dataValidation>
        <x14:dataValidation type="list" allowBlank="1" showInputMessage="1" showErrorMessage="1" xr:uid="{44D1F96B-AB6E-4E58-B489-7D973FD9CD46}">
          <x14:formula1>
            <xm:f>LISTS!$E$7:$E$11</xm:f>
          </x14:formula1>
          <xm:sqref>D46:D56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workbookViewId="0">
      <selection activeCell="P9" sqref="P9"/>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635</v>
      </c>
      <c r="E4" t="s">
        <v>636</v>
      </c>
      <c r="G4" t="s">
        <v>636</v>
      </c>
      <c r="J4" t="s">
        <v>637</v>
      </c>
    </row>
    <row r="7" spans="3:10" ht="15.75" customHeight="1" x14ac:dyDescent="0.25">
      <c r="C7" s="7">
        <v>1</v>
      </c>
      <c r="E7" t="s">
        <v>28</v>
      </c>
      <c r="G7" t="s">
        <v>253</v>
      </c>
      <c r="J7" t="s">
        <v>50</v>
      </c>
    </row>
    <row r="8" spans="3:10" x14ac:dyDescent="0.25">
      <c r="C8" s="7">
        <v>2</v>
      </c>
      <c r="E8" t="s">
        <v>29</v>
      </c>
      <c r="G8" t="s">
        <v>97</v>
      </c>
      <c r="J8" t="s">
        <v>57</v>
      </c>
    </row>
    <row r="9" spans="3:10" x14ac:dyDescent="0.25">
      <c r="C9" s="7" t="s">
        <v>328</v>
      </c>
      <c r="E9" t="s">
        <v>30</v>
      </c>
      <c r="G9" t="s">
        <v>41</v>
      </c>
      <c r="J9" t="s">
        <v>53</v>
      </c>
    </row>
    <row r="10" spans="3:10" x14ac:dyDescent="0.25">
      <c r="E10" t="s">
        <v>31</v>
      </c>
      <c r="G10" t="s">
        <v>19</v>
      </c>
      <c r="J10" t="s">
        <v>102</v>
      </c>
    </row>
    <row r="11" spans="3:10" x14ac:dyDescent="0.25">
      <c r="C11" s="7">
        <v>3</v>
      </c>
      <c r="E11" t="s">
        <v>32</v>
      </c>
      <c r="G11" t="s">
        <v>94</v>
      </c>
      <c r="J11" t="s">
        <v>105</v>
      </c>
    </row>
    <row r="12" spans="3:10" x14ac:dyDescent="0.25">
      <c r="C12" s="7">
        <v>4</v>
      </c>
      <c r="J12" t="s">
        <v>55</v>
      </c>
    </row>
    <row r="13" spans="3:10" x14ac:dyDescent="0.25">
      <c r="C13" s="7">
        <v>5</v>
      </c>
      <c r="J13" t="s">
        <v>169</v>
      </c>
    </row>
    <row r="14" spans="3:10" x14ac:dyDescent="0.25">
      <c r="C14" s="7">
        <v>6</v>
      </c>
      <c r="G14" t="s">
        <v>36</v>
      </c>
      <c r="J14" t="s">
        <v>164</v>
      </c>
    </row>
    <row r="15" spans="3:10" x14ac:dyDescent="0.25">
      <c r="C15" s="7">
        <v>7</v>
      </c>
      <c r="G15" t="s">
        <v>95</v>
      </c>
      <c r="J15" t="s">
        <v>424</v>
      </c>
    </row>
    <row r="16" spans="3:10" x14ac:dyDescent="0.25">
      <c r="G16" t="s">
        <v>358</v>
      </c>
      <c r="J16" t="s">
        <v>306</v>
      </c>
    </row>
    <row r="17" spans="3:20" x14ac:dyDescent="0.25">
      <c r="C17" t="s">
        <v>200</v>
      </c>
      <c r="G17" t="s">
        <v>341</v>
      </c>
    </row>
    <row r="18" spans="3:20" x14ac:dyDescent="0.25">
      <c r="C18" t="s">
        <v>638</v>
      </c>
      <c r="G18" t="s">
        <v>418</v>
      </c>
    </row>
    <row r="19" spans="3:20" x14ac:dyDescent="0.25">
      <c r="C19" t="s">
        <v>331</v>
      </c>
      <c r="G19" t="s">
        <v>42</v>
      </c>
      <c r="J19" t="s">
        <v>639</v>
      </c>
      <c r="K19" t="s">
        <v>640</v>
      </c>
    </row>
    <row r="20" spans="3:20" x14ac:dyDescent="0.25">
      <c r="C20" t="s">
        <v>641</v>
      </c>
      <c r="G20" t="s">
        <v>206</v>
      </c>
      <c r="J20" t="s">
        <v>50</v>
      </c>
      <c r="K20" t="s">
        <v>100</v>
      </c>
      <c r="O20" s="9" t="s">
        <v>642</v>
      </c>
      <c r="S20" s="14" t="s">
        <v>643</v>
      </c>
      <c r="T20" s="15" t="s">
        <v>644</v>
      </c>
    </row>
    <row r="21" spans="3:20" x14ac:dyDescent="0.25">
      <c r="C21" t="s">
        <v>351</v>
      </c>
      <c r="G21" t="s">
        <v>591</v>
      </c>
      <c r="J21" t="s">
        <v>50</v>
      </c>
      <c r="K21" t="s">
        <v>52</v>
      </c>
      <c r="O21" t="str" cm="1">
        <f t="array" ref="O21:O26">_xlfn._xlws.FILTER(LISTS_Table[Skill],LISTS_Table[Category]="Scientific Knowledge")</f>
        <v>Critical thinking</v>
      </c>
      <c r="S21" s="16" t="s">
        <v>50</v>
      </c>
      <c r="T21" s="17" t="s">
        <v>645</v>
      </c>
    </row>
    <row r="22" spans="3:20" x14ac:dyDescent="0.25">
      <c r="C22" t="s">
        <v>87</v>
      </c>
      <c r="G22" t="s">
        <v>393</v>
      </c>
      <c r="J22" t="s">
        <v>50</v>
      </c>
      <c r="K22" t="s">
        <v>51</v>
      </c>
      <c r="O22" t="str">
        <v>Scientific literacy</v>
      </c>
      <c r="S22" s="18" t="s">
        <v>57</v>
      </c>
      <c r="T22" s="19" t="s">
        <v>646</v>
      </c>
    </row>
    <row r="23" spans="3:20" x14ac:dyDescent="0.25">
      <c r="G23" t="s">
        <v>159</v>
      </c>
      <c r="J23" t="s">
        <v>50</v>
      </c>
      <c r="K23" t="s">
        <v>162</v>
      </c>
      <c r="O23" t="str">
        <v>Information retrieval</v>
      </c>
      <c r="S23" s="16" t="s">
        <v>53</v>
      </c>
      <c r="T23" s="17" t="s">
        <v>647</v>
      </c>
    </row>
    <row r="24" spans="3:20" x14ac:dyDescent="0.25">
      <c r="G24" t="s">
        <v>648</v>
      </c>
      <c r="J24" t="s">
        <v>50</v>
      </c>
      <c r="K24" t="s">
        <v>360</v>
      </c>
      <c r="O24" t="str">
        <v>Knowledge synthesis</v>
      </c>
      <c r="S24" s="18" t="s">
        <v>102</v>
      </c>
      <c r="T24" s="19" t="s">
        <v>649</v>
      </c>
    </row>
    <row r="25" spans="3:20" x14ac:dyDescent="0.25">
      <c r="G25" t="s">
        <v>207</v>
      </c>
      <c r="J25" t="s">
        <v>50</v>
      </c>
      <c r="K25" t="s">
        <v>258</v>
      </c>
      <c r="O25" t="str">
        <v>Domian-specfic analytical skills</v>
      </c>
      <c r="S25" s="16" t="s">
        <v>105</v>
      </c>
      <c r="T25" s="17" t="s">
        <v>650</v>
      </c>
    </row>
    <row r="26" spans="3:20" x14ac:dyDescent="0.25">
      <c r="C26" t="s">
        <v>651</v>
      </c>
      <c r="G26" t="s">
        <v>652</v>
      </c>
      <c r="J26" t="s">
        <v>57</v>
      </c>
      <c r="K26" t="s">
        <v>490</v>
      </c>
      <c r="O26" t="str">
        <v>Evidence evaluation</v>
      </c>
      <c r="S26" s="18" t="s">
        <v>55</v>
      </c>
      <c r="T26" s="19" t="s">
        <v>55</v>
      </c>
    </row>
    <row r="27" spans="3:20" x14ac:dyDescent="0.25">
      <c r="C27" t="s">
        <v>653</v>
      </c>
      <c r="G27" t="s">
        <v>157</v>
      </c>
      <c r="J27" t="s">
        <v>57</v>
      </c>
      <c r="K27" t="s">
        <v>101</v>
      </c>
      <c r="S27" s="16" t="s">
        <v>169</v>
      </c>
      <c r="T27" s="17" t="s">
        <v>654</v>
      </c>
    </row>
    <row r="28" spans="3:20" x14ac:dyDescent="0.25">
      <c r="C28" t="s">
        <v>201</v>
      </c>
      <c r="G28" t="s">
        <v>98</v>
      </c>
      <c r="J28" t="s">
        <v>57</v>
      </c>
      <c r="K28" t="s">
        <v>78</v>
      </c>
      <c r="O28" s="6" t="s">
        <v>655</v>
      </c>
      <c r="S28" s="18" t="s">
        <v>164</v>
      </c>
      <c r="T28" s="19" t="s">
        <v>656</v>
      </c>
    </row>
    <row r="29" spans="3:20" x14ac:dyDescent="0.25">
      <c r="C29" t="s">
        <v>657</v>
      </c>
      <c r="J29" t="s">
        <v>57</v>
      </c>
      <c r="K29" t="s">
        <v>526</v>
      </c>
      <c r="O29" t="str" cm="1">
        <f t="array" ref="O29:O34">_xlfn._xlws.FILTER(LISTS_Table[Skill],LISTS_Table[Category]="Technical Skills")</f>
        <v>Laboratory/clinical techniques</v>
      </c>
      <c r="S29" s="16" t="s">
        <v>424</v>
      </c>
      <c r="T29" s="17" t="s">
        <v>658</v>
      </c>
    </row>
    <row r="30" spans="3:20" x14ac:dyDescent="0.25">
      <c r="C30" t="s">
        <v>659</v>
      </c>
      <c r="J30" t="s">
        <v>57</v>
      </c>
      <c r="K30" t="s">
        <v>58</v>
      </c>
      <c r="O30" t="str">
        <v>Data collection</v>
      </c>
      <c r="S30" s="13" t="s">
        <v>306</v>
      </c>
      <c r="T30" s="11" t="s">
        <v>660</v>
      </c>
    </row>
    <row r="31" spans="3:20" x14ac:dyDescent="0.25">
      <c r="C31" t="s">
        <v>661</v>
      </c>
      <c r="J31" t="s">
        <v>57</v>
      </c>
      <c r="K31" t="s">
        <v>344</v>
      </c>
      <c r="O31" t="str">
        <v>Data analysis</v>
      </c>
    </row>
    <row r="32" spans="3:20" x14ac:dyDescent="0.25">
      <c r="C32" t="s">
        <v>89</v>
      </c>
      <c r="J32" t="s">
        <v>53</v>
      </c>
      <c r="K32" t="s">
        <v>54</v>
      </c>
      <c r="O32" t="str">
        <v>Digital literacy</v>
      </c>
    </row>
    <row r="33" spans="3:15" x14ac:dyDescent="0.25">
      <c r="C33" t="s">
        <v>519</v>
      </c>
      <c r="J33" t="s">
        <v>53</v>
      </c>
      <c r="K33" t="s">
        <v>662</v>
      </c>
      <c r="O33" t="str">
        <v>Equipment and technology utilisation</v>
      </c>
    </row>
    <row r="34" spans="3:15" x14ac:dyDescent="0.25">
      <c r="C34" t="s">
        <v>352</v>
      </c>
      <c r="J34" t="s">
        <v>53</v>
      </c>
      <c r="K34" t="s">
        <v>161</v>
      </c>
      <c r="O34" t="str">
        <v>Technical proficiency</v>
      </c>
    </row>
    <row r="35" spans="3:15" x14ac:dyDescent="0.25">
      <c r="C35" t="s">
        <v>663</v>
      </c>
      <c r="J35" t="s">
        <v>53</v>
      </c>
      <c r="K35" t="s">
        <v>107</v>
      </c>
    </row>
    <row r="36" spans="3:15" x14ac:dyDescent="0.25">
      <c r="C36" t="s">
        <v>664</v>
      </c>
      <c r="J36" t="s">
        <v>53</v>
      </c>
      <c r="K36" t="s">
        <v>361</v>
      </c>
      <c r="O36" s="9" t="s">
        <v>665</v>
      </c>
    </row>
    <row r="37" spans="3:15" x14ac:dyDescent="0.25">
      <c r="C37" t="s">
        <v>151</v>
      </c>
      <c r="J37" t="s">
        <v>53</v>
      </c>
      <c r="K37" t="s">
        <v>345</v>
      </c>
      <c r="O37" t="str" cm="1">
        <f t="array" ref="O37:O42">_xlfn._xlws.FILTER(LISTS_Table[Skill],LISTS_Table[Category]="Application of Knowledge and skills")</f>
        <v>Decision-making</v>
      </c>
    </row>
    <row r="38" spans="3:15" x14ac:dyDescent="0.25">
      <c r="J38" t="s">
        <v>102</v>
      </c>
      <c r="K38" t="s">
        <v>666</v>
      </c>
      <c r="O38" t="str">
        <v>Translational practice</v>
      </c>
    </row>
    <row r="39" spans="3:15" x14ac:dyDescent="0.25">
      <c r="J39" t="s">
        <v>102</v>
      </c>
      <c r="K39" t="s">
        <v>230</v>
      </c>
      <c r="O39" t="str">
        <v>Contextual application</v>
      </c>
    </row>
    <row r="40" spans="3:15" x14ac:dyDescent="0.25">
      <c r="J40" t="s">
        <v>102</v>
      </c>
      <c r="K40" t="s">
        <v>260</v>
      </c>
      <c r="O40" t="str">
        <v>Professional judgement</v>
      </c>
    </row>
    <row r="41" spans="3:15" x14ac:dyDescent="0.25">
      <c r="J41" t="s">
        <v>102</v>
      </c>
      <c r="K41" t="s">
        <v>103</v>
      </c>
      <c r="O41" t="str">
        <v>Adaptability</v>
      </c>
    </row>
    <row r="42" spans="3:15" x14ac:dyDescent="0.25">
      <c r="J42" t="s">
        <v>102</v>
      </c>
      <c r="K42" t="s">
        <v>419</v>
      </c>
      <c r="O42" t="str">
        <v>Risk assessment</v>
      </c>
    </row>
    <row r="43" spans="3:15" x14ac:dyDescent="0.25">
      <c r="J43" t="s">
        <v>102</v>
      </c>
      <c r="K43" t="s">
        <v>667</v>
      </c>
    </row>
    <row r="44" spans="3:15" x14ac:dyDescent="0.25">
      <c r="J44" t="s">
        <v>105</v>
      </c>
      <c r="K44" t="s">
        <v>106</v>
      </c>
      <c r="O44" s="8" t="s">
        <v>102</v>
      </c>
    </row>
    <row r="45" spans="3:15" x14ac:dyDescent="0.25">
      <c r="J45" t="s">
        <v>105</v>
      </c>
      <c r="K45" t="s">
        <v>668</v>
      </c>
      <c r="O45" t="str" cm="1">
        <f t="array" ref="O45:O50">_xlfn._xlws.FILTER(LISTS_Table[Skill],LISTS_Table[Category]="Understanding and use of research")</f>
        <v>Reserch literacy</v>
      </c>
    </row>
    <row r="46" spans="3:15" x14ac:dyDescent="0.25">
      <c r="J46" t="s">
        <v>105</v>
      </c>
      <c r="K46" t="s">
        <v>669</v>
      </c>
      <c r="O46" t="str">
        <v>Literature searching</v>
      </c>
    </row>
    <row r="47" spans="3:15" x14ac:dyDescent="0.25">
      <c r="J47" t="s">
        <v>105</v>
      </c>
      <c r="K47" t="s">
        <v>670</v>
      </c>
      <c r="O47" t="str">
        <v>Critical appraisal</v>
      </c>
    </row>
    <row r="48" spans="3:15" x14ac:dyDescent="0.25">
      <c r="J48" t="s">
        <v>105</v>
      </c>
      <c r="K48" t="s">
        <v>671</v>
      </c>
      <c r="O48" t="str">
        <v>Data interpretation</v>
      </c>
    </row>
    <row r="49" spans="10:15" x14ac:dyDescent="0.25">
      <c r="J49" t="s">
        <v>105</v>
      </c>
      <c r="K49" t="s">
        <v>672</v>
      </c>
      <c r="O49" t="str">
        <v>Evidne-based practice</v>
      </c>
    </row>
    <row r="50" spans="10:15" x14ac:dyDescent="0.25">
      <c r="J50" t="s">
        <v>105</v>
      </c>
      <c r="K50" t="s">
        <v>673</v>
      </c>
      <c r="O50" t="str">
        <v>Research communication</v>
      </c>
    </row>
    <row r="51" spans="10:15" x14ac:dyDescent="0.25">
      <c r="J51" t="s">
        <v>55</v>
      </c>
      <c r="K51" t="s">
        <v>104</v>
      </c>
    </row>
    <row r="52" spans="10:15" x14ac:dyDescent="0.25">
      <c r="J52" t="s">
        <v>55</v>
      </c>
      <c r="K52" t="s">
        <v>56</v>
      </c>
      <c r="O52" s="8" t="s">
        <v>105</v>
      </c>
    </row>
    <row r="53" spans="10:15" x14ac:dyDescent="0.25">
      <c r="J53" t="s">
        <v>55</v>
      </c>
      <c r="K53" t="s">
        <v>259</v>
      </c>
      <c r="O53" t="str" cm="1">
        <f t="array" ref="O53:O59">_xlfn._xlws.FILTER(LISTS_Table[Skill],LISTS_Table[Category]="Self-evaluation and professional development")</f>
        <v>Reflective practice</v>
      </c>
    </row>
    <row r="54" spans="10:15" x14ac:dyDescent="0.25">
      <c r="J54" t="s">
        <v>55</v>
      </c>
      <c r="K54" t="s">
        <v>257</v>
      </c>
      <c r="O54" t="str">
        <v>Self-awareness</v>
      </c>
    </row>
    <row r="55" spans="10:15" x14ac:dyDescent="0.25">
      <c r="J55" t="s">
        <v>55</v>
      </c>
      <c r="K55" t="s">
        <v>308</v>
      </c>
      <c r="O55" t="str">
        <v>Lifelong learning</v>
      </c>
    </row>
    <row r="56" spans="10:15" x14ac:dyDescent="0.25">
      <c r="J56" t="s">
        <v>55</v>
      </c>
      <c r="K56" t="s">
        <v>163</v>
      </c>
      <c r="O56" t="str">
        <v>Personal development planning</v>
      </c>
    </row>
    <row r="57" spans="10:15" x14ac:dyDescent="0.25">
      <c r="J57" t="s">
        <v>169</v>
      </c>
      <c r="K57" t="s">
        <v>674</v>
      </c>
      <c r="O57" t="str">
        <v>Resilience</v>
      </c>
    </row>
    <row r="58" spans="10:15" x14ac:dyDescent="0.25">
      <c r="J58" t="s">
        <v>169</v>
      </c>
      <c r="K58" t="s">
        <v>432</v>
      </c>
      <c r="O58" t="str">
        <v>Initiative</v>
      </c>
    </row>
    <row r="59" spans="10:15" x14ac:dyDescent="0.25">
      <c r="J59" t="s">
        <v>169</v>
      </c>
      <c r="K59" t="s">
        <v>433</v>
      </c>
      <c r="O59" t="str">
        <v>Accountability</v>
      </c>
    </row>
    <row r="60" spans="10:15" x14ac:dyDescent="0.25">
      <c r="J60" t="s">
        <v>169</v>
      </c>
      <c r="K60" t="s">
        <v>434</v>
      </c>
    </row>
    <row r="61" spans="10:15" x14ac:dyDescent="0.25">
      <c r="J61" t="s">
        <v>169</v>
      </c>
      <c r="K61" t="s">
        <v>675</v>
      </c>
      <c r="O61" s="10" t="s">
        <v>55</v>
      </c>
    </row>
    <row r="62" spans="10:15" x14ac:dyDescent="0.25">
      <c r="J62" t="s">
        <v>169</v>
      </c>
      <c r="K62" t="s">
        <v>170</v>
      </c>
      <c r="O62" t="str" cm="1">
        <f t="array" ref="O62:O67">_xlfn._xlws.FILTER(LISTS_Table[Skill],LISTS_Table[Category]="Communication")</f>
        <v>Written communication</v>
      </c>
    </row>
    <row r="63" spans="10:15" x14ac:dyDescent="0.25">
      <c r="J63" t="s">
        <v>164</v>
      </c>
      <c r="K63" t="s">
        <v>166</v>
      </c>
      <c r="O63" t="str">
        <v>Oral presentation</v>
      </c>
    </row>
    <row r="64" spans="10:15" x14ac:dyDescent="0.25">
      <c r="J64" t="s">
        <v>164</v>
      </c>
      <c r="K64" t="s">
        <v>676</v>
      </c>
      <c r="O64" t="str">
        <v>Active listening</v>
      </c>
    </row>
    <row r="65" spans="10:15" x14ac:dyDescent="0.25">
      <c r="J65" t="s">
        <v>164</v>
      </c>
      <c r="K65" t="s">
        <v>420</v>
      </c>
      <c r="O65" t="str">
        <v>Scientific writing</v>
      </c>
    </row>
    <row r="66" spans="10:15" x14ac:dyDescent="0.25">
      <c r="J66" t="s">
        <v>164</v>
      </c>
      <c r="K66" t="s">
        <v>165</v>
      </c>
      <c r="O66" t="str">
        <v>Interpesronal communication</v>
      </c>
    </row>
    <row r="67" spans="10:15" x14ac:dyDescent="0.25">
      <c r="J67" t="s">
        <v>164</v>
      </c>
      <c r="K67" t="s">
        <v>167</v>
      </c>
      <c r="O67" t="str">
        <v>Digital communication</v>
      </c>
    </row>
    <row r="68" spans="10:15" x14ac:dyDescent="0.25">
      <c r="J68" t="s">
        <v>164</v>
      </c>
      <c r="K68" t="s">
        <v>168</v>
      </c>
    </row>
    <row r="69" spans="10:15" x14ac:dyDescent="0.25">
      <c r="J69" t="s">
        <v>164</v>
      </c>
      <c r="K69" t="s">
        <v>421</v>
      </c>
      <c r="O69" s="10" t="s">
        <v>169</v>
      </c>
    </row>
    <row r="70" spans="10:15" x14ac:dyDescent="0.25">
      <c r="J70" t="s">
        <v>164</v>
      </c>
      <c r="K70" t="s">
        <v>422</v>
      </c>
      <c r="O70" t="str" cm="1">
        <f t="array" ref="O70:O75">_xlfn._xlws.FILTER(LISTS_Table[Skill],LISTS_Table[Category]="Problem solving and impact")</f>
        <v>Analytical thinking</v>
      </c>
    </row>
    <row r="71" spans="10:15" x14ac:dyDescent="0.25">
      <c r="J71" t="s">
        <v>164</v>
      </c>
      <c r="K71" t="s">
        <v>423</v>
      </c>
      <c r="O71" t="str">
        <v>problem identification</v>
      </c>
    </row>
    <row r="72" spans="10:15" x14ac:dyDescent="0.25">
      <c r="J72" t="s">
        <v>424</v>
      </c>
      <c r="K72" t="s">
        <v>435</v>
      </c>
      <c r="O72" t="str">
        <v>Creative thinking</v>
      </c>
    </row>
    <row r="73" spans="10:15" x14ac:dyDescent="0.25">
      <c r="J73" t="s">
        <v>424</v>
      </c>
      <c r="K73" t="s">
        <v>436</v>
      </c>
      <c r="O73" t="str">
        <v>Evidence-based decision making</v>
      </c>
    </row>
    <row r="74" spans="10:15" x14ac:dyDescent="0.25">
      <c r="J74" t="s">
        <v>424</v>
      </c>
      <c r="K74" t="s">
        <v>437</v>
      </c>
      <c r="O74" t="str">
        <v>Innovation</v>
      </c>
    </row>
    <row r="75" spans="10:15" x14ac:dyDescent="0.25">
      <c r="J75" t="s">
        <v>424</v>
      </c>
      <c r="K75" t="s">
        <v>425</v>
      </c>
      <c r="O75" t="str">
        <v>Evaluation of outcomes</v>
      </c>
    </row>
    <row r="76" spans="10:15" x14ac:dyDescent="0.25">
      <c r="J76" t="s">
        <v>424</v>
      </c>
      <c r="K76" t="s">
        <v>426</v>
      </c>
    </row>
    <row r="77" spans="10:15" x14ac:dyDescent="0.25">
      <c r="J77" t="s">
        <v>306</v>
      </c>
      <c r="K77" t="s">
        <v>427</v>
      </c>
      <c r="O77" s="10" t="s">
        <v>164</v>
      </c>
    </row>
    <row r="78" spans="10:15" x14ac:dyDescent="0.25">
      <c r="J78" t="s">
        <v>306</v>
      </c>
      <c r="K78" t="s">
        <v>307</v>
      </c>
      <c r="O78" t="str" cm="1">
        <f t="array" ref="O78:O86">_xlfn._xlws.FILTER(LISTS_Table[Skill],LISTS_Table[Category]="Management of self and others")</f>
        <v>Leadership</v>
      </c>
    </row>
    <row r="79" spans="10:15" x14ac:dyDescent="0.25">
      <c r="J79" t="s">
        <v>306</v>
      </c>
      <c r="K79" t="s">
        <v>428</v>
      </c>
      <c r="O79" t="str">
        <v>Coaching and mentoring</v>
      </c>
    </row>
    <row r="80" spans="10:15" x14ac:dyDescent="0.25">
      <c r="J80" t="s">
        <v>306</v>
      </c>
      <c r="K80" t="s">
        <v>429</v>
      </c>
      <c r="O80" t="str">
        <v>Time management</v>
      </c>
    </row>
    <row r="81" spans="10:15" x14ac:dyDescent="0.25">
      <c r="J81" t="s">
        <v>306</v>
      </c>
      <c r="K81" t="s">
        <v>430</v>
      </c>
      <c r="O81" t="str">
        <v>Organisation</v>
      </c>
    </row>
    <row r="82" spans="10:15" x14ac:dyDescent="0.25">
      <c r="J82" t="s">
        <v>306</v>
      </c>
      <c r="K82" t="s">
        <v>677</v>
      </c>
      <c r="O82" t="str">
        <v>Delegation</v>
      </c>
    </row>
    <row r="83" spans="10:15" x14ac:dyDescent="0.25">
      <c r="J83" t="s">
        <v>306</v>
      </c>
      <c r="K83" t="s">
        <v>431</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424</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678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68FF4DD-0CC1-430F-BDA6-0C89361FBF19}">
  <ds:schemaRefs>
    <ds:schemaRef ds:uri="http://schemas.microsoft.com/sharepoint/v3/contenttype/forms"/>
  </ds:schemaRefs>
</ds:datastoreItem>
</file>

<file path=customXml/itemProps3.xml><?xml version="1.0" encoding="utf-8"?>
<ds:datastoreItem xmlns:ds="http://schemas.openxmlformats.org/officeDocument/2006/customXml" ds:itemID="{E926B8C1-52E8-4875-97D8-8065275A389C}">
  <ds:schemaRefs>
    <ds:schemaRef ds:uri="e2acc87f-978a-4c56-9887-574fe2c7e53e"/>
    <ds:schemaRef ds:uri="http://purl.org/dc/elements/1.1/"/>
    <ds:schemaRef ds:uri="http://www.w3.org/XML/1998/namespace"/>
    <ds:schemaRef ds:uri="http://schemas.microsoft.com/office/infopath/2007/PartnerControls"/>
    <ds:schemaRef ds:uri="http://schemas.openxmlformats.org/package/2006/metadata/core-properties"/>
    <ds:schemaRef ds:uri="http://schemas.microsoft.com/office/2006/documentManagement/types"/>
    <ds:schemaRef ds:uri="http://schemas.microsoft.com/office/2006/metadata/properties"/>
    <ds:schemaRef ds:uri="f1436123-e04c-43f8-b7d8-6e3401685a6a"/>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Module</vt:lpstr>
      <vt:lpstr>4101SPS</vt:lpstr>
      <vt:lpstr>4102SPS</vt:lpstr>
      <vt:lpstr>4091SPS</vt:lpstr>
      <vt:lpstr>4092SPS</vt:lpstr>
      <vt:lpstr>4094SPS</vt:lpstr>
      <vt:lpstr>5091SPS</vt:lpstr>
      <vt:lpstr>5092SPS</vt:lpstr>
      <vt:lpstr>5101SPS</vt:lpstr>
      <vt:lpstr>5102SPS</vt:lpstr>
      <vt:lpstr>5103SPS</vt:lpstr>
      <vt:lpstr>6101SPS</vt:lpstr>
      <vt:lpstr>6102SPS</vt:lpstr>
      <vt:lpstr>6103SPS</vt:lpstr>
      <vt:lpstr>6104SPS</vt:lpstr>
      <vt:lpstr>6105SPS</vt:lpstr>
      <vt:lpstr>6106SPS</vt:lpstr>
      <vt:lpstr>6107SPS</vt:lpstr>
      <vt:lpstr>6108SPS</vt:lpstr>
      <vt:lpstr>6109SPS</vt:lpstr>
      <vt:lpstr>6091SPS</vt:lpstr>
      <vt:lpstr>6093SPS</vt:lpstr>
      <vt:lpstr>6094SPS</vt:lpstr>
      <vt:lpstr>6095SPS</vt:lpstr>
      <vt:lpstr>Module (22)</vt:lpstr>
      <vt:lpstr>Template</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2026-08-24T11:46:01Z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