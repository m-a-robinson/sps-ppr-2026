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queryTables/queryTable1.xml" ContentType="application/vnd.openxmlformats-officedocument.spreadsheetml.queryTable+xml"/>
  <Override PartName="/xl/tables/table81.xml" ContentType="application/vnd.openxmlformats-officedocument.spreadsheetml.table+xml"/>
  <Override PartName="/xl/queryTables/queryTable2.xml" ContentType="application/vnd.openxmlformats-officedocument.spreadsheetml.queryTable+xml"/>
  <Override PartName="/xl/tables/table82.xml" ContentType="application/vnd.openxmlformats-officedocument.spreadsheetml.table+xml"/>
  <Override PartName="/xl/queryTables/queryTable3.xml" ContentType="application/vnd.openxmlformats-officedocument.spreadsheetml.queryTable+xml"/>
  <Override PartName="/xl/tables/table83.xml" ContentType="application/vnd.openxmlformats-officedocument.spreadsheetml.table+xml"/>
  <Override PartName="/xl/queryTables/queryTable4.xml" ContentType="application/vnd.openxmlformats-officedocument.spreadsheetml.queryTable+xml"/>
  <Override PartName="/xl/tables/table84.xml" ContentType="application/vnd.openxmlformats-officedocument.spreadsheetml.table+xml"/>
  <Override PartName="/xl/queryTables/queryTable5.xml" ContentType="application/vnd.openxmlformats-officedocument.spreadsheetml.queryTable+xml"/>
  <Override PartName="/xl/tables/table85.xml" ContentType="application/vnd.openxmlformats-officedocument.spreadsheetml.table+xml"/>
  <Override PartName="/xl/queryTables/queryTable6.xml" ContentType="application/vnd.openxmlformats-officedocument.spreadsheetml.queryTable+xml"/>
  <Override PartName="/xl/tables/table86.xml" ContentType="application/vnd.openxmlformats-officedocument.spreadsheetml.table+xml"/>
  <Override PartName="/xl/queryTables/queryTable7.xml" ContentType="application/vnd.openxmlformats-officedocument.spreadsheetml.queryTable+xml"/>
  <Override PartName="/xl/tables/table87.xml" ContentType="application/vnd.openxmlformats-officedocument.spreadsheetml.table+xml"/>
  <Override PartName="/xl/queryTables/queryTable8.xml" ContentType="application/vnd.openxmlformats-officedocument.spreadsheetml.queryTable+xml"/>
  <Override PartName="/xl/pivotTables/pivotTable1.xml" ContentType="application/vnd.openxmlformats-officedocument.spreadsheetml.pivotTable+xml"/>
  <Override PartName="/xl/tables/table88.xml" ContentType="application/vnd.openxmlformats-officedocument.spreadsheetml.table+xml"/>
  <Override PartName="/xl/queryTables/queryTable9.xml" ContentType="application/vnd.openxmlformats-officedocument.spreadsheetml.queryTable+xml"/>
  <Override PartName="/xl/tables/table89.xml" ContentType="application/vnd.openxmlformats-officedocument.spreadsheetml.table+xml"/>
  <Override PartName="/xl/queryTables/queryTable10.xml" ContentType="application/vnd.openxmlformats-officedocument.spreadsheetml.queryTable+xml"/>
  <Override PartName="/xl/tables/table90.xml" ContentType="application/vnd.openxmlformats-officedocument.spreadsheetml.table+xml"/>
  <Override PartName="/xl/queryTables/queryTable11.xml" ContentType="application/vnd.openxmlformats-officedocument.spreadsheetml.queryTable+xml"/>
  <Override PartName="/xl/tables/table91.xml" ContentType="application/vnd.openxmlformats-officedocument.spreadsheetml.table+xml"/>
  <Override PartName="/xl/queryTables/queryTable12.xml" ContentType="application/vnd.openxmlformats-officedocument.spreadsheetml.queryTable+xml"/>
  <Override PartName="/xl/tables/table92.xml" ContentType="application/vnd.openxmlformats-officedocument.spreadsheetml.table+xml"/>
  <Override PartName="/xl/queryTables/queryTable13.xml" ContentType="application/vnd.openxmlformats-officedocument.spreadsheetml.queryTable+xml"/>
  <Override PartName="/xl/tables/table93.xml" ContentType="application/vnd.openxmlformats-officedocument.spreadsheetml.table+xml"/>
  <Override PartName="/xl/queryTables/queryTable14.xml" ContentType="application/vnd.openxmlformats-officedocument.spreadsheetml.queryTable+xml"/>
  <Override PartName="/xl/queryTables/queryTable15.xml" ContentType="application/vnd.openxmlformats-officedocument.spreadsheetml.queryTable+xml"/>
  <Override PartName="/xl/tables/table94.xml" ContentType="application/vnd.openxmlformats-officedocument.spreadsheetml.table+xml"/>
  <Override PartName="/xl/queryTables/queryTable16.xml" ContentType="application/vnd.openxmlformats-officedocument.spreadsheetml.queryTable+xml"/>
  <Override PartName="/xl/tables/table95.xml" ContentType="application/vnd.openxmlformats-officedocument.spreadsheetml.table+xml"/>
  <Override PartName="/xl/queryTables/queryTable17.xml" ContentType="application/vnd.openxmlformats-officedocument.spreadsheetml.queryTable+xml"/>
  <Override PartName="/xl/tables/table96.xml" ContentType="application/vnd.openxmlformats-officedocument.spreadsheetml.table+xml"/>
  <Override PartName="/xl/tables/table9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SPSMROBI/Documents/GitHub/sps-ppr-2026/"/>
    </mc:Choice>
  </mc:AlternateContent>
  <xr:revisionPtr revIDLastSave="0" documentId="13_ncr:1_{CD4EFEC3-3319-AB45-9CCD-61336B3A3D94}" xr6:coauthVersionLast="47" xr6:coauthVersionMax="47" xr10:uidLastSave="{00000000-0000-0000-0000-000000000000}"/>
  <bookViews>
    <workbookView xWindow="0" yWindow="660" windowWidth="30240" windowHeight="18980" firstSheet="12" activeTab="16"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FS_Mapping" sheetId="95" r:id="rId9"/>
    <sheet name="FS_Hours" sheetId="94" r:id="rId10"/>
    <sheet name="FS_Assess" sheetId="93" r:id="rId11"/>
    <sheet name="FS_LO" sheetId="92" r:id="rId12"/>
    <sheet name="FS_Meta" sheetId="91" r:id="rId13"/>
    <sheet name="FS_ModuleOverview" sheetId="98" r:id="rId14"/>
    <sheet name="FS_Hours_Wide" sheetId="97" r:id="rId15"/>
    <sheet name="FS_Meta_Wide" sheetId="96" r:id="rId16"/>
    <sheet name="DASHBOARD" sheetId="99" r:id="rId17"/>
    <sheet name="ModuleRegister" sheetId="90" r:id="rId18"/>
    <sheet name="RegisterBlocks" sheetId="89" r:id="rId19"/>
    <sheet name="SourceTablesParsed" sheetId="88" r:id="rId20"/>
    <sheet name="RelevantItems" sheetId="87" r:id="rId21"/>
    <sheet name="SourceTables" sheetId="86" r:id="rId22"/>
    <sheet name="GetRegisterFileContent" sheetId="85" r:id="rId23"/>
    <sheet name="GetWorkbookFiles" sheetId="84" r:id="rId24"/>
    <sheet name="Query1" sheetId="83" r:id="rId25"/>
    <sheet name="Sheet1" sheetId="82" r:id="rId26"/>
    <sheet name="LISTS" sheetId="4" state="hidden" r:id="rId27"/>
  </sheets>
  <definedNames>
    <definedName name="ApplicationofKnowledge">_xlfn.ANCHORARRAY(LISTS!$O$37)</definedName>
    <definedName name="Communication">_xlfn.ANCHORARRAY(LISTS!$O$62)</definedName>
    <definedName name="DeliveryEnvironment">_xlfn.ANCHORARRAY(LISTS!$O$89)</definedName>
    <definedName name="ExternalData_1" localSheetId="24" hidden="1">Query1!$A$1:$N$29</definedName>
    <definedName name="ExternalData_10" localSheetId="14" hidden="1">FS_Hours_Wide!$A$1:$M$17</definedName>
    <definedName name="ExternalData_10" localSheetId="11" hidden="1">FS_LO!$A$1:$I$41</definedName>
    <definedName name="ExternalData_11" localSheetId="16" hidden="1">DASHBOARD!$A$1:$P$17</definedName>
    <definedName name="ExternalData_11" localSheetId="10" hidden="1">FS_Assess!$A$1:$M$29</definedName>
    <definedName name="ExternalData_11" localSheetId="13" hidden="1">FS_ModuleOverview!$A$1:$P$17</definedName>
    <definedName name="ExternalData_12" localSheetId="9" hidden="1">FS_Hours!$A$1:$I$97</definedName>
    <definedName name="ExternalData_13" localSheetId="8" hidden="1">FS_Mapping!$A$1:$K$161</definedName>
    <definedName name="ExternalData_2" localSheetId="23" hidden="1">GetWorkbookFiles!$A$1:$F$7</definedName>
    <definedName name="ExternalData_3" localSheetId="22">GetRegisterFileContent!$A$1</definedName>
    <definedName name="ExternalData_4" localSheetId="21" hidden="1">SourceTables!$A$1:$C$864</definedName>
    <definedName name="ExternalData_5" localSheetId="20" hidden="1">'RelevantItems'!$A$1:$A$6</definedName>
    <definedName name="ExternalData_6" localSheetId="19" hidden="1">SourceTablesParsed!$A$1:$E$432</definedName>
    <definedName name="ExternalData_7" localSheetId="18" hidden="1">'RegisterBlocks'!$A$1:$A$7</definedName>
    <definedName name="ExternalData_8" localSheetId="17" hidden="1">ModuleRegister!$A$1:$D$108</definedName>
    <definedName name="ExternalData_9" localSheetId="12" hidden="1">FS_Meta!$A$1:$I$129</definedName>
    <definedName name="ExternalData_9" localSheetId="15" hidden="1">FS_Meta_Wide!$A$1:$O$17</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pivotCaches>
    <pivotCache cacheId="4"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1" l="1"/>
  <c r="D2" i="81"/>
  <c r="C2" i="81"/>
  <c r="D24" i="80"/>
  <c r="D2" i="80"/>
  <c r="C2" i="80"/>
  <c r="D24" i="79"/>
  <c r="D2" i="79"/>
  <c r="C2" i="79"/>
  <c r="D24" i="78"/>
  <c r="D24" i="77"/>
  <c r="D2" i="77"/>
  <c r="C2" i="77"/>
  <c r="D24" i="76"/>
  <c r="D2" i="76"/>
  <c r="C2" i="76"/>
  <c r="D24" i="75"/>
  <c r="D2" i="75"/>
  <c r="C2" i="75"/>
  <c r="D24" i="68"/>
  <c r="D2" i="68"/>
  <c r="C2" i="68"/>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AD0486-D1F3-744F-8CDC-A411F7EC2D77}"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AF977D58-8048-E04D-B091-5CD2AE5EE494}"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428516E6-E2EB-7D44-97E5-E710542FA86F}"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0DB692CD-42FA-484F-BAF7-41BE254BA10C}"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6CFD8C2A-E700-46EE-9545-EF21F9715816}" keepAlive="1" name="Query - FS_AllAssess" description="Connection to the 'FS_AllAssess' query in the workbook." type="5" refreshedVersion="8" background="1" saveData="1">
    <dbPr connection="Provider=Microsoft.Mashup.OleDb.1;Data Source=$Workbook$;Location=FS_AllAssess;Extended Properties=&quot;&quot;" command="SELECT * FROM [FS_AllAssess]"/>
  </connection>
  <connection id="6" xr16:uid="{AE41822E-8A01-144C-A4AA-3A1D5DF72E77}" keepAlive="1" name="Query - FS_Assess" description="Connection to the 'FS_Assess' query in the workbook." type="5" refreshedVersion="8" background="1" saveData="1">
    <dbPr connection="Provider=Microsoft.Mashup.OleDb.1;Data Source=$Workbook$;Location=FS_Assess;Extended Properties=&quot;&quot;" command="SELECT * FROM [FS_Assess]"/>
  </connection>
  <connection id="7" xr16:uid="{6E49A0C2-6AF1-E244-866E-BE13D6D1F777}" keepAlive="1" name="Query - FS_Hours" description="Connection to the 'FS_Hours' query in the workbook." type="5" refreshedVersion="8" background="1" saveData="1">
    <dbPr connection="Provider=Microsoft.Mashup.OleDb.1;Data Source=$Workbook$;Location=FS_Hours;Extended Properties=&quot;&quot;" command="SELECT * FROM [FS_Hours]"/>
  </connection>
  <connection id="8" xr16:uid="{49F65E36-396A-ED44-850C-5AF9B3D9A1C7}" keepAlive="1" name="Query - FS_Hours_Wide" description="Connection to the 'FS_Hours_Wide' query in the workbook." type="5" refreshedVersion="8" background="1" saveData="1">
    <dbPr connection="Provider=Microsoft.Mashup.OleDb.1;Data Source=$Workbook$;Location=FS_Hours_Wide;Extended Properties=&quot;&quot;" command="SELECT * FROM [FS_Hours_Wide]"/>
  </connection>
  <connection id="9" xr16:uid="{19DF88D8-3701-2E47-9EBF-CBE98C6FB840}" keepAlive="1" name="Query - FS_LO" description="Connection to the 'FS_LO' query in the workbook." type="5" refreshedVersion="8" background="1" saveData="1">
    <dbPr connection="Provider=Microsoft.Mashup.OleDb.1;Data Source=$Workbook$;Location=FS_LO;Extended Properties=&quot;&quot;" command="SELECT * FROM [FS_LO]"/>
  </connection>
  <connection id="10" xr16:uid="{776BCD00-2CD1-394F-869C-72B444C770AE}" keepAlive="1" name="Query - FS_Mapping" description="Connection to the 'FS_Mapping' query in the workbook." type="5" refreshedVersion="8" background="1" saveData="1">
    <dbPr connection="Provider=Microsoft.Mashup.OleDb.1;Data Source=$Workbook$;Location=FS_Mapping;Extended Properties=&quot;&quot;" command="SELECT * FROM [FS_Mapping]"/>
  </connection>
  <connection id="11" xr16:uid="{E3954ABE-FAFC-BA4A-8DF5-48CF1336E9EE}" keepAlive="1" name="Query - FS_Meta" description="Connection to the 'FS_Meta' query in the workbook." type="5" refreshedVersion="8" background="1" saveData="1">
    <dbPr connection="Provider=Microsoft.Mashup.OleDb.1;Data Source=$Workbook$;Location=FS_Meta;Extended Properties=&quot;&quot;" command="SELECT * FROM [FS_Meta]"/>
  </connection>
  <connection id="12" xr16:uid="{1598DA1D-51F8-3C4F-A80F-36697E0BD34D}" keepAlive="1" name="Query - FS_Meta_Wide" description="Connection to the 'FS_Meta_Wide' query in the workbook." type="5" refreshedVersion="8" background="1" saveData="1">
    <dbPr connection="Provider=Microsoft.Mashup.OleDb.1;Data Source=$Workbook$;Location=FS_Meta_Wide;Extended Properties=&quot;&quot;" command="SELECT * FROM [FS_Meta_Wide]"/>
  </connection>
  <connection id="13" xr16:uid="{5D628452-FB8E-614C-AF22-EB5FB893CA0F}" keepAlive="1" name="Query - FS_ModuleOverview" description="Connection to the 'FS_ModuleOverview' query in the workbook." type="5" refreshedVersion="8" background="1" saveData="1">
    <dbPr connection="Provider=Microsoft.Mashup.OleDb.1;Data Source=$Workbook$;Location=FS_ModuleOverview;Extended Properties=&quot;&quot;" command="SELECT * FROM [FS_ModuleOverview]"/>
  </connection>
  <connection id="14" xr16:uid="{4C4F2B52-2600-504F-A3C0-BA14B2625163}" keepAlive="1" name="Query - FS_ModuleOverview (2)" description="Connection to the 'FS_ModuleOverview (2)' query in the workbook." type="5" refreshedVersion="8" background="1" saveData="1">
    <dbPr connection="Provider=Microsoft.Mashup.OleDb.1;Data Source=$Workbook$;Location=&quot;FS_ModuleOverview (2)&quot;;Extended Properties=&quot;&quot;" command="SELECT * FROM [FS_ModuleOverview (2)]"/>
  </connection>
  <connection id="15" xr16:uid="{D772B0EE-CA9B-4D44-9150-766CE3EEF275}" keepAlive="1" name="Query - GetRegisterFileContent" description="Connection to the 'GetRegisterFileContent' query in the workbook." type="5" refreshedVersion="0" background="1" saveData="1">
    <dbPr connection="Provider=Microsoft.Mashup.OleDb.1;Data Source=$Workbook$;Location=GetRegisterFileContent;Extended Properties=&quot;&quot;" command="SELECT * FROM [GetRegisterFileContent]"/>
  </connection>
  <connection id="16" xr16:uid="{EC8F036D-4248-0A41-A439-5C806A85BA83}" keepAlive="1" name="Query - GetWorkbookFiles" description="Connection to the 'GetWorkbookFiles' query in the workbook." type="5" refreshedVersion="8" background="1" saveData="1">
    <dbPr connection="Provider=Microsoft.Mashup.OleDb.1;Data Source=$Workbook$;Location=GetWorkbookFiles;Extended Properties=&quot;&quot;" command="SELECT * FROM [GetWorkbookFiles]"/>
  </connection>
  <connection id="17" xr16:uid="{A6D12BC8-AA24-874F-BDBA-EF2A392777B0}" keepAlive="1" name="Query - ModuleRegister" description="Connection to the 'ModuleRegister' query in the workbook." type="5" refreshedVersion="8" background="1" saveData="1">
    <dbPr connection="Provider=Microsoft.Mashup.OleDb.1;Data Source=$Workbook$;Location=ModuleRegister;Extended Properties=&quot;&quot;" command="SELECT * FROM [ModuleRegister]"/>
  </connection>
  <connection id="18" xr16:uid="{36D74AF4-7E32-8A40-9BC3-B2B28C19ACE0}" keepAlive="1" name="Query - RegisterBlocks" description="Connection to the 'RegisterBlocks' query in the workbook." type="5" refreshedVersion="8" background="1" saveData="1">
    <dbPr connection="Provider=Microsoft.Mashup.OleDb.1;Data Source=$Workbook$;Location=RegisterBlocks;Extended Properties=&quot;&quot;" command="SELECT * FROM [RegisterBlocks]"/>
  </connection>
  <connection id="19" xr16:uid="{FCFEDB4E-BEA3-4D47-8ED9-3A7EFC7D2905}" keepAlive="1" name="Query - RelevantItems" description="Connection to the 'RelevantItems' query in the workbook." type="5" refreshedVersion="8" background="1" saveData="1">
    <dbPr connection="Provider=Microsoft.Mashup.OleDb.1;Data Source=$Workbook$;Location=RelevantItems;Extended Properties=&quot;&quot;" command="SELECT * FROM [RelevantItems]"/>
  </connection>
  <connection id="20" xr16:uid="{BEFED2AF-6AE0-6047-BE6A-10C12CA81829}"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1" xr16:uid="{74146172-6925-2248-AD60-C965E95D7B50}" keepAlive="1" name="Query - SourceFolder" description="Connection to the 'SourceFolder' query in the workbook." type="5" refreshedVersion="0" background="1">
    <dbPr connection="Provider=Microsoft.Mashup.OleDb.1;Data Source=$Workbook$;Location=SourceFolder;Extended Properties=&quot;&quot;" command="SELECT * FROM [SourceFolder]"/>
  </connection>
  <connection id="22" xr16:uid="{FFD6FE84-D7CD-D74B-8850-769BF854896C}" keepAlive="1" name="Query - SourceTables" description="Connection to the 'SourceTables' query in the workbook." type="5" refreshedVersion="8" background="1" saveData="1">
    <dbPr connection="Provider=Microsoft.Mashup.OleDb.1;Data Source=$Workbook$;Location=SourceTables;Extended Properties=&quot;&quot;" command="SELECT * FROM [SourceTables]"/>
  </connection>
  <connection id="23" xr16:uid="{F5557F59-E510-AE41-92C4-5034AC338F55}" keepAlive="1" name="Query - SourceTablesParsed" description="Connection to the 'SourceTablesParsed' query in the workbook." type="5" refreshedVersion="8" background="1" saveData="1">
    <dbPr connection="Provider=Microsoft.Mashup.OleDb.1;Data Source=$Workbook$;Location=SourceTablesParsed;Extended Properties=&quot;&quot;" command="SELECT * FROM [SourceTablesParsed]"/>
  </connection>
  <connection id="24" xr16:uid="{853946C6-A660-6D4A-B015-2470409F5E10}" keepAlive="1" name="Query - UseSharePoint" description="Connection to the 'UseSharePoint' query in the workbook." type="5" refreshedVersion="0" background="1">
    <dbPr connection="Provider=Microsoft.Mashup.OleDb.1;Data Source=$Workbook$;Location=UseSharePoint;Extended Properties=&quot;&quot;" command="SELECT * FROM [UseSharePoin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<sst xmlns="http://schemas.openxmlformats.org/spreadsheetml/2006/main" count="11688" uniqueCount="1449">
  <si>
    <t>Module Information</t>
  </si>
  <si>
    <t>Module Data</t>
  </si>
  <si>
    <t>Details</t>
  </si>
  <si>
    <t>Aims</t>
  </si>
  <si>
    <t>Module Code</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</si>
  <si>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</si>
  <si>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</si>
  <si>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</si>
  <si>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</si>
  <si>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</si>
  <si>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</si>
  <si>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</si>
  <si>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</si>
  <si>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</si>
  <si>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</si>
  <si>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</si>
  <si>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</si>
  <si>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</si>
  <si>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</si>
  <si>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</si>
  <si>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</si>
  <si>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</si>
  <si>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</si>
  <si>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</si>
  <si>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</si>
  <si>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</si>
  <si>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</si>
  <si>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</si>
  <si>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</si>
  <si>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</si>
  <si>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</si>
  <si>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</si>
  <si>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</si>
  <si>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</si>
  <si>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</si>
  <si>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</si>
  <si>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</si>
  <si>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</si>
  <si>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</si>
  <si>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</si>
  <si>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</si>
  <si>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</si>
  <si>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</si>
  <si>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</si>
  <si>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</si>
  <si>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</si>
  <si>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</si>
  <si>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</si>
  <si>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</si>
  <si>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</si>
  <si>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</si>
  <si>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</si>
  <si>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</si>
  <si>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</si>
  <si>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</si>
  <si>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</si>
  <si>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</si>
  <si>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</si>
  <si>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</si>
  <si>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</si>
  <si>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</si>
  <si>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</si>
  <si>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</si>
  <si>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</si>
  <si>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</si>
  <si>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</si>
  <si>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</si>
  <si>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</si>
  <si>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Interpesronal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</si>
  <si>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</si>
  <si>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</si>
  <si>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</si>
  <si>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</si>
  <si>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</si>
  <si>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</si>
  <si>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</si>
  <si>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</si>
  <si>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</si>
  <si>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</si>
  <si>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</si>
  <si>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</si>
  <si>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</si>
  <si>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</si>
  <si>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</si>
  <si>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</si>
  <si>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</si>
  <si>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</si>
  <si>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</si>
  <si>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</si>
  <si>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</si>
  <si>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</si>
  <si>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</si>
  <si>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</si>
  <si>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</si>
  <si>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</si>
  <si>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</si>
  <si>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</si>
  <si>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</si>
  <si>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</si>
  <si>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</si>
  <si>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</si>
  <si>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</si>
  <si>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</si>
  <si>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</si>
  <si>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</si>
  <si>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</si>
  <si>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</si>
  <si>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</si>
  <si>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</si>
  <si>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t>
  </si>
  <si>
    <t>Report</t>
  </si>
  <si>
    <t>Essay</t>
  </si>
  <si>
    <t>Written report and individual development plan</t>
  </si>
  <si>
    <t>Scientific knowledge</t>
  </si>
  <si>
    <t>Information retrieval</t>
  </si>
  <si>
    <t>Scientific literacy</t>
  </si>
  <si>
    <t>Understanding and use of research</t>
  </si>
  <si>
    <t>Research communication</t>
  </si>
  <si>
    <t>Professional judgement</t>
  </si>
  <si>
    <t>Evidne-based practice</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</si>
  <si>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</si>
  <si>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</si>
  <si>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</si>
  <si>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</si>
  <si>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</si>
  <si>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</si>
  <si>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</si>
  <si>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</si>
  <si>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</si>
  <si>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</si>
  <si>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</si>
  <si>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Challenges in talent identification: Bias, heuristics and scout decision-making - case workshop</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</si>
  <si>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</si>
  <si>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</si>
  <si>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</si>
  <si>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</si>
  <si>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</si>
  <si>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</si>
  <si>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</si>
  <si>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</si>
  <si>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</si>
  <si>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</si>
  <si>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</si>
  <si>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</si>
  <si>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</si>
  <si>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</si>
  <si>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</si>
  <si>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Interdisciplinary football science practice</t>
  </si>
  <si>
    <t>Dr Ed Hope</t>
  </si>
  <si>
    <t>Applied experiences and authentic industry engagement</t>
  </si>
  <si>
    <t>Professional development and employability</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</si>
  <si>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</si>
  <si>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</si>
  <si>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</si>
  <si>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the ethical, welfare, and professional responsibilities associated with football science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</si>
  <si>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</si>
  <si>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</si>
  <si>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</si>
  <si>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</si>
  <si>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</si>
  <si>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</si>
  <si>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Problem solving and impact</t>
  </si>
  <si>
    <t>Evidence-based decision making</t>
  </si>
  <si>
    <t>Stakeholder awareness</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</si>
  <si>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</si>
  <si>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</si>
  <si>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</si>
  <si>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</si>
  <si>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</si>
  <si>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</si>
  <si>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</si>
  <si>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</si>
  <si>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Application Ready?</t>
  </si>
  <si>
    <t>Field Trip: Everton's Training Ground - Finch Farm</t>
  </si>
  <si>
    <t>Working as an Ethical Practitioner in Football Science</t>
  </si>
  <si>
    <t>Reflective Practice as a Practitioner</t>
  </si>
  <si>
    <t>Assessment Individual Interviews</t>
  </si>
  <si>
    <t>Group presentation on biomechanical principles in weightlifting</t>
  </si>
  <si>
    <t>Domian-specfic analytical skills</t>
  </si>
  <si>
    <t>Decision-making</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</si>
  <si>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</si>
  <si>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</si>
  <si>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</si>
  <si>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</si>
  <si>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</si>
  <si>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</si>
  <si>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</si>
  <si>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</si>
  <si>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</si>
  <si>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</si>
  <si>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</si>
  <si>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</si>
  <si>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</si>
  <si>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</si>
  <si>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</si>
  <si>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</si>
  <si>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</si>
  <si>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Applied Practice in Football Science</t>
  </si>
  <si>
    <t>The aims of this module are to:</t>
  </si>
  <si>
    <t>Provide students with the opportunity to gain extensive, hands-on experiential learning within a football environment (e.g., professional club, academy, grassroots, or community football trust).</t>
  </si>
  <si>
    <t>Facilitate the critical application of interdisciplinary football science principles to real-world performance or health outcomes.</t>
  </si>
  <si>
    <t>YL</t>
  </si>
  <si>
    <t>Foster advanced critical reflection on personal and professional development, accelerating students' readiness for employment in the football industry.</t>
  </si>
  <si>
    <t>Promote an understanding of safe, ethical, and inclusive practice, heavily emphasising Equity, Diversity, and Inclusion (EDI) and culturally responsive practices within modern football contexts.</t>
  </si>
  <si>
    <t>Ian Beattie</t>
  </si>
  <si>
    <t>Prof Practice Strand</t>
  </si>
  <si>
    <r>
      <t xml:space="preserve">The </t>
    </r>
    <r>
      <rPr>
        <b/>
        <sz val="11"/>
        <color rgb="FF000000"/>
        <rFont val="Aptos Narrow"/>
        <scheme val="minor"/>
      </rPr>
      <t>Applied Practice in Football Science</t>
    </r>
    <r>
      <rPr>
        <sz val="11"/>
        <color rgb="FF000000"/>
        <rFont val="Aptos Narrow"/>
        <scheme val="minor"/>
      </rPr>
      <t xml:space="preserve"> module is the capstone applied learning experience for Level 6 students on the BSc (Hons) Football Science degree. Designed to transition you from an academic student to an industry-ready practitioner, this module places you directly into the fast-paced, dynamic environment of modern football—whether within elite professional academies, first-team environments, grassroots initiatives, performance analysis departments, or community trusts.</t>
    </r>
  </si>
  <si>
    <r>
      <t xml:space="preserve">At this stage in your degree, knowing </t>
    </r>
    <r>
      <rPr>
        <i/>
        <sz val="11"/>
        <color rgb="FF000000"/>
        <rFont val="Aptos Narrow"/>
        <scheme val="minor"/>
      </rPr>
      <t>what</t>
    </r>
    <r>
      <rPr>
        <sz val="11"/>
        <color rgb="FF000000"/>
        <rFont val="Aptos Narrow"/>
        <scheme val="minor"/>
      </rPr>
      <t xml:space="preserve"> the science says is only half the battle; knowing </t>
    </r>
    <r>
      <rPr>
        <i/>
        <sz val="11"/>
        <color rgb="FF000000"/>
        <rFont val="Aptos Narrow"/>
        <scheme val="minor"/>
      </rPr>
      <t>how</t>
    </r>
    <r>
      <rPr>
        <sz val="11"/>
        <color rgb="FF000000"/>
        <rFont val="Aptos Narrow"/>
        <scheme val="minor"/>
      </rPr>
      <t xml:space="preserve"> to apply it in the real world is what sets elite practitioners apart. This module challenges you to put theory into practice, translating complex concepts into practical, actionable insights across the footballing landscape.</t>
    </r>
  </si>
  <si>
    <t>Column1</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</si>
  <si>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</si>
  <si>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and future employability needs.</t>
  </si>
  <si>
    <t>Work independently and collaboratively within a Multidisciplinary Team (MDT), demonstrating effective communication to various stakeholders.</t>
  </si>
  <si>
    <t>Demonstrate a critical understanding of ethical guidelines, safeguarding, and the impact of systemic issues (e.g., race, gender, socio-economic status) on equity and inclusion within football science practice.</t>
  </si>
  <si>
    <t>Individual reflective report</t>
  </si>
  <si>
    <t>Individual reflective presentation</t>
  </si>
  <si>
    <t>Critical thinking</t>
  </si>
  <si>
    <t>6301SPS</t>
  </si>
  <si>
    <t>To develop students' understanding of the role of technology and data in football performance.</t>
  </si>
  <si>
    <t>Football Performance and Technology</t>
  </si>
  <si>
    <t>To develop students' practical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</si>
  <si>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</si>
  <si>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</si>
  <si>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</si>
  <si>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</si>
  <si>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skills in the operation of football performance technologies and the collection, analysis and interpretation of performance data. Students will critically evaluate the application of technology within football, with particular emphasis on physical performance testing and player monitoring to support evidence-informed practice.</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</si>
  <si>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</si>
  <si>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</si>
  <si>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</si>
  <si>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</si>
  <si>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</si>
  <si>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Performance testing and technology</t>
  </si>
  <si>
    <t>Training Load</t>
  </si>
  <si>
    <t>Data collection</t>
  </si>
  <si>
    <t>Written communication</t>
  </si>
  <si>
    <t>Module introduction</t>
  </si>
  <si>
    <t>Introduction to data analysis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</si>
  <si>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</si>
  <si>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</si>
  <si>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</si>
  <si>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</si>
  <si>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</si>
  <si>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</si>
  <si>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</si>
  <si>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</si>
  <si>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</si>
  <si>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Building data analysis skills (workshop)</t>
  </si>
  <si>
    <t>Injuries and Analytics</t>
  </si>
  <si>
    <t>Assessment 1</t>
  </si>
  <si>
    <t>Introduction to player monitoring</t>
  </si>
  <si>
    <t>Data analysis for monitoring (workshop)</t>
  </si>
  <si>
    <t>Data collection assessment 2 (practical - GPS)</t>
  </si>
  <si>
    <t>Match performance</t>
  </si>
  <si>
    <t>Data collection assessment 2 (practical - LPS)</t>
  </si>
  <si>
    <t>Training load</t>
  </si>
  <si>
    <t>Data visualisation (workshop)</t>
  </si>
  <si>
    <t>Biomechanical load monitoring</t>
  </si>
  <si>
    <t>Recap and support</t>
  </si>
  <si>
    <t>Assessment 2</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</si>
  <si>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</si>
  <si>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</si>
  <si>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</si>
  <si>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</si>
  <si>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</si>
  <si>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</si>
  <si>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</si>
  <si>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t>To critically analyse the psychological and cultural challenges that elite players experience within youth and senior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</si>
  <si>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</si>
  <si>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</si>
  <si>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t xml:space="preserve">Individual presentation of infographic </t>
  </si>
  <si>
    <t>Psychological Development Programme</t>
  </si>
  <si>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</si>
  <si>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</si>
  <si>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</si>
  <si>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</si>
  <si>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</si>
  <si>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</si>
  <si>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</si>
  <si>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</si>
  <si>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</si>
  <si>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</si>
  <si>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</si>
  <si>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</si>
  <si>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</si>
  <si>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</si>
  <si>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</si>
  <si>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Critically analyse the metabolic responses to football-specific exercise, and evaluate how these responses inform HIIT training design and execution.</t>
  </si>
  <si>
    <t>Critically evaluate the implementation of evidence-based training across the football microcycle, and orally defend programming decisions in response to applied scenarios.</t>
  </si>
  <si>
    <t>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t>
  </si>
  <si>
    <t>Analytical thinking</t>
  </si>
  <si>
    <t>Management of self and others</t>
  </si>
  <si>
    <t>Delegation</t>
  </si>
  <si>
    <t>Interval Training 1</t>
  </si>
  <si>
    <t>Lab Practical</t>
  </si>
  <si>
    <t>Interval Traing 2</t>
  </si>
  <si>
    <t>Adaptations to interval training</t>
  </si>
  <si>
    <t>Directed Study</t>
  </si>
  <si>
    <t>Strength Training</t>
  </si>
  <si>
    <t xml:space="preserve">Concurrent Training </t>
  </si>
  <si>
    <t>Micro cycle perioisation</t>
  </si>
  <si>
    <t>Guest Speaker</t>
  </si>
  <si>
    <t>Presentations</t>
  </si>
  <si>
    <t>Table 1</t>
  </si>
  <si>
    <t>Table 3</t>
  </si>
  <si>
    <t>Table 5</t>
  </si>
  <si>
    <t>Lab Report</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</si>
  <si>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</si>
  <si>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</si>
  <si>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</si>
  <si>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</si>
  <si>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</si>
  <si>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</si>
  <si>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</si>
  <si>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</si>
  <si>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</si>
  <si>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</si>
  <si>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</si>
  <si>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</si>
  <si>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TechnicalSkills</t>
  </si>
  <si>
    <t>Video</t>
  </si>
  <si>
    <t>Knowledge synthesis</t>
  </si>
  <si>
    <t>ApplicationofKnowledge</t>
  </si>
  <si>
    <t>Infographic</t>
  </si>
  <si>
    <t>UnderstandingResearch</t>
  </si>
  <si>
    <t>Evidence evaluation</t>
  </si>
  <si>
    <t>SelfEvaluation</t>
  </si>
  <si>
    <t>Journal</t>
  </si>
  <si>
    <t>Laboratory/clinical techniques</t>
  </si>
  <si>
    <t>Physical Education</t>
  </si>
  <si>
    <t>MCQ Online Test</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</si>
  <si>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</si>
  <si>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</si>
  <si>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</si>
  <si>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</si>
  <si>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</si>
  <si>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</si>
  <si>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</si>
  <si>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</si>
  <si>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</si>
  <si>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</si>
  <si>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</si>
  <si>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</si>
  <si>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</si>
  <si>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</si>
  <si>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Translational practice</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</si>
  <si>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</si>
  <si>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</si>
  <si>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</si>
  <si>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</si>
  <si>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</si>
  <si>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</si>
  <si>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</si>
  <si>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</si>
  <si>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</si>
  <si>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</si>
  <si>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</si>
  <si>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Self-awareness</t>
  </si>
  <si>
    <t>Lifelong learning</t>
  </si>
  <si>
    <t>Initiative</t>
  </si>
  <si>
    <t>Accountability</t>
  </si>
  <si>
    <t>Active listening</t>
  </si>
  <si>
    <t>Scientific writing</t>
  </si>
  <si>
    <t>problem identification</t>
  </si>
  <si>
    <t>Creative thinking</t>
  </si>
  <si>
    <t>Innovation</t>
  </si>
  <si>
    <t>Evaluation of outcomes</t>
  </si>
  <si>
    <t>Leadership</t>
  </si>
  <si>
    <t>Coaching and mentoring</t>
  </si>
  <si>
    <t>Time management</t>
  </si>
  <si>
    <t>Organisation</t>
  </si>
  <si>
    <t>Conflict resolution</t>
  </si>
  <si>
    <t>Empathy</t>
  </si>
  <si>
    <t>Multi-tasking</t>
  </si>
  <si>
    <t>Resource management</t>
  </si>
  <si>
    <t>Organisational awareness</t>
  </si>
  <si>
    <t>Policy interpretation</t>
  </si>
  <si>
    <t>Service delivery</t>
  </si>
  <si>
    <t>Teamwork</t>
  </si>
  <si>
    <t>Collaboration/multi-disciplinary working</t>
  </si>
  <si>
    <t>Ethical practice</t>
  </si>
  <si>
    <t>Professionalism</t>
  </si>
  <si>
    <t>Cultural awareness and competence</t>
  </si>
  <si>
    <t>Integrity</t>
  </si>
  <si>
    <t>Respect</t>
  </si>
  <si>
    <t>Professional relationships &amp; behaviours</t>
  </si>
  <si>
    <t>4301SPS</t>
  </si>
  <si>
    <t>5302SPS</t>
  </si>
  <si>
    <t>Football tactics and match analysis</t>
  </si>
  <si>
    <t>6302SPS</t>
  </si>
  <si>
    <t>Physical Performance in Football</t>
  </si>
  <si>
    <t>6304SPS</t>
  </si>
  <si>
    <t>Programme</t>
  </si>
  <si>
    <t>Name</t>
  </si>
  <si>
    <t>Extension</t>
  </si>
  <si>
    <t>Date accessed</t>
  </si>
  <si>
    <t>Date modified</t>
  </si>
  <si>
    <t>Date created</t>
  </si>
  <si>
    <t>Folder Path</t>
  </si>
  <si>
    <t>TableName</t>
  </si>
  <si>
    <t>FS</t>
  </si>
  <si>
    <t>Football Science - AllModuleProformas.xlsx</t>
  </si>
  <si>
    <t>.xlsx</t>
  </si>
  <si>
    <t>https://ljmu.sharepoint.com/teams/SPSRe-validation2026Team/Shared Documents/Football Science/Module Documents/</t>
  </si>
  <si>
    <t>4301SPS_Assess</t>
  </si>
  <si>
    <t>4303SPS_Assess</t>
  </si>
  <si>
    <t>5301SPS_Assess</t>
  </si>
  <si>
    <t>5302SPS_Assess</t>
  </si>
  <si>
    <t>6301SPS_Assess</t>
  </si>
  <si>
    <t>6302SPS_Assess</t>
  </si>
  <si>
    <t>6303SPS_Assess</t>
  </si>
  <si>
    <t>6304SPS_Assess</t>
  </si>
  <si>
    <t>Sport and Exercise Science - AllModuleProformas.xlsx</t>
  </si>
  <si>
    <t>https://ljmu.sharepoint.com/teams/SPSRe-validation2026Team/Shared Documents/Sport and Exercise Science/Module Documents/</t>
  </si>
  <si>
    <t>4092SPS_Assess</t>
  </si>
  <si>
    <t>Lab Report Portfolio: Lab Report 1 Submission + Peer Review Activity + Reflection + Lab Report 2 Submission</t>
  </si>
  <si>
    <t xml:space="preserve">In person Online MCQ Exam </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</si>
  <si>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</si>
  <si>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</si>
  <si>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</si>
  <si>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</si>
  <si>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</si>
  <si>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</si>
  <si>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</si>
  <si>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</si>
  <si>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</si>
  <si>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</si>
  <si>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5103SPS_Assess</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</si>
  <si>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</si>
  <si>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</si>
  <si>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6091SPS_Assess</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</si>
  <si>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</si>
  <si>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</si>
  <si>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Sport Psychology - AllModuleProformas.xlsx</t>
  </si>
  <si>
    <t>https://ljmu.sharepoint.com/teams/SPSRe-validation2026Team/Shared Documents/Sport Psychology/Module Documents/</t>
  </si>
  <si>
    <t>4093SPS_Assess</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</si>
  <si>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</si>
  <si>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</si>
  <si>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</si>
  <si>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</si>
  <si>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Sport Coaching - AllModuleProformas.xlsx</t>
  </si>
  <si>
    <t>/Users/SPSMROBI/Documents/GitHub/sps-ppr-2026/</t>
  </si>
  <si>
    <t>Physical Education - AllModuleProformas.xlsx</t>
  </si>
  <si>
    <t>Sport Nutrition - AllModuleProformas.xlsx</t>
  </si>
  <si>
    <t>ExternalData_3</t>
  </si>
  <si>
    <t>RelevantItems</t>
  </si>
  <si>
    <t>Meta</t>
  </si>
  <si>
    <t>LO</t>
  </si>
  <si>
    <t>Assess</t>
  </si>
  <si>
    <t>Hours</t>
  </si>
  <si>
    <t>Mapping</t>
  </si>
  <si>
    <t>RegisterBlocks</t>
  </si>
  <si>
    <t>[Record]</t>
  </si>
  <si>
    <t>ProgCode</t>
  </si>
  <si>
    <t>ModuleCode</t>
  </si>
  <si>
    <t>ModuleTitle</t>
  </si>
  <si>
    <t>6303SPS</t>
  </si>
  <si>
    <t>4091SPS</t>
  </si>
  <si>
    <t>Research Methods 1</t>
  </si>
  <si>
    <t>4092SPS</t>
  </si>
  <si>
    <t>Exercise Phys L4</t>
  </si>
  <si>
    <t>4094SPS</t>
  </si>
  <si>
    <t>Human Movement</t>
  </si>
  <si>
    <t>4093SPS</t>
  </si>
  <si>
    <t>Psychosocial Principles of Sport and Exercise</t>
  </si>
  <si>
    <t>5091SPS</t>
  </si>
  <si>
    <t>Research Methods 2</t>
  </si>
  <si>
    <t>5092SPS</t>
  </si>
  <si>
    <t>Physiological adaptations to exercise</t>
  </si>
  <si>
    <t>5103SPS</t>
  </si>
  <si>
    <t>Biomechanics</t>
  </si>
  <si>
    <t>6091SPS</t>
  </si>
  <si>
    <t>Major Project</t>
  </si>
  <si>
    <t>PE</t>
  </si>
  <si>
    <t>4201SPS</t>
  </si>
  <si>
    <t>Professional Practice in Physical Education</t>
  </si>
  <si>
    <t>4202SPS</t>
  </si>
  <si>
    <t>Learning in PE and Sport Contexts</t>
  </si>
  <si>
    <t>5201SPS</t>
  </si>
  <si>
    <t>Professional Practice in PE 2</t>
  </si>
  <si>
    <t>5202SPS</t>
  </si>
  <si>
    <t>Learning in PE and Sport Contexts 2</t>
  </si>
  <si>
    <t>5203SPS</t>
  </si>
  <si>
    <t>Primary PE teacher Education</t>
  </si>
  <si>
    <t>5204SPS</t>
  </si>
  <si>
    <t>Physical Education in Action 1</t>
  </si>
  <si>
    <t>6202SPS</t>
  </si>
  <si>
    <t>Learning in PE and Sport Contexts 3 (TBC)</t>
  </si>
  <si>
    <t>6203SPS</t>
  </si>
  <si>
    <t>Professional Practicel in PE 3</t>
  </si>
  <si>
    <t>6096SPS</t>
  </si>
  <si>
    <t>Secondary PE Teacher Education</t>
  </si>
  <si>
    <t>SES</t>
  </si>
  <si>
    <t>4101SPS</t>
  </si>
  <si>
    <t>Professional Practice</t>
  </si>
  <si>
    <t>4102SPS</t>
  </si>
  <si>
    <t>Understanding Physical Activity and Sedentary Behaviour</t>
  </si>
  <si>
    <t>5101SPS</t>
  </si>
  <si>
    <t>Professional Practice in Sport and Exercise Science 2</t>
  </si>
  <si>
    <t>5102SPS</t>
  </si>
  <si>
    <t>Influences and Assessment of Physical Activity and Sedentary Behaviour</t>
  </si>
  <si>
    <t>6101SPS</t>
  </si>
  <si>
    <t>Sport and Injury Biomechanics</t>
  </si>
  <si>
    <t>6102SPS</t>
  </si>
  <si>
    <t>Physical activity and sedentary behaviour across the life course</t>
  </si>
  <si>
    <t>6103SPS</t>
  </si>
  <si>
    <t>Exercise Metabolism</t>
  </si>
  <si>
    <t>6104SPS</t>
  </si>
  <si>
    <t>Cardiovascular Physiology</t>
  </si>
  <si>
    <t>6105SPS</t>
  </si>
  <si>
    <t>Clinical Biomechanics</t>
  </si>
  <si>
    <t>6106SPS</t>
  </si>
  <si>
    <t>6107SPS</t>
  </si>
  <si>
    <t>Environmental Physiology</t>
  </si>
  <si>
    <t>6108SPS</t>
  </si>
  <si>
    <t>Health and Performance Nutrition</t>
  </si>
  <si>
    <t>6109SPS</t>
  </si>
  <si>
    <t>Applied Professional Practice</t>
  </si>
  <si>
    <t>6093SPS</t>
  </si>
  <si>
    <t>Strength and Conditioning</t>
  </si>
  <si>
    <t>6094SPS</t>
  </si>
  <si>
    <t>Behaviour Change</t>
  </si>
  <si>
    <t>6095SPS</t>
  </si>
  <si>
    <t>Performance Analysis in Sport</t>
  </si>
  <si>
    <t>5093SPS</t>
  </si>
  <si>
    <t>Sport amd Performance Psychology</t>
  </si>
  <si>
    <t>6052SPS</t>
  </si>
  <si>
    <t>Applied Motor Behaviour</t>
  </si>
  <si>
    <t>6097SPS</t>
  </si>
  <si>
    <t>Working in High Performance Sport</t>
  </si>
  <si>
    <t>COACH</t>
  </si>
  <si>
    <t>Learning Theory and Practice 1</t>
  </si>
  <si>
    <t>4401SPS</t>
  </si>
  <si>
    <t>Professional Practice in Sport Coaching 1</t>
  </si>
  <si>
    <t>5401SPS</t>
  </si>
  <si>
    <t>Professional Practice in Sport Coaching 2</t>
  </si>
  <si>
    <t>5402SPS</t>
  </si>
  <si>
    <t>Effective Coaching in Paralympic and Disability Sport</t>
  </si>
  <si>
    <t>5403SPS</t>
  </si>
  <si>
    <t>Strength and Conditioning for Coaches</t>
  </si>
  <si>
    <t>5XX1SPS</t>
  </si>
  <si>
    <t>Learning Theory and Practice</t>
  </si>
  <si>
    <t>5XX2SPS</t>
  </si>
  <si>
    <t>Youth and Community Football Coaching</t>
  </si>
  <si>
    <t>6XX1SPS</t>
  </si>
  <si>
    <t>Advanced Coaching Practice</t>
  </si>
  <si>
    <t>6XX2SPS</t>
  </si>
  <si>
    <t>Coach Development and Learning</t>
  </si>
  <si>
    <t>6403SPS</t>
  </si>
  <si>
    <t>Placement/Projects in Sport for Professional Development</t>
  </si>
  <si>
    <t>NUTR</t>
  </si>
  <si>
    <t>4NX1SPS</t>
  </si>
  <si>
    <t>Professional Practice 1 in Sport Nutrition</t>
  </si>
  <si>
    <t>4NX2SPS</t>
  </si>
  <si>
    <t>Principles of Human Nutrition</t>
  </si>
  <si>
    <t>4NX3SPS</t>
  </si>
  <si>
    <t>Nutritional Biochemistry and Metabolism</t>
  </si>
  <si>
    <t>4NX4SPS</t>
  </si>
  <si>
    <t>Performance Nutrition</t>
  </si>
  <si>
    <t>5NX1SPS</t>
  </si>
  <si>
    <t>Professional Practice 2 in Sport Nutrition</t>
  </si>
  <si>
    <t>5NX2SPS</t>
  </si>
  <si>
    <t>Product Development for Sport Nutrition</t>
  </si>
  <si>
    <t>5NX3SPS</t>
  </si>
  <si>
    <t>Applied Nutrition and Exercise Biochemistry</t>
  </si>
  <si>
    <t>5NX4SPS</t>
  </si>
  <si>
    <t>Lifespan Nutrition and Eating Behaviour</t>
  </si>
  <si>
    <t>6NX1SPS</t>
  </si>
  <si>
    <t>Molecular Nutrition and Genetics</t>
  </si>
  <si>
    <t>6NX2SPS</t>
  </si>
  <si>
    <t>Sport Supplements and Contemporary Issues</t>
  </si>
  <si>
    <t>6NX3SPS</t>
  </si>
  <si>
    <t>Sport Nutrition for Health, Adaptation and Recovery</t>
  </si>
  <si>
    <t>6NX4SPS</t>
  </si>
  <si>
    <t>Capstone Placment Project</t>
  </si>
  <si>
    <t>6NX5SPS</t>
  </si>
  <si>
    <t>Applied Placement</t>
  </si>
  <si>
    <t>PSYC</t>
  </si>
  <si>
    <t>4051SPS</t>
  </si>
  <si>
    <t>PROFESSIONAL PRACTICE IN SPORT PSYCHOLOGY 1</t>
  </si>
  <si>
    <t>4052SPS</t>
  </si>
  <si>
    <t>Introduction to Developmental Psychology and Individual Differences</t>
  </si>
  <si>
    <t>4053SPS</t>
  </si>
  <si>
    <t>Introduction to Cognitive and Biological Psychology</t>
  </si>
  <si>
    <t>4054SPS</t>
  </si>
  <si>
    <t>Academic Skills</t>
  </si>
  <si>
    <t>5051SPS</t>
  </si>
  <si>
    <t>PROFESSIONAL PRACTICE IN SPORT PSYCHOLOGY 2</t>
  </si>
  <si>
    <t>5052SPS</t>
  </si>
  <si>
    <t>Advances in Cognitive and Biological Psychology</t>
  </si>
  <si>
    <t>5053SPS</t>
  </si>
  <si>
    <t>Exercise and Health Psychology</t>
  </si>
  <si>
    <t>5054SPS</t>
  </si>
  <si>
    <t>Developmental and Social Psychology</t>
  </si>
  <si>
    <t>6051SPS</t>
  </si>
  <si>
    <t>Professional Practice 3</t>
  </si>
  <si>
    <t>6053SPS</t>
  </si>
  <si>
    <t>Current Issues in Sport and Exercise Psychology</t>
  </si>
  <si>
    <t>6054SPS</t>
  </si>
  <si>
    <t>Professional placement or work related learning project</t>
  </si>
  <si>
    <t>SourceWorkbook</t>
  </si>
  <si>
    <t>ItemSuffix</t>
  </si>
  <si>
    <t>4093SPS_Meta</t>
  </si>
  <si>
    <t>Kathryn Curran</t>
  </si>
  <si>
    <t>4091SPS_Meta</t>
  </si>
  <si>
    <t>4092SPS_Meta</t>
  </si>
  <si>
    <t>TBC</t>
  </si>
  <si>
    <t>Gemma Miller (TBC)</t>
  </si>
  <si>
    <t>4094SPS_Meta</t>
  </si>
  <si>
    <t>Katie Fitton Davies</t>
  </si>
  <si>
    <t>5091SPS_Meta</t>
  </si>
  <si>
    <t>Jonathan Foulkes</t>
  </si>
  <si>
    <t>5092SPS_Meta</t>
  </si>
  <si>
    <t>Pascale Kippelen</t>
  </si>
  <si>
    <t>5103SPS_Meta</t>
  </si>
  <si>
    <t xml:space="preserve">Biomechanics </t>
  </si>
  <si>
    <t xml:space="preserve">Thomas O'Brien </t>
  </si>
  <si>
    <t>6091SPS_Meta</t>
  </si>
  <si>
    <t>4301SPS_Meta</t>
  </si>
  <si>
    <t>4303SPS_Meta</t>
  </si>
  <si>
    <t>5301SPS_Meta</t>
  </si>
  <si>
    <t>5302SPS_Meta</t>
  </si>
  <si>
    <t>6301SPS_Meta</t>
  </si>
  <si>
    <t>6302SPS_Meta</t>
  </si>
  <si>
    <t>6303SPS_Meta</t>
  </si>
  <si>
    <t>6304SPS_Meta</t>
  </si>
  <si>
    <t>4093SPS_LO</t>
  </si>
  <si>
    <t>Outline the importance of psychology, sociology and psychosocial principles in sport and exercise.</t>
  </si>
  <si>
    <t>Describe the individual and environmental psychosocial principles associated with sport and exercise.</t>
  </si>
  <si>
    <t>Describe the social processes and behavioural outcomes associated with sport and exercise.</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</si>
  <si>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</si>
  <si>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</si>
  <si>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</si>
  <si>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</si>
  <si>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</si>
  <si>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</si>
  <si>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</si>
  <si>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</si>
  <si>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</si>
  <si>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</si>
  <si>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</si>
  <si>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</si>
  <si>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</si>
  <si>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</si>
  <si>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</si>
  <si>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5103SPS_LO</t>
  </si>
  <si>
    <t>Collect, analyse and report biomechanical data and in sports and exercise applications</t>
  </si>
  <si>
    <t xml:space="preserve">Explain how biomechanical principles can be used to improve performance and reduce injury </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</si>
  <si>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</si>
  <si>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</si>
  <si>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</si>
  <si>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</si>
  <si>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4301SPS_LO</t>
  </si>
  <si>
    <t>4303SPS_LO</t>
  </si>
  <si>
    <t>5301SPS_LO</t>
  </si>
  <si>
    <t>6301SPS_LO</t>
  </si>
  <si>
    <t>6302SPS_LO</t>
  </si>
  <si>
    <t>6303SPS_LO</t>
  </si>
  <si>
    <t>6304SPS_LO</t>
  </si>
  <si>
    <t>4093SPS_Hours</t>
  </si>
  <si>
    <t>4091SPS_Hours</t>
  </si>
  <si>
    <t>4092SPS_Hours</t>
  </si>
  <si>
    <t>4094SPS_Hours</t>
  </si>
  <si>
    <t>5091SPS_Hours</t>
  </si>
  <si>
    <t>5092SPS_Hours</t>
  </si>
  <si>
    <t>5103SPS_Hours</t>
  </si>
  <si>
    <t>6091SPS_Hours</t>
  </si>
  <si>
    <t>4301SPS_Hours</t>
  </si>
  <si>
    <t>4303SPS_Hours</t>
  </si>
  <si>
    <t>5301SPS_Hours</t>
  </si>
  <si>
    <t>5302SPS_Hours</t>
  </si>
  <si>
    <t>6301SPS_Hours</t>
  </si>
  <si>
    <t>6302SPS_Hours</t>
  </si>
  <si>
    <t>6303SPS_Hours</t>
  </si>
  <si>
    <t>6304SPS_Hours</t>
  </si>
  <si>
    <t>4093SPS_Mapping</t>
  </si>
  <si>
    <t>4091SPS_Mapping</t>
  </si>
  <si>
    <t>4092SPS_Mapping</t>
  </si>
  <si>
    <t>4094SPS_Mapping</t>
  </si>
  <si>
    <t>5091SPS_Mapping</t>
  </si>
  <si>
    <t>5092SPS_Mapping</t>
  </si>
  <si>
    <t>5103SPS_Mapping</t>
  </si>
  <si>
    <t>6091SPS_Mapping</t>
  </si>
  <si>
    <t>4301SPS_Mapping</t>
  </si>
  <si>
    <t>4303SPS_Mapping</t>
  </si>
  <si>
    <t>5301SPS_Mapping</t>
  </si>
  <si>
    <t>5302SPS_Mapping</t>
  </si>
  <si>
    <t>6301SPS_Mapping</t>
  </si>
  <si>
    <t>6302SPS_Mapping</t>
  </si>
  <si>
    <t>6303SPS_Mapping</t>
  </si>
  <si>
    <t>6304SPS_Mapping</t>
  </si>
  <si>
    <t>TableData</t>
  </si>
  <si>
    <t>4202SPS_LO</t>
  </si>
  <si>
    <t>[Table]</t>
  </si>
  <si>
    <t>4202SPS_Mapping</t>
  </si>
  <si>
    <t>4202SPS_Meta</t>
  </si>
  <si>
    <t>4202SPS_Hours</t>
  </si>
  <si>
    <t>4202SPS_Assess</t>
  </si>
  <si>
    <t>4401SPS_LO</t>
  </si>
  <si>
    <t>4401SPS_Mapping</t>
  </si>
  <si>
    <t>4401SPS_Meta</t>
  </si>
  <si>
    <t>4401SPS_Hours</t>
  </si>
  <si>
    <t>4401SPS_Assess</t>
  </si>
  <si>
    <t>5401SPS_LO</t>
  </si>
  <si>
    <t>5401SPS_Mapping</t>
  </si>
  <si>
    <t>5401SPS_Meta</t>
  </si>
  <si>
    <t>5401SPS_Hours</t>
  </si>
  <si>
    <t>5401SPS_Assess</t>
  </si>
  <si>
    <t>5402SPS_LO</t>
  </si>
  <si>
    <t>5402SPS_Mapping</t>
  </si>
  <si>
    <t>5402SPS_Meta</t>
  </si>
  <si>
    <t>5402SPS_Hours</t>
  </si>
  <si>
    <t>5402SPS_Assess</t>
  </si>
  <si>
    <t>5403SPS_LO</t>
  </si>
  <si>
    <t>5403SPS_Mapping</t>
  </si>
  <si>
    <t>5403SPS_Meta</t>
  </si>
  <si>
    <t>5403SPS_Hours</t>
  </si>
  <si>
    <t>5403SPS_Assess</t>
  </si>
  <si>
    <t>5XX1SPS_LO</t>
  </si>
  <si>
    <t>5XX1SPS_Mapping</t>
  </si>
  <si>
    <t>5XX1SPS_Meta</t>
  </si>
  <si>
    <t>5XX1SPS_Hours</t>
  </si>
  <si>
    <t>5XX1SPS_Assess</t>
  </si>
  <si>
    <t>5XX2SPS_LO</t>
  </si>
  <si>
    <t>5XX2SPS_Mapping</t>
  </si>
  <si>
    <t>5XX2SPS_Meta</t>
  </si>
  <si>
    <t>5XX2SPS_Hours</t>
  </si>
  <si>
    <t>5XX2SPS_Assess</t>
  </si>
  <si>
    <t>6XX1SPS_LO</t>
  </si>
  <si>
    <t>6XX1SPS_Mapping</t>
  </si>
  <si>
    <t>6XX1SPS_Meta</t>
  </si>
  <si>
    <t>6XX1SPS_Hours</t>
  </si>
  <si>
    <t>6XX1SPS_Assess</t>
  </si>
  <si>
    <t>6XX2SPS_LO</t>
  </si>
  <si>
    <t>6XX2SPS_Mapping</t>
  </si>
  <si>
    <t>6XX2SPS_Meta</t>
  </si>
  <si>
    <t>6XX2SPS_Hours</t>
  </si>
  <si>
    <t>6XX2SPS_Assess</t>
  </si>
  <si>
    <t>6403SPS_LO</t>
  </si>
  <si>
    <t>6403SPS_Mapping</t>
  </si>
  <si>
    <t>6403SPS_Meta</t>
  </si>
  <si>
    <t>6403SPS_Hours</t>
  </si>
  <si>
    <t>6403SPS_Assess</t>
  </si>
  <si>
    <t>6097SPS_LO</t>
  </si>
  <si>
    <t>6097SPS_Mapping</t>
  </si>
  <si>
    <t>6097SPS_Meta</t>
  </si>
  <si>
    <t>6097SPS_Hours</t>
  </si>
  <si>
    <t>6097SPS_Assess</t>
  </si>
  <si>
    <t>Module (13)_LO</t>
  </si>
  <si>
    <t>Module (13)</t>
  </si>
  <si>
    <t>Module (13)_Mapping</t>
  </si>
  <si>
    <t>Module (13)_Meta</t>
  </si>
  <si>
    <t>Module (13)_Hours</t>
  </si>
  <si>
    <t>Module (13)_Assess</t>
  </si>
  <si>
    <t>Template_LO</t>
  </si>
  <si>
    <t>Template</t>
  </si>
  <si>
    <t>Template_Mapping</t>
  </si>
  <si>
    <t>Template_Meta</t>
  </si>
  <si>
    <t>Template_Hours</t>
  </si>
  <si>
    <t>Template_Assess</t>
  </si>
  <si>
    <t>LISTS_Assess</t>
  </si>
  <si>
    <t>LISTS</t>
  </si>
  <si>
    <t>4201SPS_LO</t>
  </si>
  <si>
    <t>4201SPS_Mapping</t>
  </si>
  <si>
    <t>4201SPS_Meta</t>
  </si>
  <si>
    <t>4201SPS_Hours</t>
  </si>
  <si>
    <t>4201SPS_Assess</t>
  </si>
  <si>
    <t>5201SPS_LO</t>
  </si>
  <si>
    <t>5201SPS_Mapping</t>
  </si>
  <si>
    <t>5201SPS_Meta</t>
  </si>
  <si>
    <t>5201SPS_Hours</t>
  </si>
  <si>
    <t>5201SPS_Assess</t>
  </si>
  <si>
    <t>5202SPS_LO</t>
  </si>
  <si>
    <t>5202SPS_Mapping</t>
  </si>
  <si>
    <t>5202SPS_Meta</t>
  </si>
  <si>
    <t>5202SPS_Hours</t>
  </si>
  <si>
    <t>5202SPS_Assess</t>
  </si>
  <si>
    <t>5203SPS_LO</t>
  </si>
  <si>
    <t>5203SPS_Mapping</t>
  </si>
  <si>
    <t>5203SPS_Meta</t>
  </si>
  <si>
    <t>5203SPS_Hours</t>
  </si>
  <si>
    <t>5203SPS_Assess</t>
  </si>
  <si>
    <t>5204SPS_LO</t>
  </si>
  <si>
    <t>5204SPS_Mapping</t>
  </si>
  <si>
    <t>5204SPS_Meta</t>
  </si>
  <si>
    <t>5204SPS_Hours</t>
  </si>
  <si>
    <t>5204SPS_Assess</t>
  </si>
  <si>
    <t>6202SPS_LO</t>
  </si>
  <si>
    <t>6202SPS_Mapping</t>
  </si>
  <si>
    <t>6202SPS_Meta</t>
  </si>
  <si>
    <t>6202SPS_Hours</t>
  </si>
  <si>
    <t>6202SPS_Assess</t>
  </si>
  <si>
    <t>6203SPS_LO</t>
  </si>
  <si>
    <t>6203SPS_Mapping</t>
  </si>
  <si>
    <t>6203SPS_Meta</t>
  </si>
  <si>
    <t>6203SPS_Hours</t>
  </si>
  <si>
    <t>6203SPS_Assess</t>
  </si>
  <si>
    <t>6096SPS_Mapping</t>
  </si>
  <si>
    <t>6096SPS_Meta</t>
  </si>
  <si>
    <t>6096SPS_Hours</t>
  </si>
  <si>
    <t>6096SPS_Assess</t>
  </si>
  <si>
    <t>6096SPS_LO</t>
  </si>
  <si>
    <t>4051SPS_LO</t>
  </si>
  <si>
    <t>4051SPS_Mapping</t>
  </si>
  <si>
    <t>4051SPS_Meta</t>
  </si>
  <si>
    <t>4051SPS_Hours</t>
  </si>
  <si>
    <t>4051SPS_Assess</t>
  </si>
  <si>
    <t>4052SPS_LO</t>
  </si>
  <si>
    <t>4052SPS_Mapping</t>
  </si>
  <si>
    <t>4052SPS_Meta</t>
  </si>
  <si>
    <t>4052SPS_Hours</t>
  </si>
  <si>
    <t>4052SPS_Assess</t>
  </si>
  <si>
    <t>4053SPS_LO</t>
  </si>
  <si>
    <t>4053SPS_Mapping</t>
  </si>
  <si>
    <t>4053SPS_Meta</t>
  </si>
  <si>
    <t>4053SPS_Hours</t>
  </si>
  <si>
    <t>4053SPS_Assess</t>
  </si>
  <si>
    <t>4054SPS_LO</t>
  </si>
  <si>
    <t>4054SPS_Mapping</t>
  </si>
  <si>
    <t>4054SPS_Meta</t>
  </si>
  <si>
    <t>4054SPS_Hours</t>
  </si>
  <si>
    <t>4054SPS_Assess</t>
  </si>
  <si>
    <t>5051SPS_LO</t>
  </si>
  <si>
    <t>5051SPS_Mapping</t>
  </si>
  <si>
    <t>5051SPS_Meta</t>
  </si>
  <si>
    <t>5051SPS_Hours</t>
  </si>
  <si>
    <t>5051SPS_Assess</t>
  </si>
  <si>
    <t>5052SPS_LO</t>
  </si>
  <si>
    <t>5052SPS_Mapping</t>
  </si>
  <si>
    <t>5052SPS_Meta</t>
  </si>
  <si>
    <t>5052SPS_Hours</t>
  </si>
  <si>
    <t>5052SPS_Assess</t>
  </si>
  <si>
    <t>5053SPS_LO</t>
  </si>
  <si>
    <t>5053SPS_Mapping</t>
  </si>
  <si>
    <t>5053SPS_Meta</t>
  </si>
  <si>
    <t>5053SPS_Hours</t>
  </si>
  <si>
    <t>5053SPS_Assess</t>
  </si>
  <si>
    <t>5054SPS_LO</t>
  </si>
  <si>
    <t>5054SPS_Mapping</t>
  </si>
  <si>
    <t>5054SPS_Meta</t>
  </si>
  <si>
    <t>5054SPS_Hours</t>
  </si>
  <si>
    <t>5054SPS_Assess</t>
  </si>
  <si>
    <t>5093SPS_LO</t>
  </si>
  <si>
    <t>5093SPS_Mapping</t>
  </si>
  <si>
    <t>5093SPS_Meta</t>
  </si>
  <si>
    <t>5093SPS_Hours</t>
  </si>
  <si>
    <t>5093SPS_Assess</t>
  </si>
  <si>
    <t>6051SPS_LO</t>
  </si>
  <si>
    <t>6051SPS_Mapping</t>
  </si>
  <si>
    <t>6051SPS_Meta</t>
  </si>
  <si>
    <t>6051SPS_Hours</t>
  </si>
  <si>
    <t>6051SPS_Assess</t>
  </si>
  <si>
    <t>6052SPS_LO</t>
  </si>
  <si>
    <t>6052SPS_Mapping</t>
  </si>
  <si>
    <t>6052SPS_Meta</t>
  </si>
  <si>
    <t>6052SPS_Hours</t>
  </si>
  <si>
    <t>6052SPS_Assess</t>
  </si>
  <si>
    <t>6053SPS_LO</t>
  </si>
  <si>
    <t>6053SPS_Mapping</t>
  </si>
  <si>
    <t>6053SPS_Meta</t>
  </si>
  <si>
    <t>6053SPS_Hours</t>
  </si>
  <si>
    <t>6053SPS_Assess</t>
  </si>
  <si>
    <t>6054SPS_LO</t>
  </si>
  <si>
    <t>6054SPS_Mapping</t>
  </si>
  <si>
    <t>6054SPS_Meta</t>
  </si>
  <si>
    <t>6054SPS_Hours</t>
  </si>
  <si>
    <t>6054SPS_Assess</t>
  </si>
  <si>
    <t>Module_LO</t>
  </si>
  <si>
    <t>Module</t>
  </si>
  <si>
    <t>Module_Mapping</t>
  </si>
  <si>
    <t>Module_Meta</t>
  </si>
  <si>
    <t>Module_Hours</t>
  </si>
  <si>
    <t>Module_Assess</t>
  </si>
  <si>
    <t>4101SPS_LO</t>
  </si>
  <si>
    <t>4101SPS_Mapping</t>
  </si>
  <si>
    <t>4101SPS_Meta</t>
  </si>
  <si>
    <t>4101SPS_Hours</t>
  </si>
  <si>
    <t>4101SPS_Assess</t>
  </si>
  <si>
    <t>4102SPS_LO</t>
  </si>
  <si>
    <t>4102SPS_Mapping</t>
  </si>
  <si>
    <t>4102SPS_Meta</t>
  </si>
  <si>
    <t>4102SPS_Hours</t>
  </si>
  <si>
    <t>4102SPS_Assess</t>
  </si>
  <si>
    <t>4091SPS_LO</t>
  </si>
  <si>
    <t>4091SPS_Assess</t>
  </si>
  <si>
    <t>5101SPS_LO</t>
  </si>
  <si>
    <t>5101SPS_Mapping</t>
  </si>
  <si>
    <t>5101SPS_Meta</t>
  </si>
  <si>
    <t>5101SPS_Hours</t>
  </si>
  <si>
    <t>5101SPS_Assess</t>
  </si>
  <si>
    <t>5102SPS_LO</t>
  </si>
  <si>
    <t>5102SPS_Mapping</t>
  </si>
  <si>
    <t>5102SPS_Meta</t>
  </si>
  <si>
    <t>5102SPS_Hours</t>
  </si>
  <si>
    <t>5102SPS_Assess</t>
  </si>
  <si>
    <t>6101SPS_LO</t>
  </si>
  <si>
    <t>6101SPS_Mapping</t>
  </si>
  <si>
    <t>6101SPS_Meta</t>
  </si>
  <si>
    <t>6101SPS_Hours</t>
  </si>
  <si>
    <t>6101SPS_Assess</t>
  </si>
  <si>
    <t>6102SPS_Mapping</t>
  </si>
  <si>
    <t>6102SPS_Meta</t>
  </si>
  <si>
    <t>6102SPS_Hours</t>
  </si>
  <si>
    <t>6102SPS_Assess</t>
  </si>
  <si>
    <t>6102SPS_LO</t>
  </si>
  <si>
    <t>6103SPS_Mapping</t>
  </si>
  <si>
    <t>6103SPS_Meta</t>
  </si>
  <si>
    <t>6103SPS_Hours</t>
  </si>
  <si>
    <t>6103SPS_Assess</t>
  </si>
  <si>
    <t>6103SPS_LO</t>
  </si>
  <si>
    <t>6104SPS_LO</t>
  </si>
  <si>
    <t>6104SPS_Mapping</t>
  </si>
  <si>
    <t>6104SPS_Meta</t>
  </si>
  <si>
    <t>6104SPS_Hours</t>
  </si>
  <si>
    <t>6104SPS_Assess</t>
  </si>
  <si>
    <t>6105SPS_LO</t>
  </si>
  <si>
    <t>6105SPS_Mapping</t>
  </si>
  <si>
    <t>6105SPS_Meta</t>
  </si>
  <si>
    <t>6105SPS_Hours</t>
  </si>
  <si>
    <t>6105SPS_Assess</t>
  </si>
  <si>
    <t>6106SPS_LO</t>
  </si>
  <si>
    <t>6106SPS_Mapping</t>
  </si>
  <si>
    <t>6106SPS_Meta</t>
  </si>
  <si>
    <t>6106SPS_Hours</t>
  </si>
  <si>
    <t>6106SPS_Assess</t>
  </si>
  <si>
    <t>6107SPS_LO</t>
  </si>
  <si>
    <t>6107SPS_Mapping</t>
  </si>
  <si>
    <t>6107SPS_Meta</t>
  </si>
  <si>
    <t>6107SPS_Hours</t>
  </si>
  <si>
    <t>6107SPS_Assess</t>
  </si>
  <si>
    <t>6108SPS_LO</t>
  </si>
  <si>
    <t>6108SPS_Mapping</t>
  </si>
  <si>
    <t>6108SPS_Meta</t>
  </si>
  <si>
    <t>6108SPS_Hours</t>
  </si>
  <si>
    <t>6108SPS_Assess</t>
  </si>
  <si>
    <t>6109SPS_LO</t>
  </si>
  <si>
    <t>6109SPS_Mapping</t>
  </si>
  <si>
    <t>6109SPS_Meta</t>
  </si>
  <si>
    <t>6109SPS_Hours</t>
  </si>
  <si>
    <t>6109SPS_Assess</t>
  </si>
  <si>
    <t>6093SPS_LO</t>
  </si>
  <si>
    <t>6093SPS_Mapping</t>
  </si>
  <si>
    <t>6093SPS_Meta</t>
  </si>
  <si>
    <t>6093SPS_Hours</t>
  </si>
  <si>
    <t>6093SPS_Assess</t>
  </si>
  <si>
    <t>6094SPS_LO</t>
  </si>
  <si>
    <t>6094SPS_Mapping</t>
  </si>
  <si>
    <t>6094SPS_Meta</t>
  </si>
  <si>
    <t>6094SPS_Hours</t>
  </si>
  <si>
    <t>6094SPS_Assess</t>
  </si>
  <si>
    <t>6095SPS_LO</t>
  </si>
  <si>
    <t>6095SPS_Mapping</t>
  </si>
  <si>
    <t>6095SPS_Meta</t>
  </si>
  <si>
    <t>6095SPS_Hours</t>
  </si>
  <si>
    <t>6095SPS_Assess</t>
  </si>
  <si>
    <t>Module (22)_LO</t>
  </si>
  <si>
    <t>Module (22)</t>
  </si>
  <si>
    <t>Module (22)_Mapping</t>
  </si>
  <si>
    <t>Module (22)_Meta</t>
  </si>
  <si>
    <t>Module (22)_Hours</t>
  </si>
  <si>
    <t>Module (22)_Assess</t>
  </si>
  <si>
    <t>4NX1SPS_LO</t>
  </si>
  <si>
    <t>4NX1SPS_Mapping</t>
  </si>
  <si>
    <t>4NX1SPS_Meta</t>
  </si>
  <si>
    <t>4NX1SPS_Hours</t>
  </si>
  <si>
    <t>4NX1SPS_Assess</t>
  </si>
  <si>
    <t>4NX2SPS_LO</t>
  </si>
  <si>
    <t>4NX2SPS_Mapping</t>
  </si>
  <si>
    <t>4NX2SPS_Meta</t>
  </si>
  <si>
    <t>4NX2SPS_Hours</t>
  </si>
  <si>
    <t>4NX2SPS_Assess</t>
  </si>
  <si>
    <t>4NX3SPS_LO</t>
  </si>
  <si>
    <t>4NX3SPS_Mapping</t>
  </si>
  <si>
    <t>4NX3SPS_Meta</t>
  </si>
  <si>
    <t>4NX3SPS_Hours</t>
  </si>
  <si>
    <t>4NX3SPS_Assess</t>
  </si>
  <si>
    <t>4NX4SPS_LO</t>
  </si>
  <si>
    <t>4NX4SPS_Mapping</t>
  </si>
  <si>
    <t>4NX4SPS_Meta</t>
  </si>
  <si>
    <t>4NX4SPS_Hours</t>
  </si>
  <si>
    <t>4NX4SPS_Assess</t>
  </si>
  <si>
    <t>5NX1SPS_LO</t>
  </si>
  <si>
    <t>5NX1SPS_Mapping</t>
  </si>
  <si>
    <t>5NX1SPS_Meta</t>
  </si>
  <si>
    <t>5NX1SPS_Hours</t>
  </si>
  <si>
    <t>5NX1SPS_Assess</t>
  </si>
  <si>
    <t>5NX2SPS_LO</t>
  </si>
  <si>
    <t>5NX2SPS_Mapping</t>
  </si>
  <si>
    <t>5NX2SPS_Meta</t>
  </si>
  <si>
    <t>5NX2SPS_Hours</t>
  </si>
  <si>
    <t>5NX2SPS_Assess</t>
  </si>
  <si>
    <t>5NX3SPS_LO</t>
  </si>
  <si>
    <t>5NX3SPS_Mapping</t>
  </si>
  <si>
    <t>5NX3SPS_Meta</t>
  </si>
  <si>
    <t>5NX3SPS_Hours</t>
  </si>
  <si>
    <t>5NX3SPS_Assess</t>
  </si>
  <si>
    <t>5NX4SPS_LO</t>
  </si>
  <si>
    <t>5NX4SPS_Mapping</t>
  </si>
  <si>
    <t>5NX4SPS_Meta</t>
  </si>
  <si>
    <t>5NX4SPS_Hours</t>
  </si>
  <si>
    <t>5NX4SPS_Assess</t>
  </si>
  <si>
    <t>6NX1SPS_LO</t>
  </si>
  <si>
    <t>6NX1SPS_Mapping</t>
  </si>
  <si>
    <t>6NX1SPS_Meta</t>
  </si>
  <si>
    <t>6NX1SPS_Hours</t>
  </si>
  <si>
    <t>6NX1SPS_Assess</t>
  </si>
  <si>
    <t>6NX2SPS_LO</t>
  </si>
  <si>
    <t>6NX2SPS_Mapping</t>
  </si>
  <si>
    <t>6NX2SPS_Meta</t>
  </si>
  <si>
    <t>6NX2SPS_Hours</t>
  </si>
  <si>
    <t>6NX2SPS_Assess</t>
  </si>
  <si>
    <t>6NX3SPS_LO</t>
  </si>
  <si>
    <t>6NX3SPS_Mapping</t>
  </si>
  <si>
    <t>6NX3SPS_Meta</t>
  </si>
  <si>
    <t>6NX3SPS_Hours</t>
  </si>
  <si>
    <t>6NX3SPS_Assess</t>
  </si>
  <si>
    <t>6NX4SPS_LO</t>
  </si>
  <si>
    <t>6NX4SPS_Mapping</t>
  </si>
  <si>
    <t>6NX4SPS_Meta</t>
  </si>
  <si>
    <t>6NX4SPS_Hours</t>
  </si>
  <si>
    <t>6NX4SPS_Assess</t>
  </si>
  <si>
    <t>6NX5SPS_LO</t>
  </si>
  <si>
    <t>6NX5SPS_Mapping</t>
  </si>
  <si>
    <t>6NX5SPS_Meta</t>
  </si>
  <si>
    <t>6NX5SPS_Hours</t>
  </si>
  <si>
    <t>6NX5SPS_Assess</t>
  </si>
  <si>
    <t>Module (14)_LO</t>
  </si>
  <si>
    <t>Module (14)</t>
  </si>
  <si>
    <t>Module (14)_Mapping</t>
  </si>
  <si>
    <t>Module (14)_Meta</t>
  </si>
  <si>
    <t>Module (14)_Hours</t>
  </si>
  <si>
    <t>Module (14)_Assess</t>
  </si>
  <si>
    <t>5302SPS_LO</t>
  </si>
  <si>
    <t>4202SPS_Aims</t>
  </si>
  <si>
    <t>4202SPS_Notes</t>
  </si>
  <si>
    <t>4202SPS_Weekly</t>
  </si>
  <si>
    <t>4202SPS_Overview</t>
  </si>
  <si>
    <t>4202SPS_Syllabus</t>
  </si>
  <si>
    <t>4401SPS_Aims</t>
  </si>
  <si>
    <t>4401SPS_Notes</t>
  </si>
  <si>
    <t>4401SPS_Weekly</t>
  </si>
  <si>
    <t>4401SPS_Overview</t>
  </si>
  <si>
    <t>4401SPS_Syllabus</t>
  </si>
  <si>
    <t>5401SPS_Aims</t>
  </si>
  <si>
    <t>5401SPS_Notes</t>
  </si>
  <si>
    <t>5401SPS_Weekly</t>
  </si>
  <si>
    <t>5401SPS_Overview</t>
  </si>
  <si>
    <t>5401SPS_Syllabus</t>
  </si>
  <si>
    <t>5402SPS_Aims</t>
  </si>
  <si>
    <t>5402SPS_Notes</t>
  </si>
  <si>
    <t>5402SPS_Weekly</t>
  </si>
  <si>
    <t>5402SPS_Overview</t>
  </si>
  <si>
    <t>5402SPS_Syllabus</t>
  </si>
  <si>
    <t>5403SPS_Aims</t>
  </si>
  <si>
    <t>5403SPS_Notes</t>
  </si>
  <si>
    <t>5403SPS_Weekly</t>
  </si>
  <si>
    <t>5403SPS_Overview</t>
  </si>
  <si>
    <t>5403SPS_Syllabus</t>
  </si>
  <si>
    <t>5XX1SPS_Aims</t>
  </si>
  <si>
    <t>5XX1SPS_Notes</t>
  </si>
  <si>
    <t>5XX1SPS_Weekly</t>
  </si>
  <si>
    <t>5XX1SPS_Overview</t>
  </si>
  <si>
    <t>5XX1SPS_Syllabus</t>
  </si>
  <si>
    <t>5XX2SPS_Aims</t>
  </si>
  <si>
    <t>5XX2SPS_Notes</t>
  </si>
  <si>
    <t>5XX2SPS_Weekly</t>
  </si>
  <si>
    <t>5XX2SPS_Overview</t>
  </si>
  <si>
    <t>5XX2SPS_Syllabus</t>
  </si>
  <si>
    <t>6XX1SPS_Aims</t>
  </si>
  <si>
    <t>6XX1SPS_Notes</t>
  </si>
  <si>
    <t>6XX1SPS_Weekly</t>
  </si>
  <si>
    <t>6XX1SPS_Overview</t>
  </si>
  <si>
    <t>6XX1SPS_Syllabus</t>
  </si>
  <si>
    <t>6XX2SPS_Aims</t>
  </si>
  <si>
    <t>6XX2SPS_Notes</t>
  </si>
  <si>
    <t>6XX2SPS_Weekly</t>
  </si>
  <si>
    <t>6XX2SPS_Overview</t>
  </si>
  <si>
    <t>6XX2SPS_Syllabus</t>
  </si>
  <si>
    <t>6403SPS_Aims</t>
  </si>
  <si>
    <t>6403SPS_Notes</t>
  </si>
  <si>
    <t>6403SPS_Weekly</t>
  </si>
  <si>
    <t>6403SPS_Overview</t>
  </si>
  <si>
    <t>6403SPS_Syllabus</t>
  </si>
  <si>
    <t>6097SPS_Aims</t>
  </si>
  <si>
    <t>6097SPS_Notes</t>
  </si>
  <si>
    <t>6097SPS_Weekly</t>
  </si>
  <si>
    <t>6097SPS_Overview</t>
  </si>
  <si>
    <t>6097SPS_Syllabus</t>
  </si>
  <si>
    <t>Module (13)_Aims</t>
  </si>
  <si>
    <t>Module (13)_Notes</t>
  </si>
  <si>
    <t>Module (13)_Weekly</t>
  </si>
  <si>
    <t>Module (13)_Overview</t>
  </si>
  <si>
    <t>Module (13)_Syllabus</t>
  </si>
  <si>
    <t>Template_Aims</t>
  </si>
  <si>
    <t>Template_Notes</t>
  </si>
  <si>
    <t>Template_Weekly</t>
  </si>
  <si>
    <t>Template_Overview</t>
  </si>
  <si>
    <t>Template_Syllabus</t>
  </si>
  <si>
    <t>LISTS_Table</t>
  </si>
  <si>
    <t>4201SPS_Aims</t>
  </si>
  <si>
    <t>4201SPS_Notes</t>
  </si>
  <si>
    <t>4201SPS_Weekly</t>
  </si>
  <si>
    <t>4201SPS_Overview</t>
  </si>
  <si>
    <t>4201SPS_Syllabus</t>
  </si>
  <si>
    <t>5201SPS_Aims</t>
  </si>
  <si>
    <t>5201SPS_Notes</t>
  </si>
  <si>
    <t>5201SPS_Weekly</t>
  </si>
  <si>
    <t>5201SPS_Overview</t>
  </si>
  <si>
    <t>5201SPS_Syllabus</t>
  </si>
  <si>
    <t>5202SPS_Aims</t>
  </si>
  <si>
    <t>5202SPS_Notes</t>
  </si>
  <si>
    <t>5202SPS_Weekly</t>
  </si>
  <si>
    <t>5202SPS_Overview</t>
  </si>
  <si>
    <t>5202SPS_Syllabus</t>
  </si>
  <si>
    <t>5203SPS_Aims</t>
  </si>
  <si>
    <t>5203SPS_Notes</t>
  </si>
  <si>
    <t>5203SPS_Weekly</t>
  </si>
  <si>
    <t>5203SPS_Overview</t>
  </si>
  <si>
    <t>5203SPS_Syllabus</t>
  </si>
  <si>
    <t>5204SPS_Aims</t>
  </si>
  <si>
    <t>5204SPS_Notes</t>
  </si>
  <si>
    <t>5204SPS_Weekly</t>
  </si>
  <si>
    <t>5204SPS_Overview</t>
  </si>
  <si>
    <t>5204SPS_Syllabus</t>
  </si>
  <si>
    <t>6202SPS_Aims</t>
  </si>
  <si>
    <t>6202SPS_Notes</t>
  </si>
  <si>
    <t>6202SPS_Weekly</t>
  </si>
  <si>
    <t>6202SPS_Overview</t>
  </si>
  <si>
    <t>6202SPS_Syllabus</t>
  </si>
  <si>
    <t>6203SPS_Aims</t>
  </si>
  <si>
    <t>6203SPS_Notes</t>
  </si>
  <si>
    <t>6203SPS_Weekly</t>
  </si>
  <si>
    <t>6203SPS_Overview</t>
  </si>
  <si>
    <t>6203SPS_Syllabus</t>
  </si>
  <si>
    <t>6096SPS_Notes</t>
  </si>
  <si>
    <t>6096SPS_Weekly</t>
  </si>
  <si>
    <t>6096SPS_Overview</t>
  </si>
  <si>
    <t>6096SPS_Syllabus</t>
  </si>
  <si>
    <t>6096SPS_Aims</t>
  </si>
  <si>
    <t>4051SPS_Aims</t>
  </si>
  <si>
    <t>4051SPS_Notes</t>
  </si>
  <si>
    <t>4051SPS_Weekly</t>
  </si>
  <si>
    <t>4051SPS_Overview</t>
  </si>
  <si>
    <t>4051SPS_Syllabus</t>
  </si>
  <si>
    <t>4052SPS_Aims</t>
  </si>
  <si>
    <t>4052SPS_Notes</t>
  </si>
  <si>
    <t>4052SPS_Weekly</t>
  </si>
  <si>
    <t>4052SPS_Overview</t>
  </si>
  <si>
    <t>4052SPS_Syllabus</t>
  </si>
  <si>
    <t>4053SPS_Aims</t>
  </si>
  <si>
    <t>4053SPS_Notes</t>
  </si>
  <si>
    <t>4053SPS_Weekly</t>
  </si>
  <si>
    <t>4053SPS_Overview</t>
  </si>
  <si>
    <t>4053SPS_Syllabus</t>
  </si>
  <si>
    <t>4054SPS_Aims</t>
  </si>
  <si>
    <t>4054SPS_Notes</t>
  </si>
  <si>
    <t>4054SPS_Weekly</t>
  </si>
  <si>
    <t>4054SPS_Overview</t>
  </si>
  <si>
    <t>4054SPS_Syllabus</t>
  </si>
  <si>
    <t>4093SPS_Aims</t>
  </si>
  <si>
    <t>4093SPS_Notes</t>
  </si>
  <si>
    <t>4093SPS_Weekly</t>
  </si>
  <si>
    <t>4093SPS_Overview</t>
  </si>
  <si>
    <t>4093SPS_Syllabus</t>
  </si>
  <si>
    <t>5051SPS_Aims</t>
  </si>
  <si>
    <t>5051SPS_Notes</t>
  </si>
  <si>
    <t>5051SPS_Weekly</t>
  </si>
  <si>
    <t>5051SPS_Overview</t>
  </si>
  <si>
    <t>5051SPS_Syllabus</t>
  </si>
  <si>
    <t>5052SPS_Aims</t>
  </si>
  <si>
    <t>5052SPS_Notes</t>
  </si>
  <si>
    <t>5052SPS_Weekly</t>
  </si>
  <si>
    <t>5052SPS_Overview</t>
  </si>
  <si>
    <t>5052SPS_Syllabus</t>
  </si>
  <si>
    <t>5053SPS_Aims</t>
  </si>
  <si>
    <t>5053SPS_Notes</t>
  </si>
  <si>
    <t>5053SPS_Weekly</t>
  </si>
  <si>
    <t>5053SPS_Overview</t>
  </si>
  <si>
    <t>5053SPS_Syllabus</t>
  </si>
  <si>
    <t>5054SPS_Aims</t>
  </si>
  <si>
    <t>5054SPS_Notes</t>
  </si>
  <si>
    <t>5054SPS_Weekly</t>
  </si>
  <si>
    <t>5054SPS_Overview</t>
  </si>
  <si>
    <t>5054SPS_Syllabus</t>
  </si>
  <si>
    <t>5093SPS_Aims</t>
  </si>
  <si>
    <t>5093SPS_Notes</t>
  </si>
  <si>
    <t>5093SPS_Weekly</t>
  </si>
  <si>
    <t>5093SPS_Overview</t>
  </si>
  <si>
    <t>5093SPS_Syllabus</t>
  </si>
  <si>
    <t>6051SPS_Aims</t>
  </si>
  <si>
    <t>6051SPS_Notes</t>
  </si>
  <si>
    <t>6051SPS_Weekly</t>
  </si>
  <si>
    <t>6051SPS_Overview</t>
  </si>
  <si>
    <t>6051SPS_Syllabus</t>
  </si>
  <si>
    <t>6052SPS_Aims</t>
  </si>
  <si>
    <t>6052SPS_Notes</t>
  </si>
  <si>
    <t>6052SPS_Weekly</t>
  </si>
  <si>
    <t>6052SPS_Overview</t>
  </si>
  <si>
    <t>6052SPS_Syllabus</t>
  </si>
  <si>
    <t>6053SPS_Aims</t>
  </si>
  <si>
    <t>6053SPS_Notes</t>
  </si>
  <si>
    <t>6053SPS_Weekly</t>
  </si>
  <si>
    <t>6053SPS_Overview</t>
  </si>
  <si>
    <t>6053SPS_Syllabus</t>
  </si>
  <si>
    <t>6054SPS_Aims</t>
  </si>
  <si>
    <t>6054SPS_Notes</t>
  </si>
  <si>
    <t>6054SPS_Weekly</t>
  </si>
  <si>
    <t>6054SPS_Overview</t>
  </si>
  <si>
    <t>6054SPS_Syllabus</t>
  </si>
  <si>
    <t>Module_Aims</t>
  </si>
  <si>
    <t>Module_Notes</t>
  </si>
  <si>
    <t>Module_Weekly</t>
  </si>
  <si>
    <t>Module_Overview</t>
  </si>
  <si>
    <t>Module_Syllabus</t>
  </si>
  <si>
    <t>4101SPS_Aims</t>
  </si>
  <si>
    <t>4101SPS_Notes</t>
  </si>
  <si>
    <t>4101SPS_Weekly</t>
  </si>
  <si>
    <t>4101SPS_Overview</t>
  </si>
  <si>
    <t>4101SPS_Syllabus</t>
  </si>
  <si>
    <t>4102SPS_Aims</t>
  </si>
  <si>
    <t>4102SPS_Notes</t>
  </si>
  <si>
    <t>4102SPS_Weekly</t>
  </si>
  <si>
    <t>4102SPS_Overview</t>
  </si>
  <si>
    <t>4102SPS_Syllabus</t>
  </si>
  <si>
    <t>4091SPS_Aims</t>
  </si>
  <si>
    <t>4091SPS_Notes</t>
  </si>
  <si>
    <t>4091SPS_Weekly</t>
  </si>
  <si>
    <t>4091SPS_Overview</t>
  </si>
  <si>
    <t>4091SPS_Syllabus</t>
  </si>
  <si>
    <t>4092SPS_Notes</t>
  </si>
  <si>
    <t>4092SPS_Weekly</t>
  </si>
  <si>
    <t>4092SPS_Overview</t>
  </si>
  <si>
    <t>4092SPS_Syllabus</t>
  </si>
  <si>
    <t>4092SPS_Aims</t>
  </si>
  <si>
    <t>4094SPS_Notes</t>
  </si>
  <si>
    <t>4094SPS_Weekly</t>
  </si>
  <si>
    <t>4094SPS_Overview</t>
  </si>
  <si>
    <t>4094SPS_Syllabus</t>
  </si>
  <si>
    <t>4094SPS_Aims</t>
  </si>
  <si>
    <t>5091SPS_Aims</t>
  </si>
  <si>
    <t>5091SPS_Notes</t>
  </si>
  <si>
    <t>5091SPS_Weekly</t>
  </si>
  <si>
    <t>5091SPS_Overview</t>
  </si>
  <si>
    <t>5091SPS_Syllabus</t>
  </si>
  <si>
    <t>5092SPS_Aims</t>
  </si>
  <si>
    <t>5092SPS_Notes</t>
  </si>
  <si>
    <t>5092SPS_Weekly</t>
  </si>
  <si>
    <t>5092SPS_Overview</t>
  </si>
  <si>
    <t>5092SPS_Syllabus</t>
  </si>
  <si>
    <t>5101SPS_Aims</t>
  </si>
  <si>
    <t>5101SPS_Notes</t>
  </si>
  <si>
    <t>5101SPS_Weekly</t>
  </si>
  <si>
    <t>5101SPS_Overview</t>
  </si>
  <si>
    <t>5101SPS_Syllabus</t>
  </si>
  <si>
    <t>5102SPS_Aims</t>
  </si>
  <si>
    <t>5102SPS_Notes</t>
  </si>
  <si>
    <t>5102SPS_Weekly</t>
  </si>
  <si>
    <t>5102SPS_Overview</t>
  </si>
  <si>
    <t>5102SPS_Syllabus</t>
  </si>
  <si>
    <t>5103SPS_Aims</t>
  </si>
  <si>
    <t>5103SPS_Notes</t>
  </si>
  <si>
    <t>5103SPS_Weekly</t>
  </si>
  <si>
    <t>5103SPS_Overview</t>
  </si>
  <si>
    <t>5103SPS_Syllabus</t>
  </si>
  <si>
    <t>6101SPS_Aims</t>
  </si>
  <si>
    <t>6101SPS_Notes</t>
  </si>
  <si>
    <t>6101SPS_Weekly</t>
  </si>
  <si>
    <t>6101SPS_Overview</t>
  </si>
  <si>
    <t>6101SPS_Syllabus</t>
  </si>
  <si>
    <t>6102SPS_Notes</t>
  </si>
  <si>
    <t>6102SPS_Weekly</t>
  </si>
  <si>
    <t>6102SPS_Overview</t>
  </si>
  <si>
    <t>6102SPS_Syllabus</t>
  </si>
  <si>
    <t>6102SPS_Aims</t>
  </si>
  <si>
    <t>6103SPS_Notes</t>
  </si>
  <si>
    <t>6103SPS_Weekly</t>
  </si>
  <si>
    <t>6103SPS_Overview</t>
  </si>
  <si>
    <t>6103SPS_Syllabus</t>
  </si>
  <si>
    <t>6103SPS_Aims</t>
  </si>
  <si>
    <t>6104SPS_Aims</t>
  </si>
  <si>
    <t>6104SPS_Notes</t>
  </si>
  <si>
    <t>6104SPS_Weekly</t>
  </si>
  <si>
    <t>6104SPS_Overview</t>
  </si>
  <si>
    <t>6104SPS_Syllabus</t>
  </si>
  <si>
    <t>6105SPS_Aims</t>
  </si>
  <si>
    <t>6105SPS_Notes</t>
  </si>
  <si>
    <t>6105SPS_Weekly</t>
  </si>
  <si>
    <t>6105SPS_Overview</t>
  </si>
  <si>
    <t>6105SPS_Syllabus</t>
  </si>
  <si>
    <t>6106SPS_Aims</t>
  </si>
  <si>
    <t>6106SPS_Notes</t>
  </si>
  <si>
    <t>6106SPS_Weekly</t>
  </si>
  <si>
    <t>6106SPS_Overview</t>
  </si>
  <si>
    <t>6106SPS_Syllabus</t>
  </si>
  <si>
    <t>6107SPS_Aims</t>
  </si>
  <si>
    <t>6107SPS_Notes</t>
  </si>
  <si>
    <t>6107SPS_Weekly</t>
  </si>
  <si>
    <t>6107SPS_Overview</t>
  </si>
  <si>
    <t>6107SPS_Syllabus</t>
  </si>
  <si>
    <t>6108SPS_Aims</t>
  </si>
  <si>
    <t>6108SPS_Notes</t>
  </si>
  <si>
    <t>6108SPS_Weekly</t>
  </si>
  <si>
    <t>6108SPS_Overview</t>
  </si>
  <si>
    <t>6108SPS_Syllabus</t>
  </si>
  <si>
    <t>6109SPS_Aims</t>
  </si>
  <si>
    <t>6109SPS_Notes</t>
  </si>
  <si>
    <t>6109SPS_Weekly</t>
  </si>
  <si>
    <t>6109SPS_Overview</t>
  </si>
  <si>
    <t>6109SPS_Syllabus</t>
  </si>
  <si>
    <t>6091SPS_Aims</t>
  </si>
  <si>
    <t>6091SPS_Notes</t>
  </si>
  <si>
    <t>6091SPS_Weekly</t>
  </si>
  <si>
    <t>6091SPS_Overview</t>
  </si>
  <si>
    <t>6091SPS_Syllabus</t>
  </si>
  <si>
    <t>6093SPS_Aims</t>
  </si>
  <si>
    <t>6093SPS_Notes</t>
  </si>
  <si>
    <t>6093SPS_Weekly</t>
  </si>
  <si>
    <t>6093SPS_Overview</t>
  </si>
  <si>
    <t>6093SPS_Syllabus</t>
  </si>
  <si>
    <t>6094SPS_Aims</t>
  </si>
  <si>
    <t>6094SPS_Notes</t>
  </si>
  <si>
    <t>6094SPS_Weekly</t>
  </si>
  <si>
    <t>6094SPS_Overview</t>
  </si>
  <si>
    <t>6094SPS_Syllabus</t>
  </si>
  <si>
    <t>6095SPS_Aims</t>
  </si>
  <si>
    <t>6095SPS_Notes</t>
  </si>
  <si>
    <t>6095SPS_Weekly</t>
  </si>
  <si>
    <t>6095SPS_Overview</t>
  </si>
  <si>
    <t>6095SPS_Syllabus</t>
  </si>
  <si>
    <t>Module (22)_Aims</t>
  </si>
  <si>
    <t>Module (22)_Notes</t>
  </si>
  <si>
    <t>Module (22)_Weekly</t>
  </si>
  <si>
    <t>Module (22)_Overview</t>
  </si>
  <si>
    <t>Module (22)_Syllabus</t>
  </si>
  <si>
    <t>4NX1SPS_Aims</t>
  </si>
  <si>
    <t>4NX1SPS_Notes</t>
  </si>
  <si>
    <t>4NX1SPS_Weekly</t>
  </si>
  <si>
    <t>4NX1SPS_Overview</t>
  </si>
  <si>
    <t>4NX1SPS_Syllabus</t>
  </si>
  <si>
    <t>4NX2SPS_Aims</t>
  </si>
  <si>
    <t>4NX2SPS_Notes</t>
  </si>
  <si>
    <t>4NX2SPS_Weekly</t>
  </si>
  <si>
    <t>4NX2SPS_Overview</t>
  </si>
  <si>
    <t>4NX2SPS_Syllabus</t>
  </si>
  <si>
    <t>4NX3SPS_Aims</t>
  </si>
  <si>
    <t>4NX3SPS_Notes</t>
  </si>
  <si>
    <t>4NX3SPS_Weekly</t>
  </si>
  <si>
    <t>4NX3SPS_Overview</t>
  </si>
  <si>
    <t>4NX3SPS_Syllabus</t>
  </si>
  <si>
    <t>4NX4SPS_Aims</t>
  </si>
  <si>
    <t>4NX4SPS_Notes</t>
  </si>
  <si>
    <t>4NX4SPS_Weekly</t>
  </si>
  <si>
    <t>4NX4SPS_Overview</t>
  </si>
  <si>
    <t>4NX4SPS_Syllabus</t>
  </si>
  <si>
    <t>5NX1SPS_Aims</t>
  </si>
  <si>
    <t>5NX1SPS_Notes</t>
  </si>
  <si>
    <t>5NX1SPS_Weekly</t>
  </si>
  <si>
    <t>5NX1SPS_Overview</t>
  </si>
  <si>
    <t>5NX1SPS_Syllabus</t>
  </si>
  <si>
    <t>5NX2SPS_Aims</t>
  </si>
  <si>
    <t>5NX2SPS_Notes</t>
  </si>
  <si>
    <t>5NX2SPS_Weekly</t>
  </si>
  <si>
    <t>5NX2SPS_Overview</t>
  </si>
  <si>
    <t>5NX2SPS_Syllabus</t>
  </si>
  <si>
    <t>5NX3SPS_Aims</t>
  </si>
  <si>
    <t>5NX3SPS_Notes</t>
  </si>
  <si>
    <t>5NX3SPS_Weekly</t>
  </si>
  <si>
    <t>5NX3SPS_Overview</t>
  </si>
  <si>
    <t>5NX3SPS_Syllabus</t>
  </si>
  <si>
    <t>5NX4SPS_Aims</t>
  </si>
  <si>
    <t>5NX4SPS_Notes</t>
  </si>
  <si>
    <t>5NX4SPS_Weekly</t>
  </si>
  <si>
    <t>5NX4SPS_Overview</t>
  </si>
  <si>
    <t>5NX4SPS_Syllabus</t>
  </si>
  <si>
    <t>6NX1SPS_Aims</t>
  </si>
  <si>
    <t>6NX1SPS_Notes</t>
  </si>
  <si>
    <t>6NX1SPS_Weekly</t>
  </si>
  <si>
    <t>6NX1SPS_Overview</t>
  </si>
  <si>
    <t>6NX1SPS_Syllabus</t>
  </si>
  <si>
    <t>6NX2SPS_Aims</t>
  </si>
  <si>
    <t>6NX2SPS_Notes</t>
  </si>
  <si>
    <t>6NX2SPS_Weekly</t>
  </si>
  <si>
    <t>6NX2SPS_Overview</t>
  </si>
  <si>
    <t>6NX2SPS_Syllabus</t>
  </si>
  <si>
    <t>6NX3SPS_Aims</t>
  </si>
  <si>
    <t>6NX3SPS_Notes</t>
  </si>
  <si>
    <t>6NX3SPS_Weekly</t>
  </si>
  <si>
    <t>6NX3SPS_Overview</t>
  </si>
  <si>
    <t>6NX3SPS_Syllabus</t>
  </si>
  <si>
    <t>6NX4SPS_Aims</t>
  </si>
  <si>
    <t>6NX4SPS_Notes</t>
  </si>
  <si>
    <t>6NX4SPS_Weekly</t>
  </si>
  <si>
    <t>6NX4SPS_Overview</t>
  </si>
  <si>
    <t>6NX4SPS_Syllabus</t>
  </si>
  <si>
    <t>6NX5SPS_Aims</t>
  </si>
  <si>
    <t>6NX5SPS_Notes</t>
  </si>
  <si>
    <t>6NX5SPS_Weekly</t>
  </si>
  <si>
    <t>6NX5SPS_Overview</t>
  </si>
  <si>
    <t>6NX5SPS_Syllabus</t>
  </si>
  <si>
    <t>Module (14)_Aims</t>
  </si>
  <si>
    <t>Module (14)_Notes</t>
  </si>
  <si>
    <t>Module (14)_Weekly</t>
  </si>
  <si>
    <t>Module (14)_Overview</t>
  </si>
  <si>
    <t>Module (14)_Syllabus</t>
  </si>
  <si>
    <t>4301SPS_Aims</t>
  </si>
  <si>
    <t>4301SPS_Notes</t>
  </si>
  <si>
    <t>4301SPS_Weekly</t>
  </si>
  <si>
    <t>4301SPS_Overview</t>
  </si>
  <si>
    <t>4301SPS_Syllabus</t>
  </si>
  <si>
    <t>4303SPS_Aims</t>
  </si>
  <si>
    <t>4303SPS_Notes</t>
  </si>
  <si>
    <t>4303SPS_Weekly</t>
  </si>
  <si>
    <t>4303SPS_Overview</t>
  </si>
  <si>
    <t>4303SPS_Syllabus</t>
  </si>
  <si>
    <t>5301SPS_Notes</t>
  </si>
  <si>
    <t>5301SPS_Weekly</t>
  </si>
  <si>
    <t>5301SPS_Overview</t>
  </si>
  <si>
    <t>5301SPS_Syllabus</t>
  </si>
  <si>
    <t>5301SPS_Aims</t>
  </si>
  <si>
    <t>5302SPS_Aims</t>
  </si>
  <si>
    <t>5302SPS_Notes</t>
  </si>
  <si>
    <t>5302SPS_Weekly</t>
  </si>
  <si>
    <t>5302SPS_Overview</t>
  </si>
  <si>
    <t>5302SPS_Syllabus</t>
  </si>
  <si>
    <t>6301SPS_Notes</t>
  </si>
  <si>
    <t>6301SPS_Weekly</t>
  </si>
  <si>
    <t>6301SPS_Overview</t>
  </si>
  <si>
    <t>6301SPS_Syllabus</t>
  </si>
  <si>
    <t>6301SPS_Aims</t>
  </si>
  <si>
    <t>6302SPS_Aims</t>
  </si>
  <si>
    <t>6302SPS_Notes</t>
  </si>
  <si>
    <t>6302SPS_Weekly</t>
  </si>
  <si>
    <t>6302SPS_Overview</t>
  </si>
  <si>
    <t>6302SPS_Syllabus</t>
  </si>
  <si>
    <t>6303SPS_Aims</t>
  </si>
  <si>
    <t>6303SPS_Notes</t>
  </si>
  <si>
    <t>6303SPS_Weekly</t>
  </si>
  <si>
    <t>6303SPS_Overview</t>
  </si>
  <si>
    <t>6303SPS_Syllabus</t>
  </si>
  <si>
    <t>6304SPS_Aims</t>
  </si>
  <si>
    <t>6304SPS_Weekly</t>
  </si>
  <si>
    <t>6304SPS_Notes</t>
  </si>
  <si>
    <t>6304SPS_Overview</t>
  </si>
  <si>
    <t>GetWorkbookFiles1</t>
  </si>
  <si>
    <t>FS_AllAssess</t>
  </si>
  <si>
    <t>Total Contact Hours</t>
  </si>
  <si>
    <t>Row Labels</t>
  </si>
  <si>
    <t>Grand Total</t>
  </si>
  <si>
    <t>(blank)</t>
  </si>
  <si>
    <t>Column Labels</t>
  </si>
  <si>
    <t>Sum of Weighting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</si>
</sst>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font>
    <font>
      <sz val="11"/>
      <color theme="1"/>
      <name val="Aptos"/>
      <family val="2"/>
      <charset val="1"/>
    </font>
    <font>
      <b/>
      <sz val="11"/>
      <color theme="1"/>
      <name val="Aptos"/>
      <family val="2"/>
      <charset val="1"/>
    </font>
    <font>
      <sz val="12"/>
      <color theme="1"/>
      <name val="Aptos"/>
      <family val="2"/>
      <charset val="1"/>
    </font>
    <font>
      <sz val="12"/>
      <color theme="1"/>
      <name val="Aptos Narrow"/>
      <scheme val="minor"/>
    </font>
    <font>
      <sz val="12"/>
      <color rgb="FF000000"/>
      <name val="Aptos"/>
    </font>
    <font>
      <sz val="11"/>
      <color theme="1"/>
      <name val="Aptos Narrow"/>
      <scheme val="minor"/>
    </font>
    <font>
      <sz val="12"/>
      <color rgb="FF333333"/>
      <name val="Aptos Narrow"/>
      <scheme val="minor"/>
    </font>
    <font>
      <sz val="12"/>
      <color rgb="FF000000"/>
      <name val="Aptos Narrow"/>
      <scheme val="minor"/>
    </font>
    <font>
      <sz val="11"/>
      <color rgb="FF000000"/>
      <name val="Aptos Narrow"/>
      <scheme val="minor"/>
    </font>
    <font>
      <i/>
      <sz val="11"/>
      <color rgb="FF000000"/>
      <name val="Aptos Narrow"/>
      <scheme val="minor"/>
    </font>
    <font>
      <b/>
      <sz val="20"/>
      <color theme="1"/>
      <name val="Aptos Narrow"/>
      <scheme val="minor"/>
    </font>
    <font>
      <b/>
      <sz val="11"/>
      <color theme="1"/>
      <name val="Aptos Narrow"/>
      <scheme val="minor"/>
    </font>
    <font>
      <b/>
      <sz val="14"/>
      <color theme="1"/>
      <name val="Aptos Narrow"/>
      <scheme val="minor"/>
    </font>
    <font>
      <b/>
      <sz val="12"/>
      <color rgb="FF000000"/>
      <name val="Aptos Narrow"/>
      <scheme val="minor"/>
    </font>
    <font>
      <b/>
      <sz val="11"/>
      <color rgb="FF000000"/>
      <name val="Aptos Narrow"/>
      <scheme val="minor"/>
    </font>
    <font>
      <sz val="11"/>
      <color rgb="FF011A42"/>
      <name val="Aptos Narrow"/>
      <scheme val="minor"/>
    </font>
    <font>
      <i/>
      <sz val="12"/>
      <color theme="1"/>
      <name val="Aptos Narrow"/>
      <scheme val="minor"/>
    </font>
    <font>
      <b/>
      <sz val="11"/>
      <color rgb="FF011A42"/>
      <name val="Aptos Narrow"/>
      <scheme val="minor"/>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
      <patternFill patternType="solid">
        <fgColor theme="8" tint="0.79998168889431442"/>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73">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16" fillId="7" borderId="0" xfId="0" applyFont="1" applyFill="1"/>
    <xf numFmtId="0" fontId="17" fillId="0" borderId="0" xfId="0" applyFont="1"/>
    <xf numFmtId="0" fontId="18" fillId="0" borderId="0" xfId="0" applyFont="1"/>
    <xf numFmtId="0" fontId="15" fillId="0" borderId="0" xfId="0" applyFont="1"/>
    <xf numFmtId="0" fontId="15" fillId="4" borderId="0" xfId="0" applyFont="1" applyFill="1"/>
    <xf numFmtId="0" fontId="20" fillId="4" borderId="0" xfId="0" applyFont="1" applyFill="1"/>
    <xf numFmtId="0" fontId="21" fillId="0" borderId="0" xfId="0" applyFont="1" applyAlignment="1">
      <alignment horizontal="center" vertical="center" wrapText="1"/>
    </xf>
    <xf numFmtId="0" fontId="15" fillId="0" borderId="0" xfId="0" applyFont="1" applyAlignment="1">
      <alignment vertical="center" wrapText="1"/>
    </xf>
    <xf numFmtId="0" fontId="22" fillId="0" borderId="0" xfId="0" applyFont="1" applyAlignment="1">
      <alignment vertical="center" wrapText="1"/>
    </xf>
    <xf numFmtId="0" fontId="21" fillId="0" borderId="0" xfId="0" applyFont="1" applyAlignment="1">
      <alignment horizontal="left" vertical="center" wrapText="1"/>
    </xf>
    <xf numFmtId="0" fontId="15" fillId="0" borderId="0" xfId="0" applyFont="1" applyAlignment="1">
      <alignment horizontal="left" vertical="center" wrapText="1"/>
    </xf>
    <xf numFmtId="0" fontId="23" fillId="0" borderId="0" xfId="0" applyFont="1"/>
    <xf numFmtId="0" fontId="18" fillId="0" borderId="0" xfId="0" applyFont="1" applyProtection="1">
      <protection locked="0"/>
    </xf>
    <xf numFmtId="0" fontId="25" fillId="8" borderId="0" xfId="0" applyFont="1" applyFill="1" applyAlignment="1">
      <alignment wrapText="1"/>
    </xf>
    <xf numFmtId="0" fontId="15" fillId="0" borderId="0" xfId="0" applyFont="1" applyAlignment="1" applyProtection="1">
      <alignment horizontal="center" vertical="center" wrapText="1"/>
      <protection locked="0"/>
    </xf>
    <xf numFmtId="0" fontId="26" fillId="0" borderId="0" xfId="0" applyFont="1"/>
    <xf numFmtId="0" fontId="13" fillId="0" borderId="0" xfId="0" applyFont="1"/>
    <xf numFmtId="0" fontId="15" fillId="6" borderId="0" xfId="0" applyFont="1" applyFill="1" applyAlignment="1">
      <alignment horizontal="left" vertical="center" wrapText="1"/>
    </xf>
    <xf numFmtId="0" fontId="15" fillId="6" borderId="0" xfId="0" applyFont="1" applyFill="1" applyProtection="1">
      <protection locked="0"/>
    </xf>
    <xf numFmtId="0" fontId="15" fillId="6" borderId="0" xfId="0" applyFont="1" applyFill="1"/>
    <xf numFmtId="0" fontId="15" fillId="5" borderId="0" xfId="0" applyFont="1" applyFill="1" applyProtection="1">
      <protection locked="0"/>
    </xf>
    <xf numFmtId="0" fontId="27" fillId="0" borderId="0" xfId="0" applyFont="1" applyAlignment="1">
      <alignment wrapText="1"/>
    </xf>
    <xf numFmtId="0" fontId="25" fillId="0" borderId="0" xfId="0" applyFont="1" applyAlignment="1">
      <alignment wrapText="1"/>
    </xf>
    <xf numFmtId="9" fontId="15" fillId="0" borderId="0" xfId="0" applyNumberFormat="1" applyFont="1" applyAlignment="1" applyProtection="1">
      <alignment horizontal="left" vertical="center" wrapText="1"/>
      <protection locked="0"/>
    </xf>
    <xf numFmtId="0" fontId="21" fillId="0" borderId="0" xfId="0" applyFont="1" applyProtection="1">
      <protection locked="0"/>
    </xf>
    <xf numFmtId="0" fontId="15" fillId="0" borderId="0" xfId="0" applyFont="1" applyAlignment="1">
      <alignment horizontal="center"/>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center"/>
      <protection locked="0"/>
    </xf>
    <xf numFmtId="0" fontId="1" fillId="0" borderId="0" xfId="0" applyFont="1" applyAlignment="1" applyProtection="1">
      <alignment horizontal="left" vertical="center" wrapText="1"/>
      <protection locked="0"/>
    </xf>
    <xf numFmtId="22" fontId="0" fillId="0" borderId="0" xfId="0" applyNumberFormat="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30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dxf>
    <dxf>
      <font>
        <name val="Aptos Narrow"/>
        <scheme val="minor"/>
      </font>
    </dxf>
    <dxf>
      <font>
        <name val="Aptos Narrow"/>
        <scheme val="minor"/>
      </font>
    </dxf>
    <dxf>
      <font>
        <name val="Aptos Narrow"/>
        <scheme val="minor"/>
      </font>
    </dxf>
    <dxf>
      <font>
        <color rgb="FF000000"/>
        <name val="Aptos Narrow"/>
        <scheme val="minor"/>
      </font>
      <fill>
        <patternFill patternType="none"/>
      </fill>
    </dxf>
    <dxf>
      <font>
        <color rgb="FF000000"/>
        <name val="Aptos Narrow"/>
        <scheme val="minor"/>
      </font>
      <fill>
        <patternFill patternType="none"/>
      </fill>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b/>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bottom" textRotation="0" wrapText="0" indent="0" justifyLastLine="0" shrinkToFit="0" readingOrder="0"/>
    </dxf>
    <dxf>
      <font>
        <name val="Aptos Narrow"/>
        <scheme val="minor"/>
      </font>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connections" Target="connections.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ope, Edward" id="{F2D151A0-82A2-4ABE-B7B0-CF7967121786}" userId="S::spsehope@ljmu.ac.uk::2fa563ac-a690-4beb-8a48-bc94f5b724d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265.972557291665" createdVersion="8" refreshedVersion="8" minRefreshableVersion="3" recordCount="28" xr:uid="{72719084-C38F-364D-A94B-21CC8C561827}">
  <cacheSource type="worksheet">
    <worksheetSource name="FS_Assess"/>
  </cacheSource>
  <cacheFields count="13">
    <cacheField name="SourceWorkbook" numFmtId="0">
      <sharedItems/>
    </cacheField>
    <cacheField name="TableName" numFmtId="0">
      <sharedItems/>
    </cacheField>
    <cacheField name="Assessment No" numFmtId="0">
      <sharedItems/>
    </cacheField>
    <cacheField name="Assessment Type" numFmtId="0">
      <sharedItems/>
    </cacheField>
    <cacheField name="Assessment Specific" numFmtId="0">
      <sharedItems containsBlank="1"/>
    </cacheField>
    <cacheField name="Assessment Description" numFmtId="0">
      <sharedItems longText="1"/>
    </cacheField>
    <cacheField name="Weighting" numFmtId="0">
      <sharedItems containsSemiMixedTypes="0" containsString="0" containsNumber="1" minValue="0.3" maxValue="1"/>
    </cacheField>
    <cacheField name="Due Week" numFmtId="0">
      <sharedItems containsBlank="1" containsMixedTypes="1" containsNumber="1" containsInteger="1" minValue="6" maxValue="28" count="14" longText="1">
        <s v="January Assessment Week 1"/>
        <s v="January Assessment Week 2"/>
        <n v="6"/>
        <n v="12"/>
        <n v="13"/>
        <n v="8"/>
        <s v="Assessment week"/>
        <n v="9"/>
        <n v="28"/>
        <s v="Week 8 &amp; Assessment Period January"/>
        <n v="7"/>
        <n v="10"/>
        <s v="Week 12 for CV and Interview;                                                                                                                                                                                                                                                                                                  January assessment period for reflective component"/>
        <m/>
      </sharedItems>
    </cacheField>
    <cacheField name="ModuleCode" numFmtId="0">
      <sharedItems/>
    </cacheField>
    <cacheField name="ItemSuffix" numFmtId="0">
      <sharedItems/>
    </cacheField>
    <cacheField name="Programme" numFmtId="0">
      <sharedItems/>
    </cacheField>
    <cacheField name="ProgCode" numFmtId="0">
      <sharedItems/>
    </cacheField>
    <cacheField name="ModuleTitle" numFmtId="0">
      <sharedItems count="15">
        <s v="Psychosocial Principles of Sport and Exercise"/>
        <s v="Exercise Phys L4"/>
        <s v="Human Movement"/>
        <s v="Research Methods 2"/>
        <s v="Physiological adaptations to exercise"/>
        <s v="Biomechanics"/>
        <s v="Major Project"/>
        <s v="Professional Practice in Football Science"/>
        <s v="Talent Identification, Development and Selection"/>
        <s v="Professional Practice in Football Science 2"/>
        <s v="Football tactics and match analysis"/>
        <s v="Football Performance and Technology"/>
        <s v="Physical Performance in Football"/>
        <s v="Applied Psychology of Football"/>
        <s v="Applied Practice in Football Scienc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
  <r>
    <s v="Sport Psychology - AllModuleProformas.xlsx"/>
    <s v="4093SPS_Assess"/>
    <s v="A1"/>
    <s v="Exam"/>
    <s v="In Person Exam"/>
    <s v="90 minute and 60 question MCT to cover material delivered during weeks 1-6 of the module. "/>
    <n v="0.5"/>
    <x v="0"/>
    <s v="4093SPS"/>
    <s v="Assess"/>
    <s v="Football Science"/>
    <s v="FS"/>
    <x v="0"/>
  </r>
  <r>
    <s v="Sport Psychology - AllModuleProformas.xlsx"/>
    <s v="4093SPS_Assess"/>
    <s v="A2"/>
    <s v="Exam"/>
    <s v="In Person Exam"/>
    <s v="90 minute and 60 question MCT to cover material delivered during weeks 8-12 of the module. "/>
    <n v="0.5"/>
    <x v="1"/>
    <s v="4093SPS"/>
    <s v="Assess"/>
    <s v="Football Science"/>
    <s v="FS"/>
    <x v="0"/>
  </r>
  <r>
    <s v="Sport and Exercise Science - AllModuleProformas.xlsx"/>
    <s v="4092SPS_Assess"/>
    <s v="A1"/>
    <s v="Portfolio"/>
    <s v="Lab Report"/>
    <s v="Lab Report Portfolio: Lab Report 1 Submission + Peer Review Activity + Reflection + Lab Report 2 Submission"/>
    <n v="0.5"/>
    <x v="2"/>
    <s v="4092SPS"/>
    <s v="Assess"/>
    <s v="Football Science"/>
    <s v="FS"/>
    <x v="1"/>
  </r>
  <r>
    <s v="Sport and Exercise Science - AllModuleProformas.xlsx"/>
    <s v="4092SPS_Assess"/>
    <s v="A2"/>
    <s v="Exam"/>
    <s v="In Person Exam"/>
    <s v="In person Online MCQ Exam "/>
    <n v="0.5"/>
    <x v="3"/>
    <s v="4092SPS"/>
    <s v="Assess"/>
    <s v="Football Science"/>
    <s v="FS"/>
    <x v="1"/>
  </r>
  <r>
    <s v="Sport and Exercise Science - AllModuleProformas.xlsx"/>
    <s v="4094SPS_Assess"/>
    <s v="A1"/>
    <s v="Exam"/>
    <s v="MCQ Online Test"/>
    <s v="Online exam where students choose 3 out of 6 possible videos of movement to deconstruct a joint of their choice through MCQ and open text responses"/>
    <n v="0.35"/>
    <x v="2"/>
    <s v="4094SPS"/>
    <s v="Assess"/>
    <s v="Football Science"/>
    <s v="FS"/>
    <x v="2"/>
  </r>
  <r>
    <s v="Sport and Exercise Science - AllModuleProformas.xlsx"/>
    <s v="4094SPS_Assess"/>
    <s v="A2"/>
    <s v="Presentation"/>
    <s v="Video"/>
    <s v="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
    <n v="0.65"/>
    <x v="4"/>
    <s v="4094SPS"/>
    <s v="Assess"/>
    <s v="Football Science"/>
    <s v="FS"/>
    <x v="2"/>
  </r>
  <r>
    <s v="Sport and Exercise Science - AllModuleProformas.xlsx"/>
    <s v="5091SPS_Assess"/>
    <s v="A1"/>
    <s v="Presentation"/>
    <s v="Group Presentation"/>
    <s v="Group presentation demonstrating analysis of mixed-methods data"/>
    <n v="0.5"/>
    <x v="2"/>
    <s v="5091SPS"/>
    <s v="Assess"/>
    <s v="Football Science"/>
    <s v="FS"/>
    <x v="3"/>
  </r>
  <r>
    <s v="Sport and Exercise Science - AllModuleProformas.xlsx"/>
    <s v="5091SPS_Assess"/>
    <s v="A2"/>
    <s v="Report"/>
    <s v="Essay"/>
    <s v="Research Proposal outlining a feasible study to undertake at L6"/>
    <n v="0.5"/>
    <x v="3"/>
    <s v="5091SPS"/>
    <s v="Assess"/>
    <s v="Football Science"/>
    <s v="FS"/>
    <x v="3"/>
  </r>
  <r>
    <s v="Sport and Exercise Science - AllModuleProformas.xlsx"/>
    <s v="5092SPS_Assess"/>
    <s v="A1"/>
    <s v="Report"/>
    <s v="Lab Report"/>
    <s v="Using the experimental data provided and an AI-generated draft report, students will produce a scientific laboratory report that analyses and evaluates the physiological effects of exercise training"/>
    <n v="0.5"/>
    <x v="5"/>
    <s v="5092SPS"/>
    <s v="Assess"/>
    <s v="Football Science"/>
    <s v="FS"/>
    <x v="4"/>
  </r>
  <r>
    <s v="Sport and Exercise Science - AllModuleProformas.xlsx"/>
    <s v="5092SPS_Assess"/>
    <s v="A2"/>
    <s v="Presentation"/>
    <s v="Group Presentation"/>
    <s v="Pro/con debate: working in groups, students will research, prepare, and participate in a structured debate on a controversial topic related to sport and exercise physiology"/>
    <n v="0.5"/>
    <x v="6"/>
    <s v="5092SPS"/>
    <s v="Assess"/>
    <s v="Football Science"/>
    <s v="FS"/>
    <x v="4"/>
  </r>
  <r>
    <s v="Sport and Exercise Science - AllModuleProformas.xlsx"/>
    <s v="5103SPS_Assess"/>
    <s v="A1"/>
    <s v="Portfolio"/>
    <s v="Lab Report"/>
    <s v="Porfoiolo of biomechanical analysis reports to a 'Performance Director', linked to taught labs "/>
    <n v="0.5"/>
    <x v="7"/>
    <s v="5103SPS"/>
    <s v="Assess"/>
    <s v="Football Science"/>
    <s v="FS"/>
    <x v="5"/>
  </r>
  <r>
    <s v="Sport and Exercise Science - AllModuleProformas.xlsx"/>
    <s v="5103SPS_Assess"/>
    <s v="A2"/>
    <s v="Exam"/>
    <s v="In Person Exam"/>
    <s v="Exam testing knowledge of taught conetent and assessing depth of knowlegde and seeking justifications and critique of portfolio "/>
    <n v="0.5"/>
    <x v="3"/>
    <s v="5103SPS"/>
    <s v="Assess"/>
    <s v="Football Science"/>
    <s v="FS"/>
    <x v="5"/>
  </r>
  <r>
    <s v="Sport and Exercise Science - AllModuleProformas.xlsx"/>
    <s v="6091SPS_Assess"/>
    <s v="A1"/>
    <s v="Report"/>
    <s v="Dissertation"/>
    <s v="Students are required to submit a thesis that describes and reports the major project that they conducted using the scientific method, e.g., Introduction, Methods, Results and Discussion. "/>
    <n v="0.6"/>
    <x v="8"/>
    <s v="6091SPS"/>
    <s v="Assess"/>
    <s v="Football Science"/>
    <s v="FS"/>
    <x v="6"/>
  </r>
  <r>
    <s v="Sport and Exercise Science - AllModuleProformas.xlsx"/>
    <s v="6091SPS_Assess"/>
    <s v="A2"/>
    <s v="Presentation"/>
    <s v="Individual Presentation"/>
    <s v="Students are required to manage their own project throughout the year and produce, present and defend their major project "/>
    <n v="0.4"/>
    <x v="8"/>
    <s v="6091SPS"/>
    <s v="Assess"/>
    <s v="Football Science"/>
    <s v="FS"/>
    <x v="6"/>
  </r>
  <r>
    <s v="Football Science - AllModuleProformas.xlsx"/>
    <s v="4301SPS_Assess"/>
    <s v="A1"/>
    <s v="Presentation"/>
    <s v="Individual Presentation"/>
    <s v="Students will be required to deliver a 5-minute presentation covering; (1) role of a football scientist, (2) personal and professional competencies associated with this role, (3) current skillset and development plan"/>
    <n v="0.5"/>
    <x v="3"/>
    <s v="4301SPS"/>
    <s v="Assess"/>
    <s v="Football Science"/>
    <s v="FS"/>
    <x v="7"/>
  </r>
  <r>
    <s v="Football Science - AllModuleProformas.xlsx"/>
    <s v="4301SPS_Assess"/>
    <s v="A2"/>
    <s v="Portfolio"/>
    <s v="Viva"/>
    <s v="Students will engage in a 'world cafe' style viva discussion about 2 current topics in football science. Upon the completion of the viva, students will submit a 1 page reflective account considering their personal growth and development during the module"/>
    <n v="0.5"/>
    <x v="9"/>
    <s v="4301SPS"/>
    <s v="Assess"/>
    <s v="Football Science"/>
    <s v="FS"/>
    <x v="7"/>
  </r>
  <r>
    <s v="Football Science - AllModuleProformas.xlsx"/>
    <s v="4303SPS_Assess"/>
    <s v="A1"/>
    <s v="Presentation"/>
    <s v="Group Presentation"/>
    <s v="Group presentation with question and answer"/>
    <n v="0.4"/>
    <x v="10"/>
    <s v="4303SPS"/>
    <s v="Assess"/>
    <s v="Football Science"/>
    <s v="FS"/>
    <x v="8"/>
  </r>
  <r>
    <s v="Football Science - AllModuleProformas.xlsx"/>
    <s v="4303SPS_Assess"/>
    <s v="A2"/>
    <s v="Report"/>
    <s v="Essay"/>
    <s v="Written report and individual development plan"/>
    <n v="0.6"/>
    <x v="3"/>
    <s v="4303SPS"/>
    <s v="Assess"/>
    <s v="Football Science"/>
    <s v="FS"/>
    <x v="8"/>
  </r>
  <r>
    <s v="Football Science - AllModuleProformas.xlsx"/>
    <s v="5301SPS_Assess"/>
    <s v="A1"/>
    <s v="Report"/>
    <s v="Case Study"/>
    <s v="Student chooses one case study and provides an inter-disciplinary report as to how to support the individual"/>
    <n v="0.5"/>
    <x v="11"/>
    <s v="5301SPS"/>
    <s v="Assess"/>
    <s v="Football Science"/>
    <s v="FS"/>
    <x v="9"/>
  </r>
  <r>
    <s v="Football Science - AllModuleProformas.xlsx"/>
    <s v="5301SPS_Assess"/>
    <s v="A2"/>
    <s v="Presentation"/>
    <s v="Reflection"/>
    <s v="3 component parts:_x000a_- Individual mock interviews (10-mins) tailored to chosen job _x000a_- Students to develop 1-page CV for the role and submit_x000a_- Students to critically reflect on their performance within the interview, current skill set, and outline next steps in their professional practice (1000 words max) "/>
    <n v="0.5"/>
    <x v="12"/>
    <s v="5301SPS"/>
    <s v="Assess"/>
    <s v="Football Science"/>
    <s v="FS"/>
    <x v="9"/>
  </r>
  <r>
    <s v="Football Science - AllModuleProformas.xlsx"/>
    <s v="5302SPS_Assess"/>
    <s v="A1"/>
    <s v="Presentation"/>
    <s v="Group Presentation"/>
    <s v="Group presentation on biomechanical principles in weightlifting"/>
    <n v="0.5"/>
    <x v="2"/>
    <s v="5302SPS"/>
    <s v="Assess"/>
    <s v="Football Science"/>
    <s v="FS"/>
    <x v="10"/>
  </r>
  <r>
    <s v="Football Science - AllModuleProformas.xlsx"/>
    <s v="6301SPS_Assess"/>
    <s v="A1"/>
    <s v="Exam"/>
    <s v="Data Analysis"/>
    <s v="Performance testing and technology"/>
    <n v="0.5"/>
    <x v="10"/>
    <s v="6301SPS"/>
    <s v="Assess"/>
    <s v="Football Science"/>
    <s v="FS"/>
    <x v="11"/>
  </r>
  <r>
    <s v="Football Science - AllModuleProformas.xlsx"/>
    <s v="6301SPS_Assess"/>
    <s v="A2"/>
    <s v="Presentation"/>
    <s v="Individual Presentation"/>
    <s v="Training Load"/>
    <n v="0.5"/>
    <x v="3"/>
    <s v="6301SPS"/>
    <s v="Assess"/>
    <s v="Football Science"/>
    <s v="FS"/>
    <x v="11"/>
  </r>
  <r>
    <s v="Football Science - AllModuleProformas.xlsx"/>
    <s v="6302SPS_Assess"/>
    <s v="A1"/>
    <s v="Portfolio"/>
    <s v="Group Presentation"/>
    <s v="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
    <n v="1"/>
    <x v="3"/>
    <s v="6302SPS"/>
    <s v="Assess"/>
    <s v="Football Science"/>
    <s v="FS"/>
    <x v="12"/>
  </r>
  <r>
    <s v="Football Science - AllModuleProformas.xlsx"/>
    <s v="6303SPS_Assess"/>
    <s v="A1"/>
    <s v="Presentation"/>
    <s v="Individual Presentation"/>
    <s v="Individual presentation of infographic "/>
    <n v="0.3"/>
    <x v="2"/>
    <s v="6303SPS"/>
    <s v="Assess"/>
    <s v="Football Science"/>
    <s v="FS"/>
    <x v="13"/>
  </r>
  <r>
    <s v="Football Science - AllModuleProformas.xlsx"/>
    <s v="6303SPS_Assess"/>
    <s v="A2"/>
    <s v="Report"/>
    <s v="Case Study"/>
    <s v="Psychological Development Programme"/>
    <n v="0.7"/>
    <x v="3"/>
    <s v="6303SPS"/>
    <s v="Assess"/>
    <s v="Football Science"/>
    <s v="FS"/>
    <x v="13"/>
  </r>
  <r>
    <s v="Football Science - AllModuleProformas.xlsx"/>
    <s v="6304SPS_Assess"/>
    <s v="A1"/>
    <s v="Report"/>
    <m/>
    <s v="Individual reflective report"/>
    <n v="0.5"/>
    <x v="13"/>
    <s v="6304SPS"/>
    <s v="Assess"/>
    <s v="Football Science"/>
    <s v="FS"/>
    <x v="14"/>
  </r>
  <r>
    <s v="Football Science - AllModuleProformas.xlsx"/>
    <s v="6304SPS_Assess"/>
    <s v="A2"/>
    <s v="Presentation"/>
    <s v="Individual Presentation"/>
    <s v="Individual reflective presentation"/>
    <n v="0.5"/>
    <x v="13"/>
    <s v="6304SPS"/>
    <s v="Assess"/>
    <s v="Football Science"/>
    <s v="FS"/>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1565CB-01AA-E047-BBF2-096CB1845DE6}"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P37" firstHeaderRow="1" firstDataRow="2" firstDataCol="1"/>
  <pivotFields count="13">
    <pivotField showAll="0"/>
    <pivotField showAll="0"/>
    <pivotField showAll="0"/>
    <pivotField showAll="0"/>
    <pivotField showAll="0"/>
    <pivotField showAll="0"/>
    <pivotField dataField="1" showAll="0"/>
    <pivotField axis="axisCol" showAll="0">
      <items count="15">
        <item x="2"/>
        <item x="10"/>
        <item x="5"/>
        <item x="7"/>
        <item x="11"/>
        <item x="3"/>
        <item x="4"/>
        <item x="8"/>
        <item x="6"/>
        <item x="0"/>
        <item x="1"/>
        <item x="12"/>
        <item x="9"/>
        <item x="13"/>
        <item t="default"/>
      </items>
    </pivotField>
    <pivotField showAll="0"/>
    <pivotField showAll="0"/>
    <pivotField showAll="0"/>
    <pivotField showAll="0"/>
    <pivotField axis="axisRow" showAll="0">
      <items count="16">
        <item x="14"/>
        <item x="13"/>
        <item x="5"/>
        <item x="1"/>
        <item x="11"/>
        <item x="10"/>
        <item x="2"/>
        <item x="6"/>
        <item x="12"/>
        <item x="4"/>
        <item x="7"/>
        <item x="9"/>
        <item x="0"/>
        <item x="3"/>
        <item x="8"/>
        <item t="default"/>
      </items>
    </pivotField>
  </pivotFields>
  <rowFields count="1">
    <field x="12"/>
  </rowFields>
  <rowItems count="16">
    <i>
      <x/>
    </i>
    <i>
      <x v="1"/>
    </i>
    <i>
      <x v="2"/>
    </i>
    <i>
      <x v="3"/>
    </i>
    <i>
      <x v="4"/>
    </i>
    <i>
      <x v="5"/>
    </i>
    <i>
      <x v="6"/>
    </i>
    <i>
      <x v="7"/>
    </i>
    <i>
      <x v="8"/>
    </i>
    <i>
      <x v="9"/>
    </i>
    <i>
      <x v="10"/>
    </i>
    <i>
      <x v="11"/>
    </i>
    <i>
      <x v="12"/>
    </i>
    <i>
      <x v="13"/>
    </i>
    <i>
      <x v="14"/>
    </i>
    <i t="grand">
      <x/>
    </i>
  </rowItems>
  <colFields count="1">
    <field x="7"/>
  </colFields>
  <colItems count="15">
    <i>
      <x/>
    </i>
    <i>
      <x v="1"/>
    </i>
    <i>
      <x v="2"/>
    </i>
    <i>
      <x v="3"/>
    </i>
    <i>
      <x v="4"/>
    </i>
    <i>
      <x v="5"/>
    </i>
    <i>
      <x v="6"/>
    </i>
    <i>
      <x v="7"/>
    </i>
    <i>
      <x v="8"/>
    </i>
    <i>
      <x v="9"/>
    </i>
    <i>
      <x v="10"/>
    </i>
    <i>
      <x v="11"/>
    </i>
    <i>
      <x v="12"/>
    </i>
    <i>
      <x v="13"/>
    </i>
    <i t="grand">
      <x/>
    </i>
  </colItems>
  <dataFields count="1">
    <dataField name="Sum of Weighting"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3" connectionId="10" xr16:uid="{D697DA65-0714-9343-A9AE-908ED0C9462D}"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2" connectionId="7" xr16:uid="{FB91E881-06CF-8A4F-8D22-764C60CDFBFE}"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1" connectionId="6" xr16:uid="{E7C9E19A-BB4A-5B4C-882F-129F6EAC8EA1}"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0" connectionId="9" xr16:uid="{82364964-734A-254B-BA9C-0476C2DC65B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9" connectionId="11" xr16:uid="{0939F655-361E-AB40-9E46-FB87F5BFB1A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1" connectionId="13" xr16:uid="{743A0819-3B0F-E146-B9EC-865682C0EB9C}" autoFormatId="16" applyNumberFormats="0" applyBorderFormats="0" applyFontFormats="0" applyPatternFormats="0" applyAlignmentFormats="0" applyWidthHeightFormats="0">
  <queryTableRefresh nextId="17">
    <queryTableFields count="16">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 id="16" name="Total Contact Hours" tableColumnId="16"/>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0" connectionId="8" xr16:uid="{49E11EE2-EDC9-D54A-9794-3623ABD27D54}"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9" connectionId="12" xr16:uid="{5EE23636-1070-E148-BDE6-17B676A68EC5}"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1" connectionId="14" xr16:uid="{05C1841D-2637-6B43-B403-60944AFBE859}" autoFormatId="16" applyNumberFormats="0" applyBorderFormats="0" applyFontFormats="0" applyPatternFormats="0" applyAlignmentFormats="0" applyWidthHeightFormats="0">
  <queryTableRefresh nextId="17">
    <queryTableFields count="16">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 id="16" name="Total Contact Hours" tableColumnId="1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8" connectionId="17" xr16:uid="{4AC3C19A-7277-684E-8971-BD854F6A1C32}" autoFormatId="16" applyNumberFormats="0" applyBorderFormats="0" applyFontFormats="0" applyPatternFormats="0" applyAlignmentFormats="0" applyWidthHeightFormats="0">
  <queryTableRefresh nextId="5">
    <queryTableFields count="4">
      <queryTableField id="1" name="Programme" tableColumnId="1"/>
      <queryTableField id="2" name="ProgCode" tableColumnId="2"/>
      <queryTableField id="3" name="ModuleCode" tableColumnId="3"/>
      <queryTableField id="4" name="ModuleTitle" tableColumnId="4"/>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7" connectionId="18" xr16:uid="{DAD33CB1-173D-8F43-9A02-0B6FDE10EEE5}" autoFormatId="16" applyNumberFormats="0" applyBorderFormats="0" applyFontFormats="0" applyPatternFormats="0" applyAlignmentFormats="0" applyWidthHeightFormats="0">
  <queryTableRefresh nextId="2">
    <queryTableFields count="1">
      <queryTableField id="1" name="RegisterBlocks" tableColumnId="1"/>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6" connectionId="23" xr16:uid="{1EBE69D4-5438-C04B-A689-B6A2DE77DAC9}" autoFormatId="16" applyNumberFormats="0" applyBorderFormats="0" applyFontFormats="0" applyPatternFormats="0" applyAlignmentFormats="0" applyWidthHeightFormats="0">
  <queryTableRefresh nextId="6">
    <queryTableFields count="5">
      <queryTableField id="1" name="SourceWorkbook" tableColumnId="1"/>
      <queryTableField id="2" name="TableName" tableColumnId="2"/>
      <queryTableField id="3" name="TableData" tableColumnId="3"/>
      <queryTableField id="4" name="ModuleCode" tableColumnId="4"/>
      <queryTableField id="5" name="ItemSuffix" tableColumnId="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19" xr16:uid="{D18A6FCD-E2A1-634A-8110-2802DBC90696}" autoFormatId="16" applyNumberFormats="0" applyBorderFormats="0" applyFontFormats="0" applyPatternFormats="0" applyAlignmentFormats="0" applyWidthHeightFormats="0">
  <queryTableRefresh nextId="2">
    <queryTableFields count="1">
      <queryTableField id="1" name="RelevantItems" tableColumnId="1"/>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4" connectionId="22" xr16:uid="{84488D28-8056-0245-80D0-E40F97FEC315}" autoFormatId="16" applyNumberFormats="0" applyBorderFormats="0" applyFontFormats="0" applyPatternFormats="0" applyAlignmentFormats="0" applyWidthHeightFormats="0">
  <queryTableRefresh nextId="4">
    <queryTableFields count="3">
      <queryTableField id="1" name="SourceWorkbook" tableColumnId="1"/>
      <queryTableField id="2" name="TableName" tableColumnId="2"/>
      <queryTableField id="3" name="TableData" tableColumnId="3"/>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3" firstBackgroundRefresh="1" connectionId="15" xr16:uid="{9199F6D4-8A80-9E4B-9FD3-AA0C54354A13}" autoFormatId="16" applyNumberFormats="0" applyBorderFormats="0" applyFontFormats="0" applyPatternFormats="0" applyAlignmentFormats="0" applyWidthHeightFormats="0">
  <queryTableRefresh>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connectionId="16" xr16:uid="{47DD8C76-546B-7442-A767-93CBCF28D8F3}"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 connectionId="5" xr16:uid="{4E97FFEE-1596-40D7-BCFD-13DD407C5369}" autoFormatId="16" applyNumberFormats="0" applyBorderFormats="0" applyFontFormats="0" applyPatternFormats="0" applyAlignmentFormats="0" applyWidthHeightFormats="0">
  <queryTableRefresh nextId="15">
    <queryTableFields count="14">
      <queryTableField id="1" name="Programme" tableColumnId="1"/>
      <queryTableField id="2" name="Name" tableColumnId="2"/>
      <queryTableField id="3" name="Extension" tableColumnId="3"/>
      <queryTableField id="4" name="Date accessed" tableColumnId="4"/>
      <queryTableField id="5" name="Date modified" tableColumnId="5"/>
      <queryTableField id="6" name="Date created" tableColumnId="6"/>
      <queryTableField id="7" name="Folder Path" tableColumnId="7"/>
      <queryTableField id="8" name="TableName" tableColumnId="8"/>
      <queryTableField id="9" name="Assessment No" tableColumnId="9"/>
      <queryTableField id="10" name="Assessment Type" tableColumnId="10"/>
      <queryTableField id="11" name="Assessment Specific" tableColumnId="11"/>
      <queryTableField id="12" name="Assessment Description" tableColumnId="12"/>
      <queryTableField id="13" name="Weighting" tableColumnId="13"/>
      <queryTableField id="14" name="Due Week" tableColumnId="14"/>
    </queryTableFields>
  </queryTableRefresh>
</queryTable>
</file>

<file path=xl/tables/_rels/table8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90.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91.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92.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93.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94.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95.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autoFilter ref="C6:D14" xr:uid="{CD75D2A7-14B1-4ABD-B64D-6E875F9BC652}">
    <filterColumn colId="0" hiddenButton="1"/>
    <filterColumn colId="1" hiddenButton="1"/>
  </autoFilter>
  <tableColumns count="2">
    <tableColumn id="1" xr3:uid="{644E4444-F68A-4E74-BD5D-8748CD05A7D2}" name="Module Data" dataDxfId="301"/>
    <tableColumn id="2" xr3:uid="{AF6CCCE6-633B-4669-B570-EB4F893B50C4}" name="Details" dataDxfId="30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299">
  <autoFilter ref="C28:D33" xr:uid="{22316987-6BEB-4FAF-9619-BF9BE9909CFA}">
    <filterColumn colId="0" hiddenButton="1"/>
    <filterColumn colId="1" hiddenButton="1"/>
  </autoFilter>
  <tableColumns count="2">
    <tableColumn id="1" xr3:uid="{589112ED-5C99-4CD7-912A-F216AEC245F3}" name="LO Number" dataDxfId="298"/>
    <tableColumn id="2" xr3:uid="{D42319CA-BEAF-49C8-8EC7-B45F24386E7A}" name="LO Description" dataDxfId="29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29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95"/>
    <tableColumn id="2" xr3:uid="{0C168E40-BC62-40F7-8494-D9D585BBF5DD}" name="Assessment Type" dataDxfId="294"/>
    <tableColumn id="7" xr3:uid="{03042C7C-BE5A-4EDB-B18A-F162688CAFDA}" name="Assessment Specific" dataDxfId="293"/>
    <tableColumn id="3" xr3:uid="{B536E57C-91CB-491F-8850-5E1F4FFB6EC2}" name="Assessment Description" dataDxfId="292"/>
    <tableColumn id="4" xr3:uid="{CFEF4DCA-7026-4AB8-9930-965F672B21EC}" name="Weighting" dataDxfId="291"/>
    <tableColumn id="5" xr3:uid="{268A91DF-58B1-43BF-A340-0E1D33705BAA}" name="Due Week" dataDxfId="29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89"/>
    <tableColumn id="2" xr3:uid="{916AD303-2708-4E40-8E0C-DE9D347BA8EA}" name="Week Number" dataDxfId="288"/>
    <tableColumn id="3" xr3:uid="{66580F8A-FF82-4503-9EBF-1B44DD45F9F5}" name="Weekly Content 1" dataDxfId="287"/>
    <tableColumn id="4" xr3:uid="{5E6D35EA-634F-45B1-8A96-068CB99E3BA7}" name="Weekly Content 2" dataDxfId="286"/>
    <tableColumn id="5" xr3:uid="{25F8B45E-A68A-40F6-AADD-D3228D0F228B}" name="Weekly Content 3" dataDxfId="285"/>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autoFilter ref="C18:D24" xr:uid="{B71A3569-AA65-4A4E-98A2-885F5C38B46D}">
    <filterColumn colId="0" hiddenButton="1"/>
    <filterColumn colId="1" hiddenButton="1"/>
  </autoFilter>
  <tableColumns count="2">
    <tableColumn id="1" xr3:uid="{E6DA5AB3-0374-477C-BB37-91CD5B04A8A7}" name="Component" dataDxfId="284"/>
    <tableColumn id="2" xr3:uid="{25171EA2-F360-4480-9A69-30F0637E5E19}" name="Contact Hours" dataDxfId="28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56" totalsRowShown="0" headerRowDxfId="282" dataDxfId="281">
  <autoFilter ref="C45:F5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80"/>
    <tableColumn id="2" xr3:uid="{220CCF7F-D01D-41B9-83FA-AB3772B56C47}" name="LO Number" dataDxfId="279"/>
    <tableColumn id="3" xr3:uid="{35876AFA-8C5D-4EB6-A40B-8013521A5A47}" name="Graduate Skills Category" dataDxfId="278"/>
    <tableColumn id="4" xr3:uid="{8CC8B0ED-B11D-43C6-AB11-C69764FE383C}" name="Graduate Skill" dataDxfId="277"/>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dataDxfId="276">
  <autoFilter ref="F6:F8" xr:uid="{9552138F-2332-4BC4-A585-0E13162881A5}"/>
  <tableColumns count="1">
    <tableColumn id="1" xr3:uid="{17C9A3A3-D0C1-421C-8D52-32617D054C2E}" name="Aims" dataDxfId="275"/>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dataDxfId="274">
  <autoFilter ref="F10:F13" xr:uid="{94F18F67-3F10-4F6E-A953-4FE3399B07F2}"/>
  <tableColumns count="1">
    <tableColumn id="1" xr3:uid="{D7FF23A0-D568-4D96-9868-A6319DCE887A}" name="Outline Syllabus" dataDxfId="273"/>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dataDxfId="272">
  <autoFilter ref="F15:F20" xr:uid="{1B2BCD7B-6C15-4B1C-86BC-48FF83D8F225}"/>
  <tableColumns count="1">
    <tableColumn id="1" xr3:uid="{E558D902-00D8-4FEB-8431-38F38D3FD8C5}" name="Module Overview" dataDxfId="271"/>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dataDxfId="270">
  <autoFilter ref="F22:F33" xr:uid="{D5968C0A-6D7E-4221-87EE-78A85A4039B3}"/>
  <tableColumns count="1">
    <tableColumn id="1" xr3:uid="{C6EF2F48-EFDC-40BF-8A10-F2C80BC78705}" name="Additional Information/Notes" dataDxfId="269"/>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autoFilter ref="C6:D14" xr:uid="{CD75D2A7-14B1-4ABD-B64D-6E875F9BC652}">
    <filterColumn colId="0" hiddenButton="1"/>
    <filterColumn colId="1" hiddenButton="1"/>
  </autoFilter>
  <tableColumns count="2">
    <tableColumn id="1" xr3:uid="{ACF32678-77E3-4DB8-8FD6-8F313C0082A9}" name="Module Data" dataDxfId="268"/>
    <tableColumn id="2" xr3:uid="{DD1FE0F1-BC22-47E6-B097-D50D8388821E}" name="Details" dataDxfId="267"/>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266">
  <autoFilter ref="C28:D33" xr:uid="{22316987-6BEB-4FAF-9619-BF9BE9909CFA}">
    <filterColumn colId="0" hiddenButton="1"/>
    <filterColumn colId="1" hiddenButton="1"/>
  </autoFilter>
  <tableColumns count="2">
    <tableColumn id="1" xr3:uid="{6CB2DC80-959E-4050-BA4D-48CD62403E05}" name="LO Number" dataDxfId="265"/>
    <tableColumn id="2" xr3:uid="{85688B06-9831-461B-B933-1E407D860BB8}" name="LO Description" dataDxfId="26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26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262"/>
    <tableColumn id="2" xr3:uid="{F4594AC5-B575-460A-8B6B-2EF3FCBAB24A}" name="Assessment Type" dataDxfId="261"/>
    <tableColumn id="7" xr3:uid="{AAABE4DC-4613-4F22-97E3-44DC05E3C8C2}" name="Assessment Specific" dataDxfId="260"/>
    <tableColumn id="3" xr3:uid="{C3DF3668-A1BF-4CA9-A035-72DE23145404}" name="Assessment Description" dataDxfId="259"/>
    <tableColumn id="4" xr3:uid="{3D9A7936-2757-4200-8A20-0CA5D42BA49F}" name="Weighting" dataDxfId="258"/>
    <tableColumn id="5" xr3:uid="{8EF3572C-5F74-4584-B936-B47EF6784AC5}" name="Due Week" dataDxfId="257"/>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56"/>
    <tableColumn id="2" xr3:uid="{FBC07EB1-2635-4DBE-A175-763442B26942}" name="Week Number" dataDxfId="255"/>
    <tableColumn id="3" xr3:uid="{D5767446-3CE7-477F-86AC-430EDC126EA2}" name="Weekly Content 1" dataDxfId="254"/>
    <tableColumn id="4" xr3:uid="{9EAF880D-82C8-4C10-BC2E-5F1E7B2ED0C1}" name="Weekly Content 2" dataDxfId="253"/>
    <tableColumn id="5" xr3:uid="{322143D7-C33E-4E77-9B9F-4AFE42EC2AA6}" name="Weekly Content 3" dataDxfId="252"/>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autoFilter ref="C18:D24" xr:uid="{B71A3569-AA65-4A4E-98A2-885F5C38B46D}">
    <filterColumn colId="0" hiddenButton="1"/>
    <filterColumn colId="1" hiddenButton="1"/>
  </autoFilter>
  <tableColumns count="2">
    <tableColumn id="1" xr3:uid="{CF6425D2-EB8D-46CC-B2D7-B49E8963FCEB}" name="Component" dataDxfId="251"/>
    <tableColumn id="2" xr3:uid="{BD9901A8-2A59-4CEC-ADF1-EDBA06D8EC9A}" name="Contact Hours" dataDxfId="2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56" totalsRowShown="0" headerRowDxfId="249" dataDxfId="248">
  <autoFilter ref="C45:F5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247"/>
    <tableColumn id="2" xr3:uid="{7A675E84-DDDC-4998-99E6-205908A58F57}" name="LO Number" dataDxfId="246"/>
    <tableColumn id="3" xr3:uid="{66CA6E22-8945-41E1-BB50-73156CC69517}" name="Graduate Skills Category" dataDxfId="245"/>
    <tableColumn id="4" xr3:uid="{325393C6-2FBF-4ABB-8CB2-DF104C6AB43E}" name="Graduate Skill" dataDxfId="244"/>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dataDxfId="243">
  <autoFilter ref="F6:F8" xr:uid="{9552138F-2332-4BC4-A585-0E13162881A5}"/>
  <tableColumns count="1">
    <tableColumn id="1" xr3:uid="{67F975D0-E9AC-4452-A379-A1359EC2808C}" name="Aims" dataDxfId="242"/>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dataDxfId="241">
  <autoFilter ref="F10:F13" xr:uid="{94F18F67-3F10-4F6E-A953-4FE3399B07F2}"/>
  <tableColumns count="1">
    <tableColumn id="1" xr3:uid="{BFF28868-E7E3-4275-B13E-588F6503F19C}" name="Outline Syllabus" dataDxfId="240"/>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dataDxfId="239">
  <autoFilter ref="F15:F20" xr:uid="{1B2BCD7B-6C15-4B1C-86BC-48FF83D8F225}"/>
  <tableColumns count="1">
    <tableColumn id="1" xr3:uid="{AD6B21BA-8875-45A9-8932-F4F0FB08A980}" name="Module Overview" dataDxfId="238"/>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dataDxfId="237">
  <autoFilter ref="F22:F33" xr:uid="{D5968C0A-6D7E-4221-87EE-78A85A4039B3}"/>
  <tableColumns count="1">
    <tableColumn id="1" xr3:uid="{91D0B8DA-30D1-4338-88D9-5A2355C1DF22}" name="Additional Information/Notes" dataDxfId="236"/>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autoFilter ref="C6:D14" xr:uid="{CD75D2A7-14B1-4ABD-B64D-6E875F9BC652}">
    <filterColumn colId="0" hiddenButton="1"/>
    <filterColumn colId="1" hiddenButton="1"/>
  </autoFilter>
  <tableColumns count="2">
    <tableColumn id="1" xr3:uid="{7B568BCE-928C-447D-BD05-0832B97C0D72}" name="Module Data" dataDxfId="235"/>
    <tableColumn id="2" xr3:uid="{706D7CC6-0EB1-4219-8291-567821A0A5B8}" name="Details" dataDxfId="234"/>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233">
  <autoFilter ref="C28:D33" xr:uid="{22316987-6BEB-4FAF-9619-BF9BE9909CFA}">
    <filterColumn colId="0" hiddenButton="1"/>
    <filterColumn colId="1" hiddenButton="1"/>
  </autoFilter>
  <tableColumns count="2">
    <tableColumn id="1" xr3:uid="{C19B4674-B83E-4A42-A7E5-5468C8752F20}" name="LO Number" dataDxfId="232"/>
    <tableColumn id="2" xr3:uid="{78F135DA-0213-417E-88FD-2F76325B6D58}" name="LO Description" dataDxfId="23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23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29"/>
    <tableColumn id="2" xr3:uid="{43E55016-0B24-4AE6-8341-2CF6FE45EFE0}" name="Assessment Type" dataDxfId="228"/>
    <tableColumn id="7" xr3:uid="{74FB69C4-57FE-4D4F-92C7-425CCB32340D}" name="Assessment Specific" dataDxfId="227"/>
    <tableColumn id="3" xr3:uid="{F392CA10-65BB-49CE-8FEA-065DB3B1250A}" name="Assessment Description" dataDxfId="226"/>
    <tableColumn id="4" xr3:uid="{63105FFB-71CB-4889-BE3D-BA168F2B1D15}" name="Weighting" dataDxfId="225"/>
    <tableColumn id="5" xr3:uid="{942301B1-78DA-47AC-B487-4A82010FBC22}" name="Due Week" dataDxfId="224"/>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223"/>
    <tableColumn id="2" xr3:uid="{D37085D6-4B13-4E18-BF1D-72E1D211C5E2}" name="Week Number" dataDxfId="222"/>
    <tableColumn id="3" xr3:uid="{E63B3791-EF8C-42D0-9D20-9E40C6780395}" name="Weekly Content 1" dataDxfId="221"/>
    <tableColumn id="4" xr3:uid="{B1BA8E95-AF48-472D-8022-4FFD3C39E6FD}" name="Weekly Content 2" dataDxfId="220"/>
    <tableColumn id="5" xr3:uid="{77ED77D2-DF2D-4913-862F-82B54D142645}" name="Weekly Content 3" dataDxfId="219"/>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autoFilter ref="C18:D24" xr:uid="{B71A3569-AA65-4A4E-98A2-885F5C38B46D}">
    <filterColumn colId="0" hiddenButton="1"/>
    <filterColumn colId="1" hiddenButton="1"/>
  </autoFilter>
  <tableColumns count="2">
    <tableColumn id="1" xr3:uid="{A4027C00-55EA-4E91-A17F-FC7D936AA12D}" name="Component" dataDxfId="218"/>
    <tableColumn id="2" xr3:uid="{2B461470-C937-400F-A861-E1EF437460FC}" name="Contact Hours" dataDxfId="217"/>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56" totalsRowShown="0" headerRowDxfId="216" dataDxfId="215">
  <autoFilter ref="C45:F5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214"/>
    <tableColumn id="2" xr3:uid="{01ED9B44-AD4B-499E-8D3C-3B9247E57323}" name="LO Number" dataDxfId="213"/>
    <tableColumn id="3" xr3:uid="{D52384A9-63E3-4ABE-86FB-4619A06E02AF}" name="Graduate Skills Category" dataDxfId="212"/>
    <tableColumn id="4" xr3:uid="{B45DCF04-04F9-4B36-A81D-CEBACC18D2E8}" name="Graduate Skill" dataDxfId="211"/>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dataDxfId="210">
  <autoFilter ref="F6:F8" xr:uid="{9552138F-2332-4BC4-A585-0E13162881A5}"/>
  <tableColumns count="1">
    <tableColumn id="1" xr3:uid="{00C11AD8-5667-494A-85B4-23C210D1B918}" name="Aims" dataDxfId="20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dataDxfId="208">
  <autoFilter ref="F10:F13" xr:uid="{94F18F67-3F10-4F6E-A953-4FE3399B07F2}"/>
  <tableColumns count="1">
    <tableColumn id="1" xr3:uid="{8917F32D-2D78-4B3C-93BA-03E82057EA4B}" name="Outline Syllabus" dataDxfId="207"/>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dataDxfId="206">
  <autoFilter ref="F15:F20" xr:uid="{1B2BCD7B-6C15-4B1C-86BC-48FF83D8F225}"/>
  <tableColumns count="1">
    <tableColumn id="1" xr3:uid="{B53F9EDB-3125-4C5C-A219-EFA16F274EFC}" name="Module Overview" dataDxfId="205"/>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dataDxfId="204">
  <autoFilter ref="F22:F33" xr:uid="{D5968C0A-6D7E-4221-87EE-78A85A4039B3}"/>
  <tableColumns count="1">
    <tableColumn id="1" xr3:uid="{2E1C0BC3-8EFB-4AA5-A23B-DEAB35C7DEA7}" name="Additional Information/Notes" dataDxfId="203"/>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autoFilter ref="C6:D14" xr:uid="{CD75D2A7-14B1-4ABD-B64D-6E875F9BC652}">
    <filterColumn colId="0" hiddenButton="1"/>
    <filterColumn colId="1" hiddenButton="1"/>
  </autoFilter>
  <tableColumns count="2">
    <tableColumn id="1" xr3:uid="{5D38FCD1-7A3F-4025-AC69-E6A90C68A79E}" name="Module Data" dataDxfId="202"/>
    <tableColumn id="2" xr3:uid="{ACE861FD-0C1D-4D19-A0A8-AC83427FA81A}" name="Details" dataDxfId="201"/>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200">
  <autoFilter ref="C28:D33" xr:uid="{22316987-6BEB-4FAF-9619-BF9BE9909CFA}">
    <filterColumn colId="0" hiddenButton="1"/>
    <filterColumn colId="1" hiddenButton="1"/>
  </autoFilter>
  <tableColumns count="2">
    <tableColumn id="1" xr3:uid="{92FDE3DF-EAC0-4CA6-A5B4-E15BAAC4A01D}" name="LO Number" dataDxfId="199"/>
    <tableColumn id="2" xr3:uid="{A384CFCB-55B0-46B7-AF9A-FAAC6022096A}" name="LO Description" dataDxfId="198"/>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19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96"/>
    <tableColumn id="2" xr3:uid="{390EF809-FA62-405F-B84C-B2AD571CEBAA}" name="Assessment Type" dataDxfId="195"/>
    <tableColumn id="7" xr3:uid="{2B1618E6-AA98-4A15-AE0C-79993F1BAFB7}" name="Assessment Specific" dataDxfId="194"/>
    <tableColumn id="3" xr3:uid="{138C3352-0967-40A6-A5BE-4B32DEC01ACB}" name="Assessment Description" dataDxfId="193"/>
    <tableColumn id="4" xr3:uid="{F4B4B6BF-3460-42E3-849C-1BBE242E83C3}" name="Weighting" dataDxfId="192"/>
    <tableColumn id="5" xr3:uid="{E52307F9-F56A-42FC-9A76-6A630F2C5B71}" name="Due Week" dataDxfId="191"/>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90"/>
    <tableColumn id="2" xr3:uid="{1B7B234D-0DD9-4913-9C62-18CC4E0FD5D6}" name="Week Number" dataDxfId="189"/>
    <tableColumn id="3" xr3:uid="{FDA6287D-7D09-41DC-96F1-E9BCD4B11D2E}" name="Weekly Content 1" dataDxfId="188"/>
    <tableColumn id="4" xr3:uid="{C104D628-2E09-432B-BC7A-B7E29838D1BD}" name="Weekly Content 2" dataDxfId="187"/>
    <tableColumn id="5" xr3:uid="{6CD950CC-83A5-4FD3-93FC-B284F6F6350E}" name="Weekly Content 3" dataDxfId="186"/>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autoFilter ref="C18:D24" xr:uid="{B71A3569-AA65-4A4E-98A2-885F5C38B46D}">
    <filterColumn colId="0" hiddenButton="1"/>
    <filterColumn colId="1" hiddenButton="1"/>
  </autoFilter>
  <tableColumns count="2">
    <tableColumn id="1" xr3:uid="{27F817B7-6395-4976-9120-60D5C9775BA5}" name="Component" dataDxfId="185"/>
    <tableColumn id="2" xr3:uid="{D9B68E50-AFDD-4B94-80F2-BAB157C2FF40}" name="Contact Hours" dataDxfId="184"/>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56" totalsRowShown="0" headerRowDxfId="183" dataDxfId="182">
  <autoFilter ref="C45:F5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81"/>
    <tableColumn id="2" xr3:uid="{CF29F699-8C1A-4AC4-A563-FCBB128AC8F3}" name="LO Number" dataDxfId="180"/>
    <tableColumn id="3" xr3:uid="{B1082C18-E8C1-42F9-B74D-584EBA4A0A39}" name="Graduate Skills Category" dataDxfId="179"/>
    <tableColumn id="4" xr3:uid="{BD6D6488-ABFD-45B6-B06F-748690280986}" name="Graduate Skill" dataDxfId="178"/>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dataDxfId="177">
  <autoFilter ref="F6:F8" xr:uid="{9552138F-2332-4BC4-A585-0E13162881A5}"/>
  <tableColumns count="1">
    <tableColumn id="1" xr3:uid="{E2B338AF-53C9-469A-B45D-DF4BE4CCBDD0}" name="Aims" dataDxfId="176"/>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dataDxfId="175">
  <autoFilter ref="F10:F13" xr:uid="{94F18F67-3F10-4F6E-A953-4FE3399B07F2}"/>
  <tableColumns count="1">
    <tableColumn id="1" xr3:uid="{0B585185-EFA9-44AB-A953-91DF09E1C8F4}" name="Outline Syllabus" dataDxfId="174"/>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dataDxfId="173">
  <autoFilter ref="F15:F20" xr:uid="{1B2BCD7B-6C15-4B1C-86BC-48FF83D8F225}"/>
  <tableColumns count="1">
    <tableColumn id="1" xr3:uid="{8DA5C005-FC9F-4CBE-A281-B2B92A53526A}" name="Module Overview" dataDxfId="172"/>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dataDxfId="171">
  <autoFilter ref="F22:F33" xr:uid="{D5968C0A-6D7E-4221-87EE-78A85A4039B3}"/>
  <tableColumns count="1">
    <tableColumn id="1" xr3:uid="{D67854B5-D179-408B-A477-7F6E3033D84B}" name="Additional Information/Notes" dataDxfId="170"/>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autoFilter ref="C6:D14" xr:uid="{CD75D2A7-14B1-4ABD-B64D-6E875F9BC652}">
    <filterColumn colId="0" hiddenButton="1"/>
    <filterColumn colId="1" hiddenButton="1"/>
  </autoFilter>
  <tableColumns count="2">
    <tableColumn id="1" xr3:uid="{7833E623-ED87-40CE-93D2-B78B6A7D7E94}" name="Module Data" dataDxfId="169"/>
    <tableColumn id="2" xr3:uid="{0659839B-A1DA-4204-9267-1A4CC295A6EF}" name="Details" dataDxfId="168"/>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67">
  <autoFilter ref="C28:D33" xr:uid="{22316987-6BEB-4FAF-9619-BF9BE9909CFA}">
    <filterColumn colId="0" hiddenButton="1"/>
    <filterColumn colId="1" hiddenButton="1"/>
  </autoFilter>
  <tableColumns count="2">
    <tableColumn id="1" xr3:uid="{FEDC5FCD-23F6-4532-A565-C979DFEE6452}" name="LO Number" dataDxfId="166"/>
    <tableColumn id="2" xr3:uid="{1F64A8B9-B360-490C-BD12-64A29F9CF82F}" name="LO Description" dataDxfId="165"/>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63"/>
    <tableColumn id="2" xr3:uid="{0FE47FA8-B999-4405-B49D-E106E82A7509}" name="Assessment Type" dataDxfId="162"/>
    <tableColumn id="7" xr3:uid="{61D6D411-EDDD-4962-A754-A4B5EEB96263}" name="Assessment Specific" dataDxfId="161"/>
    <tableColumn id="3" xr3:uid="{1A288D47-FFDF-4BA0-94F1-9B647BE04DCC}" name="Assessment Description" dataDxfId="160"/>
    <tableColumn id="4" xr3:uid="{ED08857B-A938-490D-9B30-962DE64252AB}" name="Weighting" dataDxfId="159"/>
    <tableColumn id="5" xr3:uid="{581E13F4-4545-426B-8995-08E09758F5CB}" name="Due Week" dataDxfId="158"/>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57"/>
    <tableColumn id="2" xr3:uid="{BED16F5A-D8C5-4300-A763-C0065F48E598}" name="Week Number" dataDxfId="156"/>
    <tableColumn id="3" xr3:uid="{1C3278D5-9F89-43C0-84A5-ACE6AE3BF8C8}" name="Weekly Content 1" dataDxfId="155"/>
    <tableColumn id="4" xr3:uid="{8ADEF497-35DC-4945-B42C-DCA4C8DB67C9}" name="Weekly Content 2" dataDxfId="154"/>
    <tableColumn id="5" xr3:uid="{E6B69E39-A78E-4994-8E8F-40C76F0002A1}" name="Weekly Content 3" dataDxfId="153"/>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autoFilter ref="C18:D24" xr:uid="{B71A3569-AA65-4A4E-98A2-885F5C38B46D}">
    <filterColumn colId="0" hiddenButton="1"/>
    <filterColumn colId="1" hiddenButton="1"/>
  </autoFilter>
  <tableColumns count="2">
    <tableColumn id="1" xr3:uid="{2FFE33E1-E3D8-499A-B70C-70494FCFC11F}" name="Component" dataDxfId="152"/>
    <tableColumn id="2" xr3:uid="{D8D74B7C-DED1-4107-9D9B-A69709137AF1}" name="Contact Hours" dataDxfId="151"/>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56" totalsRowShown="0" headerRowDxfId="150" dataDxfId="149">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48"/>
    <tableColumn id="2" xr3:uid="{3DE98FE2-3138-46D6-BD99-F2FB47042775}" name="LO Number" dataDxfId="147"/>
    <tableColumn id="3" xr3:uid="{810A03D8-C153-4962-9C3C-D761D27C4A3F}" name="Graduate Skills Category" dataDxfId="146"/>
    <tableColumn id="4" xr3:uid="{C3B0D1F6-1274-4ED1-9705-01F40BB1E2F2}" name="Graduate Skill" dataDxfId="145"/>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dataDxfId="144">
  <autoFilter ref="F6:F8" xr:uid="{9552138F-2332-4BC4-A585-0E13162881A5}"/>
  <tableColumns count="1">
    <tableColumn id="1" xr3:uid="{C445F0C7-61B3-46CB-A56F-67D79AE54D5C}" name="Aims" dataDxfId="143"/>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dataDxfId="142">
  <autoFilter ref="F10:F13" xr:uid="{94F18F67-3F10-4F6E-A953-4FE3399B07F2}"/>
  <tableColumns count="1">
    <tableColumn id="1" xr3:uid="{CAABEA9D-6FBF-459A-AD97-585A17318A01}" name="Outline Syllabus" dataDxfId="141"/>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dataDxfId="140">
  <autoFilter ref="F15:F20" xr:uid="{1B2BCD7B-6C15-4B1C-86BC-48FF83D8F225}"/>
  <tableColumns count="1">
    <tableColumn id="1" xr3:uid="{A14625FC-0807-41B3-BEF3-09E7E979EFED}" name="Module Overview" dataDxfId="139"/>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dataDxfId="138">
  <autoFilter ref="F22:F33" xr:uid="{D5968C0A-6D7E-4221-87EE-78A85A4039B3}"/>
  <tableColumns count="1">
    <tableColumn id="1" xr3:uid="{0F69CA79-BA33-4E25-8FA9-233F7FC95036}" name="Additional Information/Notes" dataDxfId="137"/>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autoFilter ref="C6:D14" xr:uid="{CD75D2A7-14B1-4ABD-B64D-6E875F9BC652}">
    <filterColumn colId="0" hiddenButton="1"/>
    <filterColumn colId="1" hiddenButton="1"/>
  </autoFilter>
  <tableColumns count="2">
    <tableColumn id="1" xr3:uid="{4312B193-D095-44A4-B0FA-8864AE0BCBEF}" name="Module Data" dataDxfId="136"/>
    <tableColumn id="2" xr3:uid="{4F08D2F7-88F2-4061-857B-CBAD6623F570}" name="Details" dataDxfId="135"/>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134">
  <autoFilter ref="C28:D33" xr:uid="{22316987-6BEB-4FAF-9619-BF9BE9909CFA}">
    <filterColumn colId="0" hiddenButton="1"/>
    <filterColumn colId="1" hiddenButton="1"/>
  </autoFilter>
  <tableColumns count="2">
    <tableColumn id="1" xr3:uid="{87282965-A2DA-4B4E-8D06-98090F28BEEF}" name="LO Number" dataDxfId="133"/>
    <tableColumn id="2" xr3:uid="{5860F21B-133F-4A88-A61B-07CF39BC7E21}" name="LO Description" dataDxfId="132"/>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1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30"/>
    <tableColumn id="2" xr3:uid="{02E86080-DD71-4108-821B-E566F188DEA2}" name="Assessment Type" dataDxfId="129"/>
    <tableColumn id="7" xr3:uid="{47CA01EB-2FAC-4F47-BB5B-4ACF9B64B490}" name="Assessment Specific" dataDxfId="128"/>
    <tableColumn id="3" xr3:uid="{FBD48AF8-7B7F-4162-9266-C7CCFD60F0E7}" name="Assessment Description" dataDxfId="127"/>
    <tableColumn id="4" xr3:uid="{B1C6A884-1B35-475C-8890-451E2B62B45B}" name="Weighting" dataDxfId="126"/>
    <tableColumn id="5" xr3:uid="{52275FFC-C744-424D-9DA8-F4384F058801}" name="Due Week" dataDxfId="125"/>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24"/>
    <tableColumn id="2" xr3:uid="{F2C231FA-6829-4DDE-AADC-3E8FA43A1138}" name="Week Number" dataDxfId="123"/>
    <tableColumn id="3" xr3:uid="{BF2905C5-0007-47A2-850C-6A3A59009B1B}" name="Weekly Content 1" dataDxfId="122"/>
    <tableColumn id="4" xr3:uid="{87E349A9-C7DB-4B62-AE2D-73DF6FE87FF2}" name="Weekly Content 2" dataDxfId="121"/>
    <tableColumn id="5" xr3:uid="{9335E186-D4FA-4BC9-96F6-48CA2E66C8B8}" name="Weekly Content 3" dataDxfId="120"/>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autoFilter ref="C18:D24" xr:uid="{B71A3569-AA65-4A4E-98A2-885F5C38B46D}">
    <filterColumn colId="0" hiddenButton="1"/>
    <filterColumn colId="1" hiddenButton="1"/>
  </autoFilter>
  <tableColumns count="2">
    <tableColumn id="1" xr3:uid="{9CDDC04F-6E44-4B1D-B2F7-BCFB91288FF8}" name="Component" dataDxfId="119"/>
    <tableColumn id="2" xr3:uid="{0A78BA71-0A43-4908-AD5D-EAD433A8F0CB}" name="Contact Hours" dataDxfId="118"/>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56" totalsRowShown="0" headerRowDxfId="117" dataDxfId="116">
  <autoFilter ref="C45:F5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15"/>
    <tableColumn id="2" xr3:uid="{38F835BE-5EB1-4FFA-8259-BEB6E39C8FA1}" name="LO Number" dataDxfId="114"/>
    <tableColumn id="3" xr3:uid="{C6B979A3-0E5A-464F-B5CD-CBA3047E98BE}" name="Graduate Skills Category" dataDxfId="113"/>
    <tableColumn id="4" xr3:uid="{2D7AD4B8-14A9-4533-A3C6-5E7125BAACC7}" name="Graduate Skill" dataDxfId="112"/>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dataDxfId="111">
  <autoFilter ref="F6:F8" xr:uid="{9552138F-2332-4BC4-A585-0E13162881A5}"/>
  <tableColumns count="1">
    <tableColumn id="1" xr3:uid="{9E1F2909-CE11-40D2-90E4-0F2548AB10B2}" name="Aims" dataDxfId="110"/>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dataDxfId="109">
  <autoFilter ref="F10:F13" xr:uid="{94F18F67-3F10-4F6E-A953-4FE3399B07F2}"/>
  <tableColumns count="1">
    <tableColumn id="1" xr3:uid="{454BC257-77E7-4C9C-B231-D65E8EE20325}" name="Outline Syllabus" dataDxfId="108"/>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dataDxfId="107">
  <autoFilter ref="F15:F20" xr:uid="{1B2BCD7B-6C15-4B1C-86BC-48FF83D8F225}"/>
  <tableColumns count="1">
    <tableColumn id="1" xr3:uid="{D37E1C0D-C9AF-4C78-BCFF-8B2CE993F50A}" name="Module Overview" dataDxfId="106"/>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dataDxfId="105">
  <autoFilter ref="F22:F33" xr:uid="{D5968C0A-6D7E-4221-87EE-78A85A4039B3}"/>
  <tableColumns count="1">
    <tableColumn id="1" xr3:uid="{E8342C1A-2B62-4E1C-B80B-B12917066000}" name="Additional Information/Notes" dataDxfId="104"/>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autoFilter ref="C6:D14" xr:uid="{CD75D2A7-14B1-4ABD-B64D-6E875F9BC652}">
    <filterColumn colId="0" hiddenButton="1"/>
    <filterColumn colId="1" hiddenButton="1"/>
  </autoFilter>
  <tableColumns count="2">
    <tableColumn id="1" xr3:uid="{DC5E8FB2-F1EF-4C76-ADAD-8DF1D4236058}" name="Module Data" dataDxfId="103"/>
    <tableColumn id="2" xr3:uid="{3CEC4644-C90E-484A-BB04-BC7E2522484B}" name="Details" dataDxfId="102"/>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101">
  <autoFilter ref="C28:D33" xr:uid="{22316987-6BEB-4FAF-9619-BF9BE9909CFA}">
    <filterColumn colId="0" hiddenButton="1"/>
    <filterColumn colId="1" hiddenButton="1"/>
  </autoFilter>
  <tableColumns count="2">
    <tableColumn id="1" xr3:uid="{96E1C0A4-F310-4104-877A-16C95A9DF8F8}" name="LO Number" dataDxfId="100"/>
    <tableColumn id="2" xr3:uid="{5193B932-1BB4-4665-BB60-1094CB27D2FB}" name="LO Description" dataDxfId="99"/>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9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97"/>
    <tableColumn id="2" xr3:uid="{F6CC8F23-24C9-49E1-A7E1-F0C42C5E4062}" name="Assessment Type" dataDxfId="96"/>
    <tableColumn id="7" xr3:uid="{23445359-B102-481A-9626-644EC1147971}" name="Assessment Specific" dataDxfId="95"/>
    <tableColumn id="3" xr3:uid="{09F68760-DB1D-47DA-9C3B-991E85819122}" name="Assessment Description" dataDxfId="94"/>
    <tableColumn id="4" xr3:uid="{9C4EFAF0-0549-4906-AB40-C8046612A4D0}" name="Weighting" dataDxfId="93"/>
    <tableColumn id="5" xr3:uid="{6867F2EF-8B96-4C7F-A3F0-4AD115D6B611}" name="Due Week" dataDxfId="92"/>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91"/>
    <tableColumn id="2" xr3:uid="{3DC0D0B8-ED93-4FAA-ACD1-6A257B8D7D8B}" name="Week Number" dataDxfId="90"/>
    <tableColumn id="3" xr3:uid="{396A1CD9-0EA8-4576-AC19-41A37C40C78C}" name="Weekly Content 1" dataDxfId="89"/>
    <tableColumn id="4" xr3:uid="{27E6FFD2-4BB2-4380-B643-929F8059E10C}" name="Weekly Content 2" dataDxfId="88"/>
    <tableColumn id="5" xr3:uid="{5D410880-EC3B-476E-B727-61773B3F1720}" name="Weekly Content 3" dataDxfId="87"/>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autoFilter ref="C18:D24" xr:uid="{B71A3569-AA65-4A4E-98A2-885F5C38B46D}">
    <filterColumn colId="0" hiddenButton="1"/>
    <filterColumn colId="1" hiddenButton="1"/>
  </autoFilter>
  <tableColumns count="2">
    <tableColumn id="1" xr3:uid="{50ADF208-83C1-48D5-9F5C-65E697F266B7}" name="Component" dataDxfId="86"/>
    <tableColumn id="2" xr3:uid="{1EADC3A3-1557-4323-A40A-C84AEA0F188A}" name="Contact Hours" dataDxfId="85"/>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56" totalsRowShown="0" headerRowDxfId="84" dataDxfId="83">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82"/>
    <tableColumn id="2" xr3:uid="{162D175A-F572-46B3-8399-9FF334864C28}" name="LO Number" dataDxfId="81"/>
    <tableColumn id="3" xr3:uid="{4B8F87D6-8076-4256-870F-FFB0D542729A}" name="Graduate Skills Category" dataDxfId="80"/>
    <tableColumn id="4" xr3:uid="{3DB5254F-E5B1-45EA-B3FC-772579673F08}" name="Graduate Skill" dataDxfId="79"/>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dataDxfId="78">
  <autoFilter ref="F6:F8" xr:uid="{9552138F-2332-4BC4-A585-0E13162881A5}"/>
  <tableColumns count="1">
    <tableColumn id="1" xr3:uid="{D5911F00-3A12-4884-94FA-2461F2E6A773}" name="Aims" dataDxfId="77"/>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dataDxfId="76">
  <autoFilter ref="F10:F13" xr:uid="{94F18F67-3F10-4F6E-A953-4FE3399B07F2}"/>
  <tableColumns count="1">
    <tableColumn id="1" xr3:uid="{1984609B-7A7C-44AA-A114-5466EF451351}" name="Outline Syllabus" dataDxfId="75"/>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dataDxfId="74">
  <autoFilter ref="F15:F20" xr:uid="{1B2BCD7B-6C15-4B1C-86BC-48FF83D8F225}"/>
  <tableColumns count="1">
    <tableColumn id="1" xr3:uid="{19A46962-3EFC-4EE2-ACCE-5363E30EDC4F}" name="Module Overview" dataDxfId="73"/>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dataDxfId="72">
  <autoFilter ref="F22:F33" xr:uid="{D5968C0A-6D7E-4221-87EE-78A85A4039B3}"/>
  <tableColumns count="1">
    <tableColumn id="1" xr3:uid="{EEDA3204-13C4-4B95-A550-B650C09B689D}" name="Additional Information/Notes" dataDxfId="71"/>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70" dataDxfId="69">
  <autoFilter ref="C6:D14" xr:uid="{CD75D2A7-14B1-4ABD-B64D-6E875F9BC652}">
    <filterColumn colId="0" hiddenButton="1"/>
    <filterColumn colId="1" hiddenButton="1"/>
  </autoFilter>
  <tableColumns count="2">
    <tableColumn id="1" xr3:uid="{294825A0-B000-4273-A73D-4BDF1B0EEF00}" name="Module Data" dataDxfId="68"/>
    <tableColumn id="2" xr3:uid="{BFFFACD7-D0A7-40F6-BF15-469686406C3F}" name="Details" dataDxfId="67"/>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28:D33" totalsRowShown="0" headerRowDxfId="66" dataDxfId="65">
  <autoFilter ref="C28:D33" xr:uid="{22316987-6BEB-4FAF-9619-BF9BE9909CFA}">
    <filterColumn colId="0" hiddenButton="1"/>
    <filterColumn colId="1" hiddenButton="1"/>
  </autoFilter>
  <tableColumns count="2">
    <tableColumn id="1" xr3:uid="{EB0958A2-9E66-44D9-A8DF-610B48FE0AC6}" name="LO Number" dataDxfId="64"/>
    <tableColumn id="2" xr3:uid="{0F368925-4523-471B-A68D-184E05AABCF7}" name="LO Description" dataDxfId="63"/>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5:H37" totalsRowShown="0" headerRowDxfId="62" dataDxfId="61">
  <autoFilter ref="C35:H37"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60"/>
    <tableColumn id="2" xr3:uid="{1FA5C130-1C0E-45D6-8735-EA79A0166F2D}" name="Assessment Type" dataDxfId="59"/>
    <tableColumn id="7" xr3:uid="{34024CC2-5A32-45FD-95BD-978953E7F41B}" name="Assessment Specific" dataDxfId="58"/>
    <tableColumn id="3" xr3:uid="{5DA2B338-CCFE-4568-ACFD-CC8F0B883170}" name="Assessment Description" dataDxfId="57"/>
    <tableColumn id="4" xr3:uid="{597ADF95-B9B9-411B-8079-7F615E89550C}" name="Weighting" dataDxfId="56"/>
    <tableColumn id="5" xr3:uid="{A0D1FD19-8DF8-4595-ADE8-675937B4A7F4}" name="Due Week" dataDxfId="55"/>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49:F73" totalsRowShown="0" headerRowDxfId="54" dataDxfId="53">
  <autoFilter ref="B49:F73"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52"/>
    <tableColumn id="2" xr3:uid="{633971FF-9E7F-4A44-865E-D409908313D1}" name="Week Number" dataDxfId="51"/>
    <tableColumn id="3" xr3:uid="{77413702-BFB9-4DEA-BF99-C2A188E22509}" name="Weekly Content 1" dataDxfId="50"/>
    <tableColumn id="4" xr3:uid="{DD1B7D42-32B3-4CC2-9308-AD66B052F8DB}" name="Weekly Content 2" dataDxfId="49"/>
    <tableColumn id="5" xr3:uid="{504E9A1A-C43C-49D3-BB42-E4DD5A49EFCE}" name="Weekly Content 3" dataDxfId="48"/>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47" dataDxfId="46">
  <autoFilter ref="C18:D24" xr:uid="{B71A3569-AA65-4A4E-98A2-885F5C38B46D}">
    <filterColumn colId="0" hiddenButton="1"/>
    <filterColumn colId="1" hiddenButton="1"/>
  </autoFilter>
  <tableColumns count="2">
    <tableColumn id="1" xr3:uid="{5D165BDB-09FC-4AAA-91DB-E67A247DFF72}" name="Component" dataDxfId="45"/>
    <tableColumn id="2" xr3:uid="{E28A3B10-E692-47D9-A3AD-18128B6A4794}" name="Contact Hours" dataDxfId="44"/>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41:F46" totalsRowShown="0" headerRowDxfId="43" dataDxfId="42">
  <autoFilter ref="C41:F4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41"/>
    <tableColumn id="2" xr3:uid="{A7D6827C-7020-4950-BD3E-00625169C68E}" name="LO Number" dataDxfId="40"/>
    <tableColumn id="3" xr3:uid="{1F68EB03-6C47-4955-9791-229A42D1A45A}" name="Graduate Skills Category" dataDxfId="39"/>
    <tableColumn id="4" xr3:uid="{1FD832D4-8E97-4B72-9B09-606CF407E6C7}" name="Graduate Skill" dataDxfId="38"/>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6:F11" totalsRowShown="0" headerRowDxfId="37" dataDxfId="36">
  <autoFilter ref="F6:F11" xr:uid="{9552138F-2332-4BC4-A585-0E13162881A5}"/>
  <tableColumns count="1">
    <tableColumn id="1" xr3:uid="{2EE5D059-BB6B-4406-AF24-CB56C5C24856}" name="Aims" dataDxfId="35"/>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5:F20" totalsRowShown="0" headerRowDxfId="34" dataDxfId="33">
  <autoFilter ref="F15:F20" xr:uid="{1B2BCD7B-6C15-4B1C-86BC-48FF83D8F225}"/>
  <tableColumns count="1">
    <tableColumn id="1" xr3:uid="{C16E0E90-DC44-4185-AB55-C39332B32B2D}" name="Module Overview" dataDxfId="32"/>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2:G28" totalsRowShown="0" headerRowDxfId="31" dataDxfId="30">
  <autoFilter ref="F22:G28" xr:uid="{D5968C0A-6D7E-4221-87EE-78A85A4039B3}"/>
  <tableColumns count="2">
    <tableColumn id="1" xr3:uid="{719B4DA9-E67A-4094-A58E-921C645096BE}" name="Additional Information/Notes" dataDxfId="29"/>
    <tableColumn id="2" xr3:uid="{5987DB22-4216-4B38-873C-9F893FC3A61C}" name="Column1" dataDxfId="28"/>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6CA91BC-84F1-CD4C-A65F-60BCB12FE894}" name="FS_Mapping" displayName="FS_Mapping" ref="A1:K161" tableType="queryTable" totalsRowShown="0">
  <autoFilter ref="A1:K161" xr:uid="{C6CA91BC-84F1-CD4C-A65F-60BCB12FE894}"/>
  <tableColumns count="11">
    <tableColumn id="1" xr3:uid="{3745D87D-A023-A749-9B4F-634B323CA2E7}" uniqueName="1" name="SourceWorkbook" queryTableFieldId="1" dataDxfId="11"/>
    <tableColumn id="2" xr3:uid="{907758EB-41C0-0D40-BB03-2F836505F082}" uniqueName="2" name="TableName" queryTableFieldId="2"/>
    <tableColumn id="3" xr3:uid="{E93D9487-C1BE-C74E-9924-F4D25DD715F1}" uniqueName="3" name="Assessment No" queryTableFieldId="3"/>
    <tableColumn id="4" xr3:uid="{8E553B7F-2509-0146-B8AD-77D53ADD44CC}" uniqueName="4" name="LO Number" queryTableFieldId="4"/>
    <tableColumn id="5" xr3:uid="{30B87AB9-E639-BB4D-8B29-BCF957BCD8BC}" uniqueName="5" name="Graduate Skills Category" queryTableFieldId="5"/>
    <tableColumn id="6" xr3:uid="{37411B1C-74C4-E946-A7FE-BE2497B36DBB}" uniqueName="6" name="Graduate Skill" queryTableFieldId="6"/>
    <tableColumn id="7" xr3:uid="{D1B4D9BA-3DDB-5E4B-BA1A-339A771CEBBD}" uniqueName="7" name="ModuleCode" queryTableFieldId="7"/>
    <tableColumn id="8" xr3:uid="{3916A248-5DE6-FF42-B2AB-7A1732A9B23A}" uniqueName="8" name="ItemSuffix" queryTableFieldId="8"/>
    <tableColumn id="9" xr3:uid="{28D62C8F-B6F6-5342-BCA1-5ACADDEEACA2}" uniqueName="9" name="Programme" queryTableFieldId="9"/>
    <tableColumn id="10" xr3:uid="{A09474E1-2F4C-1F4A-9C9B-03ADFAAA2188}" uniqueName="10" name="ProgCode" queryTableFieldId="10"/>
    <tableColumn id="11" xr3:uid="{FC3E51DA-8B4B-3A41-BB65-9D7EC33D5394}" uniqueName="11" name="ModuleTitle" queryTableFieldId="11" dataDxfId="10"/>
  </tableColumns>
  <tableStyleInfo name="TableStyleMedium7"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44714E8-D34F-E84E-A0A4-4C150772F85C}" name="FS_Hours" displayName="FS_Hours" ref="A1:I97" tableType="queryTable" totalsRowShown="0">
  <autoFilter ref="A1:I97" xr:uid="{C44714E8-D34F-E84E-A0A4-4C150772F85C}"/>
  <tableColumns count="9">
    <tableColumn id="1" xr3:uid="{1CEFF85C-E4B4-2841-B5A2-57FA7FD0F1A2}" uniqueName="1" name="SourceWorkbook" queryTableFieldId="1" dataDxfId="13"/>
    <tableColumn id="2" xr3:uid="{6911DBE0-0F17-F640-81D4-E1CBC2242468}" uniqueName="2" name="TableName" queryTableFieldId="2"/>
    <tableColumn id="3" xr3:uid="{DB4B76F7-A9DA-1A48-80E3-B68D274BCBB5}" uniqueName="3" name="Component" queryTableFieldId="3"/>
    <tableColumn id="4" xr3:uid="{DFD7E054-C660-BA49-A290-831CFD5DF6D0}" uniqueName="4" name="Contact Hours" queryTableFieldId="4"/>
    <tableColumn id="5" xr3:uid="{CFE95146-1A23-B848-86CB-9AB5821E6D32}" uniqueName="5" name="ModuleCode" queryTableFieldId="5"/>
    <tableColumn id="6" xr3:uid="{52048E0F-7D42-A347-AF80-E769D3700765}" uniqueName="6" name="ItemSuffix" queryTableFieldId="6"/>
    <tableColumn id="7" xr3:uid="{061C9955-641B-6844-8D56-686088E18F2A}" uniqueName="7" name="Programme" queryTableFieldId="7"/>
    <tableColumn id="8" xr3:uid="{2956B6B2-1D9B-E248-9FDB-3403D01D582D}" uniqueName="8" name="ProgCode" queryTableFieldId="8"/>
    <tableColumn id="9" xr3:uid="{5B250ECE-D0DA-B04D-9BC6-8D762D4E324A}" uniqueName="9" name="ModuleTitle" queryTableFieldId="9" dataDxfId="12"/>
  </tableColumns>
  <tableStyleInfo name="TableStyleMedium7"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FDBEE51-D0CC-A14B-AC09-9B18F091B9F7}" name="FS_Assess" displayName="FS_Assess" ref="A1:M29" tableType="queryTable" totalsRowShown="0">
  <autoFilter ref="A1:M29" xr:uid="{DFDBEE51-D0CC-A14B-AC09-9B18F091B9F7}"/>
  <tableColumns count="13">
    <tableColumn id="1" xr3:uid="{A0F61EBD-32F8-8C4F-899A-CF5FADC50C44}" uniqueName="1" name="SourceWorkbook" queryTableFieldId="1" dataDxfId="15"/>
    <tableColumn id="2" xr3:uid="{F878D4EC-EFB1-AB49-983C-2739F0A2C5FF}" uniqueName="2" name="TableName" queryTableFieldId="2"/>
    <tableColumn id="3" xr3:uid="{74965D6D-5A1B-FD4E-9872-10A4FB71E17E}" uniqueName="3" name="Assessment No" queryTableFieldId="3"/>
    <tableColumn id="4" xr3:uid="{1D7895C1-75BE-BA4C-97A8-50DC8BA4E2B6}" uniqueName="4" name="Assessment Type" queryTableFieldId="4"/>
    <tableColumn id="5" xr3:uid="{6144DCE7-5D5B-F142-8B1D-947B22E9B9B5}" uniqueName="5" name="Assessment Specific" queryTableFieldId="5"/>
    <tableColumn id="6" xr3:uid="{7FB7DA2C-EE42-824A-853F-35A899A1E246}" uniqueName="6" name="Assessment Description" queryTableFieldId="6"/>
    <tableColumn id="7" xr3:uid="{16D071ED-26D6-314D-9004-8F31B744749E}" uniqueName="7" name="Weighting" queryTableFieldId="7"/>
    <tableColumn id="8" xr3:uid="{92B56550-ADEC-6C44-BA8A-CF6A9CD6C103}" uniqueName="8" name="Due Week" queryTableFieldId="8"/>
    <tableColumn id="9" xr3:uid="{15683F9A-1E09-C14E-B60B-F2ABFA0BFA04}" uniqueName="9" name="ModuleCode" queryTableFieldId="9"/>
    <tableColumn id="10" xr3:uid="{4FD85B20-818D-114A-B178-8A752F7A0677}" uniqueName="10" name="ItemSuffix" queryTableFieldId="10"/>
    <tableColumn id="11" xr3:uid="{85439689-8B60-C943-86B6-245D92842BB9}" uniqueName="11" name="Programme" queryTableFieldId="11"/>
    <tableColumn id="12" xr3:uid="{3EF9252C-51E6-274D-81A9-0BA2D5F83934}" uniqueName="12" name="ProgCode" queryTableFieldId="12"/>
    <tableColumn id="13" xr3:uid="{A724C274-C540-FD42-8027-9EA72EB5BF5B}" uniqueName="13" name="ModuleTitle" queryTableFieldId="13" dataDxfId="14"/>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B3770D0-7D43-7C41-AAFF-C5F51BA9C899}" name="FS_LO" displayName="FS_LO" ref="A1:I41" tableType="queryTable" totalsRowShown="0">
  <autoFilter ref="A1:I41" xr:uid="{CB3770D0-7D43-7C41-AAFF-C5F51BA9C899}"/>
  <tableColumns count="9">
    <tableColumn id="1" xr3:uid="{B28E75ED-D7EA-9E40-B25A-8A395302BB26}" uniqueName="1" name="SourceWorkbook" queryTableFieldId="1" dataDxfId="17"/>
    <tableColumn id="2" xr3:uid="{4D4C93D6-4AA6-EC4C-92EE-C9AE3899AE45}" uniqueName="2" name="TableName" queryTableFieldId="2"/>
    <tableColumn id="3" xr3:uid="{797D5680-16DB-464D-8455-087320F7403D}" uniqueName="3" name="LO Number" queryTableFieldId="3"/>
    <tableColumn id="4" xr3:uid="{5B80EF01-1DDC-9B4E-8B0B-969076DDC0E0}" uniqueName="4" name="LO Description" queryTableFieldId="4"/>
    <tableColumn id="5" xr3:uid="{9EC6D53C-A642-3C4A-8865-340562219270}" uniqueName="5" name="ModuleCode" queryTableFieldId="5"/>
    <tableColumn id="6" xr3:uid="{4FB21941-A884-9447-B50C-B8DBE491A8DC}" uniqueName="6" name="ItemSuffix" queryTableFieldId="6"/>
    <tableColumn id="7" xr3:uid="{C9BDBF2C-80F7-644F-A647-ED91667B55A4}" uniqueName="7" name="Programme" queryTableFieldId="7"/>
    <tableColumn id="8" xr3:uid="{67DDE752-E8FD-BD4E-A0D0-8EE21D712185}" uniqueName="8" name="ProgCode" queryTableFieldId="8"/>
    <tableColumn id="9" xr3:uid="{999B040C-9ED6-8F4A-A430-D29CCFC37EAA}" uniqueName="9" name="ModuleTitle" queryTableFieldId="9" dataDxfId="16"/>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AF4EE2B-D1C0-8E45-B8BE-85C3A77F8481}" name="FS_Meta" displayName="FS_Meta" ref="A1:I129" tableType="queryTable" totalsRowShown="0">
  <autoFilter ref="A1:I129" xr:uid="{AAF4EE2B-D1C0-8E45-B8BE-85C3A77F8481}"/>
  <tableColumns count="9">
    <tableColumn id="1" xr3:uid="{7C0AD1C7-6605-0841-8562-B8D62287FA6D}" uniqueName="1" name="SourceWorkbook" queryTableFieldId="1" dataDxfId="19"/>
    <tableColumn id="2" xr3:uid="{3CC9C94A-75E3-BC46-9478-FF70C56950EA}" uniqueName="2" name="TableName" queryTableFieldId="2"/>
    <tableColumn id="3" xr3:uid="{49DBF998-3AA0-2442-9170-63D357699AA3}" uniqueName="3" name="Module Data" queryTableFieldId="3"/>
    <tableColumn id="4" xr3:uid="{70BFA117-15F5-7C45-B777-F6467A14E9B8}" uniqueName="4" name="Details" queryTableFieldId="4"/>
    <tableColumn id="5" xr3:uid="{CA300EAC-7683-1B45-9E9F-DE02ADAFF358}" uniqueName="5" name="ModuleCode" queryTableFieldId="5"/>
    <tableColumn id="6" xr3:uid="{000A5436-1F16-6147-93EF-C9A5ECBF8A2F}" uniqueName="6" name="ItemSuffix" queryTableFieldId="6"/>
    <tableColumn id="7" xr3:uid="{AC2F2CEF-13D9-2546-9C5D-A31D17355BEE}" uniqueName="7" name="Programme" queryTableFieldId="7"/>
    <tableColumn id="8" xr3:uid="{0C11D980-618F-9040-9278-CF08BF3E86F9}" uniqueName="8" name="ProgCode" queryTableFieldId="8"/>
    <tableColumn id="9" xr3:uid="{C4193CFD-A72E-4840-B09B-CAFA9066B0CB}" uniqueName="9" name="ModuleTitle" queryTableFieldId="9" dataDxfId="18"/>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9DF186C-1FB1-C748-8BE7-F4B939D01E8E}" name="FS_ModuleOverview" displayName="FS_ModuleOverview" ref="A1:P17" tableType="queryTable" totalsRowShown="0">
  <autoFilter ref="A1:P17" xr:uid="{19DF186C-1FB1-C748-8BE7-F4B939D01E8E}"/>
  <tableColumns count="16">
    <tableColumn id="1" xr3:uid="{27833F48-FF0C-A64A-B832-74B97485F0BF}" uniqueName="1" name="SourceWorkbook" queryTableFieldId="1" dataDxfId="3"/>
    <tableColumn id="2" xr3:uid="{DCBA5228-9853-914C-B2AD-9C25F7C4038B}" uniqueName="2" name="TableName" queryTableFieldId="2"/>
    <tableColumn id="3" xr3:uid="{EFBA253C-1BD5-2144-BE5A-F9F7601E1626}" uniqueName="3" name="ModuleCode" queryTableFieldId="3"/>
    <tableColumn id="4" xr3:uid="{3FF4CC61-0E92-C64A-B27E-CE1D5FA6C7E0}" uniqueName="4" name="ItemSuffix" queryTableFieldId="4"/>
    <tableColumn id="5" xr3:uid="{9F7D4571-39F7-E34A-AB58-53E1CCB885DB}" uniqueName="5" name="Programme" queryTableFieldId="5"/>
    <tableColumn id="6" xr3:uid="{AD4CF39D-D344-4D47-8D1F-120327C0D834}" uniqueName="6" name="ProgCode" queryTableFieldId="6"/>
    <tableColumn id="7" xr3:uid="{85A4B472-A55C-EB45-A13D-2F8F371ED7D7}" uniqueName="7" name="ModuleTitle" queryTableFieldId="7" dataDxfId="2"/>
    <tableColumn id="8" xr3:uid="{F51F3DE3-210A-7549-9E01-BC8D9C855CD0}" uniqueName="8" name="Module Code" queryTableFieldId="8"/>
    <tableColumn id="9" xr3:uid="{FCEE446B-CA50-4249-AA5F-CA3189B4D7B4}" uniqueName="9" name="Module Title" queryTableFieldId="9"/>
    <tableColumn id="10" xr3:uid="{4385A993-94BB-DF45-93CC-35FD8C9975BB}" uniqueName="10" name="Credits" queryTableFieldId="10"/>
    <tableColumn id="11" xr3:uid="{930C0F2D-6995-8F4A-9B8A-A17183B16F58}" uniqueName="11" name="Semester" queryTableFieldId="11"/>
    <tableColumn id="12" xr3:uid="{78666E46-9995-8445-AD45-7F2D98E3C214}" uniqueName="12" name="Level" queryTableFieldId="12"/>
    <tableColumn id="13" xr3:uid="{A339149C-14F3-614E-BC14-523D4A0101D7}" uniqueName="13" name="Module Leader" queryTableFieldId="13"/>
    <tableColumn id="14" xr3:uid="{D0626702-A818-8B43-A904-A884897CC08B}" uniqueName="14" name="Module Type" queryTableFieldId="14"/>
    <tableColumn id="15" xr3:uid="{A9FB5B3E-38AE-D44F-AFCF-54107B1CA086}" uniqueName="15" name="Programme(s)" queryTableFieldId="15"/>
    <tableColumn id="16" xr3:uid="{F32C5A56-8BE7-1341-9DCD-2CFCA33BA808}" uniqueName="16" name="Total Contact Hours" queryTableFieldId="16"/>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D5C1823-FD01-4D4F-A2FA-6D07F896E751}" name="FS_Hours_Wide" displayName="FS_Hours_Wide" ref="A1:M17" tableType="queryTable" totalsRowShown="0">
  <autoFilter ref="A1:M17" xr:uid="{0D5C1823-FD01-4D4F-A2FA-6D07F896E751}"/>
  <tableColumns count="13">
    <tableColumn id="1" xr3:uid="{7BDCA7A6-3685-8247-8C75-AE66D4DA353C}" uniqueName="1" name="SourceWorkbook" queryTableFieldId="1" dataDxfId="5"/>
    <tableColumn id="2" xr3:uid="{FD4A959C-F713-C641-A88A-5D51240717ED}" uniqueName="2" name="TableName" queryTableFieldId="2"/>
    <tableColumn id="3" xr3:uid="{82F8535F-ACFE-654D-B85F-C984983D76D9}" uniqueName="3" name="ModuleCode" queryTableFieldId="3"/>
    <tableColumn id="4" xr3:uid="{E47FE5DA-393D-1A45-9A8D-60252D18B306}" uniqueName="4" name="ItemSuffix" queryTableFieldId="4"/>
    <tableColumn id="5" xr3:uid="{F0251CB6-1060-874A-A7DE-59005341F574}" uniqueName="5" name="Programme" queryTableFieldId="5"/>
    <tableColumn id="6" xr3:uid="{61102280-6D29-B94B-B962-4BD4AA31B069}" uniqueName="6" name="ProgCode" queryTableFieldId="6"/>
    <tableColumn id="7" xr3:uid="{7EE1C71D-6B60-3847-BF54-609F9E76B6F7}" uniqueName="7" name="ModuleTitle" queryTableFieldId="7" dataDxfId="4"/>
    <tableColumn id="8" xr3:uid="{CC690BE5-9D85-9F4A-AECB-50BA10164259}" uniqueName="8" name="Lecture" queryTableFieldId="8"/>
    <tableColumn id="9" xr3:uid="{B7361EAA-FAB0-2047-AEF7-74352A83ABDC}" uniqueName="9" name="Seminar" queryTableFieldId="9"/>
    <tableColumn id="10" xr3:uid="{CB8741AB-FFC2-AA46-9318-CA64650281CD}" uniqueName="10" name="Practical" queryTableFieldId="10"/>
    <tableColumn id="11" xr3:uid="{75E0DE12-FA47-AC49-89C8-C6A267EA2E26}" uniqueName="11" name="Workshop" queryTableFieldId="11"/>
    <tableColumn id="12" xr3:uid="{E8F2E5AD-CF02-CD49-937A-AD476C3D794B}" uniqueName="12" name="Online" queryTableFieldId="12"/>
    <tableColumn id="13" xr3:uid="{63453CDD-198B-3244-B950-F90EE9AE6C93}" uniqueName="13" name="Total" queryTableFieldId="13"/>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9FBC0A8-284B-F54B-8D44-70FB48AF1DFA}" name="FS_Meta_Wide" displayName="FS_Meta_Wide" ref="A1:O17" tableType="queryTable" totalsRowShown="0">
  <autoFilter ref="A1:O17" xr:uid="{E9FBC0A8-284B-F54B-8D44-70FB48AF1DFA}"/>
  <tableColumns count="15">
    <tableColumn id="1" xr3:uid="{7DBFBCD1-4E7F-4640-B815-ED1DA9329361}" uniqueName="1" name="SourceWorkbook" queryTableFieldId="1" dataDxfId="7"/>
    <tableColumn id="2" xr3:uid="{02380D7C-05E6-E343-8C90-387CB247CDB4}" uniqueName="2" name="TableName" queryTableFieldId="2"/>
    <tableColumn id="3" xr3:uid="{D6C73D72-B02C-004E-B2AB-BDA9B63A4FC9}" uniqueName="3" name="ModuleCode" queryTableFieldId="3"/>
    <tableColumn id="4" xr3:uid="{5F9BA56E-705B-7548-BD03-CE3B48C490A0}" uniqueName="4" name="ItemSuffix" queryTableFieldId="4"/>
    <tableColumn id="5" xr3:uid="{F656953F-58A2-A145-A838-9B629ADE11D2}" uniqueName="5" name="Programme" queryTableFieldId="5"/>
    <tableColumn id="6" xr3:uid="{96FC158D-6BC5-D44F-BB62-9624AAE626DE}" uniqueName="6" name="ProgCode" queryTableFieldId="6"/>
    <tableColumn id="7" xr3:uid="{E99B2F08-5F6A-7C40-9D0A-30F6935DD9C8}" uniqueName="7" name="ModuleTitle" queryTableFieldId="7" dataDxfId="6"/>
    <tableColumn id="8" xr3:uid="{A670BE52-9BC6-BD4D-B296-A3BC50ABB0D4}" uniqueName="8" name="Module Code" queryTableFieldId="8"/>
    <tableColumn id="9" xr3:uid="{040CF366-8196-4A40-A919-C7D4A3E20078}" uniqueName="9" name="Module Title" queryTableFieldId="9"/>
    <tableColumn id="10" xr3:uid="{4FF906FF-56A5-6742-B46E-F245D9F3AE59}" uniqueName="10" name="Credits" queryTableFieldId="10"/>
    <tableColumn id="11" xr3:uid="{417C7010-BD39-E044-813C-9329D5A8E640}" uniqueName="11" name="Semester" queryTableFieldId="11"/>
    <tableColumn id="12" xr3:uid="{1E2F9F9C-FE2F-DF4F-B40D-C15687B3F9B4}" uniqueName="12" name="Level" queryTableFieldId="12"/>
    <tableColumn id="13" xr3:uid="{69DA1E27-3BEE-8443-A8A0-69775E345FA0}" uniqueName="13" name="Module Leader" queryTableFieldId="13"/>
    <tableColumn id="14" xr3:uid="{72A86658-157E-0841-A247-5DAD2629F252}" uniqueName="14" name="Module Type" queryTableFieldId="14"/>
    <tableColumn id="15" xr3:uid="{A517045E-6AAC-6D48-8D9C-7B4C2E9274C1}" uniqueName="15" name="Programme(s)" queryTableFieldId="15"/>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79D4A3B-7F72-2149-B54C-252398D31228}" name="FS_ModuleOverview29" displayName="FS_ModuleOverview29" ref="A1:P17" tableType="queryTable" totalsRowShown="0">
  <autoFilter ref="A1:P17" xr:uid="{C79D4A3B-7F72-2149-B54C-252398D31228}"/>
  <sortState xmlns:xlrd2="http://schemas.microsoft.com/office/spreadsheetml/2017/richdata2" ref="A2:P17">
    <sortCondition ref="L1:L17"/>
  </sortState>
  <tableColumns count="16">
    <tableColumn id="1" xr3:uid="{9FA01E13-D7F0-4849-B5FB-60BDFF3957DA}" uniqueName="1" name="SourceWorkbook" queryTableFieldId="1" dataDxfId="1"/>
    <tableColumn id="2" xr3:uid="{D776E1D3-D9F0-1A41-B89C-92A62C9F142D}" uniqueName="2" name="TableName" queryTableFieldId="2"/>
    <tableColumn id="3" xr3:uid="{B1C2F9F5-C31A-B845-9504-5E380537D90A}" uniqueName="3" name="ModuleCode" queryTableFieldId="3"/>
    <tableColumn id="4" xr3:uid="{F5269192-746B-AF43-AE35-A2866131CA73}" uniqueName="4" name="ItemSuffix" queryTableFieldId="4"/>
    <tableColumn id="5" xr3:uid="{9AD99BA2-6759-1448-BE3B-2021093C9E73}" uniqueName="5" name="Programme" queryTableFieldId="5"/>
    <tableColumn id="6" xr3:uid="{746E7D2B-A8CF-F247-9152-AC0320CCCA1E}" uniqueName="6" name="ProgCode" queryTableFieldId="6"/>
    <tableColumn id="7" xr3:uid="{8D1B1F53-0282-714F-8481-C7DD3248DCE5}" uniqueName="7" name="ModuleTitle" queryTableFieldId="7" dataDxfId="0"/>
    <tableColumn id="8" xr3:uid="{31C982AC-E70F-0E4A-9473-449ABC03ACAB}" uniqueName="8" name="Module Code" queryTableFieldId="8"/>
    <tableColumn id="9" xr3:uid="{6BADB03E-6B3C-1149-9919-3D1530C69B21}" uniqueName="9" name="Module Title" queryTableFieldId="9"/>
    <tableColumn id="10" xr3:uid="{0AFC39A5-0A3E-0140-B506-CCA5138472C5}" uniqueName="10" name="Credits" queryTableFieldId="10"/>
    <tableColumn id="11" xr3:uid="{B935F4F9-324C-7F43-BC39-2A5F73512E51}" uniqueName="11" name="Semester" queryTableFieldId="11"/>
    <tableColumn id="12" xr3:uid="{9B22D7DC-6669-CC49-9A80-9B78CC50D529}" uniqueName="12" name="Level" queryTableFieldId="12"/>
    <tableColumn id="13" xr3:uid="{1646BF81-BFCC-4A45-BDF7-3520E6C25E75}" uniqueName="13" name="Module Leader" queryTableFieldId="13"/>
    <tableColumn id="14" xr3:uid="{D2A9EF1A-C514-E548-852A-2C0A5C0E64A2}" uniqueName="14" name="Module Type" queryTableFieldId="14"/>
    <tableColumn id="15" xr3:uid="{16EEDCD1-5F94-A348-9422-9CD98A8EB4AA}" uniqueName="15" name="Programme(s)" queryTableFieldId="15"/>
    <tableColumn id="16" xr3:uid="{FCC5D0C2-2626-0E40-AD74-38F114203EB1}" uniqueName="16" name="Total Contact Hours" queryTableFieldId="16"/>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4D764B-79FA-2246-BD45-2CCCFCE7585A}" name="ModuleRegister" displayName="ModuleRegister" ref="A1:D108" tableType="queryTable" totalsRowShown="0">
  <autoFilter ref="A1:D108" xr:uid="{7D4D764B-79FA-2246-BD45-2CCCFCE7585A}"/>
  <tableColumns count="4">
    <tableColumn id="1" xr3:uid="{6F9F9C18-0D5A-644A-9556-71C152FCCF57}" uniqueName="1" name="Programme" queryTableFieldId="1"/>
    <tableColumn id="2" xr3:uid="{F63A293B-1F83-F04C-B719-C1A4FBAF70A6}" uniqueName="2" name="ProgCode" queryTableFieldId="2"/>
    <tableColumn id="3" xr3:uid="{3F581106-FDAF-4642-A002-22C992CB63F7}" uniqueName="3" name="ModuleCode" queryTableFieldId="3" dataDxfId="21"/>
    <tableColumn id="4" xr3:uid="{C8F8A11C-346E-CD42-A170-FA8DB6BDA3D0}" uniqueName="4" name="ModuleTitle" queryTableFieldId="4" dataDxfId="20"/>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40A7F-4CD0-F844-9CC8-180E90C8EB73}" name="RegisterBlocks" displayName="RegisterBlocks" ref="A1:A7" tableType="queryTable" totalsRowShown="0">
  <autoFilter ref="A1:A7" xr:uid="{B6740A7F-4CD0-F844-9CC8-180E90C8EB73}"/>
  <tableColumns count="1">
    <tableColumn id="1" xr3:uid="{E85CED07-5AC3-DA43-9D1E-27E501551C23}" uniqueName="1" name="RegisterBlocks" queryTableFieldId="1"/>
  </tableColumns>
  <tableStyleInfo name="TableStyleMedium7"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44E39C4-58CD-D34D-A97B-DD7FD9A37CB2}" name="SourceTablesParsed" displayName="SourceTablesParsed" ref="A1:E432" tableType="queryTable" totalsRowShown="0">
  <autoFilter ref="A1:E432" xr:uid="{144E39C4-58CD-D34D-A97B-DD7FD9A37CB2}"/>
  <tableColumns count="5">
    <tableColumn id="1" xr3:uid="{82187D27-0D53-5848-88EB-3F3CCD1851B0}" uniqueName="1" name="SourceWorkbook" queryTableFieldId="1" dataDxfId="9"/>
    <tableColumn id="2" xr3:uid="{74F5050B-2EB9-724C-B608-5CAAE0B0D848}" uniqueName="2" name="TableName" queryTableFieldId="2"/>
    <tableColumn id="3" xr3:uid="{317890A9-6C1F-6E42-A46D-205B5304520C}" uniqueName="3" name="TableData" queryTableFieldId="3"/>
    <tableColumn id="4" xr3:uid="{5EF2042E-B8EE-6C4A-9D3F-FC0C197FB2B5}" uniqueName="4" name="ModuleCode" queryTableFieldId="4"/>
    <tableColumn id="5" xr3:uid="{539EF157-FC19-C14F-983A-E0D808678D33}" uniqueName="5" name="ItemSuffix" queryTableFieldId="5"/>
  </tableColumns>
  <tableStyleInfo name="TableStyleMedium7"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4E0DD7-A8DF-BF4B-8063-64487CB0BC2C}" name="RelevantItems" displayName="RelevantItems" ref="A1:A6" tableType="queryTable" totalsRowShown="0">
  <autoFilter ref="A1:A6" xr:uid="{584E0DD7-A8DF-BF4B-8063-64487CB0BC2C}"/>
  <tableColumns count="1">
    <tableColumn id="1" xr3:uid="{DA099EA8-1114-4245-AEA0-162DA5362D6A}" uniqueName="1" name="RelevantItems" queryTableFieldId="1"/>
  </tableColumns>
  <tableStyleInfo name="TableStyleMedium7"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0D7E5B0-1129-3747-B6FD-E603F5A94127}" name="SourceTables" displayName="SourceTables" ref="A1:C864" tableType="queryTable" totalsRowShown="0">
  <autoFilter ref="A1:C864" xr:uid="{F0D7E5B0-1129-3747-B6FD-E603F5A94127}"/>
  <tableColumns count="3">
    <tableColumn id="1" xr3:uid="{B53473F8-0C30-4341-8E8C-B0A128D7B4F9}" uniqueName="1" name="SourceWorkbook" queryTableFieldId="1" dataDxfId="8"/>
    <tableColumn id="2" xr3:uid="{4825195F-6EE6-EF40-AB91-49F51F5B6064}" uniqueName="2" name="TableName" queryTableFieldId="2"/>
    <tableColumn id="3" xr3:uid="{7A05B2E6-C2B5-674F-8EAA-0F4294393994}" uniqueName="3" name="TableData" queryTableFieldId="3"/>
  </tableColumns>
  <tableStyleInfo name="TableStyleMedium7"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546A72F-0BAC-8149-B1C8-C42BC7E37769}" name="GetWorkbookFiles" displayName="GetWorkbookFiles" ref="A1:F7" tableType="queryTable" totalsRowShown="0">
  <autoFilter ref="A1:F7" xr:uid="{6546A72F-0BAC-8149-B1C8-C42BC7E37769}"/>
  <tableColumns count="6">
    <tableColumn id="1" xr3:uid="{B7D5497E-512E-474C-9420-CF12A117C676}" uniqueName="1" name="Name" queryTableFieldId="1" dataDxfId="27"/>
    <tableColumn id="2" xr3:uid="{B16767BF-8CC6-8A44-96CB-40B5F82F8654}" uniqueName="2" name="Extension" queryTableFieldId="2" dataDxfId="26"/>
    <tableColumn id="3" xr3:uid="{AE479E95-1506-494B-BE95-704C30E1EA9E}" uniqueName="3" name="Date accessed" queryTableFieldId="3" dataDxfId="25"/>
    <tableColumn id="4" xr3:uid="{8D019488-6FB9-1443-86E7-39E7AE11CF6E}" uniqueName="4" name="Date modified" queryTableFieldId="4" dataDxfId="24"/>
    <tableColumn id="5" xr3:uid="{4BF5B1BA-8E0B-C241-AA70-DA179AEC70AF}" uniqueName="5" name="Date created" queryTableFieldId="5" dataDxfId="23"/>
    <tableColumn id="6" xr3:uid="{AF859655-E008-604E-93F9-C5BF26167FB1}" uniqueName="6" name="Folder Path" queryTableFieldId="6" dataDxfId="22"/>
  </tableColumns>
  <tableStyleInfo name="TableStyleMedium7"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5AB3C5-14CB-4B6D-9A33-196EE8174E87}" name="FS_AllAssess" displayName="FS_AllAssess" ref="A1:N29" tableType="queryTable" totalsRowShown="0">
  <autoFilter ref="A1:N29" xr:uid="{D65AB3C5-14CB-4B6D-9A33-196EE8174E87}"/>
  <tableColumns count="14">
    <tableColumn id="1" xr3:uid="{CD55DAC8-BF01-43CE-9CAB-8C8B94A43B3F}" uniqueName="1" name="Programme" queryTableFieldId="1"/>
    <tableColumn id="2" xr3:uid="{9CEDA067-1C1F-403F-A4E7-7F4F383E4209}" uniqueName="2" name="Name" queryTableFieldId="2" dataDxfId="307"/>
    <tableColumn id="3" xr3:uid="{40392470-6E9C-41EB-BDA9-DB0FFAF2A33B}" uniqueName="3" name="Extension" queryTableFieldId="3" dataDxfId="306"/>
    <tableColumn id="4" xr3:uid="{957FCA98-7BD3-47E4-A620-137257EE3B66}" uniqueName="4" name="Date accessed" queryTableFieldId="4" dataDxfId="305"/>
    <tableColumn id="5" xr3:uid="{DF4BF7AA-519F-4F87-AE61-0761C03AFD3A}" uniqueName="5" name="Date modified" queryTableFieldId="5" dataDxfId="304"/>
    <tableColumn id="6" xr3:uid="{CB12ECF0-4241-4CDF-A1C6-BE673EC9B05D}" uniqueName="6" name="Date created" queryTableFieldId="6" dataDxfId="303"/>
    <tableColumn id="7" xr3:uid="{19E65D42-2FDD-41A5-A1C2-4FD6E3B613FB}" uniqueName="7" name="Folder Path" queryTableFieldId="7" dataDxfId="302"/>
    <tableColumn id="8" xr3:uid="{593B2769-6204-4464-8A37-F35870CD3929}" uniqueName="8" name="TableName" queryTableFieldId="8"/>
    <tableColumn id="9" xr3:uid="{38564D6E-1B5D-4154-B09F-AC9A067F3DFD}" uniqueName="9" name="Assessment No" queryTableFieldId="9"/>
    <tableColumn id="10" xr3:uid="{ACEADBAB-BA22-4EC7-AB2B-06DB16E7B702}" uniqueName="10" name="Assessment Type" queryTableFieldId="10"/>
    <tableColumn id="11" xr3:uid="{29EA3B5B-33CD-4E9B-AD33-3E9F4F82815F}" uniqueName="11" name="Assessment Specific" queryTableFieldId="11"/>
    <tableColumn id="12" xr3:uid="{DF39D9EF-C01C-4F57-B3F0-6118A8B11A34}" uniqueName="12" name="Assessment Description" queryTableFieldId="12"/>
    <tableColumn id="13" xr3:uid="{FE54BC4C-58F8-44EC-B111-FF304A04C9DD}" uniqueName="13" name="Weighting" queryTableFieldId="13"/>
    <tableColumn id="14" xr3:uid="{69B91AF8-9BB2-47C6-96AA-DC0811A7968A}" uniqueName="14" name="Due Week" queryTableFieldId="14"/>
  </tableColumns>
  <tableStyleInfo name="TableStyleMedium7"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2.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88.xml"/><Relationship Id="rId1" Type="http://schemas.openxmlformats.org/officeDocument/2006/relationships/pivotTable" Target="../pivotTables/pivot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9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9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93.xml"/></Relationships>
</file>

<file path=xl/worksheets/_rels/sheet23.xml.rels><?xml version="1.0" encoding="UTF-8" standalone="yes"?>
<Relationships xmlns="http://schemas.openxmlformats.org/package/2006/relationships"><Relationship Id="rId1" Type="http://schemas.openxmlformats.org/officeDocument/2006/relationships/queryTable" Target="../queryTables/queryTable1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9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9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97.xml"/><Relationship Id="rId1" Type="http://schemas.openxmlformats.org/officeDocument/2006/relationships/table" Target="../tables/table9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84"/>
  <sheetViews>
    <sheetView showGridLines="0" zoomScale="70" zoomScaleNormal="70" workbookViewId="0">
      <selection activeCell="D8" sqref="D8"/>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4301SPS</v>
      </c>
      <c r="D2" s="20" t="str">
        <f>D8</f>
        <v>Professional Practice in Football Science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384</v>
      </c>
      <c r="E7" s="4"/>
      <c r="F7" s="24" t="s">
        <v>5</v>
      </c>
    </row>
    <row r="8" spans="2:6" ht="16" x14ac:dyDescent="0.2">
      <c r="B8" s="2"/>
      <c r="C8" s="3" t="s">
        <v>6</v>
      </c>
      <c r="D8" s="21" t="s">
        <v>7</v>
      </c>
      <c r="E8" s="4"/>
      <c r="F8" s="24"/>
    </row>
    <row r="9" spans="2:6" ht="16" x14ac:dyDescent="0.2">
      <c r="C9" s="3" t="s">
        <v>8</v>
      </c>
      <c r="D9" s="21">
        <v>20</v>
      </c>
      <c r="E9" s="4"/>
    </row>
    <row r="10" spans="2:6" ht="16" x14ac:dyDescent="0.2">
      <c r="C10" s="3" t="s">
        <v>9</v>
      </c>
      <c r="D10" s="21">
        <v>1</v>
      </c>
      <c r="E10" s="4"/>
      <c r="F10" t="s">
        <v>10</v>
      </c>
    </row>
    <row r="11" spans="2:6" ht="16" x14ac:dyDescent="0.2">
      <c r="C11" s="3" t="s">
        <v>11</v>
      </c>
      <c r="D11" s="21">
        <v>4</v>
      </c>
      <c r="E11" s="4"/>
      <c r="F11" s="24" t="s">
        <v>12</v>
      </c>
    </row>
    <row r="12" spans="2:6" ht="16" x14ac:dyDescent="0.2">
      <c r="C12" s="3" t="s">
        <v>13</v>
      </c>
      <c r="D12" s="21" t="s">
        <v>14</v>
      </c>
      <c r="E12" s="4"/>
      <c r="F12" s="24" t="s">
        <v>15</v>
      </c>
    </row>
    <row r="13" spans="2:6" ht="16" x14ac:dyDescent="0.2">
      <c r="C13" s="3" t="s">
        <v>16</v>
      </c>
      <c r="D13" s="21" t="s">
        <v>17</v>
      </c>
      <c r="E13" s="4"/>
      <c r="F13" s="24" t="s">
        <v>18</v>
      </c>
    </row>
    <row r="14" spans="2:6" ht="16" x14ac:dyDescent="0.2">
      <c r="C14" s="3" t="s">
        <v>19</v>
      </c>
      <c r="D14" s="21" t="s">
        <v>20</v>
      </c>
      <c r="E14" s="4"/>
    </row>
    <row r="15" spans="2:6" x14ac:dyDescent="0.2">
      <c r="C15" s="3"/>
      <c r="D15" s="4"/>
      <c r="E15" s="4"/>
      <c r="F15" t="s">
        <v>21</v>
      </c>
    </row>
    <row r="16" spans="2:6" x14ac:dyDescent="0.2">
      <c r="C16" s="3"/>
      <c r="D16" s="4"/>
      <c r="E16" s="4"/>
      <c r="F16" s="24" t="s">
        <v>22</v>
      </c>
    </row>
    <row r="17" spans="3:6" ht="20" x14ac:dyDescent="0.2">
      <c r="C17" s="5" t="s">
        <v>23</v>
      </c>
      <c r="D17" s="4"/>
      <c r="E17" s="4"/>
      <c r="F17" s="24"/>
    </row>
    <row r="18" spans="3:6" ht="16" x14ac:dyDescent="0.2">
      <c r="C18" s="3" t="s">
        <v>24</v>
      </c>
      <c r="D18" s="1" t="s">
        <v>23</v>
      </c>
      <c r="E18" s="4"/>
      <c r="F18" s="24"/>
    </row>
    <row r="19" spans="3:6" ht="16" x14ac:dyDescent="0.2">
      <c r="C19" s="3" t="s">
        <v>25</v>
      </c>
      <c r="D19" s="22">
        <v>24</v>
      </c>
      <c r="E19" s="4"/>
      <c r="F19" s="24"/>
    </row>
    <row r="20" spans="3:6" ht="16" x14ac:dyDescent="0.2">
      <c r="C20" s="3" t="s">
        <v>26</v>
      </c>
      <c r="D20" s="22">
        <v>10</v>
      </c>
      <c r="E20" s="4"/>
      <c r="F20" s="24"/>
    </row>
    <row r="21" spans="3:6" ht="16" x14ac:dyDescent="0.2">
      <c r="C21" s="3" t="s">
        <v>27</v>
      </c>
      <c r="D21" s="22">
        <v>9</v>
      </c>
      <c r="E21" s="4"/>
    </row>
    <row r="22" spans="3:6" ht="16" x14ac:dyDescent="0.2">
      <c r="C22" s="3" t="s">
        <v>28</v>
      </c>
      <c r="D22" s="22">
        <v>6</v>
      </c>
      <c r="E22" s="4"/>
      <c r="F22" t="s">
        <v>29</v>
      </c>
    </row>
    <row r="23" spans="3:6" ht="16" x14ac:dyDescent="0.2">
      <c r="C23" s="3" t="s">
        <v>30</v>
      </c>
      <c r="D23" s="22">
        <v>0</v>
      </c>
      <c r="E23" s="4"/>
      <c r="F23" s="24" t="s">
        <v>31</v>
      </c>
    </row>
    <row r="24" spans="3:6" ht="16" x14ac:dyDescent="0.2">
      <c r="C24" s="3" t="s">
        <v>32</v>
      </c>
      <c r="D24" s="1">
        <f>SUM(D19:D23)</f>
        <v>49</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48" x14ac:dyDescent="0.2">
      <c r="C29" s="3" t="s">
        <v>37</v>
      </c>
      <c r="D29" s="21" t="s">
        <v>38</v>
      </c>
      <c r="E29" s="4"/>
      <c r="F29" s="24"/>
    </row>
    <row r="30" spans="3:6" ht="48" x14ac:dyDescent="0.2">
      <c r="C30" s="3" t="s">
        <v>39</v>
      </c>
      <c r="D30" s="21" t="s">
        <v>40</v>
      </c>
      <c r="E30" s="4"/>
      <c r="F30" s="24"/>
    </row>
    <row r="31" spans="3:6" ht="16" x14ac:dyDescent="0.2">
      <c r="C31" s="3" t="s">
        <v>41</v>
      </c>
      <c r="D31" s="21"/>
      <c r="E31" s="4"/>
      <c r="F31" s="24"/>
    </row>
    <row r="32" spans="3:6" ht="16" x14ac:dyDescent="0.2">
      <c r="C32" s="3" t="s">
        <v>42</v>
      </c>
      <c r="D32" s="21"/>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48" x14ac:dyDescent="0.2">
      <c r="C38" s="3" t="s">
        <v>51</v>
      </c>
      <c r="D38" s="21" t="s">
        <v>52</v>
      </c>
      <c r="E38" s="21" t="s">
        <v>53</v>
      </c>
      <c r="F38" s="21" t="s">
        <v>54</v>
      </c>
      <c r="G38" s="23">
        <v>0.5</v>
      </c>
      <c r="H38" s="21">
        <v>12</v>
      </c>
    </row>
    <row r="39" spans="3:8" ht="64" x14ac:dyDescent="0.2">
      <c r="C39" s="3" t="s">
        <v>55</v>
      </c>
      <c r="D39" s="21" t="s">
        <v>56</v>
      </c>
      <c r="E39" s="21" t="s">
        <v>57</v>
      </c>
      <c r="F39" s="21" t="s">
        <v>58</v>
      </c>
      <c r="G39" s="23">
        <v>0.5</v>
      </c>
      <c r="H39" s="21" t="s">
        <v>59</v>
      </c>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25" t="s">
        <v>51</v>
      </c>
      <c r="D46" s="24" t="s">
        <v>37</v>
      </c>
      <c r="E46" s="24" t="s">
        <v>65</v>
      </c>
      <c r="F46" s="24" t="s">
        <v>66</v>
      </c>
    </row>
    <row r="47" spans="3:8" x14ac:dyDescent="0.2">
      <c r="C47" s="25" t="s">
        <v>51</v>
      </c>
      <c r="D47" s="24" t="s">
        <v>37</v>
      </c>
      <c r="E47" s="24" t="s">
        <v>65</v>
      </c>
      <c r="F47" s="24" t="s">
        <v>67</v>
      </c>
    </row>
    <row r="48" spans="3:8" x14ac:dyDescent="0.2">
      <c r="C48" s="25" t="s">
        <v>51</v>
      </c>
      <c r="D48" s="24" t="s">
        <v>37</v>
      </c>
      <c r="E48" s="24" t="s">
        <v>65</v>
      </c>
      <c r="F48" s="24" t="s">
        <v>68</v>
      </c>
    </row>
    <row r="49" spans="2:6" x14ac:dyDescent="0.2">
      <c r="C49" s="25" t="s">
        <v>51</v>
      </c>
      <c r="D49" s="24" t="s">
        <v>37</v>
      </c>
      <c r="E49" s="24" t="s">
        <v>69</v>
      </c>
      <c r="F49" s="24" t="s">
        <v>70</v>
      </c>
    </row>
    <row r="50" spans="2:6" x14ac:dyDescent="0.2">
      <c r="C50" s="25" t="s">
        <v>51</v>
      </c>
      <c r="D50" s="24" t="s">
        <v>37</v>
      </c>
      <c r="E50" s="24" t="s">
        <v>71</v>
      </c>
      <c r="F50" s="24" t="s">
        <v>72</v>
      </c>
    </row>
    <row r="51" spans="2:6" x14ac:dyDescent="0.2">
      <c r="C51" s="25" t="s">
        <v>55</v>
      </c>
      <c r="D51" s="24" t="s">
        <v>39</v>
      </c>
      <c r="E51" s="24" t="s">
        <v>71</v>
      </c>
      <c r="F51" s="24" t="s">
        <v>73</v>
      </c>
    </row>
    <row r="52" spans="2:6" x14ac:dyDescent="0.2">
      <c r="C52" s="25" t="s">
        <v>55</v>
      </c>
      <c r="D52" s="24" t="s">
        <v>39</v>
      </c>
      <c r="E52" s="24" t="s">
        <v>74</v>
      </c>
      <c r="F52" s="24" t="s">
        <v>75</v>
      </c>
    </row>
    <row r="53" spans="2:6" x14ac:dyDescent="0.2">
      <c r="C53" s="25" t="s">
        <v>55</v>
      </c>
      <c r="D53" s="24" t="s">
        <v>39</v>
      </c>
      <c r="E53" s="24" t="s">
        <v>71</v>
      </c>
      <c r="F53" s="24" t="s">
        <v>76</v>
      </c>
    </row>
    <row r="54" spans="2:6" x14ac:dyDescent="0.2">
      <c r="C54" s="25" t="s">
        <v>55</v>
      </c>
      <c r="D54" s="24"/>
      <c r="E54" s="24"/>
      <c r="F54" s="24"/>
    </row>
    <row r="55" spans="2:6" x14ac:dyDescent="0.2">
      <c r="C55" s="25" t="s">
        <v>55</v>
      </c>
      <c r="D55" s="24"/>
      <c r="E55" s="24"/>
      <c r="F55" s="24"/>
    </row>
    <row r="56" spans="2:6" x14ac:dyDescent="0.2">
      <c r="C56" s="25" t="s">
        <v>55</v>
      </c>
      <c r="D56" s="24"/>
      <c r="E56" s="24"/>
      <c r="F56" s="24"/>
    </row>
    <row r="59" spans="2:6" ht="20" x14ac:dyDescent="0.2">
      <c r="C59" s="5" t="s">
        <v>77</v>
      </c>
    </row>
    <row r="60" spans="2:6" ht="16" x14ac:dyDescent="0.2">
      <c r="B60" t="s">
        <v>78</v>
      </c>
      <c r="C60" s="1" t="s">
        <v>79</v>
      </c>
      <c r="D60" s="1" t="s">
        <v>80</v>
      </c>
      <c r="E60" s="1" t="s">
        <v>81</v>
      </c>
      <c r="F60" s="1" t="s">
        <v>82</v>
      </c>
    </row>
    <row r="61" spans="2:6" ht="16" x14ac:dyDescent="0.2">
      <c r="B61" s="7">
        <v>1</v>
      </c>
      <c r="C61" s="1">
        <v>1</v>
      </c>
      <c r="D61" s="21" t="s">
        <v>83</v>
      </c>
      <c r="E61" s="21" t="s">
        <v>26</v>
      </c>
      <c r="F61" s="21"/>
    </row>
    <row r="62" spans="2:6" ht="16" x14ac:dyDescent="0.2">
      <c r="B62" s="7">
        <v>1</v>
      </c>
      <c r="C62" s="1">
        <v>2</v>
      </c>
      <c r="D62" s="21" t="s">
        <v>84</v>
      </c>
      <c r="E62" s="21" t="s">
        <v>26</v>
      </c>
      <c r="F62" s="21"/>
    </row>
    <row r="63" spans="2:6" ht="16" x14ac:dyDescent="0.2">
      <c r="B63" s="7">
        <v>1</v>
      </c>
      <c r="C63" s="1">
        <v>3</v>
      </c>
      <c r="D63" s="21" t="s">
        <v>85</v>
      </c>
      <c r="E63" s="21" t="s">
        <v>26</v>
      </c>
      <c r="F63" s="21"/>
    </row>
    <row r="64" spans="2:6" ht="16" x14ac:dyDescent="0.2">
      <c r="B64" s="7">
        <v>1</v>
      </c>
      <c r="C64" s="1">
        <v>4</v>
      </c>
      <c r="D64" s="21" t="s">
        <v>86</v>
      </c>
      <c r="E64" s="21" t="s">
        <v>27</v>
      </c>
      <c r="F64" s="21"/>
    </row>
    <row r="65" spans="2:6" ht="16" x14ac:dyDescent="0.2">
      <c r="B65" s="7">
        <v>1</v>
      </c>
      <c r="C65" s="1">
        <v>5</v>
      </c>
      <c r="D65" s="21" t="s">
        <v>87</v>
      </c>
      <c r="E65" s="21" t="s">
        <v>28</v>
      </c>
      <c r="F65" s="21"/>
    </row>
    <row r="66" spans="2:6" ht="16" x14ac:dyDescent="0.2">
      <c r="B66" s="7">
        <v>1</v>
      </c>
      <c r="C66" s="1">
        <v>6</v>
      </c>
      <c r="D66" s="21" t="s">
        <v>88</v>
      </c>
      <c r="E66" s="21" t="s">
        <v>28</v>
      </c>
      <c r="F66" s="21"/>
    </row>
    <row r="67" spans="2:6" ht="16" x14ac:dyDescent="0.2">
      <c r="B67" s="7">
        <v>1</v>
      </c>
      <c r="C67" s="1">
        <v>7</v>
      </c>
      <c r="D67" s="21" t="s">
        <v>89</v>
      </c>
      <c r="E67" s="21"/>
      <c r="F67" s="21"/>
    </row>
    <row r="68" spans="2:6" ht="32" x14ac:dyDescent="0.2">
      <c r="B68" s="7">
        <v>1</v>
      </c>
      <c r="C68" s="1">
        <v>8</v>
      </c>
      <c r="D68" s="21" t="s">
        <v>90</v>
      </c>
      <c r="E68" s="21" t="s">
        <v>26</v>
      </c>
      <c r="F68" s="21"/>
    </row>
    <row r="69" spans="2:6" ht="16" x14ac:dyDescent="0.2">
      <c r="B69" s="7">
        <v>1</v>
      </c>
      <c r="C69" s="1">
        <v>9</v>
      </c>
      <c r="D69" s="21" t="s">
        <v>91</v>
      </c>
      <c r="E69" s="21" t="s">
        <v>27</v>
      </c>
      <c r="F69" s="21" t="s">
        <v>28</v>
      </c>
    </row>
    <row r="70" spans="2:6" ht="16" x14ac:dyDescent="0.2">
      <c r="B70" s="7">
        <v>1</v>
      </c>
      <c r="C70" s="1">
        <v>10</v>
      </c>
      <c r="D70" s="21" t="s">
        <v>92</v>
      </c>
      <c r="E70" s="21" t="s">
        <v>27</v>
      </c>
      <c r="F70" s="21"/>
    </row>
    <row r="71" spans="2:6" ht="16" x14ac:dyDescent="0.2">
      <c r="B71" s="7">
        <v>1</v>
      </c>
      <c r="C71" s="1">
        <v>11</v>
      </c>
      <c r="D71" s="21" t="s">
        <v>93</v>
      </c>
      <c r="E71" s="21" t="s">
        <v>26</v>
      </c>
      <c r="F71" s="21"/>
    </row>
    <row r="72" spans="2:6" ht="16" x14ac:dyDescent="0.2">
      <c r="B72" s="7">
        <v>1</v>
      </c>
      <c r="C72" s="1">
        <v>12</v>
      </c>
      <c r="D72" s="21" t="s">
        <v>94</v>
      </c>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5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D46:D56</xm:sqref>
        </x14:dataValidation>
        <x14:dataValidation type="list" allowBlank="1" showInputMessage="1" showErrorMessage="1" xr:uid="{C1ACB768-367A-4765-AEE3-B6D50718CC09}">
          <x14:formula1>
            <xm:f>LISTS!$J$7:$J$16</xm:f>
          </x14:formula1>
          <xm:sqref>E46:E56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84"/>
  <sheetViews>
    <sheetView showGridLines="0" zoomScale="85" zoomScaleNormal="85" workbookViewId="0">
      <selection activeCell="D81" sqref="D81"/>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4303SPS</v>
      </c>
      <c r="D2" s="20" t="str">
        <f>D8</f>
        <v>Talent Identification, Development and Selection</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48" x14ac:dyDescent="0.2">
      <c r="B7" s="2"/>
      <c r="C7" s="3" t="s">
        <v>4</v>
      </c>
      <c r="D7" s="21" t="s">
        <v>95</v>
      </c>
      <c r="E7" s="4"/>
      <c r="F7" s="29" t="s">
        <v>96</v>
      </c>
    </row>
    <row r="8" spans="2:6" ht="64" x14ac:dyDescent="0.2">
      <c r="B8" s="2"/>
      <c r="C8" s="3" t="s">
        <v>6</v>
      </c>
      <c r="D8" s="21" t="s">
        <v>97</v>
      </c>
      <c r="E8" s="4"/>
      <c r="F8" s="29" t="s">
        <v>98</v>
      </c>
    </row>
    <row r="9" spans="2:6" ht="16" x14ac:dyDescent="0.2">
      <c r="C9" s="3" t="s">
        <v>8</v>
      </c>
      <c r="D9" s="21">
        <v>20</v>
      </c>
      <c r="E9" s="4"/>
    </row>
    <row r="10" spans="2:6" ht="16" x14ac:dyDescent="0.2">
      <c r="C10" s="3" t="s">
        <v>9</v>
      </c>
      <c r="D10" s="21">
        <v>2</v>
      </c>
      <c r="E10" s="4"/>
      <c r="F10" t="s">
        <v>10</v>
      </c>
    </row>
    <row r="11" spans="2:6" ht="16" x14ac:dyDescent="0.2">
      <c r="C11" s="3" t="s">
        <v>11</v>
      </c>
      <c r="D11" s="21">
        <v>4</v>
      </c>
      <c r="E11" s="4"/>
      <c r="F11" s="24" t="s">
        <v>99</v>
      </c>
    </row>
    <row r="12" spans="2:6" ht="16" x14ac:dyDescent="0.2">
      <c r="C12" s="3" t="s">
        <v>13</v>
      </c>
      <c r="D12" s="21" t="s">
        <v>100</v>
      </c>
      <c r="E12" s="4"/>
      <c r="F12" s="24" t="s">
        <v>101</v>
      </c>
    </row>
    <row r="13" spans="2:6" ht="48" x14ac:dyDescent="0.2">
      <c r="C13" s="3" t="s">
        <v>16</v>
      </c>
      <c r="D13" s="21" t="s">
        <v>17</v>
      </c>
      <c r="E13" s="4"/>
      <c r="F13" s="29" t="s">
        <v>102</v>
      </c>
    </row>
    <row r="14" spans="2:6" ht="16" x14ac:dyDescent="0.2">
      <c r="C14" s="3" t="s">
        <v>19</v>
      </c>
      <c r="D14" s="21" t="s">
        <v>20</v>
      </c>
      <c r="E14" s="4"/>
    </row>
    <row r="15" spans="2:6" x14ac:dyDescent="0.2">
      <c r="C15" s="3"/>
      <c r="D15" s="4"/>
      <c r="E15" s="4"/>
      <c r="F15" t="s">
        <v>21</v>
      </c>
    </row>
    <row r="16" spans="2:6" ht="224" x14ac:dyDescent="0.2">
      <c r="C16" s="3"/>
      <c r="D16" s="4"/>
      <c r="E16" s="4"/>
      <c r="F16" s="64" t="s">
        <v>103</v>
      </c>
    </row>
    <row r="17" spans="3:6" ht="20" x14ac:dyDescent="0.2">
      <c r="C17" s="5" t="s">
        <v>23</v>
      </c>
      <c r="D17" s="4"/>
      <c r="E17" s="4"/>
      <c r="F17" s="64"/>
    </row>
    <row r="18" spans="3:6" ht="16" x14ac:dyDescent="0.2">
      <c r="C18" s="3" t="s">
        <v>24</v>
      </c>
      <c r="D18" s="1" t="s">
        <v>23</v>
      </c>
      <c r="E18" s="4"/>
      <c r="F18" s="64"/>
    </row>
    <row r="19" spans="3:6" ht="16" x14ac:dyDescent="0.2">
      <c r="C19" s="3" t="s">
        <v>25</v>
      </c>
      <c r="D19" s="22">
        <v>22</v>
      </c>
      <c r="E19" s="4"/>
      <c r="F19" s="24"/>
    </row>
    <row r="20" spans="3:6" ht="16" x14ac:dyDescent="0.2">
      <c r="C20" s="3" t="s">
        <v>26</v>
      </c>
      <c r="D20" s="22">
        <v>14</v>
      </c>
      <c r="E20" s="4"/>
      <c r="F20" s="24"/>
    </row>
    <row r="21" spans="3:6" ht="16" x14ac:dyDescent="0.2">
      <c r="C21" s="3" t="s">
        <v>27</v>
      </c>
      <c r="D21" s="22">
        <v>4</v>
      </c>
      <c r="E21" s="4"/>
    </row>
    <row r="22" spans="3:6" ht="16" x14ac:dyDescent="0.2">
      <c r="C22" s="3" t="s">
        <v>28</v>
      </c>
      <c r="D22" s="22">
        <v>8</v>
      </c>
      <c r="E22" s="4"/>
      <c r="F22" t="s">
        <v>29</v>
      </c>
    </row>
    <row r="23" spans="3:6" ht="16" x14ac:dyDescent="0.2">
      <c r="C23" s="3" t="s">
        <v>30</v>
      </c>
      <c r="D23" s="22">
        <v>0</v>
      </c>
      <c r="E23" s="4"/>
      <c r="F23" s="24"/>
    </row>
    <row r="24" spans="3:6" ht="16" x14ac:dyDescent="0.2">
      <c r="C24" s="3" t="s">
        <v>32</v>
      </c>
      <c r="D24" s="1">
        <f>SUM(D19:D23)</f>
        <v>48</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32" x14ac:dyDescent="0.2">
      <c r="C29" s="3" t="s">
        <v>37</v>
      </c>
      <c r="D29" s="29" t="s">
        <v>104</v>
      </c>
      <c r="E29" s="4"/>
      <c r="F29" s="24"/>
    </row>
    <row r="30" spans="3:6" ht="32" x14ac:dyDescent="0.2">
      <c r="C30" s="3" t="s">
        <v>39</v>
      </c>
      <c r="D30" s="29" t="s">
        <v>105</v>
      </c>
      <c r="E30" s="4"/>
      <c r="F30" s="24"/>
    </row>
    <row r="31" spans="3:6" ht="48" x14ac:dyDescent="0.2">
      <c r="C31" s="3" t="s">
        <v>41</v>
      </c>
      <c r="D31" s="29" t="s">
        <v>106</v>
      </c>
      <c r="E31" s="4"/>
      <c r="F31" s="24"/>
    </row>
    <row r="32" spans="3:6" ht="48" x14ac:dyDescent="0.2">
      <c r="C32" s="3" t="s">
        <v>42</v>
      </c>
      <c r="D32" s="29" t="s">
        <v>107</v>
      </c>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16" x14ac:dyDescent="0.2">
      <c r="C38" s="3" t="s">
        <v>51</v>
      </c>
      <c r="D38" s="21" t="s">
        <v>52</v>
      </c>
      <c r="E38" s="21" t="s">
        <v>108</v>
      </c>
      <c r="F38" s="21" t="s">
        <v>109</v>
      </c>
      <c r="G38" s="23">
        <v>0.4</v>
      </c>
      <c r="H38" s="21">
        <v>7</v>
      </c>
    </row>
    <row r="39" spans="3:8" ht="16" x14ac:dyDescent="0.2">
      <c r="C39" s="3" t="s">
        <v>55</v>
      </c>
      <c r="D39" s="21" t="s">
        <v>110</v>
      </c>
      <c r="E39" s="21" t="s">
        <v>111</v>
      </c>
      <c r="F39" s="21" t="s">
        <v>112</v>
      </c>
      <c r="G39" s="23">
        <v>0.6</v>
      </c>
      <c r="H39" s="21">
        <v>12</v>
      </c>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67" t="s">
        <v>51</v>
      </c>
      <c r="D46" s="66" t="s">
        <v>37</v>
      </c>
      <c r="E46" s="65" t="s">
        <v>113</v>
      </c>
      <c r="F46" s="65" t="s">
        <v>114</v>
      </c>
    </row>
    <row r="47" spans="3:8" x14ac:dyDescent="0.2">
      <c r="C47" s="67" t="s">
        <v>51</v>
      </c>
      <c r="D47" s="66" t="s">
        <v>39</v>
      </c>
      <c r="E47" s="65" t="s">
        <v>113</v>
      </c>
      <c r="F47" s="65" t="s">
        <v>115</v>
      </c>
    </row>
    <row r="48" spans="3:8" x14ac:dyDescent="0.2">
      <c r="C48" s="67" t="s">
        <v>51</v>
      </c>
      <c r="D48" s="66" t="s">
        <v>41</v>
      </c>
      <c r="E48" s="65" t="s">
        <v>116</v>
      </c>
      <c r="F48" s="65" t="s">
        <v>117</v>
      </c>
    </row>
    <row r="49" spans="2:6" x14ac:dyDescent="0.2">
      <c r="C49" s="67" t="s">
        <v>51</v>
      </c>
      <c r="D49" s="66" t="s">
        <v>42</v>
      </c>
      <c r="E49" s="65" t="s">
        <v>74</v>
      </c>
      <c r="F49" s="65" t="s">
        <v>75</v>
      </c>
    </row>
    <row r="50" spans="2:6" x14ac:dyDescent="0.2">
      <c r="C50" s="67" t="s">
        <v>51</v>
      </c>
      <c r="D50" s="66" t="s">
        <v>42</v>
      </c>
      <c r="E50" s="65" t="s">
        <v>74</v>
      </c>
      <c r="F50" s="65" t="s">
        <v>118</v>
      </c>
    </row>
    <row r="51" spans="2:6" x14ac:dyDescent="0.2">
      <c r="C51" s="67" t="s">
        <v>55</v>
      </c>
      <c r="D51" s="66" t="s">
        <v>37</v>
      </c>
      <c r="E51" s="65" t="s">
        <v>113</v>
      </c>
      <c r="F51" s="65" t="s">
        <v>115</v>
      </c>
    </row>
    <row r="52" spans="2:6" x14ac:dyDescent="0.2">
      <c r="C52" s="67" t="s">
        <v>55</v>
      </c>
      <c r="D52" s="66" t="s">
        <v>39</v>
      </c>
      <c r="E52" s="65" t="s">
        <v>116</v>
      </c>
      <c r="F52" s="65" t="s">
        <v>117</v>
      </c>
    </row>
    <row r="53" spans="2:6" x14ac:dyDescent="0.2">
      <c r="C53" s="67" t="s">
        <v>55</v>
      </c>
      <c r="D53" s="66" t="s">
        <v>41</v>
      </c>
      <c r="E53" s="65" t="s">
        <v>74</v>
      </c>
      <c r="F53" s="65" t="s">
        <v>75</v>
      </c>
    </row>
    <row r="54" spans="2:6" x14ac:dyDescent="0.2">
      <c r="C54" s="67" t="s">
        <v>55</v>
      </c>
      <c r="D54" s="66" t="s">
        <v>42</v>
      </c>
      <c r="E54" s="65" t="s">
        <v>116</v>
      </c>
      <c r="F54" s="65" t="s">
        <v>119</v>
      </c>
    </row>
    <row r="55" spans="2:6" x14ac:dyDescent="0.2">
      <c r="C55" s="25"/>
      <c r="D55" s="24"/>
      <c r="E55" s="24"/>
      <c r="F55" s="24"/>
    </row>
    <row r="56" spans="2:6" x14ac:dyDescent="0.2">
      <c r="C56" s="25"/>
      <c r="D56" s="24"/>
      <c r="E56" s="24"/>
      <c r="F56" s="24"/>
    </row>
    <row r="59" spans="2:6" ht="20" x14ac:dyDescent="0.2">
      <c r="C59" s="5" t="s">
        <v>77</v>
      </c>
    </row>
    <row r="60" spans="2:6" ht="16" x14ac:dyDescent="0.2">
      <c r="B60" t="s">
        <v>78</v>
      </c>
      <c r="C60" s="1" t="s">
        <v>79</v>
      </c>
      <c r="D60" s="1" t="s">
        <v>80</v>
      </c>
      <c r="E60" s="1" t="s">
        <v>81</v>
      </c>
      <c r="F60" s="1" t="s">
        <v>82</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ht="16" x14ac:dyDescent="0.2">
      <c r="B73" s="7">
        <v>2</v>
      </c>
      <c r="C73" s="1">
        <v>1</v>
      </c>
      <c r="D73" s="21" t="s">
        <v>120</v>
      </c>
      <c r="E73" s="21" t="s">
        <v>121</v>
      </c>
      <c r="F73" s="21"/>
    </row>
    <row r="74" spans="2:6" ht="32" x14ac:dyDescent="0.2">
      <c r="B74" s="7">
        <v>2</v>
      </c>
      <c r="C74" s="1">
        <v>2</v>
      </c>
      <c r="D74" s="21" t="s">
        <v>122</v>
      </c>
      <c r="E74" s="21" t="s">
        <v>123</v>
      </c>
      <c r="F74" s="21"/>
    </row>
    <row r="75" spans="2:6" ht="32" x14ac:dyDescent="0.2">
      <c r="B75" s="7">
        <v>2</v>
      </c>
      <c r="C75" s="1">
        <v>3</v>
      </c>
      <c r="D75" s="21" t="s">
        <v>124</v>
      </c>
      <c r="E75" s="21" t="s">
        <v>125</v>
      </c>
      <c r="F75" s="21"/>
    </row>
    <row r="76" spans="2:6" ht="16" x14ac:dyDescent="0.2">
      <c r="B76" s="7">
        <v>2</v>
      </c>
      <c r="C76" s="1">
        <v>4</v>
      </c>
      <c r="D76" s="21" t="s">
        <v>126</v>
      </c>
      <c r="E76" s="21" t="s">
        <v>127</v>
      </c>
      <c r="F76" s="21"/>
    </row>
    <row r="77" spans="2:6" ht="32" x14ac:dyDescent="0.2">
      <c r="B77" s="7">
        <v>2</v>
      </c>
      <c r="C77" s="1">
        <v>5</v>
      </c>
      <c r="D77" s="21" t="s">
        <v>128</v>
      </c>
      <c r="E77" s="21" t="s">
        <v>129</v>
      </c>
      <c r="F77" s="21"/>
    </row>
    <row r="78" spans="2:6" ht="32" x14ac:dyDescent="0.2">
      <c r="B78" s="7">
        <v>2</v>
      </c>
      <c r="C78" s="1">
        <v>6</v>
      </c>
      <c r="D78" s="21" t="s">
        <v>130</v>
      </c>
      <c r="E78" s="21" t="s">
        <v>131</v>
      </c>
      <c r="F78" s="21"/>
    </row>
    <row r="79" spans="2:6" ht="16" x14ac:dyDescent="0.2">
      <c r="B79" s="7">
        <v>2</v>
      </c>
      <c r="C79" s="1">
        <v>7</v>
      </c>
      <c r="D79" s="68" t="s">
        <v>132</v>
      </c>
      <c r="E79" s="68" t="s">
        <v>132</v>
      </c>
      <c r="F79" s="21"/>
    </row>
    <row r="80" spans="2:6" ht="32" x14ac:dyDescent="0.2">
      <c r="B80" s="7">
        <v>2</v>
      </c>
      <c r="C80" s="1">
        <v>8</v>
      </c>
      <c r="D80" s="21" t="s">
        <v>133</v>
      </c>
      <c r="E80" s="21" t="s">
        <v>134</v>
      </c>
      <c r="F80" s="21"/>
    </row>
    <row r="81" spans="2:6" ht="16" x14ac:dyDescent="0.2">
      <c r="B81" s="7">
        <v>2</v>
      </c>
      <c r="C81" s="1">
        <v>9</v>
      </c>
      <c r="D81" s="21" t="s">
        <v>135</v>
      </c>
      <c r="E81" s="21" t="s">
        <v>136</v>
      </c>
      <c r="F81" s="21"/>
    </row>
    <row r="82" spans="2:6" ht="16" x14ac:dyDescent="0.2">
      <c r="B82" s="7">
        <v>2</v>
      </c>
      <c r="C82" s="1">
        <v>10</v>
      </c>
      <c r="D82" s="21" t="s">
        <v>137</v>
      </c>
      <c r="E82" s="21" t="s">
        <v>138</v>
      </c>
      <c r="F82" s="21"/>
    </row>
    <row r="83" spans="2:6" ht="16" x14ac:dyDescent="0.2">
      <c r="B83" s="7">
        <v>2</v>
      </c>
      <c r="C83" s="1">
        <v>11</v>
      </c>
      <c r="D83" s="21" t="s">
        <v>139</v>
      </c>
      <c r="E83" s="21" t="s">
        <v>140</v>
      </c>
      <c r="F83" s="21"/>
    </row>
    <row r="84" spans="2:6" ht="16" x14ac:dyDescent="0.2">
      <c r="B84" s="7">
        <v>2</v>
      </c>
      <c r="C84" s="1">
        <v>12</v>
      </c>
      <c r="D84" s="21" t="s">
        <v>141</v>
      </c>
      <c r="E84" s="21" t="s">
        <v>142</v>
      </c>
      <c r="F84" s="21"/>
    </row>
  </sheetData>
  <sheetProtection sheet="1" objects="1" scenarios="1" selectLockedCells="1" sort="0" autoFilter="0" pivotTable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5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D46:D56</xm:sqref>
        </x14:dataValidation>
        <x14:dataValidation type="list" allowBlank="1" showInputMessage="1" showErrorMessage="1" xr:uid="{C4F92686-9322-4C4E-8993-76138DE80E0B}">
          <x14:formula1>
            <xm:f>LISTS!$J$7:$J$16</xm:f>
          </x14:formula1>
          <xm:sqref>E46:E56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84"/>
  <sheetViews>
    <sheetView showGridLines="0" zoomScale="85" zoomScaleNormal="85" workbookViewId="0">
      <selection activeCell="E67" sqref="E67"/>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35.83203125" customWidth="1"/>
    <col min="9" max="9" width="14.6640625" customWidth="1"/>
  </cols>
  <sheetData>
    <row r="2" spans="2:6" ht="27" x14ac:dyDescent="0.35">
      <c r="C2" s="20" t="str">
        <f>D7</f>
        <v>5301SPS</v>
      </c>
      <c r="D2" s="20" t="str">
        <f>D8</f>
        <v>Professional Practice in Football Science 2</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143</v>
      </c>
      <c r="E7" s="4"/>
      <c r="F7" s="34" t="s">
        <v>144</v>
      </c>
    </row>
    <row r="8" spans="2:6" ht="16" x14ac:dyDescent="0.2">
      <c r="B8" s="2"/>
      <c r="C8" s="3" t="s">
        <v>6</v>
      </c>
      <c r="D8" s="21" t="s">
        <v>145</v>
      </c>
      <c r="E8" s="4"/>
      <c r="F8" s="35" t="s">
        <v>146</v>
      </c>
    </row>
    <row r="9" spans="2:6" ht="16" x14ac:dyDescent="0.2">
      <c r="C9" s="3" t="s">
        <v>8</v>
      </c>
      <c r="D9" s="21">
        <v>20</v>
      </c>
      <c r="E9" s="4"/>
    </row>
    <row r="10" spans="2:6" ht="16" x14ac:dyDescent="0.2">
      <c r="C10" s="3" t="s">
        <v>9</v>
      </c>
      <c r="D10" s="21">
        <v>1</v>
      </c>
      <c r="E10" s="4"/>
      <c r="F10" t="s">
        <v>10</v>
      </c>
    </row>
    <row r="11" spans="2:6" ht="16" x14ac:dyDescent="0.2">
      <c r="C11" s="3" t="s">
        <v>11</v>
      </c>
      <c r="D11" s="21">
        <v>5</v>
      </c>
      <c r="E11" s="4"/>
      <c r="F11" s="33" t="s">
        <v>147</v>
      </c>
    </row>
    <row r="12" spans="2:6" ht="16" x14ac:dyDescent="0.2">
      <c r="C12" s="3" t="s">
        <v>13</v>
      </c>
      <c r="D12" s="21" t="s">
        <v>148</v>
      </c>
      <c r="E12" s="4"/>
      <c r="F12" s="33" t="s">
        <v>149</v>
      </c>
    </row>
    <row r="13" spans="2:6" ht="16" x14ac:dyDescent="0.2">
      <c r="C13" s="3" t="s">
        <v>16</v>
      </c>
      <c r="D13" s="21" t="s">
        <v>17</v>
      </c>
      <c r="E13" s="4"/>
      <c r="F13" s="33" t="s">
        <v>150</v>
      </c>
    </row>
    <row r="14" spans="2:6" ht="16" x14ac:dyDescent="0.2">
      <c r="C14" s="3" t="s">
        <v>19</v>
      </c>
      <c r="D14" s="21" t="s">
        <v>20</v>
      </c>
      <c r="E14" s="4"/>
    </row>
    <row r="15" spans="2:6" x14ac:dyDescent="0.2">
      <c r="C15" s="3"/>
      <c r="D15" s="4"/>
      <c r="E15" s="4"/>
      <c r="F15" t="s">
        <v>21</v>
      </c>
    </row>
    <row r="16" spans="2:6" x14ac:dyDescent="0.2">
      <c r="C16" s="3"/>
      <c r="D16" s="4"/>
      <c r="E16" s="4"/>
      <c r="F16" s="31" t="s">
        <v>151</v>
      </c>
    </row>
    <row r="17" spans="3:6" ht="20" x14ac:dyDescent="0.2">
      <c r="C17" s="5" t="s">
        <v>23</v>
      </c>
      <c r="D17" s="4"/>
      <c r="E17" s="4"/>
      <c r="F17" s="24"/>
    </row>
    <row r="18" spans="3:6" ht="16" x14ac:dyDescent="0.2">
      <c r="C18" s="3" t="s">
        <v>24</v>
      </c>
      <c r="D18" s="1" t="s">
        <v>23</v>
      </c>
      <c r="E18" s="4"/>
      <c r="F18" s="24"/>
    </row>
    <row r="19" spans="3:6" ht="16" x14ac:dyDescent="0.2">
      <c r="C19" s="3" t="s">
        <v>25</v>
      </c>
      <c r="D19" s="22">
        <v>18</v>
      </c>
      <c r="E19" s="4"/>
      <c r="F19" s="24"/>
    </row>
    <row r="20" spans="3:6" ht="16" x14ac:dyDescent="0.2">
      <c r="C20" s="3" t="s">
        <v>26</v>
      </c>
      <c r="D20" s="22">
        <v>14</v>
      </c>
      <c r="E20" s="4"/>
      <c r="F20" s="24"/>
    </row>
    <row r="21" spans="3:6" ht="16" x14ac:dyDescent="0.2">
      <c r="C21" s="3" t="s">
        <v>27</v>
      </c>
      <c r="D21" s="22">
        <v>6</v>
      </c>
      <c r="E21" s="4"/>
    </row>
    <row r="22" spans="3:6" ht="16" x14ac:dyDescent="0.2">
      <c r="C22" s="3" t="s">
        <v>28</v>
      </c>
      <c r="D22" s="22">
        <v>10</v>
      </c>
      <c r="E22" s="4"/>
      <c r="F22" t="s">
        <v>29</v>
      </c>
    </row>
    <row r="23" spans="3:6" ht="16" x14ac:dyDescent="0.2">
      <c r="C23" s="3" t="s">
        <v>30</v>
      </c>
      <c r="D23" s="22"/>
      <c r="E23" s="4"/>
      <c r="F23" s="30" t="s">
        <v>152</v>
      </c>
    </row>
    <row r="24" spans="3:6" ht="16" x14ac:dyDescent="0.2">
      <c r="C24" s="3" t="s">
        <v>32</v>
      </c>
      <c r="D24" s="1">
        <f>SUM(D19:D23)</f>
        <v>48</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16" x14ac:dyDescent="0.2">
      <c r="C29" s="3" t="s">
        <v>37</v>
      </c>
      <c r="D29" s="33" t="s">
        <v>153</v>
      </c>
      <c r="E29" s="4"/>
      <c r="F29" s="24"/>
    </row>
    <row r="30" spans="3:6" ht="16" x14ac:dyDescent="0.2">
      <c r="C30" s="3" t="s">
        <v>39</v>
      </c>
      <c r="D30" s="33" t="s">
        <v>154</v>
      </c>
      <c r="E30" s="4"/>
      <c r="F30" s="24"/>
    </row>
    <row r="31" spans="3:6" ht="16" x14ac:dyDescent="0.2">
      <c r="C31" s="3" t="s">
        <v>41</v>
      </c>
      <c r="D31" s="33" t="s">
        <v>155</v>
      </c>
      <c r="E31" s="4"/>
      <c r="F31" s="24"/>
    </row>
    <row r="32" spans="3:6" ht="16" x14ac:dyDescent="0.2">
      <c r="C32" s="3" t="s">
        <v>42</v>
      </c>
      <c r="D32" s="21"/>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32" x14ac:dyDescent="0.2">
      <c r="C38" s="3" t="s">
        <v>51</v>
      </c>
      <c r="D38" s="21" t="s">
        <v>110</v>
      </c>
      <c r="E38" s="21" t="s">
        <v>156</v>
      </c>
      <c r="F38" s="21" t="s">
        <v>157</v>
      </c>
      <c r="G38" s="23">
        <v>0.5</v>
      </c>
      <c r="H38" s="21">
        <v>10</v>
      </c>
    </row>
    <row r="39" spans="3:8" ht="80" x14ac:dyDescent="0.2">
      <c r="C39" s="3" t="s">
        <v>55</v>
      </c>
      <c r="D39" s="21" t="s">
        <v>52</v>
      </c>
      <c r="E39" s="21" t="s">
        <v>158</v>
      </c>
      <c r="F39" s="21" t="s">
        <v>159</v>
      </c>
      <c r="G39" s="23">
        <v>0.5</v>
      </c>
      <c r="H39" s="21" t="s">
        <v>160</v>
      </c>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25" t="s">
        <v>51</v>
      </c>
      <c r="D46" s="24" t="s">
        <v>37</v>
      </c>
      <c r="E46" s="24" t="s">
        <v>74</v>
      </c>
      <c r="F46" s="24" t="s">
        <v>118</v>
      </c>
    </row>
    <row r="47" spans="3:8" x14ac:dyDescent="0.2">
      <c r="C47" s="25" t="s">
        <v>51</v>
      </c>
      <c r="D47" s="24" t="s">
        <v>37</v>
      </c>
      <c r="E47" s="24" t="s">
        <v>161</v>
      </c>
      <c r="F47" s="24" t="s">
        <v>162</v>
      </c>
    </row>
    <row r="48" spans="3:8" x14ac:dyDescent="0.2">
      <c r="C48" s="25" t="s">
        <v>51</v>
      </c>
      <c r="D48" s="24" t="s">
        <v>37</v>
      </c>
      <c r="E48" s="24" t="s">
        <v>116</v>
      </c>
      <c r="F48" s="24" t="s">
        <v>119</v>
      </c>
    </row>
    <row r="49" spans="2:6" x14ac:dyDescent="0.2">
      <c r="C49" s="25" t="s">
        <v>51</v>
      </c>
      <c r="D49" s="24" t="s">
        <v>39</v>
      </c>
      <c r="E49" s="24" t="s">
        <v>69</v>
      </c>
      <c r="F49" s="24" t="s">
        <v>163</v>
      </c>
    </row>
    <row r="50" spans="2:6" x14ac:dyDescent="0.2">
      <c r="C50" s="25" t="s">
        <v>55</v>
      </c>
      <c r="D50" s="24" t="s">
        <v>37</v>
      </c>
      <c r="E50" s="24" t="s">
        <v>113</v>
      </c>
      <c r="F50" s="24" t="s">
        <v>114</v>
      </c>
    </row>
    <row r="51" spans="2:6" x14ac:dyDescent="0.2">
      <c r="C51" s="25" t="s">
        <v>55</v>
      </c>
      <c r="D51" s="24" t="s">
        <v>39</v>
      </c>
      <c r="E51" s="24" t="s">
        <v>69</v>
      </c>
      <c r="F51" s="24" t="s">
        <v>70</v>
      </c>
    </row>
    <row r="52" spans="2:6" x14ac:dyDescent="0.2">
      <c r="C52" s="25" t="s">
        <v>55</v>
      </c>
      <c r="D52" s="24" t="s">
        <v>39</v>
      </c>
      <c r="E52" s="24" t="s">
        <v>65</v>
      </c>
      <c r="F52" s="24" t="s">
        <v>68</v>
      </c>
    </row>
    <row r="53" spans="2:6" x14ac:dyDescent="0.2">
      <c r="C53" s="25" t="s">
        <v>55</v>
      </c>
      <c r="D53" s="24" t="s">
        <v>41</v>
      </c>
      <c r="E53" s="24" t="s">
        <v>71</v>
      </c>
      <c r="F53" s="24" t="s">
        <v>73</v>
      </c>
    </row>
    <row r="54" spans="2:6" x14ac:dyDescent="0.2">
      <c r="C54" s="25"/>
      <c r="D54" s="24"/>
      <c r="E54" s="24"/>
      <c r="F54" s="24"/>
    </row>
    <row r="55" spans="2:6" x14ac:dyDescent="0.2">
      <c r="C55" s="25"/>
      <c r="D55" s="24"/>
      <c r="E55" s="24"/>
      <c r="F55" s="24"/>
    </row>
    <row r="56" spans="2:6" x14ac:dyDescent="0.2">
      <c r="C56" s="25"/>
      <c r="D56" s="24"/>
      <c r="E56" s="24"/>
      <c r="F56" s="24"/>
    </row>
    <row r="59" spans="2:6" ht="20" x14ac:dyDescent="0.2">
      <c r="C59" s="5" t="s">
        <v>77</v>
      </c>
    </row>
    <row r="60" spans="2:6" ht="16" x14ac:dyDescent="0.2">
      <c r="B60" t="s">
        <v>78</v>
      </c>
      <c r="C60" s="1" t="s">
        <v>79</v>
      </c>
      <c r="D60" s="1" t="s">
        <v>80</v>
      </c>
      <c r="E60" s="1" t="s">
        <v>81</v>
      </c>
      <c r="F60" s="1" t="s">
        <v>82</v>
      </c>
    </row>
    <row r="61" spans="2:6" x14ac:dyDescent="0.2">
      <c r="B61" s="7">
        <v>1</v>
      </c>
      <c r="C61" s="1">
        <v>1</v>
      </c>
      <c r="D61" s="36" t="s">
        <v>164</v>
      </c>
      <c r="E61" s="32"/>
      <c r="F61" s="32"/>
    </row>
    <row r="62" spans="2:6" x14ac:dyDescent="0.2">
      <c r="B62" s="7">
        <v>1</v>
      </c>
      <c r="C62" s="1">
        <v>2</v>
      </c>
      <c r="D62" s="36" t="s">
        <v>165</v>
      </c>
      <c r="E62" s="32"/>
      <c r="F62" s="32"/>
    </row>
    <row r="63" spans="2:6" x14ac:dyDescent="0.2">
      <c r="B63" s="7">
        <v>1</v>
      </c>
      <c r="C63" s="1">
        <v>3</v>
      </c>
      <c r="D63" s="36" t="s">
        <v>166</v>
      </c>
      <c r="E63" s="21"/>
      <c r="F63" s="21"/>
    </row>
    <row r="64" spans="2:6" x14ac:dyDescent="0.2">
      <c r="B64" s="7">
        <v>1</v>
      </c>
      <c r="C64" s="1">
        <v>4</v>
      </c>
      <c r="D64" s="36" t="s">
        <v>167</v>
      </c>
      <c r="E64" s="21"/>
      <c r="F64" s="21"/>
    </row>
    <row r="65" spans="2:6" x14ac:dyDescent="0.2">
      <c r="B65" s="7">
        <v>1</v>
      </c>
      <c r="C65" s="1">
        <v>5</v>
      </c>
      <c r="D65" s="36" t="s">
        <v>168</v>
      </c>
      <c r="E65" s="21"/>
      <c r="F65" s="21"/>
    </row>
    <row r="66" spans="2:6" x14ac:dyDescent="0.2">
      <c r="B66" s="7">
        <v>1</v>
      </c>
      <c r="C66" s="1">
        <v>6</v>
      </c>
      <c r="D66" s="36" t="s">
        <v>169</v>
      </c>
      <c r="E66" s="21"/>
      <c r="F66" s="21"/>
    </row>
    <row r="67" spans="2:6" ht="16" x14ac:dyDescent="0.2">
      <c r="B67" s="7">
        <v>1</v>
      </c>
      <c r="C67" s="1">
        <v>7</v>
      </c>
      <c r="D67" s="37" t="s">
        <v>170</v>
      </c>
      <c r="E67" s="21"/>
      <c r="F67" s="21"/>
    </row>
    <row r="68" spans="2:6" ht="16" x14ac:dyDescent="0.2">
      <c r="B68" s="7">
        <v>1</v>
      </c>
      <c r="C68" s="1">
        <v>8</v>
      </c>
      <c r="D68" s="37" t="s">
        <v>171</v>
      </c>
      <c r="E68" s="21"/>
      <c r="F68" s="21"/>
    </row>
    <row r="69" spans="2:6" ht="16" x14ac:dyDescent="0.2">
      <c r="B69" s="7">
        <v>1</v>
      </c>
      <c r="C69" s="1">
        <v>9</v>
      </c>
      <c r="D69" s="37" t="s">
        <v>172</v>
      </c>
      <c r="E69" s="21"/>
      <c r="F69" s="21"/>
    </row>
    <row r="70" spans="2:6" x14ac:dyDescent="0.2">
      <c r="B70" s="7">
        <v>1</v>
      </c>
      <c r="C70" s="1">
        <v>10</v>
      </c>
      <c r="D70" s="36" t="s">
        <v>173</v>
      </c>
      <c r="E70" s="21"/>
      <c r="F70" s="21"/>
    </row>
    <row r="71" spans="2:6" x14ac:dyDescent="0.2">
      <c r="B71" s="7">
        <v>1</v>
      </c>
      <c r="C71" s="1">
        <v>11</v>
      </c>
      <c r="D71" s="36" t="s">
        <v>174</v>
      </c>
      <c r="E71" s="21"/>
      <c r="F71" s="21"/>
    </row>
    <row r="72" spans="2:6" ht="16" x14ac:dyDescent="0.2">
      <c r="B72" s="7">
        <v>1</v>
      </c>
      <c r="C72" s="1">
        <v>12</v>
      </c>
      <c r="D72" s="36" t="s">
        <v>175</v>
      </c>
      <c r="E72" s="21" t="s">
        <v>176</v>
      </c>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E46:E56</xm:sqref>
        </x14:dataValidation>
        <x14:dataValidation type="list" allowBlank="1" showInputMessage="1" showErrorMessage="1" xr:uid="{009B3F76-CBC5-41A8-84DE-D4AD00A25980}">
          <x14:formula1>
            <xm:f>LISTS!$E$7:$E$11</xm:f>
          </x14:formula1>
          <xm:sqref>D46:D56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84"/>
  <sheetViews>
    <sheetView showGridLines="0" topLeftCell="B1" zoomScale="85" zoomScaleNormal="85" workbookViewId="0">
      <selection activeCell="D9" sqref="D9"/>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5302SPS</v>
      </c>
      <c r="D2" s="20" t="str">
        <f>D8</f>
        <v>Football tactics and match analysis</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385</v>
      </c>
      <c r="E7" s="4"/>
      <c r="F7" s="24"/>
    </row>
    <row r="8" spans="2:6" ht="16" x14ac:dyDescent="0.2">
      <c r="B8" s="2"/>
      <c r="C8" s="3" t="s">
        <v>6</v>
      </c>
      <c r="D8" s="21" t="s">
        <v>386</v>
      </c>
      <c r="E8" s="4"/>
      <c r="F8" s="24"/>
    </row>
    <row r="9" spans="2:6" ht="16" x14ac:dyDescent="0.2">
      <c r="C9" s="3" t="s">
        <v>8</v>
      </c>
      <c r="D9" s="21"/>
      <c r="E9" s="4"/>
    </row>
    <row r="10" spans="2:6" ht="16" x14ac:dyDescent="0.2">
      <c r="C10" s="3" t="s">
        <v>9</v>
      </c>
      <c r="D10" s="21"/>
      <c r="E10" s="4"/>
      <c r="F10" t="s">
        <v>10</v>
      </c>
    </row>
    <row r="11" spans="2:6" ht="16" x14ac:dyDescent="0.2">
      <c r="C11" s="3" t="s">
        <v>11</v>
      </c>
      <c r="D11" s="21"/>
      <c r="E11" s="4"/>
      <c r="F11" s="24"/>
    </row>
    <row r="12" spans="2:6" ht="16" x14ac:dyDescent="0.2">
      <c r="C12" s="3" t="s">
        <v>13</v>
      </c>
      <c r="D12" s="21"/>
      <c r="E12" s="4"/>
      <c r="F12" s="24"/>
    </row>
    <row r="13" spans="2:6" ht="16" x14ac:dyDescent="0.2">
      <c r="C13" s="3" t="s">
        <v>16</v>
      </c>
      <c r="D13" s="21"/>
      <c r="E13" s="4"/>
      <c r="F13" s="24"/>
    </row>
    <row r="14" spans="2:6" ht="16" x14ac:dyDescent="0.2">
      <c r="C14" s="3" t="s">
        <v>19</v>
      </c>
      <c r="D14" s="21"/>
      <c r="E14" s="4"/>
    </row>
    <row r="15" spans="2:6" x14ac:dyDescent="0.2">
      <c r="C15" s="3"/>
      <c r="D15" s="4"/>
      <c r="E15" s="4"/>
      <c r="F15" t="s">
        <v>21</v>
      </c>
    </row>
    <row r="16" spans="2:6" x14ac:dyDescent="0.2">
      <c r="C16" s="3"/>
      <c r="D16" s="4"/>
      <c r="E16" s="4"/>
      <c r="F16" s="24"/>
    </row>
    <row r="17" spans="3:6" ht="20" x14ac:dyDescent="0.2">
      <c r="C17" s="5" t="s">
        <v>23</v>
      </c>
      <c r="D17" s="4"/>
      <c r="E17" s="4"/>
      <c r="F17" s="24"/>
    </row>
    <row r="18" spans="3:6" ht="16" x14ac:dyDescent="0.2">
      <c r="C18" s="3" t="s">
        <v>24</v>
      </c>
      <c r="D18" s="1" t="s">
        <v>23</v>
      </c>
      <c r="E18" s="4"/>
      <c r="F18" s="24"/>
    </row>
    <row r="19" spans="3:6" ht="16" x14ac:dyDescent="0.2">
      <c r="C19" s="3" t="s">
        <v>25</v>
      </c>
      <c r="D19" s="22"/>
      <c r="E19" s="4"/>
      <c r="F19" s="24"/>
    </row>
    <row r="20" spans="3:6" ht="16" x14ac:dyDescent="0.2">
      <c r="C20" s="3" t="s">
        <v>26</v>
      </c>
      <c r="D20" s="22"/>
      <c r="E20" s="4"/>
      <c r="F20" s="24"/>
    </row>
    <row r="21" spans="3:6" ht="16" x14ac:dyDescent="0.2">
      <c r="C21" s="3" t="s">
        <v>27</v>
      </c>
      <c r="D21" s="22"/>
      <c r="E21" s="4"/>
    </row>
    <row r="22" spans="3:6" ht="16" x14ac:dyDescent="0.2">
      <c r="C22" s="3" t="s">
        <v>28</v>
      </c>
      <c r="D22" s="22"/>
      <c r="E22" s="4"/>
      <c r="F22" t="s">
        <v>29</v>
      </c>
    </row>
    <row r="23" spans="3:6" ht="16" x14ac:dyDescent="0.2">
      <c r="C23" s="3" t="s">
        <v>30</v>
      </c>
      <c r="D23" s="22"/>
      <c r="E23" s="4"/>
      <c r="F23" s="24"/>
    </row>
    <row r="24" spans="3:6" ht="16" x14ac:dyDescent="0.2">
      <c r="C24" s="3" t="s">
        <v>32</v>
      </c>
      <c r="D24" s="1">
        <f>SUM(D19:D23)</f>
        <v>0</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16" x14ac:dyDescent="0.2">
      <c r="C29" s="3" t="s">
        <v>37</v>
      </c>
      <c r="D29" s="21"/>
      <c r="E29" s="4"/>
      <c r="F29" s="24"/>
    </row>
    <row r="30" spans="3:6" ht="16" x14ac:dyDescent="0.2">
      <c r="C30" s="3" t="s">
        <v>39</v>
      </c>
      <c r="D30" s="21"/>
      <c r="E30" s="4"/>
      <c r="F30" s="24"/>
    </row>
    <row r="31" spans="3:6" ht="16" x14ac:dyDescent="0.2">
      <c r="C31" s="3" t="s">
        <v>41</v>
      </c>
      <c r="D31" s="21"/>
      <c r="E31" s="4"/>
      <c r="F31" s="24"/>
    </row>
    <row r="32" spans="3:6" ht="16" x14ac:dyDescent="0.2">
      <c r="C32" s="3" t="s">
        <v>42</v>
      </c>
      <c r="D32" s="21"/>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16" x14ac:dyDescent="0.2">
      <c r="C38" s="3" t="s">
        <v>51</v>
      </c>
      <c r="D38" s="21" t="s">
        <v>52</v>
      </c>
      <c r="E38" s="21" t="s">
        <v>108</v>
      </c>
      <c r="F38" s="21" t="s">
        <v>177</v>
      </c>
      <c r="G38" s="23">
        <v>0.5</v>
      </c>
      <c r="H38" s="21">
        <v>6</v>
      </c>
    </row>
    <row r="39" spans="3:8" ht="16" x14ac:dyDescent="0.2">
      <c r="C39" s="3" t="s">
        <v>55</v>
      </c>
      <c r="D39" s="21"/>
      <c r="E39" s="21"/>
      <c r="F39" s="21"/>
      <c r="G39" s="23">
        <v>0.5</v>
      </c>
      <c r="H39" s="21">
        <v>12</v>
      </c>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25" t="s">
        <v>51</v>
      </c>
      <c r="D46" s="24" t="s">
        <v>37</v>
      </c>
      <c r="E46" s="24" t="s">
        <v>113</v>
      </c>
      <c r="F46" s="24" t="s">
        <v>178</v>
      </c>
    </row>
    <row r="47" spans="3:8" x14ac:dyDescent="0.2">
      <c r="C47" s="25" t="s">
        <v>51</v>
      </c>
      <c r="D47" s="24" t="s">
        <v>37</v>
      </c>
      <c r="E47" s="24" t="s">
        <v>113</v>
      </c>
      <c r="F47" s="24" t="s">
        <v>115</v>
      </c>
    </row>
    <row r="48" spans="3:8" x14ac:dyDescent="0.2">
      <c r="C48" s="25" t="s">
        <v>51</v>
      </c>
      <c r="D48" s="24" t="s">
        <v>37</v>
      </c>
      <c r="E48" s="24" t="s">
        <v>74</v>
      </c>
      <c r="F48" s="24" t="s">
        <v>179</v>
      </c>
    </row>
    <row r="49" spans="2:6" x14ac:dyDescent="0.2">
      <c r="C49" s="25" t="s">
        <v>55</v>
      </c>
      <c r="D49" s="24" t="s">
        <v>39</v>
      </c>
      <c r="E49" s="24" t="s">
        <v>65</v>
      </c>
      <c r="F49" s="24" t="s">
        <v>66</v>
      </c>
    </row>
    <row r="50" spans="2:6" x14ac:dyDescent="0.2">
      <c r="C50" s="25" t="s">
        <v>55</v>
      </c>
      <c r="D50" s="24" t="s">
        <v>39</v>
      </c>
      <c r="E50" s="24" t="s">
        <v>180</v>
      </c>
      <c r="F50" s="24" t="s">
        <v>181</v>
      </c>
    </row>
    <row r="51" spans="2:6" x14ac:dyDescent="0.2">
      <c r="C51" s="25" t="s">
        <v>55</v>
      </c>
      <c r="D51" s="24"/>
      <c r="E51" s="24"/>
      <c r="F51" s="24"/>
    </row>
    <row r="52" spans="2:6" x14ac:dyDescent="0.2">
      <c r="C52" s="25" t="s">
        <v>60</v>
      </c>
      <c r="D52" s="24"/>
      <c r="E52" s="24"/>
      <c r="F52" s="24"/>
    </row>
    <row r="53" spans="2:6" x14ac:dyDescent="0.2">
      <c r="C53" s="25" t="s">
        <v>60</v>
      </c>
      <c r="D53" s="24"/>
      <c r="E53" s="24"/>
      <c r="F53" s="24"/>
    </row>
    <row r="54" spans="2:6" x14ac:dyDescent="0.2">
      <c r="C54" s="25" t="s">
        <v>60</v>
      </c>
      <c r="D54" s="24"/>
      <c r="E54" s="24"/>
      <c r="F54" s="24"/>
    </row>
    <row r="55" spans="2:6" x14ac:dyDescent="0.2">
      <c r="C55" s="25" t="s">
        <v>61</v>
      </c>
      <c r="D55" s="24"/>
      <c r="E55" s="24"/>
      <c r="F55" s="24"/>
    </row>
    <row r="56" spans="2:6" x14ac:dyDescent="0.2">
      <c r="C56" s="25" t="s">
        <v>61</v>
      </c>
      <c r="D56" s="24"/>
      <c r="E56" s="24"/>
      <c r="F56" s="24"/>
    </row>
    <row r="59" spans="2:6" ht="20" x14ac:dyDescent="0.2">
      <c r="C59" s="5" t="s">
        <v>77</v>
      </c>
    </row>
    <row r="60" spans="2:6" ht="16" x14ac:dyDescent="0.2">
      <c r="B60" t="s">
        <v>78</v>
      </c>
      <c r="C60" s="1" t="s">
        <v>79</v>
      </c>
      <c r="D60" s="1" t="s">
        <v>80</v>
      </c>
      <c r="E60" s="1" t="s">
        <v>81</v>
      </c>
      <c r="F60" s="1" t="s">
        <v>82</v>
      </c>
    </row>
    <row r="61" spans="2:6" ht="16" x14ac:dyDescent="0.2">
      <c r="B61" s="7">
        <v>1</v>
      </c>
      <c r="C61" s="1">
        <v>1</v>
      </c>
      <c r="D61" s="21" t="s">
        <v>182</v>
      </c>
      <c r="E61" s="21"/>
      <c r="F61" s="21"/>
    </row>
    <row r="62" spans="2:6" ht="16" x14ac:dyDescent="0.2">
      <c r="B62" s="7">
        <v>1</v>
      </c>
      <c r="C62" s="1">
        <v>2</v>
      </c>
      <c r="D62" s="21" t="s">
        <v>183</v>
      </c>
      <c r="E62" s="21" t="s">
        <v>184</v>
      </c>
      <c r="F62" s="21" t="s">
        <v>26</v>
      </c>
    </row>
    <row r="63" spans="2:6" ht="16" x14ac:dyDescent="0.2">
      <c r="B63" s="7">
        <v>1</v>
      </c>
      <c r="C63" s="1">
        <v>3</v>
      </c>
      <c r="D63" s="21" t="s">
        <v>185</v>
      </c>
      <c r="E63" s="21"/>
      <c r="F63" s="21"/>
    </row>
    <row r="64" spans="2:6" ht="16" x14ac:dyDescent="0.2">
      <c r="B64" s="7">
        <v>1</v>
      </c>
      <c r="C64" s="1">
        <v>4</v>
      </c>
      <c r="D64" s="21" t="s">
        <v>186</v>
      </c>
      <c r="E64" s="21" t="s">
        <v>187</v>
      </c>
      <c r="F64" s="21" t="s">
        <v>26</v>
      </c>
    </row>
    <row r="65" spans="2:6" ht="16" x14ac:dyDescent="0.2">
      <c r="B65" s="7">
        <v>1</v>
      </c>
      <c r="C65" s="1">
        <v>5</v>
      </c>
      <c r="D65" s="21" t="s">
        <v>188</v>
      </c>
      <c r="E65" s="21"/>
      <c r="F65" s="21"/>
    </row>
    <row r="66" spans="2:6" ht="16" x14ac:dyDescent="0.2">
      <c r="B66" s="7">
        <v>1</v>
      </c>
      <c r="C66" s="1">
        <v>6</v>
      </c>
      <c r="D66" s="21" t="s">
        <v>189</v>
      </c>
      <c r="E66" s="21"/>
      <c r="F66" s="21" t="s">
        <v>26</v>
      </c>
    </row>
    <row r="67" spans="2:6" ht="16" x14ac:dyDescent="0.2">
      <c r="B67" s="7">
        <v>1</v>
      </c>
      <c r="C67" s="1">
        <v>7</v>
      </c>
      <c r="D67" s="21" t="s">
        <v>190</v>
      </c>
      <c r="E67" s="21"/>
      <c r="F67" s="21"/>
    </row>
    <row r="68" spans="2:6" ht="16" x14ac:dyDescent="0.2">
      <c r="B68" s="7">
        <v>1</v>
      </c>
      <c r="C68" s="1">
        <v>8</v>
      </c>
      <c r="D68" s="21" t="s">
        <v>191</v>
      </c>
      <c r="E68" s="21"/>
      <c r="F68" s="21" t="s">
        <v>26</v>
      </c>
    </row>
    <row r="69" spans="2:6" ht="16" x14ac:dyDescent="0.2">
      <c r="B69" s="7">
        <v>1</v>
      </c>
      <c r="C69" s="1">
        <v>9</v>
      </c>
      <c r="D69" s="21" t="s">
        <v>192</v>
      </c>
      <c r="E69" s="21"/>
      <c r="F69" s="21"/>
    </row>
    <row r="70" spans="2:6" ht="16" x14ac:dyDescent="0.2">
      <c r="B70" s="7">
        <v>1</v>
      </c>
      <c r="C70" s="1">
        <v>10</v>
      </c>
      <c r="D70" s="21" t="s">
        <v>193</v>
      </c>
      <c r="E70" s="21" t="s">
        <v>194</v>
      </c>
      <c r="F70" s="21" t="s">
        <v>26</v>
      </c>
    </row>
    <row r="71" spans="2:6" ht="16" x14ac:dyDescent="0.2">
      <c r="B71" s="7">
        <v>1</v>
      </c>
      <c r="C71" s="1">
        <v>11</v>
      </c>
      <c r="D71" s="21" t="s">
        <v>195</v>
      </c>
      <c r="E71" s="21"/>
      <c r="F71" s="21"/>
    </row>
    <row r="72" spans="2:6" ht="16" x14ac:dyDescent="0.2">
      <c r="B72" s="7">
        <v>1</v>
      </c>
      <c r="C72" s="1">
        <v>12</v>
      </c>
      <c r="D72" s="21" t="s">
        <v>196</v>
      </c>
      <c r="E72" s="21"/>
      <c r="F72" s="21" t="s">
        <v>26</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E46:E56</xm:sqref>
        </x14:dataValidation>
        <x14:dataValidation type="list" allowBlank="1" showInputMessage="1" showErrorMessage="1" xr:uid="{13524674-6569-4444-A927-B70E751D7616}">
          <x14:formula1>
            <xm:f>LISTS!$E$7:$E$11</xm:f>
          </x14:formula1>
          <xm:sqref>D46:D56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84"/>
  <sheetViews>
    <sheetView showGridLines="0" zoomScale="70" zoomScaleNormal="70" workbookViewId="0">
      <selection activeCell="F16" sqref="F16"/>
    </sheetView>
  </sheetViews>
  <sheetFormatPr baseColWidth="10" defaultColWidth="8.83203125" defaultRowHeight="15" x14ac:dyDescent="0.2"/>
  <cols>
    <col min="3" max="3" width="33.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6301SPS</v>
      </c>
      <c r="D2" s="20" t="str">
        <f>D8</f>
        <v>Football Performance and Technology</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32" x14ac:dyDescent="0.2">
      <c r="B7" s="2"/>
      <c r="C7" s="3" t="s">
        <v>4</v>
      </c>
      <c r="D7" s="21" t="s">
        <v>216</v>
      </c>
      <c r="E7" s="4"/>
      <c r="F7" s="29" t="s">
        <v>217</v>
      </c>
    </row>
    <row r="8" spans="2:6" ht="64" x14ac:dyDescent="0.2">
      <c r="B8" s="2"/>
      <c r="C8" s="3" t="s">
        <v>6</v>
      </c>
      <c r="D8" s="21" t="s">
        <v>218</v>
      </c>
      <c r="E8" s="4"/>
      <c r="F8" s="29" t="s">
        <v>219</v>
      </c>
    </row>
    <row r="9" spans="2:6" ht="16" x14ac:dyDescent="0.2">
      <c r="C9" s="3" t="s">
        <v>8</v>
      </c>
      <c r="D9" s="21">
        <v>20</v>
      </c>
      <c r="E9" s="4"/>
    </row>
    <row r="10" spans="2:6" ht="16" x14ac:dyDescent="0.2">
      <c r="C10" s="3" t="s">
        <v>9</v>
      </c>
      <c r="D10" s="21">
        <v>1</v>
      </c>
      <c r="E10" s="4"/>
      <c r="F10" t="s">
        <v>10</v>
      </c>
    </row>
    <row r="11" spans="2:6" ht="16" x14ac:dyDescent="0.2">
      <c r="C11" s="3" t="s">
        <v>11</v>
      </c>
      <c r="D11" s="21">
        <v>6</v>
      </c>
      <c r="E11" s="4"/>
      <c r="F11" s="24" t="s">
        <v>220</v>
      </c>
    </row>
    <row r="12" spans="2:6" ht="16" x14ac:dyDescent="0.2">
      <c r="C12" s="3" t="s">
        <v>13</v>
      </c>
      <c r="D12" s="21" t="s">
        <v>221</v>
      </c>
      <c r="E12" s="4"/>
      <c r="F12" s="24" t="s">
        <v>222</v>
      </c>
    </row>
    <row r="13" spans="2:6" ht="48" x14ac:dyDescent="0.2">
      <c r="C13" s="3" t="s">
        <v>16</v>
      </c>
      <c r="D13" s="21" t="s">
        <v>17</v>
      </c>
      <c r="E13" s="4"/>
      <c r="F13" s="29" t="s">
        <v>223</v>
      </c>
    </row>
    <row r="14" spans="2:6" ht="16" x14ac:dyDescent="0.2">
      <c r="C14" s="3" t="s">
        <v>19</v>
      </c>
      <c r="D14" s="21" t="s">
        <v>20</v>
      </c>
      <c r="E14" s="4"/>
    </row>
    <row r="15" spans="2:6" x14ac:dyDescent="0.2">
      <c r="C15" s="3"/>
      <c r="D15" s="4"/>
      <c r="E15" s="4"/>
      <c r="F15" t="s">
        <v>21</v>
      </c>
    </row>
    <row r="16" spans="2:6" ht="128" x14ac:dyDescent="0.2">
      <c r="C16" s="3"/>
      <c r="D16" s="4"/>
      <c r="E16" s="4"/>
      <c r="F16" s="29" t="s">
        <v>224</v>
      </c>
    </row>
    <row r="17" spans="3:6" ht="20" x14ac:dyDescent="0.2">
      <c r="C17" s="5" t="s">
        <v>23</v>
      </c>
      <c r="D17" s="4"/>
      <c r="E17" s="4"/>
      <c r="F17" s="24"/>
    </row>
    <row r="18" spans="3:6" ht="16" x14ac:dyDescent="0.2">
      <c r="C18" s="3" t="s">
        <v>24</v>
      </c>
      <c r="D18" s="1" t="s">
        <v>23</v>
      </c>
      <c r="E18" s="4"/>
      <c r="F18" s="24"/>
    </row>
    <row r="19" spans="3:6" ht="16" x14ac:dyDescent="0.2">
      <c r="C19" s="3" t="s">
        <v>25</v>
      </c>
      <c r="D19" s="22">
        <v>22</v>
      </c>
      <c r="E19" s="4"/>
      <c r="F19" s="24"/>
    </row>
    <row r="20" spans="3:6" ht="16" x14ac:dyDescent="0.2">
      <c r="C20" s="3" t="s">
        <v>26</v>
      </c>
      <c r="D20" s="22"/>
      <c r="E20" s="4"/>
      <c r="F20" s="24"/>
    </row>
    <row r="21" spans="3:6" ht="16" x14ac:dyDescent="0.2">
      <c r="C21" s="3" t="s">
        <v>27</v>
      </c>
      <c r="D21" s="22">
        <v>16</v>
      </c>
      <c r="E21" s="4"/>
    </row>
    <row r="22" spans="3:6" ht="16" x14ac:dyDescent="0.2">
      <c r="C22" s="3" t="s">
        <v>28</v>
      </c>
      <c r="D22" s="22">
        <v>8</v>
      </c>
      <c r="E22" s="4"/>
      <c r="F22" t="s">
        <v>29</v>
      </c>
    </row>
    <row r="23" spans="3:6" ht="16" x14ac:dyDescent="0.2">
      <c r="C23" s="3" t="s">
        <v>30</v>
      </c>
      <c r="D23" s="22"/>
      <c r="E23" s="4"/>
      <c r="F23" s="24" t="s">
        <v>152</v>
      </c>
    </row>
    <row r="24" spans="3:6" ht="16" x14ac:dyDescent="0.2">
      <c r="C24" s="3" t="s">
        <v>32</v>
      </c>
      <c r="D24" s="1">
        <f>SUM(D19:D23)</f>
        <v>46</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32" x14ac:dyDescent="0.2">
      <c r="C29" s="3" t="s">
        <v>37</v>
      </c>
      <c r="D29" s="21" t="s">
        <v>225</v>
      </c>
      <c r="E29" s="4"/>
      <c r="F29" s="24"/>
    </row>
    <row r="30" spans="3:6" ht="32" x14ac:dyDescent="0.2">
      <c r="C30" s="3" t="s">
        <v>39</v>
      </c>
      <c r="D30" s="21" t="s">
        <v>226</v>
      </c>
      <c r="E30" s="4"/>
      <c r="F30" s="24"/>
    </row>
    <row r="31" spans="3:6" ht="32" x14ac:dyDescent="0.2">
      <c r="C31" s="3" t="s">
        <v>41</v>
      </c>
      <c r="D31" s="21" t="s">
        <v>227</v>
      </c>
      <c r="E31" s="4"/>
      <c r="F31" s="24"/>
    </row>
    <row r="32" spans="3:6" ht="16" x14ac:dyDescent="0.2">
      <c r="C32" s="3" t="s">
        <v>42</v>
      </c>
      <c r="D32" s="21"/>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16" x14ac:dyDescent="0.2">
      <c r="C38" s="3" t="s">
        <v>51</v>
      </c>
      <c r="D38" s="21" t="s">
        <v>228</v>
      </c>
      <c r="E38" s="21" t="s">
        <v>229</v>
      </c>
      <c r="F38" s="21" t="s">
        <v>230</v>
      </c>
      <c r="G38" s="23">
        <v>0.5</v>
      </c>
      <c r="H38" s="21">
        <v>7</v>
      </c>
    </row>
    <row r="39" spans="3:8" ht="16" x14ac:dyDescent="0.2">
      <c r="C39" s="3" t="s">
        <v>55</v>
      </c>
      <c r="D39" s="21" t="s">
        <v>52</v>
      </c>
      <c r="E39" s="21" t="s">
        <v>53</v>
      </c>
      <c r="F39" s="21" t="s">
        <v>231</v>
      </c>
      <c r="G39" s="23">
        <v>0.5</v>
      </c>
      <c r="H39" s="21">
        <v>12</v>
      </c>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25" t="s">
        <v>51</v>
      </c>
      <c r="D46" s="24" t="s">
        <v>37</v>
      </c>
      <c r="E46" s="24" t="s">
        <v>113</v>
      </c>
      <c r="F46" s="24" t="s">
        <v>115</v>
      </c>
    </row>
    <row r="47" spans="3:8" x14ac:dyDescent="0.2">
      <c r="C47" s="25" t="s">
        <v>51</v>
      </c>
      <c r="D47" s="24" t="s">
        <v>37</v>
      </c>
      <c r="E47" s="24" t="s">
        <v>113</v>
      </c>
      <c r="F47" s="24" t="s">
        <v>215</v>
      </c>
    </row>
    <row r="48" spans="3:8" x14ac:dyDescent="0.2">
      <c r="C48" s="25" t="s">
        <v>51</v>
      </c>
      <c r="D48" s="24" t="s">
        <v>37</v>
      </c>
      <c r="E48" s="24" t="s">
        <v>180</v>
      </c>
      <c r="F48" s="24" t="s">
        <v>232</v>
      </c>
    </row>
    <row r="49" spans="2:6" x14ac:dyDescent="0.2">
      <c r="C49" s="25" t="s">
        <v>51</v>
      </c>
      <c r="D49" s="24" t="s">
        <v>41</v>
      </c>
      <c r="E49" s="24" t="s">
        <v>180</v>
      </c>
      <c r="F49" s="24" t="s">
        <v>195</v>
      </c>
    </row>
    <row r="50" spans="2:6" x14ac:dyDescent="0.2">
      <c r="C50" s="25" t="s">
        <v>51</v>
      </c>
      <c r="D50" s="24" t="s">
        <v>41</v>
      </c>
      <c r="E50" s="24" t="s">
        <v>180</v>
      </c>
      <c r="F50" s="24" t="s">
        <v>181</v>
      </c>
    </row>
    <row r="51" spans="2:6" x14ac:dyDescent="0.2">
      <c r="C51" s="25" t="s">
        <v>51</v>
      </c>
      <c r="D51" s="24" t="s">
        <v>41</v>
      </c>
      <c r="E51" s="24" t="s">
        <v>65</v>
      </c>
      <c r="F51" s="24" t="s">
        <v>233</v>
      </c>
    </row>
    <row r="52" spans="2:6" x14ac:dyDescent="0.2">
      <c r="C52" s="25" t="s">
        <v>55</v>
      </c>
      <c r="D52" s="24" t="s">
        <v>39</v>
      </c>
      <c r="E52" s="24" t="s">
        <v>180</v>
      </c>
      <c r="F52" s="24" t="s">
        <v>195</v>
      </c>
    </row>
    <row r="53" spans="2:6" x14ac:dyDescent="0.2">
      <c r="C53" s="25" t="s">
        <v>55</v>
      </c>
      <c r="D53" s="24" t="s">
        <v>41</v>
      </c>
      <c r="E53" s="24" t="s">
        <v>65</v>
      </c>
      <c r="F53" s="24" t="s">
        <v>66</v>
      </c>
    </row>
    <row r="54" spans="2:6" x14ac:dyDescent="0.2">
      <c r="C54" s="25" t="s">
        <v>60</v>
      </c>
      <c r="D54" s="24" t="s">
        <v>39</v>
      </c>
      <c r="E54" s="24" t="s">
        <v>113</v>
      </c>
      <c r="F54" s="24" t="s">
        <v>178</v>
      </c>
    </row>
    <row r="55" spans="2:6" x14ac:dyDescent="0.2">
      <c r="C55" s="25" t="s">
        <v>61</v>
      </c>
      <c r="D55" s="24"/>
      <c r="E55" s="24"/>
      <c r="F55" s="24"/>
    </row>
    <row r="56" spans="2:6" x14ac:dyDescent="0.2">
      <c r="C56" s="25" t="s">
        <v>61</v>
      </c>
      <c r="D56" s="24"/>
      <c r="E56" s="24"/>
      <c r="F56" s="24"/>
    </row>
    <row r="59" spans="2:6" ht="20" x14ac:dyDescent="0.2">
      <c r="C59" s="5" t="s">
        <v>77</v>
      </c>
    </row>
    <row r="60" spans="2:6" ht="16" x14ac:dyDescent="0.2">
      <c r="B60" t="s">
        <v>78</v>
      </c>
      <c r="C60" s="1" t="s">
        <v>79</v>
      </c>
      <c r="D60" s="1" t="s">
        <v>80</v>
      </c>
      <c r="E60" s="1" t="s">
        <v>81</v>
      </c>
      <c r="F60" s="1" t="s">
        <v>82</v>
      </c>
    </row>
    <row r="61" spans="2:6" ht="16" x14ac:dyDescent="0.2">
      <c r="B61" s="7">
        <v>1</v>
      </c>
      <c r="C61" s="1">
        <v>1</v>
      </c>
      <c r="D61" s="21" t="s">
        <v>234</v>
      </c>
      <c r="E61" s="21" t="s">
        <v>235</v>
      </c>
      <c r="F61" s="21"/>
    </row>
    <row r="62" spans="2:6" ht="16" x14ac:dyDescent="0.2">
      <c r="B62" s="7">
        <v>1</v>
      </c>
      <c r="C62" s="1">
        <v>2</v>
      </c>
      <c r="D62" s="21" t="s">
        <v>236</v>
      </c>
      <c r="E62" s="21" t="s">
        <v>237</v>
      </c>
      <c r="F62" s="21" t="s">
        <v>238</v>
      </c>
    </row>
    <row r="63" spans="2:6" ht="16" x14ac:dyDescent="0.2">
      <c r="B63" s="7">
        <v>1</v>
      </c>
      <c r="C63" s="1">
        <v>3</v>
      </c>
      <c r="D63" s="21" t="s">
        <v>239</v>
      </c>
      <c r="E63" t="s">
        <v>240</v>
      </c>
      <c r="F63" s="21"/>
    </row>
    <row r="64" spans="2:6" ht="16" x14ac:dyDescent="0.2">
      <c r="B64" s="7">
        <v>1</v>
      </c>
      <c r="C64" s="1">
        <v>4</v>
      </c>
      <c r="D64" s="21" t="s">
        <v>241</v>
      </c>
      <c r="E64" s="21" t="s">
        <v>242</v>
      </c>
      <c r="F64" s="21"/>
    </row>
    <row r="65" spans="2:6" ht="16" x14ac:dyDescent="0.2">
      <c r="B65" s="7">
        <v>1</v>
      </c>
      <c r="C65" s="1">
        <v>5</v>
      </c>
      <c r="D65" s="21" t="s">
        <v>243</v>
      </c>
      <c r="E65" s="21" t="s">
        <v>244</v>
      </c>
      <c r="F65" s="21" t="s">
        <v>245</v>
      </c>
    </row>
    <row r="66" spans="2:6" ht="16" x14ac:dyDescent="0.2">
      <c r="B66" s="7">
        <v>1</v>
      </c>
      <c r="C66" s="1">
        <v>6</v>
      </c>
      <c r="D66" s="21" t="s">
        <v>246</v>
      </c>
      <c r="E66" s="21"/>
      <c r="F66" s="21"/>
    </row>
    <row r="67" spans="2:6" ht="16" x14ac:dyDescent="0.2">
      <c r="B67" s="7">
        <v>1</v>
      </c>
      <c r="C67" s="1">
        <v>7</v>
      </c>
      <c r="D67" s="21" t="s">
        <v>247</v>
      </c>
      <c r="E67" s="21"/>
      <c r="F67" s="21"/>
    </row>
    <row r="68" spans="2:6" ht="16" x14ac:dyDescent="0.2">
      <c r="B68" s="7">
        <v>1</v>
      </c>
      <c r="C68" s="1">
        <v>8</v>
      </c>
      <c r="D68" s="21" t="s">
        <v>248</v>
      </c>
      <c r="E68" s="21" t="s">
        <v>249</v>
      </c>
      <c r="F68" s="21" t="s">
        <v>250</v>
      </c>
    </row>
    <row r="69" spans="2:6" ht="16" x14ac:dyDescent="0.2">
      <c r="B69" s="7">
        <v>1</v>
      </c>
      <c r="C69" s="1">
        <v>9</v>
      </c>
      <c r="D69" s="21" t="s">
        <v>251</v>
      </c>
      <c r="E69" s="21" t="s">
        <v>252</v>
      </c>
      <c r="F69" s="21"/>
    </row>
    <row r="70" spans="2:6" ht="16" x14ac:dyDescent="0.2">
      <c r="B70" s="7">
        <v>1</v>
      </c>
      <c r="C70" s="1">
        <v>10</v>
      </c>
      <c r="D70" s="21" t="s">
        <v>253</v>
      </c>
      <c r="E70" s="21" t="s">
        <v>252</v>
      </c>
      <c r="F70" s="21" t="s">
        <v>254</v>
      </c>
    </row>
    <row r="71" spans="2:6" ht="16" x14ac:dyDescent="0.2">
      <c r="B71" s="7">
        <v>1</v>
      </c>
      <c r="C71" s="1">
        <v>11</v>
      </c>
      <c r="D71" s="21" t="s">
        <v>255</v>
      </c>
      <c r="E71" s="21"/>
      <c r="F71" s="21"/>
    </row>
    <row r="72" spans="2:6" ht="16" x14ac:dyDescent="0.2">
      <c r="B72" s="7">
        <v>1</v>
      </c>
      <c r="C72" s="1">
        <v>12</v>
      </c>
      <c r="D72" s="21" t="s">
        <v>256</v>
      </c>
      <c r="E72" s="21" t="s">
        <v>257</v>
      </c>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84"/>
  <sheetViews>
    <sheetView showGridLines="0" zoomScale="85" zoomScaleNormal="85" workbookViewId="0">
      <selection activeCell="D9" sqref="D9"/>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6302SPS</v>
      </c>
      <c r="D2" s="20" t="str">
        <f>D8</f>
        <v>Physical Performance in Football</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387</v>
      </c>
      <c r="E7" s="4"/>
      <c r="F7" s="24"/>
    </row>
    <row r="8" spans="2:6" ht="64" x14ac:dyDescent="0.2">
      <c r="B8" s="2"/>
      <c r="C8" s="3" t="s">
        <v>6</v>
      </c>
      <c r="D8" s="21" t="s">
        <v>388</v>
      </c>
      <c r="E8" s="4"/>
      <c r="F8" s="29" t="s">
        <v>281</v>
      </c>
    </row>
    <row r="9" spans="2:6" ht="16" x14ac:dyDescent="0.2">
      <c r="C9" s="3" t="s">
        <v>8</v>
      </c>
      <c r="D9" s="21">
        <v>20</v>
      </c>
      <c r="E9" s="4"/>
    </row>
    <row r="10" spans="2:6" ht="16" x14ac:dyDescent="0.2">
      <c r="C10" s="3" t="s">
        <v>9</v>
      </c>
      <c r="D10" s="21">
        <v>2</v>
      </c>
      <c r="E10" s="4"/>
      <c r="F10" t="s">
        <v>10</v>
      </c>
    </row>
    <row r="11" spans="2:6" ht="16" x14ac:dyDescent="0.2">
      <c r="C11" s="3" t="s">
        <v>11</v>
      </c>
      <c r="D11" s="21">
        <v>6</v>
      </c>
      <c r="E11" s="4"/>
      <c r="F11" s="24"/>
    </row>
    <row r="12" spans="2:6" ht="112" x14ac:dyDescent="0.2">
      <c r="C12" s="3" t="s">
        <v>13</v>
      </c>
      <c r="D12" s="21" t="s">
        <v>282</v>
      </c>
      <c r="E12" s="4"/>
      <c r="F12" s="29" t="s">
        <v>283</v>
      </c>
    </row>
    <row r="13" spans="2:6" ht="16" x14ac:dyDescent="0.2">
      <c r="C13" s="3" t="s">
        <v>16</v>
      </c>
      <c r="D13" s="21" t="s">
        <v>17</v>
      </c>
      <c r="E13" s="4"/>
      <c r="F13" s="24"/>
    </row>
    <row r="14" spans="2:6" ht="16" x14ac:dyDescent="0.2">
      <c r="C14" s="3" t="s">
        <v>19</v>
      </c>
      <c r="D14" s="21" t="s">
        <v>20</v>
      </c>
      <c r="E14" s="4"/>
    </row>
    <row r="15" spans="2:6" x14ac:dyDescent="0.2">
      <c r="C15" s="3"/>
      <c r="D15" s="4"/>
      <c r="E15" s="4"/>
      <c r="F15" t="s">
        <v>21</v>
      </c>
    </row>
    <row r="16" spans="2:6" x14ac:dyDescent="0.2">
      <c r="C16" s="3"/>
      <c r="D16" s="4"/>
      <c r="E16" s="4"/>
      <c r="F16" s="24"/>
    </row>
    <row r="17" spans="3:6" ht="64" x14ac:dyDescent="0.2">
      <c r="C17" s="5" t="s">
        <v>23</v>
      </c>
      <c r="D17" s="4"/>
      <c r="E17" s="4"/>
      <c r="F17" s="29" t="s">
        <v>284</v>
      </c>
    </row>
    <row r="18" spans="3:6" ht="16" x14ac:dyDescent="0.2">
      <c r="C18" s="3" t="s">
        <v>24</v>
      </c>
      <c r="D18" s="1" t="s">
        <v>23</v>
      </c>
      <c r="E18" s="4"/>
      <c r="F18" s="24"/>
    </row>
    <row r="19" spans="3:6" ht="16" x14ac:dyDescent="0.2">
      <c r="C19" s="3" t="s">
        <v>25</v>
      </c>
      <c r="D19" s="22">
        <v>8</v>
      </c>
      <c r="E19" s="4"/>
      <c r="F19" s="24"/>
    </row>
    <row r="20" spans="3:6" ht="16" x14ac:dyDescent="0.2">
      <c r="C20" s="3" t="s">
        <v>26</v>
      </c>
      <c r="D20" s="22"/>
      <c r="E20" s="4"/>
      <c r="F20" s="24"/>
    </row>
    <row r="21" spans="3:6" ht="16" x14ac:dyDescent="0.2">
      <c r="C21" s="3" t="s">
        <v>27</v>
      </c>
      <c r="D21" s="22">
        <v>12</v>
      </c>
      <c r="E21" s="4"/>
    </row>
    <row r="22" spans="3:6" ht="16" x14ac:dyDescent="0.2">
      <c r="C22" s="3" t="s">
        <v>28</v>
      </c>
      <c r="D22" s="22">
        <v>20</v>
      </c>
      <c r="E22" s="4"/>
      <c r="F22" t="s">
        <v>29</v>
      </c>
    </row>
    <row r="23" spans="3:6" ht="16" x14ac:dyDescent="0.2">
      <c r="C23" s="3" t="s">
        <v>30</v>
      </c>
      <c r="D23" s="22"/>
      <c r="E23" s="4"/>
      <c r="F23" s="24"/>
    </row>
    <row r="24" spans="3:6" ht="16" x14ac:dyDescent="0.2">
      <c r="C24" s="3" t="s">
        <v>32</v>
      </c>
      <c r="D24" s="1">
        <f>SUM(D19:D23)</f>
        <v>40</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48" x14ac:dyDescent="0.2">
      <c r="C29" s="3" t="s">
        <v>37</v>
      </c>
      <c r="D29" s="21" t="s">
        <v>285</v>
      </c>
      <c r="E29" s="4"/>
      <c r="F29" s="24"/>
    </row>
    <row r="30" spans="3:6" ht="48" x14ac:dyDescent="0.2">
      <c r="C30" s="3" t="s">
        <v>39</v>
      </c>
      <c r="D30" s="21" t="s">
        <v>286</v>
      </c>
      <c r="E30" s="4"/>
      <c r="F30" s="24"/>
    </row>
    <row r="31" spans="3:6" ht="16" x14ac:dyDescent="0.2">
      <c r="C31" s="3" t="s">
        <v>41</v>
      </c>
      <c r="D31" s="21"/>
      <c r="E31" s="4"/>
      <c r="F31" s="24"/>
    </row>
    <row r="32" spans="3:6" ht="16" x14ac:dyDescent="0.2">
      <c r="C32" s="3" t="s">
        <v>42</v>
      </c>
      <c r="D32" s="21"/>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96" x14ac:dyDescent="0.2">
      <c r="C38" s="3" t="s">
        <v>51</v>
      </c>
      <c r="D38" s="21" t="s">
        <v>56</v>
      </c>
      <c r="E38" s="21" t="s">
        <v>108</v>
      </c>
      <c r="F38" s="21" t="s">
        <v>287</v>
      </c>
      <c r="G38" s="23">
        <v>1</v>
      </c>
      <c r="H38" s="21">
        <v>12</v>
      </c>
    </row>
    <row r="39" spans="3:8" ht="16" x14ac:dyDescent="0.2">
      <c r="C39" s="3" t="s">
        <v>55</v>
      </c>
      <c r="D39" s="21"/>
      <c r="E39" s="21"/>
      <c r="F39" s="21"/>
      <c r="G39" s="23"/>
      <c r="H39" s="21"/>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25" t="s">
        <v>51</v>
      </c>
      <c r="D46" s="24" t="s">
        <v>37</v>
      </c>
      <c r="E46" s="24" t="s">
        <v>113</v>
      </c>
      <c r="F46" s="24" t="s">
        <v>115</v>
      </c>
    </row>
    <row r="47" spans="3:8" x14ac:dyDescent="0.2">
      <c r="C47" s="25" t="s">
        <v>51</v>
      </c>
      <c r="D47" s="24" t="s">
        <v>37</v>
      </c>
      <c r="E47" s="24" t="s">
        <v>180</v>
      </c>
      <c r="F47" s="24" t="s">
        <v>181</v>
      </c>
    </row>
    <row r="48" spans="3:8" x14ac:dyDescent="0.2">
      <c r="C48" s="25" t="s">
        <v>51</v>
      </c>
      <c r="D48" s="24" t="s">
        <v>37</v>
      </c>
      <c r="E48" s="24" t="s">
        <v>74</v>
      </c>
      <c r="F48" s="24" t="s">
        <v>179</v>
      </c>
    </row>
    <row r="49" spans="2:6" x14ac:dyDescent="0.2">
      <c r="C49" s="25" t="s">
        <v>51</v>
      </c>
      <c r="D49" s="24" t="s">
        <v>39</v>
      </c>
      <c r="E49" s="24" t="s">
        <v>65</v>
      </c>
      <c r="F49" s="24" t="s">
        <v>66</v>
      </c>
    </row>
    <row r="50" spans="2:6" x14ac:dyDescent="0.2">
      <c r="C50" s="25" t="s">
        <v>51</v>
      </c>
      <c r="D50" s="24" t="s">
        <v>39</v>
      </c>
      <c r="E50" s="24" t="s">
        <v>161</v>
      </c>
      <c r="F50" s="24" t="s">
        <v>288</v>
      </c>
    </row>
    <row r="51" spans="2:6" x14ac:dyDescent="0.2">
      <c r="C51" s="25" t="s">
        <v>51</v>
      </c>
      <c r="D51" s="24" t="s">
        <v>39</v>
      </c>
      <c r="E51" s="24" t="s">
        <v>289</v>
      </c>
      <c r="F51" s="24" t="s">
        <v>290</v>
      </c>
    </row>
    <row r="52" spans="2:6" x14ac:dyDescent="0.2">
      <c r="C52" s="25"/>
      <c r="D52" s="24"/>
      <c r="E52" s="24"/>
      <c r="F52" s="24"/>
    </row>
    <row r="53" spans="2:6" x14ac:dyDescent="0.2">
      <c r="C53" s="25"/>
      <c r="D53" s="24"/>
      <c r="E53" s="24"/>
      <c r="F53" s="24"/>
    </row>
    <row r="54" spans="2:6" x14ac:dyDescent="0.2">
      <c r="C54" s="25"/>
      <c r="D54" s="24"/>
      <c r="E54" s="24"/>
      <c r="F54" s="24"/>
    </row>
    <row r="55" spans="2:6" x14ac:dyDescent="0.2">
      <c r="C55" s="25"/>
      <c r="D55" s="24"/>
      <c r="E55" s="24"/>
      <c r="F55" s="24"/>
    </row>
    <row r="56" spans="2:6" x14ac:dyDescent="0.2">
      <c r="C56" s="25"/>
      <c r="D56" s="24"/>
      <c r="E56" s="24"/>
      <c r="F56" s="24"/>
    </row>
    <row r="59" spans="2:6" ht="20" x14ac:dyDescent="0.2">
      <c r="C59" s="5" t="s">
        <v>77</v>
      </c>
    </row>
    <row r="60" spans="2:6" ht="16" x14ac:dyDescent="0.2">
      <c r="B60" t="s">
        <v>78</v>
      </c>
      <c r="C60" s="1" t="s">
        <v>79</v>
      </c>
      <c r="D60" s="1" t="s">
        <v>80</v>
      </c>
      <c r="E60" s="1" t="s">
        <v>81</v>
      </c>
      <c r="F60" s="1" t="s">
        <v>82</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ht="16" x14ac:dyDescent="0.2">
      <c r="B73" s="7">
        <v>2</v>
      </c>
      <c r="C73" s="1">
        <v>1</v>
      </c>
      <c r="D73" s="21" t="s">
        <v>291</v>
      </c>
      <c r="E73" s="21"/>
      <c r="F73" s="21"/>
    </row>
    <row r="74" spans="2:6" ht="16" x14ac:dyDescent="0.2">
      <c r="B74" s="7">
        <v>2</v>
      </c>
      <c r="C74" s="1">
        <v>2</v>
      </c>
      <c r="D74" s="21" t="s">
        <v>292</v>
      </c>
      <c r="E74" s="21"/>
      <c r="F74" s="21"/>
    </row>
    <row r="75" spans="2:6" ht="16" x14ac:dyDescent="0.2">
      <c r="B75" s="7">
        <v>2</v>
      </c>
      <c r="C75" s="1">
        <v>3</v>
      </c>
      <c r="D75" s="21" t="s">
        <v>292</v>
      </c>
      <c r="E75" s="21"/>
      <c r="F75" s="21"/>
    </row>
    <row r="76" spans="2:6" ht="16" x14ac:dyDescent="0.2">
      <c r="B76" s="7">
        <v>2</v>
      </c>
      <c r="C76" s="1">
        <v>4</v>
      </c>
      <c r="D76" s="21" t="s">
        <v>292</v>
      </c>
      <c r="E76" s="21"/>
      <c r="F76" s="21"/>
    </row>
    <row r="77" spans="2:6" ht="16" x14ac:dyDescent="0.2">
      <c r="B77" s="7">
        <v>2</v>
      </c>
      <c r="C77" s="1">
        <v>5</v>
      </c>
      <c r="D77" s="21" t="s">
        <v>293</v>
      </c>
      <c r="E77" s="21"/>
      <c r="F77" s="21"/>
    </row>
    <row r="78" spans="2:6" ht="16" x14ac:dyDescent="0.2">
      <c r="B78" s="7">
        <v>2</v>
      </c>
      <c r="C78" s="1">
        <v>6</v>
      </c>
      <c r="D78" s="21" t="s">
        <v>294</v>
      </c>
      <c r="E78" s="21"/>
      <c r="F78" s="21"/>
    </row>
    <row r="79" spans="2:6" ht="16" x14ac:dyDescent="0.2">
      <c r="B79" s="7">
        <v>2</v>
      </c>
      <c r="C79" s="1">
        <v>7</v>
      </c>
      <c r="D79" s="21" t="s">
        <v>295</v>
      </c>
      <c r="E79" s="21"/>
      <c r="F79" s="21"/>
    </row>
    <row r="80" spans="2:6" ht="16" x14ac:dyDescent="0.2">
      <c r="B80" s="7">
        <v>2</v>
      </c>
      <c r="C80" s="1">
        <v>8</v>
      </c>
      <c r="D80" s="21" t="s">
        <v>296</v>
      </c>
      <c r="E80" s="21"/>
      <c r="F80" s="21"/>
    </row>
    <row r="81" spans="2:6" ht="16" x14ac:dyDescent="0.2">
      <c r="B81" s="7">
        <v>2</v>
      </c>
      <c r="C81" s="1">
        <v>9</v>
      </c>
      <c r="D81" s="21" t="s">
        <v>297</v>
      </c>
      <c r="E81" s="21"/>
      <c r="F81" s="21"/>
    </row>
    <row r="82" spans="2:6" ht="16" x14ac:dyDescent="0.2">
      <c r="B82" s="7">
        <v>2</v>
      </c>
      <c r="C82" s="1">
        <v>10</v>
      </c>
      <c r="D82" s="21" t="s">
        <v>298</v>
      </c>
      <c r="E82" s="21"/>
      <c r="F82" s="21"/>
    </row>
    <row r="83" spans="2:6" ht="16" x14ac:dyDescent="0.2">
      <c r="B83" s="7">
        <v>2</v>
      </c>
      <c r="C83" s="1">
        <v>11</v>
      </c>
      <c r="D83" s="21" t="s">
        <v>299</v>
      </c>
      <c r="E83" s="21"/>
      <c r="F83" s="21"/>
    </row>
    <row r="84" spans="2:6" ht="16" x14ac:dyDescent="0.2">
      <c r="B84" s="7">
        <v>2</v>
      </c>
      <c r="C84" s="1">
        <v>12</v>
      </c>
      <c r="D84" s="21" t="s">
        <v>300</v>
      </c>
      <c r="E84" s="21"/>
      <c r="F84" s="21"/>
    </row>
  </sheetData>
  <sheetProtection sheet="1" objects="1" scenarios="1" selectLockedCells="1" sort="0" autoFilter="0" pivotTables="0"/>
  <dataValidations count="4">
    <dataValidation type="list" allowBlank="1" showInputMessage="1" showErrorMessage="1" sqref="F46:F5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E46:E56</xm:sqref>
        </x14:dataValidation>
        <x14:dataValidation type="list" allowBlank="1" showInputMessage="1" showErrorMessage="1" xr:uid="{A4EF2000-8BB6-4BFE-B91D-91E943534494}">
          <x14:formula1>
            <xm:f>LISTS!$E$7:$E$11</xm:f>
          </x14:formula1>
          <xm:sqref>D46:D56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84"/>
  <sheetViews>
    <sheetView showGridLines="0" zoomScale="110" zoomScaleNormal="110" workbookViewId="0">
      <selection activeCell="F7" sqref="F7"/>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f>D7</f>
        <v>6303</v>
      </c>
      <c r="D2" s="20" t="str">
        <f>D8</f>
        <v>Applied Psychology of Football</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68" x14ac:dyDescent="0.2">
      <c r="B7" s="2"/>
      <c r="C7" s="3" t="s">
        <v>4</v>
      </c>
      <c r="D7" s="21">
        <v>6303</v>
      </c>
      <c r="E7" s="4"/>
      <c r="F7" s="28" t="s">
        <v>258</v>
      </c>
    </row>
    <row r="8" spans="2:6" ht="34" x14ac:dyDescent="0.2">
      <c r="B8" s="2"/>
      <c r="C8" s="3" t="s">
        <v>6</v>
      </c>
      <c r="D8" s="21" t="s">
        <v>259</v>
      </c>
      <c r="E8" s="4"/>
      <c r="F8" s="28" t="s">
        <v>260</v>
      </c>
    </row>
    <row r="9" spans="2:6" ht="16" x14ac:dyDescent="0.2">
      <c r="C9" s="3" t="s">
        <v>8</v>
      </c>
      <c r="D9" s="21">
        <v>20</v>
      </c>
      <c r="E9" s="4"/>
    </row>
    <row r="10" spans="2:6" ht="16" x14ac:dyDescent="0.2">
      <c r="C10" s="3" t="s">
        <v>9</v>
      </c>
      <c r="D10" s="21">
        <v>1</v>
      </c>
      <c r="E10" s="4"/>
      <c r="F10" t="s">
        <v>10</v>
      </c>
    </row>
    <row r="11" spans="2:6" ht="16" x14ac:dyDescent="0.2">
      <c r="C11" s="3" t="s">
        <v>11</v>
      </c>
      <c r="D11" s="21">
        <v>6</v>
      </c>
      <c r="E11" s="4"/>
      <c r="F11" s="27" t="s">
        <v>261</v>
      </c>
    </row>
    <row r="12" spans="2:6" ht="16" x14ac:dyDescent="0.2">
      <c r="C12" s="3" t="s">
        <v>13</v>
      </c>
      <c r="D12" s="21" t="s">
        <v>262</v>
      </c>
      <c r="E12" s="4"/>
      <c r="F12" s="27" t="s">
        <v>263</v>
      </c>
    </row>
    <row r="13" spans="2:6" ht="16" x14ac:dyDescent="0.2">
      <c r="C13" s="3" t="s">
        <v>16</v>
      </c>
      <c r="D13" s="21" t="s">
        <v>17</v>
      </c>
      <c r="E13" s="4"/>
      <c r="F13" s="27" t="s">
        <v>264</v>
      </c>
    </row>
    <row r="14" spans="2:6" ht="16" x14ac:dyDescent="0.2">
      <c r="C14" s="3" t="s">
        <v>19</v>
      </c>
      <c r="D14" s="21" t="s">
        <v>20</v>
      </c>
      <c r="E14" s="4"/>
    </row>
    <row r="15" spans="2:6" x14ac:dyDescent="0.2">
      <c r="C15" s="3"/>
      <c r="D15" s="4"/>
      <c r="E15" s="4"/>
      <c r="F15" t="s">
        <v>21</v>
      </c>
    </row>
    <row r="16" spans="2:6" x14ac:dyDescent="0.2">
      <c r="C16" s="3"/>
      <c r="D16" s="4"/>
      <c r="E16" s="4"/>
      <c r="F16" s="24"/>
    </row>
    <row r="17" spans="3:6" ht="20" x14ac:dyDescent="0.2">
      <c r="C17" s="5" t="s">
        <v>23</v>
      </c>
      <c r="D17" s="4"/>
      <c r="E17" s="4"/>
      <c r="F17" s="24"/>
    </row>
    <row r="18" spans="3:6" ht="16" x14ac:dyDescent="0.2">
      <c r="C18" s="3" t="s">
        <v>24</v>
      </c>
      <c r="D18" s="1" t="s">
        <v>23</v>
      </c>
      <c r="E18" s="4"/>
      <c r="F18" s="24"/>
    </row>
    <row r="19" spans="3:6" ht="16" x14ac:dyDescent="0.2">
      <c r="C19" s="3" t="s">
        <v>25</v>
      </c>
      <c r="D19" s="22">
        <v>22</v>
      </c>
      <c r="E19" s="4"/>
      <c r="F19" s="24"/>
    </row>
    <row r="20" spans="3:6" ht="16" x14ac:dyDescent="0.2">
      <c r="C20" s="3" t="s">
        <v>26</v>
      </c>
      <c r="D20" s="22">
        <v>18</v>
      </c>
      <c r="E20" s="4"/>
      <c r="F20" s="24"/>
    </row>
    <row r="21" spans="3:6" ht="16" x14ac:dyDescent="0.2">
      <c r="C21" s="3" t="s">
        <v>27</v>
      </c>
      <c r="D21" s="22"/>
      <c r="E21" s="4"/>
    </row>
    <row r="22" spans="3:6" ht="16" x14ac:dyDescent="0.2">
      <c r="C22" s="3" t="s">
        <v>28</v>
      </c>
      <c r="D22" s="22"/>
      <c r="E22" s="4"/>
      <c r="F22" t="s">
        <v>29</v>
      </c>
    </row>
    <row r="23" spans="3:6" ht="16" x14ac:dyDescent="0.2">
      <c r="C23" s="3" t="s">
        <v>30</v>
      </c>
      <c r="D23" s="22"/>
      <c r="E23" s="4"/>
      <c r="F23" s="24"/>
    </row>
    <row r="24" spans="3:6" ht="16" x14ac:dyDescent="0.2">
      <c r="C24" s="3" t="s">
        <v>32</v>
      </c>
      <c r="D24" s="1">
        <f>SUM(D19:D23)</f>
        <v>40</v>
      </c>
      <c r="E24" s="4"/>
      <c r="F24" s="24"/>
    </row>
    <row r="25" spans="3:6" x14ac:dyDescent="0.2">
      <c r="F25" s="24"/>
    </row>
    <row r="26" spans="3:6" x14ac:dyDescent="0.2">
      <c r="F26" s="24"/>
    </row>
    <row r="27" spans="3:6" ht="20" x14ac:dyDescent="0.2">
      <c r="C27" s="5" t="s">
        <v>33</v>
      </c>
      <c r="D27" s="12" t="s">
        <v>34</v>
      </c>
      <c r="F27" s="24"/>
    </row>
    <row r="28" spans="3:6" ht="16" x14ac:dyDescent="0.2">
      <c r="C28" s="3" t="s">
        <v>35</v>
      </c>
      <c r="D28" s="3" t="s">
        <v>36</v>
      </c>
      <c r="E28" s="3"/>
      <c r="F28" s="24"/>
    </row>
    <row r="29" spans="3:6" ht="46" x14ac:dyDescent="0.2">
      <c r="C29" s="3" t="s">
        <v>37</v>
      </c>
      <c r="D29" s="26" t="s">
        <v>265</v>
      </c>
      <c r="E29" s="4"/>
      <c r="F29" s="24"/>
    </row>
    <row r="30" spans="3:6" ht="61" x14ac:dyDescent="0.2">
      <c r="C30" s="3" t="s">
        <v>39</v>
      </c>
      <c r="D30" s="26" t="s">
        <v>266</v>
      </c>
      <c r="E30" s="4"/>
      <c r="F30" s="24"/>
    </row>
    <row r="31" spans="3:6" ht="31" x14ac:dyDescent="0.2">
      <c r="C31" s="3" t="s">
        <v>41</v>
      </c>
      <c r="D31" s="26" t="s">
        <v>267</v>
      </c>
      <c r="E31" s="4"/>
      <c r="F31" s="24"/>
    </row>
    <row r="32" spans="3:6" ht="16" x14ac:dyDescent="0.2">
      <c r="C32" s="3" t="s">
        <v>42</v>
      </c>
      <c r="D32" s="21"/>
      <c r="E32" s="4"/>
      <c r="F32" s="24"/>
    </row>
    <row r="33" spans="3:8" ht="16" x14ac:dyDescent="0.2">
      <c r="C33" s="3" t="s">
        <v>43</v>
      </c>
      <c r="D33" s="21"/>
      <c r="E33" s="4"/>
      <c r="F33" s="24"/>
    </row>
    <row r="36" spans="3:8" ht="20" x14ac:dyDescent="0.2">
      <c r="C36" s="5" t="s">
        <v>44</v>
      </c>
    </row>
    <row r="37" spans="3:8" ht="16" x14ac:dyDescent="0.2">
      <c r="C37" s="3" t="s">
        <v>45</v>
      </c>
      <c r="D37" s="3" t="s">
        <v>46</v>
      </c>
      <c r="E37" s="3" t="s">
        <v>47</v>
      </c>
      <c r="F37" s="3" t="s">
        <v>48</v>
      </c>
      <c r="G37" s="3" t="s">
        <v>49</v>
      </c>
      <c r="H37" s="3" t="s">
        <v>50</v>
      </c>
    </row>
    <row r="38" spans="3:8" ht="16" x14ac:dyDescent="0.2">
      <c r="C38" s="3" t="s">
        <v>51</v>
      </c>
      <c r="D38" s="21" t="s">
        <v>52</v>
      </c>
      <c r="E38" s="21" t="s">
        <v>53</v>
      </c>
      <c r="F38" s="21" t="s">
        <v>268</v>
      </c>
      <c r="G38" s="23">
        <v>0.3</v>
      </c>
      <c r="H38" s="21">
        <v>6</v>
      </c>
    </row>
    <row r="39" spans="3:8" ht="16" x14ac:dyDescent="0.2">
      <c r="C39" s="3" t="s">
        <v>55</v>
      </c>
      <c r="D39" s="21" t="s">
        <v>110</v>
      </c>
      <c r="E39" s="21" t="s">
        <v>156</v>
      </c>
      <c r="F39" s="21" t="s">
        <v>269</v>
      </c>
      <c r="G39" s="23">
        <v>0.7</v>
      </c>
      <c r="H39" s="21">
        <v>12</v>
      </c>
    </row>
    <row r="40" spans="3:8" ht="16" x14ac:dyDescent="0.2">
      <c r="C40" s="3" t="s">
        <v>60</v>
      </c>
      <c r="D40" s="24"/>
      <c r="E40" s="24"/>
      <c r="F40" s="24"/>
      <c r="G40" s="24"/>
      <c r="H40" s="24"/>
    </row>
    <row r="41" spans="3:8" ht="16" x14ac:dyDescent="0.2">
      <c r="C41" s="3" t="s">
        <v>61</v>
      </c>
      <c r="D41" s="24"/>
      <c r="E41" s="24"/>
      <c r="F41" s="24"/>
      <c r="G41" s="24"/>
      <c r="H41" s="24"/>
    </row>
    <row r="42" spans="3:8" x14ac:dyDescent="0.2">
      <c r="C42" s="3"/>
    </row>
    <row r="44" spans="3:8" ht="20" x14ac:dyDescent="0.2">
      <c r="C44" s="5" t="s">
        <v>62</v>
      </c>
      <c r="D44" s="12"/>
    </row>
    <row r="45" spans="3:8" ht="16" x14ac:dyDescent="0.2">
      <c r="C45" s="1" t="s">
        <v>45</v>
      </c>
      <c r="D45" s="1" t="s">
        <v>35</v>
      </c>
      <c r="E45" s="1" t="s">
        <v>63</v>
      </c>
      <c r="F45" s="1" t="s">
        <v>64</v>
      </c>
    </row>
    <row r="46" spans="3:8" x14ac:dyDescent="0.2">
      <c r="C46" s="25" t="s">
        <v>51</v>
      </c>
      <c r="D46" s="24" t="s">
        <v>37</v>
      </c>
      <c r="E46" s="24" t="s">
        <v>113</v>
      </c>
      <c r="F46" s="24" t="s">
        <v>114</v>
      </c>
    </row>
    <row r="47" spans="3:8" x14ac:dyDescent="0.2">
      <c r="C47" s="25" t="s">
        <v>51</v>
      </c>
      <c r="D47" s="24" t="s">
        <v>37</v>
      </c>
      <c r="E47" s="24" t="s">
        <v>113</v>
      </c>
      <c r="F47" s="24" t="s">
        <v>115</v>
      </c>
    </row>
    <row r="48" spans="3:8" x14ac:dyDescent="0.2">
      <c r="C48" s="25" t="s">
        <v>51</v>
      </c>
      <c r="D48" s="24" t="s">
        <v>37</v>
      </c>
      <c r="E48" s="24" t="s">
        <v>74</v>
      </c>
      <c r="F48" s="24" t="s">
        <v>179</v>
      </c>
    </row>
    <row r="49" spans="2:6" x14ac:dyDescent="0.2">
      <c r="C49" s="25" t="s">
        <v>55</v>
      </c>
      <c r="D49" s="24" t="s">
        <v>39</v>
      </c>
      <c r="E49" s="24" t="s">
        <v>65</v>
      </c>
      <c r="F49" s="24" t="s">
        <v>66</v>
      </c>
    </row>
    <row r="50" spans="2:6" x14ac:dyDescent="0.2">
      <c r="C50" s="25" t="s">
        <v>55</v>
      </c>
      <c r="D50" s="24" t="s">
        <v>39</v>
      </c>
      <c r="E50" s="24" t="s">
        <v>180</v>
      </c>
      <c r="F50" s="24" t="s">
        <v>181</v>
      </c>
    </row>
    <row r="51" spans="2:6" x14ac:dyDescent="0.2">
      <c r="C51" s="25" t="s">
        <v>55</v>
      </c>
      <c r="D51" s="24"/>
      <c r="E51" s="24"/>
      <c r="F51" s="24"/>
    </row>
    <row r="52" spans="2:6" x14ac:dyDescent="0.2">
      <c r="C52" s="25" t="s">
        <v>60</v>
      </c>
      <c r="D52" s="24"/>
      <c r="E52" s="24"/>
      <c r="F52" s="24"/>
    </row>
    <row r="53" spans="2:6" x14ac:dyDescent="0.2">
      <c r="C53" s="25" t="s">
        <v>60</v>
      </c>
      <c r="D53" s="24"/>
      <c r="E53" s="24"/>
      <c r="F53" s="24"/>
    </row>
    <row r="54" spans="2:6" x14ac:dyDescent="0.2">
      <c r="C54" s="25" t="s">
        <v>60</v>
      </c>
      <c r="D54" s="24"/>
      <c r="E54" s="24"/>
      <c r="F54" s="24"/>
    </row>
    <row r="55" spans="2:6" x14ac:dyDescent="0.2">
      <c r="C55" s="25" t="s">
        <v>61</v>
      </c>
      <c r="D55" s="24"/>
      <c r="E55" s="24"/>
      <c r="F55" s="24"/>
    </row>
    <row r="56" spans="2:6" x14ac:dyDescent="0.2">
      <c r="C56" s="25" t="s">
        <v>61</v>
      </c>
      <c r="D56" s="24"/>
      <c r="E56" s="24"/>
      <c r="F56" s="24"/>
    </row>
    <row r="59" spans="2:6" ht="20" x14ac:dyDescent="0.2">
      <c r="C59" s="5" t="s">
        <v>77</v>
      </c>
    </row>
    <row r="60" spans="2:6" ht="16" x14ac:dyDescent="0.2">
      <c r="B60" t="s">
        <v>78</v>
      </c>
      <c r="C60" s="1" t="s">
        <v>79</v>
      </c>
      <c r="D60" s="1" t="s">
        <v>80</v>
      </c>
      <c r="E60" s="1" t="s">
        <v>81</v>
      </c>
      <c r="F60" s="1" t="s">
        <v>82</v>
      </c>
    </row>
    <row r="61" spans="2:6" ht="16" x14ac:dyDescent="0.2">
      <c r="B61" s="7">
        <v>1</v>
      </c>
      <c r="C61" s="1">
        <v>1</v>
      </c>
      <c r="D61" s="21" t="s">
        <v>270</v>
      </c>
      <c r="E61" s="21" t="s">
        <v>26</v>
      </c>
      <c r="F61" s="21"/>
    </row>
    <row r="62" spans="2:6" ht="16" x14ac:dyDescent="0.2">
      <c r="B62" s="7">
        <v>1</v>
      </c>
      <c r="C62" s="1">
        <v>2</v>
      </c>
      <c r="D62" s="21" t="s">
        <v>271</v>
      </c>
      <c r="E62" s="21" t="s">
        <v>26</v>
      </c>
      <c r="F62" s="21"/>
    </row>
    <row r="63" spans="2:6" ht="16" x14ac:dyDescent="0.2">
      <c r="B63" s="7">
        <v>1</v>
      </c>
      <c r="C63" s="1">
        <v>3</v>
      </c>
      <c r="D63" s="21" t="s">
        <v>272</v>
      </c>
      <c r="E63" s="21" t="s">
        <v>26</v>
      </c>
      <c r="F63" s="21"/>
    </row>
    <row r="64" spans="2:6" ht="16" x14ac:dyDescent="0.2">
      <c r="B64" s="7">
        <v>1</v>
      </c>
      <c r="C64" s="1">
        <v>4</v>
      </c>
      <c r="D64" s="21" t="s">
        <v>273</v>
      </c>
      <c r="E64" s="21" t="s">
        <v>26</v>
      </c>
      <c r="F64" s="21"/>
    </row>
    <row r="65" spans="2:6" ht="16" x14ac:dyDescent="0.2">
      <c r="B65" s="7">
        <v>1</v>
      </c>
      <c r="C65" s="1">
        <v>5</v>
      </c>
      <c r="D65" s="21" t="s">
        <v>274</v>
      </c>
      <c r="E65" s="21" t="s">
        <v>26</v>
      </c>
      <c r="F65" s="21"/>
    </row>
    <row r="66" spans="2:6" ht="16" x14ac:dyDescent="0.2">
      <c r="B66" s="7">
        <v>1</v>
      </c>
      <c r="C66" s="1">
        <v>6</v>
      </c>
      <c r="D66" s="21" t="s">
        <v>275</v>
      </c>
      <c r="E66" s="21" t="s">
        <v>26</v>
      </c>
      <c r="F66" s="21"/>
    </row>
    <row r="67" spans="2:6" ht="16" x14ac:dyDescent="0.2">
      <c r="B67" s="7">
        <v>1</v>
      </c>
      <c r="C67" s="1">
        <v>7</v>
      </c>
      <c r="D67" s="21" t="s">
        <v>276</v>
      </c>
      <c r="E67" s="21" t="s">
        <v>276</v>
      </c>
      <c r="F67" s="21"/>
    </row>
    <row r="68" spans="2:6" ht="16" x14ac:dyDescent="0.2">
      <c r="B68" s="7">
        <v>1</v>
      </c>
      <c r="C68" s="1">
        <v>8</v>
      </c>
      <c r="D68" s="21" t="s">
        <v>277</v>
      </c>
      <c r="E68" s="21"/>
      <c r="F68" s="21"/>
    </row>
    <row r="69" spans="2:6" ht="16" x14ac:dyDescent="0.2">
      <c r="B69" s="7">
        <v>1</v>
      </c>
      <c r="C69" s="1">
        <v>9</v>
      </c>
      <c r="D69" s="21" t="s">
        <v>278</v>
      </c>
      <c r="E69" s="21" t="s">
        <v>26</v>
      </c>
      <c r="F69" s="21"/>
    </row>
    <row r="70" spans="2:6" ht="16" x14ac:dyDescent="0.2">
      <c r="B70" s="7">
        <v>1</v>
      </c>
      <c r="C70" s="1">
        <v>10</v>
      </c>
      <c r="D70" s="21" t="s">
        <v>279</v>
      </c>
      <c r="E70" s="21" t="s">
        <v>26</v>
      </c>
      <c r="F70" s="21"/>
    </row>
    <row r="71" spans="2:6" ht="16" x14ac:dyDescent="0.2">
      <c r="B71" s="7">
        <v>1</v>
      </c>
      <c r="C71" s="1">
        <v>11</v>
      </c>
      <c r="D71" s="21" t="s">
        <v>280</v>
      </c>
      <c r="E71" s="21" t="s">
        <v>26</v>
      </c>
      <c r="F71" s="21"/>
    </row>
    <row r="72" spans="2:6" ht="16" x14ac:dyDescent="0.2">
      <c r="B72" s="7">
        <v>1</v>
      </c>
      <c r="C72" s="1">
        <v>12</v>
      </c>
      <c r="D72" s="21" t="s">
        <v>44</v>
      </c>
      <c r="E72" s="21" t="s">
        <v>44</v>
      </c>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73"/>
  <sheetViews>
    <sheetView showGridLines="0" zoomScale="85" zoomScaleNormal="85" workbookViewId="0">
      <selection activeCell="C2" sqref="C2"/>
    </sheetView>
  </sheetViews>
  <sheetFormatPr baseColWidth="10" defaultColWidth="8.83203125" defaultRowHeight="15" x14ac:dyDescent="0.2"/>
  <cols>
    <col min="1" max="2" width="8.83203125" style="41"/>
    <col min="3" max="3" width="33.33203125" style="41" customWidth="1"/>
    <col min="4" max="4" width="58.5" style="41" customWidth="1"/>
    <col min="5" max="5" width="20.5" style="41" customWidth="1"/>
    <col min="6" max="6" width="63.1640625" style="41" customWidth="1"/>
    <col min="7" max="7" width="12.5" style="41" customWidth="1"/>
    <col min="8" max="8" width="15.5" style="41" customWidth="1"/>
    <col min="9" max="9" width="14.6640625" style="41" customWidth="1"/>
    <col min="10" max="16384" width="8.83203125" style="41"/>
  </cols>
  <sheetData>
    <row r="2" spans="2:6" ht="27" x14ac:dyDescent="0.35">
      <c r="C2" s="42"/>
      <c r="D2" s="43" t="s">
        <v>197</v>
      </c>
      <c r="E2" s="42"/>
    </row>
    <row r="3" spans="2:6" x14ac:dyDescent="0.2">
      <c r="B3" s="44"/>
      <c r="C3" s="44"/>
    </row>
    <row r="4" spans="2:6" x14ac:dyDescent="0.2">
      <c r="B4" s="45"/>
      <c r="C4" s="45"/>
    </row>
    <row r="5" spans="2:6" ht="20" x14ac:dyDescent="0.2">
      <c r="B5" s="45"/>
      <c r="C5" s="46" t="s">
        <v>0</v>
      </c>
    </row>
    <row r="6" spans="2:6" ht="16" x14ac:dyDescent="0.2">
      <c r="B6" s="45"/>
      <c r="C6" s="47" t="s">
        <v>1</v>
      </c>
      <c r="D6" s="48" t="s">
        <v>2</v>
      </c>
      <c r="E6" s="48"/>
      <c r="F6" s="41" t="s">
        <v>3</v>
      </c>
    </row>
    <row r="7" spans="2:6" ht="16" x14ac:dyDescent="0.2">
      <c r="B7" s="45"/>
      <c r="C7" s="47" t="s">
        <v>4</v>
      </c>
      <c r="D7" s="21" t="s">
        <v>389</v>
      </c>
      <c r="E7" s="48"/>
      <c r="F7" s="49" t="s">
        <v>198</v>
      </c>
    </row>
    <row r="8" spans="2:6" ht="16" x14ac:dyDescent="0.2">
      <c r="B8" s="45"/>
      <c r="C8" s="47" t="s">
        <v>6</v>
      </c>
      <c r="D8" s="37" t="s">
        <v>197</v>
      </c>
      <c r="E8" s="48"/>
      <c r="F8" s="38" t="s">
        <v>199</v>
      </c>
    </row>
    <row r="9" spans="2:6" ht="16" x14ac:dyDescent="0.2">
      <c r="C9" s="47" t="s">
        <v>8</v>
      </c>
      <c r="D9" s="37">
        <v>20</v>
      </c>
      <c r="E9" s="48"/>
      <c r="F9" s="39" t="s">
        <v>200</v>
      </c>
    </row>
    <row r="10" spans="2:6" ht="16" x14ac:dyDescent="0.2">
      <c r="C10" s="47" t="s">
        <v>9</v>
      </c>
      <c r="D10" s="37" t="s">
        <v>201</v>
      </c>
      <c r="E10" s="48"/>
      <c r="F10" s="39" t="s">
        <v>202</v>
      </c>
    </row>
    <row r="11" spans="2:6" ht="16" x14ac:dyDescent="0.2">
      <c r="C11" s="47" t="s">
        <v>11</v>
      </c>
      <c r="D11" s="37">
        <v>6</v>
      </c>
      <c r="E11" s="48"/>
      <c r="F11" s="39" t="s">
        <v>203</v>
      </c>
    </row>
    <row r="12" spans="2:6" ht="16" x14ac:dyDescent="0.2">
      <c r="C12" s="47" t="s">
        <v>13</v>
      </c>
      <c r="D12" s="37" t="s">
        <v>204</v>
      </c>
      <c r="E12" s="48"/>
      <c r="F12" s="50"/>
    </row>
    <row r="13" spans="2:6" ht="16" x14ac:dyDescent="0.2">
      <c r="C13" s="47" t="s">
        <v>16</v>
      </c>
      <c r="D13" s="37" t="s">
        <v>205</v>
      </c>
      <c r="E13" s="48"/>
      <c r="F13" s="50"/>
    </row>
    <row r="14" spans="2:6" ht="16" x14ac:dyDescent="0.2">
      <c r="C14" s="47" t="s">
        <v>19</v>
      </c>
      <c r="D14" s="37" t="s">
        <v>20</v>
      </c>
      <c r="E14" s="48"/>
    </row>
    <row r="15" spans="2:6" x14ac:dyDescent="0.2">
      <c r="C15" s="47"/>
      <c r="D15" s="48"/>
      <c r="E15" s="48"/>
      <c r="F15" s="41" t="s">
        <v>21</v>
      </c>
    </row>
    <row r="16" spans="2:6" x14ac:dyDescent="0.2">
      <c r="C16" s="47"/>
      <c r="D16" s="48"/>
      <c r="E16" s="48"/>
      <c r="F16" s="40" t="s">
        <v>206</v>
      </c>
    </row>
    <row r="17" spans="3:8" ht="20" x14ac:dyDescent="0.2">
      <c r="C17" s="46" t="s">
        <v>23</v>
      </c>
      <c r="D17" s="48"/>
      <c r="E17" s="48"/>
      <c r="F17" s="40" t="s">
        <v>207</v>
      </c>
    </row>
    <row r="18" spans="3:8" ht="16" x14ac:dyDescent="0.2">
      <c r="C18" s="47" t="s">
        <v>24</v>
      </c>
      <c r="D18" s="44" t="s">
        <v>23</v>
      </c>
      <c r="E18" s="48"/>
      <c r="F18" s="51"/>
    </row>
    <row r="19" spans="3:8" ht="16" x14ac:dyDescent="0.2">
      <c r="C19" s="47" t="s">
        <v>25</v>
      </c>
      <c r="D19" s="52">
        <v>10</v>
      </c>
      <c r="E19" s="48"/>
    </row>
    <row r="20" spans="3:8" ht="16" x14ac:dyDescent="0.2">
      <c r="C20" s="47" t="s">
        <v>26</v>
      </c>
      <c r="D20" s="52">
        <v>10</v>
      </c>
      <c r="E20" s="48"/>
      <c r="F20" s="51"/>
    </row>
    <row r="21" spans="3:8" ht="16" x14ac:dyDescent="0.2">
      <c r="C21" s="47" t="s">
        <v>27</v>
      </c>
      <c r="D21" s="52"/>
      <c r="E21" s="48"/>
    </row>
    <row r="22" spans="3:8" ht="16" x14ac:dyDescent="0.2">
      <c r="C22" s="47" t="s">
        <v>28</v>
      </c>
      <c r="D22" s="52"/>
      <c r="E22" s="48"/>
      <c r="F22" s="41" t="s">
        <v>29</v>
      </c>
      <c r="G22" s="41" t="s">
        <v>208</v>
      </c>
    </row>
    <row r="23" spans="3:8" ht="16" x14ac:dyDescent="0.2">
      <c r="C23" s="47" t="s">
        <v>30</v>
      </c>
      <c r="D23" s="52"/>
      <c r="E23" s="48"/>
      <c r="F23" s="36"/>
      <c r="G23" s="36"/>
    </row>
    <row r="24" spans="3:8" ht="16" x14ac:dyDescent="0.2">
      <c r="C24" s="47" t="s">
        <v>32</v>
      </c>
      <c r="D24" s="44">
        <f>SUM(D19:D23)</f>
        <v>20</v>
      </c>
      <c r="E24" s="48"/>
      <c r="F24" s="36"/>
      <c r="G24" s="36"/>
    </row>
    <row r="25" spans="3:8" x14ac:dyDescent="0.2">
      <c r="F25" s="36"/>
      <c r="G25" s="36"/>
    </row>
    <row r="26" spans="3:8" x14ac:dyDescent="0.2">
      <c r="F26" s="36"/>
      <c r="G26" s="36"/>
    </row>
    <row r="27" spans="3:8" ht="20" x14ac:dyDescent="0.2">
      <c r="C27" s="46" t="s">
        <v>33</v>
      </c>
      <c r="D27" s="53" t="s">
        <v>34</v>
      </c>
      <c r="F27" s="36"/>
      <c r="G27" s="36"/>
    </row>
    <row r="28" spans="3:8" ht="16" x14ac:dyDescent="0.2">
      <c r="C28" s="47" t="s">
        <v>35</v>
      </c>
      <c r="D28" s="47" t="s">
        <v>36</v>
      </c>
      <c r="E28" s="47"/>
      <c r="F28" s="36"/>
      <c r="G28" s="36"/>
    </row>
    <row r="29" spans="3:8" ht="16" x14ac:dyDescent="0.2">
      <c r="C29" s="47" t="s">
        <v>37</v>
      </c>
      <c r="D29" s="54" t="s">
        <v>209</v>
      </c>
      <c r="E29" s="55"/>
      <c r="F29" s="56"/>
      <c r="G29" s="57"/>
      <c r="H29" s="57"/>
    </row>
    <row r="30" spans="3:8" ht="16" x14ac:dyDescent="0.2">
      <c r="C30" s="47" t="s">
        <v>39</v>
      </c>
      <c r="D30" s="54" t="s">
        <v>210</v>
      </c>
      <c r="E30" s="48"/>
      <c r="F30" s="58"/>
    </row>
    <row r="31" spans="3:8" ht="16" x14ac:dyDescent="0.2">
      <c r="C31" s="47" t="s">
        <v>41</v>
      </c>
      <c r="D31" s="54" t="s">
        <v>211</v>
      </c>
      <c r="E31" s="55"/>
      <c r="F31" s="56"/>
      <c r="G31" s="57"/>
      <c r="H31" s="57"/>
    </row>
    <row r="32" spans="3:8" ht="16" x14ac:dyDescent="0.2">
      <c r="C32" s="47" t="s">
        <v>42</v>
      </c>
      <c r="D32" s="54" t="s">
        <v>212</v>
      </c>
      <c r="E32" s="48"/>
      <c r="F32" s="58"/>
    </row>
    <row r="33" spans="3:8" x14ac:dyDescent="0.2">
      <c r="C33" s="47"/>
      <c r="D33" s="59"/>
    </row>
    <row r="34" spans="3:8" ht="20" x14ac:dyDescent="0.2">
      <c r="C34" s="46" t="s">
        <v>44</v>
      </c>
      <c r="D34" s="60"/>
    </row>
    <row r="35" spans="3:8" ht="16" x14ac:dyDescent="0.2">
      <c r="C35" s="47" t="s">
        <v>45</v>
      </c>
      <c r="D35" s="47" t="s">
        <v>46</v>
      </c>
      <c r="E35" s="47" t="s">
        <v>47</v>
      </c>
      <c r="F35" s="47" t="s">
        <v>48</v>
      </c>
      <c r="G35" s="47" t="s">
        <v>49</v>
      </c>
      <c r="H35" s="47" t="s">
        <v>50</v>
      </c>
    </row>
    <row r="36" spans="3:8" ht="16" x14ac:dyDescent="0.2">
      <c r="C36" s="47" t="s">
        <v>51</v>
      </c>
      <c r="D36" s="37" t="s">
        <v>110</v>
      </c>
      <c r="E36" s="37"/>
      <c r="F36" s="37" t="s">
        <v>213</v>
      </c>
      <c r="G36" s="61">
        <v>0.5</v>
      </c>
      <c r="H36" s="37"/>
    </row>
    <row r="37" spans="3:8" ht="16" x14ac:dyDescent="0.2">
      <c r="C37" s="47" t="s">
        <v>55</v>
      </c>
      <c r="D37" s="37" t="s">
        <v>52</v>
      </c>
      <c r="E37" s="37" t="s">
        <v>53</v>
      </c>
      <c r="F37" s="37" t="s">
        <v>214</v>
      </c>
      <c r="G37" s="61">
        <v>0.5</v>
      </c>
      <c r="H37" s="37"/>
    </row>
    <row r="38" spans="3:8" x14ac:dyDescent="0.2">
      <c r="C38" s="47"/>
      <c r="D38" s="36"/>
      <c r="E38" s="36"/>
      <c r="F38" s="36"/>
      <c r="G38" s="36"/>
      <c r="H38" s="36"/>
    </row>
    <row r="40" spans="3:8" ht="20" x14ac:dyDescent="0.2">
      <c r="C40" s="46" t="s">
        <v>62</v>
      </c>
      <c r="D40" s="53"/>
    </row>
    <row r="41" spans="3:8" ht="16" x14ac:dyDescent="0.2">
      <c r="C41" s="44" t="s">
        <v>45</v>
      </c>
      <c r="D41" s="44" t="s">
        <v>35</v>
      </c>
      <c r="E41" s="44" t="s">
        <v>63</v>
      </c>
      <c r="F41" s="44" t="s">
        <v>64</v>
      </c>
    </row>
    <row r="42" spans="3:8" x14ac:dyDescent="0.2">
      <c r="C42" s="62" t="s">
        <v>51</v>
      </c>
      <c r="D42" s="36" t="s">
        <v>37</v>
      </c>
      <c r="E42" s="36" t="s">
        <v>113</v>
      </c>
      <c r="F42" s="36" t="s">
        <v>215</v>
      </c>
    </row>
    <row r="43" spans="3:8" x14ac:dyDescent="0.2">
      <c r="C43" s="62" t="s">
        <v>51</v>
      </c>
      <c r="D43" s="36" t="s">
        <v>41</v>
      </c>
      <c r="E43" s="36" t="s">
        <v>71</v>
      </c>
      <c r="F43" s="36" t="s">
        <v>73</v>
      </c>
    </row>
    <row r="44" spans="3:8" x14ac:dyDescent="0.2">
      <c r="C44" s="62" t="s">
        <v>51</v>
      </c>
      <c r="D44" s="36" t="s">
        <v>42</v>
      </c>
      <c r="E44" s="36" t="s">
        <v>74</v>
      </c>
      <c r="F44" s="36" t="s">
        <v>75</v>
      </c>
    </row>
    <row r="45" spans="3:8" x14ac:dyDescent="0.2">
      <c r="C45" s="62" t="s">
        <v>55</v>
      </c>
      <c r="D45" s="36" t="s">
        <v>37</v>
      </c>
      <c r="E45" s="36" t="s">
        <v>161</v>
      </c>
      <c r="F45" s="36" t="s">
        <v>162</v>
      </c>
    </row>
    <row r="46" spans="3:8" x14ac:dyDescent="0.2">
      <c r="C46" s="62" t="s">
        <v>55</v>
      </c>
      <c r="D46" s="36" t="s">
        <v>39</v>
      </c>
      <c r="E46" s="36" t="s">
        <v>65</v>
      </c>
      <c r="F46" s="36" t="s">
        <v>66</v>
      </c>
    </row>
    <row r="48" spans="3:8" ht="20" x14ac:dyDescent="0.2">
      <c r="C48" s="46" t="s">
        <v>77</v>
      </c>
    </row>
    <row r="49" spans="2:6" ht="16" x14ac:dyDescent="0.2">
      <c r="B49" s="41" t="s">
        <v>78</v>
      </c>
      <c r="C49" s="44" t="s">
        <v>79</v>
      </c>
      <c r="D49" s="44" t="s">
        <v>80</v>
      </c>
      <c r="E49" s="44" t="s">
        <v>81</v>
      </c>
      <c r="F49" s="44" t="s">
        <v>82</v>
      </c>
    </row>
    <row r="50" spans="2:6" x14ac:dyDescent="0.2">
      <c r="B50" s="63">
        <v>1</v>
      </c>
      <c r="C50" s="44">
        <v>1</v>
      </c>
      <c r="D50" s="37"/>
      <c r="E50" s="37"/>
      <c r="F50" s="37"/>
    </row>
    <row r="51" spans="2:6" x14ac:dyDescent="0.2">
      <c r="B51" s="63">
        <v>1</v>
      </c>
      <c r="C51" s="44">
        <v>2</v>
      </c>
      <c r="D51" s="37"/>
      <c r="E51" s="37"/>
      <c r="F51" s="37"/>
    </row>
    <row r="52" spans="2:6" x14ac:dyDescent="0.2">
      <c r="B52" s="63">
        <v>1</v>
      </c>
      <c r="C52" s="44">
        <v>3</v>
      </c>
      <c r="D52" s="37"/>
      <c r="E52" s="37"/>
      <c r="F52" s="37"/>
    </row>
    <row r="53" spans="2:6" x14ac:dyDescent="0.2">
      <c r="B53" s="63">
        <v>1</v>
      </c>
      <c r="C53" s="44">
        <v>4</v>
      </c>
      <c r="D53" s="37"/>
      <c r="E53" s="37"/>
      <c r="F53" s="37"/>
    </row>
    <row r="54" spans="2:6" x14ac:dyDescent="0.2">
      <c r="B54" s="63">
        <v>1</v>
      </c>
      <c r="C54" s="44">
        <v>5</v>
      </c>
      <c r="D54" s="37"/>
      <c r="E54" s="37"/>
      <c r="F54" s="37"/>
    </row>
    <row r="55" spans="2:6" x14ac:dyDescent="0.2">
      <c r="B55" s="63">
        <v>1</v>
      </c>
      <c r="C55" s="44">
        <v>6</v>
      </c>
      <c r="D55" s="37"/>
      <c r="E55" s="37"/>
      <c r="F55" s="37"/>
    </row>
    <row r="56" spans="2:6" x14ac:dyDescent="0.2">
      <c r="B56" s="63">
        <v>1</v>
      </c>
      <c r="C56" s="44">
        <v>7</v>
      </c>
      <c r="D56" s="37"/>
      <c r="E56" s="37"/>
      <c r="F56" s="37"/>
    </row>
    <row r="57" spans="2:6" x14ac:dyDescent="0.2">
      <c r="B57" s="63">
        <v>1</v>
      </c>
      <c r="C57" s="44">
        <v>8</v>
      </c>
      <c r="D57" s="37"/>
      <c r="E57" s="37"/>
      <c r="F57" s="37"/>
    </row>
    <row r="58" spans="2:6" x14ac:dyDescent="0.2">
      <c r="B58" s="63">
        <v>1</v>
      </c>
      <c r="C58" s="44">
        <v>9</v>
      </c>
      <c r="D58" s="37"/>
      <c r="E58" s="37"/>
      <c r="F58" s="37"/>
    </row>
    <row r="59" spans="2:6" x14ac:dyDescent="0.2">
      <c r="B59" s="63">
        <v>1</v>
      </c>
      <c r="C59" s="44">
        <v>10</v>
      </c>
      <c r="D59" s="37"/>
      <c r="E59" s="37"/>
      <c r="F59" s="37"/>
    </row>
    <row r="60" spans="2:6" x14ac:dyDescent="0.2">
      <c r="B60" s="63">
        <v>1</v>
      </c>
      <c r="C60" s="44">
        <v>11</v>
      </c>
      <c r="D60" s="37"/>
      <c r="E60" s="37"/>
      <c r="F60" s="37"/>
    </row>
    <row r="61" spans="2:6" x14ac:dyDescent="0.2">
      <c r="B61" s="63">
        <v>1</v>
      </c>
      <c r="C61" s="44">
        <v>12</v>
      </c>
      <c r="D61" s="37"/>
      <c r="E61" s="37"/>
      <c r="F61" s="37"/>
    </row>
    <row r="62" spans="2:6" x14ac:dyDescent="0.2">
      <c r="B62" s="63">
        <v>2</v>
      </c>
      <c r="C62" s="44">
        <v>1</v>
      </c>
      <c r="D62" s="37"/>
      <c r="E62" s="37"/>
      <c r="F62" s="37"/>
    </row>
    <row r="63" spans="2:6" x14ac:dyDescent="0.2">
      <c r="B63" s="63">
        <v>2</v>
      </c>
      <c r="C63" s="44">
        <v>2</v>
      </c>
      <c r="D63" s="37"/>
      <c r="E63" s="37"/>
      <c r="F63" s="37"/>
    </row>
    <row r="64" spans="2:6" x14ac:dyDescent="0.2">
      <c r="B64" s="63">
        <v>2</v>
      </c>
      <c r="C64" s="44">
        <v>3</v>
      </c>
      <c r="D64" s="37"/>
      <c r="E64" s="37"/>
      <c r="F64" s="37"/>
    </row>
    <row r="65" spans="2:6" x14ac:dyDescent="0.2">
      <c r="B65" s="63">
        <v>2</v>
      </c>
      <c r="C65" s="44">
        <v>4</v>
      </c>
      <c r="D65" s="37"/>
      <c r="E65" s="37"/>
      <c r="F65" s="37"/>
    </row>
    <row r="66" spans="2:6" x14ac:dyDescent="0.2">
      <c r="B66" s="63">
        <v>2</v>
      </c>
      <c r="C66" s="44">
        <v>5</v>
      </c>
      <c r="D66" s="37"/>
      <c r="E66" s="37"/>
      <c r="F66" s="37"/>
    </row>
    <row r="67" spans="2:6" x14ac:dyDescent="0.2">
      <c r="B67" s="63">
        <v>2</v>
      </c>
      <c r="C67" s="44">
        <v>6</v>
      </c>
      <c r="D67" s="37"/>
      <c r="E67" s="37"/>
      <c r="F67" s="37"/>
    </row>
    <row r="68" spans="2:6" x14ac:dyDescent="0.2">
      <c r="B68" s="63">
        <v>2</v>
      </c>
      <c r="C68" s="44">
        <v>7</v>
      </c>
      <c r="D68" s="37"/>
      <c r="E68" s="37"/>
      <c r="F68" s="37"/>
    </row>
    <row r="69" spans="2:6" x14ac:dyDescent="0.2">
      <c r="B69" s="63">
        <v>2</v>
      </c>
      <c r="C69" s="44">
        <v>8</v>
      </c>
      <c r="D69" s="37"/>
      <c r="E69" s="37"/>
      <c r="F69" s="37"/>
    </row>
    <row r="70" spans="2:6" x14ac:dyDescent="0.2">
      <c r="B70" s="63">
        <v>2</v>
      </c>
      <c r="C70" s="44">
        <v>9</v>
      </c>
      <c r="D70" s="37"/>
      <c r="E70" s="37"/>
      <c r="F70" s="37"/>
    </row>
    <row r="71" spans="2:6" x14ac:dyDescent="0.2">
      <c r="B71" s="63">
        <v>2</v>
      </c>
      <c r="C71" s="44">
        <v>10</v>
      </c>
      <c r="D71" s="37"/>
      <c r="E71" s="37"/>
      <c r="F71" s="37"/>
    </row>
    <row r="72" spans="2:6" x14ac:dyDescent="0.2">
      <c r="B72" s="63">
        <v>2</v>
      </c>
      <c r="C72" s="44">
        <v>11</v>
      </c>
      <c r="D72" s="37"/>
      <c r="E72" s="37"/>
      <c r="F72" s="37"/>
    </row>
    <row r="73" spans="2:6" x14ac:dyDescent="0.2">
      <c r="B73" s="63">
        <v>2</v>
      </c>
      <c r="C73" s="44">
        <v>12</v>
      </c>
      <c r="D73" s="37"/>
      <c r="E73" s="37"/>
      <c r="F73" s="37"/>
    </row>
  </sheetData>
  <sheetProtection sheet="1" objects="1" scenario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6:E37" xr:uid="{DFA2EEE3-AB9D-4F7C-8E30-3C3C00872C8A}">
      <formula1>INDIRECT("LISTAssess[Assessment Specific]")</formula1>
    </dataValidation>
    <dataValidation type="list" allowBlank="1" showInputMessage="1" showErrorMessage="1" sqref="F42:F46" xr:uid="{BD0B3AD5-4A05-466E-9EAF-E466604786A1}">
      <formula1>INDIRECT(VLOOKUP($E42, SkillNameMap, 2, FALSE))</formula1>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1AB77DFB-5427-40D4-BAEB-24C786FA7A86}">
          <x14:formula1>
            <xm:f>LISTS!$E$7:$E$11</xm:f>
          </x14:formula1>
          <xm:sqref>D42:D46</xm:sqref>
        </x14:dataValidation>
        <x14:dataValidation type="list" allowBlank="1" showInputMessage="1" showErrorMessage="1" xr:uid="{EB948922-0A22-4BD6-8094-4C6953146F85}">
          <x14:formula1>
            <xm:f>LISTS!$J$7:$J$16</xm:f>
          </x14:formula1>
          <xm:sqref>E42:E46</xm:sqref>
        </x14:dataValidation>
        <x14:dataValidation type="list" allowBlank="1" showInputMessage="1" showErrorMessage="1" xr:uid="{20095D0C-07FE-4EE7-BFEC-317D253839B4}">
          <x14:formula1>
            <xm:f>LISTS!$G$7:$G$11</xm:f>
          </x14:formula1>
          <xm:sqref>D36:D37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12A21-5085-764F-B26F-CF3560576913}">
  <dimension ref="A1:K161"/>
  <sheetViews>
    <sheetView topLeftCell="A129" workbookViewId="0"/>
  </sheetViews>
  <sheetFormatPr baseColWidth="10" defaultRowHeight="15" x14ac:dyDescent="0.2"/>
  <cols>
    <col min="1" max="1" width="41" bestFit="1" customWidth="1"/>
    <col min="2" max="2" width="15.33203125" bestFit="1" customWidth="1"/>
    <col min="3" max="3" width="15.6640625" bestFit="1" customWidth="1"/>
    <col min="4" max="4" width="12.33203125" bestFit="1" customWidth="1"/>
    <col min="5" max="5" width="35.6640625" bestFit="1" customWidth="1"/>
    <col min="6" max="6" width="29.1640625" bestFit="1" customWidth="1"/>
    <col min="7" max="7" width="13.6640625" bestFit="1" customWidth="1"/>
    <col min="8" max="8" width="11.6640625" bestFit="1" customWidth="1"/>
    <col min="9" max="9" width="13.33203125" bestFit="1" customWidth="1"/>
    <col min="10" max="10" width="11.33203125" bestFit="1" customWidth="1"/>
    <col min="11" max="11" width="37.5" bestFit="1" customWidth="1"/>
  </cols>
  <sheetData>
    <row r="1" spans="1:11" x14ac:dyDescent="0.2">
      <c r="A1" t="s">
        <v>598</v>
      </c>
      <c r="B1" t="s">
        <v>397</v>
      </c>
      <c r="C1" t="s">
        <v>45</v>
      </c>
      <c r="D1" t="s">
        <v>35</v>
      </c>
      <c r="E1" t="s">
        <v>63</v>
      </c>
      <c r="F1" t="s">
        <v>64</v>
      </c>
      <c r="G1" t="s">
        <v>452</v>
      </c>
      <c r="H1" t="s">
        <v>599</v>
      </c>
      <c r="I1" t="s">
        <v>390</v>
      </c>
      <c r="J1" t="s">
        <v>451</v>
      </c>
      <c r="K1" t="s">
        <v>453</v>
      </c>
    </row>
    <row r="2" spans="1:11" x14ac:dyDescent="0.2">
      <c r="A2" s="70" t="s">
        <v>431</v>
      </c>
      <c r="B2" t="s">
        <v>673</v>
      </c>
      <c r="C2" t="s">
        <v>51</v>
      </c>
      <c r="D2" t="s">
        <v>37</v>
      </c>
      <c r="E2" t="s">
        <v>113</v>
      </c>
      <c r="F2" t="s">
        <v>114</v>
      </c>
      <c r="G2" t="s">
        <v>461</v>
      </c>
      <c r="H2" t="s">
        <v>448</v>
      </c>
      <c r="I2" t="s">
        <v>20</v>
      </c>
      <c r="J2" t="s">
        <v>398</v>
      </c>
      <c r="K2" s="70" t="s">
        <v>462</v>
      </c>
    </row>
    <row r="3" spans="1:11" x14ac:dyDescent="0.2">
      <c r="A3" s="70" t="s">
        <v>431</v>
      </c>
      <c r="B3" t="s">
        <v>673</v>
      </c>
      <c r="C3" t="s">
        <v>51</v>
      </c>
      <c r="D3" t="s">
        <v>37</v>
      </c>
      <c r="E3" t="s">
        <v>116</v>
      </c>
      <c r="F3" t="s">
        <v>354</v>
      </c>
      <c r="G3" t="s">
        <v>461</v>
      </c>
      <c r="H3" t="s">
        <v>448</v>
      </c>
      <c r="I3" t="s">
        <v>20</v>
      </c>
      <c r="J3" t="s">
        <v>398</v>
      </c>
      <c r="K3" s="70" t="s">
        <v>462</v>
      </c>
    </row>
    <row r="4" spans="1:11" x14ac:dyDescent="0.2">
      <c r="A4" s="70" t="s">
        <v>431</v>
      </c>
      <c r="B4" t="s">
        <v>673</v>
      </c>
      <c r="C4" t="s">
        <v>55</v>
      </c>
      <c r="D4" t="s">
        <v>39</v>
      </c>
      <c r="E4" t="s">
        <v>113</v>
      </c>
      <c r="F4" t="s">
        <v>114</v>
      </c>
      <c r="G4" t="s">
        <v>461</v>
      </c>
      <c r="H4" t="s">
        <v>448</v>
      </c>
      <c r="I4" t="s">
        <v>20</v>
      </c>
      <c r="J4" t="s">
        <v>398</v>
      </c>
      <c r="K4" s="70" t="s">
        <v>462</v>
      </c>
    </row>
    <row r="5" spans="1:11" x14ac:dyDescent="0.2">
      <c r="A5" s="70" t="s">
        <v>431</v>
      </c>
      <c r="B5" t="s">
        <v>673</v>
      </c>
      <c r="C5" t="s">
        <v>55</v>
      </c>
      <c r="D5" t="s">
        <v>39</v>
      </c>
      <c r="E5" t="s">
        <v>116</v>
      </c>
      <c r="F5" t="s">
        <v>354</v>
      </c>
      <c r="G5" t="s">
        <v>461</v>
      </c>
      <c r="H5" t="s">
        <v>448</v>
      </c>
      <c r="I5" t="s">
        <v>20</v>
      </c>
      <c r="J5" t="s">
        <v>398</v>
      </c>
      <c r="K5" s="70" t="s">
        <v>462</v>
      </c>
    </row>
    <row r="6" spans="1:11" x14ac:dyDescent="0.2">
      <c r="A6" s="70" t="s">
        <v>410</v>
      </c>
      <c r="B6" t="s">
        <v>674</v>
      </c>
      <c r="C6" t="s">
        <v>51</v>
      </c>
      <c r="D6" t="s">
        <v>37</v>
      </c>
      <c r="E6" t="s">
        <v>113</v>
      </c>
      <c r="F6" t="s">
        <v>114</v>
      </c>
      <c r="G6" t="s">
        <v>455</v>
      </c>
      <c r="H6" t="s">
        <v>448</v>
      </c>
      <c r="I6" t="s">
        <v>20</v>
      </c>
      <c r="J6" t="s">
        <v>398</v>
      </c>
      <c r="K6" s="70" t="s">
        <v>456</v>
      </c>
    </row>
    <row r="7" spans="1:11" x14ac:dyDescent="0.2">
      <c r="A7" s="70" t="s">
        <v>410</v>
      </c>
      <c r="B7" t="s">
        <v>674</v>
      </c>
      <c r="C7" t="s">
        <v>51</v>
      </c>
      <c r="D7" t="s">
        <v>37</v>
      </c>
      <c r="E7" t="s">
        <v>113</v>
      </c>
      <c r="F7" t="s">
        <v>115</v>
      </c>
      <c r="G7" t="s">
        <v>455</v>
      </c>
      <c r="H7" t="s">
        <v>448</v>
      </c>
      <c r="I7" t="s">
        <v>20</v>
      </c>
      <c r="J7" t="s">
        <v>398</v>
      </c>
      <c r="K7" s="70" t="s">
        <v>456</v>
      </c>
    </row>
    <row r="8" spans="1:11" x14ac:dyDescent="0.2">
      <c r="A8" s="70" t="s">
        <v>410</v>
      </c>
      <c r="B8" t="s">
        <v>674</v>
      </c>
      <c r="C8" t="s">
        <v>51</v>
      </c>
      <c r="D8" t="s">
        <v>39</v>
      </c>
      <c r="E8" t="s">
        <v>113</v>
      </c>
      <c r="F8" t="s">
        <v>114</v>
      </c>
      <c r="G8" t="s">
        <v>455</v>
      </c>
      <c r="H8" t="s">
        <v>448</v>
      </c>
      <c r="I8" t="s">
        <v>20</v>
      </c>
      <c r="J8" t="s">
        <v>398</v>
      </c>
      <c r="K8" s="70" t="s">
        <v>456</v>
      </c>
    </row>
    <row r="9" spans="1:11" x14ac:dyDescent="0.2">
      <c r="A9" s="70" t="s">
        <v>410</v>
      </c>
      <c r="B9" t="s">
        <v>674</v>
      </c>
      <c r="C9" t="s">
        <v>55</v>
      </c>
      <c r="D9" t="s">
        <v>39</v>
      </c>
      <c r="E9" t="s">
        <v>180</v>
      </c>
      <c r="F9" t="s">
        <v>66</v>
      </c>
      <c r="G9" t="s">
        <v>455</v>
      </c>
      <c r="H9" t="s">
        <v>448</v>
      </c>
      <c r="I9" t="s">
        <v>20</v>
      </c>
      <c r="J9" t="s">
        <v>398</v>
      </c>
      <c r="K9" s="70" t="s">
        <v>456</v>
      </c>
    </row>
    <row r="10" spans="1:11" x14ac:dyDescent="0.2">
      <c r="A10" s="70" t="s">
        <v>410</v>
      </c>
      <c r="B10" t="s">
        <v>674</v>
      </c>
      <c r="C10" t="s">
        <v>55</v>
      </c>
      <c r="D10" t="s">
        <v>39</v>
      </c>
      <c r="E10" t="s">
        <v>180</v>
      </c>
      <c r="F10" t="s">
        <v>181</v>
      </c>
      <c r="G10" t="s">
        <v>455</v>
      </c>
      <c r="H10" t="s">
        <v>448</v>
      </c>
      <c r="I10" t="s">
        <v>20</v>
      </c>
      <c r="J10" t="s">
        <v>398</v>
      </c>
      <c r="K10" s="70" t="s">
        <v>456</v>
      </c>
    </row>
    <row r="11" spans="1:11" x14ac:dyDescent="0.2">
      <c r="A11" s="70" t="s">
        <v>410</v>
      </c>
      <c r="B11" t="s">
        <v>674</v>
      </c>
      <c r="C11" t="s">
        <v>55</v>
      </c>
      <c r="D11" t="s">
        <v>39</v>
      </c>
      <c r="E11" t="s">
        <v>74</v>
      </c>
      <c r="F11" t="s">
        <v>75</v>
      </c>
      <c r="G11" t="s">
        <v>455</v>
      </c>
      <c r="H11" t="s">
        <v>448</v>
      </c>
      <c r="I11" t="s">
        <v>20</v>
      </c>
      <c r="J11" t="s">
        <v>398</v>
      </c>
      <c r="K11" s="70" t="s">
        <v>456</v>
      </c>
    </row>
    <row r="12" spans="1:11" x14ac:dyDescent="0.2">
      <c r="A12" s="70" t="s">
        <v>410</v>
      </c>
      <c r="B12" t="s">
        <v>674</v>
      </c>
      <c r="C12" t="s">
        <v>60</v>
      </c>
      <c r="D12" t="s">
        <v>39</v>
      </c>
      <c r="E12" t="s">
        <v>116</v>
      </c>
      <c r="F12" t="s">
        <v>352</v>
      </c>
      <c r="G12" t="s">
        <v>455</v>
      </c>
      <c r="H12" t="s">
        <v>448</v>
      </c>
      <c r="I12" t="s">
        <v>20</v>
      </c>
      <c r="J12" t="s">
        <v>398</v>
      </c>
      <c r="K12" s="70" t="s">
        <v>456</v>
      </c>
    </row>
    <row r="13" spans="1:11" x14ac:dyDescent="0.2">
      <c r="A13" s="70" t="s">
        <v>410</v>
      </c>
      <c r="B13" t="s">
        <v>674</v>
      </c>
      <c r="C13" t="s">
        <v>60</v>
      </c>
      <c r="D13" t="s">
        <v>39</v>
      </c>
      <c r="E13" t="s">
        <v>116</v>
      </c>
      <c r="F13" t="s">
        <v>354</v>
      </c>
      <c r="G13" t="s">
        <v>455</v>
      </c>
      <c r="H13" t="s">
        <v>448</v>
      </c>
      <c r="I13" t="s">
        <v>20</v>
      </c>
      <c r="J13" t="s">
        <v>398</v>
      </c>
      <c r="K13" s="70" t="s">
        <v>456</v>
      </c>
    </row>
    <row r="14" spans="1:11" x14ac:dyDescent="0.2">
      <c r="A14" s="70" t="s">
        <v>410</v>
      </c>
      <c r="B14" t="s">
        <v>674</v>
      </c>
      <c r="C14" t="s">
        <v>60</v>
      </c>
      <c r="D14" t="s">
        <v>39</v>
      </c>
      <c r="E14" t="s">
        <v>65</v>
      </c>
      <c r="F14" t="s">
        <v>66</v>
      </c>
      <c r="G14" t="s">
        <v>455</v>
      </c>
      <c r="H14" t="s">
        <v>448</v>
      </c>
      <c r="I14" t="s">
        <v>20</v>
      </c>
      <c r="J14" t="s">
        <v>398</v>
      </c>
      <c r="K14" s="70" t="s">
        <v>456</v>
      </c>
    </row>
    <row r="15" spans="1:11" x14ac:dyDescent="0.2">
      <c r="A15" s="70" t="s">
        <v>410</v>
      </c>
      <c r="B15" t="s">
        <v>674</v>
      </c>
      <c r="C15" t="s">
        <v>61</v>
      </c>
      <c r="D15" t="s">
        <v>39</v>
      </c>
      <c r="E15" t="s">
        <v>289</v>
      </c>
      <c r="G15" t="s">
        <v>455</v>
      </c>
      <c r="H15" t="s">
        <v>448</v>
      </c>
      <c r="I15" t="s">
        <v>20</v>
      </c>
      <c r="J15" t="s">
        <v>398</v>
      </c>
      <c r="K15" s="70" t="s">
        <v>456</v>
      </c>
    </row>
    <row r="16" spans="1:11" x14ac:dyDescent="0.2">
      <c r="A16" s="70" t="s">
        <v>410</v>
      </c>
      <c r="B16" t="s">
        <v>674</v>
      </c>
      <c r="C16" t="s">
        <v>61</v>
      </c>
      <c r="D16" t="s">
        <v>39</v>
      </c>
      <c r="E16" t="s">
        <v>71</v>
      </c>
      <c r="F16" t="s">
        <v>73</v>
      </c>
      <c r="G16" t="s">
        <v>455</v>
      </c>
      <c r="H16" t="s">
        <v>448</v>
      </c>
      <c r="I16" t="s">
        <v>20</v>
      </c>
      <c r="J16" t="s">
        <v>398</v>
      </c>
      <c r="K16" s="70" t="s">
        <v>456</v>
      </c>
    </row>
    <row r="17" spans="1:11" x14ac:dyDescent="0.2">
      <c r="A17" s="70" t="s">
        <v>410</v>
      </c>
      <c r="B17" t="s">
        <v>675</v>
      </c>
      <c r="C17" t="s">
        <v>51</v>
      </c>
      <c r="D17" t="s">
        <v>37</v>
      </c>
      <c r="E17" t="s">
        <v>113</v>
      </c>
      <c r="F17" t="s">
        <v>115</v>
      </c>
      <c r="G17" t="s">
        <v>457</v>
      </c>
      <c r="H17" t="s">
        <v>448</v>
      </c>
      <c r="I17" t="s">
        <v>20</v>
      </c>
      <c r="J17" t="s">
        <v>398</v>
      </c>
      <c r="K17" s="70" t="s">
        <v>458</v>
      </c>
    </row>
    <row r="18" spans="1:11" x14ac:dyDescent="0.2">
      <c r="A18" s="70" t="s">
        <v>410</v>
      </c>
      <c r="B18" t="s">
        <v>675</v>
      </c>
      <c r="C18" t="s">
        <v>51</v>
      </c>
      <c r="D18" t="s">
        <v>37</v>
      </c>
      <c r="E18" t="s">
        <v>113</v>
      </c>
      <c r="F18" t="s">
        <v>215</v>
      </c>
      <c r="G18" t="s">
        <v>457</v>
      </c>
      <c r="H18" t="s">
        <v>448</v>
      </c>
      <c r="I18" t="s">
        <v>20</v>
      </c>
      <c r="J18" t="s">
        <v>398</v>
      </c>
      <c r="K18" s="70" t="s">
        <v>458</v>
      </c>
    </row>
    <row r="19" spans="1:11" x14ac:dyDescent="0.2">
      <c r="A19" s="70" t="s">
        <v>410</v>
      </c>
      <c r="B19" t="s">
        <v>675</v>
      </c>
      <c r="C19" t="s">
        <v>51</v>
      </c>
      <c r="D19" t="s">
        <v>39</v>
      </c>
      <c r="E19" t="s">
        <v>180</v>
      </c>
      <c r="F19" t="s">
        <v>232</v>
      </c>
      <c r="G19" t="s">
        <v>457</v>
      </c>
      <c r="H19" t="s">
        <v>448</v>
      </c>
      <c r="I19" t="s">
        <v>20</v>
      </c>
      <c r="J19" t="s">
        <v>398</v>
      </c>
      <c r="K19" s="70" t="s">
        <v>458</v>
      </c>
    </row>
    <row r="20" spans="1:11" x14ac:dyDescent="0.2">
      <c r="A20" s="70" t="s">
        <v>410</v>
      </c>
      <c r="B20" t="s">
        <v>675</v>
      </c>
      <c r="C20" t="s">
        <v>51</v>
      </c>
      <c r="D20" t="s">
        <v>39</v>
      </c>
      <c r="E20" t="s">
        <v>116</v>
      </c>
      <c r="F20" t="s">
        <v>354</v>
      </c>
      <c r="G20" t="s">
        <v>457</v>
      </c>
      <c r="H20" t="s">
        <v>448</v>
      </c>
      <c r="I20" t="s">
        <v>20</v>
      </c>
      <c r="J20" t="s">
        <v>398</v>
      </c>
      <c r="K20" s="70" t="s">
        <v>458</v>
      </c>
    </row>
    <row r="21" spans="1:11" x14ac:dyDescent="0.2">
      <c r="A21" s="70" t="s">
        <v>410</v>
      </c>
      <c r="B21" t="s">
        <v>675</v>
      </c>
      <c r="C21" t="s">
        <v>51</v>
      </c>
      <c r="D21" t="s">
        <v>39</v>
      </c>
      <c r="E21" t="s">
        <v>65</v>
      </c>
      <c r="F21" t="s">
        <v>233</v>
      </c>
      <c r="G21" t="s">
        <v>457</v>
      </c>
      <c r="H21" t="s">
        <v>448</v>
      </c>
      <c r="I21" t="s">
        <v>20</v>
      </c>
      <c r="J21" t="s">
        <v>398</v>
      </c>
      <c r="K21" s="70" t="s">
        <v>458</v>
      </c>
    </row>
    <row r="22" spans="1:11" x14ac:dyDescent="0.2">
      <c r="A22" s="70" t="s">
        <v>410</v>
      </c>
      <c r="B22" t="s">
        <v>675</v>
      </c>
      <c r="C22" t="s">
        <v>51</v>
      </c>
      <c r="D22" t="s">
        <v>41</v>
      </c>
      <c r="E22" t="s">
        <v>71</v>
      </c>
      <c r="F22" t="s">
        <v>73</v>
      </c>
      <c r="G22" t="s">
        <v>457</v>
      </c>
      <c r="H22" t="s">
        <v>448</v>
      </c>
      <c r="I22" t="s">
        <v>20</v>
      </c>
      <c r="J22" t="s">
        <v>398</v>
      </c>
      <c r="K22" s="70" t="s">
        <v>458</v>
      </c>
    </row>
    <row r="23" spans="1:11" x14ac:dyDescent="0.2">
      <c r="A23" s="70" t="s">
        <v>410</v>
      </c>
      <c r="B23" t="s">
        <v>675</v>
      </c>
      <c r="C23" t="s">
        <v>55</v>
      </c>
      <c r="D23" t="s">
        <v>37</v>
      </c>
      <c r="E23" t="s">
        <v>113</v>
      </c>
      <c r="F23" t="s">
        <v>115</v>
      </c>
      <c r="G23" t="s">
        <v>457</v>
      </c>
      <c r="H23" t="s">
        <v>448</v>
      </c>
      <c r="I23" t="s">
        <v>20</v>
      </c>
      <c r="J23" t="s">
        <v>398</v>
      </c>
      <c r="K23" s="70" t="s">
        <v>458</v>
      </c>
    </row>
    <row r="24" spans="1:11" x14ac:dyDescent="0.2">
      <c r="A24" s="70" t="s">
        <v>410</v>
      </c>
      <c r="B24" t="s">
        <v>675</v>
      </c>
      <c r="C24" t="s">
        <v>55</v>
      </c>
      <c r="D24" t="s">
        <v>39</v>
      </c>
      <c r="E24" t="s">
        <v>113</v>
      </c>
      <c r="F24" t="s">
        <v>115</v>
      </c>
      <c r="G24" t="s">
        <v>457</v>
      </c>
      <c r="H24" t="s">
        <v>448</v>
      </c>
      <c r="I24" t="s">
        <v>20</v>
      </c>
      <c r="J24" t="s">
        <v>398</v>
      </c>
      <c r="K24" s="70" t="s">
        <v>458</v>
      </c>
    </row>
    <row r="25" spans="1:11" x14ac:dyDescent="0.2">
      <c r="A25" s="70" t="s">
        <v>410</v>
      </c>
      <c r="B25" t="s">
        <v>675</v>
      </c>
      <c r="C25" t="s">
        <v>55</v>
      </c>
      <c r="D25" t="s">
        <v>39</v>
      </c>
      <c r="E25" t="s">
        <v>113</v>
      </c>
      <c r="F25" t="s">
        <v>215</v>
      </c>
      <c r="G25" t="s">
        <v>457</v>
      </c>
      <c r="H25" t="s">
        <v>448</v>
      </c>
      <c r="I25" t="s">
        <v>20</v>
      </c>
      <c r="J25" t="s">
        <v>398</v>
      </c>
      <c r="K25" s="70" t="s">
        <v>458</v>
      </c>
    </row>
    <row r="26" spans="1:11" x14ac:dyDescent="0.2">
      <c r="A26" s="70" t="s">
        <v>410</v>
      </c>
      <c r="B26" t="s">
        <v>675</v>
      </c>
      <c r="C26" t="s">
        <v>55</v>
      </c>
      <c r="D26" t="s">
        <v>41</v>
      </c>
      <c r="E26" t="s">
        <v>74</v>
      </c>
      <c r="F26" t="s">
        <v>118</v>
      </c>
      <c r="G26" t="s">
        <v>457</v>
      </c>
      <c r="H26" t="s">
        <v>448</v>
      </c>
      <c r="I26" t="s">
        <v>20</v>
      </c>
      <c r="J26" t="s">
        <v>398</v>
      </c>
      <c r="K26" s="70" t="s">
        <v>458</v>
      </c>
    </row>
    <row r="27" spans="1:11" x14ac:dyDescent="0.2">
      <c r="A27" s="70" t="s">
        <v>410</v>
      </c>
      <c r="B27" t="s">
        <v>676</v>
      </c>
      <c r="C27" t="s">
        <v>51</v>
      </c>
      <c r="D27" t="s">
        <v>37</v>
      </c>
      <c r="E27" t="s">
        <v>113</v>
      </c>
      <c r="F27" t="s">
        <v>114</v>
      </c>
      <c r="G27" t="s">
        <v>459</v>
      </c>
      <c r="H27" t="s">
        <v>448</v>
      </c>
      <c r="I27" t="s">
        <v>20</v>
      </c>
      <c r="J27" t="s">
        <v>398</v>
      </c>
      <c r="K27" s="70" t="s">
        <v>460</v>
      </c>
    </row>
    <row r="28" spans="1:11" x14ac:dyDescent="0.2">
      <c r="A28" s="70" t="s">
        <v>410</v>
      </c>
      <c r="B28" t="s">
        <v>676</v>
      </c>
      <c r="C28" t="s">
        <v>51</v>
      </c>
      <c r="D28" t="s">
        <v>37</v>
      </c>
      <c r="E28" t="s">
        <v>74</v>
      </c>
      <c r="F28" t="s">
        <v>75</v>
      </c>
      <c r="G28" t="s">
        <v>459</v>
      </c>
      <c r="H28" t="s">
        <v>448</v>
      </c>
      <c r="I28" t="s">
        <v>20</v>
      </c>
      <c r="J28" t="s">
        <v>398</v>
      </c>
      <c r="K28" s="70" t="s">
        <v>460</v>
      </c>
    </row>
    <row r="29" spans="1:11" x14ac:dyDescent="0.2">
      <c r="A29" s="70" t="s">
        <v>410</v>
      </c>
      <c r="B29" t="s">
        <v>676</v>
      </c>
      <c r="C29" t="s">
        <v>55</v>
      </c>
      <c r="D29" t="s">
        <v>39</v>
      </c>
      <c r="E29" t="s">
        <v>113</v>
      </c>
      <c r="F29" t="s">
        <v>319</v>
      </c>
      <c r="G29" t="s">
        <v>459</v>
      </c>
      <c r="H29" t="s">
        <v>448</v>
      </c>
      <c r="I29" t="s">
        <v>20</v>
      </c>
      <c r="J29" t="s">
        <v>398</v>
      </c>
      <c r="K29" s="70" t="s">
        <v>460</v>
      </c>
    </row>
    <row r="30" spans="1:11" x14ac:dyDescent="0.2">
      <c r="A30" s="70" t="s">
        <v>410</v>
      </c>
      <c r="B30" t="s">
        <v>676</v>
      </c>
      <c r="C30" t="s">
        <v>55</v>
      </c>
      <c r="D30" t="s">
        <v>39</v>
      </c>
      <c r="E30" t="s">
        <v>65</v>
      </c>
      <c r="F30" t="s">
        <v>67</v>
      </c>
      <c r="G30" t="s">
        <v>459</v>
      </c>
      <c r="H30" t="s">
        <v>448</v>
      </c>
      <c r="I30" t="s">
        <v>20</v>
      </c>
      <c r="J30" t="s">
        <v>398</v>
      </c>
      <c r="K30" s="70" t="s">
        <v>460</v>
      </c>
    </row>
    <row r="31" spans="1:11" x14ac:dyDescent="0.2">
      <c r="A31" s="70" t="s">
        <v>410</v>
      </c>
      <c r="B31" t="s">
        <v>676</v>
      </c>
      <c r="C31" t="s">
        <v>55</v>
      </c>
      <c r="D31" t="s">
        <v>39</v>
      </c>
      <c r="E31" t="s">
        <v>180</v>
      </c>
      <c r="F31" t="s">
        <v>232</v>
      </c>
      <c r="G31" t="s">
        <v>459</v>
      </c>
      <c r="H31" t="s">
        <v>448</v>
      </c>
      <c r="I31" t="s">
        <v>20</v>
      </c>
      <c r="J31" t="s">
        <v>398</v>
      </c>
      <c r="K31" s="70" t="s">
        <v>460</v>
      </c>
    </row>
    <row r="32" spans="1:11" x14ac:dyDescent="0.2">
      <c r="A32" s="70" t="s">
        <v>410</v>
      </c>
      <c r="B32" t="s">
        <v>676</v>
      </c>
      <c r="C32" t="s">
        <v>55</v>
      </c>
      <c r="D32" t="s">
        <v>39</v>
      </c>
      <c r="E32" t="s">
        <v>74</v>
      </c>
      <c r="F32" t="s">
        <v>75</v>
      </c>
      <c r="G32" t="s">
        <v>459</v>
      </c>
      <c r="H32" t="s">
        <v>448</v>
      </c>
      <c r="I32" t="s">
        <v>20</v>
      </c>
      <c r="J32" t="s">
        <v>398</v>
      </c>
      <c r="K32" s="70" t="s">
        <v>460</v>
      </c>
    </row>
    <row r="33" spans="1:11" x14ac:dyDescent="0.2">
      <c r="A33" s="70" t="s">
        <v>410</v>
      </c>
      <c r="B33" t="s">
        <v>676</v>
      </c>
      <c r="C33" t="s">
        <v>55</v>
      </c>
      <c r="D33" t="s">
        <v>39</v>
      </c>
      <c r="E33" t="s">
        <v>289</v>
      </c>
      <c r="F33" t="s">
        <v>368</v>
      </c>
      <c r="G33" t="s">
        <v>459</v>
      </c>
      <c r="H33" t="s">
        <v>448</v>
      </c>
      <c r="I33" t="s">
        <v>20</v>
      </c>
      <c r="J33" t="s">
        <v>398</v>
      </c>
      <c r="K33" s="70" t="s">
        <v>460</v>
      </c>
    </row>
    <row r="34" spans="1:11" x14ac:dyDescent="0.2">
      <c r="A34" s="70" t="s">
        <v>410</v>
      </c>
      <c r="B34" t="s">
        <v>676</v>
      </c>
      <c r="C34" t="s">
        <v>55</v>
      </c>
      <c r="D34" t="s">
        <v>39</v>
      </c>
      <c r="E34" t="s">
        <v>289</v>
      </c>
      <c r="F34" t="s">
        <v>365</v>
      </c>
      <c r="G34" t="s">
        <v>459</v>
      </c>
      <c r="H34" t="s">
        <v>448</v>
      </c>
      <c r="I34" t="s">
        <v>20</v>
      </c>
      <c r="J34" t="s">
        <v>398</v>
      </c>
      <c r="K34" s="70" t="s">
        <v>460</v>
      </c>
    </row>
    <row r="35" spans="1:11" x14ac:dyDescent="0.2">
      <c r="A35" s="70" t="s">
        <v>410</v>
      </c>
      <c r="B35" t="s">
        <v>676</v>
      </c>
      <c r="C35" t="s">
        <v>55</v>
      </c>
      <c r="D35" t="s">
        <v>39</v>
      </c>
      <c r="E35" t="s">
        <v>289</v>
      </c>
      <c r="F35" t="s">
        <v>290</v>
      </c>
      <c r="G35" t="s">
        <v>459</v>
      </c>
      <c r="H35" t="s">
        <v>448</v>
      </c>
      <c r="I35" t="s">
        <v>20</v>
      </c>
      <c r="J35" t="s">
        <v>398</v>
      </c>
      <c r="K35" s="70" t="s">
        <v>460</v>
      </c>
    </row>
    <row r="36" spans="1:11" x14ac:dyDescent="0.2">
      <c r="A36" s="70" t="s">
        <v>410</v>
      </c>
      <c r="B36" t="s">
        <v>676</v>
      </c>
      <c r="C36" t="s">
        <v>55</v>
      </c>
      <c r="D36" t="s">
        <v>39</v>
      </c>
      <c r="E36" t="s">
        <v>289</v>
      </c>
      <c r="F36" t="s">
        <v>369</v>
      </c>
      <c r="G36" t="s">
        <v>459</v>
      </c>
      <c r="H36" t="s">
        <v>448</v>
      </c>
      <c r="I36" t="s">
        <v>20</v>
      </c>
      <c r="J36" t="s">
        <v>398</v>
      </c>
      <c r="K36" s="70" t="s">
        <v>460</v>
      </c>
    </row>
    <row r="37" spans="1:11" x14ac:dyDescent="0.2">
      <c r="A37" s="70" t="s">
        <v>410</v>
      </c>
      <c r="B37" t="s">
        <v>676</v>
      </c>
      <c r="C37" t="s">
        <v>55</v>
      </c>
      <c r="D37" t="s">
        <v>39</v>
      </c>
      <c r="E37" t="s">
        <v>161</v>
      </c>
      <c r="F37" t="s">
        <v>364</v>
      </c>
      <c r="G37" t="s">
        <v>459</v>
      </c>
      <c r="H37" t="s">
        <v>448</v>
      </c>
      <c r="I37" t="s">
        <v>20</v>
      </c>
      <c r="J37" t="s">
        <v>398</v>
      </c>
      <c r="K37" s="70" t="s">
        <v>460</v>
      </c>
    </row>
    <row r="38" spans="1:11" x14ac:dyDescent="0.2">
      <c r="A38" s="70" t="s">
        <v>410</v>
      </c>
      <c r="B38" t="s">
        <v>676</v>
      </c>
      <c r="C38" t="s">
        <v>55</v>
      </c>
      <c r="D38" t="s">
        <v>41</v>
      </c>
      <c r="E38" t="s">
        <v>113</v>
      </c>
      <c r="F38" t="s">
        <v>319</v>
      </c>
      <c r="G38" t="s">
        <v>459</v>
      </c>
      <c r="H38" t="s">
        <v>448</v>
      </c>
      <c r="I38" t="s">
        <v>20</v>
      </c>
      <c r="J38" t="s">
        <v>398</v>
      </c>
      <c r="K38" s="70" t="s">
        <v>460</v>
      </c>
    </row>
    <row r="39" spans="1:11" x14ac:dyDescent="0.2">
      <c r="A39" s="70" t="s">
        <v>410</v>
      </c>
      <c r="B39" t="s">
        <v>676</v>
      </c>
      <c r="C39" t="s">
        <v>55</v>
      </c>
      <c r="D39" t="s">
        <v>41</v>
      </c>
      <c r="E39" t="s">
        <v>65</v>
      </c>
      <c r="F39" t="s">
        <v>67</v>
      </c>
      <c r="G39" t="s">
        <v>459</v>
      </c>
      <c r="H39" t="s">
        <v>448</v>
      </c>
      <c r="I39" t="s">
        <v>20</v>
      </c>
      <c r="J39" t="s">
        <v>398</v>
      </c>
      <c r="K39" s="70" t="s">
        <v>460</v>
      </c>
    </row>
    <row r="40" spans="1:11" x14ac:dyDescent="0.2">
      <c r="A40" s="70" t="s">
        <v>410</v>
      </c>
      <c r="B40" t="s">
        <v>676</v>
      </c>
      <c r="C40" t="s">
        <v>55</v>
      </c>
      <c r="D40" t="s">
        <v>41</v>
      </c>
      <c r="E40" t="s">
        <v>180</v>
      </c>
      <c r="F40" t="s">
        <v>232</v>
      </c>
      <c r="G40" t="s">
        <v>459</v>
      </c>
      <c r="H40" t="s">
        <v>448</v>
      </c>
      <c r="I40" t="s">
        <v>20</v>
      </c>
      <c r="J40" t="s">
        <v>398</v>
      </c>
      <c r="K40" s="70" t="s">
        <v>460</v>
      </c>
    </row>
    <row r="41" spans="1:11" x14ac:dyDescent="0.2">
      <c r="A41" s="70" t="s">
        <v>410</v>
      </c>
      <c r="B41" t="s">
        <v>676</v>
      </c>
      <c r="C41" t="s">
        <v>55</v>
      </c>
      <c r="D41" t="s">
        <v>41</v>
      </c>
      <c r="E41" t="s">
        <v>74</v>
      </c>
      <c r="F41" t="s">
        <v>75</v>
      </c>
      <c r="G41" t="s">
        <v>459</v>
      </c>
      <c r="H41" t="s">
        <v>448</v>
      </c>
      <c r="I41" t="s">
        <v>20</v>
      </c>
      <c r="J41" t="s">
        <v>398</v>
      </c>
      <c r="K41" s="70" t="s">
        <v>460</v>
      </c>
    </row>
    <row r="42" spans="1:11" x14ac:dyDescent="0.2">
      <c r="A42" s="70" t="s">
        <v>410</v>
      </c>
      <c r="B42" t="s">
        <v>676</v>
      </c>
      <c r="C42" t="s">
        <v>55</v>
      </c>
      <c r="D42" t="s">
        <v>41</v>
      </c>
      <c r="E42" t="s">
        <v>289</v>
      </c>
      <c r="F42" t="s">
        <v>368</v>
      </c>
      <c r="G42" t="s">
        <v>459</v>
      </c>
      <c r="H42" t="s">
        <v>448</v>
      </c>
      <c r="I42" t="s">
        <v>20</v>
      </c>
      <c r="J42" t="s">
        <v>398</v>
      </c>
      <c r="K42" s="70" t="s">
        <v>460</v>
      </c>
    </row>
    <row r="43" spans="1:11" x14ac:dyDescent="0.2">
      <c r="A43" s="70" t="s">
        <v>410</v>
      </c>
      <c r="B43" t="s">
        <v>676</v>
      </c>
      <c r="C43" t="s">
        <v>55</v>
      </c>
      <c r="D43" t="s">
        <v>41</v>
      </c>
      <c r="E43" t="s">
        <v>289</v>
      </c>
      <c r="F43" t="s">
        <v>365</v>
      </c>
      <c r="G43" t="s">
        <v>459</v>
      </c>
      <c r="H43" t="s">
        <v>448</v>
      </c>
      <c r="I43" t="s">
        <v>20</v>
      </c>
      <c r="J43" t="s">
        <v>398</v>
      </c>
      <c r="K43" s="70" t="s">
        <v>460</v>
      </c>
    </row>
    <row r="44" spans="1:11" x14ac:dyDescent="0.2">
      <c r="A44" s="70" t="s">
        <v>410</v>
      </c>
      <c r="B44" t="s">
        <v>676</v>
      </c>
      <c r="C44" t="s">
        <v>55</v>
      </c>
      <c r="D44" t="s">
        <v>41</v>
      </c>
      <c r="E44" t="s">
        <v>289</v>
      </c>
      <c r="F44" t="s">
        <v>290</v>
      </c>
      <c r="G44" t="s">
        <v>459</v>
      </c>
      <c r="H44" t="s">
        <v>448</v>
      </c>
      <c r="I44" t="s">
        <v>20</v>
      </c>
      <c r="J44" t="s">
        <v>398</v>
      </c>
      <c r="K44" s="70" t="s">
        <v>460</v>
      </c>
    </row>
    <row r="45" spans="1:11" x14ac:dyDescent="0.2">
      <c r="A45" s="70" t="s">
        <v>410</v>
      </c>
      <c r="B45" t="s">
        <v>676</v>
      </c>
      <c r="C45" t="s">
        <v>55</v>
      </c>
      <c r="D45" t="s">
        <v>41</v>
      </c>
      <c r="E45" t="s">
        <v>289</v>
      </c>
      <c r="F45" t="s">
        <v>369</v>
      </c>
      <c r="G45" t="s">
        <v>459</v>
      </c>
      <c r="H45" t="s">
        <v>448</v>
      </c>
      <c r="I45" t="s">
        <v>20</v>
      </c>
      <c r="J45" t="s">
        <v>398</v>
      </c>
      <c r="K45" s="70" t="s">
        <v>460</v>
      </c>
    </row>
    <row r="46" spans="1:11" x14ac:dyDescent="0.2">
      <c r="A46" s="70" t="s">
        <v>410</v>
      </c>
      <c r="B46" t="s">
        <v>676</v>
      </c>
      <c r="C46" t="s">
        <v>55</v>
      </c>
      <c r="D46" t="s">
        <v>41</v>
      </c>
      <c r="E46" t="s">
        <v>161</v>
      </c>
      <c r="F46" t="s">
        <v>364</v>
      </c>
      <c r="G46" t="s">
        <v>459</v>
      </c>
      <c r="H46" t="s">
        <v>448</v>
      </c>
      <c r="I46" t="s">
        <v>20</v>
      </c>
      <c r="J46" t="s">
        <v>398</v>
      </c>
      <c r="K46" s="70" t="s">
        <v>460</v>
      </c>
    </row>
    <row r="47" spans="1:11" x14ac:dyDescent="0.2">
      <c r="A47" s="70" t="s">
        <v>410</v>
      </c>
      <c r="B47" t="s">
        <v>677</v>
      </c>
      <c r="C47" t="s">
        <v>51</v>
      </c>
      <c r="D47" t="s">
        <v>37</v>
      </c>
      <c r="E47" t="s">
        <v>113</v>
      </c>
      <c r="F47" t="s">
        <v>114</v>
      </c>
      <c r="G47" t="s">
        <v>463</v>
      </c>
      <c r="H47" t="s">
        <v>448</v>
      </c>
      <c r="I47" t="s">
        <v>20</v>
      </c>
      <c r="J47" t="s">
        <v>398</v>
      </c>
      <c r="K47" s="70" t="s">
        <v>464</v>
      </c>
    </row>
    <row r="48" spans="1:11" x14ac:dyDescent="0.2">
      <c r="A48" s="70" t="s">
        <v>410</v>
      </c>
      <c r="B48" t="s">
        <v>677</v>
      </c>
      <c r="D48" t="s">
        <v>37</v>
      </c>
      <c r="E48" t="s">
        <v>113</v>
      </c>
      <c r="F48" t="s">
        <v>115</v>
      </c>
      <c r="G48" t="s">
        <v>463</v>
      </c>
      <c r="H48" t="s">
        <v>448</v>
      </c>
      <c r="I48" t="s">
        <v>20</v>
      </c>
      <c r="J48" t="s">
        <v>398</v>
      </c>
      <c r="K48" s="70" t="s">
        <v>464</v>
      </c>
    </row>
    <row r="49" spans="1:11" x14ac:dyDescent="0.2">
      <c r="A49" s="70" t="s">
        <v>410</v>
      </c>
      <c r="B49" t="s">
        <v>677</v>
      </c>
      <c r="D49" t="s">
        <v>37</v>
      </c>
      <c r="E49" t="s">
        <v>74</v>
      </c>
      <c r="F49" t="s">
        <v>179</v>
      </c>
      <c r="G49" t="s">
        <v>463</v>
      </c>
      <c r="H49" t="s">
        <v>448</v>
      </c>
      <c r="I49" t="s">
        <v>20</v>
      </c>
      <c r="J49" t="s">
        <v>398</v>
      </c>
      <c r="K49" s="70" t="s">
        <v>464</v>
      </c>
    </row>
    <row r="50" spans="1:11" x14ac:dyDescent="0.2">
      <c r="A50" s="70" t="s">
        <v>410</v>
      </c>
      <c r="B50" t="s">
        <v>677</v>
      </c>
      <c r="D50" t="s">
        <v>39</v>
      </c>
      <c r="E50" t="s">
        <v>65</v>
      </c>
      <c r="F50" t="s">
        <v>66</v>
      </c>
      <c r="G50" t="s">
        <v>463</v>
      </c>
      <c r="H50" t="s">
        <v>448</v>
      </c>
      <c r="I50" t="s">
        <v>20</v>
      </c>
      <c r="J50" t="s">
        <v>398</v>
      </c>
      <c r="K50" s="70" t="s">
        <v>464</v>
      </c>
    </row>
    <row r="51" spans="1:11" x14ac:dyDescent="0.2">
      <c r="A51" s="70" t="s">
        <v>410</v>
      </c>
      <c r="B51" t="s">
        <v>677</v>
      </c>
      <c r="D51" t="s">
        <v>39</v>
      </c>
      <c r="E51" t="s">
        <v>180</v>
      </c>
      <c r="F51" t="s">
        <v>181</v>
      </c>
      <c r="G51" t="s">
        <v>463</v>
      </c>
      <c r="H51" t="s">
        <v>448</v>
      </c>
      <c r="I51" t="s">
        <v>20</v>
      </c>
      <c r="J51" t="s">
        <v>398</v>
      </c>
      <c r="K51" s="70" t="s">
        <v>464</v>
      </c>
    </row>
    <row r="52" spans="1:11" x14ac:dyDescent="0.2">
      <c r="A52" s="70" t="s">
        <v>410</v>
      </c>
      <c r="B52" t="s">
        <v>677</v>
      </c>
      <c r="D52" t="s">
        <v>41</v>
      </c>
      <c r="E52" t="s">
        <v>116</v>
      </c>
      <c r="F52" t="s">
        <v>354</v>
      </c>
      <c r="G52" t="s">
        <v>463</v>
      </c>
      <c r="H52" t="s">
        <v>448</v>
      </c>
      <c r="I52" t="s">
        <v>20</v>
      </c>
      <c r="J52" t="s">
        <v>398</v>
      </c>
      <c r="K52" s="70" t="s">
        <v>464</v>
      </c>
    </row>
    <row r="53" spans="1:11" x14ac:dyDescent="0.2">
      <c r="A53" s="70" t="s">
        <v>410</v>
      </c>
      <c r="B53" t="s">
        <v>677</v>
      </c>
      <c r="C53" t="s">
        <v>55</v>
      </c>
      <c r="D53" t="s">
        <v>39</v>
      </c>
      <c r="E53" t="s">
        <v>113</v>
      </c>
      <c r="F53" t="s">
        <v>115</v>
      </c>
      <c r="G53" t="s">
        <v>463</v>
      </c>
      <c r="H53" t="s">
        <v>448</v>
      </c>
      <c r="I53" t="s">
        <v>20</v>
      </c>
      <c r="J53" t="s">
        <v>398</v>
      </c>
      <c r="K53" s="70" t="s">
        <v>464</v>
      </c>
    </row>
    <row r="54" spans="1:11" x14ac:dyDescent="0.2">
      <c r="A54" s="70" t="s">
        <v>410</v>
      </c>
      <c r="B54" t="s">
        <v>677</v>
      </c>
      <c r="D54" t="s">
        <v>39</v>
      </c>
      <c r="E54" t="s">
        <v>74</v>
      </c>
      <c r="F54" t="s">
        <v>179</v>
      </c>
      <c r="G54" t="s">
        <v>463</v>
      </c>
      <c r="H54" t="s">
        <v>448</v>
      </c>
      <c r="I54" t="s">
        <v>20</v>
      </c>
      <c r="J54" t="s">
        <v>398</v>
      </c>
      <c r="K54" s="70" t="s">
        <v>464</v>
      </c>
    </row>
    <row r="55" spans="1:11" x14ac:dyDescent="0.2">
      <c r="A55" s="70" t="s">
        <v>410</v>
      </c>
      <c r="B55" t="s">
        <v>677</v>
      </c>
      <c r="D55" t="s">
        <v>41</v>
      </c>
      <c r="E55" t="s">
        <v>116</v>
      </c>
      <c r="F55" t="s">
        <v>352</v>
      </c>
      <c r="G55" t="s">
        <v>463</v>
      </c>
      <c r="H55" t="s">
        <v>448</v>
      </c>
      <c r="I55" t="s">
        <v>20</v>
      </c>
      <c r="J55" t="s">
        <v>398</v>
      </c>
      <c r="K55" s="70" t="s">
        <v>464</v>
      </c>
    </row>
    <row r="56" spans="1:11" x14ac:dyDescent="0.2">
      <c r="A56" s="70" t="s">
        <v>410</v>
      </c>
      <c r="B56" t="s">
        <v>677</v>
      </c>
      <c r="D56" t="s">
        <v>41</v>
      </c>
      <c r="E56" t="s">
        <v>65</v>
      </c>
      <c r="F56" t="s">
        <v>360</v>
      </c>
      <c r="G56" t="s">
        <v>463</v>
      </c>
      <c r="H56" t="s">
        <v>448</v>
      </c>
      <c r="I56" t="s">
        <v>20</v>
      </c>
      <c r="J56" t="s">
        <v>398</v>
      </c>
      <c r="K56" s="70" t="s">
        <v>464</v>
      </c>
    </row>
    <row r="57" spans="1:11" x14ac:dyDescent="0.2">
      <c r="A57" s="70" t="s">
        <v>410</v>
      </c>
      <c r="B57" t="s">
        <v>678</v>
      </c>
      <c r="C57" t="s">
        <v>51</v>
      </c>
      <c r="D57" t="s">
        <v>37</v>
      </c>
      <c r="E57" t="s">
        <v>113</v>
      </c>
      <c r="F57" t="s">
        <v>115</v>
      </c>
      <c r="G57" t="s">
        <v>465</v>
      </c>
      <c r="H57" t="s">
        <v>448</v>
      </c>
      <c r="I57" t="s">
        <v>20</v>
      </c>
      <c r="J57" t="s">
        <v>398</v>
      </c>
      <c r="K57" s="70" t="s">
        <v>466</v>
      </c>
    </row>
    <row r="58" spans="1:11" x14ac:dyDescent="0.2">
      <c r="A58" s="70" t="s">
        <v>410</v>
      </c>
      <c r="B58" t="s">
        <v>678</v>
      </c>
      <c r="C58" t="s">
        <v>51</v>
      </c>
      <c r="D58" t="s">
        <v>37</v>
      </c>
      <c r="E58" t="s">
        <v>113</v>
      </c>
      <c r="F58" t="s">
        <v>215</v>
      </c>
      <c r="G58" t="s">
        <v>465</v>
      </c>
      <c r="H58" t="s">
        <v>448</v>
      </c>
      <c r="I58" t="s">
        <v>20</v>
      </c>
      <c r="J58" t="s">
        <v>398</v>
      </c>
      <c r="K58" s="70" t="s">
        <v>466</v>
      </c>
    </row>
    <row r="59" spans="1:11" x14ac:dyDescent="0.2">
      <c r="A59" s="70" t="s">
        <v>410</v>
      </c>
      <c r="B59" t="s">
        <v>678</v>
      </c>
      <c r="C59" t="s">
        <v>51</v>
      </c>
      <c r="D59" t="s">
        <v>37</v>
      </c>
      <c r="E59" t="s">
        <v>180</v>
      </c>
      <c r="F59" t="s">
        <v>195</v>
      </c>
      <c r="G59" t="s">
        <v>465</v>
      </c>
      <c r="H59" t="s">
        <v>448</v>
      </c>
      <c r="I59" t="s">
        <v>20</v>
      </c>
      <c r="J59" t="s">
        <v>398</v>
      </c>
      <c r="K59" s="70" t="s">
        <v>466</v>
      </c>
    </row>
    <row r="60" spans="1:11" x14ac:dyDescent="0.2">
      <c r="A60" s="70" t="s">
        <v>410</v>
      </c>
      <c r="B60" t="s">
        <v>678</v>
      </c>
      <c r="C60" t="s">
        <v>51</v>
      </c>
      <c r="D60" t="s">
        <v>37</v>
      </c>
      <c r="E60" t="s">
        <v>116</v>
      </c>
      <c r="F60" t="s">
        <v>354</v>
      </c>
      <c r="G60" t="s">
        <v>465</v>
      </c>
      <c r="H60" t="s">
        <v>448</v>
      </c>
      <c r="I60" t="s">
        <v>20</v>
      </c>
      <c r="J60" t="s">
        <v>398</v>
      </c>
      <c r="K60" s="70" t="s">
        <v>466</v>
      </c>
    </row>
    <row r="61" spans="1:11" x14ac:dyDescent="0.2">
      <c r="A61" s="70" t="s">
        <v>410</v>
      </c>
      <c r="B61" t="s">
        <v>678</v>
      </c>
      <c r="C61" t="s">
        <v>51</v>
      </c>
      <c r="D61" t="s">
        <v>37</v>
      </c>
      <c r="E61" t="s">
        <v>65</v>
      </c>
      <c r="F61" t="s">
        <v>360</v>
      </c>
      <c r="G61" t="s">
        <v>465</v>
      </c>
      <c r="H61" t="s">
        <v>448</v>
      </c>
      <c r="I61" t="s">
        <v>20</v>
      </c>
      <c r="J61" t="s">
        <v>398</v>
      </c>
      <c r="K61" s="70" t="s">
        <v>466</v>
      </c>
    </row>
    <row r="62" spans="1:11" x14ac:dyDescent="0.2">
      <c r="A62" s="70" t="s">
        <v>410</v>
      </c>
      <c r="B62" t="s">
        <v>678</v>
      </c>
      <c r="C62" t="s">
        <v>55</v>
      </c>
      <c r="D62" t="s">
        <v>39</v>
      </c>
      <c r="E62" t="s">
        <v>113</v>
      </c>
      <c r="F62" t="s">
        <v>323</v>
      </c>
      <c r="G62" t="s">
        <v>465</v>
      </c>
      <c r="H62" t="s">
        <v>448</v>
      </c>
      <c r="I62" t="s">
        <v>20</v>
      </c>
      <c r="J62" t="s">
        <v>398</v>
      </c>
      <c r="K62" s="70" t="s">
        <v>466</v>
      </c>
    </row>
    <row r="63" spans="1:11" x14ac:dyDescent="0.2">
      <c r="A63" s="70" t="s">
        <v>410</v>
      </c>
      <c r="B63" t="s">
        <v>678</v>
      </c>
      <c r="C63" t="s">
        <v>55</v>
      </c>
      <c r="D63" t="s">
        <v>39</v>
      </c>
      <c r="E63" t="s">
        <v>65</v>
      </c>
      <c r="F63" t="s">
        <v>66</v>
      </c>
      <c r="G63" t="s">
        <v>465</v>
      </c>
      <c r="H63" t="s">
        <v>448</v>
      </c>
      <c r="I63" t="s">
        <v>20</v>
      </c>
      <c r="J63" t="s">
        <v>398</v>
      </c>
      <c r="K63" s="70" t="s">
        <v>466</v>
      </c>
    </row>
    <row r="64" spans="1:11" x14ac:dyDescent="0.2">
      <c r="A64" s="70" t="s">
        <v>410</v>
      </c>
      <c r="B64" t="s">
        <v>678</v>
      </c>
      <c r="C64" t="s">
        <v>55</v>
      </c>
      <c r="D64" t="s">
        <v>39</v>
      </c>
      <c r="E64" t="s">
        <v>65</v>
      </c>
      <c r="F64" t="s">
        <v>359</v>
      </c>
      <c r="G64" t="s">
        <v>465</v>
      </c>
      <c r="H64" t="s">
        <v>448</v>
      </c>
      <c r="I64" t="s">
        <v>20</v>
      </c>
      <c r="J64" t="s">
        <v>398</v>
      </c>
      <c r="K64" s="70" t="s">
        <v>466</v>
      </c>
    </row>
    <row r="65" spans="1:11" x14ac:dyDescent="0.2">
      <c r="A65" s="70" t="s">
        <v>410</v>
      </c>
      <c r="B65" t="s">
        <v>678</v>
      </c>
      <c r="C65" t="s">
        <v>55</v>
      </c>
      <c r="D65" t="s">
        <v>39</v>
      </c>
      <c r="E65" t="s">
        <v>289</v>
      </c>
      <c r="F65" t="s">
        <v>368</v>
      </c>
      <c r="G65" t="s">
        <v>465</v>
      </c>
      <c r="H65" t="s">
        <v>448</v>
      </c>
      <c r="I65" t="s">
        <v>20</v>
      </c>
      <c r="J65" t="s">
        <v>398</v>
      </c>
      <c r="K65" s="70" t="s">
        <v>466</v>
      </c>
    </row>
    <row r="66" spans="1:11" x14ac:dyDescent="0.2">
      <c r="A66" s="70" t="s">
        <v>410</v>
      </c>
      <c r="B66" t="s">
        <v>678</v>
      </c>
      <c r="C66" t="s">
        <v>55</v>
      </c>
      <c r="D66" t="s">
        <v>39</v>
      </c>
      <c r="E66" t="s">
        <v>116</v>
      </c>
      <c r="F66" t="s">
        <v>353</v>
      </c>
      <c r="G66" t="s">
        <v>465</v>
      </c>
      <c r="H66" t="s">
        <v>448</v>
      </c>
      <c r="I66" t="s">
        <v>20</v>
      </c>
      <c r="J66" t="s">
        <v>398</v>
      </c>
      <c r="K66" s="70" t="s">
        <v>466</v>
      </c>
    </row>
    <row r="67" spans="1:11" x14ac:dyDescent="0.2">
      <c r="A67" s="70" t="s">
        <v>410</v>
      </c>
      <c r="B67" t="s">
        <v>678</v>
      </c>
      <c r="C67" t="s">
        <v>61</v>
      </c>
      <c r="G67" t="s">
        <v>465</v>
      </c>
      <c r="H67" t="s">
        <v>448</v>
      </c>
      <c r="I67" t="s">
        <v>20</v>
      </c>
      <c r="J67" t="s">
        <v>398</v>
      </c>
      <c r="K67" s="70" t="s">
        <v>466</v>
      </c>
    </row>
    <row r="68" spans="1:11" x14ac:dyDescent="0.2">
      <c r="A68" s="70" t="s">
        <v>410</v>
      </c>
      <c r="B68" t="s">
        <v>679</v>
      </c>
      <c r="C68" t="s">
        <v>51</v>
      </c>
      <c r="D68" t="s">
        <v>37</v>
      </c>
      <c r="G68" t="s">
        <v>467</v>
      </c>
      <c r="H68" t="s">
        <v>448</v>
      </c>
      <c r="I68" t="s">
        <v>20</v>
      </c>
      <c r="J68" t="s">
        <v>398</v>
      </c>
      <c r="K68" s="70" t="s">
        <v>468</v>
      </c>
    </row>
    <row r="69" spans="1:11" x14ac:dyDescent="0.2">
      <c r="A69" s="70" t="s">
        <v>410</v>
      </c>
      <c r="B69" t="s">
        <v>679</v>
      </c>
      <c r="C69" t="s">
        <v>51</v>
      </c>
      <c r="D69" t="s">
        <v>37</v>
      </c>
      <c r="G69" t="s">
        <v>467</v>
      </c>
      <c r="H69" t="s">
        <v>448</v>
      </c>
      <c r="I69" t="s">
        <v>20</v>
      </c>
      <c r="J69" t="s">
        <v>398</v>
      </c>
      <c r="K69" s="70" t="s">
        <v>468</v>
      </c>
    </row>
    <row r="70" spans="1:11" x14ac:dyDescent="0.2">
      <c r="A70" s="70" t="s">
        <v>410</v>
      </c>
      <c r="B70" t="s">
        <v>679</v>
      </c>
      <c r="C70" t="s">
        <v>51</v>
      </c>
      <c r="D70" t="s">
        <v>37</v>
      </c>
      <c r="G70" t="s">
        <v>467</v>
      </c>
      <c r="H70" t="s">
        <v>448</v>
      </c>
      <c r="I70" t="s">
        <v>20</v>
      </c>
      <c r="J70" t="s">
        <v>398</v>
      </c>
      <c r="K70" s="70" t="s">
        <v>468</v>
      </c>
    </row>
    <row r="71" spans="1:11" x14ac:dyDescent="0.2">
      <c r="A71" s="70" t="s">
        <v>410</v>
      </c>
      <c r="B71" t="s">
        <v>679</v>
      </c>
      <c r="C71" t="s">
        <v>55</v>
      </c>
      <c r="D71" t="s">
        <v>39</v>
      </c>
      <c r="G71" t="s">
        <v>467</v>
      </c>
      <c r="H71" t="s">
        <v>448</v>
      </c>
      <c r="I71" t="s">
        <v>20</v>
      </c>
      <c r="J71" t="s">
        <v>398</v>
      </c>
      <c r="K71" s="70" t="s">
        <v>468</v>
      </c>
    </row>
    <row r="72" spans="1:11" x14ac:dyDescent="0.2">
      <c r="A72" s="70" t="s">
        <v>410</v>
      </c>
      <c r="B72" t="s">
        <v>679</v>
      </c>
      <c r="C72" t="s">
        <v>55</v>
      </c>
      <c r="D72" t="s">
        <v>39</v>
      </c>
      <c r="G72" t="s">
        <v>467</v>
      </c>
      <c r="H72" t="s">
        <v>448</v>
      </c>
      <c r="I72" t="s">
        <v>20</v>
      </c>
      <c r="J72" t="s">
        <v>398</v>
      </c>
      <c r="K72" s="70" t="s">
        <v>468</v>
      </c>
    </row>
    <row r="73" spans="1:11" x14ac:dyDescent="0.2">
      <c r="A73" s="70" t="s">
        <v>410</v>
      </c>
      <c r="B73" t="s">
        <v>679</v>
      </c>
      <c r="C73" t="s">
        <v>55</v>
      </c>
      <c r="G73" t="s">
        <v>467</v>
      </c>
      <c r="H73" t="s">
        <v>448</v>
      </c>
      <c r="I73" t="s">
        <v>20</v>
      </c>
      <c r="J73" t="s">
        <v>398</v>
      </c>
      <c r="K73" s="70" t="s">
        <v>468</v>
      </c>
    </row>
    <row r="74" spans="1:11" x14ac:dyDescent="0.2">
      <c r="A74" s="70" t="s">
        <v>410</v>
      </c>
      <c r="B74" t="s">
        <v>679</v>
      </c>
      <c r="C74" t="s">
        <v>60</v>
      </c>
      <c r="G74" t="s">
        <v>467</v>
      </c>
      <c r="H74" t="s">
        <v>448</v>
      </c>
      <c r="I74" t="s">
        <v>20</v>
      </c>
      <c r="J74" t="s">
        <v>398</v>
      </c>
      <c r="K74" s="70" t="s">
        <v>468</v>
      </c>
    </row>
    <row r="75" spans="1:11" x14ac:dyDescent="0.2">
      <c r="A75" s="70" t="s">
        <v>410</v>
      </c>
      <c r="B75" t="s">
        <v>679</v>
      </c>
      <c r="C75" t="s">
        <v>60</v>
      </c>
      <c r="G75" t="s">
        <v>467</v>
      </c>
      <c r="H75" t="s">
        <v>448</v>
      </c>
      <c r="I75" t="s">
        <v>20</v>
      </c>
      <c r="J75" t="s">
        <v>398</v>
      </c>
      <c r="K75" s="70" t="s">
        <v>468</v>
      </c>
    </row>
    <row r="76" spans="1:11" x14ac:dyDescent="0.2">
      <c r="A76" s="70" t="s">
        <v>410</v>
      </c>
      <c r="B76" t="s">
        <v>679</v>
      </c>
      <c r="C76" t="s">
        <v>60</v>
      </c>
      <c r="G76" t="s">
        <v>467</v>
      </c>
      <c r="H76" t="s">
        <v>448</v>
      </c>
      <c r="I76" t="s">
        <v>20</v>
      </c>
      <c r="J76" t="s">
        <v>398</v>
      </c>
      <c r="K76" s="70" t="s">
        <v>468</v>
      </c>
    </row>
    <row r="77" spans="1:11" x14ac:dyDescent="0.2">
      <c r="A77" s="70" t="s">
        <v>410</v>
      </c>
      <c r="B77" t="s">
        <v>679</v>
      </c>
      <c r="C77" t="s">
        <v>61</v>
      </c>
      <c r="G77" t="s">
        <v>467</v>
      </c>
      <c r="H77" t="s">
        <v>448</v>
      </c>
      <c r="I77" t="s">
        <v>20</v>
      </c>
      <c r="J77" t="s">
        <v>398</v>
      </c>
      <c r="K77" s="70" t="s">
        <v>468</v>
      </c>
    </row>
    <row r="78" spans="1:11" x14ac:dyDescent="0.2">
      <c r="A78" s="70" t="s">
        <v>410</v>
      </c>
      <c r="B78" t="s">
        <v>679</v>
      </c>
      <c r="C78" t="s">
        <v>61</v>
      </c>
      <c r="G78" t="s">
        <v>467</v>
      </c>
      <c r="H78" t="s">
        <v>448</v>
      </c>
      <c r="I78" t="s">
        <v>20</v>
      </c>
      <c r="J78" t="s">
        <v>398</v>
      </c>
      <c r="K78" s="70" t="s">
        <v>468</v>
      </c>
    </row>
    <row r="79" spans="1:11" x14ac:dyDescent="0.2">
      <c r="A79" s="70" t="s">
        <v>410</v>
      </c>
      <c r="B79" t="s">
        <v>680</v>
      </c>
      <c r="C79" t="s">
        <v>51</v>
      </c>
      <c r="D79" t="s">
        <v>37</v>
      </c>
      <c r="E79" t="s">
        <v>180</v>
      </c>
      <c r="F79" t="s">
        <v>232</v>
      </c>
      <c r="G79" t="s">
        <v>469</v>
      </c>
      <c r="H79" t="s">
        <v>448</v>
      </c>
      <c r="I79" t="s">
        <v>20</v>
      </c>
      <c r="J79" t="s">
        <v>398</v>
      </c>
      <c r="K79" s="70" t="s">
        <v>470</v>
      </c>
    </row>
    <row r="80" spans="1:11" x14ac:dyDescent="0.2">
      <c r="A80" s="70" t="s">
        <v>410</v>
      </c>
      <c r="B80" t="s">
        <v>680</v>
      </c>
      <c r="C80" t="s">
        <v>51</v>
      </c>
      <c r="D80" t="s">
        <v>37</v>
      </c>
      <c r="E80" t="s">
        <v>180</v>
      </c>
      <c r="F80" t="s">
        <v>340</v>
      </c>
      <c r="G80" t="s">
        <v>469</v>
      </c>
      <c r="H80" t="s">
        <v>448</v>
      </c>
      <c r="I80" t="s">
        <v>20</v>
      </c>
      <c r="J80" t="s">
        <v>398</v>
      </c>
      <c r="K80" s="70" t="s">
        <v>470</v>
      </c>
    </row>
    <row r="81" spans="1:11" x14ac:dyDescent="0.2">
      <c r="A81" s="70" t="s">
        <v>410</v>
      </c>
      <c r="B81" t="s">
        <v>680</v>
      </c>
      <c r="C81" t="s">
        <v>51</v>
      </c>
      <c r="D81" t="s">
        <v>37</v>
      </c>
      <c r="E81" t="s">
        <v>74</v>
      </c>
      <c r="F81" t="s">
        <v>350</v>
      </c>
      <c r="G81" t="s">
        <v>469</v>
      </c>
      <c r="H81" t="s">
        <v>448</v>
      </c>
      <c r="I81" t="s">
        <v>20</v>
      </c>
      <c r="J81" t="s">
        <v>398</v>
      </c>
      <c r="K81" s="70" t="s">
        <v>470</v>
      </c>
    </row>
    <row r="82" spans="1:11" x14ac:dyDescent="0.2">
      <c r="A82" s="70" t="s">
        <v>410</v>
      </c>
      <c r="B82" t="s">
        <v>680</v>
      </c>
      <c r="C82" t="s">
        <v>55</v>
      </c>
      <c r="D82" t="s">
        <v>37</v>
      </c>
      <c r="E82" t="s">
        <v>74</v>
      </c>
      <c r="F82" t="s">
        <v>118</v>
      </c>
      <c r="G82" t="s">
        <v>469</v>
      </c>
      <c r="H82" t="s">
        <v>448</v>
      </c>
      <c r="I82" t="s">
        <v>20</v>
      </c>
      <c r="J82" t="s">
        <v>398</v>
      </c>
      <c r="K82" s="70" t="s">
        <v>470</v>
      </c>
    </row>
    <row r="83" spans="1:11" x14ac:dyDescent="0.2">
      <c r="A83" s="70" t="s">
        <v>410</v>
      </c>
      <c r="B83" t="s">
        <v>680</v>
      </c>
      <c r="C83" t="s">
        <v>55</v>
      </c>
      <c r="D83" t="s">
        <v>39</v>
      </c>
      <c r="E83" t="s">
        <v>113</v>
      </c>
      <c r="F83" t="s">
        <v>115</v>
      </c>
      <c r="G83" t="s">
        <v>469</v>
      </c>
      <c r="H83" t="s">
        <v>448</v>
      </c>
      <c r="I83" t="s">
        <v>20</v>
      </c>
      <c r="J83" t="s">
        <v>398</v>
      </c>
      <c r="K83" s="70" t="s">
        <v>470</v>
      </c>
    </row>
    <row r="84" spans="1:11" x14ac:dyDescent="0.2">
      <c r="A84" s="70" t="s">
        <v>410</v>
      </c>
      <c r="B84" t="s">
        <v>680</v>
      </c>
      <c r="C84" t="s">
        <v>55</v>
      </c>
      <c r="D84" t="s">
        <v>39</v>
      </c>
      <c r="E84" t="s">
        <v>113</v>
      </c>
      <c r="F84" t="s">
        <v>215</v>
      </c>
      <c r="G84" t="s">
        <v>469</v>
      </c>
      <c r="H84" t="s">
        <v>448</v>
      </c>
      <c r="I84" t="s">
        <v>20</v>
      </c>
      <c r="J84" t="s">
        <v>398</v>
      </c>
      <c r="K84" s="70" t="s">
        <v>470</v>
      </c>
    </row>
    <row r="85" spans="1:11" x14ac:dyDescent="0.2">
      <c r="A85" s="70" t="s">
        <v>410</v>
      </c>
      <c r="B85" t="s">
        <v>680</v>
      </c>
      <c r="C85" t="s">
        <v>60</v>
      </c>
      <c r="D85" t="s">
        <v>39</v>
      </c>
      <c r="E85" t="s">
        <v>113</v>
      </c>
      <c r="F85" t="s">
        <v>319</v>
      </c>
      <c r="G85" t="s">
        <v>469</v>
      </c>
      <c r="H85" t="s">
        <v>448</v>
      </c>
      <c r="I85" t="s">
        <v>20</v>
      </c>
      <c r="J85" t="s">
        <v>398</v>
      </c>
      <c r="K85" s="70" t="s">
        <v>470</v>
      </c>
    </row>
    <row r="86" spans="1:11" x14ac:dyDescent="0.2">
      <c r="A86" s="70" t="s">
        <v>410</v>
      </c>
      <c r="B86" t="s">
        <v>680</v>
      </c>
      <c r="C86" t="s">
        <v>60</v>
      </c>
      <c r="D86" t="s">
        <v>39</v>
      </c>
      <c r="E86" t="s">
        <v>65</v>
      </c>
      <c r="F86" t="s">
        <v>360</v>
      </c>
      <c r="G86" t="s">
        <v>469</v>
      </c>
      <c r="H86" t="s">
        <v>448</v>
      </c>
      <c r="I86" t="s">
        <v>20</v>
      </c>
      <c r="J86" t="s">
        <v>398</v>
      </c>
      <c r="K86" s="70" t="s">
        <v>470</v>
      </c>
    </row>
    <row r="87" spans="1:11" x14ac:dyDescent="0.2">
      <c r="A87" s="70" t="s">
        <v>410</v>
      </c>
      <c r="B87" t="s">
        <v>680</v>
      </c>
      <c r="C87" t="s">
        <v>60</v>
      </c>
      <c r="D87" t="s">
        <v>41</v>
      </c>
      <c r="E87" t="s">
        <v>116</v>
      </c>
      <c r="F87" t="s">
        <v>354</v>
      </c>
      <c r="G87" t="s">
        <v>469</v>
      </c>
      <c r="H87" t="s">
        <v>448</v>
      </c>
      <c r="I87" t="s">
        <v>20</v>
      </c>
      <c r="J87" t="s">
        <v>398</v>
      </c>
      <c r="K87" s="70" t="s">
        <v>470</v>
      </c>
    </row>
    <row r="88" spans="1:11" x14ac:dyDescent="0.2">
      <c r="A88" s="70" t="s">
        <v>410</v>
      </c>
      <c r="B88" t="s">
        <v>680</v>
      </c>
      <c r="C88" t="s">
        <v>61</v>
      </c>
      <c r="D88" t="s">
        <v>41</v>
      </c>
      <c r="E88" t="s">
        <v>65</v>
      </c>
      <c r="F88" t="s">
        <v>66</v>
      </c>
      <c r="G88" t="s">
        <v>469</v>
      </c>
      <c r="H88" t="s">
        <v>448</v>
      </c>
      <c r="I88" t="s">
        <v>20</v>
      </c>
      <c r="J88" t="s">
        <v>398</v>
      </c>
      <c r="K88" s="70" t="s">
        <v>470</v>
      </c>
    </row>
    <row r="89" spans="1:11" x14ac:dyDescent="0.2">
      <c r="A89" s="70" t="s">
        <v>410</v>
      </c>
      <c r="B89" t="s">
        <v>680</v>
      </c>
      <c r="C89" t="s">
        <v>61</v>
      </c>
      <c r="D89" t="s">
        <v>41</v>
      </c>
      <c r="E89" t="s">
        <v>289</v>
      </c>
      <c r="F89" t="s">
        <v>368</v>
      </c>
      <c r="G89" t="s">
        <v>469</v>
      </c>
      <c r="H89" t="s">
        <v>448</v>
      </c>
      <c r="I89" t="s">
        <v>20</v>
      </c>
      <c r="J89" t="s">
        <v>398</v>
      </c>
      <c r="K89" s="70" t="s">
        <v>470</v>
      </c>
    </row>
    <row r="90" spans="1:11" x14ac:dyDescent="0.2">
      <c r="A90" s="70" t="s">
        <v>399</v>
      </c>
      <c r="B90" t="s">
        <v>681</v>
      </c>
      <c r="C90" t="s">
        <v>51</v>
      </c>
      <c r="D90" t="s">
        <v>37</v>
      </c>
      <c r="E90" t="s">
        <v>65</v>
      </c>
      <c r="F90" t="s">
        <v>66</v>
      </c>
      <c r="G90" t="s">
        <v>384</v>
      </c>
      <c r="H90" t="s">
        <v>448</v>
      </c>
      <c r="I90" t="s">
        <v>20</v>
      </c>
      <c r="J90" t="s">
        <v>398</v>
      </c>
      <c r="K90" s="70" t="s">
        <v>7</v>
      </c>
    </row>
    <row r="91" spans="1:11" x14ac:dyDescent="0.2">
      <c r="A91" s="70" t="s">
        <v>399</v>
      </c>
      <c r="B91" t="s">
        <v>681</v>
      </c>
      <c r="C91" t="s">
        <v>51</v>
      </c>
      <c r="D91" t="s">
        <v>37</v>
      </c>
      <c r="E91" t="s">
        <v>65</v>
      </c>
      <c r="F91" t="s">
        <v>67</v>
      </c>
      <c r="G91" t="s">
        <v>384</v>
      </c>
      <c r="H91" t="s">
        <v>448</v>
      </c>
      <c r="I91" t="s">
        <v>20</v>
      </c>
      <c r="J91" t="s">
        <v>398</v>
      </c>
      <c r="K91" s="70" t="s">
        <v>7</v>
      </c>
    </row>
    <row r="92" spans="1:11" x14ac:dyDescent="0.2">
      <c r="A92" s="70" t="s">
        <v>399</v>
      </c>
      <c r="B92" t="s">
        <v>681</v>
      </c>
      <c r="C92" t="s">
        <v>51</v>
      </c>
      <c r="D92" t="s">
        <v>37</v>
      </c>
      <c r="E92" t="s">
        <v>65</v>
      </c>
      <c r="F92" t="s">
        <v>68</v>
      </c>
      <c r="G92" t="s">
        <v>384</v>
      </c>
      <c r="H92" t="s">
        <v>448</v>
      </c>
      <c r="I92" t="s">
        <v>20</v>
      </c>
      <c r="J92" t="s">
        <v>398</v>
      </c>
      <c r="K92" s="70" t="s">
        <v>7</v>
      </c>
    </row>
    <row r="93" spans="1:11" x14ac:dyDescent="0.2">
      <c r="A93" s="70" t="s">
        <v>399</v>
      </c>
      <c r="B93" t="s">
        <v>681</v>
      </c>
      <c r="C93" t="s">
        <v>51</v>
      </c>
      <c r="D93" t="s">
        <v>37</v>
      </c>
      <c r="E93" t="s">
        <v>69</v>
      </c>
      <c r="F93" t="s">
        <v>70</v>
      </c>
      <c r="G93" t="s">
        <v>384</v>
      </c>
      <c r="H93" t="s">
        <v>448</v>
      </c>
      <c r="I93" t="s">
        <v>20</v>
      </c>
      <c r="J93" t="s">
        <v>398</v>
      </c>
      <c r="K93" s="70" t="s">
        <v>7</v>
      </c>
    </row>
    <row r="94" spans="1:11" x14ac:dyDescent="0.2">
      <c r="A94" s="70" t="s">
        <v>399</v>
      </c>
      <c r="B94" t="s">
        <v>681</v>
      </c>
      <c r="C94" t="s">
        <v>51</v>
      </c>
      <c r="D94" t="s">
        <v>37</v>
      </c>
      <c r="E94" t="s">
        <v>71</v>
      </c>
      <c r="F94" t="s">
        <v>72</v>
      </c>
      <c r="G94" t="s">
        <v>384</v>
      </c>
      <c r="H94" t="s">
        <v>448</v>
      </c>
      <c r="I94" t="s">
        <v>20</v>
      </c>
      <c r="J94" t="s">
        <v>398</v>
      </c>
      <c r="K94" s="70" t="s">
        <v>7</v>
      </c>
    </row>
    <row r="95" spans="1:11" x14ac:dyDescent="0.2">
      <c r="A95" s="70" t="s">
        <v>399</v>
      </c>
      <c r="B95" t="s">
        <v>681</v>
      </c>
      <c r="C95" t="s">
        <v>55</v>
      </c>
      <c r="D95" t="s">
        <v>39</v>
      </c>
      <c r="E95" t="s">
        <v>71</v>
      </c>
      <c r="F95" t="s">
        <v>73</v>
      </c>
      <c r="G95" t="s">
        <v>384</v>
      </c>
      <c r="H95" t="s">
        <v>448</v>
      </c>
      <c r="I95" t="s">
        <v>20</v>
      </c>
      <c r="J95" t="s">
        <v>398</v>
      </c>
      <c r="K95" s="70" t="s">
        <v>7</v>
      </c>
    </row>
    <row r="96" spans="1:11" x14ac:dyDescent="0.2">
      <c r="A96" s="70" t="s">
        <v>399</v>
      </c>
      <c r="B96" t="s">
        <v>681</v>
      </c>
      <c r="C96" t="s">
        <v>55</v>
      </c>
      <c r="D96" t="s">
        <v>39</v>
      </c>
      <c r="E96" t="s">
        <v>74</v>
      </c>
      <c r="F96" t="s">
        <v>75</v>
      </c>
      <c r="G96" t="s">
        <v>384</v>
      </c>
      <c r="H96" t="s">
        <v>448</v>
      </c>
      <c r="I96" t="s">
        <v>20</v>
      </c>
      <c r="J96" t="s">
        <v>398</v>
      </c>
      <c r="K96" s="70" t="s">
        <v>7</v>
      </c>
    </row>
    <row r="97" spans="1:11" x14ac:dyDescent="0.2">
      <c r="A97" s="70" t="s">
        <v>399</v>
      </c>
      <c r="B97" t="s">
        <v>681</v>
      </c>
      <c r="C97" t="s">
        <v>55</v>
      </c>
      <c r="D97" t="s">
        <v>39</v>
      </c>
      <c r="E97" t="s">
        <v>71</v>
      </c>
      <c r="F97" t="s">
        <v>76</v>
      </c>
      <c r="G97" t="s">
        <v>384</v>
      </c>
      <c r="H97" t="s">
        <v>448</v>
      </c>
      <c r="I97" t="s">
        <v>20</v>
      </c>
      <c r="J97" t="s">
        <v>398</v>
      </c>
      <c r="K97" s="70" t="s">
        <v>7</v>
      </c>
    </row>
    <row r="98" spans="1:11" x14ac:dyDescent="0.2">
      <c r="A98" s="70" t="s">
        <v>399</v>
      </c>
      <c r="B98" t="s">
        <v>681</v>
      </c>
      <c r="C98" t="s">
        <v>55</v>
      </c>
      <c r="G98" t="s">
        <v>384</v>
      </c>
      <c r="H98" t="s">
        <v>448</v>
      </c>
      <c r="I98" t="s">
        <v>20</v>
      </c>
      <c r="J98" t="s">
        <v>398</v>
      </c>
      <c r="K98" s="70" t="s">
        <v>7</v>
      </c>
    </row>
    <row r="99" spans="1:11" x14ac:dyDescent="0.2">
      <c r="A99" s="70" t="s">
        <v>399</v>
      </c>
      <c r="B99" t="s">
        <v>681</v>
      </c>
      <c r="C99" t="s">
        <v>55</v>
      </c>
      <c r="G99" t="s">
        <v>384</v>
      </c>
      <c r="H99" t="s">
        <v>448</v>
      </c>
      <c r="I99" t="s">
        <v>20</v>
      </c>
      <c r="J99" t="s">
        <v>398</v>
      </c>
      <c r="K99" s="70" t="s">
        <v>7</v>
      </c>
    </row>
    <row r="100" spans="1:11" x14ac:dyDescent="0.2">
      <c r="A100" s="70" t="s">
        <v>399</v>
      </c>
      <c r="B100" t="s">
        <v>681</v>
      </c>
      <c r="C100" t="s">
        <v>55</v>
      </c>
      <c r="G100" t="s">
        <v>384</v>
      </c>
      <c r="H100" t="s">
        <v>448</v>
      </c>
      <c r="I100" t="s">
        <v>20</v>
      </c>
      <c r="J100" t="s">
        <v>398</v>
      </c>
      <c r="K100" s="70" t="s">
        <v>7</v>
      </c>
    </row>
    <row r="101" spans="1:11" x14ac:dyDescent="0.2">
      <c r="A101" s="70" t="s">
        <v>399</v>
      </c>
      <c r="B101" t="s">
        <v>682</v>
      </c>
      <c r="C101" t="s">
        <v>51</v>
      </c>
      <c r="D101" t="s">
        <v>37</v>
      </c>
      <c r="E101" t="s">
        <v>113</v>
      </c>
      <c r="F101" t="s">
        <v>114</v>
      </c>
      <c r="G101" t="s">
        <v>95</v>
      </c>
      <c r="H101" t="s">
        <v>448</v>
      </c>
      <c r="I101" t="s">
        <v>20</v>
      </c>
      <c r="J101" t="s">
        <v>398</v>
      </c>
      <c r="K101" s="70" t="s">
        <v>97</v>
      </c>
    </row>
    <row r="102" spans="1:11" x14ac:dyDescent="0.2">
      <c r="A102" s="70" t="s">
        <v>399</v>
      </c>
      <c r="B102" t="s">
        <v>682</v>
      </c>
      <c r="C102" t="s">
        <v>51</v>
      </c>
      <c r="D102" t="s">
        <v>39</v>
      </c>
      <c r="E102" t="s">
        <v>113</v>
      </c>
      <c r="F102" t="s">
        <v>115</v>
      </c>
      <c r="G102" t="s">
        <v>95</v>
      </c>
      <c r="H102" t="s">
        <v>448</v>
      </c>
      <c r="I102" t="s">
        <v>20</v>
      </c>
      <c r="J102" t="s">
        <v>398</v>
      </c>
      <c r="K102" s="70" t="s">
        <v>97</v>
      </c>
    </row>
    <row r="103" spans="1:11" x14ac:dyDescent="0.2">
      <c r="A103" s="70" t="s">
        <v>399</v>
      </c>
      <c r="B103" t="s">
        <v>682</v>
      </c>
      <c r="C103" t="s">
        <v>51</v>
      </c>
      <c r="D103" t="s">
        <v>41</v>
      </c>
      <c r="E103" t="s">
        <v>116</v>
      </c>
      <c r="F103" t="s">
        <v>117</v>
      </c>
      <c r="G103" t="s">
        <v>95</v>
      </c>
      <c r="H103" t="s">
        <v>448</v>
      </c>
      <c r="I103" t="s">
        <v>20</v>
      </c>
      <c r="J103" t="s">
        <v>398</v>
      </c>
      <c r="K103" s="70" t="s">
        <v>97</v>
      </c>
    </row>
    <row r="104" spans="1:11" x14ac:dyDescent="0.2">
      <c r="A104" s="70" t="s">
        <v>399</v>
      </c>
      <c r="B104" t="s">
        <v>682</v>
      </c>
      <c r="C104" t="s">
        <v>51</v>
      </c>
      <c r="D104" t="s">
        <v>42</v>
      </c>
      <c r="E104" t="s">
        <v>74</v>
      </c>
      <c r="F104" t="s">
        <v>75</v>
      </c>
      <c r="G104" t="s">
        <v>95</v>
      </c>
      <c r="H104" t="s">
        <v>448</v>
      </c>
      <c r="I104" t="s">
        <v>20</v>
      </c>
      <c r="J104" t="s">
        <v>398</v>
      </c>
      <c r="K104" s="70" t="s">
        <v>97</v>
      </c>
    </row>
    <row r="105" spans="1:11" x14ac:dyDescent="0.2">
      <c r="A105" s="70" t="s">
        <v>399</v>
      </c>
      <c r="B105" t="s">
        <v>682</v>
      </c>
      <c r="C105" t="s">
        <v>51</v>
      </c>
      <c r="D105" t="s">
        <v>42</v>
      </c>
      <c r="E105" t="s">
        <v>74</v>
      </c>
      <c r="F105" t="s">
        <v>118</v>
      </c>
      <c r="G105" t="s">
        <v>95</v>
      </c>
      <c r="H105" t="s">
        <v>448</v>
      </c>
      <c r="I105" t="s">
        <v>20</v>
      </c>
      <c r="J105" t="s">
        <v>398</v>
      </c>
      <c r="K105" s="70" t="s">
        <v>97</v>
      </c>
    </row>
    <row r="106" spans="1:11" x14ac:dyDescent="0.2">
      <c r="A106" s="70" t="s">
        <v>399</v>
      </c>
      <c r="B106" t="s">
        <v>682</v>
      </c>
      <c r="C106" t="s">
        <v>55</v>
      </c>
      <c r="D106" t="s">
        <v>37</v>
      </c>
      <c r="E106" t="s">
        <v>113</v>
      </c>
      <c r="F106" t="s">
        <v>115</v>
      </c>
      <c r="G106" t="s">
        <v>95</v>
      </c>
      <c r="H106" t="s">
        <v>448</v>
      </c>
      <c r="I106" t="s">
        <v>20</v>
      </c>
      <c r="J106" t="s">
        <v>398</v>
      </c>
      <c r="K106" s="70" t="s">
        <v>97</v>
      </c>
    </row>
    <row r="107" spans="1:11" x14ac:dyDescent="0.2">
      <c r="A107" s="70" t="s">
        <v>399</v>
      </c>
      <c r="B107" t="s">
        <v>682</v>
      </c>
      <c r="C107" t="s">
        <v>55</v>
      </c>
      <c r="D107" t="s">
        <v>39</v>
      </c>
      <c r="E107" t="s">
        <v>116</v>
      </c>
      <c r="F107" t="s">
        <v>117</v>
      </c>
      <c r="G107" t="s">
        <v>95</v>
      </c>
      <c r="H107" t="s">
        <v>448</v>
      </c>
      <c r="I107" t="s">
        <v>20</v>
      </c>
      <c r="J107" t="s">
        <v>398</v>
      </c>
      <c r="K107" s="70" t="s">
        <v>97</v>
      </c>
    </row>
    <row r="108" spans="1:11" x14ac:dyDescent="0.2">
      <c r="A108" s="70" t="s">
        <v>399</v>
      </c>
      <c r="B108" t="s">
        <v>682</v>
      </c>
      <c r="C108" t="s">
        <v>55</v>
      </c>
      <c r="D108" t="s">
        <v>41</v>
      </c>
      <c r="E108" t="s">
        <v>74</v>
      </c>
      <c r="F108" t="s">
        <v>75</v>
      </c>
      <c r="G108" t="s">
        <v>95</v>
      </c>
      <c r="H108" t="s">
        <v>448</v>
      </c>
      <c r="I108" t="s">
        <v>20</v>
      </c>
      <c r="J108" t="s">
        <v>398</v>
      </c>
      <c r="K108" s="70" t="s">
        <v>97</v>
      </c>
    </row>
    <row r="109" spans="1:11" x14ac:dyDescent="0.2">
      <c r="A109" s="70" t="s">
        <v>399</v>
      </c>
      <c r="B109" t="s">
        <v>682</v>
      </c>
      <c r="C109" t="s">
        <v>55</v>
      </c>
      <c r="D109" t="s">
        <v>42</v>
      </c>
      <c r="E109" t="s">
        <v>116</v>
      </c>
      <c r="F109" t="s">
        <v>119</v>
      </c>
      <c r="G109" t="s">
        <v>95</v>
      </c>
      <c r="H109" t="s">
        <v>448</v>
      </c>
      <c r="I109" t="s">
        <v>20</v>
      </c>
      <c r="J109" t="s">
        <v>398</v>
      </c>
      <c r="K109" s="70" t="s">
        <v>97</v>
      </c>
    </row>
    <row r="110" spans="1:11" x14ac:dyDescent="0.2">
      <c r="A110" s="70" t="s">
        <v>399</v>
      </c>
      <c r="B110" t="s">
        <v>683</v>
      </c>
      <c r="C110" t="s">
        <v>51</v>
      </c>
      <c r="D110" t="s">
        <v>37</v>
      </c>
      <c r="E110" t="s">
        <v>74</v>
      </c>
      <c r="F110" t="s">
        <v>118</v>
      </c>
      <c r="G110" t="s">
        <v>143</v>
      </c>
      <c r="H110" t="s">
        <v>448</v>
      </c>
      <c r="I110" t="s">
        <v>20</v>
      </c>
      <c r="J110" t="s">
        <v>398</v>
      </c>
      <c r="K110" s="70" t="s">
        <v>145</v>
      </c>
    </row>
    <row r="111" spans="1:11" x14ac:dyDescent="0.2">
      <c r="A111" s="70" t="s">
        <v>399</v>
      </c>
      <c r="B111" t="s">
        <v>683</v>
      </c>
      <c r="C111" t="s">
        <v>51</v>
      </c>
      <c r="D111" t="s">
        <v>37</v>
      </c>
      <c r="E111" t="s">
        <v>161</v>
      </c>
      <c r="F111" t="s">
        <v>162</v>
      </c>
      <c r="G111" t="s">
        <v>143</v>
      </c>
      <c r="H111" t="s">
        <v>448</v>
      </c>
      <c r="I111" t="s">
        <v>20</v>
      </c>
      <c r="J111" t="s">
        <v>398</v>
      </c>
      <c r="K111" s="70" t="s">
        <v>145</v>
      </c>
    </row>
    <row r="112" spans="1:11" x14ac:dyDescent="0.2">
      <c r="A112" s="70" t="s">
        <v>399</v>
      </c>
      <c r="B112" t="s">
        <v>683</v>
      </c>
      <c r="C112" t="s">
        <v>51</v>
      </c>
      <c r="D112" t="s">
        <v>37</v>
      </c>
      <c r="E112" t="s">
        <v>116</v>
      </c>
      <c r="F112" t="s">
        <v>119</v>
      </c>
      <c r="G112" t="s">
        <v>143</v>
      </c>
      <c r="H112" t="s">
        <v>448</v>
      </c>
      <c r="I112" t="s">
        <v>20</v>
      </c>
      <c r="J112" t="s">
        <v>398</v>
      </c>
      <c r="K112" s="70" t="s">
        <v>145</v>
      </c>
    </row>
    <row r="113" spans="1:11" x14ac:dyDescent="0.2">
      <c r="A113" s="70" t="s">
        <v>399</v>
      </c>
      <c r="B113" t="s">
        <v>683</v>
      </c>
      <c r="C113" t="s">
        <v>51</v>
      </c>
      <c r="D113" t="s">
        <v>39</v>
      </c>
      <c r="E113" t="s">
        <v>69</v>
      </c>
      <c r="F113" t="s">
        <v>163</v>
      </c>
      <c r="G113" t="s">
        <v>143</v>
      </c>
      <c r="H113" t="s">
        <v>448</v>
      </c>
      <c r="I113" t="s">
        <v>20</v>
      </c>
      <c r="J113" t="s">
        <v>398</v>
      </c>
      <c r="K113" s="70" t="s">
        <v>145</v>
      </c>
    </row>
    <row r="114" spans="1:11" x14ac:dyDescent="0.2">
      <c r="A114" s="70" t="s">
        <v>399</v>
      </c>
      <c r="B114" t="s">
        <v>683</v>
      </c>
      <c r="C114" t="s">
        <v>55</v>
      </c>
      <c r="D114" t="s">
        <v>37</v>
      </c>
      <c r="E114" t="s">
        <v>113</v>
      </c>
      <c r="F114" t="s">
        <v>114</v>
      </c>
      <c r="G114" t="s">
        <v>143</v>
      </c>
      <c r="H114" t="s">
        <v>448</v>
      </c>
      <c r="I114" t="s">
        <v>20</v>
      </c>
      <c r="J114" t="s">
        <v>398</v>
      </c>
      <c r="K114" s="70" t="s">
        <v>145</v>
      </c>
    </row>
    <row r="115" spans="1:11" x14ac:dyDescent="0.2">
      <c r="A115" s="70" t="s">
        <v>399</v>
      </c>
      <c r="B115" t="s">
        <v>683</v>
      </c>
      <c r="C115" t="s">
        <v>55</v>
      </c>
      <c r="D115" t="s">
        <v>39</v>
      </c>
      <c r="E115" t="s">
        <v>69</v>
      </c>
      <c r="F115" t="s">
        <v>70</v>
      </c>
      <c r="G115" t="s">
        <v>143</v>
      </c>
      <c r="H115" t="s">
        <v>448</v>
      </c>
      <c r="I115" t="s">
        <v>20</v>
      </c>
      <c r="J115" t="s">
        <v>398</v>
      </c>
      <c r="K115" s="70" t="s">
        <v>145</v>
      </c>
    </row>
    <row r="116" spans="1:11" x14ac:dyDescent="0.2">
      <c r="A116" s="70" t="s">
        <v>399</v>
      </c>
      <c r="B116" t="s">
        <v>683</v>
      </c>
      <c r="C116" t="s">
        <v>55</v>
      </c>
      <c r="D116" t="s">
        <v>39</v>
      </c>
      <c r="E116" t="s">
        <v>65</v>
      </c>
      <c r="F116" t="s">
        <v>68</v>
      </c>
      <c r="G116" t="s">
        <v>143</v>
      </c>
      <c r="H116" t="s">
        <v>448</v>
      </c>
      <c r="I116" t="s">
        <v>20</v>
      </c>
      <c r="J116" t="s">
        <v>398</v>
      </c>
      <c r="K116" s="70" t="s">
        <v>145</v>
      </c>
    </row>
    <row r="117" spans="1:11" x14ac:dyDescent="0.2">
      <c r="A117" s="70" t="s">
        <v>399</v>
      </c>
      <c r="B117" t="s">
        <v>683</v>
      </c>
      <c r="C117" t="s">
        <v>55</v>
      </c>
      <c r="D117" t="s">
        <v>41</v>
      </c>
      <c r="E117" t="s">
        <v>71</v>
      </c>
      <c r="F117" t="s">
        <v>73</v>
      </c>
      <c r="G117" t="s">
        <v>143</v>
      </c>
      <c r="H117" t="s">
        <v>448</v>
      </c>
      <c r="I117" t="s">
        <v>20</v>
      </c>
      <c r="J117" t="s">
        <v>398</v>
      </c>
      <c r="K117" s="70" t="s">
        <v>145</v>
      </c>
    </row>
    <row r="118" spans="1:11" x14ac:dyDescent="0.2">
      <c r="A118" s="70" t="s">
        <v>399</v>
      </c>
      <c r="B118" t="s">
        <v>684</v>
      </c>
      <c r="C118" t="s">
        <v>51</v>
      </c>
      <c r="D118" t="s">
        <v>37</v>
      </c>
      <c r="E118" t="s">
        <v>113</v>
      </c>
      <c r="F118" t="s">
        <v>178</v>
      </c>
      <c r="G118" t="s">
        <v>385</v>
      </c>
      <c r="H118" t="s">
        <v>448</v>
      </c>
      <c r="I118" t="s">
        <v>20</v>
      </c>
      <c r="J118" t="s">
        <v>398</v>
      </c>
      <c r="K118" s="70" t="s">
        <v>386</v>
      </c>
    </row>
    <row r="119" spans="1:11" x14ac:dyDescent="0.2">
      <c r="A119" s="70" t="s">
        <v>399</v>
      </c>
      <c r="B119" t="s">
        <v>684</v>
      </c>
      <c r="C119" t="s">
        <v>51</v>
      </c>
      <c r="D119" t="s">
        <v>37</v>
      </c>
      <c r="E119" t="s">
        <v>113</v>
      </c>
      <c r="F119" t="s">
        <v>115</v>
      </c>
      <c r="G119" t="s">
        <v>385</v>
      </c>
      <c r="H119" t="s">
        <v>448</v>
      </c>
      <c r="I119" t="s">
        <v>20</v>
      </c>
      <c r="J119" t="s">
        <v>398</v>
      </c>
      <c r="K119" s="70" t="s">
        <v>386</v>
      </c>
    </row>
    <row r="120" spans="1:11" x14ac:dyDescent="0.2">
      <c r="A120" s="70" t="s">
        <v>399</v>
      </c>
      <c r="B120" t="s">
        <v>684</v>
      </c>
      <c r="C120" t="s">
        <v>51</v>
      </c>
      <c r="D120" t="s">
        <v>37</v>
      </c>
      <c r="E120" t="s">
        <v>74</v>
      </c>
      <c r="F120" t="s">
        <v>179</v>
      </c>
      <c r="G120" t="s">
        <v>385</v>
      </c>
      <c r="H120" t="s">
        <v>448</v>
      </c>
      <c r="I120" t="s">
        <v>20</v>
      </c>
      <c r="J120" t="s">
        <v>398</v>
      </c>
      <c r="K120" s="70" t="s">
        <v>386</v>
      </c>
    </row>
    <row r="121" spans="1:11" x14ac:dyDescent="0.2">
      <c r="A121" s="70" t="s">
        <v>399</v>
      </c>
      <c r="B121" t="s">
        <v>684</v>
      </c>
      <c r="C121" t="s">
        <v>55</v>
      </c>
      <c r="D121" t="s">
        <v>39</v>
      </c>
      <c r="E121" t="s">
        <v>65</v>
      </c>
      <c r="F121" t="s">
        <v>66</v>
      </c>
      <c r="G121" t="s">
        <v>385</v>
      </c>
      <c r="H121" t="s">
        <v>448</v>
      </c>
      <c r="I121" t="s">
        <v>20</v>
      </c>
      <c r="J121" t="s">
        <v>398</v>
      </c>
      <c r="K121" s="70" t="s">
        <v>386</v>
      </c>
    </row>
    <row r="122" spans="1:11" x14ac:dyDescent="0.2">
      <c r="A122" s="70" t="s">
        <v>399</v>
      </c>
      <c r="B122" t="s">
        <v>684</v>
      </c>
      <c r="C122" t="s">
        <v>55</v>
      </c>
      <c r="D122" t="s">
        <v>39</v>
      </c>
      <c r="E122" t="s">
        <v>180</v>
      </c>
      <c r="F122" t="s">
        <v>181</v>
      </c>
      <c r="G122" t="s">
        <v>385</v>
      </c>
      <c r="H122" t="s">
        <v>448</v>
      </c>
      <c r="I122" t="s">
        <v>20</v>
      </c>
      <c r="J122" t="s">
        <v>398</v>
      </c>
      <c r="K122" s="70" t="s">
        <v>386</v>
      </c>
    </row>
    <row r="123" spans="1:11" x14ac:dyDescent="0.2">
      <c r="A123" s="70" t="s">
        <v>399</v>
      </c>
      <c r="B123" t="s">
        <v>684</v>
      </c>
      <c r="C123" t="s">
        <v>55</v>
      </c>
      <c r="G123" t="s">
        <v>385</v>
      </c>
      <c r="H123" t="s">
        <v>448</v>
      </c>
      <c r="I123" t="s">
        <v>20</v>
      </c>
      <c r="J123" t="s">
        <v>398</v>
      </c>
      <c r="K123" s="70" t="s">
        <v>386</v>
      </c>
    </row>
    <row r="124" spans="1:11" x14ac:dyDescent="0.2">
      <c r="A124" s="70" t="s">
        <v>399</v>
      </c>
      <c r="B124" t="s">
        <v>684</v>
      </c>
      <c r="C124" t="s">
        <v>60</v>
      </c>
      <c r="G124" t="s">
        <v>385</v>
      </c>
      <c r="H124" t="s">
        <v>448</v>
      </c>
      <c r="I124" t="s">
        <v>20</v>
      </c>
      <c r="J124" t="s">
        <v>398</v>
      </c>
      <c r="K124" s="70" t="s">
        <v>386</v>
      </c>
    </row>
    <row r="125" spans="1:11" x14ac:dyDescent="0.2">
      <c r="A125" s="70" t="s">
        <v>399</v>
      </c>
      <c r="B125" t="s">
        <v>684</v>
      </c>
      <c r="C125" t="s">
        <v>60</v>
      </c>
      <c r="G125" t="s">
        <v>385</v>
      </c>
      <c r="H125" t="s">
        <v>448</v>
      </c>
      <c r="I125" t="s">
        <v>20</v>
      </c>
      <c r="J125" t="s">
        <v>398</v>
      </c>
      <c r="K125" s="70" t="s">
        <v>386</v>
      </c>
    </row>
    <row r="126" spans="1:11" x14ac:dyDescent="0.2">
      <c r="A126" s="70" t="s">
        <v>399</v>
      </c>
      <c r="B126" t="s">
        <v>684</v>
      </c>
      <c r="C126" t="s">
        <v>60</v>
      </c>
      <c r="G126" t="s">
        <v>385</v>
      </c>
      <c r="H126" t="s">
        <v>448</v>
      </c>
      <c r="I126" t="s">
        <v>20</v>
      </c>
      <c r="J126" t="s">
        <v>398</v>
      </c>
      <c r="K126" s="70" t="s">
        <v>386</v>
      </c>
    </row>
    <row r="127" spans="1:11" x14ac:dyDescent="0.2">
      <c r="A127" s="70" t="s">
        <v>399</v>
      </c>
      <c r="B127" t="s">
        <v>684</v>
      </c>
      <c r="C127" t="s">
        <v>61</v>
      </c>
      <c r="G127" t="s">
        <v>385</v>
      </c>
      <c r="H127" t="s">
        <v>448</v>
      </c>
      <c r="I127" t="s">
        <v>20</v>
      </c>
      <c r="J127" t="s">
        <v>398</v>
      </c>
      <c r="K127" s="70" t="s">
        <v>386</v>
      </c>
    </row>
    <row r="128" spans="1:11" x14ac:dyDescent="0.2">
      <c r="A128" s="70" t="s">
        <v>399</v>
      </c>
      <c r="B128" t="s">
        <v>684</v>
      </c>
      <c r="C128" t="s">
        <v>61</v>
      </c>
      <c r="G128" t="s">
        <v>385</v>
      </c>
      <c r="H128" t="s">
        <v>448</v>
      </c>
      <c r="I128" t="s">
        <v>20</v>
      </c>
      <c r="J128" t="s">
        <v>398</v>
      </c>
      <c r="K128" s="70" t="s">
        <v>386</v>
      </c>
    </row>
    <row r="129" spans="1:11" x14ac:dyDescent="0.2">
      <c r="A129" s="70" t="s">
        <v>399</v>
      </c>
      <c r="B129" t="s">
        <v>685</v>
      </c>
      <c r="C129" t="s">
        <v>51</v>
      </c>
      <c r="D129" t="s">
        <v>37</v>
      </c>
      <c r="E129" t="s">
        <v>113</v>
      </c>
      <c r="F129" t="s">
        <v>115</v>
      </c>
      <c r="G129" t="s">
        <v>216</v>
      </c>
      <c r="H129" t="s">
        <v>448</v>
      </c>
      <c r="I129" t="s">
        <v>20</v>
      </c>
      <c r="J129" t="s">
        <v>398</v>
      </c>
      <c r="K129" s="70" t="s">
        <v>218</v>
      </c>
    </row>
    <row r="130" spans="1:11" x14ac:dyDescent="0.2">
      <c r="A130" s="70" t="s">
        <v>399</v>
      </c>
      <c r="B130" t="s">
        <v>685</v>
      </c>
      <c r="C130" t="s">
        <v>51</v>
      </c>
      <c r="D130" t="s">
        <v>37</v>
      </c>
      <c r="E130" t="s">
        <v>113</v>
      </c>
      <c r="F130" t="s">
        <v>215</v>
      </c>
      <c r="G130" t="s">
        <v>216</v>
      </c>
      <c r="H130" t="s">
        <v>448</v>
      </c>
      <c r="I130" t="s">
        <v>20</v>
      </c>
      <c r="J130" t="s">
        <v>398</v>
      </c>
      <c r="K130" s="70" t="s">
        <v>218</v>
      </c>
    </row>
    <row r="131" spans="1:11" x14ac:dyDescent="0.2">
      <c r="A131" s="70" t="s">
        <v>399</v>
      </c>
      <c r="B131" t="s">
        <v>685</v>
      </c>
      <c r="C131" t="s">
        <v>51</v>
      </c>
      <c r="D131" t="s">
        <v>37</v>
      </c>
      <c r="E131" t="s">
        <v>180</v>
      </c>
      <c r="F131" t="s">
        <v>232</v>
      </c>
      <c r="G131" t="s">
        <v>216</v>
      </c>
      <c r="H131" t="s">
        <v>448</v>
      </c>
      <c r="I131" t="s">
        <v>20</v>
      </c>
      <c r="J131" t="s">
        <v>398</v>
      </c>
      <c r="K131" s="70" t="s">
        <v>218</v>
      </c>
    </row>
    <row r="132" spans="1:11" x14ac:dyDescent="0.2">
      <c r="A132" s="70" t="s">
        <v>399</v>
      </c>
      <c r="B132" t="s">
        <v>685</v>
      </c>
      <c r="C132" t="s">
        <v>51</v>
      </c>
      <c r="D132" t="s">
        <v>41</v>
      </c>
      <c r="E132" t="s">
        <v>180</v>
      </c>
      <c r="F132" t="s">
        <v>195</v>
      </c>
      <c r="G132" t="s">
        <v>216</v>
      </c>
      <c r="H132" t="s">
        <v>448</v>
      </c>
      <c r="I132" t="s">
        <v>20</v>
      </c>
      <c r="J132" t="s">
        <v>398</v>
      </c>
      <c r="K132" s="70" t="s">
        <v>218</v>
      </c>
    </row>
    <row r="133" spans="1:11" x14ac:dyDescent="0.2">
      <c r="A133" s="70" t="s">
        <v>399</v>
      </c>
      <c r="B133" t="s">
        <v>685</v>
      </c>
      <c r="C133" t="s">
        <v>51</v>
      </c>
      <c r="D133" t="s">
        <v>41</v>
      </c>
      <c r="E133" t="s">
        <v>180</v>
      </c>
      <c r="F133" t="s">
        <v>181</v>
      </c>
      <c r="G133" t="s">
        <v>216</v>
      </c>
      <c r="H133" t="s">
        <v>448</v>
      </c>
      <c r="I133" t="s">
        <v>20</v>
      </c>
      <c r="J133" t="s">
        <v>398</v>
      </c>
      <c r="K133" s="70" t="s">
        <v>218</v>
      </c>
    </row>
    <row r="134" spans="1:11" x14ac:dyDescent="0.2">
      <c r="A134" s="70" t="s">
        <v>399</v>
      </c>
      <c r="B134" t="s">
        <v>685</v>
      </c>
      <c r="C134" t="s">
        <v>51</v>
      </c>
      <c r="D134" t="s">
        <v>41</v>
      </c>
      <c r="E134" t="s">
        <v>65</v>
      </c>
      <c r="F134" t="s">
        <v>233</v>
      </c>
      <c r="G134" t="s">
        <v>216</v>
      </c>
      <c r="H134" t="s">
        <v>448</v>
      </c>
      <c r="I134" t="s">
        <v>20</v>
      </c>
      <c r="J134" t="s">
        <v>398</v>
      </c>
      <c r="K134" s="70" t="s">
        <v>218</v>
      </c>
    </row>
    <row r="135" spans="1:11" x14ac:dyDescent="0.2">
      <c r="A135" s="70" t="s">
        <v>399</v>
      </c>
      <c r="B135" t="s">
        <v>685</v>
      </c>
      <c r="C135" t="s">
        <v>55</v>
      </c>
      <c r="D135" t="s">
        <v>39</v>
      </c>
      <c r="E135" t="s">
        <v>180</v>
      </c>
      <c r="F135" t="s">
        <v>195</v>
      </c>
      <c r="G135" t="s">
        <v>216</v>
      </c>
      <c r="H135" t="s">
        <v>448</v>
      </c>
      <c r="I135" t="s">
        <v>20</v>
      </c>
      <c r="J135" t="s">
        <v>398</v>
      </c>
      <c r="K135" s="70" t="s">
        <v>218</v>
      </c>
    </row>
    <row r="136" spans="1:11" x14ac:dyDescent="0.2">
      <c r="A136" s="70" t="s">
        <v>399</v>
      </c>
      <c r="B136" t="s">
        <v>685</v>
      </c>
      <c r="C136" t="s">
        <v>55</v>
      </c>
      <c r="D136" t="s">
        <v>41</v>
      </c>
      <c r="E136" t="s">
        <v>65</v>
      </c>
      <c r="F136" t="s">
        <v>66</v>
      </c>
      <c r="G136" t="s">
        <v>216</v>
      </c>
      <c r="H136" t="s">
        <v>448</v>
      </c>
      <c r="I136" t="s">
        <v>20</v>
      </c>
      <c r="J136" t="s">
        <v>398</v>
      </c>
      <c r="K136" s="70" t="s">
        <v>218</v>
      </c>
    </row>
    <row r="137" spans="1:11" x14ac:dyDescent="0.2">
      <c r="A137" s="70" t="s">
        <v>399</v>
      </c>
      <c r="B137" t="s">
        <v>685</v>
      </c>
      <c r="C137" t="s">
        <v>60</v>
      </c>
      <c r="D137" t="s">
        <v>39</v>
      </c>
      <c r="E137" t="s">
        <v>113</v>
      </c>
      <c r="F137" t="s">
        <v>178</v>
      </c>
      <c r="G137" t="s">
        <v>216</v>
      </c>
      <c r="H137" t="s">
        <v>448</v>
      </c>
      <c r="I137" t="s">
        <v>20</v>
      </c>
      <c r="J137" t="s">
        <v>398</v>
      </c>
      <c r="K137" s="70" t="s">
        <v>218</v>
      </c>
    </row>
    <row r="138" spans="1:11" x14ac:dyDescent="0.2">
      <c r="A138" s="70" t="s">
        <v>399</v>
      </c>
      <c r="B138" t="s">
        <v>685</v>
      </c>
      <c r="C138" t="s">
        <v>61</v>
      </c>
      <c r="G138" t="s">
        <v>216</v>
      </c>
      <c r="H138" t="s">
        <v>448</v>
      </c>
      <c r="I138" t="s">
        <v>20</v>
      </c>
      <c r="J138" t="s">
        <v>398</v>
      </c>
      <c r="K138" s="70" t="s">
        <v>218</v>
      </c>
    </row>
    <row r="139" spans="1:11" x14ac:dyDescent="0.2">
      <c r="A139" s="70" t="s">
        <v>399</v>
      </c>
      <c r="B139" t="s">
        <v>685</v>
      </c>
      <c r="C139" t="s">
        <v>61</v>
      </c>
      <c r="G139" t="s">
        <v>216</v>
      </c>
      <c r="H139" t="s">
        <v>448</v>
      </c>
      <c r="I139" t="s">
        <v>20</v>
      </c>
      <c r="J139" t="s">
        <v>398</v>
      </c>
      <c r="K139" s="70" t="s">
        <v>218</v>
      </c>
    </row>
    <row r="140" spans="1:11" x14ac:dyDescent="0.2">
      <c r="A140" s="70" t="s">
        <v>399</v>
      </c>
      <c r="B140" t="s">
        <v>686</v>
      </c>
      <c r="C140" t="s">
        <v>51</v>
      </c>
      <c r="D140" t="s">
        <v>37</v>
      </c>
      <c r="E140" t="s">
        <v>113</v>
      </c>
      <c r="F140" t="s">
        <v>115</v>
      </c>
      <c r="G140" t="s">
        <v>387</v>
      </c>
      <c r="H140" t="s">
        <v>448</v>
      </c>
      <c r="I140" t="s">
        <v>20</v>
      </c>
      <c r="J140" t="s">
        <v>398</v>
      </c>
      <c r="K140" s="70" t="s">
        <v>388</v>
      </c>
    </row>
    <row r="141" spans="1:11" x14ac:dyDescent="0.2">
      <c r="A141" s="70" t="s">
        <v>399</v>
      </c>
      <c r="B141" t="s">
        <v>686</v>
      </c>
      <c r="C141" t="s">
        <v>51</v>
      </c>
      <c r="D141" t="s">
        <v>37</v>
      </c>
      <c r="E141" t="s">
        <v>180</v>
      </c>
      <c r="F141" t="s">
        <v>181</v>
      </c>
      <c r="G141" t="s">
        <v>387</v>
      </c>
      <c r="H141" t="s">
        <v>448</v>
      </c>
      <c r="I141" t="s">
        <v>20</v>
      </c>
      <c r="J141" t="s">
        <v>398</v>
      </c>
      <c r="K141" s="70" t="s">
        <v>388</v>
      </c>
    </row>
    <row r="142" spans="1:11" x14ac:dyDescent="0.2">
      <c r="A142" s="70" t="s">
        <v>399</v>
      </c>
      <c r="B142" t="s">
        <v>686</v>
      </c>
      <c r="C142" t="s">
        <v>51</v>
      </c>
      <c r="D142" t="s">
        <v>37</v>
      </c>
      <c r="E142" t="s">
        <v>74</v>
      </c>
      <c r="F142" t="s">
        <v>179</v>
      </c>
      <c r="G142" t="s">
        <v>387</v>
      </c>
      <c r="H142" t="s">
        <v>448</v>
      </c>
      <c r="I142" t="s">
        <v>20</v>
      </c>
      <c r="J142" t="s">
        <v>398</v>
      </c>
      <c r="K142" s="70" t="s">
        <v>388</v>
      </c>
    </row>
    <row r="143" spans="1:11" x14ac:dyDescent="0.2">
      <c r="A143" s="70" t="s">
        <v>399</v>
      </c>
      <c r="B143" t="s">
        <v>686</v>
      </c>
      <c r="C143" t="s">
        <v>51</v>
      </c>
      <c r="D143" t="s">
        <v>39</v>
      </c>
      <c r="E143" t="s">
        <v>65</v>
      </c>
      <c r="F143" t="s">
        <v>66</v>
      </c>
      <c r="G143" t="s">
        <v>387</v>
      </c>
      <c r="H143" t="s">
        <v>448</v>
      </c>
      <c r="I143" t="s">
        <v>20</v>
      </c>
      <c r="J143" t="s">
        <v>398</v>
      </c>
      <c r="K143" s="70" t="s">
        <v>388</v>
      </c>
    </row>
    <row r="144" spans="1:11" x14ac:dyDescent="0.2">
      <c r="A144" s="70" t="s">
        <v>399</v>
      </c>
      <c r="B144" t="s">
        <v>686</v>
      </c>
      <c r="C144" t="s">
        <v>51</v>
      </c>
      <c r="D144" t="s">
        <v>39</v>
      </c>
      <c r="E144" t="s">
        <v>161</v>
      </c>
      <c r="F144" t="s">
        <v>288</v>
      </c>
      <c r="G144" t="s">
        <v>387</v>
      </c>
      <c r="H144" t="s">
        <v>448</v>
      </c>
      <c r="I144" t="s">
        <v>20</v>
      </c>
      <c r="J144" t="s">
        <v>398</v>
      </c>
      <c r="K144" s="70" t="s">
        <v>388</v>
      </c>
    </row>
    <row r="145" spans="1:11" x14ac:dyDescent="0.2">
      <c r="A145" s="70" t="s">
        <v>399</v>
      </c>
      <c r="B145" t="s">
        <v>686</v>
      </c>
      <c r="C145" t="s">
        <v>51</v>
      </c>
      <c r="D145" t="s">
        <v>39</v>
      </c>
      <c r="E145" t="s">
        <v>289</v>
      </c>
      <c r="F145" t="s">
        <v>290</v>
      </c>
      <c r="G145" t="s">
        <v>387</v>
      </c>
      <c r="H145" t="s">
        <v>448</v>
      </c>
      <c r="I145" t="s">
        <v>20</v>
      </c>
      <c r="J145" t="s">
        <v>398</v>
      </c>
      <c r="K145" s="70" t="s">
        <v>388</v>
      </c>
    </row>
    <row r="146" spans="1:11" x14ac:dyDescent="0.2">
      <c r="A146" s="70" t="s">
        <v>399</v>
      </c>
      <c r="B146" t="s">
        <v>687</v>
      </c>
      <c r="C146" t="s">
        <v>51</v>
      </c>
      <c r="D146" t="s">
        <v>37</v>
      </c>
      <c r="E146" t="s">
        <v>113</v>
      </c>
      <c r="F146" t="s">
        <v>114</v>
      </c>
      <c r="G146" t="s">
        <v>454</v>
      </c>
      <c r="H146" t="s">
        <v>448</v>
      </c>
      <c r="I146" t="s">
        <v>20</v>
      </c>
      <c r="J146" t="s">
        <v>398</v>
      </c>
      <c r="K146" s="70" t="s">
        <v>259</v>
      </c>
    </row>
    <row r="147" spans="1:11" x14ac:dyDescent="0.2">
      <c r="A147" s="70" t="s">
        <v>399</v>
      </c>
      <c r="B147" t="s">
        <v>687</v>
      </c>
      <c r="C147" t="s">
        <v>51</v>
      </c>
      <c r="D147" t="s">
        <v>37</v>
      </c>
      <c r="E147" t="s">
        <v>113</v>
      </c>
      <c r="F147" t="s">
        <v>115</v>
      </c>
      <c r="G147" t="s">
        <v>454</v>
      </c>
      <c r="H147" t="s">
        <v>448</v>
      </c>
      <c r="I147" t="s">
        <v>20</v>
      </c>
      <c r="J147" t="s">
        <v>398</v>
      </c>
      <c r="K147" s="70" t="s">
        <v>259</v>
      </c>
    </row>
    <row r="148" spans="1:11" x14ac:dyDescent="0.2">
      <c r="A148" s="70" t="s">
        <v>399</v>
      </c>
      <c r="B148" t="s">
        <v>687</v>
      </c>
      <c r="C148" t="s">
        <v>51</v>
      </c>
      <c r="D148" t="s">
        <v>37</v>
      </c>
      <c r="E148" t="s">
        <v>74</v>
      </c>
      <c r="F148" t="s">
        <v>179</v>
      </c>
      <c r="G148" t="s">
        <v>454</v>
      </c>
      <c r="H148" t="s">
        <v>448</v>
      </c>
      <c r="I148" t="s">
        <v>20</v>
      </c>
      <c r="J148" t="s">
        <v>398</v>
      </c>
      <c r="K148" s="70" t="s">
        <v>259</v>
      </c>
    </row>
    <row r="149" spans="1:11" x14ac:dyDescent="0.2">
      <c r="A149" s="70" t="s">
        <v>399</v>
      </c>
      <c r="B149" t="s">
        <v>687</v>
      </c>
      <c r="C149" t="s">
        <v>55</v>
      </c>
      <c r="D149" t="s">
        <v>39</v>
      </c>
      <c r="E149" t="s">
        <v>65</v>
      </c>
      <c r="F149" t="s">
        <v>66</v>
      </c>
      <c r="G149" t="s">
        <v>454</v>
      </c>
      <c r="H149" t="s">
        <v>448</v>
      </c>
      <c r="I149" t="s">
        <v>20</v>
      </c>
      <c r="J149" t="s">
        <v>398</v>
      </c>
      <c r="K149" s="70" t="s">
        <v>259</v>
      </c>
    </row>
    <row r="150" spans="1:11" x14ac:dyDescent="0.2">
      <c r="A150" s="70" t="s">
        <v>399</v>
      </c>
      <c r="B150" t="s">
        <v>687</v>
      </c>
      <c r="C150" t="s">
        <v>55</v>
      </c>
      <c r="D150" t="s">
        <v>39</v>
      </c>
      <c r="E150" t="s">
        <v>180</v>
      </c>
      <c r="F150" t="s">
        <v>181</v>
      </c>
      <c r="G150" t="s">
        <v>454</v>
      </c>
      <c r="H150" t="s">
        <v>448</v>
      </c>
      <c r="I150" t="s">
        <v>20</v>
      </c>
      <c r="J150" t="s">
        <v>398</v>
      </c>
      <c r="K150" s="70" t="s">
        <v>259</v>
      </c>
    </row>
    <row r="151" spans="1:11" x14ac:dyDescent="0.2">
      <c r="A151" s="70" t="s">
        <v>399</v>
      </c>
      <c r="B151" t="s">
        <v>687</v>
      </c>
      <c r="C151" t="s">
        <v>55</v>
      </c>
      <c r="G151" t="s">
        <v>454</v>
      </c>
      <c r="H151" t="s">
        <v>448</v>
      </c>
      <c r="I151" t="s">
        <v>20</v>
      </c>
      <c r="J151" t="s">
        <v>398</v>
      </c>
      <c r="K151" s="70" t="s">
        <v>259</v>
      </c>
    </row>
    <row r="152" spans="1:11" x14ac:dyDescent="0.2">
      <c r="A152" s="70" t="s">
        <v>399</v>
      </c>
      <c r="B152" t="s">
        <v>687</v>
      </c>
      <c r="C152" t="s">
        <v>60</v>
      </c>
      <c r="G152" t="s">
        <v>454</v>
      </c>
      <c r="H152" t="s">
        <v>448</v>
      </c>
      <c r="I152" t="s">
        <v>20</v>
      </c>
      <c r="J152" t="s">
        <v>398</v>
      </c>
      <c r="K152" s="70" t="s">
        <v>259</v>
      </c>
    </row>
    <row r="153" spans="1:11" x14ac:dyDescent="0.2">
      <c r="A153" s="70" t="s">
        <v>399</v>
      </c>
      <c r="B153" t="s">
        <v>687</v>
      </c>
      <c r="C153" t="s">
        <v>60</v>
      </c>
      <c r="G153" t="s">
        <v>454</v>
      </c>
      <c r="H153" t="s">
        <v>448</v>
      </c>
      <c r="I153" t="s">
        <v>20</v>
      </c>
      <c r="J153" t="s">
        <v>398</v>
      </c>
      <c r="K153" s="70" t="s">
        <v>259</v>
      </c>
    </row>
    <row r="154" spans="1:11" x14ac:dyDescent="0.2">
      <c r="A154" s="70" t="s">
        <v>399</v>
      </c>
      <c r="B154" t="s">
        <v>687</v>
      </c>
      <c r="C154" t="s">
        <v>60</v>
      </c>
      <c r="G154" t="s">
        <v>454</v>
      </c>
      <c r="H154" t="s">
        <v>448</v>
      </c>
      <c r="I154" t="s">
        <v>20</v>
      </c>
      <c r="J154" t="s">
        <v>398</v>
      </c>
      <c r="K154" s="70" t="s">
        <v>259</v>
      </c>
    </row>
    <row r="155" spans="1:11" x14ac:dyDescent="0.2">
      <c r="A155" s="70" t="s">
        <v>399</v>
      </c>
      <c r="B155" t="s">
        <v>687</v>
      </c>
      <c r="C155" t="s">
        <v>61</v>
      </c>
      <c r="G155" t="s">
        <v>454</v>
      </c>
      <c r="H155" t="s">
        <v>448</v>
      </c>
      <c r="I155" t="s">
        <v>20</v>
      </c>
      <c r="J155" t="s">
        <v>398</v>
      </c>
      <c r="K155" s="70" t="s">
        <v>259</v>
      </c>
    </row>
    <row r="156" spans="1:11" x14ac:dyDescent="0.2">
      <c r="A156" s="70" t="s">
        <v>399</v>
      </c>
      <c r="B156" t="s">
        <v>687</v>
      </c>
      <c r="C156" t="s">
        <v>61</v>
      </c>
      <c r="G156" t="s">
        <v>454</v>
      </c>
      <c r="H156" t="s">
        <v>448</v>
      </c>
      <c r="I156" t="s">
        <v>20</v>
      </c>
      <c r="J156" t="s">
        <v>398</v>
      </c>
      <c r="K156" s="70" t="s">
        <v>259</v>
      </c>
    </row>
    <row r="157" spans="1:11" x14ac:dyDescent="0.2">
      <c r="A157" s="70" t="s">
        <v>399</v>
      </c>
      <c r="B157" t="s">
        <v>688</v>
      </c>
      <c r="C157" t="s">
        <v>51</v>
      </c>
      <c r="D157" t="s">
        <v>37</v>
      </c>
      <c r="E157" t="s">
        <v>113</v>
      </c>
      <c r="F157" t="s">
        <v>215</v>
      </c>
      <c r="G157" t="s">
        <v>389</v>
      </c>
      <c r="H157" t="s">
        <v>448</v>
      </c>
      <c r="I157" t="s">
        <v>20</v>
      </c>
      <c r="J157" t="s">
        <v>398</v>
      </c>
      <c r="K157" s="70" t="s">
        <v>197</v>
      </c>
    </row>
    <row r="158" spans="1:11" x14ac:dyDescent="0.2">
      <c r="A158" s="70" t="s">
        <v>399</v>
      </c>
      <c r="B158" t="s">
        <v>688</v>
      </c>
      <c r="C158" t="s">
        <v>51</v>
      </c>
      <c r="D158" t="s">
        <v>41</v>
      </c>
      <c r="E158" t="s">
        <v>71</v>
      </c>
      <c r="F158" t="s">
        <v>73</v>
      </c>
      <c r="G158" t="s">
        <v>389</v>
      </c>
      <c r="H158" t="s">
        <v>448</v>
      </c>
      <c r="I158" t="s">
        <v>20</v>
      </c>
      <c r="J158" t="s">
        <v>398</v>
      </c>
      <c r="K158" s="70" t="s">
        <v>197</v>
      </c>
    </row>
    <row r="159" spans="1:11" x14ac:dyDescent="0.2">
      <c r="A159" s="70" t="s">
        <v>399</v>
      </c>
      <c r="B159" t="s">
        <v>688</v>
      </c>
      <c r="C159" t="s">
        <v>51</v>
      </c>
      <c r="D159" t="s">
        <v>42</v>
      </c>
      <c r="E159" t="s">
        <v>74</v>
      </c>
      <c r="F159" t="s">
        <v>75</v>
      </c>
      <c r="G159" t="s">
        <v>389</v>
      </c>
      <c r="H159" t="s">
        <v>448</v>
      </c>
      <c r="I159" t="s">
        <v>20</v>
      </c>
      <c r="J159" t="s">
        <v>398</v>
      </c>
      <c r="K159" s="70" t="s">
        <v>197</v>
      </c>
    </row>
    <row r="160" spans="1:11" x14ac:dyDescent="0.2">
      <c r="A160" s="70" t="s">
        <v>399</v>
      </c>
      <c r="B160" t="s">
        <v>688</v>
      </c>
      <c r="C160" t="s">
        <v>55</v>
      </c>
      <c r="D160" t="s">
        <v>37</v>
      </c>
      <c r="E160" t="s">
        <v>161</v>
      </c>
      <c r="F160" t="s">
        <v>162</v>
      </c>
      <c r="G160" t="s">
        <v>389</v>
      </c>
      <c r="H160" t="s">
        <v>448</v>
      </c>
      <c r="I160" t="s">
        <v>20</v>
      </c>
      <c r="J160" t="s">
        <v>398</v>
      </c>
      <c r="K160" s="70" t="s">
        <v>197</v>
      </c>
    </row>
    <row r="161" spans="1:11" x14ac:dyDescent="0.2">
      <c r="A161" s="70" t="s">
        <v>399</v>
      </c>
      <c r="B161" t="s">
        <v>688</v>
      </c>
      <c r="C161" t="s">
        <v>55</v>
      </c>
      <c r="D161" t="s">
        <v>39</v>
      </c>
      <c r="E161" t="s">
        <v>65</v>
      </c>
      <c r="F161" t="s">
        <v>66</v>
      </c>
      <c r="G161" t="s">
        <v>389</v>
      </c>
      <c r="H161" t="s">
        <v>448</v>
      </c>
      <c r="I161" t="s">
        <v>20</v>
      </c>
      <c r="J161" t="s">
        <v>398</v>
      </c>
      <c r="K161" s="70" t="s">
        <v>197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D5C5A-09F0-A041-99D2-2FDF968884E7}">
  <dimension ref="A1:I97"/>
  <sheetViews>
    <sheetView workbookViewId="0"/>
  </sheetViews>
  <sheetFormatPr baseColWidth="10" defaultRowHeight="15" x14ac:dyDescent="0.2"/>
  <cols>
    <col min="1" max="1" width="41" bestFit="1" customWidth="1"/>
    <col min="2" max="2" width="13.5" bestFit="1" customWidth="1"/>
    <col min="3" max="3" width="13" bestFit="1" customWidth="1"/>
    <col min="4" max="4" width="14.83203125" bestFit="1" customWidth="1"/>
    <col min="5" max="5" width="13.6640625" bestFit="1" customWidth="1"/>
    <col min="6" max="6" width="11.6640625" bestFit="1" customWidth="1"/>
    <col min="7" max="7" width="13.33203125" bestFit="1" customWidth="1"/>
    <col min="8" max="8" width="11.33203125" bestFit="1" customWidth="1"/>
    <col min="9" max="9" width="37.5" bestFit="1" customWidth="1"/>
  </cols>
  <sheetData>
    <row r="1" spans="1:9" x14ac:dyDescent="0.2">
      <c r="A1" t="s">
        <v>598</v>
      </c>
      <c r="B1" t="s">
        <v>397</v>
      </c>
      <c r="C1" t="s">
        <v>24</v>
      </c>
      <c r="D1" t="s">
        <v>23</v>
      </c>
      <c r="E1" t="s">
        <v>452</v>
      </c>
      <c r="F1" t="s">
        <v>599</v>
      </c>
      <c r="G1" t="s">
        <v>390</v>
      </c>
      <c r="H1" t="s">
        <v>451</v>
      </c>
      <c r="I1" t="s">
        <v>453</v>
      </c>
    </row>
    <row r="2" spans="1:9" x14ac:dyDescent="0.2">
      <c r="A2" s="70" t="s">
        <v>431</v>
      </c>
      <c r="B2" t="s">
        <v>657</v>
      </c>
      <c r="C2" t="s">
        <v>25</v>
      </c>
      <c r="D2">
        <v>22</v>
      </c>
      <c r="E2" t="s">
        <v>461</v>
      </c>
      <c r="F2" t="s">
        <v>447</v>
      </c>
      <c r="G2" t="s">
        <v>20</v>
      </c>
      <c r="H2" t="s">
        <v>398</v>
      </c>
      <c r="I2" s="70" t="s">
        <v>462</v>
      </c>
    </row>
    <row r="3" spans="1:9" x14ac:dyDescent="0.2">
      <c r="A3" s="70" t="s">
        <v>431</v>
      </c>
      <c r="B3" t="s">
        <v>657</v>
      </c>
      <c r="C3" t="s">
        <v>26</v>
      </c>
      <c r="E3" t="s">
        <v>461</v>
      </c>
      <c r="F3" t="s">
        <v>447</v>
      </c>
      <c r="G3" t="s">
        <v>20</v>
      </c>
      <c r="H3" t="s">
        <v>398</v>
      </c>
      <c r="I3" s="70" t="s">
        <v>462</v>
      </c>
    </row>
    <row r="4" spans="1:9" x14ac:dyDescent="0.2">
      <c r="A4" s="70" t="s">
        <v>431</v>
      </c>
      <c r="B4" t="s">
        <v>657</v>
      </c>
      <c r="C4" t="s">
        <v>27</v>
      </c>
      <c r="E4" t="s">
        <v>461</v>
      </c>
      <c r="F4" t="s">
        <v>447</v>
      </c>
      <c r="G4" t="s">
        <v>20</v>
      </c>
      <c r="H4" t="s">
        <v>398</v>
      </c>
      <c r="I4" s="70" t="s">
        <v>462</v>
      </c>
    </row>
    <row r="5" spans="1:9" x14ac:dyDescent="0.2">
      <c r="A5" s="70" t="s">
        <v>431</v>
      </c>
      <c r="B5" t="s">
        <v>657</v>
      </c>
      <c r="C5" t="s">
        <v>28</v>
      </c>
      <c r="E5" t="s">
        <v>461</v>
      </c>
      <c r="F5" t="s">
        <v>447</v>
      </c>
      <c r="G5" t="s">
        <v>20</v>
      </c>
      <c r="H5" t="s">
        <v>398</v>
      </c>
      <c r="I5" s="70" t="s">
        <v>462</v>
      </c>
    </row>
    <row r="6" spans="1:9" x14ac:dyDescent="0.2">
      <c r="A6" s="70" t="s">
        <v>431</v>
      </c>
      <c r="B6" t="s">
        <v>657</v>
      </c>
      <c r="C6" t="s">
        <v>30</v>
      </c>
      <c r="D6">
        <v>22</v>
      </c>
      <c r="E6" t="s">
        <v>461</v>
      </c>
      <c r="F6" t="s">
        <v>447</v>
      </c>
      <c r="G6" t="s">
        <v>20</v>
      </c>
      <c r="H6" t="s">
        <v>398</v>
      </c>
      <c r="I6" s="70" t="s">
        <v>462</v>
      </c>
    </row>
    <row r="7" spans="1:9" x14ac:dyDescent="0.2">
      <c r="A7" s="70" t="s">
        <v>431</v>
      </c>
      <c r="B7" t="s">
        <v>657</v>
      </c>
      <c r="C7" t="s">
        <v>32</v>
      </c>
      <c r="D7">
        <v>44</v>
      </c>
      <c r="E7" t="s">
        <v>461</v>
      </c>
      <c r="F7" t="s">
        <v>447</v>
      </c>
      <c r="G7" t="s">
        <v>20</v>
      </c>
      <c r="H7" t="s">
        <v>398</v>
      </c>
      <c r="I7" s="70" t="s">
        <v>462</v>
      </c>
    </row>
    <row r="8" spans="1:9" x14ac:dyDescent="0.2">
      <c r="A8" s="70" t="s">
        <v>410</v>
      </c>
      <c r="B8" t="s">
        <v>658</v>
      </c>
      <c r="C8" t="s">
        <v>25</v>
      </c>
      <c r="E8" t="s">
        <v>455</v>
      </c>
      <c r="F8" t="s">
        <v>447</v>
      </c>
      <c r="G8" t="s">
        <v>20</v>
      </c>
      <c r="H8" t="s">
        <v>398</v>
      </c>
      <c r="I8" s="70" t="s">
        <v>456</v>
      </c>
    </row>
    <row r="9" spans="1:9" x14ac:dyDescent="0.2">
      <c r="A9" s="70" t="s">
        <v>410</v>
      </c>
      <c r="B9" t="s">
        <v>658</v>
      </c>
      <c r="C9" t="s">
        <v>26</v>
      </c>
      <c r="E9" t="s">
        <v>455</v>
      </c>
      <c r="F9" t="s">
        <v>447</v>
      </c>
      <c r="G9" t="s">
        <v>20</v>
      </c>
      <c r="H9" t="s">
        <v>398</v>
      </c>
      <c r="I9" s="70" t="s">
        <v>456</v>
      </c>
    </row>
    <row r="10" spans="1:9" x14ac:dyDescent="0.2">
      <c r="A10" s="70" t="s">
        <v>410</v>
      </c>
      <c r="B10" t="s">
        <v>658</v>
      </c>
      <c r="C10" t="s">
        <v>27</v>
      </c>
      <c r="E10" t="s">
        <v>455</v>
      </c>
      <c r="F10" t="s">
        <v>447</v>
      </c>
      <c r="G10" t="s">
        <v>20</v>
      </c>
      <c r="H10" t="s">
        <v>398</v>
      </c>
      <c r="I10" s="70" t="s">
        <v>456</v>
      </c>
    </row>
    <row r="11" spans="1:9" x14ac:dyDescent="0.2">
      <c r="A11" s="70" t="s">
        <v>410</v>
      </c>
      <c r="B11" t="s">
        <v>658</v>
      </c>
      <c r="C11" t="s">
        <v>28</v>
      </c>
      <c r="E11" t="s">
        <v>455</v>
      </c>
      <c r="F11" t="s">
        <v>447</v>
      </c>
      <c r="G11" t="s">
        <v>20</v>
      </c>
      <c r="H11" t="s">
        <v>398</v>
      </c>
      <c r="I11" s="70" t="s">
        <v>456</v>
      </c>
    </row>
    <row r="12" spans="1:9" x14ac:dyDescent="0.2">
      <c r="A12" s="70" t="s">
        <v>410</v>
      </c>
      <c r="B12" t="s">
        <v>658</v>
      </c>
      <c r="C12" t="s">
        <v>30</v>
      </c>
      <c r="E12" t="s">
        <v>455</v>
      </c>
      <c r="F12" t="s">
        <v>447</v>
      </c>
      <c r="G12" t="s">
        <v>20</v>
      </c>
      <c r="H12" t="s">
        <v>398</v>
      </c>
      <c r="I12" s="70" t="s">
        <v>456</v>
      </c>
    </row>
    <row r="13" spans="1:9" x14ac:dyDescent="0.2">
      <c r="A13" s="70" t="s">
        <v>410</v>
      </c>
      <c r="B13" t="s">
        <v>658</v>
      </c>
      <c r="C13" t="s">
        <v>32</v>
      </c>
      <c r="D13">
        <v>0</v>
      </c>
      <c r="E13" t="s">
        <v>455</v>
      </c>
      <c r="F13" t="s">
        <v>447</v>
      </c>
      <c r="G13" t="s">
        <v>20</v>
      </c>
      <c r="H13" t="s">
        <v>398</v>
      </c>
      <c r="I13" s="70" t="s">
        <v>456</v>
      </c>
    </row>
    <row r="14" spans="1:9" x14ac:dyDescent="0.2">
      <c r="A14" s="70" t="s">
        <v>410</v>
      </c>
      <c r="B14" t="s">
        <v>659</v>
      </c>
      <c r="C14" t="s">
        <v>25</v>
      </c>
      <c r="D14">
        <v>33</v>
      </c>
      <c r="E14" t="s">
        <v>457</v>
      </c>
      <c r="F14" t="s">
        <v>447</v>
      </c>
      <c r="G14" t="s">
        <v>20</v>
      </c>
      <c r="H14" t="s">
        <v>398</v>
      </c>
      <c r="I14" s="70" t="s">
        <v>458</v>
      </c>
    </row>
    <row r="15" spans="1:9" x14ac:dyDescent="0.2">
      <c r="A15" s="70" t="s">
        <v>410</v>
      </c>
      <c r="B15" t="s">
        <v>659</v>
      </c>
      <c r="C15" t="s">
        <v>26</v>
      </c>
      <c r="D15">
        <v>1</v>
      </c>
      <c r="E15" t="s">
        <v>457</v>
      </c>
      <c r="F15" t="s">
        <v>447</v>
      </c>
      <c r="G15" t="s">
        <v>20</v>
      </c>
      <c r="H15" t="s">
        <v>398</v>
      </c>
      <c r="I15" s="70" t="s">
        <v>458</v>
      </c>
    </row>
    <row r="16" spans="1:9" x14ac:dyDescent="0.2">
      <c r="A16" s="70" t="s">
        <v>410</v>
      </c>
      <c r="B16" t="s">
        <v>659</v>
      </c>
      <c r="C16" t="s">
        <v>27</v>
      </c>
      <c r="D16">
        <v>6</v>
      </c>
      <c r="E16" t="s">
        <v>457</v>
      </c>
      <c r="F16" t="s">
        <v>447</v>
      </c>
      <c r="G16" t="s">
        <v>20</v>
      </c>
      <c r="H16" t="s">
        <v>398</v>
      </c>
      <c r="I16" s="70" t="s">
        <v>458</v>
      </c>
    </row>
    <row r="17" spans="1:9" x14ac:dyDescent="0.2">
      <c r="A17" s="70" t="s">
        <v>410</v>
      </c>
      <c r="B17" t="s">
        <v>659</v>
      </c>
      <c r="C17" t="s">
        <v>28</v>
      </c>
      <c r="D17">
        <v>1</v>
      </c>
      <c r="E17" t="s">
        <v>457</v>
      </c>
      <c r="F17" t="s">
        <v>447</v>
      </c>
      <c r="G17" t="s">
        <v>20</v>
      </c>
      <c r="H17" t="s">
        <v>398</v>
      </c>
      <c r="I17" s="70" t="s">
        <v>458</v>
      </c>
    </row>
    <row r="18" spans="1:9" x14ac:dyDescent="0.2">
      <c r="A18" s="70" t="s">
        <v>410</v>
      </c>
      <c r="B18" t="s">
        <v>659</v>
      </c>
      <c r="C18" t="s">
        <v>30</v>
      </c>
      <c r="D18">
        <v>3</v>
      </c>
      <c r="E18" t="s">
        <v>457</v>
      </c>
      <c r="F18" t="s">
        <v>447</v>
      </c>
      <c r="G18" t="s">
        <v>20</v>
      </c>
      <c r="H18" t="s">
        <v>398</v>
      </c>
      <c r="I18" s="70" t="s">
        <v>458</v>
      </c>
    </row>
    <row r="19" spans="1:9" x14ac:dyDescent="0.2">
      <c r="A19" s="70" t="s">
        <v>410</v>
      </c>
      <c r="B19" t="s">
        <v>659</v>
      </c>
      <c r="C19" t="s">
        <v>32</v>
      </c>
      <c r="D19">
        <v>44</v>
      </c>
      <c r="E19" t="s">
        <v>457</v>
      </c>
      <c r="F19" t="s">
        <v>447</v>
      </c>
      <c r="G19" t="s">
        <v>20</v>
      </c>
      <c r="H19" t="s">
        <v>398</v>
      </c>
      <c r="I19" s="70" t="s">
        <v>458</v>
      </c>
    </row>
    <row r="20" spans="1:9" x14ac:dyDescent="0.2">
      <c r="A20" s="70" t="s">
        <v>410</v>
      </c>
      <c r="B20" t="s">
        <v>660</v>
      </c>
      <c r="C20" t="s">
        <v>25</v>
      </c>
      <c r="D20">
        <v>11</v>
      </c>
      <c r="E20" t="s">
        <v>459</v>
      </c>
      <c r="F20" t="s">
        <v>447</v>
      </c>
      <c r="G20" t="s">
        <v>20</v>
      </c>
      <c r="H20" t="s">
        <v>398</v>
      </c>
      <c r="I20" s="70" t="s">
        <v>460</v>
      </c>
    </row>
    <row r="21" spans="1:9" x14ac:dyDescent="0.2">
      <c r="A21" s="70" t="s">
        <v>410</v>
      </c>
      <c r="B21" t="s">
        <v>660</v>
      </c>
      <c r="C21" t="s">
        <v>26</v>
      </c>
      <c r="E21" t="s">
        <v>459</v>
      </c>
      <c r="F21" t="s">
        <v>447</v>
      </c>
      <c r="G21" t="s">
        <v>20</v>
      </c>
      <c r="H21" t="s">
        <v>398</v>
      </c>
      <c r="I21" s="70" t="s">
        <v>460</v>
      </c>
    </row>
    <row r="22" spans="1:9" x14ac:dyDescent="0.2">
      <c r="A22" s="70" t="s">
        <v>410</v>
      </c>
      <c r="B22" t="s">
        <v>660</v>
      </c>
      <c r="C22" t="s">
        <v>27</v>
      </c>
      <c r="D22">
        <v>6</v>
      </c>
      <c r="E22" t="s">
        <v>459</v>
      </c>
      <c r="F22" t="s">
        <v>447</v>
      </c>
      <c r="G22" t="s">
        <v>20</v>
      </c>
      <c r="H22" t="s">
        <v>398</v>
      </c>
      <c r="I22" s="70" t="s">
        <v>460</v>
      </c>
    </row>
    <row r="23" spans="1:9" x14ac:dyDescent="0.2">
      <c r="A23" s="70" t="s">
        <v>410</v>
      </c>
      <c r="B23" t="s">
        <v>660</v>
      </c>
      <c r="C23" t="s">
        <v>28</v>
      </c>
      <c r="D23">
        <v>11</v>
      </c>
      <c r="E23" t="s">
        <v>459</v>
      </c>
      <c r="F23" t="s">
        <v>447</v>
      </c>
      <c r="G23" t="s">
        <v>20</v>
      </c>
      <c r="H23" t="s">
        <v>398</v>
      </c>
      <c r="I23" s="70" t="s">
        <v>460</v>
      </c>
    </row>
    <row r="24" spans="1:9" x14ac:dyDescent="0.2">
      <c r="A24" s="70" t="s">
        <v>410</v>
      </c>
      <c r="B24" t="s">
        <v>660</v>
      </c>
      <c r="C24" t="s">
        <v>30</v>
      </c>
      <c r="D24">
        <v>11</v>
      </c>
      <c r="E24" t="s">
        <v>459</v>
      </c>
      <c r="F24" t="s">
        <v>447</v>
      </c>
      <c r="G24" t="s">
        <v>20</v>
      </c>
      <c r="H24" t="s">
        <v>398</v>
      </c>
      <c r="I24" s="70" t="s">
        <v>460</v>
      </c>
    </row>
    <row r="25" spans="1:9" x14ac:dyDescent="0.2">
      <c r="A25" s="70" t="s">
        <v>410</v>
      </c>
      <c r="B25" t="s">
        <v>660</v>
      </c>
      <c r="C25" t="s">
        <v>32</v>
      </c>
      <c r="D25">
        <v>39</v>
      </c>
      <c r="E25" t="s">
        <v>459</v>
      </c>
      <c r="F25" t="s">
        <v>447</v>
      </c>
      <c r="G25" t="s">
        <v>20</v>
      </c>
      <c r="H25" t="s">
        <v>398</v>
      </c>
      <c r="I25" s="70" t="s">
        <v>460</v>
      </c>
    </row>
    <row r="26" spans="1:9" x14ac:dyDescent="0.2">
      <c r="A26" s="70" t="s">
        <v>410</v>
      </c>
      <c r="B26" t="s">
        <v>661</v>
      </c>
      <c r="C26" t="s">
        <v>25</v>
      </c>
      <c r="D26">
        <v>34</v>
      </c>
      <c r="E26" t="s">
        <v>463</v>
      </c>
      <c r="F26" t="s">
        <v>447</v>
      </c>
      <c r="G26" t="s">
        <v>20</v>
      </c>
      <c r="H26" t="s">
        <v>398</v>
      </c>
      <c r="I26" s="70" t="s">
        <v>464</v>
      </c>
    </row>
    <row r="27" spans="1:9" x14ac:dyDescent="0.2">
      <c r="A27" s="70" t="s">
        <v>410</v>
      </c>
      <c r="B27" t="s">
        <v>661</v>
      </c>
      <c r="C27" t="s">
        <v>26</v>
      </c>
      <c r="D27">
        <v>6</v>
      </c>
      <c r="E27" t="s">
        <v>463</v>
      </c>
      <c r="F27" t="s">
        <v>447</v>
      </c>
      <c r="G27" t="s">
        <v>20</v>
      </c>
      <c r="H27" t="s">
        <v>398</v>
      </c>
      <c r="I27" s="70" t="s">
        <v>464</v>
      </c>
    </row>
    <row r="28" spans="1:9" x14ac:dyDescent="0.2">
      <c r="A28" s="70" t="s">
        <v>410</v>
      </c>
      <c r="B28" t="s">
        <v>661</v>
      </c>
      <c r="C28" t="s">
        <v>27</v>
      </c>
      <c r="E28" t="s">
        <v>463</v>
      </c>
      <c r="F28" t="s">
        <v>447</v>
      </c>
      <c r="G28" t="s">
        <v>20</v>
      </c>
      <c r="H28" t="s">
        <v>398</v>
      </c>
      <c r="I28" s="70" t="s">
        <v>464</v>
      </c>
    </row>
    <row r="29" spans="1:9" x14ac:dyDescent="0.2">
      <c r="A29" s="70" t="s">
        <v>410</v>
      </c>
      <c r="B29" t="s">
        <v>661</v>
      </c>
      <c r="C29" t="s">
        <v>28</v>
      </c>
      <c r="D29">
        <v>2</v>
      </c>
      <c r="E29" t="s">
        <v>463</v>
      </c>
      <c r="F29" t="s">
        <v>447</v>
      </c>
      <c r="G29" t="s">
        <v>20</v>
      </c>
      <c r="H29" t="s">
        <v>398</v>
      </c>
      <c r="I29" s="70" t="s">
        <v>464</v>
      </c>
    </row>
    <row r="30" spans="1:9" x14ac:dyDescent="0.2">
      <c r="A30" s="70" t="s">
        <v>410</v>
      </c>
      <c r="B30" t="s">
        <v>661</v>
      </c>
      <c r="C30" t="s">
        <v>30</v>
      </c>
      <c r="E30" t="s">
        <v>463</v>
      </c>
      <c r="F30" t="s">
        <v>447</v>
      </c>
      <c r="G30" t="s">
        <v>20</v>
      </c>
      <c r="H30" t="s">
        <v>398</v>
      </c>
      <c r="I30" s="70" t="s">
        <v>464</v>
      </c>
    </row>
    <row r="31" spans="1:9" x14ac:dyDescent="0.2">
      <c r="A31" s="70" t="s">
        <v>410</v>
      </c>
      <c r="B31" t="s">
        <v>661</v>
      </c>
      <c r="C31" t="s">
        <v>32</v>
      </c>
      <c r="D31">
        <v>42</v>
      </c>
      <c r="E31" t="s">
        <v>463</v>
      </c>
      <c r="F31" t="s">
        <v>447</v>
      </c>
      <c r="G31" t="s">
        <v>20</v>
      </c>
      <c r="H31" t="s">
        <v>398</v>
      </c>
      <c r="I31" s="70" t="s">
        <v>464</v>
      </c>
    </row>
    <row r="32" spans="1:9" x14ac:dyDescent="0.2">
      <c r="A32" s="70" t="s">
        <v>410</v>
      </c>
      <c r="B32" t="s">
        <v>662</v>
      </c>
      <c r="C32" t="s">
        <v>25</v>
      </c>
      <c r="D32">
        <v>16</v>
      </c>
      <c r="E32" t="s">
        <v>465</v>
      </c>
      <c r="F32" t="s">
        <v>447</v>
      </c>
      <c r="G32" t="s">
        <v>20</v>
      </c>
      <c r="H32" t="s">
        <v>398</v>
      </c>
      <c r="I32" s="70" t="s">
        <v>466</v>
      </c>
    </row>
    <row r="33" spans="1:9" x14ac:dyDescent="0.2">
      <c r="A33" s="70" t="s">
        <v>410</v>
      </c>
      <c r="B33" t="s">
        <v>662</v>
      </c>
      <c r="C33" t="s">
        <v>26</v>
      </c>
      <c r="D33">
        <v>5</v>
      </c>
      <c r="E33" t="s">
        <v>465</v>
      </c>
      <c r="F33" t="s">
        <v>447</v>
      </c>
      <c r="G33" t="s">
        <v>20</v>
      </c>
      <c r="H33" t="s">
        <v>398</v>
      </c>
      <c r="I33" s="70" t="s">
        <v>466</v>
      </c>
    </row>
    <row r="34" spans="1:9" x14ac:dyDescent="0.2">
      <c r="A34" s="70" t="s">
        <v>410</v>
      </c>
      <c r="B34" t="s">
        <v>662</v>
      </c>
      <c r="C34" t="s">
        <v>27</v>
      </c>
      <c r="D34">
        <v>6</v>
      </c>
      <c r="E34" t="s">
        <v>465</v>
      </c>
      <c r="F34" t="s">
        <v>447</v>
      </c>
      <c r="G34" t="s">
        <v>20</v>
      </c>
      <c r="H34" t="s">
        <v>398</v>
      </c>
      <c r="I34" s="70" t="s">
        <v>466</v>
      </c>
    </row>
    <row r="35" spans="1:9" x14ac:dyDescent="0.2">
      <c r="A35" s="70" t="s">
        <v>410</v>
      </c>
      <c r="B35" t="s">
        <v>662</v>
      </c>
      <c r="C35" t="s">
        <v>28</v>
      </c>
      <c r="D35">
        <v>7</v>
      </c>
      <c r="E35" t="s">
        <v>465</v>
      </c>
      <c r="F35" t="s">
        <v>447</v>
      </c>
      <c r="G35" t="s">
        <v>20</v>
      </c>
      <c r="H35" t="s">
        <v>398</v>
      </c>
      <c r="I35" s="70" t="s">
        <v>466</v>
      </c>
    </row>
    <row r="36" spans="1:9" x14ac:dyDescent="0.2">
      <c r="A36" s="70" t="s">
        <v>410</v>
      </c>
      <c r="B36" t="s">
        <v>662</v>
      </c>
      <c r="C36" t="s">
        <v>30</v>
      </c>
      <c r="D36">
        <v>6</v>
      </c>
      <c r="E36" t="s">
        <v>465</v>
      </c>
      <c r="F36" t="s">
        <v>447</v>
      </c>
      <c r="G36" t="s">
        <v>20</v>
      </c>
      <c r="H36" t="s">
        <v>398</v>
      </c>
      <c r="I36" s="70" t="s">
        <v>466</v>
      </c>
    </row>
    <row r="37" spans="1:9" x14ac:dyDescent="0.2">
      <c r="A37" s="70" t="s">
        <v>410</v>
      </c>
      <c r="B37" t="s">
        <v>662</v>
      </c>
      <c r="C37" t="s">
        <v>32</v>
      </c>
      <c r="D37">
        <v>40</v>
      </c>
      <c r="E37" t="s">
        <v>465</v>
      </c>
      <c r="F37" t="s">
        <v>447</v>
      </c>
      <c r="G37" t="s">
        <v>20</v>
      </c>
      <c r="H37" t="s">
        <v>398</v>
      </c>
      <c r="I37" s="70" t="s">
        <v>466</v>
      </c>
    </row>
    <row r="38" spans="1:9" x14ac:dyDescent="0.2">
      <c r="A38" s="70" t="s">
        <v>410</v>
      </c>
      <c r="B38" t="s">
        <v>663</v>
      </c>
      <c r="C38" t="s">
        <v>25</v>
      </c>
      <c r="E38" t="s">
        <v>467</v>
      </c>
      <c r="F38" t="s">
        <v>447</v>
      </c>
      <c r="G38" t="s">
        <v>20</v>
      </c>
      <c r="H38" t="s">
        <v>398</v>
      </c>
      <c r="I38" s="70" t="s">
        <v>468</v>
      </c>
    </row>
    <row r="39" spans="1:9" x14ac:dyDescent="0.2">
      <c r="A39" s="70" t="s">
        <v>410</v>
      </c>
      <c r="B39" t="s">
        <v>663</v>
      </c>
      <c r="C39" t="s">
        <v>26</v>
      </c>
      <c r="E39" t="s">
        <v>467</v>
      </c>
      <c r="F39" t="s">
        <v>447</v>
      </c>
      <c r="G39" t="s">
        <v>20</v>
      </c>
      <c r="H39" t="s">
        <v>398</v>
      </c>
      <c r="I39" s="70" t="s">
        <v>468</v>
      </c>
    </row>
    <row r="40" spans="1:9" x14ac:dyDescent="0.2">
      <c r="A40" s="70" t="s">
        <v>410</v>
      </c>
      <c r="B40" t="s">
        <v>663</v>
      </c>
      <c r="C40" t="s">
        <v>27</v>
      </c>
      <c r="E40" t="s">
        <v>467</v>
      </c>
      <c r="F40" t="s">
        <v>447</v>
      </c>
      <c r="G40" t="s">
        <v>20</v>
      </c>
      <c r="H40" t="s">
        <v>398</v>
      </c>
      <c r="I40" s="70" t="s">
        <v>468</v>
      </c>
    </row>
    <row r="41" spans="1:9" x14ac:dyDescent="0.2">
      <c r="A41" s="70" t="s">
        <v>410</v>
      </c>
      <c r="B41" t="s">
        <v>663</v>
      </c>
      <c r="C41" t="s">
        <v>28</v>
      </c>
      <c r="E41" t="s">
        <v>467</v>
      </c>
      <c r="F41" t="s">
        <v>447</v>
      </c>
      <c r="G41" t="s">
        <v>20</v>
      </c>
      <c r="H41" t="s">
        <v>398</v>
      </c>
      <c r="I41" s="70" t="s">
        <v>468</v>
      </c>
    </row>
    <row r="42" spans="1:9" x14ac:dyDescent="0.2">
      <c r="A42" s="70" t="s">
        <v>410</v>
      </c>
      <c r="B42" t="s">
        <v>663</v>
      </c>
      <c r="C42" t="s">
        <v>30</v>
      </c>
      <c r="E42" t="s">
        <v>467</v>
      </c>
      <c r="F42" t="s">
        <v>447</v>
      </c>
      <c r="G42" t="s">
        <v>20</v>
      </c>
      <c r="H42" t="s">
        <v>398</v>
      </c>
      <c r="I42" s="70" t="s">
        <v>468</v>
      </c>
    </row>
    <row r="43" spans="1:9" x14ac:dyDescent="0.2">
      <c r="A43" s="70" t="s">
        <v>410</v>
      </c>
      <c r="B43" t="s">
        <v>663</v>
      </c>
      <c r="C43" t="s">
        <v>32</v>
      </c>
      <c r="D43">
        <v>0</v>
      </c>
      <c r="E43" t="s">
        <v>467</v>
      </c>
      <c r="F43" t="s">
        <v>447</v>
      </c>
      <c r="G43" t="s">
        <v>20</v>
      </c>
      <c r="H43" t="s">
        <v>398</v>
      </c>
      <c r="I43" s="70" t="s">
        <v>468</v>
      </c>
    </row>
    <row r="44" spans="1:9" x14ac:dyDescent="0.2">
      <c r="A44" s="70" t="s">
        <v>410</v>
      </c>
      <c r="B44" t="s">
        <v>664</v>
      </c>
      <c r="C44" t="s">
        <v>25</v>
      </c>
      <c r="D44">
        <v>10</v>
      </c>
      <c r="E44" t="s">
        <v>469</v>
      </c>
      <c r="F44" t="s">
        <v>447</v>
      </c>
      <c r="G44" t="s">
        <v>20</v>
      </c>
      <c r="H44" t="s">
        <v>398</v>
      </c>
      <c r="I44" s="70" t="s">
        <v>470</v>
      </c>
    </row>
    <row r="45" spans="1:9" x14ac:dyDescent="0.2">
      <c r="A45" s="70" t="s">
        <v>410</v>
      </c>
      <c r="B45" t="s">
        <v>664</v>
      </c>
      <c r="C45" t="s">
        <v>26</v>
      </c>
      <c r="D45">
        <v>26</v>
      </c>
      <c r="E45" t="s">
        <v>469</v>
      </c>
      <c r="F45" t="s">
        <v>447</v>
      </c>
      <c r="G45" t="s">
        <v>20</v>
      </c>
      <c r="H45" t="s">
        <v>398</v>
      </c>
      <c r="I45" s="70" t="s">
        <v>470</v>
      </c>
    </row>
    <row r="46" spans="1:9" x14ac:dyDescent="0.2">
      <c r="A46" s="70" t="s">
        <v>410</v>
      </c>
      <c r="B46" t="s">
        <v>664</v>
      </c>
      <c r="C46" t="s">
        <v>27</v>
      </c>
      <c r="E46" t="s">
        <v>469</v>
      </c>
      <c r="F46" t="s">
        <v>447</v>
      </c>
      <c r="G46" t="s">
        <v>20</v>
      </c>
      <c r="H46" t="s">
        <v>398</v>
      </c>
      <c r="I46" s="70" t="s">
        <v>470</v>
      </c>
    </row>
    <row r="47" spans="1:9" x14ac:dyDescent="0.2">
      <c r="A47" s="70" t="s">
        <v>410</v>
      </c>
      <c r="B47" t="s">
        <v>664</v>
      </c>
      <c r="C47" t="s">
        <v>28</v>
      </c>
      <c r="E47" t="s">
        <v>469</v>
      </c>
      <c r="F47" t="s">
        <v>447</v>
      </c>
      <c r="G47" t="s">
        <v>20</v>
      </c>
      <c r="H47" t="s">
        <v>398</v>
      </c>
      <c r="I47" s="70" t="s">
        <v>470</v>
      </c>
    </row>
    <row r="48" spans="1:9" x14ac:dyDescent="0.2">
      <c r="A48" s="70" t="s">
        <v>410</v>
      </c>
      <c r="B48" t="s">
        <v>664</v>
      </c>
      <c r="C48" t="s">
        <v>30</v>
      </c>
      <c r="E48" t="s">
        <v>469</v>
      </c>
      <c r="F48" t="s">
        <v>447</v>
      </c>
      <c r="G48" t="s">
        <v>20</v>
      </c>
      <c r="H48" t="s">
        <v>398</v>
      </c>
      <c r="I48" s="70" t="s">
        <v>470</v>
      </c>
    </row>
    <row r="49" spans="1:9" x14ac:dyDescent="0.2">
      <c r="A49" s="70" t="s">
        <v>410</v>
      </c>
      <c r="B49" t="s">
        <v>664</v>
      </c>
      <c r="C49" t="s">
        <v>32</v>
      </c>
      <c r="D49">
        <v>36</v>
      </c>
      <c r="E49" t="s">
        <v>469</v>
      </c>
      <c r="F49" t="s">
        <v>447</v>
      </c>
      <c r="G49" t="s">
        <v>20</v>
      </c>
      <c r="H49" t="s">
        <v>398</v>
      </c>
      <c r="I49" s="70" t="s">
        <v>470</v>
      </c>
    </row>
    <row r="50" spans="1:9" x14ac:dyDescent="0.2">
      <c r="A50" s="70" t="s">
        <v>399</v>
      </c>
      <c r="B50" t="s">
        <v>665</v>
      </c>
      <c r="C50" t="s">
        <v>25</v>
      </c>
      <c r="D50">
        <v>24</v>
      </c>
      <c r="E50" t="s">
        <v>384</v>
      </c>
      <c r="F50" t="s">
        <v>447</v>
      </c>
      <c r="G50" t="s">
        <v>20</v>
      </c>
      <c r="H50" t="s">
        <v>398</v>
      </c>
      <c r="I50" s="70" t="s">
        <v>7</v>
      </c>
    </row>
    <row r="51" spans="1:9" x14ac:dyDescent="0.2">
      <c r="A51" s="70" t="s">
        <v>399</v>
      </c>
      <c r="B51" t="s">
        <v>665</v>
      </c>
      <c r="C51" t="s">
        <v>26</v>
      </c>
      <c r="D51">
        <v>10</v>
      </c>
      <c r="E51" t="s">
        <v>384</v>
      </c>
      <c r="F51" t="s">
        <v>447</v>
      </c>
      <c r="G51" t="s">
        <v>20</v>
      </c>
      <c r="H51" t="s">
        <v>398</v>
      </c>
      <c r="I51" s="70" t="s">
        <v>7</v>
      </c>
    </row>
    <row r="52" spans="1:9" x14ac:dyDescent="0.2">
      <c r="A52" s="70" t="s">
        <v>399</v>
      </c>
      <c r="B52" t="s">
        <v>665</v>
      </c>
      <c r="C52" t="s">
        <v>27</v>
      </c>
      <c r="D52">
        <v>9</v>
      </c>
      <c r="E52" t="s">
        <v>384</v>
      </c>
      <c r="F52" t="s">
        <v>447</v>
      </c>
      <c r="G52" t="s">
        <v>20</v>
      </c>
      <c r="H52" t="s">
        <v>398</v>
      </c>
      <c r="I52" s="70" t="s">
        <v>7</v>
      </c>
    </row>
    <row r="53" spans="1:9" x14ac:dyDescent="0.2">
      <c r="A53" s="70" t="s">
        <v>399</v>
      </c>
      <c r="B53" t="s">
        <v>665</v>
      </c>
      <c r="C53" t="s">
        <v>28</v>
      </c>
      <c r="D53">
        <v>6</v>
      </c>
      <c r="E53" t="s">
        <v>384</v>
      </c>
      <c r="F53" t="s">
        <v>447</v>
      </c>
      <c r="G53" t="s">
        <v>20</v>
      </c>
      <c r="H53" t="s">
        <v>398</v>
      </c>
      <c r="I53" s="70" t="s">
        <v>7</v>
      </c>
    </row>
    <row r="54" spans="1:9" x14ac:dyDescent="0.2">
      <c r="A54" s="70" t="s">
        <v>399</v>
      </c>
      <c r="B54" t="s">
        <v>665</v>
      </c>
      <c r="C54" t="s">
        <v>30</v>
      </c>
      <c r="D54">
        <v>0</v>
      </c>
      <c r="E54" t="s">
        <v>384</v>
      </c>
      <c r="F54" t="s">
        <v>447</v>
      </c>
      <c r="G54" t="s">
        <v>20</v>
      </c>
      <c r="H54" t="s">
        <v>398</v>
      </c>
      <c r="I54" s="70" t="s">
        <v>7</v>
      </c>
    </row>
    <row r="55" spans="1:9" x14ac:dyDescent="0.2">
      <c r="A55" s="70" t="s">
        <v>399</v>
      </c>
      <c r="B55" t="s">
        <v>665</v>
      </c>
      <c r="C55" t="s">
        <v>32</v>
      </c>
      <c r="D55">
        <v>49</v>
      </c>
      <c r="E55" t="s">
        <v>384</v>
      </c>
      <c r="F55" t="s">
        <v>447</v>
      </c>
      <c r="G55" t="s">
        <v>20</v>
      </c>
      <c r="H55" t="s">
        <v>398</v>
      </c>
      <c r="I55" s="70" t="s">
        <v>7</v>
      </c>
    </row>
    <row r="56" spans="1:9" x14ac:dyDescent="0.2">
      <c r="A56" s="70" t="s">
        <v>399</v>
      </c>
      <c r="B56" t="s">
        <v>666</v>
      </c>
      <c r="C56" t="s">
        <v>25</v>
      </c>
      <c r="D56">
        <v>22</v>
      </c>
      <c r="E56" t="s">
        <v>95</v>
      </c>
      <c r="F56" t="s">
        <v>447</v>
      </c>
      <c r="G56" t="s">
        <v>20</v>
      </c>
      <c r="H56" t="s">
        <v>398</v>
      </c>
      <c r="I56" s="70" t="s">
        <v>97</v>
      </c>
    </row>
    <row r="57" spans="1:9" x14ac:dyDescent="0.2">
      <c r="A57" s="70" t="s">
        <v>399</v>
      </c>
      <c r="B57" t="s">
        <v>666</v>
      </c>
      <c r="C57" t="s">
        <v>26</v>
      </c>
      <c r="D57">
        <v>14</v>
      </c>
      <c r="E57" t="s">
        <v>95</v>
      </c>
      <c r="F57" t="s">
        <v>447</v>
      </c>
      <c r="G57" t="s">
        <v>20</v>
      </c>
      <c r="H57" t="s">
        <v>398</v>
      </c>
      <c r="I57" s="70" t="s">
        <v>97</v>
      </c>
    </row>
    <row r="58" spans="1:9" x14ac:dyDescent="0.2">
      <c r="A58" s="70" t="s">
        <v>399</v>
      </c>
      <c r="B58" t="s">
        <v>666</v>
      </c>
      <c r="C58" t="s">
        <v>27</v>
      </c>
      <c r="D58">
        <v>4</v>
      </c>
      <c r="E58" t="s">
        <v>95</v>
      </c>
      <c r="F58" t="s">
        <v>447</v>
      </c>
      <c r="G58" t="s">
        <v>20</v>
      </c>
      <c r="H58" t="s">
        <v>398</v>
      </c>
      <c r="I58" s="70" t="s">
        <v>97</v>
      </c>
    </row>
    <row r="59" spans="1:9" x14ac:dyDescent="0.2">
      <c r="A59" s="70" t="s">
        <v>399</v>
      </c>
      <c r="B59" t="s">
        <v>666</v>
      </c>
      <c r="C59" t="s">
        <v>28</v>
      </c>
      <c r="D59">
        <v>8</v>
      </c>
      <c r="E59" t="s">
        <v>95</v>
      </c>
      <c r="F59" t="s">
        <v>447</v>
      </c>
      <c r="G59" t="s">
        <v>20</v>
      </c>
      <c r="H59" t="s">
        <v>398</v>
      </c>
      <c r="I59" s="70" t="s">
        <v>97</v>
      </c>
    </row>
    <row r="60" spans="1:9" x14ac:dyDescent="0.2">
      <c r="A60" s="70" t="s">
        <v>399</v>
      </c>
      <c r="B60" t="s">
        <v>666</v>
      </c>
      <c r="C60" t="s">
        <v>30</v>
      </c>
      <c r="D60">
        <v>0</v>
      </c>
      <c r="E60" t="s">
        <v>95</v>
      </c>
      <c r="F60" t="s">
        <v>447</v>
      </c>
      <c r="G60" t="s">
        <v>20</v>
      </c>
      <c r="H60" t="s">
        <v>398</v>
      </c>
      <c r="I60" s="70" t="s">
        <v>97</v>
      </c>
    </row>
    <row r="61" spans="1:9" x14ac:dyDescent="0.2">
      <c r="A61" s="70" t="s">
        <v>399</v>
      </c>
      <c r="B61" t="s">
        <v>666</v>
      </c>
      <c r="C61" t="s">
        <v>32</v>
      </c>
      <c r="D61">
        <v>48</v>
      </c>
      <c r="E61" t="s">
        <v>95</v>
      </c>
      <c r="F61" t="s">
        <v>447</v>
      </c>
      <c r="G61" t="s">
        <v>20</v>
      </c>
      <c r="H61" t="s">
        <v>398</v>
      </c>
      <c r="I61" s="70" t="s">
        <v>97</v>
      </c>
    </row>
    <row r="62" spans="1:9" x14ac:dyDescent="0.2">
      <c r="A62" s="70" t="s">
        <v>399</v>
      </c>
      <c r="B62" t="s">
        <v>667</v>
      </c>
      <c r="C62" t="s">
        <v>25</v>
      </c>
      <c r="D62">
        <v>18</v>
      </c>
      <c r="E62" t="s">
        <v>143</v>
      </c>
      <c r="F62" t="s">
        <v>447</v>
      </c>
      <c r="G62" t="s">
        <v>20</v>
      </c>
      <c r="H62" t="s">
        <v>398</v>
      </c>
      <c r="I62" s="70" t="s">
        <v>145</v>
      </c>
    </row>
    <row r="63" spans="1:9" x14ac:dyDescent="0.2">
      <c r="A63" s="70" t="s">
        <v>399</v>
      </c>
      <c r="B63" t="s">
        <v>667</v>
      </c>
      <c r="C63" t="s">
        <v>26</v>
      </c>
      <c r="D63">
        <v>14</v>
      </c>
      <c r="E63" t="s">
        <v>143</v>
      </c>
      <c r="F63" t="s">
        <v>447</v>
      </c>
      <c r="G63" t="s">
        <v>20</v>
      </c>
      <c r="H63" t="s">
        <v>398</v>
      </c>
      <c r="I63" s="70" t="s">
        <v>145</v>
      </c>
    </row>
    <row r="64" spans="1:9" x14ac:dyDescent="0.2">
      <c r="A64" s="70" t="s">
        <v>399</v>
      </c>
      <c r="B64" t="s">
        <v>667</v>
      </c>
      <c r="C64" t="s">
        <v>27</v>
      </c>
      <c r="D64">
        <v>6</v>
      </c>
      <c r="E64" t="s">
        <v>143</v>
      </c>
      <c r="F64" t="s">
        <v>447</v>
      </c>
      <c r="G64" t="s">
        <v>20</v>
      </c>
      <c r="H64" t="s">
        <v>398</v>
      </c>
      <c r="I64" s="70" t="s">
        <v>145</v>
      </c>
    </row>
    <row r="65" spans="1:9" x14ac:dyDescent="0.2">
      <c r="A65" s="70" t="s">
        <v>399</v>
      </c>
      <c r="B65" t="s">
        <v>667</v>
      </c>
      <c r="C65" t="s">
        <v>28</v>
      </c>
      <c r="D65">
        <v>10</v>
      </c>
      <c r="E65" t="s">
        <v>143</v>
      </c>
      <c r="F65" t="s">
        <v>447</v>
      </c>
      <c r="G65" t="s">
        <v>20</v>
      </c>
      <c r="H65" t="s">
        <v>398</v>
      </c>
      <c r="I65" s="70" t="s">
        <v>145</v>
      </c>
    </row>
    <row r="66" spans="1:9" x14ac:dyDescent="0.2">
      <c r="A66" s="70" t="s">
        <v>399</v>
      </c>
      <c r="B66" t="s">
        <v>667</v>
      </c>
      <c r="C66" t="s">
        <v>30</v>
      </c>
      <c r="E66" t="s">
        <v>143</v>
      </c>
      <c r="F66" t="s">
        <v>447</v>
      </c>
      <c r="G66" t="s">
        <v>20</v>
      </c>
      <c r="H66" t="s">
        <v>398</v>
      </c>
      <c r="I66" s="70" t="s">
        <v>145</v>
      </c>
    </row>
    <row r="67" spans="1:9" x14ac:dyDescent="0.2">
      <c r="A67" s="70" t="s">
        <v>399</v>
      </c>
      <c r="B67" t="s">
        <v>667</v>
      </c>
      <c r="C67" t="s">
        <v>32</v>
      </c>
      <c r="D67">
        <v>48</v>
      </c>
      <c r="E67" t="s">
        <v>143</v>
      </c>
      <c r="F67" t="s">
        <v>447</v>
      </c>
      <c r="G67" t="s">
        <v>20</v>
      </c>
      <c r="H67" t="s">
        <v>398</v>
      </c>
      <c r="I67" s="70" t="s">
        <v>145</v>
      </c>
    </row>
    <row r="68" spans="1:9" x14ac:dyDescent="0.2">
      <c r="A68" s="70" t="s">
        <v>399</v>
      </c>
      <c r="B68" t="s">
        <v>668</v>
      </c>
      <c r="C68" t="s">
        <v>25</v>
      </c>
      <c r="E68" t="s">
        <v>385</v>
      </c>
      <c r="F68" t="s">
        <v>447</v>
      </c>
      <c r="G68" t="s">
        <v>20</v>
      </c>
      <c r="H68" t="s">
        <v>398</v>
      </c>
      <c r="I68" s="70" t="s">
        <v>386</v>
      </c>
    </row>
    <row r="69" spans="1:9" x14ac:dyDescent="0.2">
      <c r="A69" s="70" t="s">
        <v>399</v>
      </c>
      <c r="B69" t="s">
        <v>668</v>
      </c>
      <c r="C69" t="s">
        <v>26</v>
      </c>
      <c r="E69" t="s">
        <v>385</v>
      </c>
      <c r="F69" t="s">
        <v>447</v>
      </c>
      <c r="G69" t="s">
        <v>20</v>
      </c>
      <c r="H69" t="s">
        <v>398</v>
      </c>
      <c r="I69" s="70" t="s">
        <v>386</v>
      </c>
    </row>
    <row r="70" spans="1:9" x14ac:dyDescent="0.2">
      <c r="A70" s="70" t="s">
        <v>399</v>
      </c>
      <c r="B70" t="s">
        <v>668</v>
      </c>
      <c r="C70" t="s">
        <v>27</v>
      </c>
      <c r="E70" t="s">
        <v>385</v>
      </c>
      <c r="F70" t="s">
        <v>447</v>
      </c>
      <c r="G70" t="s">
        <v>20</v>
      </c>
      <c r="H70" t="s">
        <v>398</v>
      </c>
      <c r="I70" s="70" t="s">
        <v>386</v>
      </c>
    </row>
    <row r="71" spans="1:9" x14ac:dyDescent="0.2">
      <c r="A71" s="70" t="s">
        <v>399</v>
      </c>
      <c r="B71" t="s">
        <v>668</v>
      </c>
      <c r="C71" t="s">
        <v>28</v>
      </c>
      <c r="E71" t="s">
        <v>385</v>
      </c>
      <c r="F71" t="s">
        <v>447</v>
      </c>
      <c r="G71" t="s">
        <v>20</v>
      </c>
      <c r="H71" t="s">
        <v>398</v>
      </c>
      <c r="I71" s="70" t="s">
        <v>386</v>
      </c>
    </row>
    <row r="72" spans="1:9" x14ac:dyDescent="0.2">
      <c r="A72" s="70" t="s">
        <v>399</v>
      </c>
      <c r="B72" t="s">
        <v>668</v>
      </c>
      <c r="C72" t="s">
        <v>30</v>
      </c>
      <c r="E72" t="s">
        <v>385</v>
      </c>
      <c r="F72" t="s">
        <v>447</v>
      </c>
      <c r="G72" t="s">
        <v>20</v>
      </c>
      <c r="H72" t="s">
        <v>398</v>
      </c>
      <c r="I72" s="70" t="s">
        <v>386</v>
      </c>
    </row>
    <row r="73" spans="1:9" x14ac:dyDescent="0.2">
      <c r="A73" s="70" t="s">
        <v>399</v>
      </c>
      <c r="B73" t="s">
        <v>668</v>
      </c>
      <c r="C73" t="s">
        <v>32</v>
      </c>
      <c r="D73">
        <v>0</v>
      </c>
      <c r="E73" t="s">
        <v>385</v>
      </c>
      <c r="F73" t="s">
        <v>447</v>
      </c>
      <c r="G73" t="s">
        <v>20</v>
      </c>
      <c r="H73" t="s">
        <v>398</v>
      </c>
      <c r="I73" s="70" t="s">
        <v>386</v>
      </c>
    </row>
    <row r="74" spans="1:9" x14ac:dyDescent="0.2">
      <c r="A74" s="70" t="s">
        <v>399</v>
      </c>
      <c r="B74" t="s">
        <v>669</v>
      </c>
      <c r="C74" t="s">
        <v>25</v>
      </c>
      <c r="D74">
        <v>22</v>
      </c>
      <c r="E74" t="s">
        <v>216</v>
      </c>
      <c r="F74" t="s">
        <v>447</v>
      </c>
      <c r="G74" t="s">
        <v>20</v>
      </c>
      <c r="H74" t="s">
        <v>398</v>
      </c>
      <c r="I74" s="70" t="s">
        <v>218</v>
      </c>
    </row>
    <row r="75" spans="1:9" x14ac:dyDescent="0.2">
      <c r="A75" s="70" t="s">
        <v>399</v>
      </c>
      <c r="B75" t="s">
        <v>669</v>
      </c>
      <c r="C75" t="s">
        <v>26</v>
      </c>
      <c r="E75" t="s">
        <v>216</v>
      </c>
      <c r="F75" t="s">
        <v>447</v>
      </c>
      <c r="G75" t="s">
        <v>20</v>
      </c>
      <c r="H75" t="s">
        <v>398</v>
      </c>
      <c r="I75" s="70" t="s">
        <v>218</v>
      </c>
    </row>
    <row r="76" spans="1:9" x14ac:dyDescent="0.2">
      <c r="A76" s="70" t="s">
        <v>399</v>
      </c>
      <c r="B76" t="s">
        <v>669</v>
      </c>
      <c r="C76" t="s">
        <v>27</v>
      </c>
      <c r="D76">
        <v>16</v>
      </c>
      <c r="E76" t="s">
        <v>216</v>
      </c>
      <c r="F76" t="s">
        <v>447</v>
      </c>
      <c r="G76" t="s">
        <v>20</v>
      </c>
      <c r="H76" t="s">
        <v>398</v>
      </c>
      <c r="I76" s="70" t="s">
        <v>218</v>
      </c>
    </row>
    <row r="77" spans="1:9" x14ac:dyDescent="0.2">
      <c r="A77" s="70" t="s">
        <v>399</v>
      </c>
      <c r="B77" t="s">
        <v>669</v>
      </c>
      <c r="C77" t="s">
        <v>28</v>
      </c>
      <c r="D77">
        <v>8</v>
      </c>
      <c r="E77" t="s">
        <v>216</v>
      </c>
      <c r="F77" t="s">
        <v>447</v>
      </c>
      <c r="G77" t="s">
        <v>20</v>
      </c>
      <c r="H77" t="s">
        <v>398</v>
      </c>
      <c r="I77" s="70" t="s">
        <v>218</v>
      </c>
    </row>
    <row r="78" spans="1:9" x14ac:dyDescent="0.2">
      <c r="A78" s="70" t="s">
        <v>399</v>
      </c>
      <c r="B78" t="s">
        <v>669</v>
      </c>
      <c r="C78" t="s">
        <v>30</v>
      </c>
      <c r="E78" t="s">
        <v>216</v>
      </c>
      <c r="F78" t="s">
        <v>447</v>
      </c>
      <c r="G78" t="s">
        <v>20</v>
      </c>
      <c r="H78" t="s">
        <v>398</v>
      </c>
      <c r="I78" s="70" t="s">
        <v>218</v>
      </c>
    </row>
    <row r="79" spans="1:9" x14ac:dyDescent="0.2">
      <c r="A79" s="70" t="s">
        <v>399</v>
      </c>
      <c r="B79" t="s">
        <v>669</v>
      </c>
      <c r="C79" t="s">
        <v>32</v>
      </c>
      <c r="D79">
        <v>46</v>
      </c>
      <c r="E79" t="s">
        <v>216</v>
      </c>
      <c r="F79" t="s">
        <v>447</v>
      </c>
      <c r="G79" t="s">
        <v>20</v>
      </c>
      <c r="H79" t="s">
        <v>398</v>
      </c>
      <c r="I79" s="70" t="s">
        <v>218</v>
      </c>
    </row>
    <row r="80" spans="1:9" x14ac:dyDescent="0.2">
      <c r="A80" s="70" t="s">
        <v>399</v>
      </c>
      <c r="B80" t="s">
        <v>670</v>
      </c>
      <c r="C80" t="s">
        <v>25</v>
      </c>
      <c r="D80">
        <v>8</v>
      </c>
      <c r="E80" t="s">
        <v>387</v>
      </c>
      <c r="F80" t="s">
        <v>447</v>
      </c>
      <c r="G80" t="s">
        <v>20</v>
      </c>
      <c r="H80" t="s">
        <v>398</v>
      </c>
      <c r="I80" s="70" t="s">
        <v>388</v>
      </c>
    </row>
    <row r="81" spans="1:9" x14ac:dyDescent="0.2">
      <c r="A81" s="70" t="s">
        <v>399</v>
      </c>
      <c r="B81" t="s">
        <v>670</v>
      </c>
      <c r="C81" t="s">
        <v>26</v>
      </c>
      <c r="E81" t="s">
        <v>387</v>
      </c>
      <c r="F81" t="s">
        <v>447</v>
      </c>
      <c r="G81" t="s">
        <v>20</v>
      </c>
      <c r="H81" t="s">
        <v>398</v>
      </c>
      <c r="I81" s="70" t="s">
        <v>388</v>
      </c>
    </row>
    <row r="82" spans="1:9" x14ac:dyDescent="0.2">
      <c r="A82" s="70" t="s">
        <v>399</v>
      </c>
      <c r="B82" t="s">
        <v>670</v>
      </c>
      <c r="C82" t="s">
        <v>27</v>
      </c>
      <c r="D82">
        <v>12</v>
      </c>
      <c r="E82" t="s">
        <v>387</v>
      </c>
      <c r="F82" t="s">
        <v>447</v>
      </c>
      <c r="G82" t="s">
        <v>20</v>
      </c>
      <c r="H82" t="s">
        <v>398</v>
      </c>
      <c r="I82" s="70" t="s">
        <v>388</v>
      </c>
    </row>
    <row r="83" spans="1:9" x14ac:dyDescent="0.2">
      <c r="A83" s="70" t="s">
        <v>399</v>
      </c>
      <c r="B83" t="s">
        <v>670</v>
      </c>
      <c r="C83" t="s">
        <v>28</v>
      </c>
      <c r="D83">
        <v>20</v>
      </c>
      <c r="E83" t="s">
        <v>387</v>
      </c>
      <c r="F83" t="s">
        <v>447</v>
      </c>
      <c r="G83" t="s">
        <v>20</v>
      </c>
      <c r="H83" t="s">
        <v>398</v>
      </c>
      <c r="I83" s="70" t="s">
        <v>388</v>
      </c>
    </row>
    <row r="84" spans="1:9" x14ac:dyDescent="0.2">
      <c r="A84" s="70" t="s">
        <v>399</v>
      </c>
      <c r="B84" t="s">
        <v>670</v>
      </c>
      <c r="C84" t="s">
        <v>30</v>
      </c>
      <c r="E84" t="s">
        <v>387</v>
      </c>
      <c r="F84" t="s">
        <v>447</v>
      </c>
      <c r="G84" t="s">
        <v>20</v>
      </c>
      <c r="H84" t="s">
        <v>398</v>
      </c>
      <c r="I84" s="70" t="s">
        <v>388</v>
      </c>
    </row>
    <row r="85" spans="1:9" x14ac:dyDescent="0.2">
      <c r="A85" s="70" t="s">
        <v>399</v>
      </c>
      <c r="B85" t="s">
        <v>670</v>
      </c>
      <c r="C85" t="s">
        <v>32</v>
      </c>
      <c r="D85">
        <v>40</v>
      </c>
      <c r="E85" t="s">
        <v>387</v>
      </c>
      <c r="F85" t="s">
        <v>447</v>
      </c>
      <c r="G85" t="s">
        <v>20</v>
      </c>
      <c r="H85" t="s">
        <v>398</v>
      </c>
      <c r="I85" s="70" t="s">
        <v>388</v>
      </c>
    </row>
    <row r="86" spans="1:9" x14ac:dyDescent="0.2">
      <c r="A86" s="70" t="s">
        <v>399</v>
      </c>
      <c r="B86" t="s">
        <v>671</v>
      </c>
      <c r="C86" t="s">
        <v>25</v>
      </c>
      <c r="D86">
        <v>22</v>
      </c>
      <c r="E86" t="s">
        <v>454</v>
      </c>
      <c r="F86" t="s">
        <v>447</v>
      </c>
      <c r="G86" t="s">
        <v>20</v>
      </c>
      <c r="H86" t="s">
        <v>398</v>
      </c>
      <c r="I86" s="70" t="s">
        <v>259</v>
      </c>
    </row>
    <row r="87" spans="1:9" x14ac:dyDescent="0.2">
      <c r="A87" s="70" t="s">
        <v>399</v>
      </c>
      <c r="B87" t="s">
        <v>671</v>
      </c>
      <c r="C87" t="s">
        <v>26</v>
      </c>
      <c r="D87">
        <v>18</v>
      </c>
      <c r="E87" t="s">
        <v>454</v>
      </c>
      <c r="F87" t="s">
        <v>447</v>
      </c>
      <c r="G87" t="s">
        <v>20</v>
      </c>
      <c r="H87" t="s">
        <v>398</v>
      </c>
      <c r="I87" s="70" t="s">
        <v>259</v>
      </c>
    </row>
    <row r="88" spans="1:9" x14ac:dyDescent="0.2">
      <c r="A88" s="70" t="s">
        <v>399</v>
      </c>
      <c r="B88" t="s">
        <v>671</v>
      </c>
      <c r="C88" t="s">
        <v>27</v>
      </c>
      <c r="E88" t="s">
        <v>454</v>
      </c>
      <c r="F88" t="s">
        <v>447</v>
      </c>
      <c r="G88" t="s">
        <v>20</v>
      </c>
      <c r="H88" t="s">
        <v>398</v>
      </c>
      <c r="I88" s="70" t="s">
        <v>259</v>
      </c>
    </row>
    <row r="89" spans="1:9" x14ac:dyDescent="0.2">
      <c r="A89" s="70" t="s">
        <v>399</v>
      </c>
      <c r="B89" t="s">
        <v>671</v>
      </c>
      <c r="C89" t="s">
        <v>28</v>
      </c>
      <c r="E89" t="s">
        <v>454</v>
      </c>
      <c r="F89" t="s">
        <v>447</v>
      </c>
      <c r="G89" t="s">
        <v>20</v>
      </c>
      <c r="H89" t="s">
        <v>398</v>
      </c>
      <c r="I89" s="70" t="s">
        <v>259</v>
      </c>
    </row>
    <row r="90" spans="1:9" x14ac:dyDescent="0.2">
      <c r="A90" s="70" t="s">
        <v>399</v>
      </c>
      <c r="B90" t="s">
        <v>671</v>
      </c>
      <c r="C90" t="s">
        <v>30</v>
      </c>
      <c r="E90" t="s">
        <v>454</v>
      </c>
      <c r="F90" t="s">
        <v>447</v>
      </c>
      <c r="G90" t="s">
        <v>20</v>
      </c>
      <c r="H90" t="s">
        <v>398</v>
      </c>
      <c r="I90" s="70" t="s">
        <v>259</v>
      </c>
    </row>
    <row r="91" spans="1:9" x14ac:dyDescent="0.2">
      <c r="A91" s="70" t="s">
        <v>399</v>
      </c>
      <c r="B91" t="s">
        <v>671</v>
      </c>
      <c r="C91" t="s">
        <v>32</v>
      </c>
      <c r="D91">
        <v>40</v>
      </c>
      <c r="E91" t="s">
        <v>454</v>
      </c>
      <c r="F91" t="s">
        <v>447</v>
      </c>
      <c r="G91" t="s">
        <v>20</v>
      </c>
      <c r="H91" t="s">
        <v>398</v>
      </c>
      <c r="I91" s="70" t="s">
        <v>259</v>
      </c>
    </row>
    <row r="92" spans="1:9" x14ac:dyDescent="0.2">
      <c r="A92" s="70" t="s">
        <v>399</v>
      </c>
      <c r="B92" t="s">
        <v>672</v>
      </c>
      <c r="C92" t="s">
        <v>25</v>
      </c>
      <c r="D92">
        <v>10</v>
      </c>
      <c r="E92" t="s">
        <v>389</v>
      </c>
      <c r="F92" t="s">
        <v>447</v>
      </c>
      <c r="G92" t="s">
        <v>20</v>
      </c>
      <c r="H92" t="s">
        <v>398</v>
      </c>
      <c r="I92" s="70" t="s">
        <v>197</v>
      </c>
    </row>
    <row r="93" spans="1:9" x14ac:dyDescent="0.2">
      <c r="A93" s="70" t="s">
        <v>399</v>
      </c>
      <c r="B93" t="s">
        <v>672</v>
      </c>
      <c r="C93" t="s">
        <v>26</v>
      </c>
      <c r="D93">
        <v>10</v>
      </c>
      <c r="E93" t="s">
        <v>389</v>
      </c>
      <c r="F93" t="s">
        <v>447</v>
      </c>
      <c r="G93" t="s">
        <v>20</v>
      </c>
      <c r="H93" t="s">
        <v>398</v>
      </c>
      <c r="I93" s="70" t="s">
        <v>197</v>
      </c>
    </row>
    <row r="94" spans="1:9" x14ac:dyDescent="0.2">
      <c r="A94" s="70" t="s">
        <v>399</v>
      </c>
      <c r="B94" t="s">
        <v>672</v>
      </c>
      <c r="C94" t="s">
        <v>27</v>
      </c>
      <c r="E94" t="s">
        <v>389</v>
      </c>
      <c r="F94" t="s">
        <v>447</v>
      </c>
      <c r="G94" t="s">
        <v>20</v>
      </c>
      <c r="H94" t="s">
        <v>398</v>
      </c>
      <c r="I94" s="70" t="s">
        <v>197</v>
      </c>
    </row>
    <row r="95" spans="1:9" x14ac:dyDescent="0.2">
      <c r="A95" s="70" t="s">
        <v>399</v>
      </c>
      <c r="B95" t="s">
        <v>672</v>
      </c>
      <c r="C95" t="s">
        <v>28</v>
      </c>
      <c r="E95" t="s">
        <v>389</v>
      </c>
      <c r="F95" t="s">
        <v>447</v>
      </c>
      <c r="G95" t="s">
        <v>20</v>
      </c>
      <c r="H95" t="s">
        <v>398</v>
      </c>
      <c r="I95" s="70" t="s">
        <v>197</v>
      </c>
    </row>
    <row r="96" spans="1:9" x14ac:dyDescent="0.2">
      <c r="A96" s="70" t="s">
        <v>399</v>
      </c>
      <c r="B96" t="s">
        <v>672</v>
      </c>
      <c r="C96" t="s">
        <v>30</v>
      </c>
      <c r="E96" t="s">
        <v>389</v>
      </c>
      <c r="F96" t="s">
        <v>447</v>
      </c>
      <c r="G96" t="s">
        <v>20</v>
      </c>
      <c r="H96" t="s">
        <v>398</v>
      </c>
      <c r="I96" s="70" t="s">
        <v>197</v>
      </c>
    </row>
    <row r="97" spans="1:9" x14ac:dyDescent="0.2">
      <c r="A97" s="70" t="s">
        <v>399</v>
      </c>
      <c r="B97" t="s">
        <v>672</v>
      </c>
      <c r="C97" t="s">
        <v>32</v>
      </c>
      <c r="D97">
        <v>20</v>
      </c>
      <c r="E97" t="s">
        <v>389</v>
      </c>
      <c r="F97" t="s">
        <v>447</v>
      </c>
      <c r="G97" t="s">
        <v>20</v>
      </c>
      <c r="H97" t="s">
        <v>398</v>
      </c>
      <c r="I97" s="70" t="s">
        <v>197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2C530-33D5-CC42-8F85-3B7FFA797929}">
  <dimension ref="A1:M29"/>
  <sheetViews>
    <sheetView topLeftCell="G1" workbookViewId="0">
      <selection activeCell="F41" sqref="F41"/>
    </sheetView>
  </sheetViews>
  <sheetFormatPr baseColWidth="10" defaultRowHeight="15" x14ac:dyDescent="0.2"/>
  <cols>
    <col min="1" max="1" width="41" bestFit="1" customWidth="1"/>
    <col min="2" max="2" width="14.1640625" bestFit="1" customWidth="1"/>
    <col min="3" max="3" width="15.6640625" bestFit="1" customWidth="1"/>
    <col min="4" max="4" width="17.1640625" bestFit="1" customWidth="1"/>
    <col min="5" max="5" width="19.83203125" bestFit="1" customWidth="1"/>
    <col min="6" max="6" width="80.6640625" bestFit="1" customWidth="1"/>
    <col min="7" max="7" width="11.5" bestFit="1" customWidth="1"/>
    <col min="8" max="8" width="80.6640625" bestFit="1" customWidth="1"/>
    <col min="9" max="9" width="13.6640625" bestFit="1" customWidth="1"/>
    <col min="10" max="10" width="11.6640625" bestFit="1" customWidth="1"/>
    <col min="11" max="11" width="13.33203125" bestFit="1" customWidth="1"/>
    <col min="12" max="12" width="11.33203125" bestFit="1" customWidth="1"/>
    <col min="13" max="13" width="37.5" bestFit="1" customWidth="1"/>
  </cols>
  <sheetData>
    <row r="1" spans="1:13" x14ac:dyDescent="0.2">
      <c r="A1" t="s">
        <v>598</v>
      </c>
      <c r="B1" t="s">
        <v>397</v>
      </c>
      <c r="C1" t="s">
        <v>45</v>
      </c>
      <c r="D1" t="s">
        <v>46</v>
      </c>
      <c r="E1" t="s">
        <v>47</v>
      </c>
      <c r="F1" t="s">
        <v>48</v>
      </c>
      <c r="G1" t="s">
        <v>49</v>
      </c>
      <c r="H1" t="s">
        <v>50</v>
      </c>
      <c r="I1" t="s">
        <v>452</v>
      </c>
      <c r="J1" t="s">
        <v>599</v>
      </c>
      <c r="K1" t="s">
        <v>390</v>
      </c>
      <c r="L1" t="s">
        <v>451</v>
      </c>
      <c r="M1" t="s">
        <v>453</v>
      </c>
    </row>
    <row r="2" spans="1:13" x14ac:dyDescent="0.2">
      <c r="A2" s="70" t="s">
        <v>431</v>
      </c>
      <c r="B2" t="s">
        <v>433</v>
      </c>
      <c r="C2" t="s">
        <v>51</v>
      </c>
      <c r="D2" t="s">
        <v>228</v>
      </c>
      <c r="E2" t="s">
        <v>331</v>
      </c>
      <c r="F2" t="s">
        <v>434</v>
      </c>
      <c r="G2">
        <v>0.5</v>
      </c>
      <c r="H2" t="s">
        <v>435</v>
      </c>
      <c r="I2" t="s">
        <v>461</v>
      </c>
      <c r="J2" t="s">
        <v>446</v>
      </c>
      <c r="K2" t="s">
        <v>20</v>
      </c>
      <c r="L2" t="s">
        <v>398</v>
      </c>
      <c r="M2" s="70" t="s">
        <v>462</v>
      </c>
    </row>
    <row r="3" spans="1:13" x14ac:dyDescent="0.2">
      <c r="A3" s="70" t="s">
        <v>431</v>
      </c>
      <c r="B3" t="s">
        <v>433</v>
      </c>
      <c r="C3" t="s">
        <v>55</v>
      </c>
      <c r="D3" t="s">
        <v>228</v>
      </c>
      <c r="E3" t="s">
        <v>331</v>
      </c>
      <c r="F3" t="s">
        <v>436</v>
      </c>
      <c r="G3">
        <v>0.5</v>
      </c>
      <c r="H3" t="s">
        <v>437</v>
      </c>
      <c r="I3" t="s">
        <v>461</v>
      </c>
      <c r="J3" t="s">
        <v>446</v>
      </c>
      <c r="K3" t="s">
        <v>20</v>
      </c>
      <c r="L3" t="s">
        <v>398</v>
      </c>
      <c r="M3" s="70" t="s">
        <v>462</v>
      </c>
    </row>
    <row r="4" spans="1:13" x14ac:dyDescent="0.2">
      <c r="A4" s="70" t="s">
        <v>410</v>
      </c>
      <c r="B4" t="s">
        <v>412</v>
      </c>
      <c r="C4" t="s">
        <v>51</v>
      </c>
      <c r="D4" t="s">
        <v>56</v>
      </c>
      <c r="E4" t="s">
        <v>304</v>
      </c>
      <c r="F4" t="s">
        <v>413</v>
      </c>
      <c r="G4">
        <v>0.5</v>
      </c>
      <c r="H4">
        <v>6</v>
      </c>
      <c r="I4" t="s">
        <v>457</v>
      </c>
      <c r="J4" t="s">
        <v>446</v>
      </c>
      <c r="K4" t="s">
        <v>20</v>
      </c>
      <c r="L4" t="s">
        <v>398</v>
      </c>
      <c r="M4" s="70" t="s">
        <v>458</v>
      </c>
    </row>
    <row r="5" spans="1:13" x14ac:dyDescent="0.2">
      <c r="A5" s="70" t="s">
        <v>410</v>
      </c>
      <c r="B5" t="s">
        <v>412</v>
      </c>
      <c r="C5" t="s">
        <v>55</v>
      </c>
      <c r="D5" t="s">
        <v>228</v>
      </c>
      <c r="E5" t="s">
        <v>331</v>
      </c>
      <c r="F5" t="s">
        <v>414</v>
      </c>
      <c r="G5">
        <v>0.5</v>
      </c>
      <c r="H5">
        <v>12</v>
      </c>
      <c r="I5" t="s">
        <v>457</v>
      </c>
      <c r="J5" t="s">
        <v>446</v>
      </c>
      <c r="K5" t="s">
        <v>20</v>
      </c>
      <c r="L5" t="s">
        <v>398</v>
      </c>
      <c r="M5" s="70" t="s">
        <v>458</v>
      </c>
    </row>
    <row r="6" spans="1:13" x14ac:dyDescent="0.2">
      <c r="A6" s="70" t="s">
        <v>410</v>
      </c>
      <c r="B6" t="s">
        <v>415</v>
      </c>
      <c r="C6" t="s">
        <v>51</v>
      </c>
      <c r="D6" t="s">
        <v>228</v>
      </c>
      <c r="E6" t="s">
        <v>328</v>
      </c>
      <c r="F6" t="s">
        <v>416</v>
      </c>
      <c r="G6">
        <v>0.35</v>
      </c>
      <c r="H6">
        <v>6</v>
      </c>
      <c r="I6" t="s">
        <v>459</v>
      </c>
      <c r="J6" t="s">
        <v>446</v>
      </c>
      <c r="K6" t="s">
        <v>20</v>
      </c>
      <c r="L6" t="s">
        <v>398</v>
      </c>
      <c r="M6" s="70" t="s">
        <v>460</v>
      </c>
    </row>
    <row r="7" spans="1:13" x14ac:dyDescent="0.2">
      <c r="A7" s="70" t="s">
        <v>410</v>
      </c>
      <c r="B7" t="s">
        <v>415</v>
      </c>
      <c r="C7" t="s">
        <v>55</v>
      </c>
      <c r="D7" t="s">
        <v>52</v>
      </c>
      <c r="E7" t="s">
        <v>318</v>
      </c>
      <c r="F7" t="s">
        <v>417</v>
      </c>
      <c r="G7">
        <v>0.65</v>
      </c>
      <c r="H7">
        <v>13</v>
      </c>
      <c r="I7" t="s">
        <v>459</v>
      </c>
      <c r="J7" t="s">
        <v>446</v>
      </c>
      <c r="K7" t="s">
        <v>20</v>
      </c>
      <c r="L7" t="s">
        <v>398</v>
      </c>
      <c r="M7" s="70" t="s">
        <v>460</v>
      </c>
    </row>
    <row r="8" spans="1:13" x14ac:dyDescent="0.2">
      <c r="A8" s="70" t="s">
        <v>410</v>
      </c>
      <c r="B8" t="s">
        <v>418</v>
      </c>
      <c r="C8" t="s">
        <v>51</v>
      </c>
      <c r="D8" t="s">
        <v>52</v>
      </c>
      <c r="E8" t="s">
        <v>108</v>
      </c>
      <c r="F8" t="s">
        <v>419</v>
      </c>
      <c r="G8">
        <v>0.5</v>
      </c>
      <c r="H8">
        <v>6</v>
      </c>
      <c r="I8" t="s">
        <v>463</v>
      </c>
      <c r="J8" t="s">
        <v>446</v>
      </c>
      <c r="K8" t="s">
        <v>20</v>
      </c>
      <c r="L8" t="s">
        <v>398</v>
      </c>
      <c r="M8" s="70" t="s">
        <v>464</v>
      </c>
    </row>
    <row r="9" spans="1:13" x14ac:dyDescent="0.2">
      <c r="A9" s="70" t="s">
        <v>410</v>
      </c>
      <c r="B9" t="s">
        <v>418</v>
      </c>
      <c r="C9" t="s">
        <v>55</v>
      </c>
      <c r="D9" t="s">
        <v>110</v>
      </c>
      <c r="E9" t="s">
        <v>111</v>
      </c>
      <c r="F9" t="s">
        <v>420</v>
      </c>
      <c r="G9">
        <v>0.5</v>
      </c>
      <c r="H9">
        <v>12</v>
      </c>
      <c r="I9" t="s">
        <v>463</v>
      </c>
      <c r="J9" t="s">
        <v>446</v>
      </c>
      <c r="K9" t="s">
        <v>20</v>
      </c>
      <c r="L9" t="s">
        <v>398</v>
      </c>
      <c r="M9" s="70" t="s">
        <v>464</v>
      </c>
    </row>
    <row r="10" spans="1:13" x14ac:dyDescent="0.2">
      <c r="A10" s="70" t="s">
        <v>410</v>
      </c>
      <c r="B10" t="s">
        <v>421</v>
      </c>
      <c r="C10" t="s">
        <v>51</v>
      </c>
      <c r="D10" t="s">
        <v>110</v>
      </c>
      <c r="E10" t="s">
        <v>304</v>
      </c>
      <c r="F10" t="s">
        <v>422</v>
      </c>
      <c r="G10">
        <v>0.5</v>
      </c>
      <c r="H10">
        <v>8</v>
      </c>
      <c r="I10" t="s">
        <v>465</v>
      </c>
      <c r="J10" t="s">
        <v>446</v>
      </c>
      <c r="K10" t="s">
        <v>20</v>
      </c>
      <c r="L10" t="s">
        <v>398</v>
      </c>
      <c r="M10" s="70" t="s">
        <v>466</v>
      </c>
    </row>
    <row r="11" spans="1:13" x14ac:dyDescent="0.2">
      <c r="A11" s="70" t="s">
        <v>410</v>
      </c>
      <c r="B11" t="s">
        <v>421</v>
      </c>
      <c r="C11" t="s">
        <v>55</v>
      </c>
      <c r="D11" t="s">
        <v>52</v>
      </c>
      <c r="E11" t="s">
        <v>108</v>
      </c>
      <c r="F11" t="s">
        <v>423</v>
      </c>
      <c r="G11">
        <v>0.5</v>
      </c>
      <c r="H11" t="s">
        <v>424</v>
      </c>
      <c r="I11" t="s">
        <v>465</v>
      </c>
      <c r="J11" t="s">
        <v>446</v>
      </c>
      <c r="K11" t="s">
        <v>20</v>
      </c>
      <c r="L11" t="s">
        <v>398</v>
      </c>
      <c r="M11" s="70" t="s">
        <v>466</v>
      </c>
    </row>
    <row r="12" spans="1:13" x14ac:dyDescent="0.2">
      <c r="A12" s="70" t="s">
        <v>410</v>
      </c>
      <c r="B12" t="s">
        <v>425</v>
      </c>
      <c r="C12" t="s">
        <v>51</v>
      </c>
      <c r="D12" t="s">
        <v>56</v>
      </c>
      <c r="E12" t="s">
        <v>304</v>
      </c>
      <c r="F12" t="s">
        <v>426</v>
      </c>
      <c r="G12">
        <v>0.5</v>
      </c>
      <c r="H12">
        <v>9</v>
      </c>
      <c r="I12" t="s">
        <v>467</v>
      </c>
      <c r="J12" t="s">
        <v>446</v>
      </c>
      <c r="K12" t="s">
        <v>20</v>
      </c>
      <c r="L12" t="s">
        <v>398</v>
      </c>
      <c r="M12" s="70" t="s">
        <v>468</v>
      </c>
    </row>
    <row r="13" spans="1:13" x14ac:dyDescent="0.2">
      <c r="A13" s="70" t="s">
        <v>410</v>
      </c>
      <c r="B13" t="s">
        <v>425</v>
      </c>
      <c r="C13" t="s">
        <v>55</v>
      </c>
      <c r="D13" t="s">
        <v>228</v>
      </c>
      <c r="E13" t="s">
        <v>331</v>
      </c>
      <c r="F13" t="s">
        <v>427</v>
      </c>
      <c r="G13">
        <v>0.5</v>
      </c>
      <c r="H13">
        <v>12</v>
      </c>
      <c r="I13" t="s">
        <v>467</v>
      </c>
      <c r="J13" t="s">
        <v>446</v>
      </c>
      <c r="K13" t="s">
        <v>20</v>
      </c>
      <c r="L13" t="s">
        <v>398</v>
      </c>
      <c r="M13" s="70" t="s">
        <v>468</v>
      </c>
    </row>
    <row r="14" spans="1:13" x14ac:dyDescent="0.2">
      <c r="A14" s="70" t="s">
        <v>410</v>
      </c>
      <c r="B14" t="s">
        <v>428</v>
      </c>
      <c r="C14" t="s">
        <v>51</v>
      </c>
      <c r="D14" t="s">
        <v>110</v>
      </c>
      <c r="E14" t="s">
        <v>306</v>
      </c>
      <c r="F14" t="s">
        <v>429</v>
      </c>
      <c r="G14">
        <v>0.6</v>
      </c>
      <c r="H14">
        <v>28</v>
      </c>
      <c r="I14" t="s">
        <v>469</v>
      </c>
      <c r="J14" t="s">
        <v>446</v>
      </c>
      <c r="K14" t="s">
        <v>20</v>
      </c>
      <c r="L14" t="s">
        <v>398</v>
      </c>
      <c r="M14" s="70" t="s">
        <v>470</v>
      </c>
    </row>
    <row r="15" spans="1:13" x14ac:dyDescent="0.2">
      <c r="A15" s="70" t="s">
        <v>410</v>
      </c>
      <c r="B15" t="s">
        <v>428</v>
      </c>
      <c r="C15" t="s">
        <v>55</v>
      </c>
      <c r="D15" t="s">
        <v>52</v>
      </c>
      <c r="E15" t="s">
        <v>53</v>
      </c>
      <c r="F15" t="s">
        <v>430</v>
      </c>
      <c r="G15">
        <v>0.4</v>
      </c>
      <c r="H15">
        <v>28</v>
      </c>
      <c r="I15" t="s">
        <v>469</v>
      </c>
      <c r="J15" t="s">
        <v>446</v>
      </c>
      <c r="K15" t="s">
        <v>20</v>
      </c>
      <c r="L15" t="s">
        <v>398</v>
      </c>
      <c r="M15" s="70" t="s">
        <v>470</v>
      </c>
    </row>
    <row r="16" spans="1:13" x14ac:dyDescent="0.2">
      <c r="A16" s="70" t="s">
        <v>399</v>
      </c>
      <c r="B16" t="s">
        <v>402</v>
      </c>
      <c r="C16" t="s">
        <v>51</v>
      </c>
      <c r="D16" t="s">
        <v>52</v>
      </c>
      <c r="E16" t="s">
        <v>53</v>
      </c>
      <c r="F16" t="s">
        <v>54</v>
      </c>
      <c r="G16">
        <v>0.5</v>
      </c>
      <c r="H16">
        <v>12</v>
      </c>
      <c r="I16" t="s">
        <v>384</v>
      </c>
      <c r="J16" t="s">
        <v>446</v>
      </c>
      <c r="K16" t="s">
        <v>20</v>
      </c>
      <c r="L16" t="s">
        <v>398</v>
      </c>
      <c r="M16" s="70" t="s">
        <v>7</v>
      </c>
    </row>
    <row r="17" spans="1:13" x14ac:dyDescent="0.2">
      <c r="A17" s="70" t="s">
        <v>399</v>
      </c>
      <c r="B17" t="s">
        <v>402</v>
      </c>
      <c r="C17" t="s">
        <v>55</v>
      </c>
      <c r="D17" t="s">
        <v>56</v>
      </c>
      <c r="E17" t="s">
        <v>57</v>
      </c>
      <c r="F17" t="s">
        <v>58</v>
      </c>
      <c r="G17">
        <v>0.5</v>
      </c>
      <c r="H17" t="s">
        <v>59</v>
      </c>
      <c r="I17" t="s">
        <v>384</v>
      </c>
      <c r="J17" t="s">
        <v>446</v>
      </c>
      <c r="K17" t="s">
        <v>20</v>
      </c>
      <c r="L17" t="s">
        <v>398</v>
      </c>
      <c r="M17" s="70" t="s">
        <v>7</v>
      </c>
    </row>
    <row r="18" spans="1:13" x14ac:dyDescent="0.2">
      <c r="A18" s="70" t="s">
        <v>399</v>
      </c>
      <c r="B18" t="s">
        <v>403</v>
      </c>
      <c r="C18" t="s">
        <v>51</v>
      </c>
      <c r="D18" t="s">
        <v>52</v>
      </c>
      <c r="E18" t="s">
        <v>108</v>
      </c>
      <c r="F18" t="s">
        <v>109</v>
      </c>
      <c r="G18">
        <v>0.4</v>
      </c>
      <c r="H18">
        <v>7</v>
      </c>
      <c r="I18" t="s">
        <v>95</v>
      </c>
      <c r="J18" t="s">
        <v>446</v>
      </c>
      <c r="K18" t="s">
        <v>20</v>
      </c>
      <c r="L18" t="s">
        <v>398</v>
      </c>
      <c r="M18" s="70" t="s">
        <v>97</v>
      </c>
    </row>
    <row r="19" spans="1:13" x14ac:dyDescent="0.2">
      <c r="A19" s="70" t="s">
        <v>399</v>
      </c>
      <c r="B19" t="s">
        <v>403</v>
      </c>
      <c r="C19" t="s">
        <v>55</v>
      </c>
      <c r="D19" t="s">
        <v>110</v>
      </c>
      <c r="E19" t="s">
        <v>111</v>
      </c>
      <c r="F19" t="s">
        <v>112</v>
      </c>
      <c r="G19">
        <v>0.6</v>
      </c>
      <c r="H19">
        <v>12</v>
      </c>
      <c r="I19" t="s">
        <v>95</v>
      </c>
      <c r="J19" t="s">
        <v>446</v>
      </c>
      <c r="K19" t="s">
        <v>20</v>
      </c>
      <c r="L19" t="s">
        <v>398</v>
      </c>
      <c r="M19" s="70" t="s">
        <v>97</v>
      </c>
    </row>
    <row r="20" spans="1:13" x14ac:dyDescent="0.2">
      <c r="A20" s="70" t="s">
        <v>399</v>
      </c>
      <c r="B20" t="s">
        <v>404</v>
      </c>
      <c r="C20" t="s">
        <v>51</v>
      </c>
      <c r="D20" t="s">
        <v>110</v>
      </c>
      <c r="E20" t="s">
        <v>156</v>
      </c>
      <c r="F20" t="s">
        <v>157</v>
      </c>
      <c r="G20">
        <v>0.5</v>
      </c>
      <c r="H20">
        <v>10</v>
      </c>
      <c r="I20" t="s">
        <v>143</v>
      </c>
      <c r="J20" t="s">
        <v>446</v>
      </c>
      <c r="K20" t="s">
        <v>20</v>
      </c>
      <c r="L20" t="s">
        <v>398</v>
      </c>
      <c r="M20" s="70" t="s">
        <v>145</v>
      </c>
    </row>
    <row r="21" spans="1:13" x14ac:dyDescent="0.2">
      <c r="A21" s="70" t="s">
        <v>399</v>
      </c>
      <c r="B21" t="s">
        <v>404</v>
      </c>
      <c r="C21" t="s">
        <v>55</v>
      </c>
      <c r="D21" t="s">
        <v>52</v>
      </c>
      <c r="E21" t="s">
        <v>158</v>
      </c>
      <c r="F21" t="s">
        <v>159</v>
      </c>
      <c r="G21">
        <v>0.5</v>
      </c>
      <c r="H21" t="s">
        <v>160</v>
      </c>
      <c r="I21" t="s">
        <v>143</v>
      </c>
      <c r="J21" t="s">
        <v>446</v>
      </c>
      <c r="K21" t="s">
        <v>20</v>
      </c>
      <c r="L21" t="s">
        <v>398</v>
      </c>
      <c r="M21" s="70" t="s">
        <v>145</v>
      </c>
    </row>
    <row r="22" spans="1:13" x14ac:dyDescent="0.2">
      <c r="A22" s="70" t="s">
        <v>399</v>
      </c>
      <c r="B22" t="s">
        <v>405</v>
      </c>
      <c r="C22" t="s">
        <v>51</v>
      </c>
      <c r="D22" t="s">
        <v>52</v>
      </c>
      <c r="E22" t="s">
        <v>108</v>
      </c>
      <c r="F22" t="s">
        <v>177</v>
      </c>
      <c r="G22">
        <v>0.5</v>
      </c>
      <c r="H22">
        <v>6</v>
      </c>
      <c r="I22" t="s">
        <v>385</v>
      </c>
      <c r="J22" t="s">
        <v>446</v>
      </c>
      <c r="K22" t="s">
        <v>20</v>
      </c>
      <c r="L22" t="s">
        <v>398</v>
      </c>
      <c r="M22" s="70" t="s">
        <v>386</v>
      </c>
    </row>
    <row r="23" spans="1:13" x14ac:dyDescent="0.2">
      <c r="A23" s="70" t="s">
        <v>399</v>
      </c>
      <c r="B23" t="s">
        <v>406</v>
      </c>
      <c r="C23" t="s">
        <v>51</v>
      </c>
      <c r="D23" t="s">
        <v>228</v>
      </c>
      <c r="E23" t="s">
        <v>229</v>
      </c>
      <c r="F23" t="s">
        <v>230</v>
      </c>
      <c r="G23">
        <v>0.5</v>
      </c>
      <c r="H23">
        <v>7</v>
      </c>
      <c r="I23" t="s">
        <v>216</v>
      </c>
      <c r="J23" t="s">
        <v>446</v>
      </c>
      <c r="K23" t="s">
        <v>20</v>
      </c>
      <c r="L23" t="s">
        <v>398</v>
      </c>
      <c r="M23" s="70" t="s">
        <v>218</v>
      </c>
    </row>
    <row r="24" spans="1:13" x14ac:dyDescent="0.2">
      <c r="A24" s="70" t="s">
        <v>399</v>
      </c>
      <c r="B24" t="s">
        <v>406</v>
      </c>
      <c r="C24" t="s">
        <v>55</v>
      </c>
      <c r="D24" t="s">
        <v>52</v>
      </c>
      <c r="E24" t="s">
        <v>53</v>
      </c>
      <c r="F24" t="s">
        <v>231</v>
      </c>
      <c r="G24">
        <v>0.5</v>
      </c>
      <c r="H24">
        <v>12</v>
      </c>
      <c r="I24" t="s">
        <v>216</v>
      </c>
      <c r="J24" t="s">
        <v>446</v>
      </c>
      <c r="K24" t="s">
        <v>20</v>
      </c>
      <c r="L24" t="s">
        <v>398</v>
      </c>
      <c r="M24" s="70" t="s">
        <v>218</v>
      </c>
    </row>
    <row r="25" spans="1:13" x14ac:dyDescent="0.2">
      <c r="A25" s="70" t="s">
        <v>399</v>
      </c>
      <c r="B25" t="s">
        <v>407</v>
      </c>
      <c r="C25" t="s">
        <v>51</v>
      </c>
      <c r="D25" t="s">
        <v>56</v>
      </c>
      <c r="E25" t="s">
        <v>108</v>
      </c>
      <c r="F25" t="s">
        <v>287</v>
      </c>
      <c r="G25">
        <v>1</v>
      </c>
      <c r="H25">
        <v>12</v>
      </c>
      <c r="I25" t="s">
        <v>387</v>
      </c>
      <c r="J25" t="s">
        <v>446</v>
      </c>
      <c r="K25" t="s">
        <v>20</v>
      </c>
      <c r="L25" t="s">
        <v>398</v>
      </c>
      <c r="M25" s="70" t="s">
        <v>388</v>
      </c>
    </row>
    <row r="26" spans="1:13" x14ac:dyDescent="0.2">
      <c r="A26" s="70" t="s">
        <v>399</v>
      </c>
      <c r="B26" t="s">
        <v>408</v>
      </c>
      <c r="C26" t="s">
        <v>51</v>
      </c>
      <c r="D26" t="s">
        <v>52</v>
      </c>
      <c r="E26" t="s">
        <v>53</v>
      </c>
      <c r="F26" t="s">
        <v>268</v>
      </c>
      <c r="G26">
        <v>0.3</v>
      </c>
      <c r="H26">
        <v>6</v>
      </c>
      <c r="I26" t="s">
        <v>454</v>
      </c>
      <c r="J26" t="s">
        <v>446</v>
      </c>
      <c r="K26" t="s">
        <v>20</v>
      </c>
      <c r="L26" t="s">
        <v>398</v>
      </c>
      <c r="M26" s="70" t="s">
        <v>259</v>
      </c>
    </row>
    <row r="27" spans="1:13" x14ac:dyDescent="0.2">
      <c r="A27" s="70" t="s">
        <v>399</v>
      </c>
      <c r="B27" t="s">
        <v>408</v>
      </c>
      <c r="C27" t="s">
        <v>55</v>
      </c>
      <c r="D27" t="s">
        <v>110</v>
      </c>
      <c r="E27" t="s">
        <v>156</v>
      </c>
      <c r="F27" t="s">
        <v>269</v>
      </c>
      <c r="G27">
        <v>0.7</v>
      </c>
      <c r="H27">
        <v>12</v>
      </c>
      <c r="I27" t="s">
        <v>454</v>
      </c>
      <c r="J27" t="s">
        <v>446</v>
      </c>
      <c r="K27" t="s">
        <v>20</v>
      </c>
      <c r="L27" t="s">
        <v>398</v>
      </c>
      <c r="M27" s="70" t="s">
        <v>259</v>
      </c>
    </row>
    <row r="28" spans="1:13" x14ac:dyDescent="0.2">
      <c r="A28" s="70" t="s">
        <v>399</v>
      </c>
      <c r="B28" t="s">
        <v>409</v>
      </c>
      <c r="C28" t="s">
        <v>51</v>
      </c>
      <c r="D28" t="s">
        <v>110</v>
      </c>
      <c r="F28" t="s">
        <v>213</v>
      </c>
      <c r="G28">
        <v>0.5</v>
      </c>
      <c r="I28" t="s">
        <v>389</v>
      </c>
      <c r="J28" t="s">
        <v>446</v>
      </c>
      <c r="K28" t="s">
        <v>20</v>
      </c>
      <c r="L28" t="s">
        <v>398</v>
      </c>
      <c r="M28" s="70" t="s">
        <v>197</v>
      </c>
    </row>
    <row r="29" spans="1:13" x14ac:dyDescent="0.2">
      <c r="A29" s="70" t="s">
        <v>399</v>
      </c>
      <c r="B29" t="s">
        <v>409</v>
      </c>
      <c r="C29" t="s">
        <v>55</v>
      </c>
      <c r="D29" t="s">
        <v>52</v>
      </c>
      <c r="E29" t="s">
        <v>53</v>
      </c>
      <c r="F29" t="s">
        <v>214</v>
      </c>
      <c r="G29">
        <v>0.5</v>
      </c>
      <c r="I29" t="s">
        <v>389</v>
      </c>
      <c r="J29" t="s">
        <v>446</v>
      </c>
      <c r="K29" t="s">
        <v>20</v>
      </c>
      <c r="L29" t="s">
        <v>398</v>
      </c>
      <c r="M29" s="70" t="s">
        <v>197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24491-3CA2-4544-AEEB-921D15CD69A3}">
  <dimension ref="A1:I41"/>
  <sheetViews>
    <sheetView topLeftCell="A9" workbookViewId="0"/>
  </sheetViews>
  <sheetFormatPr baseColWidth="10" defaultRowHeight="15" x14ac:dyDescent="0.2"/>
  <cols>
    <col min="1" max="1" width="41" bestFit="1" customWidth="1"/>
    <col min="2" max="3" width="12.33203125" bestFit="1" customWidth="1"/>
    <col min="4" max="4" width="80.6640625" bestFit="1" customWidth="1"/>
    <col min="5" max="5" width="13.6640625" bestFit="1" customWidth="1"/>
    <col min="6" max="6" width="11.6640625" bestFit="1" customWidth="1"/>
    <col min="7" max="7" width="13.33203125" bestFit="1" customWidth="1"/>
    <col min="8" max="8" width="11.33203125" bestFit="1" customWidth="1"/>
    <col min="9" max="9" width="37.5" bestFit="1" customWidth="1"/>
  </cols>
  <sheetData>
    <row r="1" spans="1:9" x14ac:dyDescent="0.2">
      <c r="A1" t="s">
        <v>598</v>
      </c>
      <c r="B1" t="s">
        <v>397</v>
      </c>
      <c r="C1" t="s">
        <v>35</v>
      </c>
      <c r="D1" t="s">
        <v>36</v>
      </c>
      <c r="E1" t="s">
        <v>452</v>
      </c>
      <c r="F1" t="s">
        <v>599</v>
      </c>
      <c r="G1" t="s">
        <v>390</v>
      </c>
      <c r="H1" t="s">
        <v>451</v>
      </c>
      <c r="I1" t="s">
        <v>453</v>
      </c>
    </row>
    <row r="2" spans="1:9" x14ac:dyDescent="0.2">
      <c r="A2" s="70" t="s">
        <v>431</v>
      </c>
      <c r="B2" t="s">
        <v>624</v>
      </c>
      <c r="C2" t="s">
        <v>37</v>
      </c>
      <c r="D2" t="s">
        <v>625</v>
      </c>
      <c r="E2" t="s">
        <v>461</v>
      </c>
      <c r="F2" t="s">
        <v>445</v>
      </c>
      <c r="G2" t="s">
        <v>20</v>
      </c>
      <c r="H2" t="s">
        <v>398</v>
      </c>
      <c r="I2" s="70" t="s">
        <v>462</v>
      </c>
    </row>
    <row r="3" spans="1:9" x14ac:dyDescent="0.2">
      <c r="A3" s="70" t="s">
        <v>431</v>
      </c>
      <c r="B3" t="s">
        <v>624</v>
      </c>
      <c r="C3" t="s">
        <v>39</v>
      </c>
      <c r="D3" t="s">
        <v>626</v>
      </c>
      <c r="E3" t="s">
        <v>461</v>
      </c>
      <c r="F3" t="s">
        <v>445</v>
      </c>
      <c r="G3" t="s">
        <v>20</v>
      </c>
      <c r="H3" t="s">
        <v>398</v>
      </c>
      <c r="I3" s="70" t="s">
        <v>462</v>
      </c>
    </row>
    <row r="4" spans="1:9" x14ac:dyDescent="0.2">
      <c r="A4" s="70" t="s">
        <v>431</v>
      </c>
      <c r="B4" t="s">
        <v>624</v>
      </c>
      <c r="C4" t="s">
        <v>41</v>
      </c>
      <c r="D4" t="s">
        <v>627</v>
      </c>
      <c r="E4" t="s">
        <v>461</v>
      </c>
      <c r="F4" t="s">
        <v>445</v>
      </c>
      <c r="G4" t="s">
        <v>20</v>
      </c>
      <c r="H4" t="s">
        <v>398</v>
      </c>
      <c r="I4" s="70" t="s">
        <v>462</v>
      </c>
    </row>
    <row r="5" spans="1:9" x14ac:dyDescent="0.2">
      <c r="A5" s="70" t="s">
        <v>410</v>
      </c>
      <c r="B5" t="s">
        <v>628</v>
      </c>
      <c r="C5" t="s">
        <v>37</v>
      </c>
      <c r="D5" t="s">
        <v>629</v>
      </c>
      <c r="E5" t="s">
        <v>457</v>
      </c>
      <c r="F5" t="s">
        <v>445</v>
      </c>
      <c r="G5" t="s">
        <v>20</v>
      </c>
      <c r="H5" t="s">
        <v>398</v>
      </c>
      <c r="I5" s="70" t="s">
        <v>458</v>
      </c>
    </row>
    <row r="6" spans="1:9" x14ac:dyDescent="0.2">
      <c r="A6" s="70" t="s">
        <v>410</v>
      </c>
      <c r="B6" t="s">
        <v>628</v>
      </c>
      <c r="C6" t="s">
        <v>39</v>
      </c>
      <c r="D6" t="s">
        <v>630</v>
      </c>
      <c r="E6" t="s">
        <v>457</v>
      </c>
      <c r="F6" t="s">
        <v>445</v>
      </c>
      <c r="G6" t="s">
        <v>20</v>
      </c>
      <c r="H6" t="s">
        <v>398</v>
      </c>
      <c r="I6" s="70" t="s">
        <v>458</v>
      </c>
    </row>
    <row r="7" spans="1:9" x14ac:dyDescent="0.2">
      <c r="A7" s="70" t="s">
        <v>410</v>
      </c>
      <c r="B7" t="s">
        <v>628</v>
      </c>
      <c r="C7" t="s">
        <v>41</v>
      </c>
      <c r="D7" t="s">
        <v>631</v>
      </c>
      <c r="E7" t="s">
        <v>457</v>
      </c>
      <c r="F7" t="s">
        <v>445</v>
      </c>
      <c r="G7" t="s">
        <v>20</v>
      </c>
      <c r="H7" t="s">
        <v>398</v>
      </c>
      <c r="I7" s="70" t="s">
        <v>458</v>
      </c>
    </row>
    <row r="8" spans="1:9" x14ac:dyDescent="0.2">
      <c r="A8" s="70" t="s">
        <v>410</v>
      </c>
      <c r="B8" t="s">
        <v>632</v>
      </c>
      <c r="C8" t="s">
        <v>37</v>
      </c>
      <c r="D8" t="s">
        <v>633</v>
      </c>
      <c r="E8" t="s">
        <v>459</v>
      </c>
      <c r="F8" t="s">
        <v>445</v>
      </c>
      <c r="G8" t="s">
        <v>20</v>
      </c>
      <c r="H8" t="s">
        <v>398</v>
      </c>
      <c r="I8" s="70" t="s">
        <v>460</v>
      </c>
    </row>
    <row r="9" spans="1:9" x14ac:dyDescent="0.2">
      <c r="A9" s="70" t="s">
        <v>410</v>
      </c>
      <c r="B9" t="s">
        <v>632</v>
      </c>
      <c r="C9" t="s">
        <v>39</v>
      </c>
      <c r="D9" t="s">
        <v>634</v>
      </c>
      <c r="E9" t="s">
        <v>459</v>
      </c>
      <c r="F9" t="s">
        <v>445</v>
      </c>
      <c r="G9" t="s">
        <v>20</v>
      </c>
      <c r="H9" t="s">
        <v>398</v>
      </c>
      <c r="I9" s="70" t="s">
        <v>460</v>
      </c>
    </row>
    <row r="10" spans="1:9" x14ac:dyDescent="0.2">
      <c r="A10" s="70" t="s">
        <v>410</v>
      </c>
      <c r="B10" t="s">
        <v>632</v>
      </c>
      <c r="C10" t="s">
        <v>41</v>
      </c>
      <c r="D10" t="s">
        <v>635</v>
      </c>
      <c r="E10" t="s">
        <v>459</v>
      </c>
      <c r="F10" t="s">
        <v>445</v>
      </c>
      <c r="G10" t="s">
        <v>20</v>
      </c>
      <c r="H10" t="s">
        <v>398</v>
      </c>
      <c r="I10" s="70" t="s">
        <v>460</v>
      </c>
    </row>
    <row r="11" spans="1:9" x14ac:dyDescent="0.2">
      <c r="A11" s="70" t="s">
        <v>410</v>
      </c>
      <c r="B11" t="s">
        <v>636</v>
      </c>
      <c r="C11" t="s">
        <v>37</v>
      </c>
      <c r="D11" t="s">
        <v>637</v>
      </c>
      <c r="E11" t="s">
        <v>463</v>
      </c>
      <c r="F11" t="s">
        <v>445</v>
      </c>
      <c r="G11" t="s">
        <v>20</v>
      </c>
      <c r="H11" t="s">
        <v>398</v>
      </c>
      <c r="I11" s="70" t="s">
        <v>464</v>
      </c>
    </row>
    <row r="12" spans="1:9" x14ac:dyDescent="0.2">
      <c r="A12" s="70" t="s">
        <v>410</v>
      </c>
      <c r="B12" t="s">
        <v>636</v>
      </c>
      <c r="C12" t="s">
        <v>39</v>
      </c>
      <c r="D12" t="s">
        <v>638</v>
      </c>
      <c r="E12" t="s">
        <v>463</v>
      </c>
      <c r="F12" t="s">
        <v>445</v>
      </c>
      <c r="G12" t="s">
        <v>20</v>
      </c>
      <c r="H12" t="s">
        <v>398</v>
      </c>
      <c r="I12" s="70" t="s">
        <v>464</v>
      </c>
    </row>
    <row r="13" spans="1:9" x14ac:dyDescent="0.2">
      <c r="A13" s="70" t="s">
        <v>410</v>
      </c>
      <c r="B13" t="s">
        <v>636</v>
      </c>
      <c r="C13" t="s">
        <v>41</v>
      </c>
      <c r="D13" t="s">
        <v>639</v>
      </c>
      <c r="E13" t="s">
        <v>463</v>
      </c>
      <c r="F13" t="s">
        <v>445</v>
      </c>
      <c r="G13" t="s">
        <v>20</v>
      </c>
      <c r="H13" t="s">
        <v>398</v>
      </c>
      <c r="I13" s="70" t="s">
        <v>464</v>
      </c>
    </row>
    <row r="14" spans="1:9" x14ac:dyDescent="0.2">
      <c r="A14" s="70" t="s">
        <v>410</v>
      </c>
      <c r="B14" t="s">
        <v>640</v>
      </c>
      <c r="C14" t="s">
        <v>37</v>
      </c>
      <c r="D14" t="s">
        <v>641</v>
      </c>
      <c r="E14" t="s">
        <v>465</v>
      </c>
      <c r="F14" t="s">
        <v>445</v>
      </c>
      <c r="G14" t="s">
        <v>20</v>
      </c>
      <c r="H14" t="s">
        <v>398</v>
      </c>
      <c r="I14" s="70" t="s">
        <v>466</v>
      </c>
    </row>
    <row r="15" spans="1:9" x14ac:dyDescent="0.2">
      <c r="A15" s="70" t="s">
        <v>410</v>
      </c>
      <c r="B15" t="s">
        <v>640</v>
      </c>
      <c r="C15" t="s">
        <v>39</v>
      </c>
      <c r="D15" t="s">
        <v>642</v>
      </c>
      <c r="E15" t="s">
        <v>465</v>
      </c>
      <c r="F15" t="s">
        <v>445</v>
      </c>
      <c r="G15" t="s">
        <v>20</v>
      </c>
      <c r="H15" t="s">
        <v>398</v>
      </c>
      <c r="I15" s="70" t="s">
        <v>466</v>
      </c>
    </row>
    <row r="16" spans="1:9" x14ac:dyDescent="0.2">
      <c r="A16" s="70" t="s">
        <v>410</v>
      </c>
      <c r="B16" t="s">
        <v>643</v>
      </c>
      <c r="C16" t="s">
        <v>37</v>
      </c>
      <c r="D16" t="s">
        <v>644</v>
      </c>
      <c r="E16" t="s">
        <v>467</v>
      </c>
      <c r="F16" t="s">
        <v>445</v>
      </c>
      <c r="G16" t="s">
        <v>20</v>
      </c>
      <c r="H16" t="s">
        <v>398</v>
      </c>
      <c r="I16" s="70" t="s">
        <v>468</v>
      </c>
    </row>
    <row r="17" spans="1:9" x14ac:dyDescent="0.2">
      <c r="A17" s="70" t="s">
        <v>410</v>
      </c>
      <c r="B17" t="s">
        <v>643</v>
      </c>
      <c r="C17" t="s">
        <v>39</v>
      </c>
      <c r="D17" t="s">
        <v>645</v>
      </c>
      <c r="E17" t="s">
        <v>467</v>
      </c>
      <c r="F17" t="s">
        <v>445</v>
      </c>
      <c r="G17" t="s">
        <v>20</v>
      </c>
      <c r="H17" t="s">
        <v>398</v>
      </c>
      <c r="I17" s="70" t="s">
        <v>468</v>
      </c>
    </row>
    <row r="18" spans="1:9" x14ac:dyDescent="0.2">
      <c r="A18" s="70" t="s">
        <v>410</v>
      </c>
      <c r="B18" t="s">
        <v>646</v>
      </c>
      <c r="C18" t="s">
        <v>37</v>
      </c>
      <c r="D18" t="s">
        <v>647</v>
      </c>
      <c r="E18" t="s">
        <v>469</v>
      </c>
      <c r="F18" t="s">
        <v>445</v>
      </c>
      <c r="G18" t="s">
        <v>20</v>
      </c>
      <c r="H18" t="s">
        <v>398</v>
      </c>
      <c r="I18" s="70" t="s">
        <v>470</v>
      </c>
    </row>
    <row r="19" spans="1:9" x14ac:dyDescent="0.2">
      <c r="A19" s="70" t="s">
        <v>410</v>
      </c>
      <c r="B19" t="s">
        <v>646</v>
      </c>
      <c r="C19" t="s">
        <v>39</v>
      </c>
      <c r="D19" t="s">
        <v>648</v>
      </c>
      <c r="E19" t="s">
        <v>469</v>
      </c>
      <c r="F19" t="s">
        <v>445</v>
      </c>
      <c r="G19" t="s">
        <v>20</v>
      </c>
      <c r="H19" t="s">
        <v>398</v>
      </c>
      <c r="I19" s="70" t="s">
        <v>470</v>
      </c>
    </row>
    <row r="20" spans="1:9" x14ac:dyDescent="0.2">
      <c r="A20" s="70" t="s">
        <v>410</v>
      </c>
      <c r="B20" t="s">
        <v>646</v>
      </c>
      <c r="C20" t="s">
        <v>41</v>
      </c>
      <c r="D20" t="s">
        <v>649</v>
      </c>
      <c r="E20" t="s">
        <v>469</v>
      </c>
      <c r="F20" t="s">
        <v>445</v>
      </c>
      <c r="G20" t="s">
        <v>20</v>
      </c>
      <c r="H20" t="s">
        <v>398</v>
      </c>
      <c r="I20" s="70" t="s">
        <v>470</v>
      </c>
    </row>
    <row r="21" spans="1:9" x14ac:dyDescent="0.2">
      <c r="A21" s="70" t="s">
        <v>399</v>
      </c>
      <c r="B21" t="s">
        <v>650</v>
      </c>
      <c r="C21" t="s">
        <v>37</v>
      </c>
      <c r="D21" t="s">
        <v>38</v>
      </c>
      <c r="E21" t="s">
        <v>384</v>
      </c>
      <c r="F21" t="s">
        <v>445</v>
      </c>
      <c r="G21" t="s">
        <v>20</v>
      </c>
      <c r="H21" t="s">
        <v>398</v>
      </c>
      <c r="I21" s="70" t="s">
        <v>7</v>
      </c>
    </row>
    <row r="22" spans="1:9" x14ac:dyDescent="0.2">
      <c r="A22" s="70" t="s">
        <v>399</v>
      </c>
      <c r="B22" t="s">
        <v>650</v>
      </c>
      <c r="C22" t="s">
        <v>39</v>
      </c>
      <c r="D22" t="s">
        <v>40</v>
      </c>
      <c r="E22" t="s">
        <v>384</v>
      </c>
      <c r="F22" t="s">
        <v>445</v>
      </c>
      <c r="G22" t="s">
        <v>20</v>
      </c>
      <c r="H22" t="s">
        <v>398</v>
      </c>
      <c r="I22" s="70" t="s">
        <v>7</v>
      </c>
    </row>
    <row r="23" spans="1:9" x14ac:dyDescent="0.2">
      <c r="A23" s="70" t="s">
        <v>399</v>
      </c>
      <c r="B23" t="s">
        <v>651</v>
      </c>
      <c r="C23" t="s">
        <v>37</v>
      </c>
      <c r="D23" t="s">
        <v>104</v>
      </c>
      <c r="E23" t="s">
        <v>95</v>
      </c>
      <c r="F23" t="s">
        <v>445</v>
      </c>
      <c r="G23" t="s">
        <v>20</v>
      </c>
      <c r="H23" t="s">
        <v>398</v>
      </c>
      <c r="I23" s="70" t="s">
        <v>97</v>
      </c>
    </row>
    <row r="24" spans="1:9" x14ac:dyDescent="0.2">
      <c r="A24" s="70" t="s">
        <v>399</v>
      </c>
      <c r="B24" t="s">
        <v>651</v>
      </c>
      <c r="C24" t="s">
        <v>39</v>
      </c>
      <c r="D24" t="s">
        <v>105</v>
      </c>
      <c r="E24" t="s">
        <v>95</v>
      </c>
      <c r="F24" t="s">
        <v>445</v>
      </c>
      <c r="G24" t="s">
        <v>20</v>
      </c>
      <c r="H24" t="s">
        <v>398</v>
      </c>
      <c r="I24" s="70" t="s">
        <v>97</v>
      </c>
    </row>
    <row r="25" spans="1:9" x14ac:dyDescent="0.2">
      <c r="A25" s="70" t="s">
        <v>399</v>
      </c>
      <c r="B25" t="s">
        <v>651</v>
      </c>
      <c r="C25" t="s">
        <v>41</v>
      </c>
      <c r="D25" t="s">
        <v>106</v>
      </c>
      <c r="E25" t="s">
        <v>95</v>
      </c>
      <c r="F25" t="s">
        <v>445</v>
      </c>
      <c r="G25" t="s">
        <v>20</v>
      </c>
      <c r="H25" t="s">
        <v>398</v>
      </c>
      <c r="I25" s="70" t="s">
        <v>97</v>
      </c>
    </row>
    <row r="26" spans="1:9" x14ac:dyDescent="0.2">
      <c r="A26" s="70" t="s">
        <v>399</v>
      </c>
      <c r="B26" t="s">
        <v>651</v>
      </c>
      <c r="C26" t="s">
        <v>42</v>
      </c>
      <c r="D26" t="s">
        <v>107</v>
      </c>
      <c r="E26" t="s">
        <v>95</v>
      </c>
      <c r="F26" t="s">
        <v>445</v>
      </c>
      <c r="G26" t="s">
        <v>20</v>
      </c>
      <c r="H26" t="s">
        <v>398</v>
      </c>
      <c r="I26" s="70" t="s">
        <v>97</v>
      </c>
    </row>
    <row r="27" spans="1:9" x14ac:dyDescent="0.2">
      <c r="A27" s="70" t="s">
        <v>399</v>
      </c>
      <c r="B27" t="s">
        <v>652</v>
      </c>
      <c r="C27" t="s">
        <v>37</v>
      </c>
      <c r="D27" t="s">
        <v>153</v>
      </c>
      <c r="E27" t="s">
        <v>143</v>
      </c>
      <c r="F27" t="s">
        <v>445</v>
      </c>
      <c r="G27" t="s">
        <v>20</v>
      </c>
      <c r="H27" t="s">
        <v>398</v>
      </c>
      <c r="I27" s="70" t="s">
        <v>145</v>
      </c>
    </row>
    <row r="28" spans="1:9" x14ac:dyDescent="0.2">
      <c r="A28" s="70" t="s">
        <v>399</v>
      </c>
      <c r="B28" t="s">
        <v>652</v>
      </c>
      <c r="C28" t="s">
        <v>39</v>
      </c>
      <c r="D28" t="s">
        <v>154</v>
      </c>
      <c r="E28" t="s">
        <v>143</v>
      </c>
      <c r="F28" t="s">
        <v>445</v>
      </c>
      <c r="G28" t="s">
        <v>20</v>
      </c>
      <c r="H28" t="s">
        <v>398</v>
      </c>
      <c r="I28" s="70" t="s">
        <v>145</v>
      </c>
    </row>
    <row r="29" spans="1:9" x14ac:dyDescent="0.2">
      <c r="A29" s="70" t="s">
        <v>399</v>
      </c>
      <c r="B29" t="s">
        <v>652</v>
      </c>
      <c r="C29" t="s">
        <v>41</v>
      </c>
      <c r="D29" t="s">
        <v>155</v>
      </c>
      <c r="E29" t="s">
        <v>143</v>
      </c>
      <c r="F29" t="s">
        <v>445</v>
      </c>
      <c r="G29" t="s">
        <v>20</v>
      </c>
      <c r="H29" t="s">
        <v>398</v>
      </c>
      <c r="I29" s="70" t="s">
        <v>145</v>
      </c>
    </row>
    <row r="30" spans="1:9" x14ac:dyDescent="0.2">
      <c r="A30" s="70" t="s">
        <v>399</v>
      </c>
      <c r="B30" t="s">
        <v>653</v>
      </c>
      <c r="C30" t="s">
        <v>37</v>
      </c>
      <c r="D30" t="s">
        <v>225</v>
      </c>
      <c r="E30" t="s">
        <v>216</v>
      </c>
      <c r="F30" t="s">
        <v>445</v>
      </c>
      <c r="G30" t="s">
        <v>20</v>
      </c>
      <c r="H30" t="s">
        <v>398</v>
      </c>
      <c r="I30" s="70" t="s">
        <v>218</v>
      </c>
    </row>
    <row r="31" spans="1:9" x14ac:dyDescent="0.2">
      <c r="A31" s="70" t="s">
        <v>399</v>
      </c>
      <c r="B31" t="s">
        <v>653</v>
      </c>
      <c r="C31" t="s">
        <v>39</v>
      </c>
      <c r="D31" t="s">
        <v>226</v>
      </c>
      <c r="E31" t="s">
        <v>216</v>
      </c>
      <c r="F31" t="s">
        <v>445</v>
      </c>
      <c r="G31" t="s">
        <v>20</v>
      </c>
      <c r="H31" t="s">
        <v>398</v>
      </c>
      <c r="I31" s="70" t="s">
        <v>218</v>
      </c>
    </row>
    <row r="32" spans="1:9" x14ac:dyDescent="0.2">
      <c r="A32" s="70" t="s">
        <v>399</v>
      </c>
      <c r="B32" t="s">
        <v>653</v>
      </c>
      <c r="C32" t="s">
        <v>41</v>
      </c>
      <c r="D32" t="s">
        <v>227</v>
      </c>
      <c r="E32" t="s">
        <v>216</v>
      </c>
      <c r="F32" t="s">
        <v>445</v>
      </c>
      <c r="G32" t="s">
        <v>20</v>
      </c>
      <c r="H32" t="s">
        <v>398</v>
      </c>
      <c r="I32" s="70" t="s">
        <v>218</v>
      </c>
    </row>
    <row r="33" spans="1:9" x14ac:dyDescent="0.2">
      <c r="A33" s="70" t="s">
        <v>399</v>
      </c>
      <c r="B33" t="s">
        <v>654</v>
      </c>
      <c r="C33" t="s">
        <v>37</v>
      </c>
      <c r="D33" t="s">
        <v>285</v>
      </c>
      <c r="E33" t="s">
        <v>387</v>
      </c>
      <c r="F33" t="s">
        <v>445</v>
      </c>
      <c r="G33" t="s">
        <v>20</v>
      </c>
      <c r="H33" t="s">
        <v>398</v>
      </c>
      <c r="I33" s="70" t="s">
        <v>388</v>
      </c>
    </row>
    <row r="34" spans="1:9" x14ac:dyDescent="0.2">
      <c r="A34" s="70" t="s">
        <v>399</v>
      </c>
      <c r="B34" t="s">
        <v>654</v>
      </c>
      <c r="C34" t="s">
        <v>39</v>
      </c>
      <c r="D34" t="s">
        <v>286</v>
      </c>
      <c r="E34" t="s">
        <v>387</v>
      </c>
      <c r="F34" t="s">
        <v>445</v>
      </c>
      <c r="G34" t="s">
        <v>20</v>
      </c>
      <c r="H34" t="s">
        <v>398</v>
      </c>
      <c r="I34" s="70" t="s">
        <v>388</v>
      </c>
    </row>
    <row r="35" spans="1:9" x14ac:dyDescent="0.2">
      <c r="A35" s="70" t="s">
        <v>399</v>
      </c>
      <c r="B35" t="s">
        <v>655</v>
      </c>
      <c r="C35" t="s">
        <v>37</v>
      </c>
      <c r="D35" t="s">
        <v>265</v>
      </c>
      <c r="E35" t="s">
        <v>454</v>
      </c>
      <c r="F35" t="s">
        <v>445</v>
      </c>
      <c r="G35" t="s">
        <v>20</v>
      </c>
      <c r="H35" t="s">
        <v>398</v>
      </c>
      <c r="I35" s="70" t="s">
        <v>259</v>
      </c>
    </row>
    <row r="36" spans="1:9" x14ac:dyDescent="0.2">
      <c r="A36" s="70" t="s">
        <v>399</v>
      </c>
      <c r="B36" t="s">
        <v>655</v>
      </c>
      <c r="C36" t="s">
        <v>39</v>
      </c>
      <c r="D36" t="s">
        <v>266</v>
      </c>
      <c r="E36" t="s">
        <v>454</v>
      </c>
      <c r="F36" t="s">
        <v>445</v>
      </c>
      <c r="G36" t="s">
        <v>20</v>
      </c>
      <c r="H36" t="s">
        <v>398</v>
      </c>
      <c r="I36" s="70" t="s">
        <v>259</v>
      </c>
    </row>
    <row r="37" spans="1:9" x14ac:dyDescent="0.2">
      <c r="A37" s="70" t="s">
        <v>399</v>
      </c>
      <c r="B37" t="s">
        <v>655</v>
      </c>
      <c r="C37" t="s">
        <v>41</v>
      </c>
      <c r="D37" t="s">
        <v>267</v>
      </c>
      <c r="E37" t="s">
        <v>454</v>
      </c>
      <c r="F37" t="s">
        <v>445</v>
      </c>
      <c r="G37" t="s">
        <v>20</v>
      </c>
      <c r="H37" t="s">
        <v>398</v>
      </c>
      <c r="I37" s="70" t="s">
        <v>259</v>
      </c>
    </row>
    <row r="38" spans="1:9" x14ac:dyDescent="0.2">
      <c r="A38" s="70" t="s">
        <v>399</v>
      </c>
      <c r="B38" t="s">
        <v>656</v>
      </c>
      <c r="C38" t="s">
        <v>37</v>
      </c>
      <c r="D38" t="s">
        <v>209</v>
      </c>
      <c r="E38" t="s">
        <v>389</v>
      </c>
      <c r="F38" t="s">
        <v>445</v>
      </c>
      <c r="G38" t="s">
        <v>20</v>
      </c>
      <c r="H38" t="s">
        <v>398</v>
      </c>
      <c r="I38" s="70" t="s">
        <v>197</v>
      </c>
    </row>
    <row r="39" spans="1:9" x14ac:dyDescent="0.2">
      <c r="A39" s="70" t="s">
        <v>399</v>
      </c>
      <c r="B39" t="s">
        <v>656</v>
      </c>
      <c r="C39" t="s">
        <v>39</v>
      </c>
      <c r="D39" t="s">
        <v>210</v>
      </c>
      <c r="E39" t="s">
        <v>389</v>
      </c>
      <c r="F39" t="s">
        <v>445</v>
      </c>
      <c r="G39" t="s">
        <v>20</v>
      </c>
      <c r="H39" t="s">
        <v>398</v>
      </c>
      <c r="I39" s="70" t="s">
        <v>197</v>
      </c>
    </row>
    <row r="40" spans="1:9" x14ac:dyDescent="0.2">
      <c r="A40" s="70" t="s">
        <v>399</v>
      </c>
      <c r="B40" t="s">
        <v>656</v>
      </c>
      <c r="C40" t="s">
        <v>41</v>
      </c>
      <c r="D40" t="s">
        <v>211</v>
      </c>
      <c r="E40" t="s">
        <v>389</v>
      </c>
      <c r="F40" t="s">
        <v>445</v>
      </c>
      <c r="G40" t="s">
        <v>20</v>
      </c>
      <c r="H40" t="s">
        <v>398</v>
      </c>
      <c r="I40" s="70" t="s">
        <v>197</v>
      </c>
    </row>
    <row r="41" spans="1:9" x14ac:dyDescent="0.2">
      <c r="A41" s="70" t="s">
        <v>399</v>
      </c>
      <c r="B41" t="s">
        <v>656</v>
      </c>
      <c r="C41" t="s">
        <v>42</v>
      </c>
      <c r="D41" t="s">
        <v>212</v>
      </c>
      <c r="E41" t="s">
        <v>389</v>
      </c>
      <c r="F41" t="s">
        <v>445</v>
      </c>
      <c r="G41" t="s">
        <v>20</v>
      </c>
      <c r="H41" t="s">
        <v>398</v>
      </c>
      <c r="I41" s="70" t="s">
        <v>197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48BED-46AF-BE47-8742-A3D7883E6255}">
  <dimension ref="A1:I129"/>
  <sheetViews>
    <sheetView topLeftCell="A10" workbookViewId="0"/>
  </sheetViews>
  <sheetFormatPr baseColWidth="10" defaultRowHeight="15" x14ac:dyDescent="0.2"/>
  <cols>
    <col min="1" max="1" width="41" bestFit="1" customWidth="1"/>
    <col min="2" max="2" width="12.5" bestFit="1" customWidth="1"/>
    <col min="3" max="3" width="13.33203125" bestFit="1" customWidth="1"/>
    <col min="4" max="4" width="37.5" bestFit="1" customWidth="1"/>
    <col min="5" max="5" width="13.6640625" bestFit="1" customWidth="1"/>
    <col min="6" max="6" width="11.6640625" bestFit="1" customWidth="1"/>
    <col min="7" max="7" width="13.33203125" bestFit="1" customWidth="1"/>
    <col min="8" max="8" width="11.33203125" bestFit="1" customWidth="1"/>
    <col min="9" max="9" width="37.5" bestFit="1" customWidth="1"/>
  </cols>
  <sheetData>
    <row r="1" spans="1:9" x14ac:dyDescent="0.2">
      <c r="A1" t="s">
        <v>598</v>
      </c>
      <c r="B1" t="s">
        <v>397</v>
      </c>
      <c r="C1" t="s">
        <v>1</v>
      </c>
      <c r="D1" t="s">
        <v>2</v>
      </c>
      <c r="E1" t="s">
        <v>452</v>
      </c>
      <c r="F1" t="s">
        <v>599</v>
      </c>
      <c r="G1" t="s">
        <v>390</v>
      </c>
      <c r="H1" t="s">
        <v>451</v>
      </c>
      <c r="I1" t="s">
        <v>453</v>
      </c>
    </row>
    <row r="2" spans="1:9" x14ac:dyDescent="0.2">
      <c r="A2" s="70" t="s">
        <v>431</v>
      </c>
      <c r="B2" t="s">
        <v>600</v>
      </c>
      <c r="C2" t="s">
        <v>4</v>
      </c>
      <c r="D2" t="s">
        <v>461</v>
      </c>
      <c r="E2" t="s">
        <v>461</v>
      </c>
      <c r="F2" t="s">
        <v>444</v>
      </c>
      <c r="G2" t="s">
        <v>20</v>
      </c>
      <c r="H2" t="s">
        <v>398</v>
      </c>
      <c r="I2" s="70" t="s">
        <v>462</v>
      </c>
    </row>
    <row r="3" spans="1:9" x14ac:dyDescent="0.2">
      <c r="A3" s="70" t="s">
        <v>431</v>
      </c>
      <c r="B3" t="s">
        <v>600</v>
      </c>
      <c r="C3" t="s">
        <v>6</v>
      </c>
      <c r="D3" t="s">
        <v>462</v>
      </c>
      <c r="E3" t="s">
        <v>461</v>
      </c>
      <c r="F3" t="s">
        <v>444</v>
      </c>
      <c r="G3" t="s">
        <v>20</v>
      </c>
      <c r="H3" t="s">
        <v>398</v>
      </c>
      <c r="I3" s="70" t="s">
        <v>462</v>
      </c>
    </row>
    <row r="4" spans="1:9" x14ac:dyDescent="0.2">
      <c r="A4" s="70" t="s">
        <v>431</v>
      </c>
      <c r="B4" t="s">
        <v>600</v>
      </c>
      <c r="C4" t="s">
        <v>8</v>
      </c>
      <c r="D4">
        <v>20</v>
      </c>
      <c r="E4" t="s">
        <v>461</v>
      </c>
      <c r="F4" t="s">
        <v>444</v>
      </c>
      <c r="G4" t="s">
        <v>20</v>
      </c>
      <c r="H4" t="s">
        <v>398</v>
      </c>
      <c r="I4" s="70" t="s">
        <v>462</v>
      </c>
    </row>
    <row r="5" spans="1:9" x14ac:dyDescent="0.2">
      <c r="A5" s="70" t="s">
        <v>431</v>
      </c>
      <c r="B5" t="s">
        <v>600</v>
      </c>
      <c r="C5" t="s">
        <v>9</v>
      </c>
      <c r="D5">
        <v>1</v>
      </c>
      <c r="E5" t="s">
        <v>461</v>
      </c>
      <c r="F5" t="s">
        <v>444</v>
      </c>
      <c r="G5" t="s">
        <v>20</v>
      </c>
      <c r="H5" t="s">
        <v>398</v>
      </c>
      <c r="I5" s="70" t="s">
        <v>462</v>
      </c>
    </row>
    <row r="6" spans="1:9" x14ac:dyDescent="0.2">
      <c r="A6" s="70" t="s">
        <v>431</v>
      </c>
      <c r="B6" t="s">
        <v>600</v>
      </c>
      <c r="C6" t="s">
        <v>11</v>
      </c>
      <c r="D6">
        <v>4</v>
      </c>
      <c r="E6" t="s">
        <v>461</v>
      </c>
      <c r="F6" t="s">
        <v>444</v>
      </c>
      <c r="G6" t="s">
        <v>20</v>
      </c>
      <c r="H6" t="s">
        <v>398</v>
      </c>
      <c r="I6" s="70" t="s">
        <v>462</v>
      </c>
    </row>
    <row r="7" spans="1:9" x14ac:dyDescent="0.2">
      <c r="A7" s="70" t="s">
        <v>431</v>
      </c>
      <c r="B7" t="s">
        <v>600</v>
      </c>
      <c r="C7" t="s">
        <v>13</v>
      </c>
      <c r="D7" t="s">
        <v>601</v>
      </c>
      <c r="E7" t="s">
        <v>461</v>
      </c>
      <c r="F7" t="s">
        <v>444</v>
      </c>
      <c r="G7" t="s">
        <v>20</v>
      </c>
      <c r="H7" t="s">
        <v>398</v>
      </c>
      <c r="I7" s="70" t="s">
        <v>462</v>
      </c>
    </row>
    <row r="8" spans="1:9" x14ac:dyDescent="0.2">
      <c r="A8" s="70" t="s">
        <v>431</v>
      </c>
      <c r="B8" t="s">
        <v>600</v>
      </c>
      <c r="C8" t="s">
        <v>16</v>
      </c>
      <c r="D8" t="s">
        <v>17</v>
      </c>
      <c r="E8" t="s">
        <v>461</v>
      </c>
      <c r="F8" t="s">
        <v>444</v>
      </c>
      <c r="G8" t="s">
        <v>20</v>
      </c>
      <c r="H8" t="s">
        <v>398</v>
      </c>
      <c r="I8" s="70" t="s">
        <v>462</v>
      </c>
    </row>
    <row r="9" spans="1:9" x14ac:dyDescent="0.2">
      <c r="A9" s="70" t="s">
        <v>431</v>
      </c>
      <c r="B9" t="s">
        <v>600</v>
      </c>
      <c r="C9" t="s">
        <v>19</v>
      </c>
      <c r="D9" t="s">
        <v>349</v>
      </c>
      <c r="E9" t="s">
        <v>461</v>
      </c>
      <c r="F9" t="s">
        <v>444</v>
      </c>
      <c r="G9" t="s">
        <v>20</v>
      </c>
      <c r="H9" t="s">
        <v>398</v>
      </c>
      <c r="I9" s="70" t="s">
        <v>462</v>
      </c>
    </row>
    <row r="10" spans="1:9" x14ac:dyDescent="0.2">
      <c r="A10" s="70" t="s">
        <v>410</v>
      </c>
      <c r="B10" t="s">
        <v>602</v>
      </c>
      <c r="C10" t="s">
        <v>4</v>
      </c>
      <c r="D10" t="s">
        <v>455</v>
      </c>
      <c r="E10" t="s">
        <v>455</v>
      </c>
      <c r="F10" t="s">
        <v>444</v>
      </c>
      <c r="G10" t="s">
        <v>20</v>
      </c>
      <c r="H10" t="s">
        <v>398</v>
      </c>
      <c r="I10" s="70" t="s">
        <v>456</v>
      </c>
    </row>
    <row r="11" spans="1:9" x14ac:dyDescent="0.2">
      <c r="A11" s="70" t="s">
        <v>410</v>
      </c>
      <c r="B11" t="s">
        <v>602</v>
      </c>
      <c r="C11" t="s">
        <v>6</v>
      </c>
      <c r="D11" t="s">
        <v>456</v>
      </c>
      <c r="E11" t="s">
        <v>455</v>
      </c>
      <c r="F11" t="s">
        <v>444</v>
      </c>
      <c r="G11" t="s">
        <v>20</v>
      </c>
      <c r="H11" t="s">
        <v>398</v>
      </c>
      <c r="I11" s="70" t="s">
        <v>456</v>
      </c>
    </row>
    <row r="12" spans="1:9" x14ac:dyDescent="0.2">
      <c r="A12" s="70" t="s">
        <v>410</v>
      </c>
      <c r="B12" t="s">
        <v>602</v>
      </c>
      <c r="C12" t="s">
        <v>8</v>
      </c>
      <c r="E12" t="s">
        <v>455</v>
      </c>
      <c r="F12" t="s">
        <v>444</v>
      </c>
      <c r="G12" t="s">
        <v>20</v>
      </c>
      <c r="H12" t="s">
        <v>398</v>
      </c>
      <c r="I12" s="70" t="s">
        <v>456</v>
      </c>
    </row>
    <row r="13" spans="1:9" x14ac:dyDescent="0.2">
      <c r="A13" s="70" t="s">
        <v>410</v>
      </c>
      <c r="B13" t="s">
        <v>602</v>
      </c>
      <c r="C13" t="s">
        <v>9</v>
      </c>
      <c r="E13" t="s">
        <v>455</v>
      </c>
      <c r="F13" t="s">
        <v>444</v>
      </c>
      <c r="G13" t="s">
        <v>20</v>
      </c>
      <c r="H13" t="s">
        <v>398</v>
      </c>
      <c r="I13" s="70" t="s">
        <v>456</v>
      </c>
    </row>
    <row r="14" spans="1:9" x14ac:dyDescent="0.2">
      <c r="A14" s="70" t="s">
        <v>410</v>
      </c>
      <c r="B14" t="s">
        <v>602</v>
      </c>
      <c r="C14" t="s">
        <v>11</v>
      </c>
      <c r="E14" t="s">
        <v>455</v>
      </c>
      <c r="F14" t="s">
        <v>444</v>
      </c>
      <c r="G14" t="s">
        <v>20</v>
      </c>
      <c r="H14" t="s">
        <v>398</v>
      </c>
      <c r="I14" s="70" t="s">
        <v>456</v>
      </c>
    </row>
    <row r="15" spans="1:9" x14ac:dyDescent="0.2">
      <c r="A15" s="70" t="s">
        <v>410</v>
      </c>
      <c r="B15" t="s">
        <v>602</v>
      </c>
      <c r="C15" t="s">
        <v>13</v>
      </c>
      <c r="E15" t="s">
        <v>455</v>
      </c>
      <c r="F15" t="s">
        <v>444</v>
      </c>
      <c r="G15" t="s">
        <v>20</v>
      </c>
      <c r="H15" t="s">
        <v>398</v>
      </c>
      <c r="I15" s="70" t="s">
        <v>456</v>
      </c>
    </row>
    <row r="16" spans="1:9" x14ac:dyDescent="0.2">
      <c r="A16" s="70" t="s">
        <v>410</v>
      </c>
      <c r="B16" t="s">
        <v>602</v>
      </c>
      <c r="C16" t="s">
        <v>16</v>
      </c>
      <c r="D16" t="s">
        <v>307</v>
      </c>
      <c r="E16" t="s">
        <v>455</v>
      </c>
      <c r="F16" t="s">
        <v>444</v>
      </c>
      <c r="G16" t="s">
        <v>20</v>
      </c>
      <c r="H16" t="s">
        <v>398</v>
      </c>
      <c r="I16" s="70" t="s">
        <v>456</v>
      </c>
    </row>
    <row r="17" spans="1:9" x14ac:dyDescent="0.2">
      <c r="A17" s="70" t="s">
        <v>410</v>
      </c>
      <c r="B17" t="s">
        <v>602</v>
      </c>
      <c r="C17" t="s">
        <v>19</v>
      </c>
      <c r="E17" t="s">
        <v>455</v>
      </c>
      <c r="F17" t="s">
        <v>444</v>
      </c>
      <c r="G17" t="s">
        <v>20</v>
      </c>
      <c r="H17" t="s">
        <v>398</v>
      </c>
      <c r="I17" s="70" t="s">
        <v>456</v>
      </c>
    </row>
    <row r="18" spans="1:9" x14ac:dyDescent="0.2">
      <c r="A18" s="70" t="s">
        <v>410</v>
      </c>
      <c r="B18" t="s">
        <v>603</v>
      </c>
      <c r="C18" t="s">
        <v>4</v>
      </c>
      <c r="D18" t="s">
        <v>457</v>
      </c>
      <c r="E18" t="s">
        <v>457</v>
      </c>
      <c r="F18" t="s">
        <v>444</v>
      </c>
      <c r="G18" t="s">
        <v>20</v>
      </c>
      <c r="H18" t="s">
        <v>398</v>
      </c>
      <c r="I18" s="70" t="s">
        <v>458</v>
      </c>
    </row>
    <row r="19" spans="1:9" x14ac:dyDescent="0.2">
      <c r="A19" s="70" t="s">
        <v>410</v>
      </c>
      <c r="B19" t="s">
        <v>603</v>
      </c>
      <c r="C19" t="s">
        <v>6</v>
      </c>
      <c r="D19" t="s">
        <v>604</v>
      </c>
      <c r="E19" t="s">
        <v>457</v>
      </c>
      <c r="F19" t="s">
        <v>444</v>
      </c>
      <c r="G19" t="s">
        <v>20</v>
      </c>
      <c r="H19" t="s">
        <v>398</v>
      </c>
      <c r="I19" s="70" t="s">
        <v>458</v>
      </c>
    </row>
    <row r="20" spans="1:9" x14ac:dyDescent="0.2">
      <c r="A20" s="70" t="s">
        <v>410</v>
      </c>
      <c r="B20" t="s">
        <v>603</v>
      </c>
      <c r="C20" t="s">
        <v>8</v>
      </c>
      <c r="D20">
        <v>20</v>
      </c>
      <c r="E20" t="s">
        <v>457</v>
      </c>
      <c r="F20" t="s">
        <v>444</v>
      </c>
      <c r="G20" t="s">
        <v>20</v>
      </c>
      <c r="H20" t="s">
        <v>398</v>
      </c>
      <c r="I20" s="70" t="s">
        <v>458</v>
      </c>
    </row>
    <row r="21" spans="1:9" x14ac:dyDescent="0.2">
      <c r="A21" s="70" t="s">
        <v>410</v>
      </c>
      <c r="B21" t="s">
        <v>603</v>
      </c>
      <c r="C21" t="s">
        <v>9</v>
      </c>
      <c r="D21">
        <v>1</v>
      </c>
      <c r="E21" t="s">
        <v>457</v>
      </c>
      <c r="F21" t="s">
        <v>444</v>
      </c>
      <c r="G21" t="s">
        <v>20</v>
      </c>
      <c r="H21" t="s">
        <v>398</v>
      </c>
      <c r="I21" s="70" t="s">
        <v>458</v>
      </c>
    </row>
    <row r="22" spans="1:9" x14ac:dyDescent="0.2">
      <c r="A22" s="70" t="s">
        <v>410</v>
      </c>
      <c r="B22" t="s">
        <v>603</v>
      </c>
      <c r="C22" t="s">
        <v>11</v>
      </c>
      <c r="D22">
        <v>4</v>
      </c>
      <c r="E22" t="s">
        <v>457</v>
      </c>
      <c r="F22" t="s">
        <v>444</v>
      </c>
      <c r="G22" t="s">
        <v>20</v>
      </c>
      <c r="H22" t="s">
        <v>398</v>
      </c>
      <c r="I22" s="70" t="s">
        <v>458</v>
      </c>
    </row>
    <row r="23" spans="1:9" x14ac:dyDescent="0.2">
      <c r="A23" s="70" t="s">
        <v>410</v>
      </c>
      <c r="B23" t="s">
        <v>603</v>
      </c>
      <c r="C23" t="s">
        <v>13</v>
      </c>
      <c r="D23" t="s">
        <v>605</v>
      </c>
      <c r="E23" t="s">
        <v>457</v>
      </c>
      <c r="F23" t="s">
        <v>444</v>
      </c>
      <c r="G23" t="s">
        <v>20</v>
      </c>
      <c r="H23" t="s">
        <v>398</v>
      </c>
      <c r="I23" s="70" t="s">
        <v>458</v>
      </c>
    </row>
    <row r="24" spans="1:9" x14ac:dyDescent="0.2">
      <c r="A24" s="70" t="s">
        <v>410</v>
      </c>
      <c r="B24" t="s">
        <v>603</v>
      </c>
      <c r="C24" t="s">
        <v>16</v>
      </c>
      <c r="D24" t="s">
        <v>17</v>
      </c>
      <c r="E24" t="s">
        <v>457</v>
      </c>
      <c r="F24" t="s">
        <v>444</v>
      </c>
      <c r="G24" t="s">
        <v>20</v>
      </c>
      <c r="H24" t="s">
        <v>398</v>
      </c>
      <c r="I24" s="70" t="s">
        <v>458</v>
      </c>
    </row>
    <row r="25" spans="1:9" x14ac:dyDescent="0.2">
      <c r="A25" s="70" t="s">
        <v>410</v>
      </c>
      <c r="B25" t="s">
        <v>603</v>
      </c>
      <c r="C25" t="s">
        <v>19</v>
      </c>
      <c r="D25" t="s">
        <v>341</v>
      </c>
      <c r="E25" t="s">
        <v>457</v>
      </c>
      <c r="F25" t="s">
        <v>444</v>
      </c>
      <c r="G25" t="s">
        <v>20</v>
      </c>
      <c r="H25" t="s">
        <v>398</v>
      </c>
      <c r="I25" s="70" t="s">
        <v>458</v>
      </c>
    </row>
    <row r="26" spans="1:9" x14ac:dyDescent="0.2">
      <c r="A26" s="70" t="s">
        <v>410</v>
      </c>
      <c r="B26" t="s">
        <v>606</v>
      </c>
      <c r="C26" t="s">
        <v>4</v>
      </c>
      <c r="D26" t="s">
        <v>459</v>
      </c>
      <c r="E26" t="s">
        <v>459</v>
      </c>
      <c r="F26" t="s">
        <v>444</v>
      </c>
      <c r="G26" t="s">
        <v>20</v>
      </c>
      <c r="H26" t="s">
        <v>398</v>
      </c>
      <c r="I26" s="70" t="s">
        <v>460</v>
      </c>
    </row>
    <row r="27" spans="1:9" x14ac:dyDescent="0.2">
      <c r="A27" s="70" t="s">
        <v>410</v>
      </c>
      <c r="B27" t="s">
        <v>606</v>
      </c>
      <c r="C27" t="s">
        <v>6</v>
      </c>
      <c r="D27" t="s">
        <v>460</v>
      </c>
      <c r="E27" t="s">
        <v>459</v>
      </c>
      <c r="F27" t="s">
        <v>444</v>
      </c>
      <c r="G27" t="s">
        <v>20</v>
      </c>
      <c r="H27" t="s">
        <v>398</v>
      </c>
      <c r="I27" s="70" t="s">
        <v>460</v>
      </c>
    </row>
    <row r="28" spans="1:9" x14ac:dyDescent="0.2">
      <c r="A28" s="70" t="s">
        <v>410</v>
      </c>
      <c r="B28" t="s">
        <v>606</v>
      </c>
      <c r="C28" t="s">
        <v>8</v>
      </c>
      <c r="D28">
        <v>20</v>
      </c>
      <c r="E28" t="s">
        <v>459</v>
      </c>
      <c r="F28" t="s">
        <v>444</v>
      </c>
      <c r="G28" t="s">
        <v>20</v>
      </c>
      <c r="H28" t="s">
        <v>398</v>
      </c>
      <c r="I28" s="70" t="s">
        <v>460</v>
      </c>
    </row>
    <row r="29" spans="1:9" x14ac:dyDescent="0.2">
      <c r="A29" s="70" t="s">
        <v>410</v>
      </c>
      <c r="B29" t="s">
        <v>606</v>
      </c>
      <c r="C29" t="s">
        <v>9</v>
      </c>
      <c r="D29">
        <v>2</v>
      </c>
      <c r="E29" t="s">
        <v>459</v>
      </c>
      <c r="F29" t="s">
        <v>444</v>
      </c>
      <c r="G29" t="s">
        <v>20</v>
      </c>
      <c r="H29" t="s">
        <v>398</v>
      </c>
      <c r="I29" s="70" t="s">
        <v>460</v>
      </c>
    </row>
    <row r="30" spans="1:9" x14ac:dyDescent="0.2">
      <c r="A30" s="70" t="s">
        <v>410</v>
      </c>
      <c r="B30" t="s">
        <v>606</v>
      </c>
      <c r="C30" t="s">
        <v>11</v>
      </c>
      <c r="D30">
        <v>4</v>
      </c>
      <c r="E30" t="s">
        <v>459</v>
      </c>
      <c r="F30" t="s">
        <v>444</v>
      </c>
      <c r="G30" t="s">
        <v>20</v>
      </c>
      <c r="H30" t="s">
        <v>398</v>
      </c>
      <c r="I30" s="70" t="s">
        <v>460</v>
      </c>
    </row>
    <row r="31" spans="1:9" x14ac:dyDescent="0.2">
      <c r="A31" s="70" t="s">
        <v>410</v>
      </c>
      <c r="B31" t="s">
        <v>606</v>
      </c>
      <c r="C31" t="s">
        <v>13</v>
      </c>
      <c r="D31" t="s">
        <v>607</v>
      </c>
      <c r="E31" t="s">
        <v>459</v>
      </c>
      <c r="F31" t="s">
        <v>444</v>
      </c>
      <c r="G31" t="s">
        <v>20</v>
      </c>
      <c r="H31" t="s">
        <v>398</v>
      </c>
      <c r="I31" s="70" t="s">
        <v>460</v>
      </c>
    </row>
    <row r="32" spans="1:9" x14ac:dyDescent="0.2">
      <c r="A32" s="70" t="s">
        <v>410</v>
      </c>
      <c r="B32" t="s">
        <v>606</v>
      </c>
      <c r="C32" t="s">
        <v>16</v>
      </c>
      <c r="D32" t="s">
        <v>17</v>
      </c>
      <c r="E32" t="s">
        <v>459</v>
      </c>
      <c r="F32" t="s">
        <v>444</v>
      </c>
      <c r="G32" t="s">
        <v>20</v>
      </c>
      <c r="H32" t="s">
        <v>398</v>
      </c>
      <c r="I32" s="70" t="s">
        <v>460</v>
      </c>
    </row>
    <row r="33" spans="1:9" x14ac:dyDescent="0.2">
      <c r="A33" s="70" t="s">
        <v>410</v>
      </c>
      <c r="B33" t="s">
        <v>606</v>
      </c>
      <c r="C33" t="s">
        <v>19</v>
      </c>
      <c r="D33" t="s">
        <v>349</v>
      </c>
      <c r="E33" t="s">
        <v>459</v>
      </c>
      <c r="F33" t="s">
        <v>444</v>
      </c>
      <c r="G33" t="s">
        <v>20</v>
      </c>
      <c r="H33" t="s">
        <v>398</v>
      </c>
      <c r="I33" s="70" t="s">
        <v>460</v>
      </c>
    </row>
    <row r="34" spans="1:9" x14ac:dyDescent="0.2">
      <c r="A34" s="70" t="s">
        <v>410</v>
      </c>
      <c r="B34" t="s">
        <v>608</v>
      </c>
      <c r="C34" t="s">
        <v>4</v>
      </c>
      <c r="D34" t="s">
        <v>463</v>
      </c>
      <c r="E34" t="s">
        <v>463</v>
      </c>
      <c r="F34" t="s">
        <v>444</v>
      </c>
      <c r="G34" t="s">
        <v>20</v>
      </c>
      <c r="H34" t="s">
        <v>398</v>
      </c>
      <c r="I34" s="70" t="s">
        <v>464</v>
      </c>
    </row>
    <row r="35" spans="1:9" x14ac:dyDescent="0.2">
      <c r="A35" s="70" t="s">
        <v>410</v>
      </c>
      <c r="B35" t="s">
        <v>608</v>
      </c>
      <c r="C35" t="s">
        <v>6</v>
      </c>
      <c r="D35" t="s">
        <v>464</v>
      </c>
      <c r="E35" t="s">
        <v>463</v>
      </c>
      <c r="F35" t="s">
        <v>444</v>
      </c>
      <c r="G35" t="s">
        <v>20</v>
      </c>
      <c r="H35" t="s">
        <v>398</v>
      </c>
      <c r="I35" s="70" t="s">
        <v>464</v>
      </c>
    </row>
    <row r="36" spans="1:9" x14ac:dyDescent="0.2">
      <c r="A36" s="70" t="s">
        <v>410</v>
      </c>
      <c r="B36" t="s">
        <v>608</v>
      </c>
      <c r="C36" t="s">
        <v>8</v>
      </c>
      <c r="D36">
        <v>20</v>
      </c>
      <c r="E36" t="s">
        <v>463</v>
      </c>
      <c r="F36" t="s">
        <v>444</v>
      </c>
      <c r="G36" t="s">
        <v>20</v>
      </c>
      <c r="H36" t="s">
        <v>398</v>
      </c>
      <c r="I36" s="70" t="s">
        <v>464</v>
      </c>
    </row>
    <row r="37" spans="1:9" x14ac:dyDescent="0.2">
      <c r="A37" s="70" t="s">
        <v>410</v>
      </c>
      <c r="B37" t="s">
        <v>608</v>
      </c>
      <c r="C37" t="s">
        <v>9</v>
      </c>
      <c r="D37">
        <v>2</v>
      </c>
      <c r="E37" t="s">
        <v>463</v>
      </c>
      <c r="F37" t="s">
        <v>444</v>
      </c>
      <c r="G37" t="s">
        <v>20</v>
      </c>
      <c r="H37" t="s">
        <v>398</v>
      </c>
      <c r="I37" s="70" t="s">
        <v>464</v>
      </c>
    </row>
    <row r="38" spans="1:9" x14ac:dyDescent="0.2">
      <c r="A38" s="70" t="s">
        <v>410</v>
      </c>
      <c r="B38" t="s">
        <v>608</v>
      </c>
      <c r="C38" t="s">
        <v>11</v>
      </c>
      <c r="D38">
        <v>5</v>
      </c>
      <c r="E38" t="s">
        <v>463</v>
      </c>
      <c r="F38" t="s">
        <v>444</v>
      </c>
      <c r="G38" t="s">
        <v>20</v>
      </c>
      <c r="H38" t="s">
        <v>398</v>
      </c>
      <c r="I38" s="70" t="s">
        <v>464</v>
      </c>
    </row>
    <row r="39" spans="1:9" x14ac:dyDescent="0.2">
      <c r="A39" s="70" t="s">
        <v>410</v>
      </c>
      <c r="B39" t="s">
        <v>608</v>
      </c>
      <c r="C39" t="s">
        <v>13</v>
      </c>
      <c r="D39" t="s">
        <v>609</v>
      </c>
      <c r="E39" t="s">
        <v>463</v>
      </c>
      <c r="F39" t="s">
        <v>444</v>
      </c>
      <c r="G39" t="s">
        <v>20</v>
      </c>
      <c r="H39" t="s">
        <v>398</v>
      </c>
      <c r="I39" s="70" t="s">
        <v>464</v>
      </c>
    </row>
    <row r="40" spans="1:9" x14ac:dyDescent="0.2">
      <c r="A40" s="70" t="s">
        <v>410</v>
      </c>
      <c r="B40" t="s">
        <v>608</v>
      </c>
      <c r="C40" t="s">
        <v>16</v>
      </c>
      <c r="D40" t="s">
        <v>307</v>
      </c>
      <c r="E40" t="s">
        <v>463</v>
      </c>
      <c r="F40" t="s">
        <v>444</v>
      </c>
      <c r="G40" t="s">
        <v>20</v>
      </c>
      <c r="H40" t="s">
        <v>398</v>
      </c>
      <c r="I40" s="70" t="s">
        <v>464</v>
      </c>
    </row>
    <row r="41" spans="1:9" x14ac:dyDescent="0.2">
      <c r="A41" s="70" t="s">
        <v>410</v>
      </c>
      <c r="B41" t="s">
        <v>608</v>
      </c>
      <c r="C41" t="s">
        <v>19</v>
      </c>
      <c r="D41" t="s">
        <v>341</v>
      </c>
      <c r="E41" t="s">
        <v>463</v>
      </c>
      <c r="F41" t="s">
        <v>444</v>
      </c>
      <c r="G41" t="s">
        <v>20</v>
      </c>
      <c r="H41" t="s">
        <v>398</v>
      </c>
      <c r="I41" s="70" t="s">
        <v>464</v>
      </c>
    </row>
    <row r="42" spans="1:9" x14ac:dyDescent="0.2">
      <c r="A42" s="70" t="s">
        <v>410</v>
      </c>
      <c r="B42" t="s">
        <v>610</v>
      </c>
      <c r="C42" t="s">
        <v>4</v>
      </c>
      <c r="D42" t="s">
        <v>465</v>
      </c>
      <c r="E42" t="s">
        <v>465</v>
      </c>
      <c r="F42" t="s">
        <v>444</v>
      </c>
      <c r="G42" t="s">
        <v>20</v>
      </c>
      <c r="H42" t="s">
        <v>398</v>
      </c>
      <c r="I42" s="70" t="s">
        <v>466</v>
      </c>
    </row>
    <row r="43" spans="1:9" x14ac:dyDescent="0.2">
      <c r="A43" s="70" t="s">
        <v>410</v>
      </c>
      <c r="B43" t="s">
        <v>610</v>
      </c>
      <c r="C43" t="s">
        <v>6</v>
      </c>
      <c r="D43" t="s">
        <v>466</v>
      </c>
      <c r="E43" t="s">
        <v>465</v>
      </c>
      <c r="F43" t="s">
        <v>444</v>
      </c>
      <c r="G43" t="s">
        <v>20</v>
      </c>
      <c r="H43" t="s">
        <v>398</v>
      </c>
      <c r="I43" s="70" t="s">
        <v>466</v>
      </c>
    </row>
    <row r="44" spans="1:9" x14ac:dyDescent="0.2">
      <c r="A44" s="70" t="s">
        <v>410</v>
      </c>
      <c r="B44" t="s">
        <v>610</v>
      </c>
      <c r="C44" t="s">
        <v>8</v>
      </c>
      <c r="D44">
        <v>20</v>
      </c>
      <c r="E44" t="s">
        <v>465</v>
      </c>
      <c r="F44" t="s">
        <v>444</v>
      </c>
      <c r="G44" t="s">
        <v>20</v>
      </c>
      <c r="H44" t="s">
        <v>398</v>
      </c>
      <c r="I44" s="70" t="s">
        <v>466</v>
      </c>
    </row>
    <row r="45" spans="1:9" x14ac:dyDescent="0.2">
      <c r="A45" s="70" t="s">
        <v>410</v>
      </c>
      <c r="B45" t="s">
        <v>610</v>
      </c>
      <c r="C45" t="s">
        <v>9</v>
      </c>
      <c r="D45">
        <v>2</v>
      </c>
      <c r="E45" t="s">
        <v>465</v>
      </c>
      <c r="F45" t="s">
        <v>444</v>
      </c>
      <c r="G45" t="s">
        <v>20</v>
      </c>
      <c r="H45" t="s">
        <v>398</v>
      </c>
      <c r="I45" s="70" t="s">
        <v>466</v>
      </c>
    </row>
    <row r="46" spans="1:9" x14ac:dyDescent="0.2">
      <c r="A46" s="70" t="s">
        <v>410</v>
      </c>
      <c r="B46" t="s">
        <v>610</v>
      </c>
      <c r="C46" t="s">
        <v>11</v>
      </c>
      <c r="D46">
        <v>5</v>
      </c>
      <c r="E46" t="s">
        <v>465</v>
      </c>
      <c r="F46" t="s">
        <v>444</v>
      </c>
      <c r="G46" t="s">
        <v>20</v>
      </c>
      <c r="H46" t="s">
        <v>398</v>
      </c>
      <c r="I46" s="70" t="s">
        <v>466</v>
      </c>
    </row>
    <row r="47" spans="1:9" x14ac:dyDescent="0.2">
      <c r="A47" s="70" t="s">
        <v>410</v>
      </c>
      <c r="B47" t="s">
        <v>610</v>
      </c>
      <c r="C47" t="s">
        <v>13</v>
      </c>
      <c r="D47" t="s">
        <v>611</v>
      </c>
      <c r="E47" t="s">
        <v>465</v>
      </c>
      <c r="F47" t="s">
        <v>444</v>
      </c>
      <c r="G47" t="s">
        <v>20</v>
      </c>
      <c r="H47" t="s">
        <v>398</v>
      </c>
      <c r="I47" s="70" t="s">
        <v>466</v>
      </c>
    </row>
    <row r="48" spans="1:9" x14ac:dyDescent="0.2">
      <c r="A48" s="70" t="s">
        <v>410</v>
      </c>
      <c r="B48" t="s">
        <v>610</v>
      </c>
      <c r="C48" t="s">
        <v>16</v>
      </c>
      <c r="D48" t="s">
        <v>17</v>
      </c>
      <c r="E48" t="s">
        <v>465</v>
      </c>
      <c r="F48" t="s">
        <v>444</v>
      </c>
      <c r="G48" t="s">
        <v>20</v>
      </c>
      <c r="H48" t="s">
        <v>398</v>
      </c>
      <c r="I48" s="70" t="s">
        <v>466</v>
      </c>
    </row>
    <row r="49" spans="1:9" x14ac:dyDescent="0.2">
      <c r="A49" s="70" t="s">
        <v>410</v>
      </c>
      <c r="B49" t="s">
        <v>610</v>
      </c>
      <c r="C49" t="s">
        <v>19</v>
      </c>
      <c r="D49" t="s">
        <v>349</v>
      </c>
      <c r="E49" t="s">
        <v>465</v>
      </c>
      <c r="F49" t="s">
        <v>444</v>
      </c>
      <c r="G49" t="s">
        <v>20</v>
      </c>
      <c r="H49" t="s">
        <v>398</v>
      </c>
      <c r="I49" s="70" t="s">
        <v>466</v>
      </c>
    </row>
    <row r="50" spans="1:9" x14ac:dyDescent="0.2">
      <c r="A50" s="70" t="s">
        <v>410</v>
      </c>
      <c r="B50" t="s">
        <v>612</v>
      </c>
      <c r="C50" t="s">
        <v>4</v>
      </c>
      <c r="D50" t="s">
        <v>467</v>
      </c>
      <c r="E50" t="s">
        <v>467</v>
      </c>
      <c r="F50" t="s">
        <v>444</v>
      </c>
      <c r="G50" t="s">
        <v>20</v>
      </c>
      <c r="H50" t="s">
        <v>398</v>
      </c>
      <c r="I50" s="70" t="s">
        <v>468</v>
      </c>
    </row>
    <row r="51" spans="1:9" x14ac:dyDescent="0.2">
      <c r="A51" s="70" t="s">
        <v>410</v>
      </c>
      <c r="B51" t="s">
        <v>612</v>
      </c>
      <c r="C51" t="s">
        <v>6</v>
      </c>
      <c r="D51" t="s">
        <v>613</v>
      </c>
      <c r="E51" t="s">
        <v>467</v>
      </c>
      <c r="F51" t="s">
        <v>444</v>
      </c>
      <c r="G51" t="s">
        <v>20</v>
      </c>
      <c r="H51" t="s">
        <v>398</v>
      </c>
      <c r="I51" s="70" t="s">
        <v>468</v>
      </c>
    </row>
    <row r="52" spans="1:9" x14ac:dyDescent="0.2">
      <c r="A52" s="70" t="s">
        <v>410</v>
      </c>
      <c r="B52" t="s">
        <v>612</v>
      </c>
      <c r="C52" t="s">
        <v>8</v>
      </c>
      <c r="E52" t="s">
        <v>467</v>
      </c>
      <c r="F52" t="s">
        <v>444</v>
      </c>
      <c r="G52" t="s">
        <v>20</v>
      </c>
      <c r="H52" t="s">
        <v>398</v>
      </c>
      <c r="I52" s="70" t="s">
        <v>468</v>
      </c>
    </row>
    <row r="53" spans="1:9" x14ac:dyDescent="0.2">
      <c r="A53" s="70" t="s">
        <v>410</v>
      </c>
      <c r="B53" t="s">
        <v>612</v>
      </c>
      <c r="C53" t="s">
        <v>9</v>
      </c>
      <c r="E53" t="s">
        <v>467</v>
      </c>
      <c r="F53" t="s">
        <v>444</v>
      </c>
      <c r="G53" t="s">
        <v>20</v>
      </c>
      <c r="H53" t="s">
        <v>398</v>
      </c>
      <c r="I53" s="70" t="s">
        <v>468</v>
      </c>
    </row>
    <row r="54" spans="1:9" x14ac:dyDescent="0.2">
      <c r="A54" s="70" t="s">
        <v>410</v>
      </c>
      <c r="B54" t="s">
        <v>612</v>
      </c>
      <c r="C54" t="s">
        <v>11</v>
      </c>
      <c r="D54">
        <v>5</v>
      </c>
      <c r="E54" t="s">
        <v>467</v>
      </c>
      <c r="F54" t="s">
        <v>444</v>
      </c>
      <c r="G54" t="s">
        <v>20</v>
      </c>
      <c r="H54" t="s">
        <v>398</v>
      </c>
      <c r="I54" s="70" t="s">
        <v>468</v>
      </c>
    </row>
    <row r="55" spans="1:9" x14ac:dyDescent="0.2">
      <c r="A55" s="70" t="s">
        <v>410</v>
      </c>
      <c r="B55" t="s">
        <v>612</v>
      </c>
      <c r="C55" t="s">
        <v>13</v>
      </c>
      <c r="D55" t="s">
        <v>614</v>
      </c>
      <c r="E55" t="s">
        <v>467</v>
      </c>
      <c r="F55" t="s">
        <v>444</v>
      </c>
      <c r="G55" t="s">
        <v>20</v>
      </c>
      <c r="H55" t="s">
        <v>398</v>
      </c>
      <c r="I55" s="70" t="s">
        <v>468</v>
      </c>
    </row>
    <row r="56" spans="1:9" x14ac:dyDescent="0.2">
      <c r="A56" s="70" t="s">
        <v>410</v>
      </c>
      <c r="B56" t="s">
        <v>612</v>
      </c>
      <c r="C56" t="s">
        <v>16</v>
      </c>
      <c r="D56" t="s">
        <v>17</v>
      </c>
      <c r="E56" t="s">
        <v>467</v>
      </c>
      <c r="F56" t="s">
        <v>444</v>
      </c>
      <c r="G56" t="s">
        <v>20</v>
      </c>
      <c r="H56" t="s">
        <v>398</v>
      </c>
      <c r="I56" s="70" t="s">
        <v>468</v>
      </c>
    </row>
    <row r="57" spans="1:9" x14ac:dyDescent="0.2">
      <c r="A57" s="70" t="s">
        <v>410</v>
      </c>
      <c r="B57" t="s">
        <v>612</v>
      </c>
      <c r="C57" t="s">
        <v>19</v>
      </c>
      <c r="D57" t="s">
        <v>342</v>
      </c>
      <c r="E57" t="s">
        <v>467</v>
      </c>
      <c r="F57" t="s">
        <v>444</v>
      </c>
      <c r="G57" t="s">
        <v>20</v>
      </c>
      <c r="H57" t="s">
        <v>398</v>
      </c>
      <c r="I57" s="70" t="s">
        <v>468</v>
      </c>
    </row>
    <row r="58" spans="1:9" x14ac:dyDescent="0.2">
      <c r="A58" s="70" t="s">
        <v>410</v>
      </c>
      <c r="B58" t="s">
        <v>615</v>
      </c>
      <c r="C58" t="s">
        <v>4</v>
      </c>
      <c r="D58" t="s">
        <v>469</v>
      </c>
      <c r="E58" t="s">
        <v>469</v>
      </c>
      <c r="F58" t="s">
        <v>444</v>
      </c>
      <c r="G58" t="s">
        <v>20</v>
      </c>
      <c r="H58" t="s">
        <v>398</v>
      </c>
      <c r="I58" s="70" t="s">
        <v>470</v>
      </c>
    </row>
    <row r="59" spans="1:9" x14ac:dyDescent="0.2">
      <c r="A59" s="70" t="s">
        <v>410</v>
      </c>
      <c r="B59" t="s">
        <v>615</v>
      </c>
      <c r="C59" t="s">
        <v>6</v>
      </c>
      <c r="D59" t="s">
        <v>470</v>
      </c>
      <c r="E59" t="s">
        <v>469</v>
      </c>
      <c r="F59" t="s">
        <v>444</v>
      </c>
      <c r="G59" t="s">
        <v>20</v>
      </c>
      <c r="H59" t="s">
        <v>398</v>
      </c>
      <c r="I59" s="70" t="s">
        <v>470</v>
      </c>
    </row>
    <row r="60" spans="1:9" x14ac:dyDescent="0.2">
      <c r="A60" s="70" t="s">
        <v>410</v>
      </c>
      <c r="B60" t="s">
        <v>615</v>
      </c>
      <c r="C60" t="s">
        <v>8</v>
      </c>
      <c r="D60">
        <v>40</v>
      </c>
      <c r="E60" t="s">
        <v>469</v>
      </c>
      <c r="F60" t="s">
        <v>444</v>
      </c>
      <c r="G60" t="s">
        <v>20</v>
      </c>
      <c r="H60" t="s">
        <v>398</v>
      </c>
      <c r="I60" s="70" t="s">
        <v>470</v>
      </c>
    </row>
    <row r="61" spans="1:9" x14ac:dyDescent="0.2">
      <c r="A61" s="70" t="s">
        <v>410</v>
      </c>
      <c r="B61" t="s">
        <v>615</v>
      </c>
      <c r="C61" t="s">
        <v>9</v>
      </c>
      <c r="D61" t="s">
        <v>201</v>
      </c>
      <c r="E61" t="s">
        <v>469</v>
      </c>
      <c r="F61" t="s">
        <v>444</v>
      </c>
      <c r="G61" t="s">
        <v>20</v>
      </c>
      <c r="H61" t="s">
        <v>398</v>
      </c>
      <c r="I61" s="70" t="s">
        <v>470</v>
      </c>
    </row>
    <row r="62" spans="1:9" x14ac:dyDescent="0.2">
      <c r="A62" s="70" t="s">
        <v>410</v>
      </c>
      <c r="B62" t="s">
        <v>615</v>
      </c>
      <c r="C62" t="s">
        <v>11</v>
      </c>
      <c r="D62">
        <v>6</v>
      </c>
      <c r="E62" t="s">
        <v>469</v>
      </c>
      <c r="F62" t="s">
        <v>444</v>
      </c>
      <c r="G62" t="s">
        <v>20</v>
      </c>
      <c r="H62" t="s">
        <v>398</v>
      </c>
      <c r="I62" s="70" t="s">
        <v>470</v>
      </c>
    </row>
    <row r="63" spans="1:9" x14ac:dyDescent="0.2">
      <c r="A63" s="70" t="s">
        <v>410</v>
      </c>
      <c r="B63" t="s">
        <v>615</v>
      </c>
      <c r="C63" t="s">
        <v>13</v>
      </c>
      <c r="E63" t="s">
        <v>469</v>
      </c>
      <c r="F63" t="s">
        <v>444</v>
      </c>
      <c r="G63" t="s">
        <v>20</v>
      </c>
      <c r="H63" t="s">
        <v>398</v>
      </c>
      <c r="I63" s="70" t="s">
        <v>470</v>
      </c>
    </row>
    <row r="64" spans="1:9" x14ac:dyDescent="0.2">
      <c r="A64" s="70" t="s">
        <v>410</v>
      </c>
      <c r="B64" t="s">
        <v>615</v>
      </c>
      <c r="C64" t="s">
        <v>16</v>
      </c>
      <c r="D64" t="s">
        <v>308</v>
      </c>
      <c r="E64" t="s">
        <v>469</v>
      </c>
      <c r="F64" t="s">
        <v>444</v>
      </c>
      <c r="G64" t="s">
        <v>20</v>
      </c>
      <c r="H64" t="s">
        <v>398</v>
      </c>
      <c r="I64" s="70" t="s">
        <v>470</v>
      </c>
    </row>
    <row r="65" spans="1:9" x14ac:dyDescent="0.2">
      <c r="A65" s="70" t="s">
        <v>410</v>
      </c>
      <c r="B65" t="s">
        <v>615</v>
      </c>
      <c r="C65" t="s">
        <v>19</v>
      </c>
      <c r="D65" t="s">
        <v>341</v>
      </c>
      <c r="E65" t="s">
        <v>469</v>
      </c>
      <c r="F65" t="s">
        <v>444</v>
      </c>
      <c r="G65" t="s">
        <v>20</v>
      </c>
      <c r="H65" t="s">
        <v>398</v>
      </c>
      <c r="I65" s="70" t="s">
        <v>470</v>
      </c>
    </row>
    <row r="66" spans="1:9" x14ac:dyDescent="0.2">
      <c r="A66" s="70" t="s">
        <v>399</v>
      </c>
      <c r="B66" t="s">
        <v>616</v>
      </c>
      <c r="C66" t="s">
        <v>4</v>
      </c>
      <c r="D66" t="s">
        <v>384</v>
      </c>
      <c r="E66" t="s">
        <v>384</v>
      </c>
      <c r="F66" t="s">
        <v>444</v>
      </c>
      <c r="G66" t="s">
        <v>20</v>
      </c>
      <c r="H66" t="s">
        <v>398</v>
      </c>
      <c r="I66" s="70" t="s">
        <v>7</v>
      </c>
    </row>
    <row r="67" spans="1:9" x14ac:dyDescent="0.2">
      <c r="A67" s="70" t="s">
        <v>399</v>
      </c>
      <c r="B67" t="s">
        <v>616</v>
      </c>
      <c r="C67" t="s">
        <v>6</v>
      </c>
      <c r="D67" t="s">
        <v>7</v>
      </c>
      <c r="E67" t="s">
        <v>384</v>
      </c>
      <c r="F67" t="s">
        <v>444</v>
      </c>
      <c r="G67" t="s">
        <v>20</v>
      </c>
      <c r="H67" t="s">
        <v>398</v>
      </c>
      <c r="I67" s="70" t="s">
        <v>7</v>
      </c>
    </row>
    <row r="68" spans="1:9" x14ac:dyDescent="0.2">
      <c r="A68" s="70" t="s">
        <v>399</v>
      </c>
      <c r="B68" t="s">
        <v>616</v>
      </c>
      <c r="C68" t="s">
        <v>8</v>
      </c>
      <c r="D68">
        <v>20</v>
      </c>
      <c r="E68" t="s">
        <v>384</v>
      </c>
      <c r="F68" t="s">
        <v>444</v>
      </c>
      <c r="G68" t="s">
        <v>20</v>
      </c>
      <c r="H68" t="s">
        <v>398</v>
      </c>
      <c r="I68" s="70" t="s">
        <v>7</v>
      </c>
    </row>
    <row r="69" spans="1:9" x14ac:dyDescent="0.2">
      <c r="A69" s="70" t="s">
        <v>399</v>
      </c>
      <c r="B69" t="s">
        <v>616</v>
      </c>
      <c r="C69" t="s">
        <v>9</v>
      </c>
      <c r="D69">
        <v>1</v>
      </c>
      <c r="E69" t="s">
        <v>384</v>
      </c>
      <c r="F69" t="s">
        <v>444</v>
      </c>
      <c r="G69" t="s">
        <v>20</v>
      </c>
      <c r="H69" t="s">
        <v>398</v>
      </c>
      <c r="I69" s="70" t="s">
        <v>7</v>
      </c>
    </row>
    <row r="70" spans="1:9" x14ac:dyDescent="0.2">
      <c r="A70" s="70" t="s">
        <v>399</v>
      </c>
      <c r="B70" t="s">
        <v>616</v>
      </c>
      <c r="C70" t="s">
        <v>11</v>
      </c>
      <c r="D70">
        <v>4</v>
      </c>
      <c r="E70" t="s">
        <v>384</v>
      </c>
      <c r="F70" t="s">
        <v>444</v>
      </c>
      <c r="G70" t="s">
        <v>20</v>
      </c>
      <c r="H70" t="s">
        <v>398</v>
      </c>
      <c r="I70" s="70" t="s">
        <v>7</v>
      </c>
    </row>
    <row r="71" spans="1:9" x14ac:dyDescent="0.2">
      <c r="A71" s="70" t="s">
        <v>399</v>
      </c>
      <c r="B71" t="s">
        <v>616</v>
      </c>
      <c r="C71" t="s">
        <v>13</v>
      </c>
      <c r="D71" t="s">
        <v>14</v>
      </c>
      <c r="E71" t="s">
        <v>384</v>
      </c>
      <c r="F71" t="s">
        <v>444</v>
      </c>
      <c r="G71" t="s">
        <v>20</v>
      </c>
      <c r="H71" t="s">
        <v>398</v>
      </c>
      <c r="I71" s="70" t="s">
        <v>7</v>
      </c>
    </row>
    <row r="72" spans="1:9" x14ac:dyDescent="0.2">
      <c r="A72" s="70" t="s">
        <v>399</v>
      </c>
      <c r="B72" t="s">
        <v>616</v>
      </c>
      <c r="C72" t="s">
        <v>16</v>
      </c>
      <c r="D72" t="s">
        <v>17</v>
      </c>
      <c r="E72" t="s">
        <v>384</v>
      </c>
      <c r="F72" t="s">
        <v>444</v>
      </c>
      <c r="G72" t="s">
        <v>20</v>
      </c>
      <c r="H72" t="s">
        <v>398</v>
      </c>
      <c r="I72" s="70" t="s">
        <v>7</v>
      </c>
    </row>
    <row r="73" spans="1:9" x14ac:dyDescent="0.2">
      <c r="A73" s="70" t="s">
        <v>399</v>
      </c>
      <c r="B73" t="s">
        <v>616</v>
      </c>
      <c r="C73" t="s">
        <v>19</v>
      </c>
      <c r="D73" t="s">
        <v>20</v>
      </c>
      <c r="E73" t="s">
        <v>384</v>
      </c>
      <c r="F73" t="s">
        <v>444</v>
      </c>
      <c r="G73" t="s">
        <v>20</v>
      </c>
      <c r="H73" t="s">
        <v>398</v>
      </c>
      <c r="I73" s="70" t="s">
        <v>7</v>
      </c>
    </row>
    <row r="74" spans="1:9" x14ac:dyDescent="0.2">
      <c r="A74" s="70" t="s">
        <v>399</v>
      </c>
      <c r="B74" t="s">
        <v>617</v>
      </c>
      <c r="C74" t="s">
        <v>4</v>
      </c>
      <c r="D74" t="s">
        <v>95</v>
      </c>
      <c r="E74" t="s">
        <v>95</v>
      </c>
      <c r="F74" t="s">
        <v>444</v>
      </c>
      <c r="G74" t="s">
        <v>20</v>
      </c>
      <c r="H74" t="s">
        <v>398</v>
      </c>
      <c r="I74" s="70" t="s">
        <v>97</v>
      </c>
    </row>
    <row r="75" spans="1:9" x14ac:dyDescent="0.2">
      <c r="A75" s="70" t="s">
        <v>399</v>
      </c>
      <c r="B75" t="s">
        <v>617</v>
      </c>
      <c r="C75" t="s">
        <v>6</v>
      </c>
      <c r="D75" t="s">
        <v>97</v>
      </c>
      <c r="E75" t="s">
        <v>95</v>
      </c>
      <c r="F75" t="s">
        <v>444</v>
      </c>
      <c r="G75" t="s">
        <v>20</v>
      </c>
      <c r="H75" t="s">
        <v>398</v>
      </c>
      <c r="I75" s="70" t="s">
        <v>97</v>
      </c>
    </row>
    <row r="76" spans="1:9" x14ac:dyDescent="0.2">
      <c r="A76" s="70" t="s">
        <v>399</v>
      </c>
      <c r="B76" t="s">
        <v>617</v>
      </c>
      <c r="C76" t="s">
        <v>8</v>
      </c>
      <c r="D76">
        <v>20</v>
      </c>
      <c r="E76" t="s">
        <v>95</v>
      </c>
      <c r="F76" t="s">
        <v>444</v>
      </c>
      <c r="G76" t="s">
        <v>20</v>
      </c>
      <c r="H76" t="s">
        <v>398</v>
      </c>
      <c r="I76" s="70" t="s">
        <v>97</v>
      </c>
    </row>
    <row r="77" spans="1:9" x14ac:dyDescent="0.2">
      <c r="A77" s="70" t="s">
        <v>399</v>
      </c>
      <c r="B77" t="s">
        <v>617</v>
      </c>
      <c r="C77" t="s">
        <v>9</v>
      </c>
      <c r="D77">
        <v>2</v>
      </c>
      <c r="E77" t="s">
        <v>95</v>
      </c>
      <c r="F77" t="s">
        <v>444</v>
      </c>
      <c r="G77" t="s">
        <v>20</v>
      </c>
      <c r="H77" t="s">
        <v>398</v>
      </c>
      <c r="I77" s="70" t="s">
        <v>97</v>
      </c>
    </row>
    <row r="78" spans="1:9" x14ac:dyDescent="0.2">
      <c r="A78" s="70" t="s">
        <v>399</v>
      </c>
      <c r="B78" t="s">
        <v>617</v>
      </c>
      <c r="C78" t="s">
        <v>11</v>
      </c>
      <c r="D78">
        <v>4</v>
      </c>
      <c r="E78" t="s">
        <v>95</v>
      </c>
      <c r="F78" t="s">
        <v>444</v>
      </c>
      <c r="G78" t="s">
        <v>20</v>
      </c>
      <c r="H78" t="s">
        <v>398</v>
      </c>
      <c r="I78" s="70" t="s">
        <v>97</v>
      </c>
    </row>
    <row r="79" spans="1:9" x14ac:dyDescent="0.2">
      <c r="A79" s="70" t="s">
        <v>399</v>
      </c>
      <c r="B79" t="s">
        <v>617</v>
      </c>
      <c r="C79" t="s">
        <v>13</v>
      </c>
      <c r="D79" t="s">
        <v>100</v>
      </c>
      <c r="E79" t="s">
        <v>95</v>
      </c>
      <c r="F79" t="s">
        <v>444</v>
      </c>
      <c r="G79" t="s">
        <v>20</v>
      </c>
      <c r="H79" t="s">
        <v>398</v>
      </c>
      <c r="I79" s="70" t="s">
        <v>97</v>
      </c>
    </row>
    <row r="80" spans="1:9" x14ac:dyDescent="0.2">
      <c r="A80" s="70" t="s">
        <v>399</v>
      </c>
      <c r="B80" t="s">
        <v>617</v>
      </c>
      <c r="C80" t="s">
        <v>16</v>
      </c>
      <c r="D80" t="s">
        <v>17</v>
      </c>
      <c r="E80" t="s">
        <v>95</v>
      </c>
      <c r="F80" t="s">
        <v>444</v>
      </c>
      <c r="G80" t="s">
        <v>20</v>
      </c>
      <c r="H80" t="s">
        <v>398</v>
      </c>
      <c r="I80" s="70" t="s">
        <v>97</v>
      </c>
    </row>
    <row r="81" spans="1:9" x14ac:dyDescent="0.2">
      <c r="A81" s="70" t="s">
        <v>399</v>
      </c>
      <c r="B81" t="s">
        <v>617</v>
      </c>
      <c r="C81" t="s">
        <v>19</v>
      </c>
      <c r="D81" t="s">
        <v>20</v>
      </c>
      <c r="E81" t="s">
        <v>95</v>
      </c>
      <c r="F81" t="s">
        <v>444</v>
      </c>
      <c r="G81" t="s">
        <v>20</v>
      </c>
      <c r="H81" t="s">
        <v>398</v>
      </c>
      <c r="I81" s="70" t="s">
        <v>97</v>
      </c>
    </row>
    <row r="82" spans="1:9" x14ac:dyDescent="0.2">
      <c r="A82" s="70" t="s">
        <v>399</v>
      </c>
      <c r="B82" t="s">
        <v>618</v>
      </c>
      <c r="C82" t="s">
        <v>4</v>
      </c>
      <c r="D82" t="s">
        <v>143</v>
      </c>
      <c r="E82" t="s">
        <v>143</v>
      </c>
      <c r="F82" t="s">
        <v>444</v>
      </c>
      <c r="G82" t="s">
        <v>20</v>
      </c>
      <c r="H82" t="s">
        <v>398</v>
      </c>
      <c r="I82" s="70" t="s">
        <v>145</v>
      </c>
    </row>
    <row r="83" spans="1:9" x14ac:dyDescent="0.2">
      <c r="A83" s="70" t="s">
        <v>399</v>
      </c>
      <c r="B83" t="s">
        <v>618</v>
      </c>
      <c r="C83" t="s">
        <v>6</v>
      </c>
      <c r="D83" t="s">
        <v>145</v>
      </c>
      <c r="E83" t="s">
        <v>143</v>
      </c>
      <c r="F83" t="s">
        <v>444</v>
      </c>
      <c r="G83" t="s">
        <v>20</v>
      </c>
      <c r="H83" t="s">
        <v>398</v>
      </c>
      <c r="I83" s="70" t="s">
        <v>145</v>
      </c>
    </row>
    <row r="84" spans="1:9" x14ac:dyDescent="0.2">
      <c r="A84" s="70" t="s">
        <v>399</v>
      </c>
      <c r="B84" t="s">
        <v>618</v>
      </c>
      <c r="C84" t="s">
        <v>8</v>
      </c>
      <c r="D84">
        <v>20</v>
      </c>
      <c r="E84" t="s">
        <v>143</v>
      </c>
      <c r="F84" t="s">
        <v>444</v>
      </c>
      <c r="G84" t="s">
        <v>20</v>
      </c>
      <c r="H84" t="s">
        <v>398</v>
      </c>
      <c r="I84" s="70" t="s">
        <v>145</v>
      </c>
    </row>
    <row r="85" spans="1:9" x14ac:dyDescent="0.2">
      <c r="A85" s="70" t="s">
        <v>399</v>
      </c>
      <c r="B85" t="s">
        <v>618</v>
      </c>
      <c r="C85" t="s">
        <v>9</v>
      </c>
      <c r="D85">
        <v>1</v>
      </c>
      <c r="E85" t="s">
        <v>143</v>
      </c>
      <c r="F85" t="s">
        <v>444</v>
      </c>
      <c r="G85" t="s">
        <v>20</v>
      </c>
      <c r="H85" t="s">
        <v>398</v>
      </c>
      <c r="I85" s="70" t="s">
        <v>145</v>
      </c>
    </row>
    <row r="86" spans="1:9" x14ac:dyDescent="0.2">
      <c r="A86" s="70" t="s">
        <v>399</v>
      </c>
      <c r="B86" t="s">
        <v>618</v>
      </c>
      <c r="C86" t="s">
        <v>11</v>
      </c>
      <c r="D86">
        <v>5</v>
      </c>
      <c r="E86" t="s">
        <v>143</v>
      </c>
      <c r="F86" t="s">
        <v>444</v>
      </c>
      <c r="G86" t="s">
        <v>20</v>
      </c>
      <c r="H86" t="s">
        <v>398</v>
      </c>
      <c r="I86" s="70" t="s">
        <v>145</v>
      </c>
    </row>
    <row r="87" spans="1:9" x14ac:dyDescent="0.2">
      <c r="A87" s="70" t="s">
        <v>399</v>
      </c>
      <c r="B87" t="s">
        <v>618</v>
      </c>
      <c r="C87" t="s">
        <v>13</v>
      </c>
      <c r="D87" t="s">
        <v>148</v>
      </c>
      <c r="E87" t="s">
        <v>143</v>
      </c>
      <c r="F87" t="s">
        <v>444</v>
      </c>
      <c r="G87" t="s">
        <v>20</v>
      </c>
      <c r="H87" t="s">
        <v>398</v>
      </c>
      <c r="I87" s="70" t="s">
        <v>145</v>
      </c>
    </row>
    <row r="88" spans="1:9" x14ac:dyDescent="0.2">
      <c r="A88" s="70" t="s">
        <v>399</v>
      </c>
      <c r="B88" t="s">
        <v>618</v>
      </c>
      <c r="C88" t="s">
        <v>16</v>
      </c>
      <c r="D88" t="s">
        <v>17</v>
      </c>
      <c r="E88" t="s">
        <v>143</v>
      </c>
      <c r="F88" t="s">
        <v>444</v>
      </c>
      <c r="G88" t="s">
        <v>20</v>
      </c>
      <c r="H88" t="s">
        <v>398</v>
      </c>
      <c r="I88" s="70" t="s">
        <v>145</v>
      </c>
    </row>
    <row r="89" spans="1:9" x14ac:dyDescent="0.2">
      <c r="A89" s="70" t="s">
        <v>399</v>
      </c>
      <c r="B89" t="s">
        <v>618</v>
      </c>
      <c r="C89" t="s">
        <v>19</v>
      </c>
      <c r="D89" t="s">
        <v>20</v>
      </c>
      <c r="E89" t="s">
        <v>143</v>
      </c>
      <c r="F89" t="s">
        <v>444</v>
      </c>
      <c r="G89" t="s">
        <v>20</v>
      </c>
      <c r="H89" t="s">
        <v>398</v>
      </c>
      <c r="I89" s="70" t="s">
        <v>145</v>
      </c>
    </row>
    <row r="90" spans="1:9" x14ac:dyDescent="0.2">
      <c r="A90" s="70" t="s">
        <v>399</v>
      </c>
      <c r="B90" t="s">
        <v>619</v>
      </c>
      <c r="C90" t="s">
        <v>4</v>
      </c>
      <c r="D90" t="s">
        <v>385</v>
      </c>
      <c r="E90" t="s">
        <v>385</v>
      </c>
      <c r="F90" t="s">
        <v>444</v>
      </c>
      <c r="G90" t="s">
        <v>20</v>
      </c>
      <c r="H90" t="s">
        <v>398</v>
      </c>
      <c r="I90" s="70" t="s">
        <v>386</v>
      </c>
    </row>
    <row r="91" spans="1:9" x14ac:dyDescent="0.2">
      <c r="A91" s="70" t="s">
        <v>399</v>
      </c>
      <c r="B91" t="s">
        <v>619</v>
      </c>
      <c r="C91" t="s">
        <v>6</v>
      </c>
      <c r="D91" t="s">
        <v>386</v>
      </c>
      <c r="E91" t="s">
        <v>385</v>
      </c>
      <c r="F91" t="s">
        <v>444</v>
      </c>
      <c r="G91" t="s">
        <v>20</v>
      </c>
      <c r="H91" t="s">
        <v>398</v>
      </c>
      <c r="I91" s="70" t="s">
        <v>386</v>
      </c>
    </row>
    <row r="92" spans="1:9" x14ac:dyDescent="0.2">
      <c r="A92" s="70" t="s">
        <v>399</v>
      </c>
      <c r="B92" t="s">
        <v>619</v>
      </c>
      <c r="C92" t="s">
        <v>8</v>
      </c>
      <c r="E92" t="s">
        <v>385</v>
      </c>
      <c r="F92" t="s">
        <v>444</v>
      </c>
      <c r="G92" t="s">
        <v>20</v>
      </c>
      <c r="H92" t="s">
        <v>398</v>
      </c>
      <c r="I92" s="70" t="s">
        <v>386</v>
      </c>
    </row>
    <row r="93" spans="1:9" x14ac:dyDescent="0.2">
      <c r="A93" s="70" t="s">
        <v>399</v>
      </c>
      <c r="B93" t="s">
        <v>619</v>
      </c>
      <c r="C93" t="s">
        <v>9</v>
      </c>
      <c r="E93" t="s">
        <v>385</v>
      </c>
      <c r="F93" t="s">
        <v>444</v>
      </c>
      <c r="G93" t="s">
        <v>20</v>
      </c>
      <c r="H93" t="s">
        <v>398</v>
      </c>
      <c r="I93" s="70" t="s">
        <v>386</v>
      </c>
    </row>
    <row r="94" spans="1:9" x14ac:dyDescent="0.2">
      <c r="A94" s="70" t="s">
        <v>399</v>
      </c>
      <c r="B94" t="s">
        <v>619</v>
      </c>
      <c r="C94" t="s">
        <v>11</v>
      </c>
      <c r="E94" t="s">
        <v>385</v>
      </c>
      <c r="F94" t="s">
        <v>444</v>
      </c>
      <c r="G94" t="s">
        <v>20</v>
      </c>
      <c r="H94" t="s">
        <v>398</v>
      </c>
      <c r="I94" s="70" t="s">
        <v>386</v>
      </c>
    </row>
    <row r="95" spans="1:9" x14ac:dyDescent="0.2">
      <c r="A95" s="70" t="s">
        <v>399</v>
      </c>
      <c r="B95" t="s">
        <v>619</v>
      </c>
      <c r="C95" t="s">
        <v>13</v>
      </c>
      <c r="E95" t="s">
        <v>385</v>
      </c>
      <c r="F95" t="s">
        <v>444</v>
      </c>
      <c r="G95" t="s">
        <v>20</v>
      </c>
      <c r="H95" t="s">
        <v>398</v>
      </c>
      <c r="I95" s="70" t="s">
        <v>386</v>
      </c>
    </row>
    <row r="96" spans="1:9" x14ac:dyDescent="0.2">
      <c r="A96" s="70" t="s">
        <v>399</v>
      </c>
      <c r="B96" t="s">
        <v>619</v>
      </c>
      <c r="C96" t="s">
        <v>16</v>
      </c>
      <c r="E96" t="s">
        <v>385</v>
      </c>
      <c r="F96" t="s">
        <v>444</v>
      </c>
      <c r="G96" t="s">
        <v>20</v>
      </c>
      <c r="H96" t="s">
        <v>398</v>
      </c>
      <c r="I96" s="70" t="s">
        <v>386</v>
      </c>
    </row>
    <row r="97" spans="1:9" x14ac:dyDescent="0.2">
      <c r="A97" s="70" t="s">
        <v>399</v>
      </c>
      <c r="B97" t="s">
        <v>619</v>
      </c>
      <c r="C97" t="s">
        <v>19</v>
      </c>
      <c r="E97" t="s">
        <v>385</v>
      </c>
      <c r="F97" t="s">
        <v>444</v>
      </c>
      <c r="G97" t="s">
        <v>20</v>
      </c>
      <c r="H97" t="s">
        <v>398</v>
      </c>
      <c r="I97" s="70" t="s">
        <v>386</v>
      </c>
    </row>
    <row r="98" spans="1:9" x14ac:dyDescent="0.2">
      <c r="A98" s="70" t="s">
        <v>399</v>
      </c>
      <c r="B98" t="s">
        <v>620</v>
      </c>
      <c r="C98" t="s">
        <v>4</v>
      </c>
      <c r="D98" t="s">
        <v>216</v>
      </c>
      <c r="E98" t="s">
        <v>216</v>
      </c>
      <c r="F98" t="s">
        <v>444</v>
      </c>
      <c r="G98" t="s">
        <v>20</v>
      </c>
      <c r="H98" t="s">
        <v>398</v>
      </c>
      <c r="I98" s="70" t="s">
        <v>218</v>
      </c>
    </row>
    <row r="99" spans="1:9" x14ac:dyDescent="0.2">
      <c r="A99" s="70" t="s">
        <v>399</v>
      </c>
      <c r="B99" t="s">
        <v>620</v>
      </c>
      <c r="C99" t="s">
        <v>6</v>
      </c>
      <c r="D99" t="s">
        <v>218</v>
      </c>
      <c r="E99" t="s">
        <v>216</v>
      </c>
      <c r="F99" t="s">
        <v>444</v>
      </c>
      <c r="G99" t="s">
        <v>20</v>
      </c>
      <c r="H99" t="s">
        <v>398</v>
      </c>
      <c r="I99" s="70" t="s">
        <v>218</v>
      </c>
    </row>
    <row r="100" spans="1:9" x14ac:dyDescent="0.2">
      <c r="A100" s="70" t="s">
        <v>399</v>
      </c>
      <c r="B100" t="s">
        <v>620</v>
      </c>
      <c r="C100" t="s">
        <v>8</v>
      </c>
      <c r="D100">
        <v>20</v>
      </c>
      <c r="E100" t="s">
        <v>216</v>
      </c>
      <c r="F100" t="s">
        <v>444</v>
      </c>
      <c r="G100" t="s">
        <v>20</v>
      </c>
      <c r="H100" t="s">
        <v>398</v>
      </c>
      <c r="I100" s="70" t="s">
        <v>218</v>
      </c>
    </row>
    <row r="101" spans="1:9" x14ac:dyDescent="0.2">
      <c r="A101" s="70" t="s">
        <v>399</v>
      </c>
      <c r="B101" t="s">
        <v>620</v>
      </c>
      <c r="C101" t="s">
        <v>9</v>
      </c>
      <c r="D101">
        <v>1</v>
      </c>
      <c r="E101" t="s">
        <v>216</v>
      </c>
      <c r="F101" t="s">
        <v>444</v>
      </c>
      <c r="G101" t="s">
        <v>20</v>
      </c>
      <c r="H101" t="s">
        <v>398</v>
      </c>
      <c r="I101" s="70" t="s">
        <v>218</v>
      </c>
    </row>
    <row r="102" spans="1:9" x14ac:dyDescent="0.2">
      <c r="A102" s="70" t="s">
        <v>399</v>
      </c>
      <c r="B102" t="s">
        <v>620</v>
      </c>
      <c r="C102" t="s">
        <v>11</v>
      </c>
      <c r="D102">
        <v>6</v>
      </c>
      <c r="E102" t="s">
        <v>216</v>
      </c>
      <c r="F102" t="s">
        <v>444</v>
      </c>
      <c r="G102" t="s">
        <v>20</v>
      </c>
      <c r="H102" t="s">
        <v>398</v>
      </c>
      <c r="I102" s="70" t="s">
        <v>218</v>
      </c>
    </row>
    <row r="103" spans="1:9" x14ac:dyDescent="0.2">
      <c r="A103" s="70" t="s">
        <v>399</v>
      </c>
      <c r="B103" t="s">
        <v>620</v>
      </c>
      <c r="C103" t="s">
        <v>13</v>
      </c>
      <c r="D103" t="s">
        <v>221</v>
      </c>
      <c r="E103" t="s">
        <v>216</v>
      </c>
      <c r="F103" t="s">
        <v>444</v>
      </c>
      <c r="G103" t="s">
        <v>20</v>
      </c>
      <c r="H103" t="s">
        <v>398</v>
      </c>
      <c r="I103" s="70" t="s">
        <v>218</v>
      </c>
    </row>
    <row r="104" spans="1:9" x14ac:dyDescent="0.2">
      <c r="A104" s="70" t="s">
        <v>399</v>
      </c>
      <c r="B104" t="s">
        <v>620</v>
      </c>
      <c r="C104" t="s">
        <v>16</v>
      </c>
      <c r="D104" t="s">
        <v>17</v>
      </c>
      <c r="E104" t="s">
        <v>216</v>
      </c>
      <c r="F104" t="s">
        <v>444</v>
      </c>
      <c r="G104" t="s">
        <v>20</v>
      </c>
      <c r="H104" t="s">
        <v>398</v>
      </c>
      <c r="I104" s="70" t="s">
        <v>218</v>
      </c>
    </row>
    <row r="105" spans="1:9" x14ac:dyDescent="0.2">
      <c r="A105" s="70" t="s">
        <v>399</v>
      </c>
      <c r="B105" t="s">
        <v>620</v>
      </c>
      <c r="C105" t="s">
        <v>19</v>
      </c>
      <c r="D105" t="s">
        <v>20</v>
      </c>
      <c r="E105" t="s">
        <v>216</v>
      </c>
      <c r="F105" t="s">
        <v>444</v>
      </c>
      <c r="G105" t="s">
        <v>20</v>
      </c>
      <c r="H105" t="s">
        <v>398</v>
      </c>
      <c r="I105" s="70" t="s">
        <v>218</v>
      </c>
    </row>
    <row r="106" spans="1:9" x14ac:dyDescent="0.2">
      <c r="A106" s="70" t="s">
        <v>399</v>
      </c>
      <c r="B106" t="s">
        <v>621</v>
      </c>
      <c r="C106" t="s">
        <v>4</v>
      </c>
      <c r="D106" t="s">
        <v>387</v>
      </c>
      <c r="E106" t="s">
        <v>387</v>
      </c>
      <c r="F106" t="s">
        <v>444</v>
      </c>
      <c r="G106" t="s">
        <v>20</v>
      </c>
      <c r="H106" t="s">
        <v>398</v>
      </c>
      <c r="I106" s="70" t="s">
        <v>388</v>
      </c>
    </row>
    <row r="107" spans="1:9" x14ac:dyDescent="0.2">
      <c r="A107" s="70" t="s">
        <v>399</v>
      </c>
      <c r="B107" t="s">
        <v>621</v>
      </c>
      <c r="C107" t="s">
        <v>6</v>
      </c>
      <c r="D107" t="s">
        <v>388</v>
      </c>
      <c r="E107" t="s">
        <v>387</v>
      </c>
      <c r="F107" t="s">
        <v>444</v>
      </c>
      <c r="G107" t="s">
        <v>20</v>
      </c>
      <c r="H107" t="s">
        <v>398</v>
      </c>
      <c r="I107" s="70" t="s">
        <v>388</v>
      </c>
    </row>
    <row r="108" spans="1:9" x14ac:dyDescent="0.2">
      <c r="A108" s="70" t="s">
        <v>399</v>
      </c>
      <c r="B108" t="s">
        <v>621</v>
      </c>
      <c r="C108" t="s">
        <v>8</v>
      </c>
      <c r="D108">
        <v>20</v>
      </c>
      <c r="E108" t="s">
        <v>387</v>
      </c>
      <c r="F108" t="s">
        <v>444</v>
      </c>
      <c r="G108" t="s">
        <v>20</v>
      </c>
      <c r="H108" t="s">
        <v>398</v>
      </c>
      <c r="I108" s="70" t="s">
        <v>388</v>
      </c>
    </row>
    <row r="109" spans="1:9" x14ac:dyDescent="0.2">
      <c r="A109" s="70" t="s">
        <v>399</v>
      </c>
      <c r="B109" t="s">
        <v>621</v>
      </c>
      <c r="C109" t="s">
        <v>9</v>
      </c>
      <c r="D109">
        <v>2</v>
      </c>
      <c r="E109" t="s">
        <v>387</v>
      </c>
      <c r="F109" t="s">
        <v>444</v>
      </c>
      <c r="G109" t="s">
        <v>20</v>
      </c>
      <c r="H109" t="s">
        <v>398</v>
      </c>
      <c r="I109" s="70" t="s">
        <v>388</v>
      </c>
    </row>
    <row r="110" spans="1:9" x14ac:dyDescent="0.2">
      <c r="A110" s="70" t="s">
        <v>399</v>
      </c>
      <c r="B110" t="s">
        <v>621</v>
      </c>
      <c r="C110" t="s">
        <v>11</v>
      </c>
      <c r="D110">
        <v>6</v>
      </c>
      <c r="E110" t="s">
        <v>387</v>
      </c>
      <c r="F110" t="s">
        <v>444</v>
      </c>
      <c r="G110" t="s">
        <v>20</v>
      </c>
      <c r="H110" t="s">
        <v>398</v>
      </c>
      <c r="I110" s="70" t="s">
        <v>388</v>
      </c>
    </row>
    <row r="111" spans="1:9" x14ac:dyDescent="0.2">
      <c r="A111" s="70" t="s">
        <v>399</v>
      </c>
      <c r="B111" t="s">
        <v>621</v>
      </c>
      <c r="C111" t="s">
        <v>13</v>
      </c>
      <c r="D111" t="s">
        <v>282</v>
      </c>
      <c r="E111" t="s">
        <v>387</v>
      </c>
      <c r="F111" t="s">
        <v>444</v>
      </c>
      <c r="G111" t="s">
        <v>20</v>
      </c>
      <c r="H111" t="s">
        <v>398</v>
      </c>
      <c r="I111" s="70" t="s">
        <v>388</v>
      </c>
    </row>
    <row r="112" spans="1:9" x14ac:dyDescent="0.2">
      <c r="A112" s="70" t="s">
        <v>399</v>
      </c>
      <c r="B112" t="s">
        <v>621</v>
      </c>
      <c r="C112" t="s">
        <v>16</v>
      </c>
      <c r="D112" t="s">
        <v>17</v>
      </c>
      <c r="E112" t="s">
        <v>387</v>
      </c>
      <c r="F112" t="s">
        <v>444</v>
      </c>
      <c r="G112" t="s">
        <v>20</v>
      </c>
      <c r="H112" t="s">
        <v>398</v>
      </c>
      <c r="I112" s="70" t="s">
        <v>388</v>
      </c>
    </row>
    <row r="113" spans="1:9" x14ac:dyDescent="0.2">
      <c r="A113" s="70" t="s">
        <v>399</v>
      </c>
      <c r="B113" t="s">
        <v>621</v>
      </c>
      <c r="C113" t="s">
        <v>19</v>
      </c>
      <c r="D113" t="s">
        <v>20</v>
      </c>
      <c r="E113" t="s">
        <v>387</v>
      </c>
      <c r="F113" t="s">
        <v>444</v>
      </c>
      <c r="G113" t="s">
        <v>20</v>
      </c>
      <c r="H113" t="s">
        <v>398</v>
      </c>
      <c r="I113" s="70" t="s">
        <v>388</v>
      </c>
    </row>
    <row r="114" spans="1:9" x14ac:dyDescent="0.2">
      <c r="A114" s="70" t="s">
        <v>399</v>
      </c>
      <c r="B114" t="s">
        <v>622</v>
      </c>
      <c r="C114" t="s">
        <v>4</v>
      </c>
      <c r="D114">
        <v>6303</v>
      </c>
      <c r="E114" t="s">
        <v>454</v>
      </c>
      <c r="F114" t="s">
        <v>444</v>
      </c>
      <c r="G114" t="s">
        <v>20</v>
      </c>
      <c r="H114" t="s">
        <v>398</v>
      </c>
      <c r="I114" s="70" t="s">
        <v>259</v>
      </c>
    </row>
    <row r="115" spans="1:9" x14ac:dyDescent="0.2">
      <c r="A115" s="70" t="s">
        <v>399</v>
      </c>
      <c r="B115" t="s">
        <v>622</v>
      </c>
      <c r="C115" t="s">
        <v>6</v>
      </c>
      <c r="D115" t="s">
        <v>259</v>
      </c>
      <c r="E115" t="s">
        <v>454</v>
      </c>
      <c r="F115" t="s">
        <v>444</v>
      </c>
      <c r="G115" t="s">
        <v>20</v>
      </c>
      <c r="H115" t="s">
        <v>398</v>
      </c>
      <c r="I115" s="70" t="s">
        <v>259</v>
      </c>
    </row>
    <row r="116" spans="1:9" x14ac:dyDescent="0.2">
      <c r="A116" s="70" t="s">
        <v>399</v>
      </c>
      <c r="B116" t="s">
        <v>622</v>
      </c>
      <c r="C116" t="s">
        <v>8</v>
      </c>
      <c r="D116">
        <v>20</v>
      </c>
      <c r="E116" t="s">
        <v>454</v>
      </c>
      <c r="F116" t="s">
        <v>444</v>
      </c>
      <c r="G116" t="s">
        <v>20</v>
      </c>
      <c r="H116" t="s">
        <v>398</v>
      </c>
      <c r="I116" s="70" t="s">
        <v>259</v>
      </c>
    </row>
    <row r="117" spans="1:9" x14ac:dyDescent="0.2">
      <c r="A117" s="70" t="s">
        <v>399</v>
      </c>
      <c r="B117" t="s">
        <v>622</v>
      </c>
      <c r="C117" t="s">
        <v>9</v>
      </c>
      <c r="D117">
        <v>1</v>
      </c>
      <c r="E117" t="s">
        <v>454</v>
      </c>
      <c r="F117" t="s">
        <v>444</v>
      </c>
      <c r="G117" t="s">
        <v>20</v>
      </c>
      <c r="H117" t="s">
        <v>398</v>
      </c>
      <c r="I117" s="70" t="s">
        <v>259</v>
      </c>
    </row>
    <row r="118" spans="1:9" x14ac:dyDescent="0.2">
      <c r="A118" s="70" t="s">
        <v>399</v>
      </c>
      <c r="B118" t="s">
        <v>622</v>
      </c>
      <c r="C118" t="s">
        <v>11</v>
      </c>
      <c r="D118">
        <v>6</v>
      </c>
      <c r="E118" t="s">
        <v>454</v>
      </c>
      <c r="F118" t="s">
        <v>444</v>
      </c>
      <c r="G118" t="s">
        <v>20</v>
      </c>
      <c r="H118" t="s">
        <v>398</v>
      </c>
      <c r="I118" s="70" t="s">
        <v>259</v>
      </c>
    </row>
    <row r="119" spans="1:9" x14ac:dyDescent="0.2">
      <c r="A119" s="70" t="s">
        <v>399</v>
      </c>
      <c r="B119" t="s">
        <v>622</v>
      </c>
      <c r="C119" t="s">
        <v>13</v>
      </c>
      <c r="D119" t="s">
        <v>262</v>
      </c>
      <c r="E119" t="s">
        <v>454</v>
      </c>
      <c r="F119" t="s">
        <v>444</v>
      </c>
      <c r="G119" t="s">
        <v>20</v>
      </c>
      <c r="H119" t="s">
        <v>398</v>
      </c>
      <c r="I119" s="70" t="s">
        <v>259</v>
      </c>
    </row>
    <row r="120" spans="1:9" x14ac:dyDescent="0.2">
      <c r="A120" s="70" t="s">
        <v>399</v>
      </c>
      <c r="B120" t="s">
        <v>622</v>
      </c>
      <c r="C120" t="s">
        <v>16</v>
      </c>
      <c r="D120" t="s">
        <v>17</v>
      </c>
      <c r="E120" t="s">
        <v>454</v>
      </c>
      <c r="F120" t="s">
        <v>444</v>
      </c>
      <c r="G120" t="s">
        <v>20</v>
      </c>
      <c r="H120" t="s">
        <v>398</v>
      </c>
      <c r="I120" s="70" t="s">
        <v>259</v>
      </c>
    </row>
    <row r="121" spans="1:9" x14ac:dyDescent="0.2">
      <c r="A121" s="70" t="s">
        <v>399</v>
      </c>
      <c r="B121" t="s">
        <v>622</v>
      </c>
      <c r="C121" t="s">
        <v>19</v>
      </c>
      <c r="D121" t="s">
        <v>20</v>
      </c>
      <c r="E121" t="s">
        <v>454</v>
      </c>
      <c r="F121" t="s">
        <v>444</v>
      </c>
      <c r="G121" t="s">
        <v>20</v>
      </c>
      <c r="H121" t="s">
        <v>398</v>
      </c>
      <c r="I121" s="70" t="s">
        <v>259</v>
      </c>
    </row>
    <row r="122" spans="1:9" x14ac:dyDescent="0.2">
      <c r="A122" s="70" t="s">
        <v>399</v>
      </c>
      <c r="B122" t="s">
        <v>623</v>
      </c>
      <c r="C122" t="s">
        <v>4</v>
      </c>
      <c r="D122" t="s">
        <v>389</v>
      </c>
      <c r="E122" t="s">
        <v>389</v>
      </c>
      <c r="F122" t="s">
        <v>444</v>
      </c>
      <c r="G122" t="s">
        <v>20</v>
      </c>
      <c r="H122" t="s">
        <v>398</v>
      </c>
      <c r="I122" s="70" t="s">
        <v>197</v>
      </c>
    </row>
    <row r="123" spans="1:9" x14ac:dyDescent="0.2">
      <c r="A123" s="70" t="s">
        <v>399</v>
      </c>
      <c r="B123" t="s">
        <v>623</v>
      </c>
      <c r="C123" t="s">
        <v>6</v>
      </c>
      <c r="D123" t="s">
        <v>197</v>
      </c>
      <c r="E123" t="s">
        <v>389</v>
      </c>
      <c r="F123" t="s">
        <v>444</v>
      </c>
      <c r="G123" t="s">
        <v>20</v>
      </c>
      <c r="H123" t="s">
        <v>398</v>
      </c>
      <c r="I123" s="70" t="s">
        <v>197</v>
      </c>
    </row>
    <row r="124" spans="1:9" x14ac:dyDescent="0.2">
      <c r="A124" s="70" t="s">
        <v>399</v>
      </c>
      <c r="B124" t="s">
        <v>623</v>
      </c>
      <c r="C124" t="s">
        <v>8</v>
      </c>
      <c r="D124">
        <v>20</v>
      </c>
      <c r="E124" t="s">
        <v>389</v>
      </c>
      <c r="F124" t="s">
        <v>444</v>
      </c>
      <c r="G124" t="s">
        <v>20</v>
      </c>
      <c r="H124" t="s">
        <v>398</v>
      </c>
      <c r="I124" s="70" t="s">
        <v>197</v>
      </c>
    </row>
    <row r="125" spans="1:9" x14ac:dyDescent="0.2">
      <c r="A125" s="70" t="s">
        <v>399</v>
      </c>
      <c r="B125" t="s">
        <v>623</v>
      </c>
      <c r="C125" t="s">
        <v>9</v>
      </c>
      <c r="D125" t="s">
        <v>201</v>
      </c>
      <c r="E125" t="s">
        <v>389</v>
      </c>
      <c r="F125" t="s">
        <v>444</v>
      </c>
      <c r="G125" t="s">
        <v>20</v>
      </c>
      <c r="H125" t="s">
        <v>398</v>
      </c>
      <c r="I125" s="70" t="s">
        <v>197</v>
      </c>
    </row>
    <row r="126" spans="1:9" x14ac:dyDescent="0.2">
      <c r="A126" s="70" t="s">
        <v>399</v>
      </c>
      <c r="B126" t="s">
        <v>623</v>
      </c>
      <c r="C126" t="s">
        <v>11</v>
      </c>
      <c r="D126">
        <v>6</v>
      </c>
      <c r="E126" t="s">
        <v>389</v>
      </c>
      <c r="F126" t="s">
        <v>444</v>
      </c>
      <c r="G126" t="s">
        <v>20</v>
      </c>
      <c r="H126" t="s">
        <v>398</v>
      </c>
      <c r="I126" s="70" t="s">
        <v>197</v>
      </c>
    </row>
    <row r="127" spans="1:9" x14ac:dyDescent="0.2">
      <c r="A127" s="70" t="s">
        <v>399</v>
      </c>
      <c r="B127" t="s">
        <v>623</v>
      </c>
      <c r="C127" t="s">
        <v>13</v>
      </c>
      <c r="D127" t="s">
        <v>204</v>
      </c>
      <c r="E127" t="s">
        <v>389</v>
      </c>
      <c r="F127" t="s">
        <v>444</v>
      </c>
      <c r="G127" t="s">
        <v>20</v>
      </c>
      <c r="H127" t="s">
        <v>398</v>
      </c>
      <c r="I127" s="70" t="s">
        <v>197</v>
      </c>
    </row>
    <row r="128" spans="1:9" x14ac:dyDescent="0.2">
      <c r="A128" s="70" t="s">
        <v>399</v>
      </c>
      <c r="B128" t="s">
        <v>623</v>
      </c>
      <c r="C128" t="s">
        <v>16</v>
      </c>
      <c r="D128" t="s">
        <v>205</v>
      </c>
      <c r="E128" t="s">
        <v>389</v>
      </c>
      <c r="F128" t="s">
        <v>444</v>
      </c>
      <c r="G128" t="s">
        <v>20</v>
      </c>
      <c r="H128" t="s">
        <v>398</v>
      </c>
      <c r="I128" s="70" t="s">
        <v>197</v>
      </c>
    </row>
    <row r="129" spans="1:9" x14ac:dyDescent="0.2">
      <c r="A129" s="70" t="s">
        <v>399</v>
      </c>
      <c r="B129" t="s">
        <v>623</v>
      </c>
      <c r="C129" t="s">
        <v>19</v>
      </c>
      <c r="D129" t="s">
        <v>20</v>
      </c>
      <c r="E129" t="s">
        <v>389</v>
      </c>
      <c r="F129" t="s">
        <v>444</v>
      </c>
      <c r="G129" t="s">
        <v>20</v>
      </c>
      <c r="H129" t="s">
        <v>398</v>
      </c>
      <c r="I129" s="70" t="s">
        <v>197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336F6-48F9-DF49-81BD-4483BB9F774D}">
  <dimension ref="A1:P17"/>
  <sheetViews>
    <sheetView workbookViewId="0">
      <selection activeCell="I21" sqref="I21"/>
    </sheetView>
  </sheetViews>
  <sheetFormatPr baseColWidth="10" defaultRowHeight="15" x14ac:dyDescent="0.2"/>
  <cols>
    <col min="1" max="1" width="41" bestFit="1" customWidth="1"/>
    <col min="2" max="2" width="12.5" bestFit="1" customWidth="1"/>
    <col min="3" max="3" width="13.6640625" bestFit="1" customWidth="1"/>
    <col min="4" max="4" width="11.6640625" bestFit="1" customWidth="1"/>
    <col min="5" max="5" width="13.33203125" bestFit="1" customWidth="1"/>
    <col min="6" max="6" width="11.33203125" bestFit="1" customWidth="1"/>
    <col min="7" max="7" width="37.5" bestFit="1" customWidth="1"/>
    <col min="8" max="8" width="14" bestFit="1" customWidth="1"/>
    <col min="9" max="9" width="37.5" bestFit="1" customWidth="1"/>
    <col min="10" max="10" width="9.5" bestFit="1" customWidth="1"/>
    <col min="11" max="11" width="11.33203125" bestFit="1" customWidth="1"/>
    <col min="12" max="12" width="7.83203125" bestFit="1" customWidth="1"/>
    <col min="13" max="13" width="16.5" bestFit="1" customWidth="1"/>
    <col min="14" max="14" width="15.33203125" bestFit="1" customWidth="1"/>
    <col min="15" max="15" width="14.83203125" bestFit="1" customWidth="1"/>
    <col min="16" max="16" width="19.1640625" bestFit="1" customWidth="1"/>
  </cols>
  <sheetData>
    <row r="1" spans="1:16" x14ac:dyDescent="0.2">
      <c r="A1" t="s">
        <v>598</v>
      </c>
      <c r="B1" t="s">
        <v>397</v>
      </c>
      <c r="C1" t="s">
        <v>452</v>
      </c>
      <c r="D1" t="s">
        <v>599</v>
      </c>
      <c r="E1" t="s">
        <v>390</v>
      </c>
      <c r="F1" t="s">
        <v>451</v>
      </c>
      <c r="G1" t="s">
        <v>453</v>
      </c>
      <c r="H1" t="s">
        <v>4</v>
      </c>
      <c r="I1" t="s">
        <v>6</v>
      </c>
      <c r="J1" t="s">
        <v>8</v>
      </c>
      <c r="K1" t="s">
        <v>9</v>
      </c>
      <c r="L1" t="s">
        <v>11</v>
      </c>
      <c r="M1" t="s">
        <v>13</v>
      </c>
      <c r="N1" t="s">
        <v>16</v>
      </c>
      <c r="O1" t="s">
        <v>19</v>
      </c>
      <c r="P1" t="s">
        <v>1443</v>
      </c>
    </row>
    <row r="2" spans="1:16" x14ac:dyDescent="0.2">
      <c r="A2" s="70" t="s">
        <v>399</v>
      </c>
      <c r="B2" t="s">
        <v>616</v>
      </c>
      <c r="C2" t="s">
        <v>384</v>
      </c>
      <c r="D2" t="s">
        <v>444</v>
      </c>
      <c r="E2" t="s">
        <v>20</v>
      </c>
      <c r="F2" t="s">
        <v>398</v>
      </c>
      <c r="G2" s="70" t="s">
        <v>7</v>
      </c>
      <c r="H2" t="s">
        <v>384</v>
      </c>
      <c r="I2" t="s">
        <v>7</v>
      </c>
      <c r="J2">
        <v>20</v>
      </c>
      <c r="K2">
        <v>1</v>
      </c>
      <c r="L2">
        <v>4</v>
      </c>
      <c r="M2" t="s">
        <v>14</v>
      </c>
      <c r="N2" t="s">
        <v>17</v>
      </c>
      <c r="O2" t="s">
        <v>20</v>
      </c>
      <c r="P2">
        <v>49</v>
      </c>
    </row>
    <row r="3" spans="1:16" x14ac:dyDescent="0.2">
      <c r="A3" s="70" t="s">
        <v>399</v>
      </c>
      <c r="B3" t="s">
        <v>617</v>
      </c>
      <c r="C3" t="s">
        <v>95</v>
      </c>
      <c r="D3" t="s">
        <v>444</v>
      </c>
      <c r="E3" t="s">
        <v>20</v>
      </c>
      <c r="F3" t="s">
        <v>398</v>
      </c>
      <c r="G3" s="70" t="s">
        <v>97</v>
      </c>
      <c r="H3" t="s">
        <v>95</v>
      </c>
      <c r="I3" t="s">
        <v>97</v>
      </c>
      <c r="J3">
        <v>20</v>
      </c>
      <c r="K3">
        <v>2</v>
      </c>
      <c r="L3">
        <v>4</v>
      </c>
      <c r="M3" t="s">
        <v>100</v>
      </c>
      <c r="N3" t="s">
        <v>17</v>
      </c>
      <c r="O3" t="s">
        <v>20</v>
      </c>
      <c r="P3">
        <v>48</v>
      </c>
    </row>
    <row r="4" spans="1:16" x14ac:dyDescent="0.2">
      <c r="A4" s="70" t="s">
        <v>399</v>
      </c>
      <c r="B4" t="s">
        <v>618</v>
      </c>
      <c r="C4" t="s">
        <v>143</v>
      </c>
      <c r="D4" t="s">
        <v>444</v>
      </c>
      <c r="E4" t="s">
        <v>20</v>
      </c>
      <c r="F4" t="s">
        <v>398</v>
      </c>
      <c r="G4" s="70" t="s">
        <v>145</v>
      </c>
      <c r="H4" t="s">
        <v>143</v>
      </c>
      <c r="I4" t="s">
        <v>145</v>
      </c>
      <c r="J4">
        <v>20</v>
      </c>
      <c r="K4">
        <v>1</v>
      </c>
      <c r="L4">
        <v>5</v>
      </c>
      <c r="M4" t="s">
        <v>148</v>
      </c>
      <c r="N4" t="s">
        <v>17</v>
      </c>
      <c r="O4" t="s">
        <v>20</v>
      </c>
      <c r="P4">
        <v>48</v>
      </c>
    </row>
    <row r="5" spans="1:16" x14ac:dyDescent="0.2">
      <c r="A5" s="70" t="s">
        <v>399</v>
      </c>
      <c r="B5" t="s">
        <v>619</v>
      </c>
      <c r="C5" t="s">
        <v>385</v>
      </c>
      <c r="D5" t="s">
        <v>444</v>
      </c>
      <c r="E5" t="s">
        <v>20</v>
      </c>
      <c r="F5" t="s">
        <v>398</v>
      </c>
      <c r="G5" s="70" t="s">
        <v>386</v>
      </c>
      <c r="H5" t="s">
        <v>385</v>
      </c>
      <c r="I5" t="s">
        <v>386</v>
      </c>
      <c r="P5">
        <v>0</v>
      </c>
    </row>
    <row r="6" spans="1:16" x14ac:dyDescent="0.2">
      <c r="A6" s="70" t="s">
        <v>399</v>
      </c>
      <c r="B6" t="s">
        <v>620</v>
      </c>
      <c r="C6" t="s">
        <v>216</v>
      </c>
      <c r="D6" t="s">
        <v>444</v>
      </c>
      <c r="E6" t="s">
        <v>20</v>
      </c>
      <c r="F6" t="s">
        <v>398</v>
      </c>
      <c r="G6" s="70" t="s">
        <v>218</v>
      </c>
      <c r="H6" t="s">
        <v>216</v>
      </c>
      <c r="I6" t="s">
        <v>218</v>
      </c>
      <c r="J6">
        <v>20</v>
      </c>
      <c r="K6">
        <v>1</v>
      </c>
      <c r="L6">
        <v>6</v>
      </c>
      <c r="M6" t="s">
        <v>221</v>
      </c>
      <c r="N6" t="s">
        <v>17</v>
      </c>
      <c r="O6" t="s">
        <v>20</v>
      </c>
      <c r="P6">
        <v>46</v>
      </c>
    </row>
    <row r="7" spans="1:16" x14ac:dyDescent="0.2">
      <c r="A7" s="70" t="s">
        <v>399</v>
      </c>
      <c r="B7" t="s">
        <v>621</v>
      </c>
      <c r="C7" t="s">
        <v>387</v>
      </c>
      <c r="D7" t="s">
        <v>444</v>
      </c>
      <c r="E7" t="s">
        <v>20</v>
      </c>
      <c r="F7" t="s">
        <v>398</v>
      </c>
      <c r="G7" s="70" t="s">
        <v>388</v>
      </c>
      <c r="H7" t="s">
        <v>387</v>
      </c>
      <c r="I7" t="s">
        <v>388</v>
      </c>
      <c r="J7">
        <v>20</v>
      </c>
      <c r="K7">
        <v>2</v>
      </c>
      <c r="L7">
        <v>6</v>
      </c>
      <c r="M7" t="s">
        <v>282</v>
      </c>
      <c r="N7" t="s">
        <v>17</v>
      </c>
      <c r="O7" t="s">
        <v>20</v>
      </c>
      <c r="P7">
        <v>40</v>
      </c>
    </row>
    <row r="8" spans="1:16" x14ac:dyDescent="0.2">
      <c r="A8" s="70" t="s">
        <v>399</v>
      </c>
      <c r="B8" t="s">
        <v>622</v>
      </c>
      <c r="C8" t="s">
        <v>454</v>
      </c>
      <c r="D8" t="s">
        <v>444</v>
      </c>
      <c r="E8" t="s">
        <v>20</v>
      </c>
      <c r="F8" t="s">
        <v>398</v>
      </c>
      <c r="G8" s="70" t="s">
        <v>259</v>
      </c>
      <c r="H8">
        <v>6303</v>
      </c>
      <c r="I8" t="s">
        <v>259</v>
      </c>
      <c r="J8">
        <v>20</v>
      </c>
      <c r="K8">
        <v>1</v>
      </c>
      <c r="L8">
        <v>6</v>
      </c>
      <c r="M8" t="s">
        <v>262</v>
      </c>
      <c r="N8" t="s">
        <v>17</v>
      </c>
      <c r="O8" t="s">
        <v>20</v>
      </c>
      <c r="P8">
        <v>40</v>
      </c>
    </row>
    <row r="9" spans="1:16" x14ac:dyDescent="0.2">
      <c r="A9" s="70" t="s">
        <v>399</v>
      </c>
      <c r="B9" t="s">
        <v>623</v>
      </c>
      <c r="C9" t="s">
        <v>389</v>
      </c>
      <c r="D9" t="s">
        <v>444</v>
      </c>
      <c r="E9" t="s">
        <v>20</v>
      </c>
      <c r="F9" t="s">
        <v>398</v>
      </c>
      <c r="G9" s="70" t="s">
        <v>197</v>
      </c>
      <c r="H9" t="s">
        <v>389</v>
      </c>
      <c r="I9" t="s">
        <v>197</v>
      </c>
      <c r="J9">
        <v>20</v>
      </c>
      <c r="K9" t="s">
        <v>201</v>
      </c>
      <c r="L9">
        <v>6</v>
      </c>
      <c r="M9" t="s">
        <v>204</v>
      </c>
      <c r="N9" t="s">
        <v>205</v>
      </c>
      <c r="O9" t="s">
        <v>20</v>
      </c>
      <c r="P9">
        <v>20</v>
      </c>
    </row>
    <row r="10" spans="1:16" x14ac:dyDescent="0.2">
      <c r="A10" s="70" t="s">
        <v>431</v>
      </c>
      <c r="B10" t="s">
        <v>600</v>
      </c>
      <c r="C10" t="s">
        <v>461</v>
      </c>
      <c r="D10" t="s">
        <v>444</v>
      </c>
      <c r="E10" t="s">
        <v>20</v>
      </c>
      <c r="F10" t="s">
        <v>398</v>
      </c>
      <c r="G10" s="70" t="s">
        <v>462</v>
      </c>
      <c r="H10" t="s">
        <v>461</v>
      </c>
      <c r="I10" t="s">
        <v>462</v>
      </c>
      <c r="J10">
        <v>20</v>
      </c>
      <c r="K10">
        <v>1</v>
      </c>
      <c r="L10">
        <v>4</v>
      </c>
      <c r="M10" t="s">
        <v>601</v>
      </c>
      <c r="N10" t="s">
        <v>17</v>
      </c>
      <c r="O10" t="s">
        <v>349</v>
      </c>
      <c r="P10">
        <v>44</v>
      </c>
    </row>
    <row r="11" spans="1:16" x14ac:dyDescent="0.2">
      <c r="A11" s="70" t="s">
        <v>410</v>
      </c>
      <c r="B11" t="s">
        <v>602</v>
      </c>
      <c r="C11" t="s">
        <v>455</v>
      </c>
      <c r="D11" t="s">
        <v>444</v>
      </c>
      <c r="E11" t="s">
        <v>20</v>
      </c>
      <c r="F11" t="s">
        <v>398</v>
      </c>
      <c r="G11" s="70" t="s">
        <v>456</v>
      </c>
      <c r="H11" t="s">
        <v>455</v>
      </c>
      <c r="I11" t="s">
        <v>456</v>
      </c>
      <c r="N11" t="s">
        <v>307</v>
      </c>
      <c r="P11">
        <v>0</v>
      </c>
    </row>
    <row r="12" spans="1:16" x14ac:dyDescent="0.2">
      <c r="A12" s="70" t="s">
        <v>410</v>
      </c>
      <c r="B12" t="s">
        <v>603</v>
      </c>
      <c r="C12" t="s">
        <v>457</v>
      </c>
      <c r="D12" t="s">
        <v>444</v>
      </c>
      <c r="E12" t="s">
        <v>20</v>
      </c>
      <c r="F12" t="s">
        <v>398</v>
      </c>
      <c r="G12" s="70" t="s">
        <v>458</v>
      </c>
      <c r="H12" t="s">
        <v>457</v>
      </c>
      <c r="I12" t="s">
        <v>604</v>
      </c>
      <c r="J12">
        <v>20</v>
      </c>
      <c r="K12">
        <v>1</v>
      </c>
      <c r="L12">
        <v>4</v>
      </c>
      <c r="M12" t="s">
        <v>605</v>
      </c>
      <c r="N12" t="s">
        <v>17</v>
      </c>
      <c r="O12" t="s">
        <v>341</v>
      </c>
      <c r="P12">
        <v>44</v>
      </c>
    </row>
    <row r="13" spans="1:16" x14ac:dyDescent="0.2">
      <c r="A13" s="70" t="s">
        <v>410</v>
      </c>
      <c r="B13" t="s">
        <v>606</v>
      </c>
      <c r="C13" t="s">
        <v>459</v>
      </c>
      <c r="D13" t="s">
        <v>444</v>
      </c>
      <c r="E13" t="s">
        <v>20</v>
      </c>
      <c r="F13" t="s">
        <v>398</v>
      </c>
      <c r="G13" s="70" t="s">
        <v>460</v>
      </c>
      <c r="H13" t="s">
        <v>459</v>
      </c>
      <c r="I13" t="s">
        <v>460</v>
      </c>
      <c r="J13">
        <v>20</v>
      </c>
      <c r="K13">
        <v>2</v>
      </c>
      <c r="L13">
        <v>4</v>
      </c>
      <c r="M13" t="s">
        <v>607</v>
      </c>
      <c r="N13" t="s">
        <v>17</v>
      </c>
      <c r="O13" t="s">
        <v>349</v>
      </c>
      <c r="P13">
        <v>39</v>
      </c>
    </row>
    <row r="14" spans="1:16" x14ac:dyDescent="0.2">
      <c r="A14" s="70" t="s">
        <v>410</v>
      </c>
      <c r="B14" t="s">
        <v>608</v>
      </c>
      <c r="C14" t="s">
        <v>463</v>
      </c>
      <c r="D14" t="s">
        <v>444</v>
      </c>
      <c r="E14" t="s">
        <v>20</v>
      </c>
      <c r="F14" t="s">
        <v>398</v>
      </c>
      <c r="G14" s="70" t="s">
        <v>464</v>
      </c>
      <c r="H14" t="s">
        <v>463</v>
      </c>
      <c r="I14" t="s">
        <v>464</v>
      </c>
      <c r="J14">
        <v>20</v>
      </c>
      <c r="K14">
        <v>2</v>
      </c>
      <c r="L14">
        <v>5</v>
      </c>
      <c r="M14" t="s">
        <v>609</v>
      </c>
      <c r="N14" t="s">
        <v>307</v>
      </c>
      <c r="O14" t="s">
        <v>341</v>
      </c>
      <c r="P14">
        <v>42</v>
      </c>
    </row>
    <row r="15" spans="1:16" x14ac:dyDescent="0.2">
      <c r="A15" s="70" t="s">
        <v>410</v>
      </c>
      <c r="B15" t="s">
        <v>610</v>
      </c>
      <c r="C15" t="s">
        <v>465</v>
      </c>
      <c r="D15" t="s">
        <v>444</v>
      </c>
      <c r="E15" t="s">
        <v>20</v>
      </c>
      <c r="F15" t="s">
        <v>398</v>
      </c>
      <c r="G15" s="70" t="s">
        <v>466</v>
      </c>
      <c r="H15" t="s">
        <v>465</v>
      </c>
      <c r="I15" t="s">
        <v>466</v>
      </c>
      <c r="J15">
        <v>20</v>
      </c>
      <c r="K15">
        <v>2</v>
      </c>
      <c r="L15">
        <v>5</v>
      </c>
      <c r="M15" t="s">
        <v>611</v>
      </c>
      <c r="N15" t="s">
        <v>17</v>
      </c>
      <c r="O15" t="s">
        <v>349</v>
      </c>
      <c r="P15">
        <v>40</v>
      </c>
    </row>
    <row r="16" spans="1:16" x14ac:dyDescent="0.2">
      <c r="A16" s="70" t="s">
        <v>410</v>
      </c>
      <c r="B16" t="s">
        <v>612</v>
      </c>
      <c r="C16" t="s">
        <v>467</v>
      </c>
      <c r="D16" t="s">
        <v>444</v>
      </c>
      <c r="E16" t="s">
        <v>20</v>
      </c>
      <c r="F16" t="s">
        <v>398</v>
      </c>
      <c r="G16" s="70" t="s">
        <v>468</v>
      </c>
      <c r="H16" t="s">
        <v>467</v>
      </c>
      <c r="I16" t="s">
        <v>613</v>
      </c>
      <c r="L16">
        <v>5</v>
      </c>
      <c r="M16" t="s">
        <v>614</v>
      </c>
      <c r="N16" t="s">
        <v>17</v>
      </c>
      <c r="O16" t="s">
        <v>342</v>
      </c>
      <c r="P16">
        <v>0</v>
      </c>
    </row>
    <row r="17" spans="1:16" x14ac:dyDescent="0.2">
      <c r="A17" s="70" t="s">
        <v>410</v>
      </c>
      <c r="B17" t="s">
        <v>615</v>
      </c>
      <c r="C17" t="s">
        <v>469</v>
      </c>
      <c r="D17" t="s">
        <v>444</v>
      </c>
      <c r="E17" t="s">
        <v>20</v>
      </c>
      <c r="F17" t="s">
        <v>398</v>
      </c>
      <c r="G17" s="70" t="s">
        <v>470</v>
      </c>
      <c r="H17" t="s">
        <v>469</v>
      </c>
      <c r="I17" t="s">
        <v>470</v>
      </c>
      <c r="J17">
        <v>40</v>
      </c>
      <c r="K17" t="s">
        <v>201</v>
      </c>
      <c r="L17">
        <v>6</v>
      </c>
      <c r="N17" t="s">
        <v>308</v>
      </c>
      <c r="O17" t="s">
        <v>341</v>
      </c>
      <c r="P17">
        <v>36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D0FBB-AD8A-7E49-9966-80833406E7C8}">
  <dimension ref="A1:M17"/>
  <sheetViews>
    <sheetView workbookViewId="0"/>
  </sheetViews>
  <sheetFormatPr baseColWidth="10" defaultRowHeight="15" x14ac:dyDescent="0.2"/>
  <cols>
    <col min="1" max="1" width="41" bestFit="1" customWidth="1"/>
    <col min="2" max="2" width="13.5" bestFit="1" customWidth="1"/>
    <col min="3" max="3" width="13.6640625" bestFit="1" customWidth="1"/>
    <col min="4" max="4" width="11.6640625" bestFit="1" customWidth="1"/>
    <col min="5" max="5" width="13.33203125" bestFit="1" customWidth="1"/>
    <col min="6" max="6" width="11.33203125" bestFit="1" customWidth="1"/>
    <col min="7" max="7" width="37.5" bestFit="1" customWidth="1"/>
    <col min="8" max="8" width="9.6640625" bestFit="1" customWidth="1"/>
    <col min="9" max="9" width="10.1640625" bestFit="1" customWidth="1"/>
    <col min="10" max="10" width="10.33203125" bestFit="1" customWidth="1"/>
    <col min="11" max="11" width="11.5" bestFit="1" customWidth="1"/>
    <col min="12" max="12" width="8.83203125" bestFit="1" customWidth="1"/>
    <col min="13" max="13" width="7.5" bestFit="1" customWidth="1"/>
  </cols>
  <sheetData>
    <row r="1" spans="1:13" x14ac:dyDescent="0.2">
      <c r="A1" t="s">
        <v>598</v>
      </c>
      <c r="B1" t="s">
        <v>397</v>
      </c>
      <c r="C1" t="s">
        <v>452</v>
      </c>
      <c r="D1" t="s">
        <v>599</v>
      </c>
      <c r="E1" t="s">
        <v>390</v>
      </c>
      <c r="F1" t="s">
        <v>451</v>
      </c>
      <c r="G1" t="s">
        <v>453</v>
      </c>
      <c r="H1" t="s">
        <v>25</v>
      </c>
      <c r="I1" t="s">
        <v>26</v>
      </c>
      <c r="J1" t="s">
        <v>27</v>
      </c>
      <c r="K1" t="s">
        <v>28</v>
      </c>
      <c r="L1" t="s">
        <v>30</v>
      </c>
      <c r="M1" t="s">
        <v>32</v>
      </c>
    </row>
    <row r="2" spans="1:13" x14ac:dyDescent="0.2">
      <c r="A2" s="70" t="s">
        <v>399</v>
      </c>
      <c r="B2" t="s">
        <v>665</v>
      </c>
      <c r="C2" t="s">
        <v>384</v>
      </c>
      <c r="D2" t="s">
        <v>447</v>
      </c>
      <c r="E2" t="s">
        <v>20</v>
      </c>
      <c r="F2" t="s">
        <v>398</v>
      </c>
      <c r="G2" s="70" t="s">
        <v>7</v>
      </c>
      <c r="H2">
        <v>24</v>
      </c>
      <c r="I2">
        <v>10</v>
      </c>
      <c r="J2">
        <v>9</v>
      </c>
      <c r="K2">
        <v>6</v>
      </c>
      <c r="L2">
        <v>0</v>
      </c>
      <c r="M2">
        <v>49</v>
      </c>
    </row>
    <row r="3" spans="1:13" x14ac:dyDescent="0.2">
      <c r="A3" s="70" t="s">
        <v>399</v>
      </c>
      <c r="B3" t="s">
        <v>666</v>
      </c>
      <c r="C3" t="s">
        <v>95</v>
      </c>
      <c r="D3" t="s">
        <v>447</v>
      </c>
      <c r="E3" t="s">
        <v>20</v>
      </c>
      <c r="F3" t="s">
        <v>398</v>
      </c>
      <c r="G3" s="70" t="s">
        <v>97</v>
      </c>
      <c r="H3">
        <v>22</v>
      </c>
      <c r="I3">
        <v>14</v>
      </c>
      <c r="J3">
        <v>4</v>
      </c>
      <c r="K3">
        <v>8</v>
      </c>
      <c r="L3">
        <v>0</v>
      </c>
      <c r="M3">
        <v>48</v>
      </c>
    </row>
    <row r="4" spans="1:13" x14ac:dyDescent="0.2">
      <c r="A4" s="70" t="s">
        <v>399</v>
      </c>
      <c r="B4" t="s">
        <v>667</v>
      </c>
      <c r="C4" t="s">
        <v>143</v>
      </c>
      <c r="D4" t="s">
        <v>447</v>
      </c>
      <c r="E4" t="s">
        <v>20</v>
      </c>
      <c r="F4" t="s">
        <v>398</v>
      </c>
      <c r="G4" s="70" t="s">
        <v>145</v>
      </c>
      <c r="H4">
        <v>18</v>
      </c>
      <c r="I4">
        <v>14</v>
      </c>
      <c r="J4">
        <v>6</v>
      </c>
      <c r="K4">
        <v>10</v>
      </c>
      <c r="M4">
        <v>48</v>
      </c>
    </row>
    <row r="5" spans="1:13" x14ac:dyDescent="0.2">
      <c r="A5" s="70" t="s">
        <v>399</v>
      </c>
      <c r="B5" t="s">
        <v>668</v>
      </c>
      <c r="C5" t="s">
        <v>385</v>
      </c>
      <c r="D5" t="s">
        <v>447</v>
      </c>
      <c r="E5" t="s">
        <v>20</v>
      </c>
      <c r="F5" t="s">
        <v>398</v>
      </c>
      <c r="G5" s="70" t="s">
        <v>386</v>
      </c>
      <c r="M5">
        <v>0</v>
      </c>
    </row>
    <row r="6" spans="1:13" x14ac:dyDescent="0.2">
      <c r="A6" s="70" t="s">
        <v>399</v>
      </c>
      <c r="B6" t="s">
        <v>669</v>
      </c>
      <c r="C6" t="s">
        <v>216</v>
      </c>
      <c r="D6" t="s">
        <v>447</v>
      </c>
      <c r="E6" t="s">
        <v>20</v>
      </c>
      <c r="F6" t="s">
        <v>398</v>
      </c>
      <c r="G6" s="70" t="s">
        <v>218</v>
      </c>
      <c r="H6">
        <v>22</v>
      </c>
      <c r="J6">
        <v>16</v>
      </c>
      <c r="K6">
        <v>8</v>
      </c>
      <c r="M6">
        <v>46</v>
      </c>
    </row>
    <row r="7" spans="1:13" x14ac:dyDescent="0.2">
      <c r="A7" s="70" t="s">
        <v>399</v>
      </c>
      <c r="B7" t="s">
        <v>670</v>
      </c>
      <c r="C7" t="s">
        <v>387</v>
      </c>
      <c r="D7" t="s">
        <v>447</v>
      </c>
      <c r="E7" t="s">
        <v>20</v>
      </c>
      <c r="F7" t="s">
        <v>398</v>
      </c>
      <c r="G7" s="70" t="s">
        <v>388</v>
      </c>
      <c r="H7">
        <v>8</v>
      </c>
      <c r="J7">
        <v>12</v>
      </c>
      <c r="K7">
        <v>20</v>
      </c>
      <c r="M7">
        <v>40</v>
      </c>
    </row>
    <row r="8" spans="1:13" x14ac:dyDescent="0.2">
      <c r="A8" s="70" t="s">
        <v>399</v>
      </c>
      <c r="B8" t="s">
        <v>671</v>
      </c>
      <c r="C8" t="s">
        <v>454</v>
      </c>
      <c r="D8" t="s">
        <v>447</v>
      </c>
      <c r="E8" t="s">
        <v>20</v>
      </c>
      <c r="F8" t="s">
        <v>398</v>
      </c>
      <c r="G8" s="70" t="s">
        <v>259</v>
      </c>
      <c r="H8">
        <v>22</v>
      </c>
      <c r="I8">
        <v>18</v>
      </c>
      <c r="M8">
        <v>40</v>
      </c>
    </row>
    <row r="9" spans="1:13" x14ac:dyDescent="0.2">
      <c r="A9" s="70" t="s">
        <v>399</v>
      </c>
      <c r="B9" t="s">
        <v>672</v>
      </c>
      <c r="C9" t="s">
        <v>389</v>
      </c>
      <c r="D9" t="s">
        <v>447</v>
      </c>
      <c r="E9" t="s">
        <v>20</v>
      </c>
      <c r="F9" t="s">
        <v>398</v>
      </c>
      <c r="G9" s="70" t="s">
        <v>197</v>
      </c>
      <c r="H9">
        <v>10</v>
      </c>
      <c r="I9">
        <v>10</v>
      </c>
      <c r="M9">
        <v>20</v>
      </c>
    </row>
    <row r="10" spans="1:13" x14ac:dyDescent="0.2">
      <c r="A10" s="70" t="s">
        <v>431</v>
      </c>
      <c r="B10" t="s">
        <v>657</v>
      </c>
      <c r="C10" t="s">
        <v>461</v>
      </c>
      <c r="D10" t="s">
        <v>447</v>
      </c>
      <c r="E10" t="s">
        <v>20</v>
      </c>
      <c r="F10" t="s">
        <v>398</v>
      </c>
      <c r="G10" s="70" t="s">
        <v>462</v>
      </c>
      <c r="H10">
        <v>22</v>
      </c>
      <c r="L10">
        <v>22</v>
      </c>
      <c r="M10">
        <v>44</v>
      </c>
    </row>
    <row r="11" spans="1:13" x14ac:dyDescent="0.2">
      <c r="A11" s="70" t="s">
        <v>410</v>
      </c>
      <c r="B11" t="s">
        <v>658</v>
      </c>
      <c r="C11" t="s">
        <v>455</v>
      </c>
      <c r="D11" t="s">
        <v>447</v>
      </c>
      <c r="E11" t="s">
        <v>20</v>
      </c>
      <c r="F11" t="s">
        <v>398</v>
      </c>
      <c r="G11" s="70" t="s">
        <v>456</v>
      </c>
      <c r="M11">
        <v>0</v>
      </c>
    </row>
    <row r="12" spans="1:13" x14ac:dyDescent="0.2">
      <c r="A12" s="70" t="s">
        <v>410</v>
      </c>
      <c r="B12" t="s">
        <v>659</v>
      </c>
      <c r="C12" t="s">
        <v>457</v>
      </c>
      <c r="D12" t="s">
        <v>447</v>
      </c>
      <c r="E12" t="s">
        <v>20</v>
      </c>
      <c r="F12" t="s">
        <v>398</v>
      </c>
      <c r="G12" s="70" t="s">
        <v>458</v>
      </c>
      <c r="H12">
        <v>33</v>
      </c>
      <c r="I12">
        <v>1</v>
      </c>
      <c r="J12">
        <v>6</v>
      </c>
      <c r="K12">
        <v>1</v>
      </c>
      <c r="L12">
        <v>3</v>
      </c>
      <c r="M12">
        <v>44</v>
      </c>
    </row>
    <row r="13" spans="1:13" x14ac:dyDescent="0.2">
      <c r="A13" s="70" t="s">
        <v>410</v>
      </c>
      <c r="B13" t="s">
        <v>660</v>
      </c>
      <c r="C13" t="s">
        <v>459</v>
      </c>
      <c r="D13" t="s">
        <v>447</v>
      </c>
      <c r="E13" t="s">
        <v>20</v>
      </c>
      <c r="F13" t="s">
        <v>398</v>
      </c>
      <c r="G13" s="70" t="s">
        <v>460</v>
      </c>
      <c r="H13">
        <v>11</v>
      </c>
      <c r="J13">
        <v>6</v>
      </c>
      <c r="K13">
        <v>11</v>
      </c>
      <c r="L13">
        <v>11</v>
      </c>
      <c r="M13">
        <v>39</v>
      </c>
    </row>
    <row r="14" spans="1:13" x14ac:dyDescent="0.2">
      <c r="A14" s="70" t="s">
        <v>410</v>
      </c>
      <c r="B14" t="s">
        <v>661</v>
      </c>
      <c r="C14" t="s">
        <v>463</v>
      </c>
      <c r="D14" t="s">
        <v>447</v>
      </c>
      <c r="E14" t="s">
        <v>20</v>
      </c>
      <c r="F14" t="s">
        <v>398</v>
      </c>
      <c r="G14" s="70" t="s">
        <v>464</v>
      </c>
      <c r="H14">
        <v>34</v>
      </c>
      <c r="I14">
        <v>6</v>
      </c>
      <c r="K14">
        <v>2</v>
      </c>
      <c r="M14">
        <v>42</v>
      </c>
    </row>
    <row r="15" spans="1:13" x14ac:dyDescent="0.2">
      <c r="A15" s="70" t="s">
        <v>410</v>
      </c>
      <c r="B15" t="s">
        <v>662</v>
      </c>
      <c r="C15" t="s">
        <v>465</v>
      </c>
      <c r="D15" t="s">
        <v>447</v>
      </c>
      <c r="E15" t="s">
        <v>20</v>
      </c>
      <c r="F15" t="s">
        <v>398</v>
      </c>
      <c r="G15" s="70" t="s">
        <v>466</v>
      </c>
      <c r="H15">
        <v>16</v>
      </c>
      <c r="I15">
        <v>5</v>
      </c>
      <c r="J15">
        <v>6</v>
      </c>
      <c r="K15">
        <v>7</v>
      </c>
      <c r="L15">
        <v>6</v>
      </c>
      <c r="M15">
        <v>40</v>
      </c>
    </row>
    <row r="16" spans="1:13" x14ac:dyDescent="0.2">
      <c r="A16" s="70" t="s">
        <v>410</v>
      </c>
      <c r="B16" t="s">
        <v>663</v>
      </c>
      <c r="C16" t="s">
        <v>467</v>
      </c>
      <c r="D16" t="s">
        <v>447</v>
      </c>
      <c r="E16" t="s">
        <v>20</v>
      </c>
      <c r="F16" t="s">
        <v>398</v>
      </c>
      <c r="G16" s="70" t="s">
        <v>468</v>
      </c>
      <c r="M16">
        <v>0</v>
      </c>
    </row>
    <row r="17" spans="1:13" x14ac:dyDescent="0.2">
      <c r="A17" s="70" t="s">
        <v>410</v>
      </c>
      <c r="B17" t="s">
        <v>664</v>
      </c>
      <c r="C17" t="s">
        <v>469</v>
      </c>
      <c r="D17" t="s">
        <v>447</v>
      </c>
      <c r="E17" t="s">
        <v>20</v>
      </c>
      <c r="F17" t="s">
        <v>398</v>
      </c>
      <c r="G17" s="70" t="s">
        <v>470</v>
      </c>
      <c r="H17">
        <v>10</v>
      </c>
      <c r="I17">
        <v>26</v>
      </c>
      <c r="M17">
        <v>36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0F882-8806-1243-B18E-B6FAF9231A96}">
  <dimension ref="A1:O17"/>
  <sheetViews>
    <sheetView workbookViewId="0"/>
  </sheetViews>
  <sheetFormatPr baseColWidth="10" defaultRowHeight="15" x14ac:dyDescent="0.2"/>
  <cols>
    <col min="1" max="1" width="41" bestFit="1" customWidth="1"/>
    <col min="2" max="2" width="12.5" bestFit="1" customWidth="1"/>
    <col min="3" max="3" width="13.6640625" bestFit="1" customWidth="1"/>
    <col min="4" max="4" width="11.6640625" bestFit="1" customWidth="1"/>
    <col min="5" max="5" width="13.33203125" bestFit="1" customWidth="1"/>
    <col min="6" max="6" width="11.33203125" bestFit="1" customWidth="1"/>
    <col min="7" max="7" width="37.5" bestFit="1" customWidth="1"/>
    <col min="8" max="8" width="14" bestFit="1" customWidth="1"/>
    <col min="9" max="9" width="37.5" bestFit="1" customWidth="1"/>
    <col min="10" max="10" width="9.5" bestFit="1" customWidth="1"/>
    <col min="11" max="11" width="11.33203125" bestFit="1" customWidth="1"/>
    <col min="12" max="12" width="7.83203125" bestFit="1" customWidth="1"/>
    <col min="13" max="13" width="16.5" bestFit="1" customWidth="1"/>
    <col min="14" max="14" width="15.33203125" bestFit="1" customWidth="1"/>
    <col min="15" max="15" width="14.83203125" bestFit="1" customWidth="1"/>
  </cols>
  <sheetData>
    <row r="1" spans="1:15" x14ac:dyDescent="0.2">
      <c r="A1" t="s">
        <v>598</v>
      </c>
      <c r="B1" t="s">
        <v>397</v>
      </c>
      <c r="C1" t="s">
        <v>452</v>
      </c>
      <c r="D1" t="s">
        <v>599</v>
      </c>
      <c r="E1" t="s">
        <v>390</v>
      </c>
      <c r="F1" t="s">
        <v>451</v>
      </c>
      <c r="G1" t="s">
        <v>453</v>
      </c>
      <c r="H1" t="s">
        <v>4</v>
      </c>
      <c r="I1" t="s">
        <v>6</v>
      </c>
      <c r="J1" t="s">
        <v>8</v>
      </c>
      <c r="K1" t="s">
        <v>9</v>
      </c>
      <c r="L1" t="s">
        <v>11</v>
      </c>
      <c r="M1" t="s">
        <v>13</v>
      </c>
      <c r="N1" t="s">
        <v>16</v>
      </c>
      <c r="O1" t="s">
        <v>19</v>
      </c>
    </row>
    <row r="2" spans="1:15" x14ac:dyDescent="0.2">
      <c r="A2" s="70" t="s">
        <v>399</v>
      </c>
      <c r="B2" t="s">
        <v>616</v>
      </c>
      <c r="C2" t="s">
        <v>384</v>
      </c>
      <c r="D2" t="s">
        <v>444</v>
      </c>
      <c r="E2" t="s">
        <v>20</v>
      </c>
      <c r="F2" t="s">
        <v>398</v>
      </c>
      <c r="G2" s="70" t="s">
        <v>7</v>
      </c>
      <c r="H2" t="s">
        <v>384</v>
      </c>
      <c r="I2" t="s">
        <v>7</v>
      </c>
      <c r="J2">
        <v>20</v>
      </c>
      <c r="K2">
        <v>1</v>
      </c>
      <c r="L2">
        <v>4</v>
      </c>
      <c r="M2" t="s">
        <v>14</v>
      </c>
      <c r="N2" t="s">
        <v>17</v>
      </c>
      <c r="O2" t="s">
        <v>20</v>
      </c>
    </row>
    <row r="3" spans="1:15" x14ac:dyDescent="0.2">
      <c r="A3" s="70" t="s">
        <v>399</v>
      </c>
      <c r="B3" t="s">
        <v>617</v>
      </c>
      <c r="C3" t="s">
        <v>95</v>
      </c>
      <c r="D3" t="s">
        <v>444</v>
      </c>
      <c r="E3" t="s">
        <v>20</v>
      </c>
      <c r="F3" t="s">
        <v>398</v>
      </c>
      <c r="G3" s="70" t="s">
        <v>97</v>
      </c>
      <c r="H3" t="s">
        <v>95</v>
      </c>
      <c r="I3" t="s">
        <v>97</v>
      </c>
      <c r="J3">
        <v>20</v>
      </c>
      <c r="K3">
        <v>2</v>
      </c>
      <c r="L3">
        <v>4</v>
      </c>
      <c r="M3" t="s">
        <v>100</v>
      </c>
      <c r="N3" t="s">
        <v>17</v>
      </c>
      <c r="O3" t="s">
        <v>20</v>
      </c>
    </row>
    <row r="4" spans="1:15" x14ac:dyDescent="0.2">
      <c r="A4" s="70" t="s">
        <v>399</v>
      </c>
      <c r="B4" t="s">
        <v>618</v>
      </c>
      <c r="C4" t="s">
        <v>143</v>
      </c>
      <c r="D4" t="s">
        <v>444</v>
      </c>
      <c r="E4" t="s">
        <v>20</v>
      </c>
      <c r="F4" t="s">
        <v>398</v>
      </c>
      <c r="G4" s="70" t="s">
        <v>145</v>
      </c>
      <c r="H4" t="s">
        <v>143</v>
      </c>
      <c r="I4" t="s">
        <v>145</v>
      </c>
      <c r="J4">
        <v>20</v>
      </c>
      <c r="K4">
        <v>1</v>
      </c>
      <c r="L4">
        <v>5</v>
      </c>
      <c r="M4" t="s">
        <v>148</v>
      </c>
      <c r="N4" t="s">
        <v>17</v>
      </c>
      <c r="O4" t="s">
        <v>20</v>
      </c>
    </row>
    <row r="5" spans="1:15" x14ac:dyDescent="0.2">
      <c r="A5" s="70" t="s">
        <v>399</v>
      </c>
      <c r="B5" t="s">
        <v>619</v>
      </c>
      <c r="C5" t="s">
        <v>385</v>
      </c>
      <c r="D5" t="s">
        <v>444</v>
      </c>
      <c r="E5" t="s">
        <v>20</v>
      </c>
      <c r="F5" t="s">
        <v>398</v>
      </c>
      <c r="G5" s="70" t="s">
        <v>386</v>
      </c>
      <c r="H5" t="s">
        <v>385</v>
      </c>
      <c r="I5" t="s">
        <v>386</v>
      </c>
    </row>
    <row r="6" spans="1:15" x14ac:dyDescent="0.2">
      <c r="A6" s="70" t="s">
        <v>399</v>
      </c>
      <c r="B6" t="s">
        <v>620</v>
      </c>
      <c r="C6" t="s">
        <v>216</v>
      </c>
      <c r="D6" t="s">
        <v>444</v>
      </c>
      <c r="E6" t="s">
        <v>20</v>
      </c>
      <c r="F6" t="s">
        <v>398</v>
      </c>
      <c r="G6" s="70" t="s">
        <v>218</v>
      </c>
      <c r="H6" t="s">
        <v>216</v>
      </c>
      <c r="I6" t="s">
        <v>218</v>
      </c>
      <c r="J6">
        <v>20</v>
      </c>
      <c r="K6">
        <v>1</v>
      </c>
      <c r="L6">
        <v>6</v>
      </c>
      <c r="M6" t="s">
        <v>221</v>
      </c>
      <c r="N6" t="s">
        <v>17</v>
      </c>
      <c r="O6" t="s">
        <v>20</v>
      </c>
    </row>
    <row r="7" spans="1:15" x14ac:dyDescent="0.2">
      <c r="A7" s="70" t="s">
        <v>399</v>
      </c>
      <c r="B7" t="s">
        <v>621</v>
      </c>
      <c r="C7" t="s">
        <v>387</v>
      </c>
      <c r="D7" t="s">
        <v>444</v>
      </c>
      <c r="E7" t="s">
        <v>20</v>
      </c>
      <c r="F7" t="s">
        <v>398</v>
      </c>
      <c r="G7" s="70" t="s">
        <v>388</v>
      </c>
      <c r="H7" t="s">
        <v>387</v>
      </c>
      <c r="I7" t="s">
        <v>388</v>
      </c>
      <c r="J7">
        <v>20</v>
      </c>
      <c r="K7">
        <v>2</v>
      </c>
      <c r="L7">
        <v>6</v>
      </c>
      <c r="M7" t="s">
        <v>282</v>
      </c>
      <c r="N7" t="s">
        <v>17</v>
      </c>
      <c r="O7" t="s">
        <v>20</v>
      </c>
    </row>
    <row r="8" spans="1:15" x14ac:dyDescent="0.2">
      <c r="A8" s="70" t="s">
        <v>399</v>
      </c>
      <c r="B8" t="s">
        <v>622</v>
      </c>
      <c r="C8" t="s">
        <v>454</v>
      </c>
      <c r="D8" t="s">
        <v>444</v>
      </c>
      <c r="E8" t="s">
        <v>20</v>
      </c>
      <c r="F8" t="s">
        <v>398</v>
      </c>
      <c r="G8" s="70" t="s">
        <v>259</v>
      </c>
      <c r="H8">
        <v>6303</v>
      </c>
      <c r="I8" t="s">
        <v>259</v>
      </c>
      <c r="J8">
        <v>20</v>
      </c>
      <c r="K8">
        <v>1</v>
      </c>
      <c r="L8">
        <v>6</v>
      </c>
      <c r="M8" t="s">
        <v>262</v>
      </c>
      <c r="N8" t="s">
        <v>17</v>
      </c>
      <c r="O8" t="s">
        <v>20</v>
      </c>
    </row>
    <row r="9" spans="1:15" x14ac:dyDescent="0.2">
      <c r="A9" s="70" t="s">
        <v>399</v>
      </c>
      <c r="B9" t="s">
        <v>623</v>
      </c>
      <c r="C9" t="s">
        <v>389</v>
      </c>
      <c r="D9" t="s">
        <v>444</v>
      </c>
      <c r="E9" t="s">
        <v>20</v>
      </c>
      <c r="F9" t="s">
        <v>398</v>
      </c>
      <c r="G9" s="70" t="s">
        <v>197</v>
      </c>
      <c r="H9" t="s">
        <v>389</v>
      </c>
      <c r="I9" t="s">
        <v>197</v>
      </c>
      <c r="J9">
        <v>20</v>
      </c>
      <c r="K9" t="s">
        <v>201</v>
      </c>
      <c r="L9">
        <v>6</v>
      </c>
      <c r="M9" t="s">
        <v>204</v>
      </c>
      <c r="N9" t="s">
        <v>205</v>
      </c>
      <c r="O9" t="s">
        <v>20</v>
      </c>
    </row>
    <row r="10" spans="1:15" x14ac:dyDescent="0.2">
      <c r="A10" s="70" t="s">
        <v>431</v>
      </c>
      <c r="B10" t="s">
        <v>600</v>
      </c>
      <c r="C10" t="s">
        <v>461</v>
      </c>
      <c r="D10" t="s">
        <v>444</v>
      </c>
      <c r="E10" t="s">
        <v>20</v>
      </c>
      <c r="F10" t="s">
        <v>398</v>
      </c>
      <c r="G10" s="70" t="s">
        <v>462</v>
      </c>
      <c r="H10" t="s">
        <v>461</v>
      </c>
      <c r="I10" t="s">
        <v>462</v>
      </c>
      <c r="J10">
        <v>20</v>
      </c>
      <c r="K10">
        <v>1</v>
      </c>
      <c r="L10">
        <v>4</v>
      </c>
      <c r="M10" t="s">
        <v>601</v>
      </c>
      <c r="N10" t="s">
        <v>17</v>
      </c>
      <c r="O10" t="s">
        <v>349</v>
      </c>
    </row>
    <row r="11" spans="1:15" x14ac:dyDescent="0.2">
      <c r="A11" s="70" t="s">
        <v>410</v>
      </c>
      <c r="B11" t="s">
        <v>602</v>
      </c>
      <c r="C11" t="s">
        <v>455</v>
      </c>
      <c r="D11" t="s">
        <v>444</v>
      </c>
      <c r="E11" t="s">
        <v>20</v>
      </c>
      <c r="F11" t="s">
        <v>398</v>
      </c>
      <c r="G11" s="70" t="s">
        <v>456</v>
      </c>
      <c r="H11" t="s">
        <v>455</v>
      </c>
      <c r="I11" t="s">
        <v>456</v>
      </c>
      <c r="N11" t="s">
        <v>307</v>
      </c>
    </row>
    <row r="12" spans="1:15" x14ac:dyDescent="0.2">
      <c r="A12" s="70" t="s">
        <v>410</v>
      </c>
      <c r="B12" t="s">
        <v>603</v>
      </c>
      <c r="C12" t="s">
        <v>457</v>
      </c>
      <c r="D12" t="s">
        <v>444</v>
      </c>
      <c r="E12" t="s">
        <v>20</v>
      </c>
      <c r="F12" t="s">
        <v>398</v>
      </c>
      <c r="G12" s="70" t="s">
        <v>458</v>
      </c>
      <c r="H12" t="s">
        <v>457</v>
      </c>
      <c r="I12" t="s">
        <v>604</v>
      </c>
      <c r="J12">
        <v>20</v>
      </c>
      <c r="K12">
        <v>1</v>
      </c>
      <c r="L12">
        <v>4</v>
      </c>
      <c r="M12" t="s">
        <v>605</v>
      </c>
      <c r="N12" t="s">
        <v>17</v>
      </c>
      <c r="O12" t="s">
        <v>341</v>
      </c>
    </row>
    <row r="13" spans="1:15" x14ac:dyDescent="0.2">
      <c r="A13" s="70" t="s">
        <v>410</v>
      </c>
      <c r="B13" t="s">
        <v>606</v>
      </c>
      <c r="C13" t="s">
        <v>459</v>
      </c>
      <c r="D13" t="s">
        <v>444</v>
      </c>
      <c r="E13" t="s">
        <v>20</v>
      </c>
      <c r="F13" t="s">
        <v>398</v>
      </c>
      <c r="G13" s="70" t="s">
        <v>460</v>
      </c>
      <c r="H13" t="s">
        <v>459</v>
      </c>
      <c r="I13" t="s">
        <v>460</v>
      </c>
      <c r="J13">
        <v>20</v>
      </c>
      <c r="K13">
        <v>2</v>
      </c>
      <c r="L13">
        <v>4</v>
      </c>
      <c r="M13" t="s">
        <v>607</v>
      </c>
      <c r="N13" t="s">
        <v>17</v>
      </c>
      <c r="O13" t="s">
        <v>349</v>
      </c>
    </row>
    <row r="14" spans="1:15" x14ac:dyDescent="0.2">
      <c r="A14" s="70" t="s">
        <v>410</v>
      </c>
      <c r="B14" t="s">
        <v>608</v>
      </c>
      <c r="C14" t="s">
        <v>463</v>
      </c>
      <c r="D14" t="s">
        <v>444</v>
      </c>
      <c r="E14" t="s">
        <v>20</v>
      </c>
      <c r="F14" t="s">
        <v>398</v>
      </c>
      <c r="G14" s="70" t="s">
        <v>464</v>
      </c>
      <c r="H14" t="s">
        <v>463</v>
      </c>
      <c r="I14" t="s">
        <v>464</v>
      </c>
      <c r="J14">
        <v>20</v>
      </c>
      <c r="K14">
        <v>2</v>
      </c>
      <c r="L14">
        <v>5</v>
      </c>
      <c r="M14" t="s">
        <v>609</v>
      </c>
      <c r="N14" t="s">
        <v>307</v>
      </c>
      <c r="O14" t="s">
        <v>341</v>
      </c>
    </row>
    <row r="15" spans="1:15" x14ac:dyDescent="0.2">
      <c r="A15" s="70" t="s">
        <v>410</v>
      </c>
      <c r="B15" t="s">
        <v>610</v>
      </c>
      <c r="C15" t="s">
        <v>465</v>
      </c>
      <c r="D15" t="s">
        <v>444</v>
      </c>
      <c r="E15" t="s">
        <v>20</v>
      </c>
      <c r="F15" t="s">
        <v>398</v>
      </c>
      <c r="G15" s="70" t="s">
        <v>466</v>
      </c>
      <c r="H15" t="s">
        <v>465</v>
      </c>
      <c r="I15" t="s">
        <v>466</v>
      </c>
      <c r="J15">
        <v>20</v>
      </c>
      <c r="K15">
        <v>2</v>
      </c>
      <c r="L15">
        <v>5</v>
      </c>
      <c r="M15" t="s">
        <v>611</v>
      </c>
      <c r="N15" t="s">
        <v>17</v>
      </c>
      <c r="O15" t="s">
        <v>349</v>
      </c>
    </row>
    <row r="16" spans="1:15" x14ac:dyDescent="0.2">
      <c r="A16" s="70" t="s">
        <v>410</v>
      </c>
      <c r="B16" t="s">
        <v>612</v>
      </c>
      <c r="C16" t="s">
        <v>467</v>
      </c>
      <c r="D16" t="s">
        <v>444</v>
      </c>
      <c r="E16" t="s">
        <v>20</v>
      </c>
      <c r="F16" t="s">
        <v>398</v>
      </c>
      <c r="G16" s="70" t="s">
        <v>468</v>
      </c>
      <c r="H16" t="s">
        <v>467</v>
      </c>
      <c r="I16" t="s">
        <v>613</v>
      </c>
      <c r="L16">
        <v>5</v>
      </c>
      <c r="M16" t="s">
        <v>614</v>
      </c>
      <c r="N16" t="s">
        <v>17</v>
      </c>
      <c r="O16" t="s">
        <v>342</v>
      </c>
    </row>
    <row r="17" spans="1:15" x14ac:dyDescent="0.2">
      <c r="A17" s="70" t="s">
        <v>410</v>
      </c>
      <c r="B17" t="s">
        <v>615</v>
      </c>
      <c r="C17" t="s">
        <v>469</v>
      </c>
      <c r="D17" t="s">
        <v>444</v>
      </c>
      <c r="E17" t="s">
        <v>20</v>
      </c>
      <c r="F17" t="s">
        <v>398</v>
      </c>
      <c r="G17" s="70" t="s">
        <v>470</v>
      </c>
      <c r="H17" t="s">
        <v>469</v>
      </c>
      <c r="I17" t="s">
        <v>470</v>
      </c>
      <c r="J17">
        <v>40</v>
      </c>
      <c r="K17" t="s">
        <v>201</v>
      </c>
      <c r="L17">
        <v>6</v>
      </c>
      <c r="N17" t="s">
        <v>308</v>
      </c>
      <c r="O17" t="s">
        <v>341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6E0D2-A762-4948-99A6-F7C39D39BB19}">
  <dimension ref="A1:P37"/>
  <sheetViews>
    <sheetView tabSelected="1" workbookViewId="0">
      <selection activeCell="M13" sqref="M13"/>
    </sheetView>
  </sheetViews>
  <sheetFormatPr baseColWidth="10" defaultRowHeight="15" x14ac:dyDescent="0.2"/>
  <cols>
    <col min="1" max="1" width="37.5" bestFit="1" customWidth="1"/>
    <col min="2" max="2" width="15.1640625" bestFit="1" customWidth="1"/>
    <col min="3" max="3" width="11.1640625" customWidth="1"/>
    <col min="4" max="4" width="9" customWidth="1"/>
    <col min="5" max="5" width="17" customWidth="1"/>
    <col min="6" max="7" width="4.1640625" bestFit="1" customWidth="1"/>
    <col min="8" max="8" width="5.1640625" bestFit="1" customWidth="1"/>
    <col min="9" max="9" width="3.1640625" bestFit="1" customWidth="1"/>
    <col min="10" max="10" width="15" bestFit="1" customWidth="1"/>
    <col min="11" max="12" width="23.1640625" bestFit="1" customWidth="1"/>
    <col min="13" max="13" width="26" customWidth="1"/>
    <col min="14" max="14" width="30.33203125" bestFit="1" customWidth="1"/>
    <col min="15" max="15" width="23.5" customWidth="1"/>
    <col min="16" max="16" width="10" bestFit="1" customWidth="1"/>
  </cols>
  <sheetData>
    <row r="1" spans="1:16" x14ac:dyDescent="0.2">
      <c r="A1" t="s">
        <v>598</v>
      </c>
      <c r="B1" t="s">
        <v>397</v>
      </c>
      <c r="C1" t="s">
        <v>452</v>
      </c>
      <c r="D1" t="s">
        <v>599</v>
      </c>
      <c r="E1" t="s">
        <v>390</v>
      </c>
      <c r="F1" t="s">
        <v>451</v>
      </c>
      <c r="G1" t="s">
        <v>453</v>
      </c>
      <c r="H1" t="s">
        <v>4</v>
      </c>
      <c r="I1" t="s">
        <v>6</v>
      </c>
      <c r="J1" t="s">
        <v>8</v>
      </c>
      <c r="K1" t="s">
        <v>9</v>
      </c>
      <c r="L1" t="s">
        <v>11</v>
      </c>
      <c r="M1" t="s">
        <v>13</v>
      </c>
      <c r="N1" t="s">
        <v>16</v>
      </c>
      <c r="O1" t="s">
        <v>19</v>
      </c>
      <c r="P1" t="s">
        <v>1443</v>
      </c>
    </row>
    <row r="2" spans="1:16" x14ac:dyDescent="0.2">
      <c r="A2" s="70" t="s">
        <v>399</v>
      </c>
      <c r="B2" t="s">
        <v>616</v>
      </c>
      <c r="C2" t="s">
        <v>384</v>
      </c>
      <c r="D2" t="s">
        <v>444</v>
      </c>
      <c r="E2" t="s">
        <v>20</v>
      </c>
      <c r="F2" t="s">
        <v>398</v>
      </c>
      <c r="G2" s="70" t="s">
        <v>7</v>
      </c>
      <c r="H2" t="s">
        <v>384</v>
      </c>
      <c r="I2" t="s">
        <v>7</v>
      </c>
      <c r="J2">
        <v>20</v>
      </c>
      <c r="K2">
        <v>1</v>
      </c>
      <c r="L2">
        <v>4</v>
      </c>
      <c r="M2" t="s">
        <v>14</v>
      </c>
      <c r="N2" t="s">
        <v>17</v>
      </c>
      <c r="O2" t="s">
        <v>20</v>
      </c>
      <c r="P2">
        <v>49</v>
      </c>
    </row>
    <row r="3" spans="1:16" x14ac:dyDescent="0.2">
      <c r="A3" s="70" t="s">
        <v>399</v>
      </c>
      <c r="B3" t="s">
        <v>617</v>
      </c>
      <c r="C3" t="s">
        <v>95</v>
      </c>
      <c r="D3" t="s">
        <v>444</v>
      </c>
      <c r="E3" t="s">
        <v>20</v>
      </c>
      <c r="F3" t="s">
        <v>398</v>
      </c>
      <c r="G3" s="70" t="s">
        <v>97</v>
      </c>
      <c r="H3" t="s">
        <v>95</v>
      </c>
      <c r="I3" t="s">
        <v>97</v>
      </c>
      <c r="J3">
        <v>20</v>
      </c>
      <c r="K3">
        <v>2</v>
      </c>
      <c r="L3">
        <v>4</v>
      </c>
      <c r="M3" t="s">
        <v>100</v>
      </c>
      <c r="N3" t="s">
        <v>17</v>
      </c>
      <c r="O3" t="s">
        <v>20</v>
      </c>
      <c r="P3">
        <v>48</v>
      </c>
    </row>
    <row r="4" spans="1:16" x14ac:dyDescent="0.2">
      <c r="A4" s="70" t="s">
        <v>431</v>
      </c>
      <c r="B4" t="s">
        <v>600</v>
      </c>
      <c r="C4" t="s">
        <v>461</v>
      </c>
      <c r="D4" t="s">
        <v>444</v>
      </c>
      <c r="E4" t="s">
        <v>20</v>
      </c>
      <c r="F4" t="s">
        <v>398</v>
      </c>
      <c r="G4" s="70" t="s">
        <v>462</v>
      </c>
      <c r="H4" t="s">
        <v>461</v>
      </c>
      <c r="I4" t="s">
        <v>462</v>
      </c>
      <c r="J4">
        <v>20</v>
      </c>
      <c r="K4">
        <v>1</v>
      </c>
      <c r="L4">
        <v>4</v>
      </c>
      <c r="M4" t="s">
        <v>601</v>
      </c>
      <c r="N4" t="s">
        <v>17</v>
      </c>
      <c r="O4" t="s">
        <v>349</v>
      </c>
      <c r="P4">
        <v>44</v>
      </c>
    </row>
    <row r="5" spans="1:16" x14ac:dyDescent="0.2">
      <c r="A5" s="70" t="s">
        <v>410</v>
      </c>
      <c r="B5" t="s">
        <v>603</v>
      </c>
      <c r="C5" t="s">
        <v>457</v>
      </c>
      <c r="D5" t="s">
        <v>444</v>
      </c>
      <c r="E5" t="s">
        <v>20</v>
      </c>
      <c r="F5" t="s">
        <v>398</v>
      </c>
      <c r="G5" s="70" t="s">
        <v>458</v>
      </c>
      <c r="H5" t="s">
        <v>457</v>
      </c>
      <c r="I5" t="s">
        <v>604</v>
      </c>
      <c r="J5">
        <v>20</v>
      </c>
      <c r="K5">
        <v>1</v>
      </c>
      <c r="L5">
        <v>4</v>
      </c>
      <c r="M5" t="s">
        <v>605</v>
      </c>
      <c r="N5" t="s">
        <v>17</v>
      </c>
      <c r="O5" t="s">
        <v>341</v>
      </c>
      <c r="P5">
        <v>44</v>
      </c>
    </row>
    <row r="6" spans="1:16" x14ac:dyDescent="0.2">
      <c r="A6" s="70" t="s">
        <v>410</v>
      </c>
      <c r="B6" t="s">
        <v>606</v>
      </c>
      <c r="C6" t="s">
        <v>459</v>
      </c>
      <c r="D6" t="s">
        <v>444</v>
      </c>
      <c r="E6" t="s">
        <v>20</v>
      </c>
      <c r="F6" t="s">
        <v>398</v>
      </c>
      <c r="G6" s="70" t="s">
        <v>460</v>
      </c>
      <c r="H6" t="s">
        <v>459</v>
      </c>
      <c r="I6" t="s">
        <v>460</v>
      </c>
      <c r="J6">
        <v>20</v>
      </c>
      <c r="K6">
        <v>2</v>
      </c>
      <c r="L6">
        <v>4</v>
      </c>
      <c r="M6" t="s">
        <v>607</v>
      </c>
      <c r="N6" t="s">
        <v>17</v>
      </c>
      <c r="O6" t="s">
        <v>349</v>
      </c>
      <c r="P6">
        <v>39</v>
      </c>
    </row>
    <row r="7" spans="1:16" x14ac:dyDescent="0.2">
      <c r="A7" s="70" t="s">
        <v>399</v>
      </c>
      <c r="B7" t="s">
        <v>618</v>
      </c>
      <c r="C7" t="s">
        <v>143</v>
      </c>
      <c r="D7" t="s">
        <v>444</v>
      </c>
      <c r="E7" t="s">
        <v>20</v>
      </c>
      <c r="F7" t="s">
        <v>398</v>
      </c>
      <c r="G7" s="70" t="s">
        <v>145</v>
      </c>
      <c r="H7" t="s">
        <v>143</v>
      </c>
      <c r="I7" t="s">
        <v>145</v>
      </c>
      <c r="J7">
        <v>20</v>
      </c>
      <c r="K7">
        <v>1</v>
      </c>
      <c r="L7">
        <v>5</v>
      </c>
      <c r="M7" t="s">
        <v>148</v>
      </c>
      <c r="N7" t="s">
        <v>17</v>
      </c>
      <c r="O7" t="s">
        <v>20</v>
      </c>
      <c r="P7">
        <v>48</v>
      </c>
    </row>
    <row r="8" spans="1:16" x14ac:dyDescent="0.2">
      <c r="A8" s="70" t="s">
        <v>410</v>
      </c>
      <c r="B8" t="s">
        <v>608</v>
      </c>
      <c r="C8" t="s">
        <v>463</v>
      </c>
      <c r="D8" t="s">
        <v>444</v>
      </c>
      <c r="E8" t="s">
        <v>20</v>
      </c>
      <c r="F8" t="s">
        <v>398</v>
      </c>
      <c r="G8" s="70" t="s">
        <v>464</v>
      </c>
      <c r="H8" t="s">
        <v>463</v>
      </c>
      <c r="I8" t="s">
        <v>464</v>
      </c>
      <c r="J8">
        <v>20</v>
      </c>
      <c r="K8">
        <v>2</v>
      </c>
      <c r="L8">
        <v>5</v>
      </c>
      <c r="M8" t="s">
        <v>609</v>
      </c>
      <c r="N8" t="s">
        <v>307</v>
      </c>
      <c r="O8" t="s">
        <v>341</v>
      </c>
      <c r="P8">
        <v>42</v>
      </c>
    </row>
    <row r="9" spans="1:16" x14ac:dyDescent="0.2">
      <c r="A9" s="70" t="s">
        <v>410</v>
      </c>
      <c r="B9" t="s">
        <v>610</v>
      </c>
      <c r="C9" t="s">
        <v>465</v>
      </c>
      <c r="D9" t="s">
        <v>444</v>
      </c>
      <c r="E9" t="s">
        <v>20</v>
      </c>
      <c r="F9" t="s">
        <v>398</v>
      </c>
      <c r="G9" s="70" t="s">
        <v>466</v>
      </c>
      <c r="H9" t="s">
        <v>465</v>
      </c>
      <c r="I9" t="s">
        <v>466</v>
      </c>
      <c r="J9">
        <v>20</v>
      </c>
      <c r="K9">
        <v>2</v>
      </c>
      <c r="L9">
        <v>5</v>
      </c>
      <c r="M9" t="s">
        <v>611</v>
      </c>
      <c r="N9" t="s">
        <v>17</v>
      </c>
      <c r="O9" t="s">
        <v>349</v>
      </c>
      <c r="P9">
        <v>40</v>
      </c>
    </row>
    <row r="10" spans="1:16" x14ac:dyDescent="0.2">
      <c r="A10" s="70" t="s">
        <v>410</v>
      </c>
      <c r="B10" t="s">
        <v>612</v>
      </c>
      <c r="C10" t="s">
        <v>467</v>
      </c>
      <c r="D10" t="s">
        <v>444</v>
      </c>
      <c r="E10" t="s">
        <v>20</v>
      </c>
      <c r="F10" t="s">
        <v>398</v>
      </c>
      <c r="G10" s="70" t="s">
        <v>468</v>
      </c>
      <c r="H10" t="s">
        <v>467</v>
      </c>
      <c r="I10" t="s">
        <v>613</v>
      </c>
      <c r="L10">
        <v>5</v>
      </c>
      <c r="M10" t="s">
        <v>614</v>
      </c>
      <c r="N10" t="s">
        <v>17</v>
      </c>
      <c r="O10" t="s">
        <v>342</v>
      </c>
      <c r="P10">
        <v>0</v>
      </c>
    </row>
    <row r="11" spans="1:16" x14ac:dyDescent="0.2">
      <c r="A11" s="70" t="s">
        <v>399</v>
      </c>
      <c r="B11" t="s">
        <v>620</v>
      </c>
      <c r="C11" t="s">
        <v>216</v>
      </c>
      <c r="D11" t="s">
        <v>444</v>
      </c>
      <c r="E11" t="s">
        <v>20</v>
      </c>
      <c r="F11" t="s">
        <v>398</v>
      </c>
      <c r="G11" s="70" t="s">
        <v>218</v>
      </c>
      <c r="H11" t="s">
        <v>216</v>
      </c>
      <c r="I11" t="s">
        <v>218</v>
      </c>
      <c r="J11">
        <v>20</v>
      </c>
      <c r="K11">
        <v>1</v>
      </c>
      <c r="L11">
        <v>6</v>
      </c>
      <c r="M11" t="s">
        <v>221</v>
      </c>
      <c r="N11" t="s">
        <v>17</v>
      </c>
      <c r="O11" t="s">
        <v>20</v>
      </c>
      <c r="P11">
        <v>46</v>
      </c>
    </row>
    <row r="12" spans="1:16" x14ac:dyDescent="0.2">
      <c r="A12" s="70" t="s">
        <v>399</v>
      </c>
      <c r="B12" t="s">
        <v>621</v>
      </c>
      <c r="C12" t="s">
        <v>387</v>
      </c>
      <c r="D12" t="s">
        <v>444</v>
      </c>
      <c r="E12" t="s">
        <v>20</v>
      </c>
      <c r="F12" t="s">
        <v>398</v>
      </c>
      <c r="G12" s="70" t="s">
        <v>388</v>
      </c>
      <c r="H12" t="s">
        <v>387</v>
      </c>
      <c r="I12" t="s">
        <v>388</v>
      </c>
      <c r="J12">
        <v>20</v>
      </c>
      <c r="K12">
        <v>2</v>
      </c>
      <c r="L12">
        <v>6</v>
      </c>
      <c r="M12" t="s">
        <v>282</v>
      </c>
      <c r="N12" t="s">
        <v>17</v>
      </c>
      <c r="O12" t="s">
        <v>20</v>
      </c>
      <c r="P12">
        <v>40</v>
      </c>
    </row>
    <row r="13" spans="1:16" x14ac:dyDescent="0.2">
      <c r="A13" s="70" t="s">
        <v>399</v>
      </c>
      <c r="B13" t="s">
        <v>622</v>
      </c>
      <c r="C13" t="s">
        <v>454</v>
      </c>
      <c r="D13" t="s">
        <v>444</v>
      </c>
      <c r="E13" t="s">
        <v>20</v>
      </c>
      <c r="F13" t="s">
        <v>398</v>
      </c>
      <c r="G13" s="70" t="s">
        <v>259</v>
      </c>
      <c r="H13">
        <v>6303</v>
      </c>
      <c r="I13" t="s">
        <v>259</v>
      </c>
      <c r="J13">
        <v>20</v>
      </c>
      <c r="K13">
        <v>1</v>
      </c>
      <c r="L13">
        <v>6</v>
      </c>
      <c r="M13" t="s">
        <v>262</v>
      </c>
      <c r="N13" t="s">
        <v>17</v>
      </c>
      <c r="O13" t="s">
        <v>20</v>
      </c>
      <c r="P13">
        <v>40</v>
      </c>
    </row>
    <row r="14" spans="1:16" x14ac:dyDescent="0.2">
      <c r="A14" s="70" t="s">
        <v>399</v>
      </c>
      <c r="B14" t="s">
        <v>623</v>
      </c>
      <c r="C14" t="s">
        <v>389</v>
      </c>
      <c r="D14" t="s">
        <v>444</v>
      </c>
      <c r="E14" t="s">
        <v>20</v>
      </c>
      <c r="F14" t="s">
        <v>398</v>
      </c>
      <c r="G14" s="70" t="s">
        <v>197</v>
      </c>
      <c r="H14" t="s">
        <v>389</v>
      </c>
      <c r="I14" t="s">
        <v>197</v>
      </c>
      <c r="J14">
        <v>20</v>
      </c>
      <c r="K14" t="s">
        <v>201</v>
      </c>
      <c r="L14">
        <v>6</v>
      </c>
      <c r="M14" t="s">
        <v>204</v>
      </c>
      <c r="N14" t="s">
        <v>205</v>
      </c>
      <c r="O14" t="s">
        <v>20</v>
      </c>
      <c r="P14">
        <v>20</v>
      </c>
    </row>
    <row r="15" spans="1:16" x14ac:dyDescent="0.2">
      <c r="A15" s="70" t="s">
        <v>410</v>
      </c>
      <c r="B15" t="s">
        <v>615</v>
      </c>
      <c r="C15" t="s">
        <v>469</v>
      </c>
      <c r="D15" t="s">
        <v>444</v>
      </c>
      <c r="E15" t="s">
        <v>20</v>
      </c>
      <c r="F15" t="s">
        <v>398</v>
      </c>
      <c r="G15" s="70" t="s">
        <v>470</v>
      </c>
      <c r="H15" t="s">
        <v>469</v>
      </c>
      <c r="I15" t="s">
        <v>470</v>
      </c>
      <c r="J15">
        <v>40</v>
      </c>
      <c r="K15" t="s">
        <v>201</v>
      </c>
      <c r="L15">
        <v>6</v>
      </c>
      <c r="N15" t="s">
        <v>308</v>
      </c>
      <c r="O15" t="s">
        <v>341</v>
      </c>
      <c r="P15">
        <v>36</v>
      </c>
    </row>
    <row r="16" spans="1:16" x14ac:dyDescent="0.2">
      <c r="A16" s="70" t="s">
        <v>399</v>
      </c>
      <c r="B16" t="s">
        <v>619</v>
      </c>
      <c r="C16" t="s">
        <v>385</v>
      </c>
      <c r="D16" t="s">
        <v>444</v>
      </c>
      <c r="E16" t="s">
        <v>20</v>
      </c>
      <c r="F16" t="s">
        <v>398</v>
      </c>
      <c r="G16" s="70" t="s">
        <v>386</v>
      </c>
      <c r="H16" t="s">
        <v>385</v>
      </c>
      <c r="I16" t="s">
        <v>386</v>
      </c>
      <c r="P16">
        <v>0</v>
      </c>
    </row>
    <row r="17" spans="1:16" x14ac:dyDescent="0.2">
      <c r="A17" s="70" t="s">
        <v>410</v>
      </c>
      <c r="B17" t="s">
        <v>602</v>
      </c>
      <c r="C17" t="s">
        <v>455</v>
      </c>
      <c r="D17" t="s">
        <v>444</v>
      </c>
      <c r="E17" t="s">
        <v>20</v>
      </c>
      <c r="F17" t="s">
        <v>398</v>
      </c>
      <c r="G17" s="70" t="s">
        <v>456</v>
      </c>
      <c r="H17" t="s">
        <v>455</v>
      </c>
      <c r="I17" t="s">
        <v>456</v>
      </c>
      <c r="N17" t="s">
        <v>307</v>
      </c>
      <c r="P17">
        <v>0</v>
      </c>
    </row>
    <row r="20" spans="1:16" x14ac:dyDescent="0.2">
      <c r="A20" s="71" t="s">
        <v>1448</v>
      </c>
      <c r="B20" s="71" t="s">
        <v>1447</v>
      </c>
    </row>
    <row r="21" spans="1:16" x14ac:dyDescent="0.2">
      <c r="A21" s="71" t="s">
        <v>1444</v>
      </c>
      <c r="B21">
        <v>6</v>
      </c>
      <c r="C21">
        <v>7</v>
      </c>
      <c r="D21">
        <v>8</v>
      </c>
      <c r="E21">
        <v>9</v>
      </c>
      <c r="F21">
        <v>10</v>
      </c>
      <c r="G21">
        <v>12</v>
      </c>
      <c r="H21">
        <v>13</v>
      </c>
      <c r="I21">
        <v>28</v>
      </c>
      <c r="J21" t="s">
        <v>424</v>
      </c>
      <c r="K21" t="s">
        <v>435</v>
      </c>
      <c r="L21" t="s">
        <v>437</v>
      </c>
      <c r="M21" t="s">
        <v>160</v>
      </c>
      <c r="N21" t="s">
        <v>59</v>
      </c>
      <c r="O21" t="s">
        <v>1446</v>
      </c>
      <c r="P21" t="s">
        <v>1445</v>
      </c>
    </row>
    <row r="22" spans="1:16" x14ac:dyDescent="0.2">
      <c r="A22" s="72" t="s">
        <v>197</v>
      </c>
      <c r="B22" s="70"/>
      <c r="C22" s="70"/>
      <c r="D22" s="70"/>
      <c r="E22" s="70"/>
      <c r="F22" s="70"/>
      <c r="G22" s="70"/>
      <c r="H22" s="70"/>
      <c r="I22" s="70"/>
      <c r="J22" s="70"/>
      <c r="K22" s="70"/>
      <c r="L22" s="70"/>
      <c r="M22" s="70"/>
      <c r="N22" s="70"/>
      <c r="O22" s="70">
        <v>1</v>
      </c>
      <c r="P22" s="70">
        <v>1</v>
      </c>
    </row>
    <row r="23" spans="1:16" x14ac:dyDescent="0.2">
      <c r="A23" s="72" t="s">
        <v>259</v>
      </c>
      <c r="B23" s="70">
        <v>0.3</v>
      </c>
      <c r="C23" s="70"/>
      <c r="D23" s="70"/>
      <c r="E23" s="70"/>
      <c r="F23" s="70"/>
      <c r="G23" s="70">
        <v>0.7</v>
      </c>
      <c r="H23" s="70"/>
      <c r="I23" s="70"/>
      <c r="J23" s="70"/>
      <c r="K23" s="70"/>
      <c r="L23" s="70"/>
      <c r="M23" s="70"/>
      <c r="N23" s="70"/>
      <c r="O23" s="70"/>
      <c r="P23" s="70">
        <v>1</v>
      </c>
    </row>
    <row r="24" spans="1:16" x14ac:dyDescent="0.2">
      <c r="A24" s="72" t="s">
        <v>468</v>
      </c>
      <c r="B24" s="70"/>
      <c r="C24" s="70"/>
      <c r="D24" s="70"/>
      <c r="E24" s="70">
        <v>0.5</v>
      </c>
      <c r="F24" s="70"/>
      <c r="G24" s="70">
        <v>0.5</v>
      </c>
      <c r="H24" s="70"/>
      <c r="I24" s="70"/>
      <c r="J24" s="70"/>
      <c r="K24" s="70"/>
      <c r="L24" s="70"/>
      <c r="M24" s="70"/>
      <c r="N24" s="70"/>
      <c r="O24" s="70"/>
      <c r="P24" s="70">
        <v>1</v>
      </c>
    </row>
    <row r="25" spans="1:16" x14ac:dyDescent="0.2">
      <c r="A25" s="72" t="s">
        <v>458</v>
      </c>
      <c r="B25" s="70">
        <v>0.5</v>
      </c>
      <c r="C25" s="70"/>
      <c r="D25" s="70"/>
      <c r="E25" s="70"/>
      <c r="F25" s="70"/>
      <c r="G25" s="70">
        <v>0.5</v>
      </c>
      <c r="H25" s="70"/>
      <c r="I25" s="70"/>
      <c r="J25" s="70"/>
      <c r="K25" s="70"/>
      <c r="L25" s="70"/>
      <c r="M25" s="70"/>
      <c r="N25" s="70"/>
      <c r="O25" s="70"/>
      <c r="P25" s="70">
        <v>1</v>
      </c>
    </row>
    <row r="26" spans="1:16" x14ac:dyDescent="0.2">
      <c r="A26" s="72" t="s">
        <v>218</v>
      </c>
      <c r="B26" s="70"/>
      <c r="C26" s="70">
        <v>0.5</v>
      </c>
      <c r="D26" s="70"/>
      <c r="E26" s="70"/>
      <c r="F26" s="70"/>
      <c r="G26" s="70">
        <v>0.5</v>
      </c>
      <c r="H26" s="70"/>
      <c r="I26" s="70"/>
      <c r="J26" s="70"/>
      <c r="K26" s="70"/>
      <c r="L26" s="70"/>
      <c r="M26" s="70"/>
      <c r="N26" s="70"/>
      <c r="O26" s="70"/>
      <c r="P26" s="70">
        <v>1</v>
      </c>
    </row>
    <row r="27" spans="1:16" x14ac:dyDescent="0.2">
      <c r="A27" s="72" t="s">
        <v>386</v>
      </c>
      <c r="B27" s="70">
        <v>0.5</v>
      </c>
      <c r="C27" s="70"/>
      <c r="D27" s="70"/>
      <c r="E27" s="70"/>
      <c r="F27" s="70"/>
      <c r="G27" s="70"/>
      <c r="H27" s="70"/>
      <c r="I27" s="70"/>
      <c r="J27" s="70"/>
      <c r="K27" s="70"/>
      <c r="L27" s="70"/>
      <c r="M27" s="70"/>
      <c r="N27" s="70"/>
      <c r="O27" s="70"/>
      <c r="P27" s="70">
        <v>0.5</v>
      </c>
    </row>
    <row r="28" spans="1:16" x14ac:dyDescent="0.2">
      <c r="A28" s="72" t="s">
        <v>460</v>
      </c>
      <c r="B28" s="70">
        <v>0.35</v>
      </c>
      <c r="C28" s="70"/>
      <c r="D28" s="70"/>
      <c r="E28" s="70"/>
      <c r="F28" s="70"/>
      <c r="G28" s="70"/>
      <c r="H28" s="70">
        <v>0.65</v>
      </c>
      <c r="I28" s="70"/>
      <c r="J28" s="70"/>
      <c r="K28" s="70"/>
      <c r="L28" s="70"/>
      <c r="M28" s="70"/>
      <c r="N28" s="70"/>
      <c r="O28" s="70"/>
      <c r="P28" s="70">
        <v>1</v>
      </c>
    </row>
    <row r="29" spans="1:16" x14ac:dyDescent="0.2">
      <c r="A29" s="72" t="s">
        <v>470</v>
      </c>
      <c r="B29" s="70"/>
      <c r="C29" s="70"/>
      <c r="D29" s="70"/>
      <c r="E29" s="70"/>
      <c r="F29" s="70"/>
      <c r="G29" s="70"/>
      <c r="H29" s="70"/>
      <c r="I29" s="70">
        <v>1</v>
      </c>
      <c r="J29" s="70"/>
      <c r="K29" s="70"/>
      <c r="L29" s="70"/>
      <c r="M29" s="70"/>
      <c r="N29" s="70"/>
      <c r="O29" s="70"/>
      <c r="P29" s="70">
        <v>1</v>
      </c>
    </row>
    <row r="30" spans="1:16" x14ac:dyDescent="0.2">
      <c r="A30" s="72" t="s">
        <v>388</v>
      </c>
      <c r="B30" s="70"/>
      <c r="C30" s="70"/>
      <c r="D30" s="70"/>
      <c r="E30" s="70"/>
      <c r="F30" s="70"/>
      <c r="G30" s="70">
        <v>1</v>
      </c>
      <c r="H30" s="70"/>
      <c r="I30" s="70"/>
      <c r="J30" s="70"/>
      <c r="K30" s="70"/>
      <c r="L30" s="70"/>
      <c r="M30" s="70"/>
      <c r="N30" s="70"/>
      <c r="O30" s="70"/>
      <c r="P30" s="70">
        <v>1</v>
      </c>
    </row>
    <row r="31" spans="1:16" x14ac:dyDescent="0.2">
      <c r="A31" s="72" t="s">
        <v>466</v>
      </c>
      <c r="B31" s="70"/>
      <c r="C31" s="70"/>
      <c r="D31" s="70">
        <v>0.5</v>
      </c>
      <c r="E31" s="70"/>
      <c r="F31" s="70"/>
      <c r="G31" s="70"/>
      <c r="H31" s="70"/>
      <c r="I31" s="70"/>
      <c r="J31" s="70">
        <v>0.5</v>
      </c>
      <c r="K31" s="70"/>
      <c r="L31" s="70"/>
      <c r="M31" s="70"/>
      <c r="N31" s="70"/>
      <c r="O31" s="70"/>
      <c r="P31" s="70">
        <v>1</v>
      </c>
    </row>
    <row r="32" spans="1:16" x14ac:dyDescent="0.2">
      <c r="A32" s="72" t="s">
        <v>7</v>
      </c>
      <c r="B32" s="70"/>
      <c r="C32" s="70"/>
      <c r="D32" s="70"/>
      <c r="E32" s="70"/>
      <c r="F32" s="70"/>
      <c r="G32" s="70">
        <v>0.5</v>
      </c>
      <c r="H32" s="70"/>
      <c r="I32" s="70"/>
      <c r="J32" s="70"/>
      <c r="K32" s="70"/>
      <c r="L32" s="70"/>
      <c r="M32" s="70"/>
      <c r="N32" s="70">
        <v>0.5</v>
      </c>
      <c r="O32" s="70"/>
      <c r="P32" s="70">
        <v>1</v>
      </c>
    </row>
    <row r="33" spans="1:16" x14ac:dyDescent="0.2">
      <c r="A33" s="72" t="s">
        <v>145</v>
      </c>
      <c r="B33" s="70"/>
      <c r="C33" s="70"/>
      <c r="D33" s="70"/>
      <c r="E33" s="70"/>
      <c r="F33" s="70">
        <v>0.5</v>
      </c>
      <c r="G33" s="70"/>
      <c r="H33" s="70"/>
      <c r="I33" s="70"/>
      <c r="J33" s="70"/>
      <c r="K33" s="70"/>
      <c r="L33" s="70"/>
      <c r="M33" s="70">
        <v>0.5</v>
      </c>
      <c r="N33" s="70"/>
      <c r="O33" s="70"/>
      <c r="P33" s="70">
        <v>1</v>
      </c>
    </row>
    <row r="34" spans="1:16" x14ac:dyDescent="0.2">
      <c r="A34" s="72" t="s">
        <v>462</v>
      </c>
      <c r="B34" s="70"/>
      <c r="C34" s="70"/>
      <c r="D34" s="70"/>
      <c r="E34" s="70"/>
      <c r="F34" s="70"/>
      <c r="G34" s="70"/>
      <c r="H34" s="70"/>
      <c r="I34" s="70"/>
      <c r="J34" s="70"/>
      <c r="K34" s="70">
        <v>0.5</v>
      </c>
      <c r="L34" s="70">
        <v>0.5</v>
      </c>
      <c r="M34" s="70"/>
      <c r="N34" s="70"/>
      <c r="O34" s="70"/>
      <c r="P34" s="70">
        <v>1</v>
      </c>
    </row>
    <row r="35" spans="1:16" x14ac:dyDescent="0.2">
      <c r="A35" s="72" t="s">
        <v>464</v>
      </c>
      <c r="B35" s="70">
        <v>0.5</v>
      </c>
      <c r="C35" s="70"/>
      <c r="D35" s="70"/>
      <c r="E35" s="70"/>
      <c r="F35" s="70"/>
      <c r="G35" s="70">
        <v>0.5</v>
      </c>
      <c r="H35" s="70"/>
      <c r="I35" s="70"/>
      <c r="J35" s="70"/>
      <c r="K35" s="70"/>
      <c r="L35" s="70"/>
      <c r="M35" s="70"/>
      <c r="N35" s="70"/>
      <c r="O35" s="70"/>
      <c r="P35" s="70">
        <v>1</v>
      </c>
    </row>
    <row r="36" spans="1:16" x14ac:dyDescent="0.2">
      <c r="A36" s="72" t="s">
        <v>97</v>
      </c>
      <c r="B36" s="70"/>
      <c r="C36" s="70">
        <v>0.4</v>
      </c>
      <c r="D36" s="70"/>
      <c r="E36" s="70"/>
      <c r="F36" s="70"/>
      <c r="G36" s="70">
        <v>0.6</v>
      </c>
      <c r="H36" s="70"/>
      <c r="I36" s="70"/>
      <c r="J36" s="70"/>
      <c r="K36" s="70"/>
      <c r="L36" s="70"/>
      <c r="M36" s="70"/>
      <c r="N36" s="70"/>
      <c r="O36" s="70"/>
      <c r="P36" s="70">
        <v>1</v>
      </c>
    </row>
    <row r="37" spans="1:16" x14ac:dyDescent="0.2">
      <c r="A37" s="72" t="s">
        <v>1445</v>
      </c>
      <c r="B37" s="70">
        <v>2.15</v>
      </c>
      <c r="C37" s="70">
        <v>0.9</v>
      </c>
      <c r="D37" s="70">
        <v>0.5</v>
      </c>
      <c r="E37" s="70">
        <v>0.5</v>
      </c>
      <c r="F37" s="70">
        <v>0.5</v>
      </c>
      <c r="G37" s="70">
        <v>4.8</v>
      </c>
      <c r="H37" s="70">
        <v>0.65</v>
      </c>
      <c r="I37" s="70">
        <v>1</v>
      </c>
      <c r="J37" s="70">
        <v>0.5</v>
      </c>
      <c r="K37" s="70">
        <v>0.5</v>
      </c>
      <c r="L37" s="70">
        <v>0.5</v>
      </c>
      <c r="M37" s="70">
        <v>0.5</v>
      </c>
      <c r="N37" s="70">
        <v>0.5</v>
      </c>
      <c r="O37" s="70">
        <v>1</v>
      </c>
      <c r="P37" s="70">
        <v>14.5</v>
      </c>
    </row>
  </sheetData>
  <pageMargins left="0.7" right="0.7" top="0.75" bottom="0.75" header="0.3" footer="0.3"/>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78648-21AD-D541-B467-E8FBABB31ECB}">
  <dimension ref="A1:D108"/>
  <sheetViews>
    <sheetView topLeftCell="A84" workbookViewId="0"/>
  </sheetViews>
  <sheetFormatPr baseColWidth="10" defaultRowHeight="15" x14ac:dyDescent="0.2"/>
  <cols>
    <col min="1" max="1" width="20.6640625" bestFit="1" customWidth="1"/>
    <col min="2" max="2" width="11.33203125" bestFit="1" customWidth="1"/>
    <col min="3" max="3" width="13.6640625" bestFit="1" customWidth="1"/>
    <col min="4" max="4" width="55.1640625" bestFit="1" customWidth="1"/>
  </cols>
  <sheetData>
    <row r="1" spans="1:4" x14ac:dyDescent="0.2">
      <c r="A1" t="s">
        <v>390</v>
      </c>
      <c r="B1" t="s">
        <v>451</v>
      </c>
      <c r="C1" t="s">
        <v>452</v>
      </c>
      <c r="D1" t="s">
        <v>453</v>
      </c>
    </row>
    <row r="2" spans="1:4" x14ac:dyDescent="0.2">
      <c r="A2" t="s">
        <v>20</v>
      </c>
      <c r="B2" t="s">
        <v>398</v>
      </c>
      <c r="C2" s="70" t="s">
        <v>384</v>
      </c>
      <c r="D2" s="70" t="s">
        <v>7</v>
      </c>
    </row>
    <row r="3" spans="1:4" x14ac:dyDescent="0.2">
      <c r="A3" t="s">
        <v>20</v>
      </c>
      <c r="B3" t="s">
        <v>398</v>
      </c>
      <c r="C3" s="70" t="s">
        <v>95</v>
      </c>
      <c r="D3" s="70" t="s">
        <v>97</v>
      </c>
    </row>
    <row r="4" spans="1:4" x14ac:dyDescent="0.2">
      <c r="A4" t="s">
        <v>20</v>
      </c>
      <c r="B4" t="s">
        <v>398</v>
      </c>
      <c r="C4" s="70" t="s">
        <v>143</v>
      </c>
      <c r="D4" s="70" t="s">
        <v>145</v>
      </c>
    </row>
    <row r="5" spans="1:4" x14ac:dyDescent="0.2">
      <c r="A5" t="s">
        <v>20</v>
      </c>
      <c r="B5" t="s">
        <v>398</v>
      </c>
      <c r="C5" s="70" t="s">
        <v>385</v>
      </c>
      <c r="D5" s="70" t="s">
        <v>386</v>
      </c>
    </row>
    <row r="6" spans="1:4" x14ac:dyDescent="0.2">
      <c r="A6" t="s">
        <v>20</v>
      </c>
      <c r="B6" t="s">
        <v>398</v>
      </c>
      <c r="C6" s="70" t="s">
        <v>216</v>
      </c>
      <c r="D6" s="70" t="s">
        <v>218</v>
      </c>
    </row>
    <row r="7" spans="1:4" x14ac:dyDescent="0.2">
      <c r="A7" t="s">
        <v>20</v>
      </c>
      <c r="B7" t="s">
        <v>398</v>
      </c>
      <c r="C7" s="70" t="s">
        <v>387</v>
      </c>
      <c r="D7" s="70" t="s">
        <v>388</v>
      </c>
    </row>
    <row r="8" spans="1:4" x14ac:dyDescent="0.2">
      <c r="A8" t="s">
        <v>20</v>
      </c>
      <c r="B8" t="s">
        <v>398</v>
      </c>
      <c r="C8" s="70" t="s">
        <v>454</v>
      </c>
      <c r="D8" s="70" t="s">
        <v>259</v>
      </c>
    </row>
    <row r="9" spans="1:4" x14ac:dyDescent="0.2">
      <c r="A9" t="s">
        <v>20</v>
      </c>
      <c r="B9" t="s">
        <v>398</v>
      </c>
      <c r="C9" s="70" t="s">
        <v>389</v>
      </c>
      <c r="D9" s="70" t="s">
        <v>197</v>
      </c>
    </row>
    <row r="10" spans="1:4" x14ac:dyDescent="0.2">
      <c r="A10" t="s">
        <v>20</v>
      </c>
      <c r="B10" t="s">
        <v>398</v>
      </c>
      <c r="C10" s="70" t="s">
        <v>455</v>
      </c>
      <c r="D10" s="70" t="s">
        <v>456</v>
      </c>
    </row>
    <row r="11" spans="1:4" x14ac:dyDescent="0.2">
      <c r="A11" t="s">
        <v>20</v>
      </c>
      <c r="B11" t="s">
        <v>398</v>
      </c>
      <c r="C11" s="70" t="s">
        <v>457</v>
      </c>
      <c r="D11" s="70" t="s">
        <v>458</v>
      </c>
    </row>
    <row r="12" spans="1:4" x14ac:dyDescent="0.2">
      <c r="A12" t="s">
        <v>20</v>
      </c>
      <c r="B12" t="s">
        <v>398</v>
      </c>
      <c r="C12" s="70" t="s">
        <v>459</v>
      </c>
      <c r="D12" s="70" t="s">
        <v>460</v>
      </c>
    </row>
    <row r="13" spans="1:4" x14ac:dyDescent="0.2">
      <c r="A13" t="s">
        <v>20</v>
      </c>
      <c r="B13" t="s">
        <v>398</v>
      </c>
      <c r="C13" s="70" t="s">
        <v>461</v>
      </c>
      <c r="D13" s="70" t="s">
        <v>462</v>
      </c>
    </row>
    <row r="14" spans="1:4" x14ac:dyDescent="0.2">
      <c r="A14" t="s">
        <v>20</v>
      </c>
      <c r="B14" t="s">
        <v>398</v>
      </c>
      <c r="C14" s="70" t="s">
        <v>463</v>
      </c>
      <c r="D14" s="70" t="s">
        <v>464</v>
      </c>
    </row>
    <row r="15" spans="1:4" x14ac:dyDescent="0.2">
      <c r="A15" t="s">
        <v>20</v>
      </c>
      <c r="B15" t="s">
        <v>398</v>
      </c>
      <c r="C15" s="70" t="s">
        <v>465</v>
      </c>
      <c r="D15" s="70" t="s">
        <v>466</v>
      </c>
    </row>
    <row r="16" spans="1:4" x14ac:dyDescent="0.2">
      <c r="A16" t="s">
        <v>20</v>
      </c>
      <c r="B16" t="s">
        <v>398</v>
      </c>
      <c r="C16" s="70" t="s">
        <v>467</v>
      </c>
      <c r="D16" s="70" t="s">
        <v>468</v>
      </c>
    </row>
    <row r="17" spans="1:4" x14ac:dyDescent="0.2">
      <c r="A17" t="s">
        <v>20</v>
      </c>
      <c r="B17" t="s">
        <v>398</v>
      </c>
      <c r="C17" s="70" t="s">
        <v>469</v>
      </c>
      <c r="D17" s="70" t="s">
        <v>470</v>
      </c>
    </row>
    <row r="18" spans="1:4" x14ac:dyDescent="0.2">
      <c r="A18" t="s">
        <v>327</v>
      </c>
      <c r="B18" t="s">
        <v>471</v>
      </c>
      <c r="C18" s="70" t="s">
        <v>472</v>
      </c>
      <c r="D18" s="70" t="s">
        <v>473</v>
      </c>
    </row>
    <row r="19" spans="1:4" x14ac:dyDescent="0.2">
      <c r="A19" t="s">
        <v>327</v>
      </c>
      <c r="B19" t="s">
        <v>471</v>
      </c>
      <c r="C19" s="70" t="s">
        <v>474</v>
      </c>
      <c r="D19" s="70" t="s">
        <v>475</v>
      </c>
    </row>
    <row r="20" spans="1:4" x14ac:dyDescent="0.2">
      <c r="A20" t="s">
        <v>327</v>
      </c>
      <c r="B20" t="s">
        <v>471</v>
      </c>
      <c r="C20" s="70" t="s">
        <v>476</v>
      </c>
      <c r="D20" s="70" t="s">
        <v>477</v>
      </c>
    </row>
    <row r="21" spans="1:4" x14ac:dyDescent="0.2">
      <c r="A21" t="s">
        <v>327</v>
      </c>
      <c r="B21" t="s">
        <v>471</v>
      </c>
      <c r="C21" s="70" t="s">
        <v>478</v>
      </c>
      <c r="D21" s="70" t="s">
        <v>479</v>
      </c>
    </row>
    <row r="22" spans="1:4" x14ac:dyDescent="0.2">
      <c r="A22" t="s">
        <v>327</v>
      </c>
      <c r="B22" t="s">
        <v>471</v>
      </c>
      <c r="C22" s="70" t="s">
        <v>480</v>
      </c>
      <c r="D22" s="70" t="s">
        <v>481</v>
      </c>
    </row>
    <row r="23" spans="1:4" x14ac:dyDescent="0.2">
      <c r="A23" t="s">
        <v>327</v>
      </c>
      <c r="B23" t="s">
        <v>471</v>
      </c>
      <c r="C23" s="70" t="s">
        <v>482</v>
      </c>
      <c r="D23" s="70" t="s">
        <v>483</v>
      </c>
    </row>
    <row r="24" spans="1:4" x14ac:dyDescent="0.2">
      <c r="A24" t="s">
        <v>327</v>
      </c>
      <c r="B24" t="s">
        <v>471</v>
      </c>
      <c r="C24" s="70" t="s">
        <v>484</v>
      </c>
      <c r="D24" s="70" t="s">
        <v>485</v>
      </c>
    </row>
    <row r="25" spans="1:4" x14ac:dyDescent="0.2">
      <c r="A25" t="s">
        <v>327</v>
      </c>
      <c r="B25" t="s">
        <v>471</v>
      </c>
      <c r="C25" s="70" t="s">
        <v>486</v>
      </c>
      <c r="D25" s="70" t="s">
        <v>487</v>
      </c>
    </row>
    <row r="26" spans="1:4" x14ac:dyDescent="0.2">
      <c r="A26" t="s">
        <v>327</v>
      </c>
      <c r="B26" t="s">
        <v>471</v>
      </c>
      <c r="C26" s="70" t="s">
        <v>488</v>
      </c>
      <c r="D26" s="70" t="s">
        <v>489</v>
      </c>
    </row>
    <row r="27" spans="1:4" x14ac:dyDescent="0.2">
      <c r="A27" t="s">
        <v>327</v>
      </c>
      <c r="B27" t="s">
        <v>471</v>
      </c>
      <c r="C27" s="70" t="s">
        <v>461</v>
      </c>
      <c r="D27" s="70" t="s">
        <v>462</v>
      </c>
    </row>
    <row r="28" spans="1:4" x14ac:dyDescent="0.2">
      <c r="A28" t="s">
        <v>327</v>
      </c>
      <c r="B28" t="s">
        <v>471</v>
      </c>
      <c r="C28" s="70" t="s">
        <v>455</v>
      </c>
      <c r="D28" s="70" t="s">
        <v>456</v>
      </c>
    </row>
    <row r="29" spans="1:4" x14ac:dyDescent="0.2">
      <c r="A29" t="s">
        <v>327</v>
      </c>
      <c r="B29" t="s">
        <v>471</v>
      </c>
      <c r="C29" s="70" t="s">
        <v>457</v>
      </c>
      <c r="D29" s="70" t="s">
        <v>458</v>
      </c>
    </row>
    <row r="30" spans="1:4" x14ac:dyDescent="0.2">
      <c r="A30" t="s">
        <v>327</v>
      </c>
      <c r="B30" t="s">
        <v>471</v>
      </c>
      <c r="C30" s="70" t="s">
        <v>459</v>
      </c>
      <c r="D30" s="70" t="s">
        <v>460</v>
      </c>
    </row>
    <row r="31" spans="1:4" x14ac:dyDescent="0.2">
      <c r="A31" t="s">
        <v>327</v>
      </c>
      <c r="B31" t="s">
        <v>471</v>
      </c>
      <c r="C31" s="70" t="s">
        <v>469</v>
      </c>
      <c r="D31" s="70" t="s">
        <v>470</v>
      </c>
    </row>
    <row r="32" spans="1:4" x14ac:dyDescent="0.2">
      <c r="A32" t="s">
        <v>330</v>
      </c>
      <c r="B32" t="s">
        <v>490</v>
      </c>
      <c r="C32" s="70" t="s">
        <v>491</v>
      </c>
      <c r="D32" s="70" t="s">
        <v>492</v>
      </c>
    </row>
    <row r="33" spans="1:4" x14ac:dyDescent="0.2">
      <c r="A33" t="s">
        <v>330</v>
      </c>
      <c r="B33" t="s">
        <v>490</v>
      </c>
      <c r="C33" s="70" t="s">
        <v>493</v>
      </c>
      <c r="D33" s="70" t="s">
        <v>494</v>
      </c>
    </row>
    <row r="34" spans="1:4" x14ac:dyDescent="0.2">
      <c r="A34" t="s">
        <v>330</v>
      </c>
      <c r="B34" t="s">
        <v>490</v>
      </c>
      <c r="C34" s="70" t="s">
        <v>455</v>
      </c>
      <c r="D34" s="70" t="s">
        <v>456</v>
      </c>
    </row>
    <row r="35" spans="1:4" x14ac:dyDescent="0.2">
      <c r="A35" t="s">
        <v>330</v>
      </c>
      <c r="B35" t="s">
        <v>490</v>
      </c>
      <c r="C35" s="70" t="s">
        <v>457</v>
      </c>
      <c r="D35" s="70" t="s">
        <v>458</v>
      </c>
    </row>
    <row r="36" spans="1:4" x14ac:dyDescent="0.2">
      <c r="A36" t="s">
        <v>330</v>
      </c>
      <c r="B36" t="s">
        <v>490</v>
      </c>
      <c r="C36" s="70" t="s">
        <v>459</v>
      </c>
      <c r="D36" s="70" t="s">
        <v>460</v>
      </c>
    </row>
    <row r="37" spans="1:4" x14ac:dyDescent="0.2">
      <c r="A37" t="s">
        <v>330</v>
      </c>
      <c r="B37" t="s">
        <v>490</v>
      </c>
      <c r="C37" s="70" t="s">
        <v>463</v>
      </c>
      <c r="D37" s="70" t="s">
        <v>464</v>
      </c>
    </row>
    <row r="38" spans="1:4" x14ac:dyDescent="0.2">
      <c r="A38" t="s">
        <v>330</v>
      </c>
      <c r="B38" t="s">
        <v>490</v>
      </c>
      <c r="C38" s="70" t="s">
        <v>465</v>
      </c>
      <c r="D38" s="70" t="s">
        <v>466</v>
      </c>
    </row>
    <row r="39" spans="1:4" x14ac:dyDescent="0.2">
      <c r="A39" t="s">
        <v>330</v>
      </c>
      <c r="B39" t="s">
        <v>490</v>
      </c>
      <c r="C39" s="70" t="s">
        <v>495</v>
      </c>
      <c r="D39" s="70" t="s">
        <v>496</v>
      </c>
    </row>
    <row r="40" spans="1:4" x14ac:dyDescent="0.2">
      <c r="A40" t="s">
        <v>330</v>
      </c>
      <c r="B40" t="s">
        <v>490</v>
      </c>
      <c r="C40" s="70" t="s">
        <v>497</v>
      </c>
      <c r="D40" s="70" t="s">
        <v>498</v>
      </c>
    </row>
    <row r="41" spans="1:4" x14ac:dyDescent="0.2">
      <c r="A41" t="s">
        <v>330</v>
      </c>
      <c r="B41" t="s">
        <v>490</v>
      </c>
      <c r="C41" s="70" t="s">
        <v>467</v>
      </c>
      <c r="D41" s="70" t="s">
        <v>468</v>
      </c>
    </row>
    <row r="42" spans="1:4" x14ac:dyDescent="0.2">
      <c r="A42" t="s">
        <v>330</v>
      </c>
      <c r="B42" t="s">
        <v>490</v>
      </c>
      <c r="C42" s="70" t="s">
        <v>499</v>
      </c>
      <c r="D42" s="70" t="s">
        <v>500</v>
      </c>
    </row>
    <row r="43" spans="1:4" x14ac:dyDescent="0.2">
      <c r="A43" t="s">
        <v>330</v>
      </c>
      <c r="B43" t="s">
        <v>490</v>
      </c>
      <c r="C43" s="70" t="s">
        <v>501</v>
      </c>
      <c r="D43" s="70" t="s">
        <v>502</v>
      </c>
    </row>
    <row r="44" spans="1:4" x14ac:dyDescent="0.2">
      <c r="A44" t="s">
        <v>330</v>
      </c>
      <c r="B44" t="s">
        <v>490</v>
      </c>
      <c r="C44" s="70" t="s">
        <v>503</v>
      </c>
      <c r="D44" s="70" t="s">
        <v>504</v>
      </c>
    </row>
    <row r="45" spans="1:4" x14ac:dyDescent="0.2">
      <c r="A45" t="s">
        <v>330</v>
      </c>
      <c r="B45" t="s">
        <v>490</v>
      </c>
      <c r="C45" s="70" t="s">
        <v>505</v>
      </c>
      <c r="D45" s="70" t="s">
        <v>506</v>
      </c>
    </row>
    <row r="46" spans="1:4" x14ac:dyDescent="0.2">
      <c r="A46" t="s">
        <v>330</v>
      </c>
      <c r="B46" t="s">
        <v>490</v>
      </c>
      <c r="C46" s="70" t="s">
        <v>507</v>
      </c>
      <c r="D46" s="70" t="s">
        <v>508</v>
      </c>
    </row>
    <row r="47" spans="1:4" x14ac:dyDescent="0.2">
      <c r="A47" t="s">
        <v>330</v>
      </c>
      <c r="B47" t="s">
        <v>490</v>
      </c>
      <c r="C47" s="70" t="s">
        <v>509</v>
      </c>
      <c r="D47" s="70" t="s">
        <v>6</v>
      </c>
    </row>
    <row r="48" spans="1:4" x14ac:dyDescent="0.2">
      <c r="A48" t="s">
        <v>330</v>
      </c>
      <c r="B48" t="s">
        <v>490</v>
      </c>
      <c r="C48" s="70" t="s">
        <v>510</v>
      </c>
      <c r="D48" s="70" t="s">
        <v>511</v>
      </c>
    </row>
    <row r="49" spans="1:4" x14ac:dyDescent="0.2">
      <c r="A49" t="s">
        <v>330</v>
      </c>
      <c r="B49" t="s">
        <v>490</v>
      </c>
      <c r="C49" s="70" t="s">
        <v>512</v>
      </c>
      <c r="D49" s="70" t="s">
        <v>513</v>
      </c>
    </row>
    <row r="50" spans="1:4" x14ac:dyDescent="0.2">
      <c r="A50" t="s">
        <v>330</v>
      </c>
      <c r="B50" t="s">
        <v>490</v>
      </c>
      <c r="C50" s="70" t="s">
        <v>514</v>
      </c>
      <c r="D50" s="70" t="s">
        <v>515</v>
      </c>
    </row>
    <row r="51" spans="1:4" x14ac:dyDescent="0.2">
      <c r="A51" t="s">
        <v>330</v>
      </c>
      <c r="B51" t="s">
        <v>490</v>
      </c>
      <c r="C51" s="70" t="s">
        <v>469</v>
      </c>
      <c r="D51" s="70" t="s">
        <v>470</v>
      </c>
    </row>
    <row r="52" spans="1:4" x14ac:dyDescent="0.2">
      <c r="A52" t="s">
        <v>330</v>
      </c>
      <c r="B52" t="s">
        <v>490</v>
      </c>
      <c r="C52" s="70" t="s">
        <v>516</v>
      </c>
      <c r="D52" s="70" t="s">
        <v>517</v>
      </c>
    </row>
    <row r="53" spans="1:4" x14ac:dyDescent="0.2">
      <c r="A53" t="s">
        <v>330</v>
      </c>
      <c r="B53" t="s">
        <v>490</v>
      </c>
      <c r="C53" s="70" t="s">
        <v>518</v>
      </c>
      <c r="D53" s="70" t="s">
        <v>519</v>
      </c>
    </row>
    <row r="54" spans="1:4" x14ac:dyDescent="0.2">
      <c r="A54" t="s">
        <v>330</v>
      </c>
      <c r="B54" t="s">
        <v>490</v>
      </c>
      <c r="C54" s="70" t="s">
        <v>520</v>
      </c>
      <c r="D54" s="70" t="s">
        <v>521</v>
      </c>
    </row>
    <row r="55" spans="1:4" x14ac:dyDescent="0.2">
      <c r="A55" t="s">
        <v>330</v>
      </c>
      <c r="B55" t="s">
        <v>490</v>
      </c>
      <c r="C55" s="70" t="s">
        <v>461</v>
      </c>
      <c r="D55" s="70" t="s">
        <v>462</v>
      </c>
    </row>
    <row r="56" spans="1:4" x14ac:dyDescent="0.2">
      <c r="A56" t="s">
        <v>330</v>
      </c>
      <c r="B56" t="s">
        <v>490</v>
      </c>
      <c r="C56" s="70" t="s">
        <v>522</v>
      </c>
      <c r="D56" s="70" t="s">
        <v>523</v>
      </c>
    </row>
    <row r="57" spans="1:4" x14ac:dyDescent="0.2">
      <c r="A57" t="s">
        <v>330</v>
      </c>
      <c r="B57" t="s">
        <v>490</v>
      </c>
      <c r="C57" s="70" t="s">
        <v>524</v>
      </c>
      <c r="D57" s="70" t="s">
        <v>525</v>
      </c>
    </row>
    <row r="58" spans="1:4" x14ac:dyDescent="0.2">
      <c r="A58" t="s">
        <v>330</v>
      </c>
      <c r="B58" t="s">
        <v>490</v>
      </c>
      <c r="C58" s="70" t="s">
        <v>526</v>
      </c>
      <c r="D58" s="70" t="s">
        <v>527</v>
      </c>
    </row>
    <row r="59" spans="1:4" x14ac:dyDescent="0.2">
      <c r="A59" t="s">
        <v>330</v>
      </c>
      <c r="B59" t="s">
        <v>490</v>
      </c>
      <c r="C59" s="70" t="s">
        <v>488</v>
      </c>
      <c r="D59" s="70" t="s">
        <v>489</v>
      </c>
    </row>
    <row r="60" spans="1:4" x14ac:dyDescent="0.2">
      <c r="A60" t="s">
        <v>334</v>
      </c>
      <c r="B60" t="s">
        <v>528</v>
      </c>
      <c r="C60" s="70" t="s">
        <v>474</v>
      </c>
      <c r="D60" s="70" t="s">
        <v>529</v>
      </c>
    </row>
    <row r="61" spans="1:4" x14ac:dyDescent="0.2">
      <c r="A61" t="s">
        <v>334</v>
      </c>
      <c r="B61" t="s">
        <v>528</v>
      </c>
      <c r="C61" s="70" t="s">
        <v>530</v>
      </c>
      <c r="D61" s="70" t="s">
        <v>531</v>
      </c>
    </row>
    <row r="62" spans="1:4" x14ac:dyDescent="0.2">
      <c r="A62" t="s">
        <v>334</v>
      </c>
      <c r="B62" t="s">
        <v>528</v>
      </c>
      <c r="C62" s="70" t="s">
        <v>532</v>
      </c>
      <c r="D62" s="70" t="s">
        <v>533</v>
      </c>
    </row>
    <row r="63" spans="1:4" x14ac:dyDescent="0.2">
      <c r="A63" t="s">
        <v>334</v>
      </c>
      <c r="B63" t="s">
        <v>528</v>
      </c>
      <c r="C63" s="70" t="s">
        <v>534</v>
      </c>
      <c r="D63" s="70" t="s">
        <v>535</v>
      </c>
    </row>
    <row r="64" spans="1:4" x14ac:dyDescent="0.2">
      <c r="A64" t="s">
        <v>334</v>
      </c>
      <c r="B64" t="s">
        <v>528</v>
      </c>
      <c r="C64" s="70" t="s">
        <v>536</v>
      </c>
      <c r="D64" s="70" t="s">
        <v>537</v>
      </c>
    </row>
    <row r="65" spans="1:4" x14ac:dyDescent="0.2">
      <c r="A65" t="s">
        <v>334</v>
      </c>
      <c r="B65" t="s">
        <v>528</v>
      </c>
      <c r="C65" s="70" t="s">
        <v>538</v>
      </c>
      <c r="D65" s="70" t="s">
        <v>539</v>
      </c>
    </row>
    <row r="66" spans="1:4" x14ac:dyDescent="0.2">
      <c r="A66" t="s">
        <v>334</v>
      </c>
      <c r="B66" t="s">
        <v>528</v>
      </c>
      <c r="C66" s="70" t="s">
        <v>540</v>
      </c>
      <c r="D66" s="70" t="s">
        <v>541</v>
      </c>
    </row>
    <row r="67" spans="1:4" x14ac:dyDescent="0.2">
      <c r="A67" t="s">
        <v>334</v>
      </c>
      <c r="B67" t="s">
        <v>528</v>
      </c>
      <c r="C67" s="70" t="s">
        <v>542</v>
      </c>
      <c r="D67" s="70" t="s">
        <v>543</v>
      </c>
    </row>
    <row r="68" spans="1:4" x14ac:dyDescent="0.2">
      <c r="A68" t="s">
        <v>334</v>
      </c>
      <c r="B68" t="s">
        <v>528</v>
      </c>
      <c r="C68" s="70" t="s">
        <v>544</v>
      </c>
      <c r="D68" s="70" t="s">
        <v>545</v>
      </c>
    </row>
    <row r="69" spans="1:4" x14ac:dyDescent="0.2">
      <c r="A69" t="s">
        <v>334</v>
      </c>
      <c r="B69" t="s">
        <v>528</v>
      </c>
      <c r="C69" s="70" t="s">
        <v>546</v>
      </c>
      <c r="D69" s="70" t="s">
        <v>547</v>
      </c>
    </row>
    <row r="70" spans="1:4" x14ac:dyDescent="0.2">
      <c r="A70" t="s">
        <v>334</v>
      </c>
      <c r="B70" t="s">
        <v>528</v>
      </c>
      <c r="C70" s="70" t="s">
        <v>526</v>
      </c>
      <c r="D70" s="70" t="s">
        <v>527</v>
      </c>
    </row>
    <row r="71" spans="1:4" x14ac:dyDescent="0.2">
      <c r="A71" t="s">
        <v>334</v>
      </c>
      <c r="B71" t="s">
        <v>528</v>
      </c>
      <c r="C71" s="70" t="s">
        <v>461</v>
      </c>
      <c r="D71" s="70" t="s">
        <v>462</v>
      </c>
    </row>
    <row r="72" spans="1:4" x14ac:dyDescent="0.2">
      <c r="A72" t="s">
        <v>334</v>
      </c>
      <c r="B72" t="s">
        <v>528</v>
      </c>
      <c r="C72" s="70" t="s">
        <v>455</v>
      </c>
      <c r="D72" s="70" t="s">
        <v>456</v>
      </c>
    </row>
    <row r="73" spans="1:4" x14ac:dyDescent="0.2">
      <c r="A73" t="s">
        <v>334</v>
      </c>
      <c r="B73" t="s">
        <v>528</v>
      </c>
      <c r="C73" s="70" t="s">
        <v>457</v>
      </c>
      <c r="D73" s="70" t="s">
        <v>458</v>
      </c>
    </row>
    <row r="74" spans="1:4" x14ac:dyDescent="0.2">
      <c r="A74" t="s">
        <v>334</v>
      </c>
      <c r="B74" t="s">
        <v>528</v>
      </c>
      <c r="C74" s="70" t="s">
        <v>459</v>
      </c>
      <c r="D74" s="70" t="s">
        <v>460</v>
      </c>
    </row>
    <row r="75" spans="1:4" x14ac:dyDescent="0.2">
      <c r="A75" t="s">
        <v>334</v>
      </c>
      <c r="B75" t="s">
        <v>528</v>
      </c>
      <c r="C75" s="70" t="s">
        <v>469</v>
      </c>
      <c r="D75" s="70" t="s">
        <v>470</v>
      </c>
    </row>
    <row r="76" spans="1:4" x14ac:dyDescent="0.2">
      <c r="A76" t="s">
        <v>334</v>
      </c>
      <c r="B76" t="s">
        <v>528</v>
      </c>
      <c r="C76" s="70" t="s">
        <v>516</v>
      </c>
      <c r="D76" s="70" t="s">
        <v>517</v>
      </c>
    </row>
    <row r="77" spans="1:4" x14ac:dyDescent="0.2">
      <c r="A77" t="s">
        <v>337</v>
      </c>
      <c r="B77" t="s">
        <v>548</v>
      </c>
      <c r="C77" s="70" t="s">
        <v>549</v>
      </c>
      <c r="D77" s="70" t="s">
        <v>550</v>
      </c>
    </row>
    <row r="78" spans="1:4" x14ac:dyDescent="0.2">
      <c r="A78" t="s">
        <v>337</v>
      </c>
      <c r="B78" t="s">
        <v>548</v>
      </c>
      <c r="C78" s="70" t="s">
        <v>551</v>
      </c>
      <c r="D78" s="70" t="s">
        <v>552</v>
      </c>
    </row>
    <row r="79" spans="1:4" x14ac:dyDescent="0.2">
      <c r="A79" t="s">
        <v>337</v>
      </c>
      <c r="B79" t="s">
        <v>548</v>
      </c>
      <c r="C79" s="70" t="s">
        <v>553</v>
      </c>
      <c r="D79" s="70" t="s">
        <v>554</v>
      </c>
    </row>
    <row r="80" spans="1:4" x14ac:dyDescent="0.2">
      <c r="A80" t="s">
        <v>337</v>
      </c>
      <c r="B80" t="s">
        <v>548</v>
      </c>
      <c r="C80" s="70" t="s">
        <v>555</v>
      </c>
      <c r="D80" s="70" t="s">
        <v>556</v>
      </c>
    </row>
    <row r="81" spans="1:4" x14ac:dyDescent="0.2">
      <c r="A81" t="s">
        <v>337</v>
      </c>
      <c r="B81" t="s">
        <v>548</v>
      </c>
      <c r="C81" s="70" t="s">
        <v>557</v>
      </c>
      <c r="D81" s="70" t="s">
        <v>558</v>
      </c>
    </row>
    <row r="82" spans="1:4" x14ac:dyDescent="0.2">
      <c r="A82" t="s">
        <v>337</v>
      </c>
      <c r="B82" t="s">
        <v>548</v>
      </c>
      <c r="C82" s="70" t="s">
        <v>559</v>
      </c>
      <c r="D82" s="70" t="s">
        <v>560</v>
      </c>
    </row>
    <row r="83" spans="1:4" x14ac:dyDescent="0.2">
      <c r="A83" t="s">
        <v>337</v>
      </c>
      <c r="B83" t="s">
        <v>548</v>
      </c>
      <c r="C83" s="70" t="s">
        <v>561</v>
      </c>
      <c r="D83" s="70" t="s">
        <v>562</v>
      </c>
    </row>
    <row r="84" spans="1:4" x14ac:dyDescent="0.2">
      <c r="A84" t="s">
        <v>337</v>
      </c>
      <c r="B84" t="s">
        <v>548</v>
      </c>
      <c r="C84" s="70" t="s">
        <v>563</v>
      </c>
      <c r="D84" s="70" t="s">
        <v>564</v>
      </c>
    </row>
    <row r="85" spans="1:4" x14ac:dyDescent="0.2">
      <c r="A85" t="s">
        <v>337</v>
      </c>
      <c r="B85" t="s">
        <v>548</v>
      </c>
      <c r="C85" s="70" t="s">
        <v>565</v>
      </c>
      <c r="D85" s="70" t="s">
        <v>566</v>
      </c>
    </row>
    <row r="86" spans="1:4" x14ac:dyDescent="0.2">
      <c r="A86" t="s">
        <v>337</v>
      </c>
      <c r="B86" t="s">
        <v>548</v>
      </c>
      <c r="C86" s="70" t="s">
        <v>567</v>
      </c>
      <c r="D86" s="70" t="s">
        <v>568</v>
      </c>
    </row>
    <row r="87" spans="1:4" x14ac:dyDescent="0.2">
      <c r="A87" t="s">
        <v>337</v>
      </c>
      <c r="B87" t="s">
        <v>548</v>
      </c>
      <c r="C87" s="70" t="s">
        <v>569</v>
      </c>
      <c r="D87" s="70" t="s">
        <v>570</v>
      </c>
    </row>
    <row r="88" spans="1:4" x14ac:dyDescent="0.2">
      <c r="A88" t="s">
        <v>337</v>
      </c>
      <c r="B88" t="s">
        <v>548</v>
      </c>
      <c r="C88" s="70" t="s">
        <v>571</v>
      </c>
      <c r="D88" s="70" t="s">
        <v>572</v>
      </c>
    </row>
    <row r="89" spans="1:4" x14ac:dyDescent="0.2">
      <c r="A89" t="s">
        <v>337</v>
      </c>
      <c r="B89" t="s">
        <v>548</v>
      </c>
      <c r="C89" s="70" t="s">
        <v>573</v>
      </c>
      <c r="D89" s="70" t="s">
        <v>574</v>
      </c>
    </row>
    <row r="90" spans="1:4" x14ac:dyDescent="0.2">
      <c r="A90" t="s">
        <v>337</v>
      </c>
      <c r="B90" t="s">
        <v>548</v>
      </c>
      <c r="C90" s="70" t="s">
        <v>455</v>
      </c>
      <c r="D90" s="70" t="s">
        <v>456</v>
      </c>
    </row>
    <row r="91" spans="1:4" x14ac:dyDescent="0.2">
      <c r="A91" t="s">
        <v>337</v>
      </c>
      <c r="B91" t="s">
        <v>548</v>
      </c>
      <c r="C91" s="70" t="s">
        <v>457</v>
      </c>
      <c r="D91" s="70" t="s">
        <v>458</v>
      </c>
    </row>
    <row r="92" spans="1:4" x14ac:dyDescent="0.2">
      <c r="A92" t="s">
        <v>337</v>
      </c>
      <c r="B92" t="s">
        <v>548</v>
      </c>
      <c r="C92" s="70" t="s">
        <v>469</v>
      </c>
      <c r="D92" s="70" t="s">
        <v>470</v>
      </c>
    </row>
    <row r="93" spans="1:4" x14ac:dyDescent="0.2">
      <c r="A93" t="s">
        <v>339</v>
      </c>
      <c r="B93" t="s">
        <v>575</v>
      </c>
      <c r="C93" s="70" t="s">
        <v>576</v>
      </c>
      <c r="D93" s="70" t="s">
        <v>577</v>
      </c>
    </row>
    <row r="94" spans="1:4" x14ac:dyDescent="0.2">
      <c r="A94" t="s">
        <v>339</v>
      </c>
      <c r="B94" t="s">
        <v>575</v>
      </c>
      <c r="C94" s="70" t="s">
        <v>578</v>
      </c>
      <c r="D94" s="70" t="s">
        <v>579</v>
      </c>
    </row>
    <row r="95" spans="1:4" x14ac:dyDescent="0.2">
      <c r="A95" t="s">
        <v>339</v>
      </c>
      <c r="B95" t="s">
        <v>575</v>
      </c>
      <c r="C95" s="70" t="s">
        <v>580</v>
      </c>
      <c r="D95" s="70" t="s">
        <v>581</v>
      </c>
    </row>
    <row r="96" spans="1:4" x14ac:dyDescent="0.2">
      <c r="A96" t="s">
        <v>339</v>
      </c>
      <c r="B96" t="s">
        <v>575</v>
      </c>
      <c r="C96" s="70" t="s">
        <v>582</v>
      </c>
      <c r="D96" s="70" t="s">
        <v>583</v>
      </c>
    </row>
    <row r="97" spans="1:4" x14ac:dyDescent="0.2">
      <c r="A97" t="s">
        <v>339</v>
      </c>
      <c r="B97" t="s">
        <v>575</v>
      </c>
      <c r="C97" s="70" t="s">
        <v>461</v>
      </c>
      <c r="D97" s="70" t="s">
        <v>462</v>
      </c>
    </row>
    <row r="98" spans="1:4" x14ac:dyDescent="0.2">
      <c r="A98" t="s">
        <v>339</v>
      </c>
      <c r="B98" t="s">
        <v>575</v>
      </c>
      <c r="C98" s="70" t="s">
        <v>584</v>
      </c>
      <c r="D98" s="70" t="s">
        <v>585</v>
      </c>
    </row>
    <row r="99" spans="1:4" x14ac:dyDescent="0.2">
      <c r="A99" t="s">
        <v>339</v>
      </c>
      <c r="B99" t="s">
        <v>575</v>
      </c>
      <c r="C99" s="70" t="s">
        <v>586</v>
      </c>
      <c r="D99" s="70" t="s">
        <v>587</v>
      </c>
    </row>
    <row r="100" spans="1:4" x14ac:dyDescent="0.2">
      <c r="A100" t="s">
        <v>339</v>
      </c>
      <c r="B100" t="s">
        <v>575</v>
      </c>
      <c r="C100" s="70" t="s">
        <v>588</v>
      </c>
      <c r="D100" s="70" t="s">
        <v>589</v>
      </c>
    </row>
    <row r="101" spans="1:4" x14ac:dyDescent="0.2">
      <c r="A101" t="s">
        <v>339</v>
      </c>
      <c r="B101" t="s">
        <v>575</v>
      </c>
      <c r="C101" s="70" t="s">
        <v>590</v>
      </c>
      <c r="D101" s="70" t="s">
        <v>591</v>
      </c>
    </row>
    <row r="102" spans="1:4" x14ac:dyDescent="0.2">
      <c r="A102" t="s">
        <v>339</v>
      </c>
      <c r="B102" t="s">
        <v>575</v>
      </c>
      <c r="C102" s="70" t="s">
        <v>522</v>
      </c>
      <c r="D102" s="70" t="s">
        <v>523</v>
      </c>
    </row>
    <row r="103" spans="1:4" x14ac:dyDescent="0.2">
      <c r="A103" t="s">
        <v>339</v>
      </c>
      <c r="B103" t="s">
        <v>575</v>
      </c>
      <c r="C103" s="70" t="s">
        <v>592</v>
      </c>
      <c r="D103" s="70" t="s">
        <v>593</v>
      </c>
    </row>
    <row r="104" spans="1:4" x14ac:dyDescent="0.2">
      <c r="A104" t="s">
        <v>339</v>
      </c>
      <c r="B104" t="s">
        <v>575</v>
      </c>
      <c r="C104" s="70" t="s">
        <v>524</v>
      </c>
      <c r="D104" s="70" t="s">
        <v>525</v>
      </c>
    </row>
    <row r="105" spans="1:4" x14ac:dyDescent="0.2">
      <c r="A105" t="s">
        <v>339</v>
      </c>
      <c r="B105" t="s">
        <v>575</v>
      </c>
      <c r="C105" s="70" t="s">
        <v>594</v>
      </c>
      <c r="D105" s="70" t="s">
        <v>595</v>
      </c>
    </row>
    <row r="106" spans="1:4" x14ac:dyDescent="0.2">
      <c r="A106" t="s">
        <v>339</v>
      </c>
      <c r="B106" t="s">
        <v>575</v>
      </c>
      <c r="C106" s="70" t="s">
        <v>596</v>
      </c>
      <c r="D106" s="70" t="s">
        <v>597</v>
      </c>
    </row>
    <row r="107" spans="1:4" x14ac:dyDescent="0.2">
      <c r="A107" t="s">
        <v>339</v>
      </c>
      <c r="B107" t="s">
        <v>575</v>
      </c>
      <c r="C107" s="70" t="s">
        <v>455</v>
      </c>
      <c r="D107" s="70" t="s">
        <v>456</v>
      </c>
    </row>
    <row r="108" spans="1:4" x14ac:dyDescent="0.2">
      <c r="A108" t="s">
        <v>339</v>
      </c>
      <c r="B108" t="s">
        <v>575</v>
      </c>
      <c r="C108" s="70" t="s">
        <v>469</v>
      </c>
      <c r="D108" s="70" t="s">
        <v>470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9F98B-F7E0-4C4F-BC75-19ABE6187467}">
  <dimension ref="A1:A7"/>
  <sheetViews>
    <sheetView workbookViewId="0"/>
  </sheetViews>
  <sheetFormatPr baseColWidth="10" defaultRowHeight="15" x14ac:dyDescent="0.2"/>
  <cols>
    <col min="1" max="1" width="15.1640625" bestFit="1" customWidth="1"/>
  </cols>
  <sheetData>
    <row r="1" spans="1:1" x14ac:dyDescent="0.2">
      <c r="A1" t="s">
        <v>449</v>
      </c>
    </row>
    <row r="2" spans="1:1" x14ac:dyDescent="0.2">
      <c r="A2" t="s">
        <v>450</v>
      </c>
    </row>
    <row r="3" spans="1:1" x14ac:dyDescent="0.2">
      <c r="A3" t="s">
        <v>450</v>
      </c>
    </row>
    <row r="4" spans="1:1" x14ac:dyDescent="0.2">
      <c r="A4" t="s">
        <v>450</v>
      </c>
    </row>
    <row r="5" spans="1:1" x14ac:dyDescent="0.2">
      <c r="A5" t="s">
        <v>450</v>
      </c>
    </row>
    <row r="6" spans="1:1" x14ac:dyDescent="0.2">
      <c r="A6" t="s">
        <v>450</v>
      </c>
    </row>
    <row r="7" spans="1:1" x14ac:dyDescent="0.2">
      <c r="A7" t="s">
        <v>450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12676-1667-FC40-8273-4B90A9BC02B0}">
  <dimension ref="A1:E432"/>
  <sheetViews>
    <sheetView workbookViewId="0"/>
  </sheetViews>
  <sheetFormatPr baseColWidth="10" defaultRowHeight="15" x14ac:dyDescent="0.2"/>
  <cols>
    <col min="1" max="1" width="41" bestFit="1" customWidth="1"/>
    <col min="2" max="2" width="17.5" bestFit="1" customWidth="1"/>
    <col min="3" max="3" width="11.33203125" bestFit="1" customWidth="1"/>
    <col min="4" max="4" width="13.6640625" bestFit="1" customWidth="1"/>
    <col min="5" max="5" width="11.6640625" bestFit="1" customWidth="1"/>
  </cols>
  <sheetData>
    <row r="1" spans="1:5" x14ac:dyDescent="0.2">
      <c r="A1" t="s">
        <v>598</v>
      </c>
      <c r="B1" t="s">
        <v>397</v>
      </c>
      <c r="C1" t="s">
        <v>689</v>
      </c>
      <c r="D1" t="s">
        <v>452</v>
      </c>
      <c r="E1" t="s">
        <v>599</v>
      </c>
    </row>
    <row r="2" spans="1:5" x14ac:dyDescent="0.2">
      <c r="A2" s="70" t="s">
        <v>438</v>
      </c>
      <c r="B2" t="s">
        <v>690</v>
      </c>
      <c r="C2" t="s">
        <v>691</v>
      </c>
      <c r="D2" t="s">
        <v>474</v>
      </c>
      <c r="E2" t="s">
        <v>445</v>
      </c>
    </row>
    <row r="3" spans="1:5" x14ac:dyDescent="0.2">
      <c r="A3" s="70" t="s">
        <v>438</v>
      </c>
      <c r="B3" t="s">
        <v>692</v>
      </c>
      <c r="C3" t="s">
        <v>691</v>
      </c>
      <c r="D3" t="s">
        <v>474</v>
      </c>
      <c r="E3" t="s">
        <v>448</v>
      </c>
    </row>
    <row r="4" spans="1:5" x14ac:dyDescent="0.2">
      <c r="A4" s="70" t="s">
        <v>438</v>
      </c>
      <c r="B4" t="s">
        <v>693</v>
      </c>
      <c r="C4" t="s">
        <v>691</v>
      </c>
      <c r="D4" t="s">
        <v>474</v>
      </c>
      <c r="E4" t="s">
        <v>444</v>
      </c>
    </row>
    <row r="5" spans="1:5" x14ac:dyDescent="0.2">
      <c r="A5" s="70" t="s">
        <v>438</v>
      </c>
      <c r="B5" t="s">
        <v>694</v>
      </c>
      <c r="C5" t="s">
        <v>691</v>
      </c>
      <c r="D5" t="s">
        <v>474</v>
      </c>
      <c r="E5" t="s">
        <v>447</v>
      </c>
    </row>
    <row r="6" spans="1:5" x14ac:dyDescent="0.2">
      <c r="A6" s="70" t="s">
        <v>438</v>
      </c>
      <c r="B6" t="s">
        <v>695</v>
      </c>
      <c r="C6" t="s">
        <v>691</v>
      </c>
      <c r="D6" t="s">
        <v>474</v>
      </c>
      <c r="E6" t="s">
        <v>446</v>
      </c>
    </row>
    <row r="7" spans="1:5" x14ac:dyDescent="0.2">
      <c r="A7" s="70" t="s">
        <v>438</v>
      </c>
      <c r="B7" t="s">
        <v>696</v>
      </c>
      <c r="C7" t="s">
        <v>691</v>
      </c>
      <c r="D7" t="s">
        <v>530</v>
      </c>
      <c r="E7" t="s">
        <v>445</v>
      </c>
    </row>
    <row r="8" spans="1:5" x14ac:dyDescent="0.2">
      <c r="A8" s="70" t="s">
        <v>438</v>
      </c>
      <c r="B8" t="s">
        <v>697</v>
      </c>
      <c r="C8" t="s">
        <v>691</v>
      </c>
      <c r="D8" t="s">
        <v>530</v>
      </c>
      <c r="E8" t="s">
        <v>448</v>
      </c>
    </row>
    <row r="9" spans="1:5" x14ac:dyDescent="0.2">
      <c r="A9" s="70" t="s">
        <v>438</v>
      </c>
      <c r="B9" t="s">
        <v>698</v>
      </c>
      <c r="C9" t="s">
        <v>691</v>
      </c>
      <c r="D9" t="s">
        <v>530</v>
      </c>
      <c r="E9" t="s">
        <v>444</v>
      </c>
    </row>
    <row r="10" spans="1:5" x14ac:dyDescent="0.2">
      <c r="A10" s="70" t="s">
        <v>438</v>
      </c>
      <c r="B10" t="s">
        <v>699</v>
      </c>
      <c r="C10" t="s">
        <v>691</v>
      </c>
      <c r="D10" t="s">
        <v>530</v>
      </c>
      <c r="E10" t="s">
        <v>447</v>
      </c>
    </row>
    <row r="11" spans="1:5" x14ac:dyDescent="0.2">
      <c r="A11" s="70" t="s">
        <v>438</v>
      </c>
      <c r="B11" t="s">
        <v>700</v>
      </c>
      <c r="C11" t="s">
        <v>691</v>
      </c>
      <c r="D11" t="s">
        <v>530</v>
      </c>
      <c r="E11" t="s">
        <v>446</v>
      </c>
    </row>
    <row r="12" spans="1:5" x14ac:dyDescent="0.2">
      <c r="A12" s="70" t="s">
        <v>438</v>
      </c>
      <c r="B12" t="s">
        <v>701</v>
      </c>
      <c r="C12" t="s">
        <v>691</v>
      </c>
      <c r="D12" t="s">
        <v>532</v>
      </c>
      <c r="E12" t="s">
        <v>445</v>
      </c>
    </row>
    <row r="13" spans="1:5" x14ac:dyDescent="0.2">
      <c r="A13" s="70" t="s">
        <v>438</v>
      </c>
      <c r="B13" t="s">
        <v>702</v>
      </c>
      <c r="C13" t="s">
        <v>691</v>
      </c>
      <c r="D13" t="s">
        <v>532</v>
      </c>
      <c r="E13" t="s">
        <v>448</v>
      </c>
    </row>
    <row r="14" spans="1:5" x14ac:dyDescent="0.2">
      <c r="A14" s="70" t="s">
        <v>438</v>
      </c>
      <c r="B14" t="s">
        <v>703</v>
      </c>
      <c r="C14" t="s">
        <v>691</v>
      </c>
      <c r="D14" t="s">
        <v>532</v>
      </c>
      <c r="E14" t="s">
        <v>444</v>
      </c>
    </row>
    <row r="15" spans="1:5" x14ac:dyDescent="0.2">
      <c r="A15" s="70" t="s">
        <v>438</v>
      </c>
      <c r="B15" t="s">
        <v>704</v>
      </c>
      <c r="C15" t="s">
        <v>691</v>
      </c>
      <c r="D15" t="s">
        <v>532</v>
      </c>
      <c r="E15" t="s">
        <v>447</v>
      </c>
    </row>
    <row r="16" spans="1:5" x14ac:dyDescent="0.2">
      <c r="A16" s="70" t="s">
        <v>438</v>
      </c>
      <c r="B16" t="s">
        <v>705</v>
      </c>
      <c r="C16" t="s">
        <v>691</v>
      </c>
      <c r="D16" t="s">
        <v>532</v>
      </c>
      <c r="E16" t="s">
        <v>446</v>
      </c>
    </row>
    <row r="17" spans="1:5" x14ac:dyDescent="0.2">
      <c r="A17" s="70" t="s">
        <v>438</v>
      </c>
      <c r="B17" t="s">
        <v>706</v>
      </c>
      <c r="C17" t="s">
        <v>691</v>
      </c>
      <c r="D17" t="s">
        <v>534</v>
      </c>
      <c r="E17" t="s">
        <v>445</v>
      </c>
    </row>
    <row r="18" spans="1:5" x14ac:dyDescent="0.2">
      <c r="A18" s="70" t="s">
        <v>438</v>
      </c>
      <c r="B18" t="s">
        <v>707</v>
      </c>
      <c r="C18" t="s">
        <v>691</v>
      </c>
      <c r="D18" t="s">
        <v>534</v>
      </c>
      <c r="E18" t="s">
        <v>448</v>
      </c>
    </row>
    <row r="19" spans="1:5" x14ac:dyDescent="0.2">
      <c r="A19" s="70" t="s">
        <v>438</v>
      </c>
      <c r="B19" t="s">
        <v>708</v>
      </c>
      <c r="C19" t="s">
        <v>691</v>
      </c>
      <c r="D19" t="s">
        <v>534</v>
      </c>
      <c r="E19" t="s">
        <v>444</v>
      </c>
    </row>
    <row r="20" spans="1:5" x14ac:dyDescent="0.2">
      <c r="A20" s="70" t="s">
        <v>438</v>
      </c>
      <c r="B20" t="s">
        <v>709</v>
      </c>
      <c r="C20" t="s">
        <v>691</v>
      </c>
      <c r="D20" t="s">
        <v>534</v>
      </c>
      <c r="E20" t="s">
        <v>447</v>
      </c>
    </row>
    <row r="21" spans="1:5" x14ac:dyDescent="0.2">
      <c r="A21" s="70" t="s">
        <v>438</v>
      </c>
      <c r="B21" t="s">
        <v>710</v>
      </c>
      <c r="C21" t="s">
        <v>691</v>
      </c>
      <c r="D21" t="s">
        <v>534</v>
      </c>
      <c r="E21" t="s">
        <v>446</v>
      </c>
    </row>
    <row r="22" spans="1:5" x14ac:dyDescent="0.2">
      <c r="A22" s="70" t="s">
        <v>438</v>
      </c>
      <c r="B22" t="s">
        <v>711</v>
      </c>
      <c r="C22" t="s">
        <v>691</v>
      </c>
      <c r="D22" t="s">
        <v>536</v>
      </c>
      <c r="E22" t="s">
        <v>445</v>
      </c>
    </row>
    <row r="23" spans="1:5" x14ac:dyDescent="0.2">
      <c r="A23" s="70" t="s">
        <v>438</v>
      </c>
      <c r="B23" t="s">
        <v>712</v>
      </c>
      <c r="C23" t="s">
        <v>691</v>
      </c>
      <c r="D23" t="s">
        <v>536</v>
      </c>
      <c r="E23" t="s">
        <v>448</v>
      </c>
    </row>
    <row r="24" spans="1:5" x14ac:dyDescent="0.2">
      <c r="A24" s="70" t="s">
        <v>438</v>
      </c>
      <c r="B24" t="s">
        <v>713</v>
      </c>
      <c r="C24" t="s">
        <v>691</v>
      </c>
      <c r="D24" t="s">
        <v>536</v>
      </c>
      <c r="E24" t="s">
        <v>444</v>
      </c>
    </row>
    <row r="25" spans="1:5" x14ac:dyDescent="0.2">
      <c r="A25" s="70" t="s">
        <v>438</v>
      </c>
      <c r="B25" t="s">
        <v>714</v>
      </c>
      <c r="C25" t="s">
        <v>691</v>
      </c>
      <c r="D25" t="s">
        <v>536</v>
      </c>
      <c r="E25" t="s">
        <v>447</v>
      </c>
    </row>
    <row r="26" spans="1:5" x14ac:dyDescent="0.2">
      <c r="A26" s="70" t="s">
        <v>438</v>
      </c>
      <c r="B26" t="s">
        <v>715</v>
      </c>
      <c r="C26" t="s">
        <v>691</v>
      </c>
      <c r="D26" t="s">
        <v>536</v>
      </c>
      <c r="E26" t="s">
        <v>446</v>
      </c>
    </row>
    <row r="27" spans="1:5" x14ac:dyDescent="0.2">
      <c r="A27" s="70" t="s">
        <v>438</v>
      </c>
      <c r="B27" t="s">
        <v>716</v>
      </c>
      <c r="C27" t="s">
        <v>691</v>
      </c>
      <c r="D27" t="s">
        <v>538</v>
      </c>
      <c r="E27" t="s">
        <v>445</v>
      </c>
    </row>
    <row r="28" spans="1:5" x14ac:dyDescent="0.2">
      <c r="A28" s="70" t="s">
        <v>438</v>
      </c>
      <c r="B28" t="s">
        <v>717</v>
      </c>
      <c r="C28" t="s">
        <v>691</v>
      </c>
      <c r="D28" t="s">
        <v>538</v>
      </c>
      <c r="E28" t="s">
        <v>448</v>
      </c>
    </row>
    <row r="29" spans="1:5" x14ac:dyDescent="0.2">
      <c r="A29" s="70" t="s">
        <v>438</v>
      </c>
      <c r="B29" t="s">
        <v>718</v>
      </c>
      <c r="C29" t="s">
        <v>691</v>
      </c>
      <c r="D29" t="s">
        <v>538</v>
      </c>
      <c r="E29" t="s">
        <v>444</v>
      </c>
    </row>
    <row r="30" spans="1:5" x14ac:dyDescent="0.2">
      <c r="A30" s="70" t="s">
        <v>438</v>
      </c>
      <c r="B30" t="s">
        <v>719</v>
      </c>
      <c r="C30" t="s">
        <v>691</v>
      </c>
      <c r="D30" t="s">
        <v>538</v>
      </c>
      <c r="E30" t="s">
        <v>447</v>
      </c>
    </row>
    <row r="31" spans="1:5" x14ac:dyDescent="0.2">
      <c r="A31" s="70" t="s">
        <v>438</v>
      </c>
      <c r="B31" t="s">
        <v>720</v>
      </c>
      <c r="C31" t="s">
        <v>691</v>
      </c>
      <c r="D31" t="s">
        <v>538</v>
      </c>
      <c r="E31" t="s">
        <v>446</v>
      </c>
    </row>
    <row r="32" spans="1:5" x14ac:dyDescent="0.2">
      <c r="A32" s="70" t="s">
        <v>438</v>
      </c>
      <c r="B32" t="s">
        <v>721</v>
      </c>
      <c r="C32" t="s">
        <v>691</v>
      </c>
      <c r="D32" t="s">
        <v>540</v>
      </c>
      <c r="E32" t="s">
        <v>445</v>
      </c>
    </row>
    <row r="33" spans="1:5" x14ac:dyDescent="0.2">
      <c r="A33" s="70" t="s">
        <v>438</v>
      </c>
      <c r="B33" t="s">
        <v>722</v>
      </c>
      <c r="C33" t="s">
        <v>691</v>
      </c>
      <c r="D33" t="s">
        <v>540</v>
      </c>
      <c r="E33" t="s">
        <v>448</v>
      </c>
    </row>
    <row r="34" spans="1:5" x14ac:dyDescent="0.2">
      <c r="A34" s="70" t="s">
        <v>438</v>
      </c>
      <c r="B34" t="s">
        <v>723</v>
      </c>
      <c r="C34" t="s">
        <v>691</v>
      </c>
      <c r="D34" t="s">
        <v>540</v>
      </c>
      <c r="E34" t="s">
        <v>444</v>
      </c>
    </row>
    <row r="35" spans="1:5" x14ac:dyDescent="0.2">
      <c r="A35" s="70" t="s">
        <v>438</v>
      </c>
      <c r="B35" t="s">
        <v>724</v>
      </c>
      <c r="C35" t="s">
        <v>691</v>
      </c>
      <c r="D35" t="s">
        <v>540</v>
      </c>
      <c r="E35" t="s">
        <v>447</v>
      </c>
    </row>
    <row r="36" spans="1:5" x14ac:dyDescent="0.2">
      <c r="A36" s="70" t="s">
        <v>438</v>
      </c>
      <c r="B36" t="s">
        <v>725</v>
      </c>
      <c r="C36" t="s">
        <v>691</v>
      </c>
      <c r="D36" t="s">
        <v>540</v>
      </c>
      <c r="E36" t="s">
        <v>446</v>
      </c>
    </row>
    <row r="37" spans="1:5" x14ac:dyDescent="0.2">
      <c r="A37" s="70" t="s">
        <v>438</v>
      </c>
      <c r="B37" t="s">
        <v>726</v>
      </c>
      <c r="C37" t="s">
        <v>691</v>
      </c>
      <c r="D37" t="s">
        <v>542</v>
      </c>
      <c r="E37" t="s">
        <v>445</v>
      </c>
    </row>
    <row r="38" spans="1:5" x14ac:dyDescent="0.2">
      <c r="A38" s="70" t="s">
        <v>438</v>
      </c>
      <c r="B38" t="s">
        <v>727</v>
      </c>
      <c r="C38" t="s">
        <v>691</v>
      </c>
      <c r="D38" t="s">
        <v>542</v>
      </c>
      <c r="E38" t="s">
        <v>448</v>
      </c>
    </row>
    <row r="39" spans="1:5" x14ac:dyDescent="0.2">
      <c r="A39" s="70" t="s">
        <v>438</v>
      </c>
      <c r="B39" t="s">
        <v>728</v>
      </c>
      <c r="C39" t="s">
        <v>691</v>
      </c>
      <c r="D39" t="s">
        <v>542</v>
      </c>
      <c r="E39" t="s">
        <v>444</v>
      </c>
    </row>
    <row r="40" spans="1:5" x14ac:dyDescent="0.2">
      <c r="A40" s="70" t="s">
        <v>438</v>
      </c>
      <c r="B40" t="s">
        <v>729</v>
      </c>
      <c r="C40" t="s">
        <v>691</v>
      </c>
      <c r="D40" t="s">
        <v>542</v>
      </c>
      <c r="E40" t="s">
        <v>447</v>
      </c>
    </row>
    <row r="41" spans="1:5" x14ac:dyDescent="0.2">
      <c r="A41" s="70" t="s">
        <v>438</v>
      </c>
      <c r="B41" t="s">
        <v>730</v>
      </c>
      <c r="C41" t="s">
        <v>691</v>
      </c>
      <c r="D41" t="s">
        <v>542</v>
      </c>
      <c r="E41" t="s">
        <v>446</v>
      </c>
    </row>
    <row r="42" spans="1:5" x14ac:dyDescent="0.2">
      <c r="A42" s="70" t="s">
        <v>438</v>
      </c>
      <c r="B42" t="s">
        <v>731</v>
      </c>
      <c r="C42" t="s">
        <v>691</v>
      </c>
      <c r="D42" t="s">
        <v>544</v>
      </c>
      <c r="E42" t="s">
        <v>445</v>
      </c>
    </row>
    <row r="43" spans="1:5" x14ac:dyDescent="0.2">
      <c r="A43" s="70" t="s">
        <v>438</v>
      </c>
      <c r="B43" t="s">
        <v>732</v>
      </c>
      <c r="C43" t="s">
        <v>691</v>
      </c>
      <c r="D43" t="s">
        <v>544</v>
      </c>
      <c r="E43" t="s">
        <v>448</v>
      </c>
    </row>
    <row r="44" spans="1:5" x14ac:dyDescent="0.2">
      <c r="A44" s="70" t="s">
        <v>438</v>
      </c>
      <c r="B44" t="s">
        <v>733</v>
      </c>
      <c r="C44" t="s">
        <v>691</v>
      </c>
      <c r="D44" t="s">
        <v>544</v>
      </c>
      <c r="E44" t="s">
        <v>444</v>
      </c>
    </row>
    <row r="45" spans="1:5" x14ac:dyDescent="0.2">
      <c r="A45" s="70" t="s">
        <v>438</v>
      </c>
      <c r="B45" t="s">
        <v>734</v>
      </c>
      <c r="C45" t="s">
        <v>691</v>
      </c>
      <c r="D45" t="s">
        <v>544</v>
      </c>
      <c r="E45" t="s">
        <v>447</v>
      </c>
    </row>
    <row r="46" spans="1:5" x14ac:dyDescent="0.2">
      <c r="A46" s="70" t="s">
        <v>438</v>
      </c>
      <c r="B46" t="s">
        <v>735</v>
      </c>
      <c r="C46" t="s">
        <v>691</v>
      </c>
      <c r="D46" t="s">
        <v>544</v>
      </c>
      <c r="E46" t="s">
        <v>446</v>
      </c>
    </row>
    <row r="47" spans="1:5" x14ac:dyDescent="0.2">
      <c r="A47" s="70" t="s">
        <v>438</v>
      </c>
      <c r="B47" t="s">
        <v>736</v>
      </c>
      <c r="C47" t="s">
        <v>691</v>
      </c>
      <c r="D47" t="s">
        <v>546</v>
      </c>
      <c r="E47" t="s">
        <v>445</v>
      </c>
    </row>
    <row r="48" spans="1:5" x14ac:dyDescent="0.2">
      <c r="A48" s="70" t="s">
        <v>438</v>
      </c>
      <c r="B48" t="s">
        <v>737</v>
      </c>
      <c r="C48" t="s">
        <v>691</v>
      </c>
      <c r="D48" t="s">
        <v>546</v>
      </c>
      <c r="E48" t="s">
        <v>448</v>
      </c>
    </row>
    <row r="49" spans="1:5" x14ac:dyDescent="0.2">
      <c r="A49" s="70" t="s">
        <v>438</v>
      </c>
      <c r="B49" t="s">
        <v>738</v>
      </c>
      <c r="C49" t="s">
        <v>691</v>
      </c>
      <c r="D49" t="s">
        <v>546</v>
      </c>
      <c r="E49" t="s">
        <v>444</v>
      </c>
    </row>
    <row r="50" spans="1:5" x14ac:dyDescent="0.2">
      <c r="A50" s="70" t="s">
        <v>438</v>
      </c>
      <c r="B50" t="s">
        <v>739</v>
      </c>
      <c r="C50" t="s">
        <v>691</v>
      </c>
      <c r="D50" t="s">
        <v>546</v>
      </c>
      <c r="E50" t="s">
        <v>447</v>
      </c>
    </row>
    <row r="51" spans="1:5" x14ac:dyDescent="0.2">
      <c r="A51" s="70" t="s">
        <v>438</v>
      </c>
      <c r="B51" t="s">
        <v>740</v>
      </c>
      <c r="C51" t="s">
        <v>691</v>
      </c>
      <c r="D51" t="s">
        <v>546</v>
      </c>
      <c r="E51" t="s">
        <v>446</v>
      </c>
    </row>
    <row r="52" spans="1:5" x14ac:dyDescent="0.2">
      <c r="A52" s="70" t="s">
        <v>438</v>
      </c>
      <c r="B52" t="s">
        <v>741</v>
      </c>
      <c r="C52" t="s">
        <v>691</v>
      </c>
      <c r="D52" t="s">
        <v>526</v>
      </c>
      <c r="E52" t="s">
        <v>445</v>
      </c>
    </row>
    <row r="53" spans="1:5" x14ac:dyDescent="0.2">
      <c r="A53" s="70" t="s">
        <v>438</v>
      </c>
      <c r="B53" t="s">
        <v>742</v>
      </c>
      <c r="C53" t="s">
        <v>691</v>
      </c>
      <c r="D53" t="s">
        <v>526</v>
      </c>
      <c r="E53" t="s">
        <v>448</v>
      </c>
    </row>
    <row r="54" spans="1:5" x14ac:dyDescent="0.2">
      <c r="A54" s="70" t="s">
        <v>438</v>
      </c>
      <c r="B54" t="s">
        <v>743</v>
      </c>
      <c r="C54" t="s">
        <v>691</v>
      </c>
      <c r="D54" t="s">
        <v>526</v>
      </c>
      <c r="E54" t="s">
        <v>444</v>
      </c>
    </row>
    <row r="55" spans="1:5" x14ac:dyDescent="0.2">
      <c r="A55" s="70" t="s">
        <v>438</v>
      </c>
      <c r="B55" t="s">
        <v>744</v>
      </c>
      <c r="C55" t="s">
        <v>691</v>
      </c>
      <c r="D55" t="s">
        <v>526</v>
      </c>
      <c r="E55" t="s">
        <v>447</v>
      </c>
    </row>
    <row r="56" spans="1:5" x14ac:dyDescent="0.2">
      <c r="A56" s="70" t="s">
        <v>438</v>
      </c>
      <c r="B56" t="s">
        <v>745</v>
      </c>
      <c r="C56" t="s">
        <v>691</v>
      </c>
      <c r="D56" t="s">
        <v>526</v>
      </c>
      <c r="E56" t="s">
        <v>446</v>
      </c>
    </row>
    <row r="57" spans="1:5" x14ac:dyDescent="0.2">
      <c r="A57" s="70" t="s">
        <v>438</v>
      </c>
      <c r="B57" t="s">
        <v>746</v>
      </c>
      <c r="C57" t="s">
        <v>691</v>
      </c>
      <c r="D57" t="s">
        <v>747</v>
      </c>
      <c r="E57" t="s">
        <v>445</v>
      </c>
    </row>
    <row r="58" spans="1:5" x14ac:dyDescent="0.2">
      <c r="A58" s="70" t="s">
        <v>438</v>
      </c>
      <c r="B58" t="s">
        <v>748</v>
      </c>
      <c r="C58" t="s">
        <v>691</v>
      </c>
      <c r="D58" t="s">
        <v>747</v>
      </c>
      <c r="E58" t="s">
        <v>448</v>
      </c>
    </row>
    <row r="59" spans="1:5" x14ac:dyDescent="0.2">
      <c r="A59" s="70" t="s">
        <v>438</v>
      </c>
      <c r="B59" t="s">
        <v>749</v>
      </c>
      <c r="C59" t="s">
        <v>691</v>
      </c>
      <c r="D59" t="s">
        <v>747</v>
      </c>
      <c r="E59" t="s">
        <v>444</v>
      </c>
    </row>
    <row r="60" spans="1:5" x14ac:dyDescent="0.2">
      <c r="A60" s="70" t="s">
        <v>438</v>
      </c>
      <c r="B60" t="s">
        <v>750</v>
      </c>
      <c r="C60" t="s">
        <v>691</v>
      </c>
      <c r="D60" t="s">
        <v>747</v>
      </c>
      <c r="E60" t="s">
        <v>447</v>
      </c>
    </row>
    <row r="61" spans="1:5" x14ac:dyDescent="0.2">
      <c r="A61" s="70" t="s">
        <v>438</v>
      </c>
      <c r="B61" t="s">
        <v>751</v>
      </c>
      <c r="C61" t="s">
        <v>691</v>
      </c>
      <c r="D61" t="s">
        <v>747</v>
      </c>
      <c r="E61" t="s">
        <v>446</v>
      </c>
    </row>
    <row r="62" spans="1:5" x14ac:dyDescent="0.2">
      <c r="A62" s="70" t="s">
        <v>438</v>
      </c>
      <c r="B62" t="s">
        <v>752</v>
      </c>
      <c r="C62" t="s">
        <v>691</v>
      </c>
      <c r="D62" t="s">
        <v>753</v>
      </c>
      <c r="E62" t="s">
        <v>445</v>
      </c>
    </row>
    <row r="63" spans="1:5" x14ac:dyDescent="0.2">
      <c r="A63" s="70" t="s">
        <v>438</v>
      </c>
      <c r="B63" t="s">
        <v>754</v>
      </c>
      <c r="C63" t="s">
        <v>691</v>
      </c>
      <c r="D63" t="s">
        <v>753</v>
      </c>
      <c r="E63" t="s">
        <v>448</v>
      </c>
    </row>
    <row r="64" spans="1:5" x14ac:dyDescent="0.2">
      <c r="A64" s="70" t="s">
        <v>438</v>
      </c>
      <c r="B64" t="s">
        <v>755</v>
      </c>
      <c r="C64" t="s">
        <v>691</v>
      </c>
      <c r="D64" t="s">
        <v>753</v>
      </c>
      <c r="E64" t="s">
        <v>444</v>
      </c>
    </row>
    <row r="65" spans="1:5" x14ac:dyDescent="0.2">
      <c r="A65" s="70" t="s">
        <v>438</v>
      </c>
      <c r="B65" t="s">
        <v>756</v>
      </c>
      <c r="C65" t="s">
        <v>691</v>
      </c>
      <c r="D65" t="s">
        <v>753</v>
      </c>
      <c r="E65" t="s">
        <v>447</v>
      </c>
    </row>
    <row r="66" spans="1:5" x14ac:dyDescent="0.2">
      <c r="A66" s="70" t="s">
        <v>438</v>
      </c>
      <c r="B66" t="s">
        <v>757</v>
      </c>
      <c r="C66" t="s">
        <v>691</v>
      </c>
      <c r="D66" t="s">
        <v>753</v>
      </c>
      <c r="E66" t="s">
        <v>446</v>
      </c>
    </row>
    <row r="67" spans="1:5" x14ac:dyDescent="0.2">
      <c r="A67" s="70" t="s">
        <v>438</v>
      </c>
      <c r="B67" t="s">
        <v>758</v>
      </c>
      <c r="C67" t="s">
        <v>691</v>
      </c>
      <c r="D67" t="s">
        <v>759</v>
      </c>
      <c r="E67" t="s">
        <v>446</v>
      </c>
    </row>
    <row r="68" spans="1:5" x14ac:dyDescent="0.2">
      <c r="A68" s="70" t="s">
        <v>440</v>
      </c>
      <c r="B68" t="s">
        <v>760</v>
      </c>
      <c r="C68" t="s">
        <v>691</v>
      </c>
      <c r="D68" t="s">
        <v>472</v>
      </c>
      <c r="E68" t="s">
        <v>445</v>
      </c>
    </row>
    <row r="69" spans="1:5" x14ac:dyDescent="0.2">
      <c r="A69" s="70" t="s">
        <v>440</v>
      </c>
      <c r="B69" t="s">
        <v>761</v>
      </c>
      <c r="C69" t="s">
        <v>691</v>
      </c>
      <c r="D69" t="s">
        <v>472</v>
      </c>
      <c r="E69" t="s">
        <v>448</v>
      </c>
    </row>
    <row r="70" spans="1:5" x14ac:dyDescent="0.2">
      <c r="A70" s="70" t="s">
        <v>440</v>
      </c>
      <c r="B70" t="s">
        <v>762</v>
      </c>
      <c r="C70" t="s">
        <v>691</v>
      </c>
      <c r="D70" t="s">
        <v>472</v>
      </c>
      <c r="E70" t="s">
        <v>444</v>
      </c>
    </row>
    <row r="71" spans="1:5" x14ac:dyDescent="0.2">
      <c r="A71" s="70" t="s">
        <v>440</v>
      </c>
      <c r="B71" t="s">
        <v>763</v>
      </c>
      <c r="C71" t="s">
        <v>691</v>
      </c>
      <c r="D71" t="s">
        <v>472</v>
      </c>
      <c r="E71" t="s">
        <v>447</v>
      </c>
    </row>
    <row r="72" spans="1:5" x14ac:dyDescent="0.2">
      <c r="A72" s="70" t="s">
        <v>440</v>
      </c>
      <c r="B72" t="s">
        <v>764</v>
      </c>
      <c r="C72" t="s">
        <v>691</v>
      </c>
      <c r="D72" t="s">
        <v>472</v>
      </c>
      <c r="E72" t="s">
        <v>446</v>
      </c>
    </row>
    <row r="73" spans="1:5" x14ac:dyDescent="0.2">
      <c r="A73" s="70" t="s">
        <v>440</v>
      </c>
      <c r="B73" t="s">
        <v>690</v>
      </c>
      <c r="C73" t="s">
        <v>691</v>
      </c>
      <c r="D73" t="s">
        <v>474</v>
      </c>
      <c r="E73" t="s">
        <v>445</v>
      </c>
    </row>
    <row r="74" spans="1:5" x14ac:dyDescent="0.2">
      <c r="A74" s="70" t="s">
        <v>440</v>
      </c>
      <c r="B74" t="s">
        <v>692</v>
      </c>
      <c r="C74" t="s">
        <v>691</v>
      </c>
      <c r="D74" t="s">
        <v>474</v>
      </c>
      <c r="E74" t="s">
        <v>448</v>
      </c>
    </row>
    <row r="75" spans="1:5" x14ac:dyDescent="0.2">
      <c r="A75" s="70" t="s">
        <v>440</v>
      </c>
      <c r="B75" t="s">
        <v>693</v>
      </c>
      <c r="C75" t="s">
        <v>691</v>
      </c>
      <c r="D75" t="s">
        <v>474</v>
      </c>
      <c r="E75" t="s">
        <v>444</v>
      </c>
    </row>
    <row r="76" spans="1:5" x14ac:dyDescent="0.2">
      <c r="A76" s="70" t="s">
        <v>440</v>
      </c>
      <c r="B76" t="s">
        <v>694</v>
      </c>
      <c r="C76" t="s">
        <v>691</v>
      </c>
      <c r="D76" t="s">
        <v>474</v>
      </c>
      <c r="E76" t="s">
        <v>447</v>
      </c>
    </row>
    <row r="77" spans="1:5" x14ac:dyDescent="0.2">
      <c r="A77" s="70" t="s">
        <v>440</v>
      </c>
      <c r="B77" t="s">
        <v>695</v>
      </c>
      <c r="C77" t="s">
        <v>691</v>
      </c>
      <c r="D77" t="s">
        <v>474</v>
      </c>
      <c r="E77" t="s">
        <v>446</v>
      </c>
    </row>
    <row r="78" spans="1:5" x14ac:dyDescent="0.2">
      <c r="A78" s="70" t="s">
        <v>440</v>
      </c>
      <c r="B78" t="s">
        <v>765</v>
      </c>
      <c r="C78" t="s">
        <v>691</v>
      </c>
      <c r="D78" t="s">
        <v>476</v>
      </c>
      <c r="E78" t="s">
        <v>445</v>
      </c>
    </row>
    <row r="79" spans="1:5" x14ac:dyDescent="0.2">
      <c r="A79" s="70" t="s">
        <v>440</v>
      </c>
      <c r="B79" t="s">
        <v>766</v>
      </c>
      <c r="C79" t="s">
        <v>691</v>
      </c>
      <c r="D79" t="s">
        <v>476</v>
      </c>
      <c r="E79" t="s">
        <v>448</v>
      </c>
    </row>
    <row r="80" spans="1:5" x14ac:dyDescent="0.2">
      <c r="A80" s="70" t="s">
        <v>440</v>
      </c>
      <c r="B80" t="s">
        <v>767</v>
      </c>
      <c r="C80" t="s">
        <v>691</v>
      </c>
      <c r="D80" t="s">
        <v>476</v>
      </c>
      <c r="E80" t="s">
        <v>444</v>
      </c>
    </row>
    <row r="81" spans="1:5" x14ac:dyDescent="0.2">
      <c r="A81" s="70" t="s">
        <v>440</v>
      </c>
      <c r="B81" t="s">
        <v>768</v>
      </c>
      <c r="C81" t="s">
        <v>691</v>
      </c>
      <c r="D81" t="s">
        <v>476</v>
      </c>
      <c r="E81" t="s">
        <v>447</v>
      </c>
    </row>
    <row r="82" spans="1:5" x14ac:dyDescent="0.2">
      <c r="A82" s="70" t="s">
        <v>440</v>
      </c>
      <c r="B82" t="s">
        <v>769</v>
      </c>
      <c r="C82" t="s">
        <v>691</v>
      </c>
      <c r="D82" t="s">
        <v>476</v>
      </c>
      <c r="E82" t="s">
        <v>446</v>
      </c>
    </row>
    <row r="83" spans="1:5" x14ac:dyDescent="0.2">
      <c r="A83" s="70" t="s">
        <v>440</v>
      </c>
      <c r="B83" t="s">
        <v>770</v>
      </c>
      <c r="C83" t="s">
        <v>691</v>
      </c>
      <c r="D83" t="s">
        <v>478</v>
      </c>
      <c r="E83" t="s">
        <v>445</v>
      </c>
    </row>
    <row r="84" spans="1:5" x14ac:dyDescent="0.2">
      <c r="A84" s="70" t="s">
        <v>440</v>
      </c>
      <c r="B84" t="s">
        <v>771</v>
      </c>
      <c r="C84" t="s">
        <v>691</v>
      </c>
      <c r="D84" t="s">
        <v>478</v>
      </c>
      <c r="E84" t="s">
        <v>448</v>
      </c>
    </row>
    <row r="85" spans="1:5" x14ac:dyDescent="0.2">
      <c r="A85" s="70" t="s">
        <v>440</v>
      </c>
      <c r="B85" t="s">
        <v>772</v>
      </c>
      <c r="C85" t="s">
        <v>691</v>
      </c>
      <c r="D85" t="s">
        <v>478</v>
      </c>
      <c r="E85" t="s">
        <v>444</v>
      </c>
    </row>
    <row r="86" spans="1:5" x14ac:dyDescent="0.2">
      <c r="A86" s="70" t="s">
        <v>440</v>
      </c>
      <c r="B86" t="s">
        <v>773</v>
      </c>
      <c r="C86" t="s">
        <v>691</v>
      </c>
      <c r="D86" t="s">
        <v>478</v>
      </c>
      <c r="E86" t="s">
        <v>447</v>
      </c>
    </row>
    <row r="87" spans="1:5" x14ac:dyDescent="0.2">
      <c r="A87" s="70" t="s">
        <v>440</v>
      </c>
      <c r="B87" t="s">
        <v>774</v>
      </c>
      <c r="C87" t="s">
        <v>691</v>
      </c>
      <c r="D87" t="s">
        <v>478</v>
      </c>
      <c r="E87" t="s">
        <v>446</v>
      </c>
    </row>
    <row r="88" spans="1:5" x14ac:dyDescent="0.2">
      <c r="A88" s="70" t="s">
        <v>440</v>
      </c>
      <c r="B88" t="s">
        <v>775</v>
      </c>
      <c r="C88" t="s">
        <v>691</v>
      </c>
      <c r="D88" t="s">
        <v>480</v>
      </c>
      <c r="E88" t="s">
        <v>445</v>
      </c>
    </row>
    <row r="89" spans="1:5" x14ac:dyDescent="0.2">
      <c r="A89" s="70" t="s">
        <v>440</v>
      </c>
      <c r="B89" t="s">
        <v>776</v>
      </c>
      <c r="C89" t="s">
        <v>691</v>
      </c>
      <c r="D89" t="s">
        <v>480</v>
      </c>
      <c r="E89" t="s">
        <v>448</v>
      </c>
    </row>
    <row r="90" spans="1:5" x14ac:dyDescent="0.2">
      <c r="A90" s="70" t="s">
        <v>440</v>
      </c>
      <c r="B90" t="s">
        <v>777</v>
      </c>
      <c r="C90" t="s">
        <v>691</v>
      </c>
      <c r="D90" t="s">
        <v>480</v>
      </c>
      <c r="E90" t="s">
        <v>444</v>
      </c>
    </row>
    <row r="91" spans="1:5" x14ac:dyDescent="0.2">
      <c r="A91" s="70" t="s">
        <v>440</v>
      </c>
      <c r="B91" t="s">
        <v>778</v>
      </c>
      <c r="C91" t="s">
        <v>691</v>
      </c>
      <c r="D91" t="s">
        <v>480</v>
      </c>
      <c r="E91" t="s">
        <v>447</v>
      </c>
    </row>
    <row r="92" spans="1:5" x14ac:dyDescent="0.2">
      <c r="A92" s="70" t="s">
        <v>440</v>
      </c>
      <c r="B92" t="s">
        <v>779</v>
      </c>
      <c r="C92" t="s">
        <v>691</v>
      </c>
      <c r="D92" t="s">
        <v>480</v>
      </c>
      <c r="E92" t="s">
        <v>446</v>
      </c>
    </row>
    <row r="93" spans="1:5" x14ac:dyDescent="0.2">
      <c r="A93" s="70" t="s">
        <v>440</v>
      </c>
      <c r="B93" t="s">
        <v>780</v>
      </c>
      <c r="C93" t="s">
        <v>691</v>
      </c>
      <c r="D93" t="s">
        <v>482</v>
      </c>
      <c r="E93" t="s">
        <v>445</v>
      </c>
    </row>
    <row r="94" spans="1:5" x14ac:dyDescent="0.2">
      <c r="A94" s="70" t="s">
        <v>440</v>
      </c>
      <c r="B94" t="s">
        <v>781</v>
      </c>
      <c r="C94" t="s">
        <v>691</v>
      </c>
      <c r="D94" t="s">
        <v>482</v>
      </c>
      <c r="E94" t="s">
        <v>448</v>
      </c>
    </row>
    <row r="95" spans="1:5" x14ac:dyDescent="0.2">
      <c r="A95" s="70" t="s">
        <v>440</v>
      </c>
      <c r="B95" t="s">
        <v>782</v>
      </c>
      <c r="C95" t="s">
        <v>691</v>
      </c>
      <c r="D95" t="s">
        <v>482</v>
      </c>
      <c r="E95" t="s">
        <v>444</v>
      </c>
    </row>
    <row r="96" spans="1:5" x14ac:dyDescent="0.2">
      <c r="A96" s="70" t="s">
        <v>440</v>
      </c>
      <c r="B96" t="s">
        <v>783</v>
      </c>
      <c r="C96" t="s">
        <v>691</v>
      </c>
      <c r="D96" t="s">
        <v>482</v>
      </c>
      <c r="E96" t="s">
        <v>447</v>
      </c>
    </row>
    <row r="97" spans="1:5" x14ac:dyDescent="0.2">
      <c r="A97" s="70" t="s">
        <v>440</v>
      </c>
      <c r="B97" t="s">
        <v>784</v>
      </c>
      <c r="C97" t="s">
        <v>691</v>
      </c>
      <c r="D97" t="s">
        <v>482</v>
      </c>
      <c r="E97" t="s">
        <v>446</v>
      </c>
    </row>
    <row r="98" spans="1:5" x14ac:dyDescent="0.2">
      <c r="A98" s="70" t="s">
        <v>440</v>
      </c>
      <c r="B98" t="s">
        <v>785</v>
      </c>
      <c r="C98" t="s">
        <v>691</v>
      </c>
      <c r="D98" t="s">
        <v>484</v>
      </c>
      <c r="E98" t="s">
        <v>445</v>
      </c>
    </row>
    <row r="99" spans="1:5" x14ac:dyDescent="0.2">
      <c r="A99" s="70" t="s">
        <v>440</v>
      </c>
      <c r="B99" t="s">
        <v>786</v>
      </c>
      <c r="C99" t="s">
        <v>691</v>
      </c>
      <c r="D99" t="s">
        <v>484</v>
      </c>
      <c r="E99" t="s">
        <v>448</v>
      </c>
    </row>
    <row r="100" spans="1:5" x14ac:dyDescent="0.2">
      <c r="A100" s="70" t="s">
        <v>440</v>
      </c>
      <c r="B100" t="s">
        <v>787</v>
      </c>
      <c r="C100" t="s">
        <v>691</v>
      </c>
      <c r="D100" t="s">
        <v>484</v>
      </c>
      <c r="E100" t="s">
        <v>444</v>
      </c>
    </row>
    <row r="101" spans="1:5" x14ac:dyDescent="0.2">
      <c r="A101" s="70" t="s">
        <v>440</v>
      </c>
      <c r="B101" t="s">
        <v>788</v>
      </c>
      <c r="C101" t="s">
        <v>691</v>
      </c>
      <c r="D101" t="s">
        <v>484</v>
      </c>
      <c r="E101" t="s">
        <v>447</v>
      </c>
    </row>
    <row r="102" spans="1:5" x14ac:dyDescent="0.2">
      <c r="A102" s="70" t="s">
        <v>440</v>
      </c>
      <c r="B102" t="s">
        <v>789</v>
      </c>
      <c r="C102" t="s">
        <v>691</v>
      </c>
      <c r="D102" t="s">
        <v>484</v>
      </c>
      <c r="E102" t="s">
        <v>446</v>
      </c>
    </row>
    <row r="103" spans="1:5" x14ac:dyDescent="0.2">
      <c r="A103" s="70" t="s">
        <v>440</v>
      </c>
      <c r="B103" t="s">
        <v>790</v>
      </c>
      <c r="C103" t="s">
        <v>691</v>
      </c>
      <c r="D103" t="s">
        <v>486</v>
      </c>
      <c r="E103" t="s">
        <v>445</v>
      </c>
    </row>
    <row r="104" spans="1:5" x14ac:dyDescent="0.2">
      <c r="A104" s="70" t="s">
        <v>440</v>
      </c>
      <c r="B104" t="s">
        <v>791</v>
      </c>
      <c r="C104" t="s">
        <v>691</v>
      </c>
      <c r="D104" t="s">
        <v>486</v>
      </c>
      <c r="E104" t="s">
        <v>448</v>
      </c>
    </row>
    <row r="105" spans="1:5" x14ac:dyDescent="0.2">
      <c r="A105" s="70" t="s">
        <v>440</v>
      </c>
      <c r="B105" t="s">
        <v>792</v>
      </c>
      <c r="C105" t="s">
        <v>691</v>
      </c>
      <c r="D105" t="s">
        <v>486</v>
      </c>
      <c r="E105" t="s">
        <v>444</v>
      </c>
    </row>
    <row r="106" spans="1:5" x14ac:dyDescent="0.2">
      <c r="A106" s="70" t="s">
        <v>440</v>
      </c>
      <c r="B106" t="s">
        <v>793</v>
      </c>
      <c r="C106" t="s">
        <v>691</v>
      </c>
      <c r="D106" t="s">
        <v>486</v>
      </c>
      <c r="E106" t="s">
        <v>447</v>
      </c>
    </row>
    <row r="107" spans="1:5" x14ac:dyDescent="0.2">
      <c r="A107" s="70" t="s">
        <v>440</v>
      </c>
      <c r="B107" t="s">
        <v>794</v>
      </c>
      <c r="C107" t="s">
        <v>691</v>
      </c>
      <c r="D107" t="s">
        <v>486</v>
      </c>
      <c r="E107" t="s">
        <v>446</v>
      </c>
    </row>
    <row r="108" spans="1:5" x14ac:dyDescent="0.2">
      <c r="A108" s="70" t="s">
        <v>440</v>
      </c>
      <c r="B108" t="s">
        <v>795</v>
      </c>
      <c r="C108" t="s">
        <v>691</v>
      </c>
      <c r="D108" t="s">
        <v>488</v>
      </c>
      <c r="E108" t="s">
        <v>448</v>
      </c>
    </row>
    <row r="109" spans="1:5" x14ac:dyDescent="0.2">
      <c r="A109" s="70" t="s">
        <v>440</v>
      </c>
      <c r="B109" t="s">
        <v>796</v>
      </c>
      <c r="C109" t="s">
        <v>691</v>
      </c>
      <c r="D109" t="s">
        <v>488</v>
      </c>
      <c r="E109" t="s">
        <v>444</v>
      </c>
    </row>
    <row r="110" spans="1:5" x14ac:dyDescent="0.2">
      <c r="A110" s="70" t="s">
        <v>440</v>
      </c>
      <c r="B110" t="s">
        <v>797</v>
      </c>
      <c r="C110" t="s">
        <v>691</v>
      </c>
      <c r="D110" t="s">
        <v>488</v>
      </c>
      <c r="E110" t="s">
        <v>447</v>
      </c>
    </row>
    <row r="111" spans="1:5" x14ac:dyDescent="0.2">
      <c r="A111" s="70" t="s">
        <v>440</v>
      </c>
      <c r="B111" t="s">
        <v>798</v>
      </c>
      <c r="C111" t="s">
        <v>691</v>
      </c>
      <c r="D111" t="s">
        <v>488</v>
      </c>
      <c r="E111" t="s">
        <v>446</v>
      </c>
    </row>
    <row r="112" spans="1:5" x14ac:dyDescent="0.2">
      <c r="A112" s="70" t="s">
        <v>440</v>
      </c>
      <c r="B112" t="s">
        <v>799</v>
      </c>
      <c r="C112" t="s">
        <v>691</v>
      </c>
      <c r="D112" t="s">
        <v>488</v>
      </c>
      <c r="E112" t="s">
        <v>445</v>
      </c>
    </row>
    <row r="113" spans="1:5" x14ac:dyDescent="0.2">
      <c r="A113" s="70" t="s">
        <v>440</v>
      </c>
      <c r="B113" t="s">
        <v>758</v>
      </c>
      <c r="C113" t="s">
        <v>691</v>
      </c>
      <c r="D113" t="s">
        <v>759</v>
      </c>
      <c r="E113" t="s">
        <v>446</v>
      </c>
    </row>
    <row r="114" spans="1:5" x14ac:dyDescent="0.2">
      <c r="A114" s="70" t="s">
        <v>431</v>
      </c>
      <c r="B114" t="s">
        <v>800</v>
      </c>
      <c r="C114" t="s">
        <v>691</v>
      </c>
      <c r="D114" t="s">
        <v>576</v>
      </c>
      <c r="E114" t="s">
        <v>445</v>
      </c>
    </row>
    <row r="115" spans="1:5" x14ac:dyDescent="0.2">
      <c r="A115" s="70" t="s">
        <v>431</v>
      </c>
      <c r="B115" t="s">
        <v>801</v>
      </c>
      <c r="C115" t="s">
        <v>691</v>
      </c>
      <c r="D115" t="s">
        <v>576</v>
      </c>
      <c r="E115" t="s">
        <v>448</v>
      </c>
    </row>
    <row r="116" spans="1:5" x14ac:dyDescent="0.2">
      <c r="A116" s="70" t="s">
        <v>431</v>
      </c>
      <c r="B116" t="s">
        <v>802</v>
      </c>
      <c r="C116" t="s">
        <v>691</v>
      </c>
      <c r="D116" t="s">
        <v>576</v>
      </c>
      <c r="E116" t="s">
        <v>444</v>
      </c>
    </row>
    <row r="117" spans="1:5" x14ac:dyDescent="0.2">
      <c r="A117" s="70" t="s">
        <v>431</v>
      </c>
      <c r="B117" t="s">
        <v>803</v>
      </c>
      <c r="C117" t="s">
        <v>691</v>
      </c>
      <c r="D117" t="s">
        <v>576</v>
      </c>
      <c r="E117" t="s">
        <v>447</v>
      </c>
    </row>
    <row r="118" spans="1:5" x14ac:dyDescent="0.2">
      <c r="A118" s="70" t="s">
        <v>431</v>
      </c>
      <c r="B118" t="s">
        <v>804</v>
      </c>
      <c r="C118" t="s">
        <v>691</v>
      </c>
      <c r="D118" t="s">
        <v>576</v>
      </c>
      <c r="E118" t="s">
        <v>446</v>
      </c>
    </row>
    <row r="119" spans="1:5" x14ac:dyDescent="0.2">
      <c r="A119" s="70" t="s">
        <v>431</v>
      </c>
      <c r="B119" t="s">
        <v>805</v>
      </c>
      <c r="C119" t="s">
        <v>691</v>
      </c>
      <c r="D119" t="s">
        <v>578</v>
      </c>
      <c r="E119" t="s">
        <v>445</v>
      </c>
    </row>
    <row r="120" spans="1:5" x14ac:dyDescent="0.2">
      <c r="A120" s="70" t="s">
        <v>431</v>
      </c>
      <c r="B120" t="s">
        <v>806</v>
      </c>
      <c r="C120" t="s">
        <v>691</v>
      </c>
      <c r="D120" t="s">
        <v>578</v>
      </c>
      <c r="E120" t="s">
        <v>448</v>
      </c>
    </row>
    <row r="121" spans="1:5" x14ac:dyDescent="0.2">
      <c r="A121" s="70" t="s">
        <v>431</v>
      </c>
      <c r="B121" t="s">
        <v>807</v>
      </c>
      <c r="C121" t="s">
        <v>691</v>
      </c>
      <c r="D121" t="s">
        <v>578</v>
      </c>
      <c r="E121" t="s">
        <v>444</v>
      </c>
    </row>
    <row r="122" spans="1:5" x14ac:dyDescent="0.2">
      <c r="A122" s="70" t="s">
        <v>431</v>
      </c>
      <c r="B122" t="s">
        <v>808</v>
      </c>
      <c r="C122" t="s">
        <v>691</v>
      </c>
      <c r="D122" t="s">
        <v>578</v>
      </c>
      <c r="E122" t="s">
        <v>447</v>
      </c>
    </row>
    <row r="123" spans="1:5" x14ac:dyDescent="0.2">
      <c r="A123" s="70" t="s">
        <v>431</v>
      </c>
      <c r="B123" t="s">
        <v>809</v>
      </c>
      <c r="C123" t="s">
        <v>691</v>
      </c>
      <c r="D123" t="s">
        <v>578</v>
      </c>
      <c r="E123" t="s">
        <v>446</v>
      </c>
    </row>
    <row r="124" spans="1:5" x14ac:dyDescent="0.2">
      <c r="A124" s="70" t="s">
        <v>431</v>
      </c>
      <c r="B124" t="s">
        <v>810</v>
      </c>
      <c r="C124" t="s">
        <v>691</v>
      </c>
      <c r="D124" t="s">
        <v>580</v>
      </c>
      <c r="E124" t="s">
        <v>445</v>
      </c>
    </row>
    <row r="125" spans="1:5" x14ac:dyDescent="0.2">
      <c r="A125" s="70" t="s">
        <v>431</v>
      </c>
      <c r="B125" t="s">
        <v>811</v>
      </c>
      <c r="C125" t="s">
        <v>691</v>
      </c>
      <c r="D125" t="s">
        <v>580</v>
      </c>
      <c r="E125" t="s">
        <v>448</v>
      </c>
    </row>
    <row r="126" spans="1:5" x14ac:dyDescent="0.2">
      <c r="A126" s="70" t="s">
        <v>431</v>
      </c>
      <c r="B126" t="s">
        <v>812</v>
      </c>
      <c r="C126" t="s">
        <v>691</v>
      </c>
      <c r="D126" t="s">
        <v>580</v>
      </c>
      <c r="E126" t="s">
        <v>444</v>
      </c>
    </row>
    <row r="127" spans="1:5" x14ac:dyDescent="0.2">
      <c r="A127" s="70" t="s">
        <v>431</v>
      </c>
      <c r="B127" t="s">
        <v>813</v>
      </c>
      <c r="C127" t="s">
        <v>691</v>
      </c>
      <c r="D127" t="s">
        <v>580</v>
      </c>
      <c r="E127" t="s">
        <v>447</v>
      </c>
    </row>
    <row r="128" spans="1:5" x14ac:dyDescent="0.2">
      <c r="A128" s="70" t="s">
        <v>431</v>
      </c>
      <c r="B128" t="s">
        <v>814</v>
      </c>
      <c r="C128" t="s">
        <v>691</v>
      </c>
      <c r="D128" t="s">
        <v>580</v>
      </c>
      <c r="E128" t="s">
        <v>446</v>
      </c>
    </row>
    <row r="129" spans="1:5" x14ac:dyDescent="0.2">
      <c r="A129" s="70" t="s">
        <v>431</v>
      </c>
      <c r="B129" t="s">
        <v>815</v>
      </c>
      <c r="C129" t="s">
        <v>691</v>
      </c>
      <c r="D129" t="s">
        <v>582</v>
      </c>
      <c r="E129" t="s">
        <v>445</v>
      </c>
    </row>
    <row r="130" spans="1:5" x14ac:dyDescent="0.2">
      <c r="A130" s="70" t="s">
        <v>431</v>
      </c>
      <c r="B130" t="s">
        <v>816</v>
      </c>
      <c r="C130" t="s">
        <v>691</v>
      </c>
      <c r="D130" t="s">
        <v>582</v>
      </c>
      <c r="E130" t="s">
        <v>448</v>
      </c>
    </row>
    <row r="131" spans="1:5" x14ac:dyDescent="0.2">
      <c r="A131" s="70" t="s">
        <v>431</v>
      </c>
      <c r="B131" t="s">
        <v>817</v>
      </c>
      <c r="C131" t="s">
        <v>691</v>
      </c>
      <c r="D131" t="s">
        <v>582</v>
      </c>
      <c r="E131" t="s">
        <v>444</v>
      </c>
    </row>
    <row r="132" spans="1:5" x14ac:dyDescent="0.2">
      <c r="A132" s="70" t="s">
        <v>431</v>
      </c>
      <c r="B132" t="s">
        <v>818</v>
      </c>
      <c r="C132" t="s">
        <v>691</v>
      </c>
      <c r="D132" t="s">
        <v>582</v>
      </c>
      <c r="E132" t="s">
        <v>447</v>
      </c>
    </row>
    <row r="133" spans="1:5" x14ac:dyDescent="0.2">
      <c r="A133" s="70" t="s">
        <v>431</v>
      </c>
      <c r="B133" t="s">
        <v>819</v>
      </c>
      <c r="C133" t="s">
        <v>691</v>
      </c>
      <c r="D133" t="s">
        <v>582</v>
      </c>
      <c r="E133" t="s">
        <v>446</v>
      </c>
    </row>
    <row r="134" spans="1:5" x14ac:dyDescent="0.2">
      <c r="A134" s="70" t="s">
        <v>431</v>
      </c>
      <c r="B134" t="s">
        <v>624</v>
      </c>
      <c r="C134" t="s">
        <v>691</v>
      </c>
      <c r="D134" t="s">
        <v>461</v>
      </c>
      <c r="E134" t="s">
        <v>445</v>
      </c>
    </row>
    <row r="135" spans="1:5" x14ac:dyDescent="0.2">
      <c r="A135" s="70" t="s">
        <v>431</v>
      </c>
      <c r="B135" t="s">
        <v>673</v>
      </c>
      <c r="C135" t="s">
        <v>691</v>
      </c>
      <c r="D135" t="s">
        <v>461</v>
      </c>
      <c r="E135" t="s">
        <v>448</v>
      </c>
    </row>
    <row r="136" spans="1:5" x14ac:dyDescent="0.2">
      <c r="A136" s="70" t="s">
        <v>431</v>
      </c>
      <c r="B136" t="s">
        <v>600</v>
      </c>
      <c r="C136" t="s">
        <v>691</v>
      </c>
      <c r="D136" t="s">
        <v>461</v>
      </c>
      <c r="E136" t="s">
        <v>444</v>
      </c>
    </row>
    <row r="137" spans="1:5" x14ac:dyDescent="0.2">
      <c r="A137" s="70" t="s">
        <v>431</v>
      </c>
      <c r="B137" t="s">
        <v>657</v>
      </c>
      <c r="C137" t="s">
        <v>691</v>
      </c>
      <c r="D137" t="s">
        <v>461</v>
      </c>
      <c r="E137" t="s">
        <v>447</v>
      </c>
    </row>
    <row r="138" spans="1:5" x14ac:dyDescent="0.2">
      <c r="A138" s="70" t="s">
        <v>431</v>
      </c>
      <c r="B138" t="s">
        <v>433</v>
      </c>
      <c r="C138" t="s">
        <v>691</v>
      </c>
      <c r="D138" t="s">
        <v>461</v>
      </c>
      <c r="E138" t="s">
        <v>446</v>
      </c>
    </row>
    <row r="139" spans="1:5" x14ac:dyDescent="0.2">
      <c r="A139" s="70" t="s">
        <v>431</v>
      </c>
      <c r="B139" t="s">
        <v>820</v>
      </c>
      <c r="C139" t="s">
        <v>691</v>
      </c>
      <c r="D139" t="s">
        <v>584</v>
      </c>
      <c r="E139" t="s">
        <v>445</v>
      </c>
    </row>
    <row r="140" spans="1:5" x14ac:dyDescent="0.2">
      <c r="A140" s="70" t="s">
        <v>431</v>
      </c>
      <c r="B140" t="s">
        <v>821</v>
      </c>
      <c r="C140" t="s">
        <v>691</v>
      </c>
      <c r="D140" t="s">
        <v>584</v>
      </c>
      <c r="E140" t="s">
        <v>448</v>
      </c>
    </row>
    <row r="141" spans="1:5" x14ac:dyDescent="0.2">
      <c r="A141" s="70" t="s">
        <v>431</v>
      </c>
      <c r="B141" t="s">
        <v>822</v>
      </c>
      <c r="C141" t="s">
        <v>691</v>
      </c>
      <c r="D141" t="s">
        <v>584</v>
      </c>
      <c r="E141" t="s">
        <v>444</v>
      </c>
    </row>
    <row r="142" spans="1:5" x14ac:dyDescent="0.2">
      <c r="A142" s="70" t="s">
        <v>431</v>
      </c>
      <c r="B142" t="s">
        <v>823</v>
      </c>
      <c r="C142" t="s">
        <v>691</v>
      </c>
      <c r="D142" t="s">
        <v>584</v>
      </c>
      <c r="E142" t="s">
        <v>447</v>
      </c>
    </row>
    <row r="143" spans="1:5" x14ac:dyDescent="0.2">
      <c r="A143" s="70" t="s">
        <v>431</v>
      </c>
      <c r="B143" t="s">
        <v>824</v>
      </c>
      <c r="C143" t="s">
        <v>691</v>
      </c>
      <c r="D143" t="s">
        <v>584</v>
      </c>
      <c r="E143" t="s">
        <v>446</v>
      </c>
    </row>
    <row r="144" spans="1:5" x14ac:dyDescent="0.2">
      <c r="A144" s="70" t="s">
        <v>431</v>
      </c>
      <c r="B144" t="s">
        <v>825</v>
      </c>
      <c r="C144" t="s">
        <v>691</v>
      </c>
      <c r="D144" t="s">
        <v>586</v>
      </c>
      <c r="E144" t="s">
        <v>445</v>
      </c>
    </row>
    <row r="145" spans="1:5" x14ac:dyDescent="0.2">
      <c r="A145" s="70" t="s">
        <v>431</v>
      </c>
      <c r="B145" t="s">
        <v>826</v>
      </c>
      <c r="C145" t="s">
        <v>691</v>
      </c>
      <c r="D145" t="s">
        <v>586</v>
      </c>
      <c r="E145" t="s">
        <v>448</v>
      </c>
    </row>
    <row r="146" spans="1:5" x14ac:dyDescent="0.2">
      <c r="A146" s="70" t="s">
        <v>431</v>
      </c>
      <c r="B146" t="s">
        <v>827</v>
      </c>
      <c r="C146" t="s">
        <v>691</v>
      </c>
      <c r="D146" t="s">
        <v>586</v>
      </c>
      <c r="E146" t="s">
        <v>444</v>
      </c>
    </row>
    <row r="147" spans="1:5" x14ac:dyDescent="0.2">
      <c r="A147" s="70" t="s">
        <v>431</v>
      </c>
      <c r="B147" t="s">
        <v>828</v>
      </c>
      <c r="C147" t="s">
        <v>691</v>
      </c>
      <c r="D147" t="s">
        <v>586</v>
      </c>
      <c r="E147" t="s">
        <v>447</v>
      </c>
    </row>
    <row r="148" spans="1:5" x14ac:dyDescent="0.2">
      <c r="A148" s="70" t="s">
        <v>431</v>
      </c>
      <c r="B148" t="s">
        <v>829</v>
      </c>
      <c r="C148" t="s">
        <v>691</v>
      </c>
      <c r="D148" t="s">
        <v>586</v>
      </c>
      <c r="E148" t="s">
        <v>446</v>
      </c>
    </row>
    <row r="149" spans="1:5" x14ac:dyDescent="0.2">
      <c r="A149" s="70" t="s">
        <v>431</v>
      </c>
      <c r="B149" t="s">
        <v>830</v>
      </c>
      <c r="C149" t="s">
        <v>691</v>
      </c>
      <c r="D149" t="s">
        <v>588</v>
      </c>
      <c r="E149" t="s">
        <v>445</v>
      </c>
    </row>
    <row r="150" spans="1:5" x14ac:dyDescent="0.2">
      <c r="A150" s="70" t="s">
        <v>431</v>
      </c>
      <c r="B150" t="s">
        <v>831</v>
      </c>
      <c r="C150" t="s">
        <v>691</v>
      </c>
      <c r="D150" t="s">
        <v>588</v>
      </c>
      <c r="E150" t="s">
        <v>448</v>
      </c>
    </row>
    <row r="151" spans="1:5" x14ac:dyDescent="0.2">
      <c r="A151" s="70" t="s">
        <v>431</v>
      </c>
      <c r="B151" t="s">
        <v>832</v>
      </c>
      <c r="C151" t="s">
        <v>691</v>
      </c>
      <c r="D151" t="s">
        <v>588</v>
      </c>
      <c r="E151" t="s">
        <v>444</v>
      </c>
    </row>
    <row r="152" spans="1:5" x14ac:dyDescent="0.2">
      <c r="A152" s="70" t="s">
        <v>431</v>
      </c>
      <c r="B152" t="s">
        <v>833</v>
      </c>
      <c r="C152" t="s">
        <v>691</v>
      </c>
      <c r="D152" t="s">
        <v>588</v>
      </c>
      <c r="E152" t="s">
        <v>447</v>
      </c>
    </row>
    <row r="153" spans="1:5" x14ac:dyDescent="0.2">
      <c r="A153" s="70" t="s">
        <v>431</v>
      </c>
      <c r="B153" t="s">
        <v>834</v>
      </c>
      <c r="C153" t="s">
        <v>691</v>
      </c>
      <c r="D153" t="s">
        <v>588</v>
      </c>
      <c r="E153" t="s">
        <v>446</v>
      </c>
    </row>
    <row r="154" spans="1:5" x14ac:dyDescent="0.2">
      <c r="A154" s="70" t="s">
        <v>431</v>
      </c>
      <c r="B154" t="s">
        <v>835</v>
      </c>
      <c r="C154" t="s">
        <v>691</v>
      </c>
      <c r="D154" t="s">
        <v>590</v>
      </c>
      <c r="E154" t="s">
        <v>445</v>
      </c>
    </row>
    <row r="155" spans="1:5" x14ac:dyDescent="0.2">
      <c r="A155" s="70" t="s">
        <v>431</v>
      </c>
      <c r="B155" t="s">
        <v>836</v>
      </c>
      <c r="C155" t="s">
        <v>691</v>
      </c>
      <c r="D155" t="s">
        <v>590</v>
      </c>
      <c r="E155" t="s">
        <v>448</v>
      </c>
    </row>
    <row r="156" spans="1:5" x14ac:dyDescent="0.2">
      <c r="A156" s="70" t="s">
        <v>431</v>
      </c>
      <c r="B156" t="s">
        <v>837</v>
      </c>
      <c r="C156" t="s">
        <v>691</v>
      </c>
      <c r="D156" t="s">
        <v>590</v>
      </c>
      <c r="E156" t="s">
        <v>444</v>
      </c>
    </row>
    <row r="157" spans="1:5" x14ac:dyDescent="0.2">
      <c r="A157" s="70" t="s">
        <v>431</v>
      </c>
      <c r="B157" t="s">
        <v>838</v>
      </c>
      <c r="C157" t="s">
        <v>691</v>
      </c>
      <c r="D157" t="s">
        <v>590</v>
      </c>
      <c r="E157" t="s">
        <v>447</v>
      </c>
    </row>
    <row r="158" spans="1:5" x14ac:dyDescent="0.2">
      <c r="A158" s="70" t="s">
        <v>431</v>
      </c>
      <c r="B158" t="s">
        <v>839</v>
      </c>
      <c r="C158" t="s">
        <v>691</v>
      </c>
      <c r="D158" t="s">
        <v>590</v>
      </c>
      <c r="E158" t="s">
        <v>446</v>
      </c>
    </row>
    <row r="159" spans="1:5" x14ac:dyDescent="0.2">
      <c r="A159" s="70" t="s">
        <v>431</v>
      </c>
      <c r="B159" t="s">
        <v>840</v>
      </c>
      <c r="C159" t="s">
        <v>691</v>
      </c>
      <c r="D159" t="s">
        <v>522</v>
      </c>
      <c r="E159" t="s">
        <v>445</v>
      </c>
    </row>
    <row r="160" spans="1:5" x14ac:dyDescent="0.2">
      <c r="A160" s="70" t="s">
        <v>431</v>
      </c>
      <c r="B160" t="s">
        <v>841</v>
      </c>
      <c r="C160" t="s">
        <v>691</v>
      </c>
      <c r="D160" t="s">
        <v>522</v>
      </c>
      <c r="E160" t="s">
        <v>448</v>
      </c>
    </row>
    <row r="161" spans="1:5" x14ac:dyDescent="0.2">
      <c r="A161" s="70" t="s">
        <v>431</v>
      </c>
      <c r="B161" t="s">
        <v>842</v>
      </c>
      <c r="C161" t="s">
        <v>691</v>
      </c>
      <c r="D161" t="s">
        <v>522</v>
      </c>
      <c r="E161" t="s">
        <v>444</v>
      </c>
    </row>
    <row r="162" spans="1:5" x14ac:dyDescent="0.2">
      <c r="A162" s="70" t="s">
        <v>431</v>
      </c>
      <c r="B162" t="s">
        <v>843</v>
      </c>
      <c r="C162" t="s">
        <v>691</v>
      </c>
      <c r="D162" t="s">
        <v>522</v>
      </c>
      <c r="E162" t="s">
        <v>447</v>
      </c>
    </row>
    <row r="163" spans="1:5" x14ac:dyDescent="0.2">
      <c r="A163" s="70" t="s">
        <v>431</v>
      </c>
      <c r="B163" t="s">
        <v>844</v>
      </c>
      <c r="C163" t="s">
        <v>691</v>
      </c>
      <c r="D163" t="s">
        <v>522</v>
      </c>
      <c r="E163" t="s">
        <v>446</v>
      </c>
    </row>
    <row r="164" spans="1:5" x14ac:dyDescent="0.2">
      <c r="A164" s="70" t="s">
        <v>431</v>
      </c>
      <c r="B164" t="s">
        <v>845</v>
      </c>
      <c r="C164" t="s">
        <v>691</v>
      </c>
      <c r="D164" t="s">
        <v>592</v>
      </c>
      <c r="E164" t="s">
        <v>445</v>
      </c>
    </row>
    <row r="165" spans="1:5" x14ac:dyDescent="0.2">
      <c r="A165" s="70" t="s">
        <v>431</v>
      </c>
      <c r="B165" t="s">
        <v>846</v>
      </c>
      <c r="C165" t="s">
        <v>691</v>
      </c>
      <c r="D165" t="s">
        <v>592</v>
      </c>
      <c r="E165" t="s">
        <v>448</v>
      </c>
    </row>
    <row r="166" spans="1:5" x14ac:dyDescent="0.2">
      <c r="A166" s="70" t="s">
        <v>431</v>
      </c>
      <c r="B166" t="s">
        <v>847</v>
      </c>
      <c r="C166" t="s">
        <v>691</v>
      </c>
      <c r="D166" t="s">
        <v>592</v>
      </c>
      <c r="E166" t="s">
        <v>444</v>
      </c>
    </row>
    <row r="167" spans="1:5" x14ac:dyDescent="0.2">
      <c r="A167" s="70" t="s">
        <v>431</v>
      </c>
      <c r="B167" t="s">
        <v>848</v>
      </c>
      <c r="C167" t="s">
        <v>691</v>
      </c>
      <c r="D167" t="s">
        <v>592</v>
      </c>
      <c r="E167" t="s">
        <v>447</v>
      </c>
    </row>
    <row r="168" spans="1:5" x14ac:dyDescent="0.2">
      <c r="A168" s="70" t="s">
        <v>431</v>
      </c>
      <c r="B168" t="s">
        <v>849</v>
      </c>
      <c r="C168" t="s">
        <v>691</v>
      </c>
      <c r="D168" t="s">
        <v>592</v>
      </c>
      <c r="E168" t="s">
        <v>446</v>
      </c>
    </row>
    <row r="169" spans="1:5" x14ac:dyDescent="0.2">
      <c r="A169" s="70" t="s">
        <v>431</v>
      </c>
      <c r="B169" t="s">
        <v>850</v>
      </c>
      <c r="C169" t="s">
        <v>691</v>
      </c>
      <c r="D169" t="s">
        <v>524</v>
      </c>
      <c r="E169" t="s">
        <v>445</v>
      </c>
    </row>
    <row r="170" spans="1:5" x14ac:dyDescent="0.2">
      <c r="A170" s="70" t="s">
        <v>431</v>
      </c>
      <c r="B170" t="s">
        <v>851</v>
      </c>
      <c r="C170" t="s">
        <v>691</v>
      </c>
      <c r="D170" t="s">
        <v>524</v>
      </c>
      <c r="E170" t="s">
        <v>448</v>
      </c>
    </row>
    <row r="171" spans="1:5" x14ac:dyDescent="0.2">
      <c r="A171" s="70" t="s">
        <v>431</v>
      </c>
      <c r="B171" t="s">
        <v>852</v>
      </c>
      <c r="C171" t="s">
        <v>691</v>
      </c>
      <c r="D171" t="s">
        <v>524</v>
      </c>
      <c r="E171" t="s">
        <v>444</v>
      </c>
    </row>
    <row r="172" spans="1:5" x14ac:dyDescent="0.2">
      <c r="A172" s="70" t="s">
        <v>431</v>
      </c>
      <c r="B172" t="s">
        <v>853</v>
      </c>
      <c r="C172" t="s">
        <v>691</v>
      </c>
      <c r="D172" t="s">
        <v>524</v>
      </c>
      <c r="E172" t="s">
        <v>447</v>
      </c>
    </row>
    <row r="173" spans="1:5" x14ac:dyDescent="0.2">
      <c r="A173" s="70" t="s">
        <v>431</v>
      </c>
      <c r="B173" t="s">
        <v>854</v>
      </c>
      <c r="C173" t="s">
        <v>691</v>
      </c>
      <c r="D173" t="s">
        <v>524</v>
      </c>
      <c r="E173" t="s">
        <v>446</v>
      </c>
    </row>
    <row r="174" spans="1:5" x14ac:dyDescent="0.2">
      <c r="A174" s="70" t="s">
        <v>431</v>
      </c>
      <c r="B174" t="s">
        <v>855</v>
      </c>
      <c r="C174" t="s">
        <v>691</v>
      </c>
      <c r="D174" t="s">
        <v>594</v>
      </c>
      <c r="E174" t="s">
        <v>445</v>
      </c>
    </row>
    <row r="175" spans="1:5" x14ac:dyDescent="0.2">
      <c r="A175" s="70" t="s">
        <v>431</v>
      </c>
      <c r="B175" t="s">
        <v>856</v>
      </c>
      <c r="C175" t="s">
        <v>691</v>
      </c>
      <c r="D175" t="s">
        <v>594</v>
      </c>
      <c r="E175" t="s">
        <v>448</v>
      </c>
    </row>
    <row r="176" spans="1:5" x14ac:dyDescent="0.2">
      <c r="A176" s="70" t="s">
        <v>431</v>
      </c>
      <c r="B176" t="s">
        <v>857</v>
      </c>
      <c r="C176" t="s">
        <v>691</v>
      </c>
      <c r="D176" t="s">
        <v>594</v>
      </c>
      <c r="E176" t="s">
        <v>444</v>
      </c>
    </row>
    <row r="177" spans="1:5" x14ac:dyDescent="0.2">
      <c r="A177" s="70" t="s">
        <v>431</v>
      </c>
      <c r="B177" t="s">
        <v>858</v>
      </c>
      <c r="C177" t="s">
        <v>691</v>
      </c>
      <c r="D177" t="s">
        <v>594</v>
      </c>
      <c r="E177" t="s">
        <v>447</v>
      </c>
    </row>
    <row r="178" spans="1:5" x14ac:dyDescent="0.2">
      <c r="A178" s="70" t="s">
        <v>431</v>
      </c>
      <c r="B178" t="s">
        <v>859</v>
      </c>
      <c r="C178" t="s">
        <v>691</v>
      </c>
      <c r="D178" t="s">
        <v>594</v>
      </c>
      <c r="E178" t="s">
        <v>446</v>
      </c>
    </row>
    <row r="179" spans="1:5" x14ac:dyDescent="0.2">
      <c r="A179" s="70" t="s">
        <v>431</v>
      </c>
      <c r="B179" t="s">
        <v>860</v>
      </c>
      <c r="C179" t="s">
        <v>691</v>
      </c>
      <c r="D179" t="s">
        <v>596</v>
      </c>
      <c r="E179" t="s">
        <v>445</v>
      </c>
    </row>
    <row r="180" spans="1:5" x14ac:dyDescent="0.2">
      <c r="A180" s="70" t="s">
        <v>431</v>
      </c>
      <c r="B180" t="s">
        <v>861</v>
      </c>
      <c r="C180" t="s">
        <v>691</v>
      </c>
      <c r="D180" t="s">
        <v>596</v>
      </c>
      <c r="E180" t="s">
        <v>448</v>
      </c>
    </row>
    <row r="181" spans="1:5" x14ac:dyDescent="0.2">
      <c r="A181" s="70" t="s">
        <v>431</v>
      </c>
      <c r="B181" t="s">
        <v>862</v>
      </c>
      <c r="C181" t="s">
        <v>691</v>
      </c>
      <c r="D181" t="s">
        <v>596</v>
      </c>
      <c r="E181" t="s">
        <v>444</v>
      </c>
    </row>
    <row r="182" spans="1:5" x14ac:dyDescent="0.2">
      <c r="A182" s="70" t="s">
        <v>431</v>
      </c>
      <c r="B182" t="s">
        <v>863</v>
      </c>
      <c r="C182" t="s">
        <v>691</v>
      </c>
      <c r="D182" t="s">
        <v>596</v>
      </c>
      <c r="E182" t="s">
        <v>447</v>
      </c>
    </row>
    <row r="183" spans="1:5" x14ac:dyDescent="0.2">
      <c r="A183" s="70" t="s">
        <v>431</v>
      </c>
      <c r="B183" t="s">
        <v>864</v>
      </c>
      <c r="C183" t="s">
        <v>691</v>
      </c>
      <c r="D183" t="s">
        <v>596</v>
      </c>
      <c r="E183" t="s">
        <v>446</v>
      </c>
    </row>
    <row r="184" spans="1:5" x14ac:dyDescent="0.2">
      <c r="A184" s="70" t="s">
        <v>431</v>
      </c>
      <c r="B184" t="s">
        <v>752</v>
      </c>
      <c r="C184" t="s">
        <v>691</v>
      </c>
      <c r="D184" t="s">
        <v>753</v>
      </c>
      <c r="E184" t="s">
        <v>445</v>
      </c>
    </row>
    <row r="185" spans="1:5" x14ac:dyDescent="0.2">
      <c r="A185" s="70" t="s">
        <v>431</v>
      </c>
      <c r="B185" t="s">
        <v>754</v>
      </c>
      <c r="C185" t="s">
        <v>691</v>
      </c>
      <c r="D185" t="s">
        <v>753</v>
      </c>
      <c r="E185" t="s">
        <v>448</v>
      </c>
    </row>
    <row r="186" spans="1:5" x14ac:dyDescent="0.2">
      <c r="A186" s="70" t="s">
        <v>431</v>
      </c>
      <c r="B186" t="s">
        <v>755</v>
      </c>
      <c r="C186" t="s">
        <v>691</v>
      </c>
      <c r="D186" t="s">
        <v>753</v>
      </c>
      <c r="E186" t="s">
        <v>444</v>
      </c>
    </row>
    <row r="187" spans="1:5" x14ac:dyDescent="0.2">
      <c r="A187" s="70" t="s">
        <v>431</v>
      </c>
      <c r="B187" t="s">
        <v>756</v>
      </c>
      <c r="C187" t="s">
        <v>691</v>
      </c>
      <c r="D187" t="s">
        <v>753</v>
      </c>
      <c r="E187" t="s">
        <v>447</v>
      </c>
    </row>
    <row r="188" spans="1:5" x14ac:dyDescent="0.2">
      <c r="A188" s="70" t="s">
        <v>431</v>
      </c>
      <c r="B188" t="s">
        <v>757</v>
      </c>
      <c r="C188" t="s">
        <v>691</v>
      </c>
      <c r="D188" t="s">
        <v>753</v>
      </c>
      <c r="E188" t="s">
        <v>446</v>
      </c>
    </row>
    <row r="189" spans="1:5" x14ac:dyDescent="0.2">
      <c r="A189" s="70" t="s">
        <v>431</v>
      </c>
      <c r="B189" t="s">
        <v>758</v>
      </c>
      <c r="C189" t="s">
        <v>691</v>
      </c>
      <c r="D189" t="s">
        <v>759</v>
      </c>
      <c r="E189" t="s">
        <v>446</v>
      </c>
    </row>
    <row r="190" spans="1:5" x14ac:dyDescent="0.2">
      <c r="A190" s="70" t="s">
        <v>410</v>
      </c>
      <c r="B190" t="s">
        <v>865</v>
      </c>
      <c r="C190" t="s">
        <v>691</v>
      </c>
      <c r="D190" t="s">
        <v>866</v>
      </c>
      <c r="E190" t="s">
        <v>445</v>
      </c>
    </row>
    <row r="191" spans="1:5" x14ac:dyDescent="0.2">
      <c r="A191" s="70" t="s">
        <v>410</v>
      </c>
      <c r="B191" t="s">
        <v>867</v>
      </c>
      <c r="C191" t="s">
        <v>691</v>
      </c>
      <c r="D191" t="s">
        <v>866</v>
      </c>
      <c r="E191" t="s">
        <v>448</v>
      </c>
    </row>
    <row r="192" spans="1:5" x14ac:dyDescent="0.2">
      <c r="A192" s="70" t="s">
        <v>410</v>
      </c>
      <c r="B192" t="s">
        <v>868</v>
      </c>
      <c r="C192" t="s">
        <v>691</v>
      </c>
      <c r="D192" t="s">
        <v>866</v>
      </c>
      <c r="E192" t="s">
        <v>444</v>
      </c>
    </row>
    <row r="193" spans="1:5" x14ac:dyDescent="0.2">
      <c r="A193" s="70" t="s">
        <v>410</v>
      </c>
      <c r="B193" t="s">
        <v>869</v>
      </c>
      <c r="C193" t="s">
        <v>691</v>
      </c>
      <c r="D193" t="s">
        <v>866</v>
      </c>
      <c r="E193" t="s">
        <v>447</v>
      </c>
    </row>
    <row r="194" spans="1:5" x14ac:dyDescent="0.2">
      <c r="A194" s="70" t="s">
        <v>410</v>
      </c>
      <c r="B194" t="s">
        <v>870</v>
      </c>
      <c r="C194" t="s">
        <v>691</v>
      </c>
      <c r="D194" t="s">
        <v>866</v>
      </c>
      <c r="E194" t="s">
        <v>446</v>
      </c>
    </row>
    <row r="195" spans="1:5" x14ac:dyDescent="0.2">
      <c r="A195" s="70" t="s">
        <v>410</v>
      </c>
      <c r="B195" t="s">
        <v>871</v>
      </c>
      <c r="C195" t="s">
        <v>691</v>
      </c>
      <c r="D195" t="s">
        <v>491</v>
      </c>
      <c r="E195" t="s">
        <v>445</v>
      </c>
    </row>
    <row r="196" spans="1:5" x14ac:dyDescent="0.2">
      <c r="A196" s="70" t="s">
        <v>410</v>
      </c>
      <c r="B196" t="s">
        <v>872</v>
      </c>
      <c r="C196" t="s">
        <v>691</v>
      </c>
      <c r="D196" t="s">
        <v>491</v>
      </c>
      <c r="E196" t="s">
        <v>448</v>
      </c>
    </row>
    <row r="197" spans="1:5" x14ac:dyDescent="0.2">
      <c r="A197" s="70" t="s">
        <v>410</v>
      </c>
      <c r="B197" t="s">
        <v>873</v>
      </c>
      <c r="C197" t="s">
        <v>691</v>
      </c>
      <c r="D197" t="s">
        <v>491</v>
      </c>
      <c r="E197" t="s">
        <v>444</v>
      </c>
    </row>
    <row r="198" spans="1:5" x14ac:dyDescent="0.2">
      <c r="A198" s="70" t="s">
        <v>410</v>
      </c>
      <c r="B198" t="s">
        <v>874</v>
      </c>
      <c r="C198" t="s">
        <v>691</v>
      </c>
      <c r="D198" t="s">
        <v>491</v>
      </c>
      <c r="E198" t="s">
        <v>447</v>
      </c>
    </row>
    <row r="199" spans="1:5" x14ac:dyDescent="0.2">
      <c r="A199" s="70" t="s">
        <v>410</v>
      </c>
      <c r="B199" t="s">
        <v>875</v>
      </c>
      <c r="C199" t="s">
        <v>691</v>
      </c>
      <c r="D199" t="s">
        <v>491</v>
      </c>
      <c r="E199" t="s">
        <v>446</v>
      </c>
    </row>
    <row r="200" spans="1:5" x14ac:dyDescent="0.2">
      <c r="A200" s="70" t="s">
        <v>410</v>
      </c>
      <c r="B200" t="s">
        <v>876</v>
      </c>
      <c r="C200" t="s">
        <v>691</v>
      </c>
      <c r="D200" t="s">
        <v>493</v>
      </c>
      <c r="E200" t="s">
        <v>445</v>
      </c>
    </row>
    <row r="201" spans="1:5" x14ac:dyDescent="0.2">
      <c r="A201" s="70" t="s">
        <v>410</v>
      </c>
      <c r="B201" t="s">
        <v>877</v>
      </c>
      <c r="C201" t="s">
        <v>691</v>
      </c>
      <c r="D201" t="s">
        <v>493</v>
      </c>
      <c r="E201" t="s">
        <v>448</v>
      </c>
    </row>
    <row r="202" spans="1:5" x14ac:dyDescent="0.2">
      <c r="A202" s="70" t="s">
        <v>410</v>
      </c>
      <c r="B202" t="s">
        <v>878</v>
      </c>
      <c r="C202" t="s">
        <v>691</v>
      </c>
      <c r="D202" t="s">
        <v>493</v>
      </c>
      <c r="E202" t="s">
        <v>444</v>
      </c>
    </row>
    <row r="203" spans="1:5" x14ac:dyDescent="0.2">
      <c r="A203" s="70" t="s">
        <v>410</v>
      </c>
      <c r="B203" t="s">
        <v>879</v>
      </c>
      <c r="C203" t="s">
        <v>691</v>
      </c>
      <c r="D203" t="s">
        <v>493</v>
      </c>
      <c r="E203" t="s">
        <v>447</v>
      </c>
    </row>
    <row r="204" spans="1:5" x14ac:dyDescent="0.2">
      <c r="A204" s="70" t="s">
        <v>410</v>
      </c>
      <c r="B204" t="s">
        <v>880</v>
      </c>
      <c r="C204" t="s">
        <v>691</v>
      </c>
      <c r="D204" t="s">
        <v>493</v>
      </c>
      <c r="E204" t="s">
        <v>446</v>
      </c>
    </row>
    <row r="205" spans="1:5" x14ac:dyDescent="0.2">
      <c r="A205" s="70" t="s">
        <v>410</v>
      </c>
      <c r="B205" t="s">
        <v>881</v>
      </c>
      <c r="C205" t="s">
        <v>691</v>
      </c>
      <c r="D205" t="s">
        <v>455</v>
      </c>
      <c r="E205" t="s">
        <v>445</v>
      </c>
    </row>
    <row r="206" spans="1:5" x14ac:dyDescent="0.2">
      <c r="A206" s="70" t="s">
        <v>410</v>
      </c>
      <c r="B206" t="s">
        <v>674</v>
      </c>
      <c r="C206" t="s">
        <v>691</v>
      </c>
      <c r="D206" t="s">
        <v>455</v>
      </c>
      <c r="E206" t="s">
        <v>448</v>
      </c>
    </row>
    <row r="207" spans="1:5" x14ac:dyDescent="0.2">
      <c r="A207" s="70" t="s">
        <v>410</v>
      </c>
      <c r="B207" t="s">
        <v>602</v>
      </c>
      <c r="C207" t="s">
        <v>691</v>
      </c>
      <c r="D207" t="s">
        <v>455</v>
      </c>
      <c r="E207" t="s">
        <v>444</v>
      </c>
    </row>
    <row r="208" spans="1:5" x14ac:dyDescent="0.2">
      <c r="A208" s="70" t="s">
        <v>410</v>
      </c>
      <c r="B208" t="s">
        <v>658</v>
      </c>
      <c r="C208" t="s">
        <v>691</v>
      </c>
      <c r="D208" t="s">
        <v>455</v>
      </c>
      <c r="E208" t="s">
        <v>447</v>
      </c>
    </row>
    <row r="209" spans="1:5" x14ac:dyDescent="0.2">
      <c r="A209" s="70" t="s">
        <v>410</v>
      </c>
      <c r="B209" t="s">
        <v>882</v>
      </c>
      <c r="C209" t="s">
        <v>691</v>
      </c>
      <c r="D209" t="s">
        <v>455</v>
      </c>
      <c r="E209" t="s">
        <v>446</v>
      </c>
    </row>
    <row r="210" spans="1:5" x14ac:dyDescent="0.2">
      <c r="A210" s="70" t="s">
        <v>410</v>
      </c>
      <c r="B210" t="s">
        <v>675</v>
      </c>
      <c r="C210" t="s">
        <v>691</v>
      </c>
      <c r="D210" t="s">
        <v>457</v>
      </c>
      <c r="E210" t="s">
        <v>448</v>
      </c>
    </row>
    <row r="211" spans="1:5" x14ac:dyDescent="0.2">
      <c r="A211" s="70" t="s">
        <v>410</v>
      </c>
      <c r="B211" t="s">
        <v>603</v>
      </c>
      <c r="C211" t="s">
        <v>691</v>
      </c>
      <c r="D211" t="s">
        <v>457</v>
      </c>
      <c r="E211" t="s">
        <v>444</v>
      </c>
    </row>
    <row r="212" spans="1:5" x14ac:dyDescent="0.2">
      <c r="A212" s="70" t="s">
        <v>410</v>
      </c>
      <c r="B212" t="s">
        <v>659</v>
      </c>
      <c r="C212" t="s">
        <v>691</v>
      </c>
      <c r="D212" t="s">
        <v>457</v>
      </c>
      <c r="E212" t="s">
        <v>447</v>
      </c>
    </row>
    <row r="213" spans="1:5" x14ac:dyDescent="0.2">
      <c r="A213" s="70" t="s">
        <v>410</v>
      </c>
      <c r="B213" t="s">
        <v>412</v>
      </c>
      <c r="C213" t="s">
        <v>691</v>
      </c>
      <c r="D213" t="s">
        <v>457</v>
      </c>
      <c r="E213" t="s">
        <v>446</v>
      </c>
    </row>
    <row r="214" spans="1:5" x14ac:dyDescent="0.2">
      <c r="A214" s="70" t="s">
        <v>410</v>
      </c>
      <c r="B214" t="s">
        <v>628</v>
      </c>
      <c r="C214" t="s">
        <v>691</v>
      </c>
      <c r="D214" t="s">
        <v>457</v>
      </c>
      <c r="E214" t="s">
        <v>445</v>
      </c>
    </row>
    <row r="215" spans="1:5" x14ac:dyDescent="0.2">
      <c r="A215" s="70" t="s">
        <v>410</v>
      </c>
      <c r="B215" t="s">
        <v>676</v>
      </c>
      <c r="C215" t="s">
        <v>691</v>
      </c>
      <c r="D215" t="s">
        <v>459</v>
      </c>
      <c r="E215" t="s">
        <v>448</v>
      </c>
    </row>
    <row r="216" spans="1:5" x14ac:dyDescent="0.2">
      <c r="A216" s="70" t="s">
        <v>410</v>
      </c>
      <c r="B216" t="s">
        <v>606</v>
      </c>
      <c r="C216" t="s">
        <v>691</v>
      </c>
      <c r="D216" t="s">
        <v>459</v>
      </c>
      <c r="E216" t="s">
        <v>444</v>
      </c>
    </row>
    <row r="217" spans="1:5" x14ac:dyDescent="0.2">
      <c r="A217" s="70" t="s">
        <v>410</v>
      </c>
      <c r="B217" t="s">
        <v>660</v>
      </c>
      <c r="C217" t="s">
        <v>691</v>
      </c>
      <c r="D217" t="s">
        <v>459</v>
      </c>
      <c r="E217" t="s">
        <v>447</v>
      </c>
    </row>
    <row r="218" spans="1:5" x14ac:dyDescent="0.2">
      <c r="A218" s="70" t="s">
        <v>410</v>
      </c>
      <c r="B218" t="s">
        <v>415</v>
      </c>
      <c r="C218" t="s">
        <v>691</v>
      </c>
      <c r="D218" t="s">
        <v>459</v>
      </c>
      <c r="E218" t="s">
        <v>446</v>
      </c>
    </row>
    <row r="219" spans="1:5" x14ac:dyDescent="0.2">
      <c r="A219" s="70" t="s">
        <v>410</v>
      </c>
      <c r="B219" t="s">
        <v>632</v>
      </c>
      <c r="C219" t="s">
        <v>691</v>
      </c>
      <c r="D219" t="s">
        <v>459</v>
      </c>
      <c r="E219" t="s">
        <v>445</v>
      </c>
    </row>
    <row r="220" spans="1:5" x14ac:dyDescent="0.2">
      <c r="A220" s="70" t="s">
        <v>410</v>
      </c>
      <c r="B220" t="s">
        <v>636</v>
      </c>
      <c r="C220" t="s">
        <v>691</v>
      </c>
      <c r="D220" t="s">
        <v>463</v>
      </c>
      <c r="E220" t="s">
        <v>445</v>
      </c>
    </row>
    <row r="221" spans="1:5" x14ac:dyDescent="0.2">
      <c r="A221" s="70" t="s">
        <v>410</v>
      </c>
      <c r="B221" t="s">
        <v>677</v>
      </c>
      <c r="C221" t="s">
        <v>691</v>
      </c>
      <c r="D221" t="s">
        <v>463</v>
      </c>
      <c r="E221" t="s">
        <v>448</v>
      </c>
    </row>
    <row r="222" spans="1:5" x14ac:dyDescent="0.2">
      <c r="A222" s="70" t="s">
        <v>410</v>
      </c>
      <c r="B222" t="s">
        <v>608</v>
      </c>
      <c r="C222" t="s">
        <v>691</v>
      </c>
      <c r="D222" t="s">
        <v>463</v>
      </c>
      <c r="E222" t="s">
        <v>444</v>
      </c>
    </row>
    <row r="223" spans="1:5" x14ac:dyDescent="0.2">
      <c r="A223" s="70" t="s">
        <v>410</v>
      </c>
      <c r="B223" t="s">
        <v>661</v>
      </c>
      <c r="C223" t="s">
        <v>691</v>
      </c>
      <c r="D223" t="s">
        <v>463</v>
      </c>
      <c r="E223" t="s">
        <v>447</v>
      </c>
    </row>
    <row r="224" spans="1:5" x14ac:dyDescent="0.2">
      <c r="A224" s="70" t="s">
        <v>410</v>
      </c>
      <c r="B224" t="s">
        <v>418</v>
      </c>
      <c r="C224" t="s">
        <v>691</v>
      </c>
      <c r="D224" t="s">
        <v>463</v>
      </c>
      <c r="E224" t="s">
        <v>446</v>
      </c>
    </row>
    <row r="225" spans="1:5" x14ac:dyDescent="0.2">
      <c r="A225" s="70" t="s">
        <v>410</v>
      </c>
      <c r="B225" t="s">
        <v>640</v>
      </c>
      <c r="C225" t="s">
        <v>691</v>
      </c>
      <c r="D225" t="s">
        <v>465</v>
      </c>
      <c r="E225" t="s">
        <v>445</v>
      </c>
    </row>
    <row r="226" spans="1:5" x14ac:dyDescent="0.2">
      <c r="A226" s="70" t="s">
        <v>410</v>
      </c>
      <c r="B226" t="s">
        <v>678</v>
      </c>
      <c r="C226" t="s">
        <v>691</v>
      </c>
      <c r="D226" t="s">
        <v>465</v>
      </c>
      <c r="E226" t="s">
        <v>448</v>
      </c>
    </row>
    <row r="227" spans="1:5" x14ac:dyDescent="0.2">
      <c r="A227" s="70" t="s">
        <v>410</v>
      </c>
      <c r="B227" t="s">
        <v>610</v>
      </c>
      <c r="C227" t="s">
        <v>691</v>
      </c>
      <c r="D227" t="s">
        <v>465</v>
      </c>
      <c r="E227" t="s">
        <v>444</v>
      </c>
    </row>
    <row r="228" spans="1:5" x14ac:dyDescent="0.2">
      <c r="A228" s="70" t="s">
        <v>410</v>
      </c>
      <c r="B228" t="s">
        <v>662</v>
      </c>
      <c r="C228" t="s">
        <v>691</v>
      </c>
      <c r="D228" t="s">
        <v>465</v>
      </c>
      <c r="E228" t="s">
        <v>447</v>
      </c>
    </row>
    <row r="229" spans="1:5" x14ac:dyDescent="0.2">
      <c r="A229" s="70" t="s">
        <v>410</v>
      </c>
      <c r="B229" t="s">
        <v>421</v>
      </c>
      <c r="C229" t="s">
        <v>691</v>
      </c>
      <c r="D229" t="s">
        <v>465</v>
      </c>
      <c r="E229" t="s">
        <v>446</v>
      </c>
    </row>
    <row r="230" spans="1:5" x14ac:dyDescent="0.2">
      <c r="A230" s="70" t="s">
        <v>410</v>
      </c>
      <c r="B230" t="s">
        <v>883</v>
      </c>
      <c r="C230" t="s">
        <v>691</v>
      </c>
      <c r="D230" t="s">
        <v>495</v>
      </c>
      <c r="E230" t="s">
        <v>445</v>
      </c>
    </row>
    <row r="231" spans="1:5" x14ac:dyDescent="0.2">
      <c r="A231" s="70" t="s">
        <v>410</v>
      </c>
      <c r="B231" t="s">
        <v>884</v>
      </c>
      <c r="C231" t="s">
        <v>691</v>
      </c>
      <c r="D231" t="s">
        <v>495</v>
      </c>
      <c r="E231" t="s">
        <v>448</v>
      </c>
    </row>
    <row r="232" spans="1:5" x14ac:dyDescent="0.2">
      <c r="A232" s="70" t="s">
        <v>410</v>
      </c>
      <c r="B232" t="s">
        <v>885</v>
      </c>
      <c r="C232" t="s">
        <v>691</v>
      </c>
      <c r="D232" t="s">
        <v>495</v>
      </c>
      <c r="E232" t="s">
        <v>444</v>
      </c>
    </row>
    <row r="233" spans="1:5" x14ac:dyDescent="0.2">
      <c r="A233" s="70" t="s">
        <v>410</v>
      </c>
      <c r="B233" t="s">
        <v>886</v>
      </c>
      <c r="C233" t="s">
        <v>691</v>
      </c>
      <c r="D233" t="s">
        <v>495</v>
      </c>
      <c r="E233" t="s">
        <v>447</v>
      </c>
    </row>
    <row r="234" spans="1:5" x14ac:dyDescent="0.2">
      <c r="A234" s="70" t="s">
        <v>410</v>
      </c>
      <c r="B234" t="s">
        <v>887</v>
      </c>
      <c r="C234" t="s">
        <v>691</v>
      </c>
      <c r="D234" t="s">
        <v>495</v>
      </c>
      <c r="E234" t="s">
        <v>446</v>
      </c>
    </row>
    <row r="235" spans="1:5" x14ac:dyDescent="0.2">
      <c r="A235" s="70" t="s">
        <v>410</v>
      </c>
      <c r="B235" t="s">
        <v>888</v>
      </c>
      <c r="C235" t="s">
        <v>691</v>
      </c>
      <c r="D235" t="s">
        <v>497</v>
      </c>
      <c r="E235" t="s">
        <v>445</v>
      </c>
    </row>
    <row r="236" spans="1:5" x14ac:dyDescent="0.2">
      <c r="A236" s="70" t="s">
        <v>410</v>
      </c>
      <c r="B236" t="s">
        <v>889</v>
      </c>
      <c r="C236" t="s">
        <v>691</v>
      </c>
      <c r="D236" t="s">
        <v>497</v>
      </c>
      <c r="E236" t="s">
        <v>448</v>
      </c>
    </row>
    <row r="237" spans="1:5" x14ac:dyDescent="0.2">
      <c r="A237" s="70" t="s">
        <v>410</v>
      </c>
      <c r="B237" t="s">
        <v>890</v>
      </c>
      <c r="C237" t="s">
        <v>691</v>
      </c>
      <c r="D237" t="s">
        <v>497</v>
      </c>
      <c r="E237" t="s">
        <v>444</v>
      </c>
    </row>
    <row r="238" spans="1:5" x14ac:dyDescent="0.2">
      <c r="A238" s="70" t="s">
        <v>410</v>
      </c>
      <c r="B238" t="s">
        <v>891</v>
      </c>
      <c r="C238" t="s">
        <v>691</v>
      </c>
      <c r="D238" t="s">
        <v>497</v>
      </c>
      <c r="E238" t="s">
        <v>447</v>
      </c>
    </row>
    <row r="239" spans="1:5" x14ac:dyDescent="0.2">
      <c r="A239" s="70" t="s">
        <v>410</v>
      </c>
      <c r="B239" t="s">
        <v>892</v>
      </c>
      <c r="C239" t="s">
        <v>691</v>
      </c>
      <c r="D239" t="s">
        <v>497</v>
      </c>
      <c r="E239" t="s">
        <v>446</v>
      </c>
    </row>
    <row r="240" spans="1:5" x14ac:dyDescent="0.2">
      <c r="A240" s="70" t="s">
        <v>410</v>
      </c>
      <c r="B240" t="s">
        <v>643</v>
      </c>
      <c r="C240" t="s">
        <v>691</v>
      </c>
      <c r="D240" t="s">
        <v>467</v>
      </c>
      <c r="E240" t="s">
        <v>445</v>
      </c>
    </row>
    <row r="241" spans="1:5" x14ac:dyDescent="0.2">
      <c r="A241" s="70" t="s">
        <v>410</v>
      </c>
      <c r="B241" t="s">
        <v>679</v>
      </c>
      <c r="C241" t="s">
        <v>691</v>
      </c>
      <c r="D241" t="s">
        <v>467</v>
      </c>
      <c r="E241" t="s">
        <v>448</v>
      </c>
    </row>
    <row r="242" spans="1:5" x14ac:dyDescent="0.2">
      <c r="A242" s="70" t="s">
        <v>410</v>
      </c>
      <c r="B242" t="s">
        <v>612</v>
      </c>
      <c r="C242" t="s">
        <v>691</v>
      </c>
      <c r="D242" t="s">
        <v>467</v>
      </c>
      <c r="E242" t="s">
        <v>444</v>
      </c>
    </row>
    <row r="243" spans="1:5" x14ac:dyDescent="0.2">
      <c r="A243" s="70" t="s">
        <v>410</v>
      </c>
      <c r="B243" t="s">
        <v>663</v>
      </c>
      <c r="C243" t="s">
        <v>691</v>
      </c>
      <c r="D243" t="s">
        <v>467</v>
      </c>
      <c r="E243" t="s">
        <v>447</v>
      </c>
    </row>
    <row r="244" spans="1:5" x14ac:dyDescent="0.2">
      <c r="A244" s="70" t="s">
        <v>410</v>
      </c>
      <c r="B244" t="s">
        <v>425</v>
      </c>
      <c r="C244" t="s">
        <v>691</v>
      </c>
      <c r="D244" t="s">
        <v>467</v>
      </c>
      <c r="E244" t="s">
        <v>446</v>
      </c>
    </row>
    <row r="245" spans="1:5" x14ac:dyDescent="0.2">
      <c r="A245" s="70" t="s">
        <v>410</v>
      </c>
      <c r="B245" t="s">
        <v>893</v>
      </c>
      <c r="C245" t="s">
        <v>691</v>
      </c>
      <c r="D245" t="s">
        <v>499</v>
      </c>
      <c r="E245" t="s">
        <v>445</v>
      </c>
    </row>
    <row r="246" spans="1:5" x14ac:dyDescent="0.2">
      <c r="A246" s="70" t="s">
        <v>410</v>
      </c>
      <c r="B246" t="s">
        <v>894</v>
      </c>
      <c r="C246" t="s">
        <v>691</v>
      </c>
      <c r="D246" t="s">
        <v>499</v>
      </c>
      <c r="E246" t="s">
        <v>448</v>
      </c>
    </row>
    <row r="247" spans="1:5" x14ac:dyDescent="0.2">
      <c r="A247" s="70" t="s">
        <v>410</v>
      </c>
      <c r="B247" t="s">
        <v>895</v>
      </c>
      <c r="C247" t="s">
        <v>691</v>
      </c>
      <c r="D247" t="s">
        <v>499</v>
      </c>
      <c r="E247" t="s">
        <v>444</v>
      </c>
    </row>
    <row r="248" spans="1:5" x14ac:dyDescent="0.2">
      <c r="A248" s="70" t="s">
        <v>410</v>
      </c>
      <c r="B248" t="s">
        <v>896</v>
      </c>
      <c r="C248" t="s">
        <v>691</v>
      </c>
      <c r="D248" t="s">
        <v>499</v>
      </c>
      <c r="E248" t="s">
        <v>447</v>
      </c>
    </row>
    <row r="249" spans="1:5" x14ac:dyDescent="0.2">
      <c r="A249" s="70" t="s">
        <v>410</v>
      </c>
      <c r="B249" t="s">
        <v>897</v>
      </c>
      <c r="C249" t="s">
        <v>691</v>
      </c>
      <c r="D249" t="s">
        <v>499</v>
      </c>
      <c r="E249" t="s">
        <v>446</v>
      </c>
    </row>
    <row r="250" spans="1:5" x14ac:dyDescent="0.2">
      <c r="A250" s="70" t="s">
        <v>410</v>
      </c>
      <c r="B250" t="s">
        <v>898</v>
      </c>
      <c r="C250" t="s">
        <v>691</v>
      </c>
      <c r="D250" t="s">
        <v>501</v>
      </c>
      <c r="E250" t="s">
        <v>448</v>
      </c>
    </row>
    <row r="251" spans="1:5" x14ac:dyDescent="0.2">
      <c r="A251" s="70" t="s">
        <v>410</v>
      </c>
      <c r="B251" t="s">
        <v>899</v>
      </c>
      <c r="C251" t="s">
        <v>691</v>
      </c>
      <c r="D251" t="s">
        <v>501</v>
      </c>
      <c r="E251" t="s">
        <v>444</v>
      </c>
    </row>
    <row r="252" spans="1:5" x14ac:dyDescent="0.2">
      <c r="A252" s="70" t="s">
        <v>410</v>
      </c>
      <c r="B252" t="s">
        <v>900</v>
      </c>
      <c r="C252" t="s">
        <v>691</v>
      </c>
      <c r="D252" t="s">
        <v>501</v>
      </c>
      <c r="E252" t="s">
        <v>447</v>
      </c>
    </row>
    <row r="253" spans="1:5" x14ac:dyDescent="0.2">
      <c r="A253" s="70" t="s">
        <v>410</v>
      </c>
      <c r="B253" t="s">
        <v>901</v>
      </c>
      <c r="C253" t="s">
        <v>691</v>
      </c>
      <c r="D253" t="s">
        <v>501</v>
      </c>
      <c r="E253" t="s">
        <v>446</v>
      </c>
    </row>
    <row r="254" spans="1:5" x14ac:dyDescent="0.2">
      <c r="A254" s="70" t="s">
        <v>410</v>
      </c>
      <c r="B254" t="s">
        <v>902</v>
      </c>
      <c r="C254" t="s">
        <v>691</v>
      </c>
      <c r="D254" t="s">
        <v>501</v>
      </c>
      <c r="E254" t="s">
        <v>445</v>
      </c>
    </row>
    <row r="255" spans="1:5" x14ac:dyDescent="0.2">
      <c r="A255" s="70" t="s">
        <v>410</v>
      </c>
      <c r="B255" t="s">
        <v>903</v>
      </c>
      <c r="C255" t="s">
        <v>691</v>
      </c>
      <c r="D255" t="s">
        <v>503</v>
      </c>
      <c r="E255" t="s">
        <v>448</v>
      </c>
    </row>
    <row r="256" spans="1:5" x14ac:dyDescent="0.2">
      <c r="A256" s="70" t="s">
        <v>410</v>
      </c>
      <c r="B256" t="s">
        <v>904</v>
      </c>
      <c r="C256" t="s">
        <v>691</v>
      </c>
      <c r="D256" t="s">
        <v>503</v>
      </c>
      <c r="E256" t="s">
        <v>444</v>
      </c>
    </row>
    <row r="257" spans="1:5" x14ac:dyDescent="0.2">
      <c r="A257" s="70" t="s">
        <v>410</v>
      </c>
      <c r="B257" t="s">
        <v>905</v>
      </c>
      <c r="C257" t="s">
        <v>691</v>
      </c>
      <c r="D257" t="s">
        <v>503</v>
      </c>
      <c r="E257" t="s">
        <v>447</v>
      </c>
    </row>
    <row r="258" spans="1:5" x14ac:dyDescent="0.2">
      <c r="A258" s="70" t="s">
        <v>410</v>
      </c>
      <c r="B258" t="s">
        <v>906</v>
      </c>
      <c r="C258" t="s">
        <v>691</v>
      </c>
      <c r="D258" t="s">
        <v>503</v>
      </c>
      <c r="E258" t="s">
        <v>446</v>
      </c>
    </row>
    <row r="259" spans="1:5" x14ac:dyDescent="0.2">
      <c r="A259" s="70" t="s">
        <v>410</v>
      </c>
      <c r="B259" t="s">
        <v>907</v>
      </c>
      <c r="C259" t="s">
        <v>691</v>
      </c>
      <c r="D259" t="s">
        <v>503</v>
      </c>
      <c r="E259" t="s">
        <v>445</v>
      </c>
    </row>
    <row r="260" spans="1:5" x14ac:dyDescent="0.2">
      <c r="A260" s="70" t="s">
        <v>410</v>
      </c>
      <c r="B260" t="s">
        <v>908</v>
      </c>
      <c r="C260" t="s">
        <v>691</v>
      </c>
      <c r="D260" t="s">
        <v>505</v>
      </c>
      <c r="E260" t="s">
        <v>445</v>
      </c>
    </row>
    <row r="261" spans="1:5" x14ac:dyDescent="0.2">
      <c r="A261" s="70" t="s">
        <v>410</v>
      </c>
      <c r="B261" t="s">
        <v>909</v>
      </c>
      <c r="C261" t="s">
        <v>691</v>
      </c>
      <c r="D261" t="s">
        <v>505</v>
      </c>
      <c r="E261" t="s">
        <v>448</v>
      </c>
    </row>
    <row r="262" spans="1:5" x14ac:dyDescent="0.2">
      <c r="A262" s="70" t="s">
        <v>410</v>
      </c>
      <c r="B262" t="s">
        <v>910</v>
      </c>
      <c r="C262" t="s">
        <v>691</v>
      </c>
      <c r="D262" t="s">
        <v>505</v>
      </c>
      <c r="E262" t="s">
        <v>444</v>
      </c>
    </row>
    <row r="263" spans="1:5" x14ac:dyDescent="0.2">
      <c r="A263" s="70" t="s">
        <v>410</v>
      </c>
      <c r="B263" t="s">
        <v>911</v>
      </c>
      <c r="C263" t="s">
        <v>691</v>
      </c>
      <c r="D263" t="s">
        <v>505</v>
      </c>
      <c r="E263" t="s">
        <v>447</v>
      </c>
    </row>
    <row r="264" spans="1:5" x14ac:dyDescent="0.2">
      <c r="A264" s="70" t="s">
        <v>410</v>
      </c>
      <c r="B264" t="s">
        <v>912</v>
      </c>
      <c r="C264" t="s">
        <v>691</v>
      </c>
      <c r="D264" t="s">
        <v>505</v>
      </c>
      <c r="E264" t="s">
        <v>446</v>
      </c>
    </row>
    <row r="265" spans="1:5" x14ac:dyDescent="0.2">
      <c r="A265" s="70" t="s">
        <v>410</v>
      </c>
      <c r="B265" t="s">
        <v>913</v>
      </c>
      <c r="C265" t="s">
        <v>691</v>
      </c>
      <c r="D265" t="s">
        <v>507</v>
      </c>
      <c r="E265" t="s">
        <v>445</v>
      </c>
    </row>
    <row r="266" spans="1:5" x14ac:dyDescent="0.2">
      <c r="A266" s="70" t="s">
        <v>410</v>
      </c>
      <c r="B266" t="s">
        <v>914</v>
      </c>
      <c r="C266" t="s">
        <v>691</v>
      </c>
      <c r="D266" t="s">
        <v>507</v>
      </c>
      <c r="E266" t="s">
        <v>448</v>
      </c>
    </row>
    <row r="267" spans="1:5" x14ac:dyDescent="0.2">
      <c r="A267" s="70" t="s">
        <v>410</v>
      </c>
      <c r="B267" t="s">
        <v>915</v>
      </c>
      <c r="C267" t="s">
        <v>691</v>
      </c>
      <c r="D267" t="s">
        <v>507</v>
      </c>
      <c r="E267" t="s">
        <v>444</v>
      </c>
    </row>
    <row r="268" spans="1:5" x14ac:dyDescent="0.2">
      <c r="A268" s="70" t="s">
        <v>410</v>
      </c>
      <c r="B268" t="s">
        <v>916</v>
      </c>
      <c r="C268" t="s">
        <v>691</v>
      </c>
      <c r="D268" t="s">
        <v>507</v>
      </c>
      <c r="E268" t="s">
        <v>447</v>
      </c>
    </row>
    <row r="269" spans="1:5" x14ac:dyDescent="0.2">
      <c r="A269" s="70" t="s">
        <v>410</v>
      </c>
      <c r="B269" t="s">
        <v>917</v>
      </c>
      <c r="C269" t="s">
        <v>691</v>
      </c>
      <c r="D269" t="s">
        <v>507</v>
      </c>
      <c r="E269" t="s">
        <v>446</v>
      </c>
    </row>
    <row r="270" spans="1:5" x14ac:dyDescent="0.2">
      <c r="A270" s="70" t="s">
        <v>410</v>
      </c>
      <c r="B270" t="s">
        <v>918</v>
      </c>
      <c r="C270" t="s">
        <v>691</v>
      </c>
      <c r="D270" t="s">
        <v>509</v>
      </c>
      <c r="E270" t="s">
        <v>445</v>
      </c>
    </row>
    <row r="271" spans="1:5" x14ac:dyDescent="0.2">
      <c r="A271" s="70" t="s">
        <v>410</v>
      </c>
      <c r="B271" t="s">
        <v>919</v>
      </c>
      <c r="C271" t="s">
        <v>691</v>
      </c>
      <c r="D271" t="s">
        <v>509</v>
      </c>
      <c r="E271" t="s">
        <v>448</v>
      </c>
    </row>
    <row r="272" spans="1:5" x14ac:dyDescent="0.2">
      <c r="A272" s="70" t="s">
        <v>410</v>
      </c>
      <c r="B272" t="s">
        <v>920</v>
      </c>
      <c r="C272" t="s">
        <v>691</v>
      </c>
      <c r="D272" t="s">
        <v>509</v>
      </c>
      <c r="E272" t="s">
        <v>444</v>
      </c>
    </row>
    <row r="273" spans="1:5" x14ac:dyDescent="0.2">
      <c r="A273" s="70" t="s">
        <v>410</v>
      </c>
      <c r="B273" t="s">
        <v>921</v>
      </c>
      <c r="C273" t="s">
        <v>691</v>
      </c>
      <c r="D273" t="s">
        <v>509</v>
      </c>
      <c r="E273" t="s">
        <v>447</v>
      </c>
    </row>
    <row r="274" spans="1:5" x14ac:dyDescent="0.2">
      <c r="A274" s="70" t="s">
        <v>410</v>
      </c>
      <c r="B274" t="s">
        <v>922</v>
      </c>
      <c r="C274" t="s">
        <v>691</v>
      </c>
      <c r="D274" t="s">
        <v>509</v>
      </c>
      <c r="E274" t="s">
        <v>446</v>
      </c>
    </row>
    <row r="275" spans="1:5" x14ac:dyDescent="0.2">
      <c r="A275" s="70" t="s">
        <v>410</v>
      </c>
      <c r="B275" t="s">
        <v>923</v>
      </c>
      <c r="C275" t="s">
        <v>691</v>
      </c>
      <c r="D275" t="s">
        <v>510</v>
      </c>
      <c r="E275" t="s">
        <v>445</v>
      </c>
    </row>
    <row r="276" spans="1:5" x14ac:dyDescent="0.2">
      <c r="A276" s="70" t="s">
        <v>410</v>
      </c>
      <c r="B276" t="s">
        <v>924</v>
      </c>
      <c r="C276" t="s">
        <v>691</v>
      </c>
      <c r="D276" t="s">
        <v>510</v>
      </c>
      <c r="E276" t="s">
        <v>448</v>
      </c>
    </row>
    <row r="277" spans="1:5" x14ac:dyDescent="0.2">
      <c r="A277" s="70" t="s">
        <v>410</v>
      </c>
      <c r="B277" t="s">
        <v>925</v>
      </c>
      <c r="C277" t="s">
        <v>691</v>
      </c>
      <c r="D277" t="s">
        <v>510</v>
      </c>
      <c r="E277" t="s">
        <v>444</v>
      </c>
    </row>
    <row r="278" spans="1:5" x14ac:dyDescent="0.2">
      <c r="A278" s="70" t="s">
        <v>410</v>
      </c>
      <c r="B278" t="s">
        <v>926</v>
      </c>
      <c r="C278" t="s">
        <v>691</v>
      </c>
      <c r="D278" t="s">
        <v>510</v>
      </c>
      <c r="E278" t="s">
        <v>447</v>
      </c>
    </row>
    <row r="279" spans="1:5" x14ac:dyDescent="0.2">
      <c r="A279" s="70" t="s">
        <v>410</v>
      </c>
      <c r="B279" t="s">
        <v>927</v>
      </c>
      <c r="C279" t="s">
        <v>691</v>
      </c>
      <c r="D279" t="s">
        <v>510</v>
      </c>
      <c r="E279" t="s">
        <v>446</v>
      </c>
    </row>
    <row r="280" spans="1:5" x14ac:dyDescent="0.2">
      <c r="A280" s="70" t="s">
        <v>410</v>
      </c>
      <c r="B280" t="s">
        <v>928</v>
      </c>
      <c r="C280" t="s">
        <v>691</v>
      </c>
      <c r="D280" t="s">
        <v>512</v>
      </c>
      <c r="E280" t="s">
        <v>445</v>
      </c>
    </row>
    <row r="281" spans="1:5" x14ac:dyDescent="0.2">
      <c r="A281" s="70" t="s">
        <v>410</v>
      </c>
      <c r="B281" t="s">
        <v>929</v>
      </c>
      <c r="C281" t="s">
        <v>691</v>
      </c>
      <c r="D281" t="s">
        <v>512</v>
      </c>
      <c r="E281" t="s">
        <v>448</v>
      </c>
    </row>
    <row r="282" spans="1:5" x14ac:dyDescent="0.2">
      <c r="A282" s="70" t="s">
        <v>410</v>
      </c>
      <c r="B282" t="s">
        <v>930</v>
      </c>
      <c r="C282" t="s">
        <v>691</v>
      </c>
      <c r="D282" t="s">
        <v>512</v>
      </c>
      <c r="E282" t="s">
        <v>444</v>
      </c>
    </row>
    <row r="283" spans="1:5" x14ac:dyDescent="0.2">
      <c r="A283" s="70" t="s">
        <v>410</v>
      </c>
      <c r="B283" t="s">
        <v>931</v>
      </c>
      <c r="C283" t="s">
        <v>691</v>
      </c>
      <c r="D283" t="s">
        <v>512</v>
      </c>
      <c r="E283" t="s">
        <v>447</v>
      </c>
    </row>
    <row r="284" spans="1:5" x14ac:dyDescent="0.2">
      <c r="A284" s="70" t="s">
        <v>410</v>
      </c>
      <c r="B284" t="s">
        <v>932</v>
      </c>
      <c r="C284" t="s">
        <v>691</v>
      </c>
      <c r="D284" t="s">
        <v>512</v>
      </c>
      <c r="E284" t="s">
        <v>446</v>
      </c>
    </row>
    <row r="285" spans="1:5" x14ac:dyDescent="0.2">
      <c r="A285" s="70" t="s">
        <v>410</v>
      </c>
      <c r="B285" t="s">
        <v>933</v>
      </c>
      <c r="C285" t="s">
        <v>691</v>
      </c>
      <c r="D285" t="s">
        <v>514</v>
      </c>
      <c r="E285" t="s">
        <v>445</v>
      </c>
    </row>
    <row r="286" spans="1:5" x14ac:dyDescent="0.2">
      <c r="A286" s="70" t="s">
        <v>410</v>
      </c>
      <c r="B286" t="s">
        <v>934</v>
      </c>
      <c r="C286" t="s">
        <v>691</v>
      </c>
      <c r="D286" t="s">
        <v>514</v>
      </c>
      <c r="E286" t="s">
        <v>448</v>
      </c>
    </row>
    <row r="287" spans="1:5" x14ac:dyDescent="0.2">
      <c r="A287" s="70" t="s">
        <v>410</v>
      </c>
      <c r="B287" t="s">
        <v>935</v>
      </c>
      <c r="C287" t="s">
        <v>691</v>
      </c>
      <c r="D287" t="s">
        <v>514</v>
      </c>
      <c r="E287" t="s">
        <v>444</v>
      </c>
    </row>
    <row r="288" spans="1:5" x14ac:dyDescent="0.2">
      <c r="A288" s="70" t="s">
        <v>410</v>
      </c>
      <c r="B288" t="s">
        <v>936</v>
      </c>
      <c r="C288" t="s">
        <v>691</v>
      </c>
      <c r="D288" t="s">
        <v>514</v>
      </c>
      <c r="E288" t="s">
        <v>447</v>
      </c>
    </row>
    <row r="289" spans="1:5" x14ac:dyDescent="0.2">
      <c r="A289" s="70" t="s">
        <v>410</v>
      </c>
      <c r="B289" t="s">
        <v>937</v>
      </c>
      <c r="C289" t="s">
        <v>691</v>
      </c>
      <c r="D289" t="s">
        <v>514</v>
      </c>
      <c r="E289" t="s">
        <v>446</v>
      </c>
    </row>
    <row r="290" spans="1:5" x14ac:dyDescent="0.2">
      <c r="A290" s="70" t="s">
        <v>410</v>
      </c>
      <c r="B290" t="s">
        <v>646</v>
      </c>
      <c r="C290" t="s">
        <v>691</v>
      </c>
      <c r="D290" t="s">
        <v>469</v>
      </c>
      <c r="E290" t="s">
        <v>445</v>
      </c>
    </row>
    <row r="291" spans="1:5" x14ac:dyDescent="0.2">
      <c r="A291" s="70" t="s">
        <v>410</v>
      </c>
      <c r="B291" t="s">
        <v>680</v>
      </c>
      <c r="C291" t="s">
        <v>691</v>
      </c>
      <c r="D291" t="s">
        <v>469</v>
      </c>
      <c r="E291" t="s">
        <v>448</v>
      </c>
    </row>
    <row r="292" spans="1:5" x14ac:dyDescent="0.2">
      <c r="A292" s="70" t="s">
        <v>410</v>
      </c>
      <c r="B292" t="s">
        <v>615</v>
      </c>
      <c r="C292" t="s">
        <v>691</v>
      </c>
      <c r="D292" t="s">
        <v>469</v>
      </c>
      <c r="E292" t="s">
        <v>444</v>
      </c>
    </row>
    <row r="293" spans="1:5" x14ac:dyDescent="0.2">
      <c r="A293" s="70" t="s">
        <v>410</v>
      </c>
      <c r="B293" t="s">
        <v>664</v>
      </c>
      <c r="C293" t="s">
        <v>691</v>
      </c>
      <c r="D293" t="s">
        <v>469</v>
      </c>
      <c r="E293" t="s">
        <v>447</v>
      </c>
    </row>
    <row r="294" spans="1:5" x14ac:dyDescent="0.2">
      <c r="A294" s="70" t="s">
        <v>410</v>
      </c>
      <c r="B294" t="s">
        <v>428</v>
      </c>
      <c r="C294" t="s">
        <v>691</v>
      </c>
      <c r="D294" t="s">
        <v>469</v>
      </c>
      <c r="E294" t="s">
        <v>446</v>
      </c>
    </row>
    <row r="295" spans="1:5" x14ac:dyDescent="0.2">
      <c r="A295" s="70" t="s">
        <v>410</v>
      </c>
      <c r="B295" t="s">
        <v>938</v>
      </c>
      <c r="C295" t="s">
        <v>691</v>
      </c>
      <c r="D295" t="s">
        <v>516</v>
      </c>
      <c r="E295" t="s">
        <v>445</v>
      </c>
    </row>
    <row r="296" spans="1:5" x14ac:dyDescent="0.2">
      <c r="A296" s="70" t="s">
        <v>410</v>
      </c>
      <c r="B296" t="s">
        <v>939</v>
      </c>
      <c r="C296" t="s">
        <v>691</v>
      </c>
      <c r="D296" t="s">
        <v>516</v>
      </c>
      <c r="E296" t="s">
        <v>448</v>
      </c>
    </row>
    <row r="297" spans="1:5" x14ac:dyDescent="0.2">
      <c r="A297" s="70" t="s">
        <v>410</v>
      </c>
      <c r="B297" t="s">
        <v>940</v>
      </c>
      <c r="C297" t="s">
        <v>691</v>
      </c>
      <c r="D297" t="s">
        <v>516</v>
      </c>
      <c r="E297" t="s">
        <v>444</v>
      </c>
    </row>
    <row r="298" spans="1:5" x14ac:dyDescent="0.2">
      <c r="A298" s="70" t="s">
        <v>410</v>
      </c>
      <c r="B298" t="s">
        <v>941</v>
      </c>
      <c r="C298" t="s">
        <v>691</v>
      </c>
      <c r="D298" t="s">
        <v>516</v>
      </c>
      <c r="E298" t="s">
        <v>447</v>
      </c>
    </row>
    <row r="299" spans="1:5" x14ac:dyDescent="0.2">
      <c r="A299" s="70" t="s">
        <v>410</v>
      </c>
      <c r="B299" t="s">
        <v>942</v>
      </c>
      <c r="C299" t="s">
        <v>691</v>
      </c>
      <c r="D299" t="s">
        <v>516</v>
      </c>
      <c r="E299" t="s">
        <v>446</v>
      </c>
    </row>
    <row r="300" spans="1:5" x14ac:dyDescent="0.2">
      <c r="A300" s="70" t="s">
        <v>410</v>
      </c>
      <c r="B300" t="s">
        <v>943</v>
      </c>
      <c r="C300" t="s">
        <v>691</v>
      </c>
      <c r="D300" t="s">
        <v>518</v>
      </c>
      <c r="E300" t="s">
        <v>445</v>
      </c>
    </row>
    <row r="301" spans="1:5" x14ac:dyDescent="0.2">
      <c r="A301" s="70" t="s">
        <v>410</v>
      </c>
      <c r="B301" t="s">
        <v>944</v>
      </c>
      <c r="C301" t="s">
        <v>691</v>
      </c>
      <c r="D301" t="s">
        <v>518</v>
      </c>
      <c r="E301" t="s">
        <v>448</v>
      </c>
    </row>
    <row r="302" spans="1:5" x14ac:dyDescent="0.2">
      <c r="A302" s="70" t="s">
        <v>410</v>
      </c>
      <c r="B302" t="s">
        <v>945</v>
      </c>
      <c r="C302" t="s">
        <v>691</v>
      </c>
      <c r="D302" t="s">
        <v>518</v>
      </c>
      <c r="E302" t="s">
        <v>444</v>
      </c>
    </row>
    <row r="303" spans="1:5" x14ac:dyDescent="0.2">
      <c r="A303" s="70" t="s">
        <v>410</v>
      </c>
      <c r="B303" t="s">
        <v>946</v>
      </c>
      <c r="C303" t="s">
        <v>691</v>
      </c>
      <c r="D303" t="s">
        <v>518</v>
      </c>
      <c r="E303" t="s">
        <v>447</v>
      </c>
    </row>
    <row r="304" spans="1:5" x14ac:dyDescent="0.2">
      <c r="A304" s="70" t="s">
        <v>410</v>
      </c>
      <c r="B304" t="s">
        <v>947</v>
      </c>
      <c r="C304" t="s">
        <v>691</v>
      </c>
      <c r="D304" t="s">
        <v>518</v>
      </c>
      <c r="E304" t="s">
        <v>446</v>
      </c>
    </row>
    <row r="305" spans="1:5" x14ac:dyDescent="0.2">
      <c r="A305" s="70" t="s">
        <v>410</v>
      </c>
      <c r="B305" t="s">
        <v>948</v>
      </c>
      <c r="C305" t="s">
        <v>691</v>
      </c>
      <c r="D305" t="s">
        <v>520</v>
      </c>
      <c r="E305" t="s">
        <v>445</v>
      </c>
    </row>
    <row r="306" spans="1:5" x14ac:dyDescent="0.2">
      <c r="A306" s="70" t="s">
        <v>410</v>
      </c>
      <c r="B306" t="s">
        <v>949</v>
      </c>
      <c r="C306" t="s">
        <v>691</v>
      </c>
      <c r="D306" t="s">
        <v>520</v>
      </c>
      <c r="E306" t="s">
        <v>448</v>
      </c>
    </row>
    <row r="307" spans="1:5" x14ac:dyDescent="0.2">
      <c r="A307" s="70" t="s">
        <v>410</v>
      </c>
      <c r="B307" t="s">
        <v>950</v>
      </c>
      <c r="C307" t="s">
        <v>691</v>
      </c>
      <c r="D307" t="s">
        <v>520</v>
      </c>
      <c r="E307" t="s">
        <v>444</v>
      </c>
    </row>
    <row r="308" spans="1:5" x14ac:dyDescent="0.2">
      <c r="A308" s="70" t="s">
        <v>410</v>
      </c>
      <c r="B308" t="s">
        <v>951</v>
      </c>
      <c r="C308" t="s">
        <v>691</v>
      </c>
      <c r="D308" t="s">
        <v>520</v>
      </c>
      <c r="E308" t="s">
        <v>447</v>
      </c>
    </row>
    <row r="309" spans="1:5" x14ac:dyDescent="0.2">
      <c r="A309" s="70" t="s">
        <v>410</v>
      </c>
      <c r="B309" t="s">
        <v>952</v>
      </c>
      <c r="C309" t="s">
        <v>691</v>
      </c>
      <c r="D309" t="s">
        <v>520</v>
      </c>
      <c r="E309" t="s">
        <v>446</v>
      </c>
    </row>
    <row r="310" spans="1:5" x14ac:dyDescent="0.2">
      <c r="A310" s="70" t="s">
        <v>410</v>
      </c>
      <c r="B310" t="s">
        <v>953</v>
      </c>
      <c r="C310" t="s">
        <v>691</v>
      </c>
      <c r="D310" t="s">
        <v>954</v>
      </c>
      <c r="E310" t="s">
        <v>445</v>
      </c>
    </row>
    <row r="311" spans="1:5" x14ac:dyDescent="0.2">
      <c r="A311" s="70" t="s">
        <v>410</v>
      </c>
      <c r="B311" t="s">
        <v>955</v>
      </c>
      <c r="C311" t="s">
        <v>691</v>
      </c>
      <c r="D311" t="s">
        <v>954</v>
      </c>
      <c r="E311" t="s">
        <v>448</v>
      </c>
    </row>
    <row r="312" spans="1:5" x14ac:dyDescent="0.2">
      <c r="A312" s="70" t="s">
        <v>410</v>
      </c>
      <c r="B312" t="s">
        <v>956</v>
      </c>
      <c r="C312" t="s">
        <v>691</v>
      </c>
      <c r="D312" t="s">
        <v>954</v>
      </c>
      <c r="E312" t="s">
        <v>444</v>
      </c>
    </row>
    <row r="313" spans="1:5" x14ac:dyDescent="0.2">
      <c r="A313" s="70" t="s">
        <v>410</v>
      </c>
      <c r="B313" t="s">
        <v>957</v>
      </c>
      <c r="C313" t="s">
        <v>691</v>
      </c>
      <c r="D313" t="s">
        <v>954</v>
      </c>
      <c r="E313" t="s">
        <v>447</v>
      </c>
    </row>
    <row r="314" spans="1:5" x14ac:dyDescent="0.2">
      <c r="A314" s="70" t="s">
        <v>410</v>
      </c>
      <c r="B314" t="s">
        <v>958</v>
      </c>
      <c r="C314" t="s">
        <v>691</v>
      </c>
      <c r="D314" t="s">
        <v>954</v>
      </c>
      <c r="E314" t="s">
        <v>446</v>
      </c>
    </row>
    <row r="315" spans="1:5" x14ac:dyDescent="0.2">
      <c r="A315" s="70" t="s">
        <v>410</v>
      </c>
      <c r="B315" t="s">
        <v>752</v>
      </c>
      <c r="C315" t="s">
        <v>691</v>
      </c>
      <c r="D315" t="s">
        <v>753</v>
      </c>
      <c r="E315" t="s">
        <v>445</v>
      </c>
    </row>
    <row r="316" spans="1:5" x14ac:dyDescent="0.2">
      <c r="A316" s="70" t="s">
        <v>410</v>
      </c>
      <c r="B316" t="s">
        <v>754</v>
      </c>
      <c r="C316" t="s">
        <v>691</v>
      </c>
      <c r="D316" t="s">
        <v>753</v>
      </c>
      <c r="E316" t="s">
        <v>448</v>
      </c>
    </row>
    <row r="317" spans="1:5" x14ac:dyDescent="0.2">
      <c r="A317" s="70" t="s">
        <v>410</v>
      </c>
      <c r="B317" t="s">
        <v>755</v>
      </c>
      <c r="C317" t="s">
        <v>691</v>
      </c>
      <c r="D317" t="s">
        <v>753</v>
      </c>
      <c r="E317" t="s">
        <v>444</v>
      </c>
    </row>
    <row r="318" spans="1:5" x14ac:dyDescent="0.2">
      <c r="A318" s="70" t="s">
        <v>410</v>
      </c>
      <c r="B318" t="s">
        <v>756</v>
      </c>
      <c r="C318" t="s">
        <v>691</v>
      </c>
      <c r="D318" t="s">
        <v>753</v>
      </c>
      <c r="E318" t="s">
        <v>447</v>
      </c>
    </row>
    <row r="319" spans="1:5" x14ac:dyDescent="0.2">
      <c r="A319" s="70" t="s">
        <v>410</v>
      </c>
      <c r="B319" t="s">
        <v>757</v>
      </c>
      <c r="C319" t="s">
        <v>691</v>
      </c>
      <c r="D319" t="s">
        <v>753</v>
      </c>
      <c r="E319" t="s">
        <v>446</v>
      </c>
    </row>
    <row r="320" spans="1:5" x14ac:dyDescent="0.2">
      <c r="A320" s="70" t="s">
        <v>410</v>
      </c>
      <c r="B320" t="s">
        <v>758</v>
      </c>
      <c r="C320" t="s">
        <v>691</v>
      </c>
      <c r="D320" t="s">
        <v>759</v>
      </c>
      <c r="E320" t="s">
        <v>446</v>
      </c>
    </row>
    <row r="321" spans="1:5" x14ac:dyDescent="0.2">
      <c r="A321" s="70" t="s">
        <v>441</v>
      </c>
      <c r="B321" t="s">
        <v>959</v>
      </c>
      <c r="C321" t="s">
        <v>691</v>
      </c>
      <c r="D321" t="s">
        <v>549</v>
      </c>
      <c r="E321" t="s">
        <v>445</v>
      </c>
    </row>
    <row r="322" spans="1:5" x14ac:dyDescent="0.2">
      <c r="A322" s="70" t="s">
        <v>441</v>
      </c>
      <c r="B322" t="s">
        <v>960</v>
      </c>
      <c r="C322" t="s">
        <v>691</v>
      </c>
      <c r="D322" t="s">
        <v>549</v>
      </c>
      <c r="E322" t="s">
        <v>448</v>
      </c>
    </row>
    <row r="323" spans="1:5" x14ac:dyDescent="0.2">
      <c r="A323" s="70" t="s">
        <v>441</v>
      </c>
      <c r="B323" t="s">
        <v>961</v>
      </c>
      <c r="C323" t="s">
        <v>691</v>
      </c>
      <c r="D323" t="s">
        <v>549</v>
      </c>
      <c r="E323" t="s">
        <v>444</v>
      </c>
    </row>
    <row r="324" spans="1:5" x14ac:dyDescent="0.2">
      <c r="A324" s="70" t="s">
        <v>441</v>
      </c>
      <c r="B324" t="s">
        <v>962</v>
      </c>
      <c r="C324" t="s">
        <v>691</v>
      </c>
      <c r="D324" t="s">
        <v>549</v>
      </c>
      <c r="E324" t="s">
        <v>447</v>
      </c>
    </row>
    <row r="325" spans="1:5" x14ac:dyDescent="0.2">
      <c r="A325" s="70" t="s">
        <v>441</v>
      </c>
      <c r="B325" t="s">
        <v>963</v>
      </c>
      <c r="C325" t="s">
        <v>691</v>
      </c>
      <c r="D325" t="s">
        <v>549</v>
      </c>
      <c r="E325" t="s">
        <v>446</v>
      </c>
    </row>
    <row r="326" spans="1:5" x14ac:dyDescent="0.2">
      <c r="A326" s="70" t="s">
        <v>441</v>
      </c>
      <c r="B326" t="s">
        <v>964</v>
      </c>
      <c r="C326" t="s">
        <v>691</v>
      </c>
      <c r="D326" t="s">
        <v>551</v>
      </c>
      <c r="E326" t="s">
        <v>445</v>
      </c>
    </row>
    <row r="327" spans="1:5" x14ac:dyDescent="0.2">
      <c r="A327" s="70" t="s">
        <v>441</v>
      </c>
      <c r="B327" t="s">
        <v>965</v>
      </c>
      <c r="C327" t="s">
        <v>691</v>
      </c>
      <c r="D327" t="s">
        <v>551</v>
      </c>
      <c r="E327" t="s">
        <v>448</v>
      </c>
    </row>
    <row r="328" spans="1:5" x14ac:dyDescent="0.2">
      <c r="A328" s="70" t="s">
        <v>441</v>
      </c>
      <c r="B328" t="s">
        <v>966</v>
      </c>
      <c r="C328" t="s">
        <v>691</v>
      </c>
      <c r="D328" t="s">
        <v>551</v>
      </c>
      <c r="E328" t="s">
        <v>444</v>
      </c>
    </row>
    <row r="329" spans="1:5" x14ac:dyDescent="0.2">
      <c r="A329" s="70" t="s">
        <v>441</v>
      </c>
      <c r="B329" t="s">
        <v>967</v>
      </c>
      <c r="C329" t="s">
        <v>691</v>
      </c>
      <c r="D329" t="s">
        <v>551</v>
      </c>
      <c r="E329" t="s">
        <v>447</v>
      </c>
    </row>
    <row r="330" spans="1:5" x14ac:dyDescent="0.2">
      <c r="A330" s="70" t="s">
        <v>441</v>
      </c>
      <c r="B330" t="s">
        <v>968</v>
      </c>
      <c r="C330" t="s">
        <v>691</v>
      </c>
      <c r="D330" t="s">
        <v>551</v>
      </c>
      <c r="E330" t="s">
        <v>446</v>
      </c>
    </row>
    <row r="331" spans="1:5" x14ac:dyDescent="0.2">
      <c r="A331" s="70" t="s">
        <v>441</v>
      </c>
      <c r="B331" t="s">
        <v>969</v>
      </c>
      <c r="C331" t="s">
        <v>691</v>
      </c>
      <c r="D331" t="s">
        <v>553</v>
      </c>
      <c r="E331" t="s">
        <v>445</v>
      </c>
    </row>
    <row r="332" spans="1:5" x14ac:dyDescent="0.2">
      <c r="A332" s="70" t="s">
        <v>441</v>
      </c>
      <c r="B332" t="s">
        <v>970</v>
      </c>
      <c r="C332" t="s">
        <v>691</v>
      </c>
      <c r="D332" t="s">
        <v>553</v>
      </c>
      <c r="E332" t="s">
        <v>448</v>
      </c>
    </row>
    <row r="333" spans="1:5" x14ac:dyDescent="0.2">
      <c r="A333" s="70" t="s">
        <v>441</v>
      </c>
      <c r="B333" t="s">
        <v>971</v>
      </c>
      <c r="C333" t="s">
        <v>691</v>
      </c>
      <c r="D333" t="s">
        <v>553</v>
      </c>
      <c r="E333" t="s">
        <v>444</v>
      </c>
    </row>
    <row r="334" spans="1:5" x14ac:dyDescent="0.2">
      <c r="A334" s="70" t="s">
        <v>441</v>
      </c>
      <c r="B334" t="s">
        <v>972</v>
      </c>
      <c r="C334" t="s">
        <v>691</v>
      </c>
      <c r="D334" t="s">
        <v>553</v>
      </c>
      <c r="E334" t="s">
        <v>447</v>
      </c>
    </row>
    <row r="335" spans="1:5" x14ac:dyDescent="0.2">
      <c r="A335" s="70" t="s">
        <v>441</v>
      </c>
      <c r="B335" t="s">
        <v>973</v>
      </c>
      <c r="C335" t="s">
        <v>691</v>
      </c>
      <c r="D335" t="s">
        <v>553</v>
      </c>
      <c r="E335" t="s">
        <v>446</v>
      </c>
    </row>
    <row r="336" spans="1:5" x14ac:dyDescent="0.2">
      <c r="A336" s="70" t="s">
        <v>441</v>
      </c>
      <c r="B336" t="s">
        <v>974</v>
      </c>
      <c r="C336" t="s">
        <v>691</v>
      </c>
      <c r="D336" t="s">
        <v>555</v>
      </c>
      <c r="E336" t="s">
        <v>445</v>
      </c>
    </row>
    <row r="337" spans="1:5" x14ac:dyDescent="0.2">
      <c r="A337" s="70" t="s">
        <v>441</v>
      </c>
      <c r="B337" t="s">
        <v>975</v>
      </c>
      <c r="C337" t="s">
        <v>691</v>
      </c>
      <c r="D337" t="s">
        <v>555</v>
      </c>
      <c r="E337" t="s">
        <v>448</v>
      </c>
    </row>
    <row r="338" spans="1:5" x14ac:dyDescent="0.2">
      <c r="A338" s="70" t="s">
        <v>441</v>
      </c>
      <c r="B338" t="s">
        <v>976</v>
      </c>
      <c r="C338" t="s">
        <v>691</v>
      </c>
      <c r="D338" t="s">
        <v>555</v>
      </c>
      <c r="E338" t="s">
        <v>444</v>
      </c>
    </row>
    <row r="339" spans="1:5" x14ac:dyDescent="0.2">
      <c r="A339" s="70" t="s">
        <v>441</v>
      </c>
      <c r="B339" t="s">
        <v>977</v>
      </c>
      <c r="C339" t="s">
        <v>691</v>
      </c>
      <c r="D339" t="s">
        <v>555</v>
      </c>
      <c r="E339" t="s">
        <v>447</v>
      </c>
    </row>
    <row r="340" spans="1:5" x14ac:dyDescent="0.2">
      <c r="A340" s="70" t="s">
        <v>441</v>
      </c>
      <c r="B340" t="s">
        <v>978</v>
      </c>
      <c r="C340" t="s">
        <v>691</v>
      </c>
      <c r="D340" t="s">
        <v>555</v>
      </c>
      <c r="E340" t="s">
        <v>446</v>
      </c>
    </row>
    <row r="341" spans="1:5" x14ac:dyDescent="0.2">
      <c r="A341" s="70" t="s">
        <v>441</v>
      </c>
      <c r="B341" t="s">
        <v>979</v>
      </c>
      <c r="C341" t="s">
        <v>691</v>
      </c>
      <c r="D341" t="s">
        <v>557</v>
      </c>
      <c r="E341" t="s">
        <v>445</v>
      </c>
    </row>
    <row r="342" spans="1:5" x14ac:dyDescent="0.2">
      <c r="A342" s="70" t="s">
        <v>441</v>
      </c>
      <c r="B342" t="s">
        <v>980</v>
      </c>
      <c r="C342" t="s">
        <v>691</v>
      </c>
      <c r="D342" t="s">
        <v>557</v>
      </c>
      <c r="E342" t="s">
        <v>448</v>
      </c>
    </row>
    <row r="343" spans="1:5" x14ac:dyDescent="0.2">
      <c r="A343" s="70" t="s">
        <v>441</v>
      </c>
      <c r="B343" t="s">
        <v>981</v>
      </c>
      <c r="C343" t="s">
        <v>691</v>
      </c>
      <c r="D343" t="s">
        <v>557</v>
      </c>
      <c r="E343" t="s">
        <v>444</v>
      </c>
    </row>
    <row r="344" spans="1:5" x14ac:dyDescent="0.2">
      <c r="A344" s="70" t="s">
        <v>441</v>
      </c>
      <c r="B344" t="s">
        <v>982</v>
      </c>
      <c r="C344" t="s">
        <v>691</v>
      </c>
      <c r="D344" t="s">
        <v>557</v>
      </c>
      <c r="E344" t="s">
        <v>447</v>
      </c>
    </row>
    <row r="345" spans="1:5" x14ac:dyDescent="0.2">
      <c r="A345" s="70" t="s">
        <v>441</v>
      </c>
      <c r="B345" t="s">
        <v>983</v>
      </c>
      <c r="C345" t="s">
        <v>691</v>
      </c>
      <c r="D345" t="s">
        <v>557</v>
      </c>
      <c r="E345" t="s">
        <v>446</v>
      </c>
    </row>
    <row r="346" spans="1:5" x14ac:dyDescent="0.2">
      <c r="A346" s="70" t="s">
        <v>441</v>
      </c>
      <c r="B346" t="s">
        <v>984</v>
      </c>
      <c r="C346" t="s">
        <v>691</v>
      </c>
      <c r="D346" t="s">
        <v>559</v>
      </c>
      <c r="E346" t="s">
        <v>445</v>
      </c>
    </row>
    <row r="347" spans="1:5" x14ac:dyDescent="0.2">
      <c r="A347" s="70" t="s">
        <v>441</v>
      </c>
      <c r="B347" t="s">
        <v>985</v>
      </c>
      <c r="C347" t="s">
        <v>691</v>
      </c>
      <c r="D347" t="s">
        <v>559</v>
      </c>
      <c r="E347" t="s">
        <v>448</v>
      </c>
    </row>
    <row r="348" spans="1:5" x14ac:dyDescent="0.2">
      <c r="A348" s="70" t="s">
        <v>441</v>
      </c>
      <c r="B348" t="s">
        <v>986</v>
      </c>
      <c r="C348" t="s">
        <v>691</v>
      </c>
      <c r="D348" t="s">
        <v>559</v>
      </c>
      <c r="E348" t="s">
        <v>444</v>
      </c>
    </row>
    <row r="349" spans="1:5" x14ac:dyDescent="0.2">
      <c r="A349" s="70" t="s">
        <v>441</v>
      </c>
      <c r="B349" t="s">
        <v>987</v>
      </c>
      <c r="C349" t="s">
        <v>691</v>
      </c>
      <c r="D349" t="s">
        <v>559</v>
      </c>
      <c r="E349" t="s">
        <v>447</v>
      </c>
    </row>
    <row r="350" spans="1:5" x14ac:dyDescent="0.2">
      <c r="A350" s="70" t="s">
        <v>441</v>
      </c>
      <c r="B350" t="s">
        <v>988</v>
      </c>
      <c r="C350" t="s">
        <v>691</v>
      </c>
      <c r="D350" t="s">
        <v>559</v>
      </c>
      <c r="E350" t="s">
        <v>446</v>
      </c>
    </row>
    <row r="351" spans="1:5" x14ac:dyDescent="0.2">
      <c r="A351" s="70" t="s">
        <v>441</v>
      </c>
      <c r="B351" t="s">
        <v>989</v>
      </c>
      <c r="C351" t="s">
        <v>691</v>
      </c>
      <c r="D351" t="s">
        <v>561</v>
      </c>
      <c r="E351" t="s">
        <v>445</v>
      </c>
    </row>
    <row r="352" spans="1:5" x14ac:dyDescent="0.2">
      <c r="A352" s="70" t="s">
        <v>441</v>
      </c>
      <c r="B352" t="s">
        <v>990</v>
      </c>
      <c r="C352" t="s">
        <v>691</v>
      </c>
      <c r="D352" t="s">
        <v>561</v>
      </c>
      <c r="E352" t="s">
        <v>448</v>
      </c>
    </row>
    <row r="353" spans="1:5" x14ac:dyDescent="0.2">
      <c r="A353" s="70" t="s">
        <v>441</v>
      </c>
      <c r="B353" t="s">
        <v>991</v>
      </c>
      <c r="C353" t="s">
        <v>691</v>
      </c>
      <c r="D353" t="s">
        <v>561</v>
      </c>
      <c r="E353" t="s">
        <v>444</v>
      </c>
    </row>
    <row r="354" spans="1:5" x14ac:dyDescent="0.2">
      <c r="A354" s="70" t="s">
        <v>441</v>
      </c>
      <c r="B354" t="s">
        <v>992</v>
      </c>
      <c r="C354" t="s">
        <v>691</v>
      </c>
      <c r="D354" t="s">
        <v>561</v>
      </c>
      <c r="E354" t="s">
        <v>447</v>
      </c>
    </row>
    <row r="355" spans="1:5" x14ac:dyDescent="0.2">
      <c r="A355" s="70" t="s">
        <v>441</v>
      </c>
      <c r="B355" t="s">
        <v>993</v>
      </c>
      <c r="C355" t="s">
        <v>691</v>
      </c>
      <c r="D355" t="s">
        <v>561</v>
      </c>
      <c r="E355" t="s">
        <v>446</v>
      </c>
    </row>
    <row r="356" spans="1:5" x14ac:dyDescent="0.2">
      <c r="A356" s="70" t="s">
        <v>441</v>
      </c>
      <c r="B356" t="s">
        <v>994</v>
      </c>
      <c r="C356" t="s">
        <v>691</v>
      </c>
      <c r="D356" t="s">
        <v>563</v>
      </c>
      <c r="E356" t="s">
        <v>445</v>
      </c>
    </row>
    <row r="357" spans="1:5" x14ac:dyDescent="0.2">
      <c r="A357" s="70" t="s">
        <v>441</v>
      </c>
      <c r="B357" t="s">
        <v>995</v>
      </c>
      <c r="C357" t="s">
        <v>691</v>
      </c>
      <c r="D357" t="s">
        <v>563</v>
      </c>
      <c r="E357" t="s">
        <v>448</v>
      </c>
    </row>
    <row r="358" spans="1:5" x14ac:dyDescent="0.2">
      <c r="A358" s="70" t="s">
        <v>441</v>
      </c>
      <c r="B358" t="s">
        <v>996</v>
      </c>
      <c r="C358" t="s">
        <v>691</v>
      </c>
      <c r="D358" t="s">
        <v>563</v>
      </c>
      <c r="E358" t="s">
        <v>444</v>
      </c>
    </row>
    <row r="359" spans="1:5" x14ac:dyDescent="0.2">
      <c r="A359" s="70" t="s">
        <v>441</v>
      </c>
      <c r="B359" t="s">
        <v>997</v>
      </c>
      <c r="C359" t="s">
        <v>691</v>
      </c>
      <c r="D359" t="s">
        <v>563</v>
      </c>
      <c r="E359" t="s">
        <v>447</v>
      </c>
    </row>
    <row r="360" spans="1:5" x14ac:dyDescent="0.2">
      <c r="A360" s="70" t="s">
        <v>441</v>
      </c>
      <c r="B360" t="s">
        <v>998</v>
      </c>
      <c r="C360" t="s">
        <v>691</v>
      </c>
      <c r="D360" t="s">
        <v>563</v>
      </c>
      <c r="E360" t="s">
        <v>446</v>
      </c>
    </row>
    <row r="361" spans="1:5" x14ac:dyDescent="0.2">
      <c r="A361" s="70" t="s">
        <v>441</v>
      </c>
      <c r="B361" t="s">
        <v>999</v>
      </c>
      <c r="C361" t="s">
        <v>691</v>
      </c>
      <c r="D361" t="s">
        <v>565</v>
      </c>
      <c r="E361" t="s">
        <v>445</v>
      </c>
    </row>
    <row r="362" spans="1:5" x14ac:dyDescent="0.2">
      <c r="A362" s="70" t="s">
        <v>441</v>
      </c>
      <c r="B362" t="s">
        <v>1000</v>
      </c>
      <c r="C362" t="s">
        <v>691</v>
      </c>
      <c r="D362" t="s">
        <v>565</v>
      </c>
      <c r="E362" t="s">
        <v>448</v>
      </c>
    </row>
    <row r="363" spans="1:5" x14ac:dyDescent="0.2">
      <c r="A363" s="70" t="s">
        <v>441</v>
      </c>
      <c r="B363" t="s">
        <v>1001</v>
      </c>
      <c r="C363" t="s">
        <v>691</v>
      </c>
      <c r="D363" t="s">
        <v>565</v>
      </c>
      <c r="E363" t="s">
        <v>444</v>
      </c>
    </row>
    <row r="364" spans="1:5" x14ac:dyDescent="0.2">
      <c r="A364" s="70" t="s">
        <v>441</v>
      </c>
      <c r="B364" t="s">
        <v>1002</v>
      </c>
      <c r="C364" t="s">
        <v>691</v>
      </c>
      <c r="D364" t="s">
        <v>565</v>
      </c>
      <c r="E364" t="s">
        <v>447</v>
      </c>
    </row>
    <row r="365" spans="1:5" x14ac:dyDescent="0.2">
      <c r="A365" s="70" t="s">
        <v>441</v>
      </c>
      <c r="B365" t="s">
        <v>1003</v>
      </c>
      <c r="C365" t="s">
        <v>691</v>
      </c>
      <c r="D365" t="s">
        <v>565</v>
      </c>
      <c r="E365" t="s">
        <v>446</v>
      </c>
    </row>
    <row r="366" spans="1:5" x14ac:dyDescent="0.2">
      <c r="A366" s="70" t="s">
        <v>441</v>
      </c>
      <c r="B366" t="s">
        <v>1004</v>
      </c>
      <c r="C366" t="s">
        <v>691</v>
      </c>
      <c r="D366" t="s">
        <v>567</v>
      </c>
      <c r="E366" t="s">
        <v>445</v>
      </c>
    </row>
    <row r="367" spans="1:5" x14ac:dyDescent="0.2">
      <c r="A367" s="70" t="s">
        <v>441</v>
      </c>
      <c r="B367" t="s">
        <v>1005</v>
      </c>
      <c r="C367" t="s">
        <v>691</v>
      </c>
      <c r="D367" t="s">
        <v>567</v>
      </c>
      <c r="E367" t="s">
        <v>448</v>
      </c>
    </row>
    <row r="368" spans="1:5" x14ac:dyDescent="0.2">
      <c r="A368" s="70" t="s">
        <v>441</v>
      </c>
      <c r="B368" t="s">
        <v>1006</v>
      </c>
      <c r="C368" t="s">
        <v>691</v>
      </c>
      <c r="D368" t="s">
        <v>567</v>
      </c>
      <c r="E368" t="s">
        <v>444</v>
      </c>
    </row>
    <row r="369" spans="1:5" x14ac:dyDescent="0.2">
      <c r="A369" s="70" t="s">
        <v>441</v>
      </c>
      <c r="B369" t="s">
        <v>1007</v>
      </c>
      <c r="C369" t="s">
        <v>691</v>
      </c>
      <c r="D369" t="s">
        <v>567</v>
      </c>
      <c r="E369" t="s">
        <v>447</v>
      </c>
    </row>
    <row r="370" spans="1:5" x14ac:dyDescent="0.2">
      <c r="A370" s="70" t="s">
        <v>441</v>
      </c>
      <c r="B370" t="s">
        <v>1008</v>
      </c>
      <c r="C370" t="s">
        <v>691</v>
      </c>
      <c r="D370" t="s">
        <v>567</v>
      </c>
      <c r="E370" t="s">
        <v>446</v>
      </c>
    </row>
    <row r="371" spans="1:5" x14ac:dyDescent="0.2">
      <c r="A371" s="70" t="s">
        <v>441</v>
      </c>
      <c r="B371" t="s">
        <v>1009</v>
      </c>
      <c r="C371" t="s">
        <v>691</v>
      </c>
      <c r="D371" t="s">
        <v>569</v>
      </c>
      <c r="E371" t="s">
        <v>445</v>
      </c>
    </row>
    <row r="372" spans="1:5" x14ac:dyDescent="0.2">
      <c r="A372" s="70" t="s">
        <v>441</v>
      </c>
      <c r="B372" t="s">
        <v>1010</v>
      </c>
      <c r="C372" t="s">
        <v>691</v>
      </c>
      <c r="D372" t="s">
        <v>569</v>
      </c>
      <c r="E372" t="s">
        <v>448</v>
      </c>
    </row>
    <row r="373" spans="1:5" x14ac:dyDescent="0.2">
      <c r="A373" s="70" t="s">
        <v>441</v>
      </c>
      <c r="B373" t="s">
        <v>1011</v>
      </c>
      <c r="C373" t="s">
        <v>691</v>
      </c>
      <c r="D373" t="s">
        <v>569</v>
      </c>
      <c r="E373" t="s">
        <v>444</v>
      </c>
    </row>
    <row r="374" spans="1:5" x14ac:dyDescent="0.2">
      <c r="A374" s="70" t="s">
        <v>441</v>
      </c>
      <c r="B374" t="s">
        <v>1012</v>
      </c>
      <c r="C374" t="s">
        <v>691</v>
      </c>
      <c r="D374" t="s">
        <v>569</v>
      </c>
      <c r="E374" t="s">
        <v>447</v>
      </c>
    </row>
    <row r="375" spans="1:5" x14ac:dyDescent="0.2">
      <c r="A375" s="70" t="s">
        <v>441</v>
      </c>
      <c r="B375" t="s">
        <v>1013</v>
      </c>
      <c r="C375" t="s">
        <v>691</v>
      </c>
      <c r="D375" t="s">
        <v>569</v>
      </c>
      <c r="E375" t="s">
        <v>446</v>
      </c>
    </row>
    <row r="376" spans="1:5" x14ac:dyDescent="0.2">
      <c r="A376" s="70" t="s">
        <v>441</v>
      </c>
      <c r="B376" t="s">
        <v>1014</v>
      </c>
      <c r="C376" t="s">
        <v>691</v>
      </c>
      <c r="D376" t="s">
        <v>571</v>
      </c>
      <c r="E376" t="s">
        <v>445</v>
      </c>
    </row>
    <row r="377" spans="1:5" x14ac:dyDescent="0.2">
      <c r="A377" s="70" t="s">
        <v>441</v>
      </c>
      <c r="B377" t="s">
        <v>1015</v>
      </c>
      <c r="C377" t="s">
        <v>691</v>
      </c>
      <c r="D377" t="s">
        <v>571</v>
      </c>
      <c r="E377" t="s">
        <v>448</v>
      </c>
    </row>
    <row r="378" spans="1:5" x14ac:dyDescent="0.2">
      <c r="A378" s="70" t="s">
        <v>441</v>
      </c>
      <c r="B378" t="s">
        <v>1016</v>
      </c>
      <c r="C378" t="s">
        <v>691</v>
      </c>
      <c r="D378" t="s">
        <v>571</v>
      </c>
      <c r="E378" t="s">
        <v>444</v>
      </c>
    </row>
    <row r="379" spans="1:5" x14ac:dyDescent="0.2">
      <c r="A379" s="70" t="s">
        <v>441</v>
      </c>
      <c r="B379" t="s">
        <v>1017</v>
      </c>
      <c r="C379" t="s">
        <v>691</v>
      </c>
      <c r="D379" t="s">
        <v>571</v>
      </c>
      <c r="E379" t="s">
        <v>447</v>
      </c>
    </row>
    <row r="380" spans="1:5" x14ac:dyDescent="0.2">
      <c r="A380" s="70" t="s">
        <v>441</v>
      </c>
      <c r="B380" t="s">
        <v>1018</v>
      </c>
      <c r="C380" t="s">
        <v>691</v>
      </c>
      <c r="D380" t="s">
        <v>571</v>
      </c>
      <c r="E380" t="s">
        <v>446</v>
      </c>
    </row>
    <row r="381" spans="1:5" x14ac:dyDescent="0.2">
      <c r="A381" s="70" t="s">
        <v>441</v>
      </c>
      <c r="B381" t="s">
        <v>1019</v>
      </c>
      <c r="C381" t="s">
        <v>691</v>
      </c>
      <c r="D381" t="s">
        <v>573</v>
      </c>
      <c r="E381" t="s">
        <v>445</v>
      </c>
    </row>
    <row r="382" spans="1:5" x14ac:dyDescent="0.2">
      <c r="A382" s="70" t="s">
        <v>441</v>
      </c>
      <c r="B382" t="s">
        <v>1020</v>
      </c>
      <c r="C382" t="s">
        <v>691</v>
      </c>
      <c r="D382" t="s">
        <v>573</v>
      </c>
      <c r="E382" t="s">
        <v>448</v>
      </c>
    </row>
    <row r="383" spans="1:5" x14ac:dyDescent="0.2">
      <c r="A383" s="70" t="s">
        <v>441</v>
      </c>
      <c r="B383" t="s">
        <v>1021</v>
      </c>
      <c r="C383" t="s">
        <v>691</v>
      </c>
      <c r="D383" t="s">
        <v>573</v>
      </c>
      <c r="E383" t="s">
        <v>444</v>
      </c>
    </row>
    <row r="384" spans="1:5" x14ac:dyDescent="0.2">
      <c r="A384" s="70" t="s">
        <v>441</v>
      </c>
      <c r="B384" t="s">
        <v>1022</v>
      </c>
      <c r="C384" t="s">
        <v>691</v>
      </c>
      <c r="D384" t="s">
        <v>573</v>
      </c>
      <c r="E384" t="s">
        <v>447</v>
      </c>
    </row>
    <row r="385" spans="1:5" x14ac:dyDescent="0.2">
      <c r="A385" s="70" t="s">
        <v>441</v>
      </c>
      <c r="B385" t="s">
        <v>1023</v>
      </c>
      <c r="C385" t="s">
        <v>691</v>
      </c>
      <c r="D385" t="s">
        <v>573</v>
      </c>
      <c r="E385" t="s">
        <v>446</v>
      </c>
    </row>
    <row r="386" spans="1:5" x14ac:dyDescent="0.2">
      <c r="A386" s="70" t="s">
        <v>441</v>
      </c>
      <c r="B386" t="s">
        <v>1024</v>
      </c>
      <c r="C386" t="s">
        <v>691</v>
      </c>
      <c r="D386" t="s">
        <v>1025</v>
      </c>
      <c r="E386" t="s">
        <v>445</v>
      </c>
    </row>
    <row r="387" spans="1:5" x14ac:dyDescent="0.2">
      <c r="A387" s="70" t="s">
        <v>441</v>
      </c>
      <c r="B387" t="s">
        <v>1026</v>
      </c>
      <c r="C387" t="s">
        <v>691</v>
      </c>
      <c r="D387" t="s">
        <v>1025</v>
      </c>
      <c r="E387" t="s">
        <v>448</v>
      </c>
    </row>
    <row r="388" spans="1:5" x14ac:dyDescent="0.2">
      <c r="A388" s="70" t="s">
        <v>441</v>
      </c>
      <c r="B388" t="s">
        <v>1027</v>
      </c>
      <c r="C388" t="s">
        <v>691</v>
      </c>
      <c r="D388" t="s">
        <v>1025</v>
      </c>
      <c r="E388" t="s">
        <v>444</v>
      </c>
    </row>
    <row r="389" spans="1:5" x14ac:dyDescent="0.2">
      <c r="A389" s="70" t="s">
        <v>441</v>
      </c>
      <c r="B389" t="s">
        <v>1028</v>
      </c>
      <c r="C389" t="s">
        <v>691</v>
      </c>
      <c r="D389" t="s">
        <v>1025</v>
      </c>
      <c r="E389" t="s">
        <v>447</v>
      </c>
    </row>
    <row r="390" spans="1:5" x14ac:dyDescent="0.2">
      <c r="A390" s="70" t="s">
        <v>441</v>
      </c>
      <c r="B390" t="s">
        <v>1029</v>
      </c>
      <c r="C390" t="s">
        <v>691</v>
      </c>
      <c r="D390" t="s">
        <v>1025</v>
      </c>
      <c r="E390" t="s">
        <v>446</v>
      </c>
    </row>
    <row r="391" spans="1:5" x14ac:dyDescent="0.2">
      <c r="A391" s="70" t="s">
        <v>441</v>
      </c>
      <c r="B391" t="s">
        <v>758</v>
      </c>
      <c r="C391" t="s">
        <v>691</v>
      </c>
      <c r="D391" t="s">
        <v>759</v>
      </c>
      <c r="E391" t="s">
        <v>446</v>
      </c>
    </row>
    <row r="392" spans="1:5" x14ac:dyDescent="0.2">
      <c r="A392" s="70" t="s">
        <v>399</v>
      </c>
      <c r="B392" t="s">
        <v>650</v>
      </c>
      <c r="C392" t="s">
        <v>691</v>
      </c>
      <c r="D392" t="s">
        <v>384</v>
      </c>
      <c r="E392" t="s">
        <v>445</v>
      </c>
    </row>
    <row r="393" spans="1:5" x14ac:dyDescent="0.2">
      <c r="A393" s="70" t="s">
        <v>399</v>
      </c>
      <c r="B393" t="s">
        <v>681</v>
      </c>
      <c r="C393" t="s">
        <v>691</v>
      </c>
      <c r="D393" t="s">
        <v>384</v>
      </c>
      <c r="E393" t="s">
        <v>448</v>
      </c>
    </row>
    <row r="394" spans="1:5" x14ac:dyDescent="0.2">
      <c r="A394" s="70" t="s">
        <v>399</v>
      </c>
      <c r="B394" t="s">
        <v>616</v>
      </c>
      <c r="C394" t="s">
        <v>691</v>
      </c>
      <c r="D394" t="s">
        <v>384</v>
      </c>
      <c r="E394" t="s">
        <v>444</v>
      </c>
    </row>
    <row r="395" spans="1:5" x14ac:dyDescent="0.2">
      <c r="A395" s="70" t="s">
        <v>399</v>
      </c>
      <c r="B395" t="s">
        <v>665</v>
      </c>
      <c r="C395" t="s">
        <v>691</v>
      </c>
      <c r="D395" t="s">
        <v>384</v>
      </c>
      <c r="E395" t="s">
        <v>447</v>
      </c>
    </row>
    <row r="396" spans="1:5" x14ac:dyDescent="0.2">
      <c r="A396" s="70" t="s">
        <v>399</v>
      </c>
      <c r="B396" t="s">
        <v>402</v>
      </c>
      <c r="C396" t="s">
        <v>691</v>
      </c>
      <c r="D396" t="s">
        <v>384</v>
      </c>
      <c r="E396" t="s">
        <v>446</v>
      </c>
    </row>
    <row r="397" spans="1:5" x14ac:dyDescent="0.2">
      <c r="A397" s="70" t="s">
        <v>399</v>
      </c>
      <c r="B397" t="s">
        <v>651</v>
      </c>
      <c r="C397" t="s">
        <v>691</v>
      </c>
      <c r="D397" t="s">
        <v>95</v>
      </c>
      <c r="E397" t="s">
        <v>445</v>
      </c>
    </row>
    <row r="398" spans="1:5" x14ac:dyDescent="0.2">
      <c r="A398" s="70" t="s">
        <v>399</v>
      </c>
      <c r="B398" t="s">
        <v>682</v>
      </c>
      <c r="C398" t="s">
        <v>691</v>
      </c>
      <c r="D398" t="s">
        <v>95</v>
      </c>
      <c r="E398" t="s">
        <v>448</v>
      </c>
    </row>
    <row r="399" spans="1:5" x14ac:dyDescent="0.2">
      <c r="A399" s="70" t="s">
        <v>399</v>
      </c>
      <c r="B399" t="s">
        <v>617</v>
      </c>
      <c r="C399" t="s">
        <v>691</v>
      </c>
      <c r="D399" t="s">
        <v>95</v>
      </c>
      <c r="E399" t="s">
        <v>444</v>
      </c>
    </row>
    <row r="400" spans="1:5" x14ac:dyDescent="0.2">
      <c r="A400" s="70" t="s">
        <v>399</v>
      </c>
      <c r="B400" t="s">
        <v>666</v>
      </c>
      <c r="C400" t="s">
        <v>691</v>
      </c>
      <c r="D400" t="s">
        <v>95</v>
      </c>
      <c r="E400" t="s">
        <v>447</v>
      </c>
    </row>
    <row r="401" spans="1:5" x14ac:dyDescent="0.2">
      <c r="A401" s="70" t="s">
        <v>399</v>
      </c>
      <c r="B401" t="s">
        <v>403</v>
      </c>
      <c r="C401" t="s">
        <v>691</v>
      </c>
      <c r="D401" t="s">
        <v>95</v>
      </c>
      <c r="E401" t="s">
        <v>446</v>
      </c>
    </row>
    <row r="402" spans="1:5" x14ac:dyDescent="0.2">
      <c r="A402" s="70" t="s">
        <v>399</v>
      </c>
      <c r="B402" t="s">
        <v>683</v>
      </c>
      <c r="C402" t="s">
        <v>691</v>
      </c>
      <c r="D402" t="s">
        <v>143</v>
      </c>
      <c r="E402" t="s">
        <v>448</v>
      </c>
    </row>
    <row r="403" spans="1:5" x14ac:dyDescent="0.2">
      <c r="A403" s="70" t="s">
        <v>399</v>
      </c>
      <c r="B403" t="s">
        <v>618</v>
      </c>
      <c r="C403" t="s">
        <v>691</v>
      </c>
      <c r="D403" t="s">
        <v>143</v>
      </c>
      <c r="E403" t="s">
        <v>444</v>
      </c>
    </row>
    <row r="404" spans="1:5" x14ac:dyDescent="0.2">
      <c r="A404" s="70" t="s">
        <v>399</v>
      </c>
      <c r="B404" t="s">
        <v>667</v>
      </c>
      <c r="C404" t="s">
        <v>691</v>
      </c>
      <c r="D404" t="s">
        <v>143</v>
      </c>
      <c r="E404" t="s">
        <v>447</v>
      </c>
    </row>
    <row r="405" spans="1:5" x14ac:dyDescent="0.2">
      <c r="A405" s="70" t="s">
        <v>399</v>
      </c>
      <c r="B405" t="s">
        <v>404</v>
      </c>
      <c r="C405" t="s">
        <v>691</v>
      </c>
      <c r="D405" t="s">
        <v>143</v>
      </c>
      <c r="E405" t="s">
        <v>446</v>
      </c>
    </row>
    <row r="406" spans="1:5" x14ac:dyDescent="0.2">
      <c r="A406" s="70" t="s">
        <v>399</v>
      </c>
      <c r="B406" t="s">
        <v>652</v>
      </c>
      <c r="C406" t="s">
        <v>691</v>
      </c>
      <c r="D406" t="s">
        <v>143</v>
      </c>
      <c r="E406" t="s">
        <v>445</v>
      </c>
    </row>
    <row r="407" spans="1:5" x14ac:dyDescent="0.2">
      <c r="A407" s="70" t="s">
        <v>399</v>
      </c>
      <c r="B407" t="s">
        <v>1030</v>
      </c>
      <c r="C407" t="s">
        <v>691</v>
      </c>
      <c r="D407" t="s">
        <v>385</v>
      </c>
      <c r="E407" t="s">
        <v>445</v>
      </c>
    </row>
    <row r="408" spans="1:5" x14ac:dyDescent="0.2">
      <c r="A408" s="70" t="s">
        <v>399</v>
      </c>
      <c r="B408" t="s">
        <v>684</v>
      </c>
      <c r="C408" t="s">
        <v>691</v>
      </c>
      <c r="D408" t="s">
        <v>385</v>
      </c>
      <c r="E408" t="s">
        <v>448</v>
      </c>
    </row>
    <row r="409" spans="1:5" x14ac:dyDescent="0.2">
      <c r="A409" s="70" t="s">
        <v>399</v>
      </c>
      <c r="B409" t="s">
        <v>619</v>
      </c>
      <c r="C409" t="s">
        <v>691</v>
      </c>
      <c r="D409" t="s">
        <v>385</v>
      </c>
      <c r="E409" t="s">
        <v>444</v>
      </c>
    </row>
    <row r="410" spans="1:5" x14ac:dyDescent="0.2">
      <c r="A410" s="70" t="s">
        <v>399</v>
      </c>
      <c r="B410" t="s">
        <v>668</v>
      </c>
      <c r="C410" t="s">
        <v>691</v>
      </c>
      <c r="D410" t="s">
        <v>385</v>
      </c>
      <c r="E410" t="s">
        <v>447</v>
      </c>
    </row>
    <row r="411" spans="1:5" x14ac:dyDescent="0.2">
      <c r="A411" s="70" t="s">
        <v>399</v>
      </c>
      <c r="B411" t="s">
        <v>405</v>
      </c>
      <c r="C411" t="s">
        <v>691</v>
      </c>
      <c r="D411" t="s">
        <v>385</v>
      </c>
      <c r="E411" t="s">
        <v>446</v>
      </c>
    </row>
    <row r="412" spans="1:5" x14ac:dyDescent="0.2">
      <c r="A412" s="70" t="s">
        <v>399</v>
      </c>
      <c r="B412" t="s">
        <v>685</v>
      </c>
      <c r="C412" t="s">
        <v>691</v>
      </c>
      <c r="D412" t="s">
        <v>216</v>
      </c>
      <c r="E412" t="s">
        <v>448</v>
      </c>
    </row>
    <row r="413" spans="1:5" x14ac:dyDescent="0.2">
      <c r="A413" s="70" t="s">
        <v>399</v>
      </c>
      <c r="B413" t="s">
        <v>620</v>
      </c>
      <c r="C413" t="s">
        <v>691</v>
      </c>
      <c r="D413" t="s">
        <v>216</v>
      </c>
      <c r="E413" t="s">
        <v>444</v>
      </c>
    </row>
    <row r="414" spans="1:5" x14ac:dyDescent="0.2">
      <c r="A414" s="70" t="s">
        <v>399</v>
      </c>
      <c r="B414" t="s">
        <v>669</v>
      </c>
      <c r="C414" t="s">
        <v>691</v>
      </c>
      <c r="D414" t="s">
        <v>216</v>
      </c>
      <c r="E414" t="s">
        <v>447</v>
      </c>
    </row>
    <row r="415" spans="1:5" x14ac:dyDescent="0.2">
      <c r="A415" s="70" t="s">
        <v>399</v>
      </c>
      <c r="B415" t="s">
        <v>406</v>
      </c>
      <c r="C415" t="s">
        <v>691</v>
      </c>
      <c r="D415" t="s">
        <v>216</v>
      </c>
      <c r="E415" t="s">
        <v>446</v>
      </c>
    </row>
    <row r="416" spans="1:5" x14ac:dyDescent="0.2">
      <c r="A416" s="70" t="s">
        <v>399</v>
      </c>
      <c r="B416" t="s">
        <v>653</v>
      </c>
      <c r="C416" t="s">
        <v>691</v>
      </c>
      <c r="D416" t="s">
        <v>216</v>
      </c>
      <c r="E416" t="s">
        <v>445</v>
      </c>
    </row>
    <row r="417" spans="1:5" x14ac:dyDescent="0.2">
      <c r="A417" s="70" t="s">
        <v>399</v>
      </c>
      <c r="B417" t="s">
        <v>654</v>
      </c>
      <c r="C417" t="s">
        <v>691</v>
      </c>
      <c r="D417" t="s">
        <v>387</v>
      </c>
      <c r="E417" t="s">
        <v>445</v>
      </c>
    </row>
    <row r="418" spans="1:5" x14ac:dyDescent="0.2">
      <c r="A418" s="70" t="s">
        <v>399</v>
      </c>
      <c r="B418" t="s">
        <v>686</v>
      </c>
      <c r="C418" t="s">
        <v>691</v>
      </c>
      <c r="D418" t="s">
        <v>387</v>
      </c>
      <c r="E418" t="s">
        <v>448</v>
      </c>
    </row>
    <row r="419" spans="1:5" x14ac:dyDescent="0.2">
      <c r="A419" s="70" t="s">
        <v>399</v>
      </c>
      <c r="B419" t="s">
        <v>621</v>
      </c>
      <c r="C419" t="s">
        <v>691</v>
      </c>
      <c r="D419" t="s">
        <v>387</v>
      </c>
      <c r="E419" t="s">
        <v>444</v>
      </c>
    </row>
    <row r="420" spans="1:5" x14ac:dyDescent="0.2">
      <c r="A420" s="70" t="s">
        <v>399</v>
      </c>
      <c r="B420" t="s">
        <v>670</v>
      </c>
      <c r="C420" t="s">
        <v>691</v>
      </c>
      <c r="D420" t="s">
        <v>387</v>
      </c>
      <c r="E420" t="s">
        <v>447</v>
      </c>
    </row>
    <row r="421" spans="1:5" x14ac:dyDescent="0.2">
      <c r="A421" s="70" t="s">
        <v>399</v>
      </c>
      <c r="B421" t="s">
        <v>407</v>
      </c>
      <c r="C421" t="s">
        <v>691</v>
      </c>
      <c r="D421" t="s">
        <v>387</v>
      </c>
      <c r="E421" t="s">
        <v>446</v>
      </c>
    </row>
    <row r="422" spans="1:5" x14ac:dyDescent="0.2">
      <c r="A422" s="70" t="s">
        <v>399</v>
      </c>
      <c r="B422" t="s">
        <v>655</v>
      </c>
      <c r="C422" t="s">
        <v>691</v>
      </c>
      <c r="D422" t="s">
        <v>454</v>
      </c>
      <c r="E422" t="s">
        <v>445</v>
      </c>
    </row>
    <row r="423" spans="1:5" x14ac:dyDescent="0.2">
      <c r="A423" s="70" t="s">
        <v>399</v>
      </c>
      <c r="B423" t="s">
        <v>687</v>
      </c>
      <c r="C423" t="s">
        <v>691</v>
      </c>
      <c r="D423" t="s">
        <v>454</v>
      </c>
      <c r="E423" t="s">
        <v>448</v>
      </c>
    </row>
    <row r="424" spans="1:5" x14ac:dyDescent="0.2">
      <c r="A424" s="70" t="s">
        <v>399</v>
      </c>
      <c r="B424" t="s">
        <v>622</v>
      </c>
      <c r="C424" t="s">
        <v>691</v>
      </c>
      <c r="D424" t="s">
        <v>454</v>
      </c>
      <c r="E424" t="s">
        <v>444</v>
      </c>
    </row>
    <row r="425" spans="1:5" x14ac:dyDescent="0.2">
      <c r="A425" s="70" t="s">
        <v>399</v>
      </c>
      <c r="B425" t="s">
        <v>671</v>
      </c>
      <c r="C425" t="s">
        <v>691</v>
      </c>
      <c r="D425" t="s">
        <v>454</v>
      </c>
      <c r="E425" t="s">
        <v>447</v>
      </c>
    </row>
    <row r="426" spans="1:5" x14ac:dyDescent="0.2">
      <c r="A426" s="70" t="s">
        <v>399</v>
      </c>
      <c r="B426" t="s">
        <v>408</v>
      </c>
      <c r="C426" t="s">
        <v>691</v>
      </c>
      <c r="D426" t="s">
        <v>454</v>
      </c>
      <c r="E426" t="s">
        <v>446</v>
      </c>
    </row>
    <row r="427" spans="1:5" x14ac:dyDescent="0.2">
      <c r="A427" s="70" t="s">
        <v>399</v>
      </c>
      <c r="B427" t="s">
        <v>656</v>
      </c>
      <c r="C427" t="s">
        <v>691</v>
      </c>
      <c r="D427" t="s">
        <v>389</v>
      </c>
      <c r="E427" t="s">
        <v>445</v>
      </c>
    </row>
    <row r="428" spans="1:5" x14ac:dyDescent="0.2">
      <c r="A428" s="70" t="s">
        <v>399</v>
      </c>
      <c r="B428" t="s">
        <v>688</v>
      </c>
      <c r="C428" t="s">
        <v>691</v>
      </c>
      <c r="D428" t="s">
        <v>389</v>
      </c>
      <c r="E428" t="s">
        <v>448</v>
      </c>
    </row>
    <row r="429" spans="1:5" x14ac:dyDescent="0.2">
      <c r="A429" s="70" t="s">
        <v>399</v>
      </c>
      <c r="B429" t="s">
        <v>623</v>
      </c>
      <c r="C429" t="s">
        <v>691</v>
      </c>
      <c r="D429" t="s">
        <v>389</v>
      </c>
      <c r="E429" t="s">
        <v>444</v>
      </c>
    </row>
    <row r="430" spans="1:5" x14ac:dyDescent="0.2">
      <c r="A430" s="70" t="s">
        <v>399</v>
      </c>
      <c r="B430" t="s">
        <v>672</v>
      </c>
      <c r="C430" t="s">
        <v>691</v>
      </c>
      <c r="D430" t="s">
        <v>389</v>
      </c>
      <c r="E430" t="s">
        <v>447</v>
      </c>
    </row>
    <row r="431" spans="1:5" x14ac:dyDescent="0.2">
      <c r="A431" s="70" t="s">
        <v>399</v>
      </c>
      <c r="B431" t="s">
        <v>409</v>
      </c>
      <c r="C431" t="s">
        <v>691</v>
      </c>
      <c r="D431" t="s">
        <v>389</v>
      </c>
      <c r="E431" t="s">
        <v>446</v>
      </c>
    </row>
    <row r="432" spans="1:5" x14ac:dyDescent="0.2">
      <c r="A432" s="70" t="s">
        <v>399</v>
      </c>
      <c r="B432" t="s">
        <v>758</v>
      </c>
      <c r="C432" t="s">
        <v>691</v>
      </c>
      <c r="D432" t="s">
        <v>759</v>
      </c>
      <c r="E432" t="s">
        <v>446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65C16-E39D-9B43-8500-9BA417671E41}">
  <dimension ref="A1:A6"/>
  <sheetViews>
    <sheetView workbookViewId="0"/>
  </sheetViews>
  <sheetFormatPr baseColWidth="10" defaultRowHeight="15" x14ac:dyDescent="0.2"/>
  <cols>
    <col min="1" max="1" width="15" bestFit="1" customWidth="1"/>
  </cols>
  <sheetData>
    <row r="1" spans="1:1" x14ac:dyDescent="0.2">
      <c r="A1" t="s">
        <v>443</v>
      </c>
    </row>
    <row r="2" spans="1:1" x14ac:dyDescent="0.2">
      <c r="A2" t="s">
        <v>444</v>
      </c>
    </row>
    <row r="3" spans="1:1" x14ac:dyDescent="0.2">
      <c r="A3" t="s">
        <v>445</v>
      </c>
    </row>
    <row r="4" spans="1:1" x14ac:dyDescent="0.2">
      <c r="A4" t="s">
        <v>446</v>
      </c>
    </row>
    <row r="5" spans="1:1" x14ac:dyDescent="0.2">
      <c r="A5" t="s">
        <v>447</v>
      </c>
    </row>
    <row r="6" spans="1:1" x14ac:dyDescent="0.2">
      <c r="A6" t="s">
        <v>448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510CB-EEFA-BF4D-BABE-219ABC21A60E}">
  <dimension ref="A1:C864"/>
  <sheetViews>
    <sheetView workbookViewId="0"/>
  </sheetViews>
  <sheetFormatPr baseColWidth="10" defaultRowHeight="15" x14ac:dyDescent="0.2"/>
  <cols>
    <col min="1" max="1" width="41" bestFit="1" customWidth="1"/>
    <col min="2" max="2" width="17.6640625" bestFit="1" customWidth="1"/>
    <col min="3" max="3" width="11.33203125" bestFit="1" customWidth="1"/>
  </cols>
  <sheetData>
    <row r="1" spans="1:3" x14ac:dyDescent="0.2">
      <c r="A1" t="s">
        <v>598</v>
      </c>
      <c r="B1" t="s">
        <v>397</v>
      </c>
      <c r="C1" t="s">
        <v>689</v>
      </c>
    </row>
    <row r="2" spans="1:3" x14ac:dyDescent="0.2">
      <c r="A2" s="70" t="s">
        <v>438</v>
      </c>
      <c r="B2" t="s">
        <v>1031</v>
      </c>
      <c r="C2" t="s">
        <v>691</v>
      </c>
    </row>
    <row r="3" spans="1:3" x14ac:dyDescent="0.2">
      <c r="A3" s="70" t="s">
        <v>438</v>
      </c>
      <c r="B3" t="s">
        <v>690</v>
      </c>
      <c r="C3" t="s">
        <v>691</v>
      </c>
    </row>
    <row r="4" spans="1:3" x14ac:dyDescent="0.2">
      <c r="A4" s="70" t="s">
        <v>438</v>
      </c>
      <c r="B4" t="s">
        <v>692</v>
      </c>
      <c r="C4" t="s">
        <v>691</v>
      </c>
    </row>
    <row r="5" spans="1:3" x14ac:dyDescent="0.2">
      <c r="A5" s="70" t="s">
        <v>438</v>
      </c>
      <c r="B5" t="s">
        <v>693</v>
      </c>
      <c r="C5" t="s">
        <v>691</v>
      </c>
    </row>
    <row r="6" spans="1:3" x14ac:dyDescent="0.2">
      <c r="A6" s="70" t="s">
        <v>438</v>
      </c>
      <c r="B6" t="s">
        <v>694</v>
      </c>
      <c r="C6" t="s">
        <v>691</v>
      </c>
    </row>
    <row r="7" spans="1:3" x14ac:dyDescent="0.2">
      <c r="A7" s="70" t="s">
        <v>438</v>
      </c>
      <c r="B7" t="s">
        <v>1032</v>
      </c>
      <c r="C7" t="s">
        <v>691</v>
      </c>
    </row>
    <row r="8" spans="1:3" x14ac:dyDescent="0.2">
      <c r="A8" s="70" t="s">
        <v>438</v>
      </c>
      <c r="B8" t="s">
        <v>1033</v>
      </c>
      <c r="C8" t="s">
        <v>691</v>
      </c>
    </row>
    <row r="9" spans="1:3" x14ac:dyDescent="0.2">
      <c r="A9" s="70" t="s">
        <v>438</v>
      </c>
      <c r="B9" t="s">
        <v>1034</v>
      </c>
      <c r="C9" t="s">
        <v>691</v>
      </c>
    </row>
    <row r="10" spans="1:3" x14ac:dyDescent="0.2">
      <c r="A10" s="70" t="s">
        <v>438</v>
      </c>
      <c r="B10" t="s">
        <v>695</v>
      </c>
      <c r="C10" t="s">
        <v>691</v>
      </c>
    </row>
    <row r="11" spans="1:3" x14ac:dyDescent="0.2">
      <c r="A11" s="70" t="s">
        <v>438</v>
      </c>
      <c r="B11" t="s">
        <v>1035</v>
      </c>
      <c r="C11" t="s">
        <v>691</v>
      </c>
    </row>
    <row r="12" spans="1:3" x14ac:dyDescent="0.2">
      <c r="A12" s="70" t="s">
        <v>438</v>
      </c>
      <c r="B12" t="s">
        <v>1036</v>
      </c>
      <c r="C12" t="s">
        <v>691</v>
      </c>
    </row>
    <row r="13" spans="1:3" x14ac:dyDescent="0.2">
      <c r="A13" s="70" t="s">
        <v>438</v>
      </c>
      <c r="B13" t="s">
        <v>696</v>
      </c>
      <c r="C13" t="s">
        <v>691</v>
      </c>
    </row>
    <row r="14" spans="1:3" x14ac:dyDescent="0.2">
      <c r="A14" s="70" t="s">
        <v>438</v>
      </c>
      <c r="B14" t="s">
        <v>697</v>
      </c>
      <c r="C14" t="s">
        <v>691</v>
      </c>
    </row>
    <row r="15" spans="1:3" x14ac:dyDescent="0.2">
      <c r="A15" s="70" t="s">
        <v>438</v>
      </c>
      <c r="B15" t="s">
        <v>698</v>
      </c>
      <c r="C15" t="s">
        <v>691</v>
      </c>
    </row>
    <row r="16" spans="1:3" x14ac:dyDescent="0.2">
      <c r="A16" s="70" t="s">
        <v>438</v>
      </c>
      <c r="B16" t="s">
        <v>699</v>
      </c>
      <c r="C16" t="s">
        <v>691</v>
      </c>
    </row>
    <row r="17" spans="1:3" x14ac:dyDescent="0.2">
      <c r="A17" s="70" t="s">
        <v>438</v>
      </c>
      <c r="B17" t="s">
        <v>1037</v>
      </c>
      <c r="C17" t="s">
        <v>691</v>
      </c>
    </row>
    <row r="18" spans="1:3" x14ac:dyDescent="0.2">
      <c r="A18" s="70" t="s">
        <v>438</v>
      </c>
      <c r="B18" t="s">
        <v>1038</v>
      </c>
      <c r="C18" t="s">
        <v>691</v>
      </c>
    </row>
    <row r="19" spans="1:3" x14ac:dyDescent="0.2">
      <c r="A19" s="70" t="s">
        <v>438</v>
      </c>
      <c r="B19" t="s">
        <v>1039</v>
      </c>
      <c r="C19" t="s">
        <v>691</v>
      </c>
    </row>
    <row r="20" spans="1:3" x14ac:dyDescent="0.2">
      <c r="A20" s="70" t="s">
        <v>438</v>
      </c>
      <c r="B20" t="s">
        <v>700</v>
      </c>
      <c r="C20" t="s">
        <v>691</v>
      </c>
    </row>
    <row r="21" spans="1:3" x14ac:dyDescent="0.2">
      <c r="A21" s="70" t="s">
        <v>438</v>
      </c>
      <c r="B21" t="s">
        <v>1040</v>
      </c>
      <c r="C21" t="s">
        <v>691</v>
      </c>
    </row>
    <row r="22" spans="1:3" x14ac:dyDescent="0.2">
      <c r="A22" s="70" t="s">
        <v>438</v>
      </c>
      <c r="B22" t="s">
        <v>1041</v>
      </c>
      <c r="C22" t="s">
        <v>691</v>
      </c>
    </row>
    <row r="23" spans="1:3" x14ac:dyDescent="0.2">
      <c r="A23" s="70" t="s">
        <v>438</v>
      </c>
      <c r="B23" t="s">
        <v>701</v>
      </c>
      <c r="C23" t="s">
        <v>691</v>
      </c>
    </row>
    <row r="24" spans="1:3" x14ac:dyDescent="0.2">
      <c r="A24" s="70" t="s">
        <v>438</v>
      </c>
      <c r="B24" t="s">
        <v>702</v>
      </c>
      <c r="C24" t="s">
        <v>691</v>
      </c>
    </row>
    <row r="25" spans="1:3" x14ac:dyDescent="0.2">
      <c r="A25" s="70" t="s">
        <v>438</v>
      </c>
      <c r="B25" t="s">
        <v>703</v>
      </c>
      <c r="C25" t="s">
        <v>691</v>
      </c>
    </row>
    <row r="26" spans="1:3" x14ac:dyDescent="0.2">
      <c r="A26" s="70" t="s">
        <v>438</v>
      </c>
      <c r="B26" t="s">
        <v>704</v>
      </c>
      <c r="C26" t="s">
        <v>691</v>
      </c>
    </row>
    <row r="27" spans="1:3" x14ac:dyDescent="0.2">
      <c r="A27" s="70" t="s">
        <v>438</v>
      </c>
      <c r="B27" t="s">
        <v>1042</v>
      </c>
      <c r="C27" t="s">
        <v>691</v>
      </c>
    </row>
    <row r="28" spans="1:3" x14ac:dyDescent="0.2">
      <c r="A28" s="70" t="s">
        <v>438</v>
      </c>
      <c r="B28" t="s">
        <v>1043</v>
      </c>
      <c r="C28" t="s">
        <v>691</v>
      </c>
    </row>
    <row r="29" spans="1:3" x14ac:dyDescent="0.2">
      <c r="A29" s="70" t="s">
        <v>438</v>
      </c>
      <c r="B29" t="s">
        <v>1044</v>
      </c>
      <c r="C29" t="s">
        <v>691</v>
      </c>
    </row>
    <row r="30" spans="1:3" x14ac:dyDescent="0.2">
      <c r="A30" s="70" t="s">
        <v>438</v>
      </c>
      <c r="B30" t="s">
        <v>705</v>
      </c>
      <c r="C30" t="s">
        <v>691</v>
      </c>
    </row>
    <row r="31" spans="1:3" x14ac:dyDescent="0.2">
      <c r="A31" s="70" t="s">
        <v>438</v>
      </c>
      <c r="B31" t="s">
        <v>1045</v>
      </c>
      <c r="C31" t="s">
        <v>691</v>
      </c>
    </row>
    <row r="32" spans="1:3" x14ac:dyDescent="0.2">
      <c r="A32" s="70" t="s">
        <v>438</v>
      </c>
      <c r="B32" t="s">
        <v>1046</v>
      </c>
      <c r="C32" t="s">
        <v>691</v>
      </c>
    </row>
    <row r="33" spans="1:3" x14ac:dyDescent="0.2">
      <c r="A33" s="70" t="s">
        <v>438</v>
      </c>
      <c r="B33" t="s">
        <v>706</v>
      </c>
      <c r="C33" t="s">
        <v>691</v>
      </c>
    </row>
    <row r="34" spans="1:3" x14ac:dyDescent="0.2">
      <c r="A34" s="70" t="s">
        <v>438</v>
      </c>
      <c r="B34" t="s">
        <v>707</v>
      </c>
      <c r="C34" t="s">
        <v>691</v>
      </c>
    </row>
    <row r="35" spans="1:3" x14ac:dyDescent="0.2">
      <c r="A35" s="70" t="s">
        <v>438</v>
      </c>
      <c r="B35" t="s">
        <v>708</v>
      </c>
      <c r="C35" t="s">
        <v>691</v>
      </c>
    </row>
    <row r="36" spans="1:3" x14ac:dyDescent="0.2">
      <c r="A36" s="70" t="s">
        <v>438</v>
      </c>
      <c r="B36" t="s">
        <v>709</v>
      </c>
      <c r="C36" t="s">
        <v>691</v>
      </c>
    </row>
    <row r="37" spans="1:3" x14ac:dyDescent="0.2">
      <c r="A37" s="70" t="s">
        <v>438</v>
      </c>
      <c r="B37" t="s">
        <v>1047</v>
      </c>
      <c r="C37" t="s">
        <v>691</v>
      </c>
    </row>
    <row r="38" spans="1:3" x14ac:dyDescent="0.2">
      <c r="A38" s="70" t="s">
        <v>438</v>
      </c>
      <c r="B38" t="s">
        <v>1048</v>
      </c>
      <c r="C38" t="s">
        <v>691</v>
      </c>
    </row>
    <row r="39" spans="1:3" x14ac:dyDescent="0.2">
      <c r="A39" s="70" t="s">
        <v>438</v>
      </c>
      <c r="B39" t="s">
        <v>1049</v>
      </c>
      <c r="C39" t="s">
        <v>691</v>
      </c>
    </row>
    <row r="40" spans="1:3" x14ac:dyDescent="0.2">
      <c r="A40" s="70" t="s">
        <v>438</v>
      </c>
      <c r="B40" t="s">
        <v>710</v>
      </c>
      <c r="C40" t="s">
        <v>691</v>
      </c>
    </row>
    <row r="41" spans="1:3" x14ac:dyDescent="0.2">
      <c r="A41" s="70" t="s">
        <v>438</v>
      </c>
      <c r="B41" t="s">
        <v>1050</v>
      </c>
      <c r="C41" t="s">
        <v>691</v>
      </c>
    </row>
    <row r="42" spans="1:3" x14ac:dyDescent="0.2">
      <c r="A42" s="70" t="s">
        <v>438</v>
      </c>
      <c r="B42" t="s">
        <v>1051</v>
      </c>
      <c r="C42" t="s">
        <v>691</v>
      </c>
    </row>
    <row r="43" spans="1:3" x14ac:dyDescent="0.2">
      <c r="A43" s="70" t="s">
        <v>438</v>
      </c>
      <c r="B43" t="s">
        <v>711</v>
      </c>
      <c r="C43" t="s">
        <v>691</v>
      </c>
    </row>
    <row r="44" spans="1:3" x14ac:dyDescent="0.2">
      <c r="A44" s="70" t="s">
        <v>438</v>
      </c>
      <c r="B44" t="s">
        <v>712</v>
      </c>
      <c r="C44" t="s">
        <v>691</v>
      </c>
    </row>
    <row r="45" spans="1:3" x14ac:dyDescent="0.2">
      <c r="A45" s="70" t="s">
        <v>438</v>
      </c>
      <c r="B45" t="s">
        <v>713</v>
      </c>
      <c r="C45" t="s">
        <v>691</v>
      </c>
    </row>
    <row r="46" spans="1:3" x14ac:dyDescent="0.2">
      <c r="A46" s="70" t="s">
        <v>438</v>
      </c>
      <c r="B46" t="s">
        <v>714</v>
      </c>
      <c r="C46" t="s">
        <v>691</v>
      </c>
    </row>
    <row r="47" spans="1:3" x14ac:dyDescent="0.2">
      <c r="A47" s="70" t="s">
        <v>438</v>
      </c>
      <c r="B47" t="s">
        <v>1052</v>
      </c>
      <c r="C47" t="s">
        <v>691</v>
      </c>
    </row>
    <row r="48" spans="1:3" x14ac:dyDescent="0.2">
      <c r="A48" s="70" t="s">
        <v>438</v>
      </c>
      <c r="B48" t="s">
        <v>1053</v>
      </c>
      <c r="C48" t="s">
        <v>691</v>
      </c>
    </row>
    <row r="49" spans="1:3" x14ac:dyDescent="0.2">
      <c r="A49" s="70" t="s">
        <v>438</v>
      </c>
      <c r="B49" t="s">
        <v>1054</v>
      </c>
      <c r="C49" t="s">
        <v>691</v>
      </c>
    </row>
    <row r="50" spans="1:3" x14ac:dyDescent="0.2">
      <c r="A50" s="70" t="s">
        <v>438</v>
      </c>
      <c r="B50" t="s">
        <v>715</v>
      </c>
      <c r="C50" t="s">
        <v>691</v>
      </c>
    </row>
    <row r="51" spans="1:3" x14ac:dyDescent="0.2">
      <c r="A51" s="70" t="s">
        <v>438</v>
      </c>
      <c r="B51" t="s">
        <v>1055</v>
      </c>
      <c r="C51" t="s">
        <v>691</v>
      </c>
    </row>
    <row r="52" spans="1:3" x14ac:dyDescent="0.2">
      <c r="A52" s="70" t="s">
        <v>438</v>
      </c>
      <c r="B52" t="s">
        <v>1056</v>
      </c>
      <c r="C52" t="s">
        <v>691</v>
      </c>
    </row>
    <row r="53" spans="1:3" x14ac:dyDescent="0.2">
      <c r="A53" s="70" t="s">
        <v>438</v>
      </c>
      <c r="B53" t="s">
        <v>716</v>
      </c>
      <c r="C53" t="s">
        <v>691</v>
      </c>
    </row>
    <row r="54" spans="1:3" x14ac:dyDescent="0.2">
      <c r="A54" s="70" t="s">
        <v>438</v>
      </c>
      <c r="B54" t="s">
        <v>717</v>
      </c>
      <c r="C54" t="s">
        <v>691</v>
      </c>
    </row>
    <row r="55" spans="1:3" x14ac:dyDescent="0.2">
      <c r="A55" s="70" t="s">
        <v>438</v>
      </c>
      <c r="B55" t="s">
        <v>718</v>
      </c>
      <c r="C55" t="s">
        <v>691</v>
      </c>
    </row>
    <row r="56" spans="1:3" x14ac:dyDescent="0.2">
      <c r="A56" s="70" t="s">
        <v>438</v>
      </c>
      <c r="B56" t="s">
        <v>719</v>
      </c>
      <c r="C56" t="s">
        <v>691</v>
      </c>
    </row>
    <row r="57" spans="1:3" x14ac:dyDescent="0.2">
      <c r="A57" s="70" t="s">
        <v>438</v>
      </c>
      <c r="B57" t="s">
        <v>1057</v>
      </c>
      <c r="C57" t="s">
        <v>691</v>
      </c>
    </row>
    <row r="58" spans="1:3" x14ac:dyDescent="0.2">
      <c r="A58" s="70" t="s">
        <v>438</v>
      </c>
      <c r="B58" t="s">
        <v>1058</v>
      </c>
      <c r="C58" t="s">
        <v>691</v>
      </c>
    </row>
    <row r="59" spans="1:3" x14ac:dyDescent="0.2">
      <c r="A59" s="70" t="s">
        <v>438</v>
      </c>
      <c r="B59" t="s">
        <v>1059</v>
      </c>
      <c r="C59" t="s">
        <v>691</v>
      </c>
    </row>
    <row r="60" spans="1:3" x14ac:dyDescent="0.2">
      <c r="A60" s="70" t="s">
        <v>438</v>
      </c>
      <c r="B60" t="s">
        <v>720</v>
      </c>
      <c r="C60" t="s">
        <v>691</v>
      </c>
    </row>
    <row r="61" spans="1:3" x14ac:dyDescent="0.2">
      <c r="A61" s="70" t="s">
        <v>438</v>
      </c>
      <c r="B61" t="s">
        <v>1060</v>
      </c>
      <c r="C61" t="s">
        <v>691</v>
      </c>
    </row>
    <row r="62" spans="1:3" x14ac:dyDescent="0.2">
      <c r="A62" s="70" t="s">
        <v>438</v>
      </c>
      <c r="B62" t="s">
        <v>1061</v>
      </c>
      <c r="C62" t="s">
        <v>691</v>
      </c>
    </row>
    <row r="63" spans="1:3" x14ac:dyDescent="0.2">
      <c r="A63" s="70" t="s">
        <v>438</v>
      </c>
      <c r="B63" t="s">
        <v>721</v>
      </c>
      <c r="C63" t="s">
        <v>691</v>
      </c>
    </row>
    <row r="64" spans="1:3" x14ac:dyDescent="0.2">
      <c r="A64" s="70" t="s">
        <v>438</v>
      </c>
      <c r="B64" t="s">
        <v>722</v>
      </c>
      <c r="C64" t="s">
        <v>691</v>
      </c>
    </row>
    <row r="65" spans="1:3" x14ac:dyDescent="0.2">
      <c r="A65" s="70" t="s">
        <v>438</v>
      </c>
      <c r="B65" t="s">
        <v>723</v>
      </c>
      <c r="C65" t="s">
        <v>691</v>
      </c>
    </row>
    <row r="66" spans="1:3" x14ac:dyDescent="0.2">
      <c r="A66" s="70" t="s">
        <v>438</v>
      </c>
      <c r="B66" t="s">
        <v>724</v>
      </c>
      <c r="C66" t="s">
        <v>691</v>
      </c>
    </row>
    <row r="67" spans="1:3" x14ac:dyDescent="0.2">
      <c r="A67" s="70" t="s">
        <v>438</v>
      </c>
      <c r="B67" t="s">
        <v>1062</v>
      </c>
      <c r="C67" t="s">
        <v>691</v>
      </c>
    </row>
    <row r="68" spans="1:3" x14ac:dyDescent="0.2">
      <c r="A68" s="70" t="s">
        <v>438</v>
      </c>
      <c r="B68" t="s">
        <v>1063</v>
      </c>
      <c r="C68" t="s">
        <v>691</v>
      </c>
    </row>
    <row r="69" spans="1:3" x14ac:dyDescent="0.2">
      <c r="A69" s="70" t="s">
        <v>438</v>
      </c>
      <c r="B69" t="s">
        <v>1064</v>
      </c>
      <c r="C69" t="s">
        <v>691</v>
      </c>
    </row>
    <row r="70" spans="1:3" x14ac:dyDescent="0.2">
      <c r="A70" s="70" t="s">
        <v>438</v>
      </c>
      <c r="B70" t="s">
        <v>725</v>
      </c>
      <c r="C70" t="s">
        <v>691</v>
      </c>
    </row>
    <row r="71" spans="1:3" x14ac:dyDescent="0.2">
      <c r="A71" s="70" t="s">
        <v>438</v>
      </c>
      <c r="B71" t="s">
        <v>1065</v>
      </c>
      <c r="C71" t="s">
        <v>691</v>
      </c>
    </row>
    <row r="72" spans="1:3" x14ac:dyDescent="0.2">
      <c r="A72" s="70" t="s">
        <v>438</v>
      </c>
      <c r="B72" t="s">
        <v>1066</v>
      </c>
      <c r="C72" t="s">
        <v>691</v>
      </c>
    </row>
    <row r="73" spans="1:3" x14ac:dyDescent="0.2">
      <c r="A73" s="70" t="s">
        <v>438</v>
      </c>
      <c r="B73" t="s">
        <v>726</v>
      </c>
      <c r="C73" t="s">
        <v>691</v>
      </c>
    </row>
    <row r="74" spans="1:3" x14ac:dyDescent="0.2">
      <c r="A74" s="70" t="s">
        <v>438</v>
      </c>
      <c r="B74" t="s">
        <v>727</v>
      </c>
      <c r="C74" t="s">
        <v>691</v>
      </c>
    </row>
    <row r="75" spans="1:3" x14ac:dyDescent="0.2">
      <c r="A75" s="70" t="s">
        <v>438</v>
      </c>
      <c r="B75" t="s">
        <v>728</v>
      </c>
      <c r="C75" t="s">
        <v>691</v>
      </c>
    </row>
    <row r="76" spans="1:3" x14ac:dyDescent="0.2">
      <c r="A76" s="70" t="s">
        <v>438</v>
      </c>
      <c r="B76" t="s">
        <v>729</v>
      </c>
      <c r="C76" t="s">
        <v>691</v>
      </c>
    </row>
    <row r="77" spans="1:3" x14ac:dyDescent="0.2">
      <c r="A77" s="70" t="s">
        <v>438</v>
      </c>
      <c r="B77" t="s">
        <v>1067</v>
      </c>
      <c r="C77" t="s">
        <v>691</v>
      </c>
    </row>
    <row r="78" spans="1:3" x14ac:dyDescent="0.2">
      <c r="A78" s="70" t="s">
        <v>438</v>
      </c>
      <c r="B78" t="s">
        <v>1068</v>
      </c>
      <c r="C78" t="s">
        <v>691</v>
      </c>
    </row>
    <row r="79" spans="1:3" x14ac:dyDescent="0.2">
      <c r="A79" s="70" t="s">
        <v>438</v>
      </c>
      <c r="B79" t="s">
        <v>1069</v>
      </c>
      <c r="C79" t="s">
        <v>691</v>
      </c>
    </row>
    <row r="80" spans="1:3" x14ac:dyDescent="0.2">
      <c r="A80" s="70" t="s">
        <v>438</v>
      </c>
      <c r="B80" t="s">
        <v>730</v>
      </c>
      <c r="C80" t="s">
        <v>691</v>
      </c>
    </row>
    <row r="81" spans="1:3" x14ac:dyDescent="0.2">
      <c r="A81" s="70" t="s">
        <v>438</v>
      </c>
      <c r="B81" t="s">
        <v>1070</v>
      </c>
      <c r="C81" t="s">
        <v>691</v>
      </c>
    </row>
    <row r="82" spans="1:3" x14ac:dyDescent="0.2">
      <c r="A82" s="70" t="s">
        <v>438</v>
      </c>
      <c r="B82" t="s">
        <v>1071</v>
      </c>
      <c r="C82" t="s">
        <v>691</v>
      </c>
    </row>
    <row r="83" spans="1:3" x14ac:dyDescent="0.2">
      <c r="A83" s="70" t="s">
        <v>438</v>
      </c>
      <c r="B83" t="s">
        <v>731</v>
      </c>
      <c r="C83" t="s">
        <v>691</v>
      </c>
    </row>
    <row r="84" spans="1:3" x14ac:dyDescent="0.2">
      <c r="A84" s="70" t="s">
        <v>438</v>
      </c>
      <c r="B84" t="s">
        <v>732</v>
      </c>
      <c r="C84" t="s">
        <v>691</v>
      </c>
    </row>
    <row r="85" spans="1:3" x14ac:dyDescent="0.2">
      <c r="A85" s="70" t="s">
        <v>438</v>
      </c>
      <c r="B85" t="s">
        <v>733</v>
      </c>
      <c r="C85" t="s">
        <v>691</v>
      </c>
    </row>
    <row r="86" spans="1:3" x14ac:dyDescent="0.2">
      <c r="A86" s="70" t="s">
        <v>438</v>
      </c>
      <c r="B86" t="s">
        <v>734</v>
      </c>
      <c r="C86" t="s">
        <v>691</v>
      </c>
    </row>
    <row r="87" spans="1:3" x14ac:dyDescent="0.2">
      <c r="A87" s="70" t="s">
        <v>438</v>
      </c>
      <c r="B87" t="s">
        <v>1072</v>
      </c>
      <c r="C87" t="s">
        <v>691</v>
      </c>
    </row>
    <row r="88" spans="1:3" x14ac:dyDescent="0.2">
      <c r="A88" s="70" t="s">
        <v>438</v>
      </c>
      <c r="B88" t="s">
        <v>1073</v>
      </c>
      <c r="C88" t="s">
        <v>691</v>
      </c>
    </row>
    <row r="89" spans="1:3" x14ac:dyDescent="0.2">
      <c r="A89" s="70" t="s">
        <v>438</v>
      </c>
      <c r="B89" t="s">
        <v>1074</v>
      </c>
      <c r="C89" t="s">
        <v>691</v>
      </c>
    </row>
    <row r="90" spans="1:3" x14ac:dyDescent="0.2">
      <c r="A90" s="70" t="s">
        <v>438</v>
      </c>
      <c r="B90" t="s">
        <v>735</v>
      </c>
      <c r="C90" t="s">
        <v>691</v>
      </c>
    </row>
    <row r="91" spans="1:3" x14ac:dyDescent="0.2">
      <c r="A91" s="70" t="s">
        <v>438</v>
      </c>
      <c r="B91" t="s">
        <v>1075</v>
      </c>
      <c r="C91" t="s">
        <v>691</v>
      </c>
    </row>
    <row r="92" spans="1:3" x14ac:dyDescent="0.2">
      <c r="A92" s="70" t="s">
        <v>438</v>
      </c>
      <c r="B92" t="s">
        <v>1076</v>
      </c>
      <c r="C92" t="s">
        <v>691</v>
      </c>
    </row>
    <row r="93" spans="1:3" x14ac:dyDescent="0.2">
      <c r="A93" s="70" t="s">
        <v>438</v>
      </c>
      <c r="B93" t="s">
        <v>736</v>
      </c>
      <c r="C93" t="s">
        <v>691</v>
      </c>
    </row>
    <row r="94" spans="1:3" x14ac:dyDescent="0.2">
      <c r="A94" s="70" t="s">
        <v>438</v>
      </c>
      <c r="B94" t="s">
        <v>737</v>
      </c>
      <c r="C94" t="s">
        <v>691</v>
      </c>
    </row>
    <row r="95" spans="1:3" x14ac:dyDescent="0.2">
      <c r="A95" s="70" t="s">
        <v>438</v>
      </c>
      <c r="B95" t="s">
        <v>738</v>
      </c>
      <c r="C95" t="s">
        <v>691</v>
      </c>
    </row>
    <row r="96" spans="1:3" x14ac:dyDescent="0.2">
      <c r="A96" s="70" t="s">
        <v>438</v>
      </c>
      <c r="B96" t="s">
        <v>739</v>
      </c>
      <c r="C96" t="s">
        <v>691</v>
      </c>
    </row>
    <row r="97" spans="1:3" x14ac:dyDescent="0.2">
      <c r="A97" s="70" t="s">
        <v>438</v>
      </c>
      <c r="B97" t="s">
        <v>1077</v>
      </c>
      <c r="C97" t="s">
        <v>691</v>
      </c>
    </row>
    <row r="98" spans="1:3" x14ac:dyDescent="0.2">
      <c r="A98" s="70" t="s">
        <v>438</v>
      </c>
      <c r="B98" t="s">
        <v>1078</v>
      </c>
      <c r="C98" t="s">
        <v>691</v>
      </c>
    </row>
    <row r="99" spans="1:3" x14ac:dyDescent="0.2">
      <c r="A99" s="70" t="s">
        <v>438</v>
      </c>
      <c r="B99" t="s">
        <v>1079</v>
      </c>
      <c r="C99" t="s">
        <v>691</v>
      </c>
    </row>
    <row r="100" spans="1:3" x14ac:dyDescent="0.2">
      <c r="A100" s="70" t="s">
        <v>438</v>
      </c>
      <c r="B100" t="s">
        <v>740</v>
      </c>
      <c r="C100" t="s">
        <v>691</v>
      </c>
    </row>
    <row r="101" spans="1:3" x14ac:dyDescent="0.2">
      <c r="A101" s="70" t="s">
        <v>438</v>
      </c>
      <c r="B101" t="s">
        <v>1080</v>
      </c>
      <c r="C101" t="s">
        <v>691</v>
      </c>
    </row>
    <row r="102" spans="1:3" x14ac:dyDescent="0.2">
      <c r="A102" s="70" t="s">
        <v>438</v>
      </c>
      <c r="B102" t="s">
        <v>1081</v>
      </c>
      <c r="C102" t="s">
        <v>691</v>
      </c>
    </row>
    <row r="103" spans="1:3" x14ac:dyDescent="0.2">
      <c r="A103" s="70" t="s">
        <v>438</v>
      </c>
      <c r="B103" t="s">
        <v>741</v>
      </c>
      <c r="C103" t="s">
        <v>691</v>
      </c>
    </row>
    <row r="104" spans="1:3" x14ac:dyDescent="0.2">
      <c r="A104" s="70" t="s">
        <v>438</v>
      </c>
      <c r="B104" t="s">
        <v>742</v>
      </c>
      <c r="C104" t="s">
        <v>691</v>
      </c>
    </row>
    <row r="105" spans="1:3" x14ac:dyDescent="0.2">
      <c r="A105" s="70" t="s">
        <v>438</v>
      </c>
      <c r="B105" t="s">
        <v>743</v>
      </c>
      <c r="C105" t="s">
        <v>691</v>
      </c>
    </row>
    <row r="106" spans="1:3" x14ac:dyDescent="0.2">
      <c r="A106" s="70" t="s">
        <v>438</v>
      </c>
      <c r="B106" t="s">
        <v>744</v>
      </c>
      <c r="C106" t="s">
        <v>691</v>
      </c>
    </row>
    <row r="107" spans="1:3" x14ac:dyDescent="0.2">
      <c r="A107" s="70" t="s">
        <v>438</v>
      </c>
      <c r="B107" t="s">
        <v>1082</v>
      </c>
      <c r="C107" t="s">
        <v>691</v>
      </c>
    </row>
    <row r="108" spans="1:3" x14ac:dyDescent="0.2">
      <c r="A108" s="70" t="s">
        <v>438</v>
      </c>
      <c r="B108" t="s">
        <v>1083</v>
      </c>
      <c r="C108" t="s">
        <v>691</v>
      </c>
    </row>
    <row r="109" spans="1:3" x14ac:dyDescent="0.2">
      <c r="A109" s="70" t="s">
        <v>438</v>
      </c>
      <c r="B109" t="s">
        <v>1084</v>
      </c>
      <c r="C109" t="s">
        <v>691</v>
      </c>
    </row>
    <row r="110" spans="1:3" x14ac:dyDescent="0.2">
      <c r="A110" s="70" t="s">
        <v>438</v>
      </c>
      <c r="B110" t="s">
        <v>745</v>
      </c>
      <c r="C110" t="s">
        <v>691</v>
      </c>
    </row>
    <row r="111" spans="1:3" x14ac:dyDescent="0.2">
      <c r="A111" s="70" t="s">
        <v>438</v>
      </c>
      <c r="B111" t="s">
        <v>1085</v>
      </c>
      <c r="C111" t="s">
        <v>691</v>
      </c>
    </row>
    <row r="112" spans="1:3" x14ac:dyDescent="0.2">
      <c r="A112" s="70" t="s">
        <v>438</v>
      </c>
      <c r="B112" t="s">
        <v>1086</v>
      </c>
      <c r="C112" t="s">
        <v>691</v>
      </c>
    </row>
    <row r="113" spans="1:3" x14ac:dyDescent="0.2">
      <c r="A113" s="70" t="s">
        <v>438</v>
      </c>
      <c r="B113" t="s">
        <v>746</v>
      </c>
      <c r="C113" t="s">
        <v>691</v>
      </c>
    </row>
    <row r="114" spans="1:3" x14ac:dyDescent="0.2">
      <c r="A114" s="70" t="s">
        <v>438</v>
      </c>
      <c r="B114" t="s">
        <v>748</v>
      </c>
      <c r="C114" t="s">
        <v>691</v>
      </c>
    </row>
    <row r="115" spans="1:3" x14ac:dyDescent="0.2">
      <c r="A115" s="70" t="s">
        <v>438</v>
      </c>
      <c r="B115" t="s">
        <v>749</v>
      </c>
      <c r="C115" t="s">
        <v>691</v>
      </c>
    </row>
    <row r="116" spans="1:3" x14ac:dyDescent="0.2">
      <c r="A116" s="70" t="s">
        <v>438</v>
      </c>
      <c r="B116" t="s">
        <v>750</v>
      </c>
      <c r="C116" t="s">
        <v>691</v>
      </c>
    </row>
    <row r="117" spans="1:3" x14ac:dyDescent="0.2">
      <c r="A117" s="70" t="s">
        <v>438</v>
      </c>
      <c r="B117" t="s">
        <v>1087</v>
      </c>
      <c r="C117" t="s">
        <v>691</v>
      </c>
    </row>
    <row r="118" spans="1:3" x14ac:dyDescent="0.2">
      <c r="A118" s="70" t="s">
        <v>438</v>
      </c>
      <c r="B118" t="s">
        <v>1088</v>
      </c>
      <c r="C118" t="s">
        <v>691</v>
      </c>
    </row>
    <row r="119" spans="1:3" x14ac:dyDescent="0.2">
      <c r="A119" s="70" t="s">
        <v>438</v>
      </c>
      <c r="B119" t="s">
        <v>1089</v>
      </c>
      <c r="C119" t="s">
        <v>691</v>
      </c>
    </row>
    <row r="120" spans="1:3" x14ac:dyDescent="0.2">
      <c r="A120" s="70" t="s">
        <v>438</v>
      </c>
      <c r="B120" t="s">
        <v>751</v>
      </c>
      <c r="C120" t="s">
        <v>691</v>
      </c>
    </row>
    <row r="121" spans="1:3" x14ac:dyDescent="0.2">
      <c r="A121" s="70" t="s">
        <v>438</v>
      </c>
      <c r="B121" t="s">
        <v>1090</v>
      </c>
      <c r="C121" t="s">
        <v>691</v>
      </c>
    </row>
    <row r="122" spans="1:3" x14ac:dyDescent="0.2">
      <c r="A122" s="70" t="s">
        <v>438</v>
      </c>
      <c r="B122" t="s">
        <v>1091</v>
      </c>
      <c r="C122" t="s">
        <v>691</v>
      </c>
    </row>
    <row r="123" spans="1:3" x14ac:dyDescent="0.2">
      <c r="A123" s="70" t="s">
        <v>438</v>
      </c>
      <c r="B123" t="s">
        <v>752</v>
      </c>
      <c r="C123" t="s">
        <v>691</v>
      </c>
    </row>
    <row r="124" spans="1:3" x14ac:dyDescent="0.2">
      <c r="A124" s="70" t="s">
        <v>438</v>
      </c>
      <c r="B124" t="s">
        <v>754</v>
      </c>
      <c r="C124" t="s">
        <v>691</v>
      </c>
    </row>
    <row r="125" spans="1:3" x14ac:dyDescent="0.2">
      <c r="A125" s="70" t="s">
        <v>438</v>
      </c>
      <c r="B125" t="s">
        <v>755</v>
      </c>
      <c r="C125" t="s">
        <v>691</v>
      </c>
    </row>
    <row r="126" spans="1:3" x14ac:dyDescent="0.2">
      <c r="A126" s="70" t="s">
        <v>438</v>
      </c>
      <c r="B126" t="s">
        <v>756</v>
      </c>
      <c r="C126" t="s">
        <v>691</v>
      </c>
    </row>
    <row r="127" spans="1:3" x14ac:dyDescent="0.2">
      <c r="A127" s="70" t="s">
        <v>438</v>
      </c>
      <c r="B127" t="s">
        <v>1092</v>
      </c>
      <c r="C127" t="s">
        <v>691</v>
      </c>
    </row>
    <row r="128" spans="1:3" x14ac:dyDescent="0.2">
      <c r="A128" s="70" t="s">
        <v>438</v>
      </c>
      <c r="B128" t="s">
        <v>1093</v>
      </c>
      <c r="C128" t="s">
        <v>691</v>
      </c>
    </row>
    <row r="129" spans="1:3" x14ac:dyDescent="0.2">
      <c r="A129" s="70" t="s">
        <v>438</v>
      </c>
      <c r="B129" t="s">
        <v>1094</v>
      </c>
      <c r="C129" t="s">
        <v>691</v>
      </c>
    </row>
    <row r="130" spans="1:3" x14ac:dyDescent="0.2">
      <c r="A130" s="70" t="s">
        <v>438</v>
      </c>
      <c r="B130" t="s">
        <v>757</v>
      </c>
      <c r="C130" t="s">
        <v>691</v>
      </c>
    </row>
    <row r="131" spans="1:3" x14ac:dyDescent="0.2">
      <c r="A131" s="70" t="s">
        <v>438</v>
      </c>
      <c r="B131" t="s">
        <v>1095</v>
      </c>
      <c r="C131" t="s">
        <v>691</v>
      </c>
    </row>
    <row r="132" spans="1:3" x14ac:dyDescent="0.2">
      <c r="A132" s="70" t="s">
        <v>438</v>
      </c>
      <c r="B132" t="s">
        <v>1096</v>
      </c>
      <c r="C132" t="s">
        <v>691</v>
      </c>
    </row>
    <row r="133" spans="1:3" x14ac:dyDescent="0.2">
      <c r="A133" s="70" t="s">
        <v>438</v>
      </c>
      <c r="B133" t="s">
        <v>758</v>
      </c>
      <c r="C133" t="s">
        <v>691</v>
      </c>
    </row>
    <row r="134" spans="1:3" x14ac:dyDescent="0.2">
      <c r="A134" s="70" t="s">
        <v>440</v>
      </c>
      <c r="B134" t="s">
        <v>1097</v>
      </c>
      <c r="C134" t="s">
        <v>691</v>
      </c>
    </row>
    <row r="135" spans="1:3" x14ac:dyDescent="0.2">
      <c r="A135" s="70" t="s">
        <v>440</v>
      </c>
      <c r="B135" t="s">
        <v>760</v>
      </c>
      <c r="C135" t="s">
        <v>691</v>
      </c>
    </row>
    <row r="136" spans="1:3" x14ac:dyDescent="0.2">
      <c r="A136" s="70" t="s">
        <v>440</v>
      </c>
      <c r="B136" t="s">
        <v>761</v>
      </c>
      <c r="C136" t="s">
        <v>691</v>
      </c>
    </row>
    <row r="137" spans="1:3" x14ac:dyDescent="0.2">
      <c r="A137" s="70" t="s">
        <v>440</v>
      </c>
      <c r="B137" t="s">
        <v>762</v>
      </c>
      <c r="C137" t="s">
        <v>691</v>
      </c>
    </row>
    <row r="138" spans="1:3" x14ac:dyDescent="0.2">
      <c r="A138" s="70" t="s">
        <v>440</v>
      </c>
      <c r="B138" t="s">
        <v>763</v>
      </c>
      <c r="C138" t="s">
        <v>691</v>
      </c>
    </row>
    <row r="139" spans="1:3" x14ac:dyDescent="0.2">
      <c r="A139" s="70" t="s">
        <v>440</v>
      </c>
      <c r="B139" t="s">
        <v>1098</v>
      </c>
      <c r="C139" t="s">
        <v>691</v>
      </c>
    </row>
    <row r="140" spans="1:3" x14ac:dyDescent="0.2">
      <c r="A140" s="70" t="s">
        <v>440</v>
      </c>
      <c r="B140" t="s">
        <v>1099</v>
      </c>
      <c r="C140" t="s">
        <v>691</v>
      </c>
    </row>
    <row r="141" spans="1:3" x14ac:dyDescent="0.2">
      <c r="A141" s="70" t="s">
        <v>440</v>
      </c>
      <c r="B141" t="s">
        <v>1100</v>
      </c>
      <c r="C141" t="s">
        <v>691</v>
      </c>
    </row>
    <row r="142" spans="1:3" x14ac:dyDescent="0.2">
      <c r="A142" s="70" t="s">
        <v>440</v>
      </c>
      <c r="B142" t="s">
        <v>764</v>
      </c>
      <c r="C142" t="s">
        <v>691</v>
      </c>
    </row>
    <row r="143" spans="1:3" x14ac:dyDescent="0.2">
      <c r="A143" s="70" t="s">
        <v>440</v>
      </c>
      <c r="B143" t="s">
        <v>1101</v>
      </c>
      <c r="C143" t="s">
        <v>691</v>
      </c>
    </row>
    <row r="144" spans="1:3" x14ac:dyDescent="0.2">
      <c r="A144" s="70" t="s">
        <v>440</v>
      </c>
      <c r="B144" t="s">
        <v>1031</v>
      </c>
      <c r="C144" t="s">
        <v>691</v>
      </c>
    </row>
    <row r="145" spans="1:3" x14ac:dyDescent="0.2">
      <c r="A145" s="70" t="s">
        <v>440</v>
      </c>
      <c r="B145" t="s">
        <v>690</v>
      </c>
      <c r="C145" t="s">
        <v>691</v>
      </c>
    </row>
    <row r="146" spans="1:3" x14ac:dyDescent="0.2">
      <c r="A146" s="70" t="s">
        <v>440</v>
      </c>
      <c r="B146" t="s">
        <v>692</v>
      </c>
      <c r="C146" t="s">
        <v>691</v>
      </c>
    </row>
    <row r="147" spans="1:3" x14ac:dyDescent="0.2">
      <c r="A147" s="70" t="s">
        <v>440</v>
      </c>
      <c r="B147" t="s">
        <v>693</v>
      </c>
      <c r="C147" t="s">
        <v>691</v>
      </c>
    </row>
    <row r="148" spans="1:3" x14ac:dyDescent="0.2">
      <c r="A148" s="70" t="s">
        <v>440</v>
      </c>
      <c r="B148" t="s">
        <v>694</v>
      </c>
      <c r="C148" t="s">
        <v>691</v>
      </c>
    </row>
    <row r="149" spans="1:3" x14ac:dyDescent="0.2">
      <c r="A149" s="70" t="s">
        <v>440</v>
      </c>
      <c r="B149" t="s">
        <v>1032</v>
      </c>
      <c r="C149" t="s">
        <v>691</v>
      </c>
    </row>
    <row r="150" spans="1:3" x14ac:dyDescent="0.2">
      <c r="A150" s="70" t="s">
        <v>440</v>
      </c>
      <c r="B150" t="s">
        <v>1033</v>
      </c>
      <c r="C150" t="s">
        <v>691</v>
      </c>
    </row>
    <row r="151" spans="1:3" x14ac:dyDescent="0.2">
      <c r="A151" s="70" t="s">
        <v>440</v>
      </c>
      <c r="B151" t="s">
        <v>1034</v>
      </c>
      <c r="C151" t="s">
        <v>691</v>
      </c>
    </row>
    <row r="152" spans="1:3" x14ac:dyDescent="0.2">
      <c r="A152" s="70" t="s">
        <v>440</v>
      </c>
      <c r="B152" t="s">
        <v>695</v>
      </c>
      <c r="C152" t="s">
        <v>691</v>
      </c>
    </row>
    <row r="153" spans="1:3" x14ac:dyDescent="0.2">
      <c r="A153" s="70" t="s">
        <v>440</v>
      </c>
      <c r="B153" t="s">
        <v>1035</v>
      </c>
      <c r="C153" t="s">
        <v>691</v>
      </c>
    </row>
    <row r="154" spans="1:3" x14ac:dyDescent="0.2">
      <c r="A154" s="70" t="s">
        <v>440</v>
      </c>
      <c r="B154" t="s">
        <v>1102</v>
      </c>
      <c r="C154" t="s">
        <v>691</v>
      </c>
    </row>
    <row r="155" spans="1:3" x14ac:dyDescent="0.2">
      <c r="A155" s="70" t="s">
        <v>440</v>
      </c>
      <c r="B155" t="s">
        <v>765</v>
      </c>
      <c r="C155" t="s">
        <v>691</v>
      </c>
    </row>
    <row r="156" spans="1:3" x14ac:dyDescent="0.2">
      <c r="A156" s="70" t="s">
        <v>440</v>
      </c>
      <c r="B156" t="s">
        <v>766</v>
      </c>
      <c r="C156" t="s">
        <v>691</v>
      </c>
    </row>
    <row r="157" spans="1:3" x14ac:dyDescent="0.2">
      <c r="A157" s="70" t="s">
        <v>440</v>
      </c>
      <c r="B157" t="s">
        <v>767</v>
      </c>
      <c r="C157" t="s">
        <v>691</v>
      </c>
    </row>
    <row r="158" spans="1:3" x14ac:dyDescent="0.2">
      <c r="A158" s="70" t="s">
        <v>440</v>
      </c>
      <c r="B158" t="s">
        <v>768</v>
      </c>
      <c r="C158" t="s">
        <v>691</v>
      </c>
    </row>
    <row r="159" spans="1:3" x14ac:dyDescent="0.2">
      <c r="A159" s="70" t="s">
        <v>440</v>
      </c>
      <c r="B159" t="s">
        <v>1103</v>
      </c>
      <c r="C159" t="s">
        <v>691</v>
      </c>
    </row>
    <row r="160" spans="1:3" x14ac:dyDescent="0.2">
      <c r="A160" s="70" t="s">
        <v>440</v>
      </c>
      <c r="B160" t="s">
        <v>1104</v>
      </c>
      <c r="C160" t="s">
        <v>691</v>
      </c>
    </row>
    <row r="161" spans="1:3" x14ac:dyDescent="0.2">
      <c r="A161" s="70" t="s">
        <v>440</v>
      </c>
      <c r="B161" t="s">
        <v>1105</v>
      </c>
      <c r="C161" t="s">
        <v>691</v>
      </c>
    </row>
    <row r="162" spans="1:3" x14ac:dyDescent="0.2">
      <c r="A162" s="70" t="s">
        <v>440</v>
      </c>
      <c r="B162" t="s">
        <v>769</v>
      </c>
      <c r="C162" t="s">
        <v>691</v>
      </c>
    </row>
    <row r="163" spans="1:3" x14ac:dyDescent="0.2">
      <c r="A163" s="70" t="s">
        <v>440</v>
      </c>
      <c r="B163" t="s">
        <v>1106</v>
      </c>
      <c r="C163" t="s">
        <v>691</v>
      </c>
    </row>
    <row r="164" spans="1:3" x14ac:dyDescent="0.2">
      <c r="A164" s="70" t="s">
        <v>440</v>
      </c>
      <c r="B164" t="s">
        <v>1107</v>
      </c>
      <c r="C164" t="s">
        <v>691</v>
      </c>
    </row>
    <row r="165" spans="1:3" x14ac:dyDescent="0.2">
      <c r="A165" s="70" t="s">
        <v>440</v>
      </c>
      <c r="B165" t="s">
        <v>770</v>
      </c>
      <c r="C165" t="s">
        <v>691</v>
      </c>
    </row>
    <row r="166" spans="1:3" x14ac:dyDescent="0.2">
      <c r="A166" s="70" t="s">
        <v>440</v>
      </c>
      <c r="B166" t="s">
        <v>771</v>
      </c>
      <c r="C166" t="s">
        <v>691</v>
      </c>
    </row>
    <row r="167" spans="1:3" x14ac:dyDescent="0.2">
      <c r="A167" s="70" t="s">
        <v>440</v>
      </c>
      <c r="B167" t="s">
        <v>772</v>
      </c>
      <c r="C167" t="s">
        <v>691</v>
      </c>
    </row>
    <row r="168" spans="1:3" x14ac:dyDescent="0.2">
      <c r="A168" s="70" t="s">
        <v>440</v>
      </c>
      <c r="B168" t="s">
        <v>773</v>
      </c>
      <c r="C168" t="s">
        <v>691</v>
      </c>
    </row>
    <row r="169" spans="1:3" x14ac:dyDescent="0.2">
      <c r="A169" s="70" t="s">
        <v>440</v>
      </c>
      <c r="B169" t="s">
        <v>1108</v>
      </c>
      <c r="C169" t="s">
        <v>691</v>
      </c>
    </row>
    <row r="170" spans="1:3" x14ac:dyDescent="0.2">
      <c r="A170" s="70" t="s">
        <v>440</v>
      </c>
      <c r="B170" t="s">
        <v>1109</v>
      </c>
      <c r="C170" t="s">
        <v>691</v>
      </c>
    </row>
    <row r="171" spans="1:3" x14ac:dyDescent="0.2">
      <c r="A171" s="70" t="s">
        <v>440</v>
      </c>
      <c r="B171" t="s">
        <v>1110</v>
      </c>
      <c r="C171" t="s">
        <v>691</v>
      </c>
    </row>
    <row r="172" spans="1:3" x14ac:dyDescent="0.2">
      <c r="A172" s="70" t="s">
        <v>440</v>
      </c>
      <c r="B172" t="s">
        <v>774</v>
      </c>
      <c r="C172" t="s">
        <v>691</v>
      </c>
    </row>
    <row r="173" spans="1:3" x14ac:dyDescent="0.2">
      <c r="A173" s="70" t="s">
        <v>440</v>
      </c>
      <c r="B173" t="s">
        <v>1111</v>
      </c>
      <c r="C173" t="s">
        <v>691</v>
      </c>
    </row>
    <row r="174" spans="1:3" x14ac:dyDescent="0.2">
      <c r="A174" s="70" t="s">
        <v>440</v>
      </c>
      <c r="B174" t="s">
        <v>1112</v>
      </c>
      <c r="C174" t="s">
        <v>691</v>
      </c>
    </row>
    <row r="175" spans="1:3" x14ac:dyDescent="0.2">
      <c r="A175" s="70" t="s">
        <v>440</v>
      </c>
      <c r="B175" t="s">
        <v>775</v>
      </c>
      <c r="C175" t="s">
        <v>691</v>
      </c>
    </row>
    <row r="176" spans="1:3" x14ac:dyDescent="0.2">
      <c r="A176" s="70" t="s">
        <v>440</v>
      </c>
      <c r="B176" t="s">
        <v>776</v>
      </c>
      <c r="C176" t="s">
        <v>691</v>
      </c>
    </row>
    <row r="177" spans="1:3" x14ac:dyDescent="0.2">
      <c r="A177" s="70" t="s">
        <v>440</v>
      </c>
      <c r="B177" t="s">
        <v>777</v>
      </c>
      <c r="C177" t="s">
        <v>691</v>
      </c>
    </row>
    <row r="178" spans="1:3" x14ac:dyDescent="0.2">
      <c r="A178" s="70" t="s">
        <v>440</v>
      </c>
      <c r="B178" t="s">
        <v>778</v>
      </c>
      <c r="C178" t="s">
        <v>691</v>
      </c>
    </row>
    <row r="179" spans="1:3" x14ac:dyDescent="0.2">
      <c r="A179" s="70" t="s">
        <v>440</v>
      </c>
      <c r="B179" t="s">
        <v>1113</v>
      </c>
      <c r="C179" t="s">
        <v>691</v>
      </c>
    </row>
    <row r="180" spans="1:3" x14ac:dyDescent="0.2">
      <c r="A180" s="70" t="s">
        <v>440</v>
      </c>
      <c r="B180" t="s">
        <v>1114</v>
      </c>
      <c r="C180" t="s">
        <v>691</v>
      </c>
    </row>
    <row r="181" spans="1:3" x14ac:dyDescent="0.2">
      <c r="A181" s="70" t="s">
        <v>440</v>
      </c>
      <c r="B181" t="s">
        <v>1115</v>
      </c>
      <c r="C181" t="s">
        <v>691</v>
      </c>
    </row>
    <row r="182" spans="1:3" x14ac:dyDescent="0.2">
      <c r="A182" s="70" t="s">
        <v>440</v>
      </c>
      <c r="B182" t="s">
        <v>779</v>
      </c>
      <c r="C182" t="s">
        <v>691</v>
      </c>
    </row>
    <row r="183" spans="1:3" x14ac:dyDescent="0.2">
      <c r="A183" s="70" t="s">
        <v>440</v>
      </c>
      <c r="B183" t="s">
        <v>1116</v>
      </c>
      <c r="C183" t="s">
        <v>691</v>
      </c>
    </row>
    <row r="184" spans="1:3" x14ac:dyDescent="0.2">
      <c r="A184" s="70" t="s">
        <v>440</v>
      </c>
      <c r="B184" t="s">
        <v>1117</v>
      </c>
      <c r="C184" t="s">
        <v>691</v>
      </c>
    </row>
    <row r="185" spans="1:3" x14ac:dyDescent="0.2">
      <c r="A185" s="70" t="s">
        <v>440</v>
      </c>
      <c r="B185" t="s">
        <v>780</v>
      </c>
      <c r="C185" t="s">
        <v>691</v>
      </c>
    </row>
    <row r="186" spans="1:3" x14ac:dyDescent="0.2">
      <c r="A186" s="70" t="s">
        <v>440</v>
      </c>
      <c r="B186" t="s">
        <v>781</v>
      </c>
      <c r="C186" t="s">
        <v>691</v>
      </c>
    </row>
    <row r="187" spans="1:3" x14ac:dyDescent="0.2">
      <c r="A187" s="70" t="s">
        <v>440</v>
      </c>
      <c r="B187" t="s">
        <v>782</v>
      </c>
      <c r="C187" t="s">
        <v>691</v>
      </c>
    </row>
    <row r="188" spans="1:3" x14ac:dyDescent="0.2">
      <c r="A188" s="70" t="s">
        <v>440</v>
      </c>
      <c r="B188" t="s">
        <v>783</v>
      </c>
      <c r="C188" t="s">
        <v>691</v>
      </c>
    </row>
    <row r="189" spans="1:3" x14ac:dyDescent="0.2">
      <c r="A189" s="70" t="s">
        <v>440</v>
      </c>
      <c r="B189" t="s">
        <v>1118</v>
      </c>
      <c r="C189" t="s">
        <v>691</v>
      </c>
    </row>
    <row r="190" spans="1:3" x14ac:dyDescent="0.2">
      <c r="A190" s="70" t="s">
        <v>440</v>
      </c>
      <c r="B190" t="s">
        <v>1119</v>
      </c>
      <c r="C190" t="s">
        <v>691</v>
      </c>
    </row>
    <row r="191" spans="1:3" x14ac:dyDescent="0.2">
      <c r="A191" s="70" t="s">
        <v>440</v>
      </c>
      <c r="B191" t="s">
        <v>1120</v>
      </c>
      <c r="C191" t="s">
        <v>691</v>
      </c>
    </row>
    <row r="192" spans="1:3" x14ac:dyDescent="0.2">
      <c r="A192" s="70" t="s">
        <v>440</v>
      </c>
      <c r="B192" t="s">
        <v>784</v>
      </c>
      <c r="C192" t="s">
        <v>691</v>
      </c>
    </row>
    <row r="193" spans="1:3" x14ac:dyDescent="0.2">
      <c r="A193" s="70" t="s">
        <v>440</v>
      </c>
      <c r="B193" t="s">
        <v>1121</v>
      </c>
      <c r="C193" t="s">
        <v>691</v>
      </c>
    </row>
    <row r="194" spans="1:3" x14ac:dyDescent="0.2">
      <c r="A194" s="70" t="s">
        <v>440</v>
      </c>
      <c r="B194" t="s">
        <v>1122</v>
      </c>
      <c r="C194" t="s">
        <v>691</v>
      </c>
    </row>
    <row r="195" spans="1:3" x14ac:dyDescent="0.2">
      <c r="A195" s="70" t="s">
        <v>440</v>
      </c>
      <c r="B195" t="s">
        <v>785</v>
      </c>
      <c r="C195" t="s">
        <v>691</v>
      </c>
    </row>
    <row r="196" spans="1:3" x14ac:dyDescent="0.2">
      <c r="A196" s="70" t="s">
        <v>440</v>
      </c>
      <c r="B196" t="s">
        <v>786</v>
      </c>
      <c r="C196" t="s">
        <v>691</v>
      </c>
    </row>
    <row r="197" spans="1:3" x14ac:dyDescent="0.2">
      <c r="A197" s="70" t="s">
        <v>440</v>
      </c>
      <c r="B197" t="s">
        <v>787</v>
      </c>
      <c r="C197" t="s">
        <v>691</v>
      </c>
    </row>
    <row r="198" spans="1:3" x14ac:dyDescent="0.2">
      <c r="A198" s="70" t="s">
        <v>440</v>
      </c>
      <c r="B198" t="s">
        <v>788</v>
      </c>
      <c r="C198" t="s">
        <v>691</v>
      </c>
    </row>
    <row r="199" spans="1:3" x14ac:dyDescent="0.2">
      <c r="A199" s="70" t="s">
        <v>440</v>
      </c>
      <c r="B199" t="s">
        <v>1123</v>
      </c>
      <c r="C199" t="s">
        <v>691</v>
      </c>
    </row>
    <row r="200" spans="1:3" x14ac:dyDescent="0.2">
      <c r="A200" s="70" t="s">
        <v>440</v>
      </c>
      <c r="B200" t="s">
        <v>1124</v>
      </c>
      <c r="C200" t="s">
        <v>691</v>
      </c>
    </row>
    <row r="201" spans="1:3" x14ac:dyDescent="0.2">
      <c r="A201" s="70" t="s">
        <v>440</v>
      </c>
      <c r="B201" t="s">
        <v>1125</v>
      </c>
      <c r="C201" t="s">
        <v>691</v>
      </c>
    </row>
    <row r="202" spans="1:3" x14ac:dyDescent="0.2">
      <c r="A202" s="70" t="s">
        <v>440</v>
      </c>
      <c r="B202" t="s">
        <v>789</v>
      </c>
      <c r="C202" t="s">
        <v>691</v>
      </c>
    </row>
    <row r="203" spans="1:3" x14ac:dyDescent="0.2">
      <c r="A203" s="70" t="s">
        <v>440</v>
      </c>
      <c r="B203" t="s">
        <v>1126</v>
      </c>
      <c r="C203" t="s">
        <v>691</v>
      </c>
    </row>
    <row r="204" spans="1:3" x14ac:dyDescent="0.2">
      <c r="A204" s="70" t="s">
        <v>440</v>
      </c>
      <c r="B204" t="s">
        <v>1127</v>
      </c>
      <c r="C204" t="s">
        <v>691</v>
      </c>
    </row>
    <row r="205" spans="1:3" x14ac:dyDescent="0.2">
      <c r="A205" s="70" t="s">
        <v>440</v>
      </c>
      <c r="B205" t="s">
        <v>790</v>
      </c>
      <c r="C205" t="s">
        <v>691</v>
      </c>
    </row>
    <row r="206" spans="1:3" x14ac:dyDescent="0.2">
      <c r="A206" s="70" t="s">
        <v>440</v>
      </c>
      <c r="B206" t="s">
        <v>791</v>
      </c>
      <c r="C206" t="s">
        <v>691</v>
      </c>
    </row>
    <row r="207" spans="1:3" x14ac:dyDescent="0.2">
      <c r="A207" s="70" t="s">
        <v>440</v>
      </c>
      <c r="B207" t="s">
        <v>792</v>
      </c>
      <c r="C207" t="s">
        <v>691</v>
      </c>
    </row>
    <row r="208" spans="1:3" x14ac:dyDescent="0.2">
      <c r="A208" s="70" t="s">
        <v>440</v>
      </c>
      <c r="B208" t="s">
        <v>793</v>
      </c>
      <c r="C208" t="s">
        <v>691</v>
      </c>
    </row>
    <row r="209" spans="1:3" x14ac:dyDescent="0.2">
      <c r="A209" s="70" t="s">
        <v>440</v>
      </c>
      <c r="B209" t="s">
        <v>1128</v>
      </c>
      <c r="C209" t="s">
        <v>691</v>
      </c>
    </row>
    <row r="210" spans="1:3" x14ac:dyDescent="0.2">
      <c r="A210" s="70" t="s">
        <v>440</v>
      </c>
      <c r="B210" t="s">
        <v>1129</v>
      </c>
      <c r="C210" t="s">
        <v>691</v>
      </c>
    </row>
    <row r="211" spans="1:3" x14ac:dyDescent="0.2">
      <c r="A211" s="70" t="s">
        <v>440</v>
      </c>
      <c r="B211" t="s">
        <v>1130</v>
      </c>
      <c r="C211" t="s">
        <v>691</v>
      </c>
    </row>
    <row r="212" spans="1:3" x14ac:dyDescent="0.2">
      <c r="A212" s="70" t="s">
        <v>440</v>
      </c>
      <c r="B212" t="s">
        <v>794</v>
      </c>
      <c r="C212" t="s">
        <v>691</v>
      </c>
    </row>
    <row r="213" spans="1:3" x14ac:dyDescent="0.2">
      <c r="A213" s="70" t="s">
        <v>440</v>
      </c>
      <c r="B213" t="s">
        <v>1131</v>
      </c>
      <c r="C213" t="s">
        <v>691</v>
      </c>
    </row>
    <row r="214" spans="1:3" x14ac:dyDescent="0.2">
      <c r="A214" s="70" t="s">
        <v>440</v>
      </c>
      <c r="B214" t="s">
        <v>795</v>
      </c>
      <c r="C214" t="s">
        <v>691</v>
      </c>
    </row>
    <row r="215" spans="1:3" x14ac:dyDescent="0.2">
      <c r="A215" s="70" t="s">
        <v>440</v>
      </c>
      <c r="B215" t="s">
        <v>796</v>
      </c>
      <c r="C215" t="s">
        <v>691</v>
      </c>
    </row>
    <row r="216" spans="1:3" x14ac:dyDescent="0.2">
      <c r="A216" s="70" t="s">
        <v>440</v>
      </c>
      <c r="B216" t="s">
        <v>797</v>
      </c>
      <c r="C216" t="s">
        <v>691</v>
      </c>
    </row>
    <row r="217" spans="1:3" x14ac:dyDescent="0.2">
      <c r="A217" s="70" t="s">
        <v>440</v>
      </c>
      <c r="B217" t="s">
        <v>1132</v>
      </c>
      <c r="C217" t="s">
        <v>691</v>
      </c>
    </row>
    <row r="218" spans="1:3" x14ac:dyDescent="0.2">
      <c r="A218" s="70" t="s">
        <v>440</v>
      </c>
      <c r="B218" t="s">
        <v>1133</v>
      </c>
      <c r="C218" t="s">
        <v>691</v>
      </c>
    </row>
    <row r="219" spans="1:3" x14ac:dyDescent="0.2">
      <c r="A219" s="70" t="s">
        <v>440</v>
      </c>
      <c r="B219" t="s">
        <v>1134</v>
      </c>
      <c r="C219" t="s">
        <v>691</v>
      </c>
    </row>
    <row r="220" spans="1:3" x14ac:dyDescent="0.2">
      <c r="A220" s="70" t="s">
        <v>440</v>
      </c>
      <c r="B220" t="s">
        <v>798</v>
      </c>
      <c r="C220" t="s">
        <v>691</v>
      </c>
    </row>
    <row r="221" spans="1:3" x14ac:dyDescent="0.2">
      <c r="A221" s="70" t="s">
        <v>440</v>
      </c>
      <c r="B221" t="s">
        <v>1135</v>
      </c>
      <c r="C221" t="s">
        <v>691</v>
      </c>
    </row>
    <row r="222" spans="1:3" x14ac:dyDescent="0.2">
      <c r="A222" s="70" t="s">
        <v>440</v>
      </c>
      <c r="B222" t="s">
        <v>799</v>
      </c>
      <c r="C222" t="s">
        <v>691</v>
      </c>
    </row>
    <row r="223" spans="1:3" x14ac:dyDescent="0.2">
      <c r="A223" s="70" t="s">
        <v>440</v>
      </c>
      <c r="B223" t="s">
        <v>1136</v>
      </c>
      <c r="C223" t="s">
        <v>691</v>
      </c>
    </row>
    <row r="224" spans="1:3" x14ac:dyDescent="0.2">
      <c r="A224" s="70" t="s">
        <v>440</v>
      </c>
      <c r="B224" t="s">
        <v>1096</v>
      </c>
      <c r="C224" t="s">
        <v>691</v>
      </c>
    </row>
    <row r="225" spans="1:3" x14ac:dyDescent="0.2">
      <c r="A225" s="70" t="s">
        <v>440</v>
      </c>
      <c r="B225" t="s">
        <v>758</v>
      </c>
      <c r="C225" t="s">
        <v>691</v>
      </c>
    </row>
    <row r="226" spans="1:3" x14ac:dyDescent="0.2">
      <c r="A226" s="70" t="s">
        <v>431</v>
      </c>
      <c r="B226" t="s">
        <v>1137</v>
      </c>
      <c r="C226" t="s">
        <v>691</v>
      </c>
    </row>
    <row r="227" spans="1:3" x14ac:dyDescent="0.2">
      <c r="A227" s="70" t="s">
        <v>431</v>
      </c>
      <c r="B227" t="s">
        <v>800</v>
      </c>
      <c r="C227" t="s">
        <v>691</v>
      </c>
    </row>
    <row r="228" spans="1:3" x14ac:dyDescent="0.2">
      <c r="A228" s="70" t="s">
        <v>431</v>
      </c>
      <c r="B228" t="s">
        <v>801</v>
      </c>
      <c r="C228" t="s">
        <v>691</v>
      </c>
    </row>
    <row r="229" spans="1:3" x14ac:dyDescent="0.2">
      <c r="A229" s="70" t="s">
        <v>431</v>
      </c>
      <c r="B229" t="s">
        <v>802</v>
      </c>
      <c r="C229" t="s">
        <v>691</v>
      </c>
    </row>
    <row r="230" spans="1:3" x14ac:dyDescent="0.2">
      <c r="A230" s="70" t="s">
        <v>431</v>
      </c>
      <c r="B230" t="s">
        <v>803</v>
      </c>
      <c r="C230" t="s">
        <v>691</v>
      </c>
    </row>
    <row r="231" spans="1:3" x14ac:dyDescent="0.2">
      <c r="A231" s="70" t="s">
        <v>431</v>
      </c>
      <c r="B231" t="s">
        <v>1138</v>
      </c>
      <c r="C231" t="s">
        <v>691</v>
      </c>
    </row>
    <row r="232" spans="1:3" x14ac:dyDescent="0.2">
      <c r="A232" s="70" t="s">
        <v>431</v>
      </c>
      <c r="B232" t="s">
        <v>1139</v>
      </c>
      <c r="C232" t="s">
        <v>691</v>
      </c>
    </row>
    <row r="233" spans="1:3" x14ac:dyDescent="0.2">
      <c r="A233" s="70" t="s">
        <v>431</v>
      </c>
      <c r="B233" t="s">
        <v>1140</v>
      </c>
      <c r="C233" t="s">
        <v>691</v>
      </c>
    </row>
    <row r="234" spans="1:3" x14ac:dyDescent="0.2">
      <c r="A234" s="70" t="s">
        <v>431</v>
      </c>
      <c r="B234" t="s">
        <v>804</v>
      </c>
      <c r="C234" t="s">
        <v>691</v>
      </c>
    </row>
    <row r="235" spans="1:3" x14ac:dyDescent="0.2">
      <c r="A235" s="70" t="s">
        <v>431</v>
      </c>
      <c r="B235" t="s">
        <v>1141</v>
      </c>
      <c r="C235" t="s">
        <v>691</v>
      </c>
    </row>
    <row r="236" spans="1:3" x14ac:dyDescent="0.2">
      <c r="A236" s="70" t="s">
        <v>431</v>
      </c>
      <c r="B236" t="s">
        <v>1142</v>
      </c>
      <c r="C236" t="s">
        <v>691</v>
      </c>
    </row>
    <row r="237" spans="1:3" x14ac:dyDescent="0.2">
      <c r="A237" s="70" t="s">
        <v>431</v>
      </c>
      <c r="B237" t="s">
        <v>805</v>
      </c>
      <c r="C237" t="s">
        <v>691</v>
      </c>
    </row>
    <row r="238" spans="1:3" x14ac:dyDescent="0.2">
      <c r="A238" s="70" t="s">
        <v>431</v>
      </c>
      <c r="B238" t="s">
        <v>806</v>
      </c>
      <c r="C238" t="s">
        <v>691</v>
      </c>
    </row>
    <row r="239" spans="1:3" x14ac:dyDescent="0.2">
      <c r="A239" s="70" t="s">
        <v>431</v>
      </c>
      <c r="B239" t="s">
        <v>807</v>
      </c>
      <c r="C239" t="s">
        <v>691</v>
      </c>
    </row>
    <row r="240" spans="1:3" x14ac:dyDescent="0.2">
      <c r="A240" s="70" t="s">
        <v>431</v>
      </c>
      <c r="B240" t="s">
        <v>808</v>
      </c>
      <c r="C240" t="s">
        <v>691</v>
      </c>
    </row>
    <row r="241" spans="1:3" x14ac:dyDescent="0.2">
      <c r="A241" s="70" t="s">
        <v>431</v>
      </c>
      <c r="B241" t="s">
        <v>1143</v>
      </c>
      <c r="C241" t="s">
        <v>691</v>
      </c>
    </row>
    <row r="242" spans="1:3" x14ac:dyDescent="0.2">
      <c r="A242" s="70" t="s">
        <v>431</v>
      </c>
      <c r="B242" t="s">
        <v>1144</v>
      </c>
      <c r="C242" t="s">
        <v>691</v>
      </c>
    </row>
    <row r="243" spans="1:3" x14ac:dyDescent="0.2">
      <c r="A243" s="70" t="s">
        <v>431</v>
      </c>
      <c r="B243" t="s">
        <v>1145</v>
      </c>
      <c r="C243" t="s">
        <v>691</v>
      </c>
    </row>
    <row r="244" spans="1:3" x14ac:dyDescent="0.2">
      <c r="A244" s="70" t="s">
        <v>431</v>
      </c>
      <c r="B244" t="s">
        <v>809</v>
      </c>
      <c r="C244" t="s">
        <v>691</v>
      </c>
    </row>
    <row r="245" spans="1:3" x14ac:dyDescent="0.2">
      <c r="A245" s="70" t="s">
        <v>431</v>
      </c>
      <c r="B245" t="s">
        <v>1146</v>
      </c>
      <c r="C245" t="s">
        <v>691</v>
      </c>
    </row>
    <row r="246" spans="1:3" x14ac:dyDescent="0.2">
      <c r="A246" s="70" t="s">
        <v>431</v>
      </c>
      <c r="B246" t="s">
        <v>1147</v>
      </c>
      <c r="C246" t="s">
        <v>691</v>
      </c>
    </row>
    <row r="247" spans="1:3" x14ac:dyDescent="0.2">
      <c r="A247" s="70" t="s">
        <v>431</v>
      </c>
      <c r="B247" t="s">
        <v>810</v>
      </c>
      <c r="C247" t="s">
        <v>691</v>
      </c>
    </row>
    <row r="248" spans="1:3" x14ac:dyDescent="0.2">
      <c r="A248" s="70" t="s">
        <v>431</v>
      </c>
      <c r="B248" t="s">
        <v>811</v>
      </c>
      <c r="C248" t="s">
        <v>691</v>
      </c>
    </row>
    <row r="249" spans="1:3" x14ac:dyDescent="0.2">
      <c r="A249" s="70" t="s">
        <v>431</v>
      </c>
      <c r="B249" t="s">
        <v>812</v>
      </c>
      <c r="C249" t="s">
        <v>691</v>
      </c>
    </row>
    <row r="250" spans="1:3" x14ac:dyDescent="0.2">
      <c r="A250" s="70" t="s">
        <v>431</v>
      </c>
      <c r="B250" t="s">
        <v>813</v>
      </c>
      <c r="C250" t="s">
        <v>691</v>
      </c>
    </row>
    <row r="251" spans="1:3" x14ac:dyDescent="0.2">
      <c r="A251" s="70" t="s">
        <v>431</v>
      </c>
      <c r="B251" t="s">
        <v>1148</v>
      </c>
      <c r="C251" t="s">
        <v>691</v>
      </c>
    </row>
    <row r="252" spans="1:3" x14ac:dyDescent="0.2">
      <c r="A252" s="70" t="s">
        <v>431</v>
      </c>
      <c r="B252" t="s">
        <v>1149</v>
      </c>
      <c r="C252" t="s">
        <v>691</v>
      </c>
    </row>
    <row r="253" spans="1:3" x14ac:dyDescent="0.2">
      <c r="A253" s="70" t="s">
        <v>431</v>
      </c>
      <c r="B253" t="s">
        <v>1150</v>
      </c>
      <c r="C253" t="s">
        <v>691</v>
      </c>
    </row>
    <row r="254" spans="1:3" x14ac:dyDescent="0.2">
      <c r="A254" s="70" t="s">
        <v>431</v>
      </c>
      <c r="B254" t="s">
        <v>814</v>
      </c>
      <c r="C254" t="s">
        <v>691</v>
      </c>
    </row>
    <row r="255" spans="1:3" x14ac:dyDescent="0.2">
      <c r="A255" s="70" t="s">
        <v>431</v>
      </c>
      <c r="B255" t="s">
        <v>1151</v>
      </c>
      <c r="C255" t="s">
        <v>691</v>
      </c>
    </row>
    <row r="256" spans="1:3" x14ac:dyDescent="0.2">
      <c r="A256" s="70" t="s">
        <v>431</v>
      </c>
      <c r="B256" t="s">
        <v>1152</v>
      </c>
      <c r="C256" t="s">
        <v>691</v>
      </c>
    </row>
    <row r="257" spans="1:3" x14ac:dyDescent="0.2">
      <c r="A257" s="70" t="s">
        <v>431</v>
      </c>
      <c r="B257" t="s">
        <v>815</v>
      </c>
      <c r="C257" t="s">
        <v>691</v>
      </c>
    </row>
    <row r="258" spans="1:3" x14ac:dyDescent="0.2">
      <c r="A258" s="70" t="s">
        <v>431</v>
      </c>
      <c r="B258" t="s">
        <v>816</v>
      </c>
      <c r="C258" t="s">
        <v>691</v>
      </c>
    </row>
    <row r="259" spans="1:3" x14ac:dyDescent="0.2">
      <c r="A259" s="70" t="s">
        <v>431</v>
      </c>
      <c r="B259" t="s">
        <v>817</v>
      </c>
      <c r="C259" t="s">
        <v>691</v>
      </c>
    </row>
    <row r="260" spans="1:3" x14ac:dyDescent="0.2">
      <c r="A260" s="70" t="s">
        <v>431</v>
      </c>
      <c r="B260" t="s">
        <v>818</v>
      </c>
      <c r="C260" t="s">
        <v>691</v>
      </c>
    </row>
    <row r="261" spans="1:3" x14ac:dyDescent="0.2">
      <c r="A261" s="70" t="s">
        <v>431</v>
      </c>
      <c r="B261" t="s">
        <v>1153</v>
      </c>
      <c r="C261" t="s">
        <v>691</v>
      </c>
    </row>
    <row r="262" spans="1:3" x14ac:dyDescent="0.2">
      <c r="A262" s="70" t="s">
        <v>431</v>
      </c>
      <c r="B262" t="s">
        <v>1154</v>
      </c>
      <c r="C262" t="s">
        <v>691</v>
      </c>
    </row>
    <row r="263" spans="1:3" x14ac:dyDescent="0.2">
      <c r="A263" s="70" t="s">
        <v>431</v>
      </c>
      <c r="B263" t="s">
        <v>1155</v>
      </c>
      <c r="C263" t="s">
        <v>691</v>
      </c>
    </row>
    <row r="264" spans="1:3" x14ac:dyDescent="0.2">
      <c r="A264" s="70" t="s">
        <v>431</v>
      </c>
      <c r="B264" t="s">
        <v>819</v>
      </c>
      <c r="C264" t="s">
        <v>691</v>
      </c>
    </row>
    <row r="265" spans="1:3" x14ac:dyDescent="0.2">
      <c r="A265" s="70" t="s">
        <v>431</v>
      </c>
      <c r="B265" t="s">
        <v>1156</v>
      </c>
      <c r="C265" t="s">
        <v>691</v>
      </c>
    </row>
    <row r="266" spans="1:3" x14ac:dyDescent="0.2">
      <c r="A266" s="70" t="s">
        <v>431</v>
      </c>
      <c r="B266" t="s">
        <v>1157</v>
      </c>
      <c r="C266" t="s">
        <v>691</v>
      </c>
    </row>
    <row r="267" spans="1:3" x14ac:dyDescent="0.2">
      <c r="A267" s="70" t="s">
        <v>431</v>
      </c>
      <c r="B267" t="s">
        <v>624</v>
      </c>
      <c r="C267" t="s">
        <v>691</v>
      </c>
    </row>
    <row r="268" spans="1:3" x14ac:dyDescent="0.2">
      <c r="A268" s="70" t="s">
        <v>431</v>
      </c>
      <c r="B268" t="s">
        <v>673</v>
      </c>
      <c r="C268" t="s">
        <v>691</v>
      </c>
    </row>
    <row r="269" spans="1:3" x14ac:dyDescent="0.2">
      <c r="A269" s="70" t="s">
        <v>431</v>
      </c>
      <c r="B269" t="s">
        <v>600</v>
      </c>
      <c r="C269" t="s">
        <v>691</v>
      </c>
    </row>
    <row r="270" spans="1:3" x14ac:dyDescent="0.2">
      <c r="A270" s="70" t="s">
        <v>431</v>
      </c>
      <c r="B270" t="s">
        <v>657</v>
      </c>
      <c r="C270" t="s">
        <v>691</v>
      </c>
    </row>
    <row r="271" spans="1:3" x14ac:dyDescent="0.2">
      <c r="A271" s="70" t="s">
        <v>431</v>
      </c>
      <c r="B271" t="s">
        <v>1158</v>
      </c>
      <c r="C271" t="s">
        <v>691</v>
      </c>
    </row>
    <row r="272" spans="1:3" x14ac:dyDescent="0.2">
      <c r="A272" s="70" t="s">
        <v>431</v>
      </c>
      <c r="B272" t="s">
        <v>1159</v>
      </c>
      <c r="C272" t="s">
        <v>691</v>
      </c>
    </row>
    <row r="273" spans="1:3" x14ac:dyDescent="0.2">
      <c r="A273" s="70" t="s">
        <v>431</v>
      </c>
      <c r="B273" t="s">
        <v>1160</v>
      </c>
      <c r="C273" t="s">
        <v>691</v>
      </c>
    </row>
    <row r="274" spans="1:3" x14ac:dyDescent="0.2">
      <c r="A274" s="70" t="s">
        <v>431</v>
      </c>
      <c r="B274" t="s">
        <v>433</v>
      </c>
      <c r="C274" t="s">
        <v>691</v>
      </c>
    </row>
    <row r="275" spans="1:3" x14ac:dyDescent="0.2">
      <c r="A275" s="70" t="s">
        <v>431</v>
      </c>
      <c r="B275" t="s">
        <v>1161</v>
      </c>
      <c r="C275" t="s">
        <v>691</v>
      </c>
    </row>
    <row r="276" spans="1:3" x14ac:dyDescent="0.2">
      <c r="A276" s="70" t="s">
        <v>431</v>
      </c>
      <c r="B276" t="s">
        <v>1162</v>
      </c>
      <c r="C276" t="s">
        <v>691</v>
      </c>
    </row>
    <row r="277" spans="1:3" x14ac:dyDescent="0.2">
      <c r="A277" s="70" t="s">
        <v>431</v>
      </c>
      <c r="B277" t="s">
        <v>820</v>
      </c>
      <c r="C277" t="s">
        <v>691</v>
      </c>
    </row>
    <row r="278" spans="1:3" x14ac:dyDescent="0.2">
      <c r="A278" s="70" t="s">
        <v>431</v>
      </c>
      <c r="B278" t="s">
        <v>821</v>
      </c>
      <c r="C278" t="s">
        <v>691</v>
      </c>
    </row>
    <row r="279" spans="1:3" x14ac:dyDescent="0.2">
      <c r="A279" s="70" t="s">
        <v>431</v>
      </c>
      <c r="B279" t="s">
        <v>822</v>
      </c>
      <c r="C279" t="s">
        <v>691</v>
      </c>
    </row>
    <row r="280" spans="1:3" x14ac:dyDescent="0.2">
      <c r="A280" s="70" t="s">
        <v>431</v>
      </c>
      <c r="B280" t="s">
        <v>823</v>
      </c>
      <c r="C280" t="s">
        <v>691</v>
      </c>
    </row>
    <row r="281" spans="1:3" x14ac:dyDescent="0.2">
      <c r="A281" s="70" t="s">
        <v>431</v>
      </c>
      <c r="B281" t="s">
        <v>1163</v>
      </c>
      <c r="C281" t="s">
        <v>691</v>
      </c>
    </row>
    <row r="282" spans="1:3" x14ac:dyDescent="0.2">
      <c r="A282" s="70" t="s">
        <v>431</v>
      </c>
      <c r="B282" t="s">
        <v>1164</v>
      </c>
      <c r="C282" t="s">
        <v>691</v>
      </c>
    </row>
    <row r="283" spans="1:3" x14ac:dyDescent="0.2">
      <c r="A283" s="70" t="s">
        <v>431</v>
      </c>
      <c r="B283" t="s">
        <v>1165</v>
      </c>
      <c r="C283" t="s">
        <v>691</v>
      </c>
    </row>
    <row r="284" spans="1:3" x14ac:dyDescent="0.2">
      <c r="A284" s="70" t="s">
        <v>431</v>
      </c>
      <c r="B284" t="s">
        <v>824</v>
      </c>
      <c r="C284" t="s">
        <v>691</v>
      </c>
    </row>
    <row r="285" spans="1:3" x14ac:dyDescent="0.2">
      <c r="A285" s="70" t="s">
        <v>431</v>
      </c>
      <c r="B285" t="s">
        <v>1166</v>
      </c>
      <c r="C285" t="s">
        <v>691</v>
      </c>
    </row>
    <row r="286" spans="1:3" x14ac:dyDescent="0.2">
      <c r="A286" s="70" t="s">
        <v>431</v>
      </c>
      <c r="B286" t="s">
        <v>1167</v>
      </c>
      <c r="C286" t="s">
        <v>691</v>
      </c>
    </row>
    <row r="287" spans="1:3" x14ac:dyDescent="0.2">
      <c r="A287" s="70" t="s">
        <v>431</v>
      </c>
      <c r="B287" t="s">
        <v>825</v>
      </c>
      <c r="C287" t="s">
        <v>691</v>
      </c>
    </row>
    <row r="288" spans="1:3" x14ac:dyDescent="0.2">
      <c r="A288" s="70" t="s">
        <v>431</v>
      </c>
      <c r="B288" t="s">
        <v>826</v>
      </c>
      <c r="C288" t="s">
        <v>691</v>
      </c>
    </row>
    <row r="289" spans="1:3" x14ac:dyDescent="0.2">
      <c r="A289" s="70" t="s">
        <v>431</v>
      </c>
      <c r="B289" t="s">
        <v>827</v>
      </c>
      <c r="C289" t="s">
        <v>691</v>
      </c>
    </row>
    <row r="290" spans="1:3" x14ac:dyDescent="0.2">
      <c r="A290" s="70" t="s">
        <v>431</v>
      </c>
      <c r="B290" t="s">
        <v>828</v>
      </c>
      <c r="C290" t="s">
        <v>691</v>
      </c>
    </row>
    <row r="291" spans="1:3" x14ac:dyDescent="0.2">
      <c r="A291" s="70" t="s">
        <v>431</v>
      </c>
      <c r="B291" t="s">
        <v>1168</v>
      </c>
      <c r="C291" t="s">
        <v>691</v>
      </c>
    </row>
    <row r="292" spans="1:3" x14ac:dyDescent="0.2">
      <c r="A292" s="70" t="s">
        <v>431</v>
      </c>
      <c r="B292" t="s">
        <v>1169</v>
      </c>
      <c r="C292" t="s">
        <v>691</v>
      </c>
    </row>
    <row r="293" spans="1:3" x14ac:dyDescent="0.2">
      <c r="A293" s="70" t="s">
        <v>431</v>
      </c>
      <c r="B293" t="s">
        <v>1170</v>
      </c>
      <c r="C293" t="s">
        <v>691</v>
      </c>
    </row>
    <row r="294" spans="1:3" x14ac:dyDescent="0.2">
      <c r="A294" s="70" t="s">
        <v>431</v>
      </c>
      <c r="B294" t="s">
        <v>829</v>
      </c>
      <c r="C294" t="s">
        <v>691</v>
      </c>
    </row>
    <row r="295" spans="1:3" x14ac:dyDescent="0.2">
      <c r="A295" s="70" t="s">
        <v>431</v>
      </c>
      <c r="B295" t="s">
        <v>1171</v>
      </c>
      <c r="C295" t="s">
        <v>691</v>
      </c>
    </row>
    <row r="296" spans="1:3" x14ac:dyDescent="0.2">
      <c r="A296" s="70" t="s">
        <v>431</v>
      </c>
      <c r="B296" t="s">
        <v>1172</v>
      </c>
      <c r="C296" t="s">
        <v>691</v>
      </c>
    </row>
    <row r="297" spans="1:3" x14ac:dyDescent="0.2">
      <c r="A297" s="70" t="s">
        <v>431</v>
      </c>
      <c r="B297" t="s">
        <v>830</v>
      </c>
      <c r="C297" t="s">
        <v>691</v>
      </c>
    </row>
    <row r="298" spans="1:3" x14ac:dyDescent="0.2">
      <c r="A298" s="70" t="s">
        <v>431</v>
      </c>
      <c r="B298" t="s">
        <v>831</v>
      </c>
      <c r="C298" t="s">
        <v>691</v>
      </c>
    </row>
    <row r="299" spans="1:3" x14ac:dyDescent="0.2">
      <c r="A299" s="70" t="s">
        <v>431</v>
      </c>
      <c r="B299" t="s">
        <v>832</v>
      </c>
      <c r="C299" t="s">
        <v>691</v>
      </c>
    </row>
    <row r="300" spans="1:3" x14ac:dyDescent="0.2">
      <c r="A300" s="70" t="s">
        <v>431</v>
      </c>
      <c r="B300" t="s">
        <v>833</v>
      </c>
      <c r="C300" t="s">
        <v>691</v>
      </c>
    </row>
    <row r="301" spans="1:3" x14ac:dyDescent="0.2">
      <c r="A301" s="70" t="s">
        <v>431</v>
      </c>
      <c r="B301" t="s">
        <v>1173</v>
      </c>
      <c r="C301" t="s">
        <v>691</v>
      </c>
    </row>
    <row r="302" spans="1:3" x14ac:dyDescent="0.2">
      <c r="A302" s="70" t="s">
        <v>431</v>
      </c>
      <c r="B302" t="s">
        <v>1174</v>
      </c>
      <c r="C302" t="s">
        <v>691</v>
      </c>
    </row>
    <row r="303" spans="1:3" x14ac:dyDescent="0.2">
      <c r="A303" s="70" t="s">
        <v>431</v>
      </c>
      <c r="B303" t="s">
        <v>1175</v>
      </c>
      <c r="C303" t="s">
        <v>691</v>
      </c>
    </row>
    <row r="304" spans="1:3" x14ac:dyDescent="0.2">
      <c r="A304" s="70" t="s">
        <v>431</v>
      </c>
      <c r="B304" t="s">
        <v>834</v>
      </c>
      <c r="C304" t="s">
        <v>691</v>
      </c>
    </row>
    <row r="305" spans="1:3" x14ac:dyDescent="0.2">
      <c r="A305" s="70" t="s">
        <v>431</v>
      </c>
      <c r="B305" t="s">
        <v>1176</v>
      </c>
      <c r="C305" t="s">
        <v>691</v>
      </c>
    </row>
    <row r="306" spans="1:3" x14ac:dyDescent="0.2">
      <c r="A306" s="70" t="s">
        <v>431</v>
      </c>
      <c r="B306" t="s">
        <v>1177</v>
      </c>
      <c r="C306" t="s">
        <v>691</v>
      </c>
    </row>
    <row r="307" spans="1:3" x14ac:dyDescent="0.2">
      <c r="A307" s="70" t="s">
        <v>431</v>
      </c>
      <c r="B307" t="s">
        <v>835</v>
      </c>
      <c r="C307" t="s">
        <v>691</v>
      </c>
    </row>
    <row r="308" spans="1:3" x14ac:dyDescent="0.2">
      <c r="A308" s="70" t="s">
        <v>431</v>
      </c>
      <c r="B308" t="s">
        <v>836</v>
      </c>
      <c r="C308" t="s">
        <v>691</v>
      </c>
    </row>
    <row r="309" spans="1:3" x14ac:dyDescent="0.2">
      <c r="A309" s="70" t="s">
        <v>431</v>
      </c>
      <c r="B309" t="s">
        <v>837</v>
      </c>
      <c r="C309" t="s">
        <v>691</v>
      </c>
    </row>
    <row r="310" spans="1:3" x14ac:dyDescent="0.2">
      <c r="A310" s="70" t="s">
        <v>431</v>
      </c>
      <c r="B310" t="s">
        <v>838</v>
      </c>
      <c r="C310" t="s">
        <v>691</v>
      </c>
    </row>
    <row r="311" spans="1:3" x14ac:dyDescent="0.2">
      <c r="A311" s="70" t="s">
        <v>431</v>
      </c>
      <c r="B311" t="s">
        <v>1178</v>
      </c>
      <c r="C311" t="s">
        <v>691</v>
      </c>
    </row>
    <row r="312" spans="1:3" x14ac:dyDescent="0.2">
      <c r="A312" s="70" t="s">
        <v>431</v>
      </c>
      <c r="B312" t="s">
        <v>1179</v>
      </c>
      <c r="C312" t="s">
        <v>691</v>
      </c>
    </row>
    <row r="313" spans="1:3" x14ac:dyDescent="0.2">
      <c r="A313" s="70" t="s">
        <v>431</v>
      </c>
      <c r="B313" t="s">
        <v>1180</v>
      </c>
      <c r="C313" t="s">
        <v>691</v>
      </c>
    </row>
    <row r="314" spans="1:3" x14ac:dyDescent="0.2">
      <c r="A314" s="70" t="s">
        <v>431</v>
      </c>
      <c r="B314" t="s">
        <v>839</v>
      </c>
      <c r="C314" t="s">
        <v>691</v>
      </c>
    </row>
    <row r="315" spans="1:3" x14ac:dyDescent="0.2">
      <c r="A315" s="70" t="s">
        <v>431</v>
      </c>
      <c r="B315" t="s">
        <v>1181</v>
      </c>
      <c r="C315" t="s">
        <v>691</v>
      </c>
    </row>
    <row r="316" spans="1:3" x14ac:dyDescent="0.2">
      <c r="A316" s="70" t="s">
        <v>431</v>
      </c>
      <c r="B316" t="s">
        <v>1182</v>
      </c>
      <c r="C316" t="s">
        <v>691</v>
      </c>
    </row>
    <row r="317" spans="1:3" x14ac:dyDescent="0.2">
      <c r="A317" s="70" t="s">
        <v>431</v>
      </c>
      <c r="B317" t="s">
        <v>840</v>
      </c>
      <c r="C317" t="s">
        <v>691</v>
      </c>
    </row>
    <row r="318" spans="1:3" x14ac:dyDescent="0.2">
      <c r="A318" s="70" t="s">
        <v>431</v>
      </c>
      <c r="B318" t="s">
        <v>841</v>
      </c>
      <c r="C318" t="s">
        <v>691</v>
      </c>
    </row>
    <row r="319" spans="1:3" x14ac:dyDescent="0.2">
      <c r="A319" s="70" t="s">
        <v>431</v>
      </c>
      <c r="B319" t="s">
        <v>842</v>
      </c>
      <c r="C319" t="s">
        <v>691</v>
      </c>
    </row>
    <row r="320" spans="1:3" x14ac:dyDescent="0.2">
      <c r="A320" s="70" t="s">
        <v>431</v>
      </c>
      <c r="B320" t="s">
        <v>843</v>
      </c>
      <c r="C320" t="s">
        <v>691</v>
      </c>
    </row>
    <row r="321" spans="1:3" x14ac:dyDescent="0.2">
      <c r="A321" s="70" t="s">
        <v>431</v>
      </c>
      <c r="B321" t="s">
        <v>1183</v>
      </c>
      <c r="C321" t="s">
        <v>691</v>
      </c>
    </row>
    <row r="322" spans="1:3" x14ac:dyDescent="0.2">
      <c r="A322" s="70" t="s">
        <v>431</v>
      </c>
      <c r="B322" t="s">
        <v>1184</v>
      </c>
      <c r="C322" t="s">
        <v>691</v>
      </c>
    </row>
    <row r="323" spans="1:3" x14ac:dyDescent="0.2">
      <c r="A323" s="70" t="s">
        <v>431</v>
      </c>
      <c r="B323" t="s">
        <v>1185</v>
      </c>
      <c r="C323" t="s">
        <v>691</v>
      </c>
    </row>
    <row r="324" spans="1:3" x14ac:dyDescent="0.2">
      <c r="A324" s="70" t="s">
        <v>431</v>
      </c>
      <c r="B324" t="s">
        <v>844</v>
      </c>
      <c r="C324" t="s">
        <v>691</v>
      </c>
    </row>
    <row r="325" spans="1:3" x14ac:dyDescent="0.2">
      <c r="A325" s="70" t="s">
        <v>431</v>
      </c>
      <c r="B325" t="s">
        <v>1186</v>
      </c>
      <c r="C325" t="s">
        <v>691</v>
      </c>
    </row>
    <row r="326" spans="1:3" x14ac:dyDescent="0.2">
      <c r="A326" s="70" t="s">
        <v>431</v>
      </c>
      <c r="B326" t="s">
        <v>1187</v>
      </c>
      <c r="C326" t="s">
        <v>691</v>
      </c>
    </row>
    <row r="327" spans="1:3" x14ac:dyDescent="0.2">
      <c r="A327" s="70" t="s">
        <v>431</v>
      </c>
      <c r="B327" t="s">
        <v>845</v>
      </c>
      <c r="C327" t="s">
        <v>691</v>
      </c>
    </row>
    <row r="328" spans="1:3" x14ac:dyDescent="0.2">
      <c r="A328" s="70" t="s">
        <v>431</v>
      </c>
      <c r="B328" t="s">
        <v>846</v>
      </c>
      <c r="C328" t="s">
        <v>691</v>
      </c>
    </row>
    <row r="329" spans="1:3" x14ac:dyDescent="0.2">
      <c r="A329" s="70" t="s">
        <v>431</v>
      </c>
      <c r="B329" t="s">
        <v>847</v>
      </c>
      <c r="C329" t="s">
        <v>691</v>
      </c>
    </row>
    <row r="330" spans="1:3" x14ac:dyDescent="0.2">
      <c r="A330" s="70" t="s">
        <v>431</v>
      </c>
      <c r="B330" t="s">
        <v>848</v>
      </c>
      <c r="C330" t="s">
        <v>691</v>
      </c>
    </row>
    <row r="331" spans="1:3" x14ac:dyDescent="0.2">
      <c r="A331" s="70" t="s">
        <v>431</v>
      </c>
      <c r="B331" t="s">
        <v>1188</v>
      </c>
      <c r="C331" t="s">
        <v>691</v>
      </c>
    </row>
    <row r="332" spans="1:3" x14ac:dyDescent="0.2">
      <c r="A332" s="70" t="s">
        <v>431</v>
      </c>
      <c r="B332" t="s">
        <v>1189</v>
      </c>
      <c r="C332" t="s">
        <v>691</v>
      </c>
    </row>
    <row r="333" spans="1:3" x14ac:dyDescent="0.2">
      <c r="A333" s="70" t="s">
        <v>431</v>
      </c>
      <c r="B333" t="s">
        <v>1190</v>
      </c>
      <c r="C333" t="s">
        <v>691</v>
      </c>
    </row>
    <row r="334" spans="1:3" x14ac:dyDescent="0.2">
      <c r="A334" s="70" t="s">
        <v>431</v>
      </c>
      <c r="B334" t="s">
        <v>849</v>
      </c>
      <c r="C334" t="s">
        <v>691</v>
      </c>
    </row>
    <row r="335" spans="1:3" x14ac:dyDescent="0.2">
      <c r="A335" s="70" t="s">
        <v>431</v>
      </c>
      <c r="B335" t="s">
        <v>1191</v>
      </c>
      <c r="C335" t="s">
        <v>691</v>
      </c>
    </row>
    <row r="336" spans="1:3" x14ac:dyDescent="0.2">
      <c r="A336" s="70" t="s">
        <v>431</v>
      </c>
      <c r="B336" t="s">
        <v>1192</v>
      </c>
      <c r="C336" t="s">
        <v>691</v>
      </c>
    </row>
    <row r="337" spans="1:3" x14ac:dyDescent="0.2">
      <c r="A337" s="70" t="s">
        <v>431</v>
      </c>
      <c r="B337" t="s">
        <v>850</v>
      </c>
      <c r="C337" t="s">
        <v>691</v>
      </c>
    </row>
    <row r="338" spans="1:3" x14ac:dyDescent="0.2">
      <c r="A338" s="70" t="s">
        <v>431</v>
      </c>
      <c r="B338" t="s">
        <v>851</v>
      </c>
      <c r="C338" t="s">
        <v>691</v>
      </c>
    </row>
    <row r="339" spans="1:3" x14ac:dyDescent="0.2">
      <c r="A339" s="70" t="s">
        <v>431</v>
      </c>
      <c r="B339" t="s">
        <v>852</v>
      </c>
      <c r="C339" t="s">
        <v>691</v>
      </c>
    </row>
    <row r="340" spans="1:3" x14ac:dyDescent="0.2">
      <c r="A340" s="70" t="s">
        <v>431</v>
      </c>
      <c r="B340" t="s">
        <v>853</v>
      </c>
      <c r="C340" t="s">
        <v>691</v>
      </c>
    </row>
    <row r="341" spans="1:3" x14ac:dyDescent="0.2">
      <c r="A341" s="70" t="s">
        <v>431</v>
      </c>
      <c r="B341" t="s">
        <v>1193</v>
      </c>
      <c r="C341" t="s">
        <v>691</v>
      </c>
    </row>
    <row r="342" spans="1:3" x14ac:dyDescent="0.2">
      <c r="A342" s="70" t="s">
        <v>431</v>
      </c>
      <c r="B342" t="s">
        <v>1194</v>
      </c>
      <c r="C342" t="s">
        <v>691</v>
      </c>
    </row>
    <row r="343" spans="1:3" x14ac:dyDescent="0.2">
      <c r="A343" s="70" t="s">
        <v>431</v>
      </c>
      <c r="B343" t="s">
        <v>1195</v>
      </c>
      <c r="C343" t="s">
        <v>691</v>
      </c>
    </row>
    <row r="344" spans="1:3" x14ac:dyDescent="0.2">
      <c r="A344" s="70" t="s">
        <v>431</v>
      </c>
      <c r="B344" t="s">
        <v>854</v>
      </c>
      <c r="C344" t="s">
        <v>691</v>
      </c>
    </row>
    <row r="345" spans="1:3" x14ac:dyDescent="0.2">
      <c r="A345" s="70" t="s">
        <v>431</v>
      </c>
      <c r="B345" t="s">
        <v>1196</v>
      </c>
      <c r="C345" t="s">
        <v>691</v>
      </c>
    </row>
    <row r="346" spans="1:3" x14ac:dyDescent="0.2">
      <c r="A346" s="70" t="s">
        <v>431</v>
      </c>
      <c r="B346" t="s">
        <v>1197</v>
      </c>
      <c r="C346" t="s">
        <v>691</v>
      </c>
    </row>
    <row r="347" spans="1:3" x14ac:dyDescent="0.2">
      <c r="A347" s="70" t="s">
        <v>431</v>
      </c>
      <c r="B347" t="s">
        <v>855</v>
      </c>
      <c r="C347" t="s">
        <v>691</v>
      </c>
    </row>
    <row r="348" spans="1:3" x14ac:dyDescent="0.2">
      <c r="A348" s="70" t="s">
        <v>431</v>
      </c>
      <c r="B348" t="s">
        <v>856</v>
      </c>
      <c r="C348" t="s">
        <v>691</v>
      </c>
    </row>
    <row r="349" spans="1:3" x14ac:dyDescent="0.2">
      <c r="A349" s="70" t="s">
        <v>431</v>
      </c>
      <c r="B349" t="s">
        <v>857</v>
      </c>
      <c r="C349" t="s">
        <v>691</v>
      </c>
    </row>
    <row r="350" spans="1:3" x14ac:dyDescent="0.2">
      <c r="A350" s="70" t="s">
        <v>431</v>
      </c>
      <c r="B350" t="s">
        <v>858</v>
      </c>
      <c r="C350" t="s">
        <v>691</v>
      </c>
    </row>
    <row r="351" spans="1:3" x14ac:dyDescent="0.2">
      <c r="A351" s="70" t="s">
        <v>431</v>
      </c>
      <c r="B351" t="s">
        <v>1198</v>
      </c>
      <c r="C351" t="s">
        <v>691</v>
      </c>
    </row>
    <row r="352" spans="1:3" x14ac:dyDescent="0.2">
      <c r="A352" s="70" t="s">
        <v>431</v>
      </c>
      <c r="B352" t="s">
        <v>1199</v>
      </c>
      <c r="C352" t="s">
        <v>691</v>
      </c>
    </row>
    <row r="353" spans="1:3" x14ac:dyDescent="0.2">
      <c r="A353" s="70" t="s">
        <v>431</v>
      </c>
      <c r="B353" t="s">
        <v>1200</v>
      </c>
      <c r="C353" t="s">
        <v>691</v>
      </c>
    </row>
    <row r="354" spans="1:3" x14ac:dyDescent="0.2">
      <c r="A354" s="70" t="s">
        <v>431</v>
      </c>
      <c r="B354" t="s">
        <v>859</v>
      </c>
      <c r="C354" t="s">
        <v>691</v>
      </c>
    </row>
    <row r="355" spans="1:3" x14ac:dyDescent="0.2">
      <c r="A355" s="70" t="s">
        <v>431</v>
      </c>
      <c r="B355" t="s">
        <v>1201</v>
      </c>
      <c r="C355" t="s">
        <v>691</v>
      </c>
    </row>
    <row r="356" spans="1:3" x14ac:dyDescent="0.2">
      <c r="A356" s="70" t="s">
        <v>431</v>
      </c>
      <c r="B356" t="s">
        <v>1202</v>
      </c>
      <c r="C356" t="s">
        <v>691</v>
      </c>
    </row>
    <row r="357" spans="1:3" x14ac:dyDescent="0.2">
      <c r="A357" s="70" t="s">
        <v>431</v>
      </c>
      <c r="B357" t="s">
        <v>860</v>
      </c>
      <c r="C357" t="s">
        <v>691</v>
      </c>
    </row>
    <row r="358" spans="1:3" x14ac:dyDescent="0.2">
      <c r="A358" s="70" t="s">
        <v>431</v>
      </c>
      <c r="B358" t="s">
        <v>861</v>
      </c>
      <c r="C358" t="s">
        <v>691</v>
      </c>
    </row>
    <row r="359" spans="1:3" x14ac:dyDescent="0.2">
      <c r="A359" s="70" t="s">
        <v>431</v>
      </c>
      <c r="B359" t="s">
        <v>862</v>
      </c>
      <c r="C359" t="s">
        <v>691</v>
      </c>
    </row>
    <row r="360" spans="1:3" x14ac:dyDescent="0.2">
      <c r="A360" s="70" t="s">
        <v>431</v>
      </c>
      <c r="B360" t="s">
        <v>863</v>
      </c>
      <c r="C360" t="s">
        <v>691</v>
      </c>
    </row>
    <row r="361" spans="1:3" x14ac:dyDescent="0.2">
      <c r="A361" s="70" t="s">
        <v>431</v>
      </c>
      <c r="B361" t="s">
        <v>1203</v>
      </c>
      <c r="C361" t="s">
        <v>691</v>
      </c>
    </row>
    <row r="362" spans="1:3" x14ac:dyDescent="0.2">
      <c r="A362" s="70" t="s">
        <v>431</v>
      </c>
      <c r="B362" t="s">
        <v>1204</v>
      </c>
      <c r="C362" t="s">
        <v>691</v>
      </c>
    </row>
    <row r="363" spans="1:3" x14ac:dyDescent="0.2">
      <c r="A363" s="70" t="s">
        <v>431</v>
      </c>
      <c r="B363" t="s">
        <v>1205</v>
      </c>
      <c r="C363" t="s">
        <v>691</v>
      </c>
    </row>
    <row r="364" spans="1:3" x14ac:dyDescent="0.2">
      <c r="A364" s="70" t="s">
        <v>431</v>
      </c>
      <c r="B364" t="s">
        <v>864</v>
      </c>
      <c r="C364" t="s">
        <v>691</v>
      </c>
    </row>
    <row r="365" spans="1:3" x14ac:dyDescent="0.2">
      <c r="A365" s="70" t="s">
        <v>431</v>
      </c>
      <c r="B365" t="s">
        <v>1206</v>
      </c>
      <c r="C365" t="s">
        <v>691</v>
      </c>
    </row>
    <row r="366" spans="1:3" x14ac:dyDescent="0.2">
      <c r="A366" s="70" t="s">
        <v>431</v>
      </c>
      <c r="B366" t="s">
        <v>1091</v>
      </c>
      <c r="C366" t="s">
        <v>691</v>
      </c>
    </row>
    <row r="367" spans="1:3" x14ac:dyDescent="0.2">
      <c r="A367" s="70" t="s">
        <v>431</v>
      </c>
      <c r="B367" t="s">
        <v>752</v>
      </c>
      <c r="C367" t="s">
        <v>691</v>
      </c>
    </row>
    <row r="368" spans="1:3" x14ac:dyDescent="0.2">
      <c r="A368" s="70" t="s">
        <v>431</v>
      </c>
      <c r="B368" t="s">
        <v>754</v>
      </c>
      <c r="C368" t="s">
        <v>691</v>
      </c>
    </row>
    <row r="369" spans="1:3" x14ac:dyDescent="0.2">
      <c r="A369" s="70" t="s">
        <v>431</v>
      </c>
      <c r="B369" t="s">
        <v>755</v>
      </c>
      <c r="C369" t="s">
        <v>691</v>
      </c>
    </row>
    <row r="370" spans="1:3" x14ac:dyDescent="0.2">
      <c r="A370" s="70" t="s">
        <v>431</v>
      </c>
      <c r="B370" t="s">
        <v>756</v>
      </c>
      <c r="C370" t="s">
        <v>691</v>
      </c>
    </row>
    <row r="371" spans="1:3" x14ac:dyDescent="0.2">
      <c r="A371" s="70" t="s">
        <v>431</v>
      </c>
      <c r="B371" t="s">
        <v>1092</v>
      </c>
      <c r="C371" t="s">
        <v>691</v>
      </c>
    </row>
    <row r="372" spans="1:3" x14ac:dyDescent="0.2">
      <c r="A372" s="70" t="s">
        <v>431</v>
      </c>
      <c r="B372" t="s">
        <v>1093</v>
      </c>
      <c r="C372" t="s">
        <v>691</v>
      </c>
    </row>
    <row r="373" spans="1:3" x14ac:dyDescent="0.2">
      <c r="A373" s="70" t="s">
        <v>431</v>
      </c>
      <c r="B373" t="s">
        <v>1094</v>
      </c>
      <c r="C373" t="s">
        <v>691</v>
      </c>
    </row>
    <row r="374" spans="1:3" x14ac:dyDescent="0.2">
      <c r="A374" s="70" t="s">
        <v>431</v>
      </c>
      <c r="B374" t="s">
        <v>757</v>
      </c>
      <c r="C374" t="s">
        <v>691</v>
      </c>
    </row>
    <row r="375" spans="1:3" x14ac:dyDescent="0.2">
      <c r="A375" s="70" t="s">
        <v>431</v>
      </c>
      <c r="B375" t="s">
        <v>1095</v>
      </c>
      <c r="C375" t="s">
        <v>691</v>
      </c>
    </row>
    <row r="376" spans="1:3" x14ac:dyDescent="0.2">
      <c r="A376" s="70" t="s">
        <v>431</v>
      </c>
      <c r="B376" t="s">
        <v>1096</v>
      </c>
      <c r="C376" t="s">
        <v>691</v>
      </c>
    </row>
    <row r="377" spans="1:3" x14ac:dyDescent="0.2">
      <c r="A377" s="70" t="s">
        <v>431</v>
      </c>
      <c r="B377" t="s">
        <v>758</v>
      </c>
      <c r="C377" t="s">
        <v>691</v>
      </c>
    </row>
    <row r="378" spans="1:3" x14ac:dyDescent="0.2">
      <c r="A378" s="70" t="s">
        <v>410</v>
      </c>
      <c r="B378" t="s">
        <v>1207</v>
      </c>
      <c r="C378" t="s">
        <v>691</v>
      </c>
    </row>
    <row r="379" spans="1:3" x14ac:dyDescent="0.2">
      <c r="A379" s="70" t="s">
        <v>410</v>
      </c>
      <c r="B379" t="s">
        <v>865</v>
      </c>
      <c r="C379" t="s">
        <v>691</v>
      </c>
    </row>
    <row r="380" spans="1:3" x14ac:dyDescent="0.2">
      <c r="A380" s="70" t="s">
        <v>410</v>
      </c>
      <c r="B380" t="s">
        <v>867</v>
      </c>
      <c r="C380" t="s">
        <v>691</v>
      </c>
    </row>
    <row r="381" spans="1:3" x14ac:dyDescent="0.2">
      <c r="A381" s="70" t="s">
        <v>410</v>
      </c>
      <c r="B381" t="s">
        <v>868</v>
      </c>
      <c r="C381" t="s">
        <v>691</v>
      </c>
    </row>
    <row r="382" spans="1:3" x14ac:dyDescent="0.2">
      <c r="A382" s="70" t="s">
        <v>410</v>
      </c>
      <c r="B382" t="s">
        <v>869</v>
      </c>
      <c r="C382" t="s">
        <v>691</v>
      </c>
    </row>
    <row r="383" spans="1:3" x14ac:dyDescent="0.2">
      <c r="A383" s="70" t="s">
        <v>410</v>
      </c>
      <c r="B383" t="s">
        <v>1208</v>
      </c>
      <c r="C383" t="s">
        <v>691</v>
      </c>
    </row>
    <row r="384" spans="1:3" x14ac:dyDescent="0.2">
      <c r="A384" s="70" t="s">
        <v>410</v>
      </c>
      <c r="B384" t="s">
        <v>1209</v>
      </c>
      <c r="C384" t="s">
        <v>691</v>
      </c>
    </row>
    <row r="385" spans="1:3" x14ac:dyDescent="0.2">
      <c r="A385" s="70" t="s">
        <v>410</v>
      </c>
      <c r="B385" t="s">
        <v>1210</v>
      </c>
      <c r="C385" t="s">
        <v>691</v>
      </c>
    </row>
    <row r="386" spans="1:3" x14ac:dyDescent="0.2">
      <c r="A386" s="70" t="s">
        <v>410</v>
      </c>
      <c r="B386" t="s">
        <v>870</v>
      </c>
      <c r="C386" t="s">
        <v>691</v>
      </c>
    </row>
    <row r="387" spans="1:3" x14ac:dyDescent="0.2">
      <c r="A387" s="70" t="s">
        <v>410</v>
      </c>
      <c r="B387" t="s">
        <v>1211</v>
      </c>
      <c r="C387" t="s">
        <v>691</v>
      </c>
    </row>
    <row r="388" spans="1:3" x14ac:dyDescent="0.2">
      <c r="A388" s="70" t="s">
        <v>410</v>
      </c>
      <c r="B388" t="s">
        <v>1212</v>
      </c>
      <c r="C388" t="s">
        <v>691</v>
      </c>
    </row>
    <row r="389" spans="1:3" x14ac:dyDescent="0.2">
      <c r="A389" s="70" t="s">
        <v>410</v>
      </c>
      <c r="B389" t="s">
        <v>871</v>
      </c>
      <c r="C389" t="s">
        <v>691</v>
      </c>
    </row>
    <row r="390" spans="1:3" x14ac:dyDescent="0.2">
      <c r="A390" s="70" t="s">
        <v>410</v>
      </c>
      <c r="B390" t="s">
        <v>872</v>
      </c>
      <c r="C390" t="s">
        <v>691</v>
      </c>
    </row>
    <row r="391" spans="1:3" x14ac:dyDescent="0.2">
      <c r="A391" s="70" t="s">
        <v>410</v>
      </c>
      <c r="B391" t="s">
        <v>873</v>
      </c>
      <c r="C391" t="s">
        <v>691</v>
      </c>
    </row>
    <row r="392" spans="1:3" x14ac:dyDescent="0.2">
      <c r="A392" s="70" t="s">
        <v>410</v>
      </c>
      <c r="B392" t="s">
        <v>874</v>
      </c>
      <c r="C392" t="s">
        <v>691</v>
      </c>
    </row>
    <row r="393" spans="1:3" x14ac:dyDescent="0.2">
      <c r="A393" s="70" t="s">
        <v>410</v>
      </c>
      <c r="B393" t="s">
        <v>1213</v>
      </c>
      <c r="C393" t="s">
        <v>691</v>
      </c>
    </row>
    <row r="394" spans="1:3" x14ac:dyDescent="0.2">
      <c r="A394" s="70" t="s">
        <v>410</v>
      </c>
      <c r="B394" t="s">
        <v>1214</v>
      </c>
      <c r="C394" t="s">
        <v>691</v>
      </c>
    </row>
    <row r="395" spans="1:3" x14ac:dyDescent="0.2">
      <c r="A395" s="70" t="s">
        <v>410</v>
      </c>
      <c r="B395" t="s">
        <v>1215</v>
      </c>
      <c r="C395" t="s">
        <v>691</v>
      </c>
    </row>
    <row r="396" spans="1:3" x14ac:dyDescent="0.2">
      <c r="A396" s="70" t="s">
        <v>410</v>
      </c>
      <c r="B396" t="s">
        <v>875</v>
      </c>
      <c r="C396" t="s">
        <v>691</v>
      </c>
    </row>
    <row r="397" spans="1:3" x14ac:dyDescent="0.2">
      <c r="A397" s="70" t="s">
        <v>410</v>
      </c>
      <c r="B397" t="s">
        <v>1216</v>
      </c>
      <c r="C397" t="s">
        <v>691</v>
      </c>
    </row>
    <row r="398" spans="1:3" x14ac:dyDescent="0.2">
      <c r="A398" s="70" t="s">
        <v>410</v>
      </c>
      <c r="B398" t="s">
        <v>1217</v>
      </c>
      <c r="C398" t="s">
        <v>691</v>
      </c>
    </row>
    <row r="399" spans="1:3" x14ac:dyDescent="0.2">
      <c r="A399" s="70" t="s">
        <v>410</v>
      </c>
      <c r="B399" t="s">
        <v>876</v>
      </c>
      <c r="C399" t="s">
        <v>691</v>
      </c>
    </row>
    <row r="400" spans="1:3" x14ac:dyDescent="0.2">
      <c r="A400" s="70" t="s">
        <v>410</v>
      </c>
      <c r="B400" t="s">
        <v>877</v>
      </c>
      <c r="C400" t="s">
        <v>691</v>
      </c>
    </row>
    <row r="401" spans="1:3" x14ac:dyDescent="0.2">
      <c r="A401" s="70" t="s">
        <v>410</v>
      </c>
      <c r="B401" t="s">
        <v>878</v>
      </c>
      <c r="C401" t="s">
        <v>691</v>
      </c>
    </row>
    <row r="402" spans="1:3" x14ac:dyDescent="0.2">
      <c r="A402" s="70" t="s">
        <v>410</v>
      </c>
      <c r="B402" t="s">
        <v>879</v>
      </c>
      <c r="C402" t="s">
        <v>691</v>
      </c>
    </row>
    <row r="403" spans="1:3" x14ac:dyDescent="0.2">
      <c r="A403" s="70" t="s">
        <v>410</v>
      </c>
      <c r="B403" t="s">
        <v>1218</v>
      </c>
      <c r="C403" t="s">
        <v>691</v>
      </c>
    </row>
    <row r="404" spans="1:3" x14ac:dyDescent="0.2">
      <c r="A404" s="70" t="s">
        <v>410</v>
      </c>
      <c r="B404" t="s">
        <v>1219</v>
      </c>
      <c r="C404" t="s">
        <v>691</v>
      </c>
    </row>
    <row r="405" spans="1:3" x14ac:dyDescent="0.2">
      <c r="A405" s="70" t="s">
        <v>410</v>
      </c>
      <c r="B405" t="s">
        <v>1220</v>
      </c>
      <c r="C405" t="s">
        <v>691</v>
      </c>
    </row>
    <row r="406" spans="1:3" x14ac:dyDescent="0.2">
      <c r="A406" s="70" t="s">
        <v>410</v>
      </c>
      <c r="B406" t="s">
        <v>880</v>
      </c>
      <c r="C406" t="s">
        <v>691</v>
      </c>
    </row>
    <row r="407" spans="1:3" x14ac:dyDescent="0.2">
      <c r="A407" s="70" t="s">
        <v>410</v>
      </c>
      <c r="B407" t="s">
        <v>1221</v>
      </c>
      <c r="C407" t="s">
        <v>691</v>
      </c>
    </row>
    <row r="408" spans="1:3" x14ac:dyDescent="0.2">
      <c r="A408" s="70" t="s">
        <v>410</v>
      </c>
      <c r="B408" t="s">
        <v>1222</v>
      </c>
      <c r="C408" t="s">
        <v>691</v>
      </c>
    </row>
    <row r="409" spans="1:3" x14ac:dyDescent="0.2">
      <c r="A409" s="70" t="s">
        <v>410</v>
      </c>
      <c r="B409" t="s">
        <v>881</v>
      </c>
      <c r="C409" t="s">
        <v>691</v>
      </c>
    </row>
    <row r="410" spans="1:3" x14ac:dyDescent="0.2">
      <c r="A410" s="70" t="s">
        <v>410</v>
      </c>
      <c r="B410" t="s">
        <v>674</v>
      </c>
      <c r="C410" t="s">
        <v>691</v>
      </c>
    </row>
    <row r="411" spans="1:3" x14ac:dyDescent="0.2">
      <c r="A411" s="70" t="s">
        <v>410</v>
      </c>
      <c r="B411" t="s">
        <v>602</v>
      </c>
      <c r="C411" t="s">
        <v>691</v>
      </c>
    </row>
    <row r="412" spans="1:3" x14ac:dyDescent="0.2">
      <c r="A412" s="70" t="s">
        <v>410</v>
      </c>
      <c r="B412" t="s">
        <v>658</v>
      </c>
      <c r="C412" t="s">
        <v>691</v>
      </c>
    </row>
    <row r="413" spans="1:3" x14ac:dyDescent="0.2">
      <c r="A413" s="70" t="s">
        <v>410</v>
      </c>
      <c r="B413" t="s">
        <v>1223</v>
      </c>
      <c r="C413" t="s">
        <v>691</v>
      </c>
    </row>
    <row r="414" spans="1:3" x14ac:dyDescent="0.2">
      <c r="A414" s="70" t="s">
        <v>410</v>
      </c>
      <c r="B414" t="s">
        <v>1224</v>
      </c>
      <c r="C414" t="s">
        <v>691</v>
      </c>
    </row>
    <row r="415" spans="1:3" x14ac:dyDescent="0.2">
      <c r="A415" s="70" t="s">
        <v>410</v>
      </c>
      <c r="B415" t="s">
        <v>1225</v>
      </c>
      <c r="C415" t="s">
        <v>691</v>
      </c>
    </row>
    <row r="416" spans="1:3" x14ac:dyDescent="0.2">
      <c r="A416" s="70" t="s">
        <v>410</v>
      </c>
      <c r="B416" t="s">
        <v>882</v>
      </c>
      <c r="C416" t="s">
        <v>691</v>
      </c>
    </row>
    <row r="417" spans="1:3" x14ac:dyDescent="0.2">
      <c r="A417" s="70" t="s">
        <v>410</v>
      </c>
      <c r="B417" t="s">
        <v>1226</v>
      </c>
      <c r="C417" t="s">
        <v>691</v>
      </c>
    </row>
    <row r="418" spans="1:3" x14ac:dyDescent="0.2">
      <c r="A418" s="70" t="s">
        <v>410</v>
      </c>
      <c r="B418" t="s">
        <v>675</v>
      </c>
      <c r="C418" t="s">
        <v>691</v>
      </c>
    </row>
    <row r="419" spans="1:3" x14ac:dyDescent="0.2">
      <c r="A419" s="70" t="s">
        <v>410</v>
      </c>
      <c r="B419" t="s">
        <v>603</v>
      </c>
      <c r="C419" t="s">
        <v>691</v>
      </c>
    </row>
    <row r="420" spans="1:3" x14ac:dyDescent="0.2">
      <c r="A420" s="70" t="s">
        <v>410</v>
      </c>
      <c r="B420" t="s">
        <v>659</v>
      </c>
      <c r="C420" t="s">
        <v>691</v>
      </c>
    </row>
    <row r="421" spans="1:3" x14ac:dyDescent="0.2">
      <c r="A421" s="70" t="s">
        <v>410</v>
      </c>
      <c r="B421" t="s">
        <v>1227</v>
      </c>
      <c r="C421" t="s">
        <v>691</v>
      </c>
    </row>
    <row r="422" spans="1:3" x14ac:dyDescent="0.2">
      <c r="A422" s="70" t="s">
        <v>410</v>
      </c>
      <c r="B422" t="s">
        <v>1228</v>
      </c>
      <c r="C422" t="s">
        <v>691</v>
      </c>
    </row>
    <row r="423" spans="1:3" x14ac:dyDescent="0.2">
      <c r="A423" s="70" t="s">
        <v>410</v>
      </c>
      <c r="B423" t="s">
        <v>1229</v>
      </c>
      <c r="C423" t="s">
        <v>691</v>
      </c>
    </row>
    <row r="424" spans="1:3" x14ac:dyDescent="0.2">
      <c r="A424" s="70" t="s">
        <v>410</v>
      </c>
      <c r="B424" t="s">
        <v>412</v>
      </c>
      <c r="C424" t="s">
        <v>691</v>
      </c>
    </row>
    <row r="425" spans="1:3" x14ac:dyDescent="0.2">
      <c r="A425" s="70" t="s">
        <v>410</v>
      </c>
      <c r="B425" t="s">
        <v>1230</v>
      </c>
      <c r="C425" t="s">
        <v>691</v>
      </c>
    </row>
    <row r="426" spans="1:3" x14ac:dyDescent="0.2">
      <c r="A426" s="70" t="s">
        <v>410</v>
      </c>
      <c r="B426" t="s">
        <v>628</v>
      </c>
      <c r="C426" t="s">
        <v>691</v>
      </c>
    </row>
    <row r="427" spans="1:3" x14ac:dyDescent="0.2">
      <c r="A427" s="70" t="s">
        <v>410</v>
      </c>
      <c r="B427" t="s">
        <v>1231</v>
      </c>
      <c r="C427" t="s">
        <v>691</v>
      </c>
    </row>
    <row r="428" spans="1:3" x14ac:dyDescent="0.2">
      <c r="A428" s="70" t="s">
        <v>410</v>
      </c>
      <c r="B428" t="s">
        <v>676</v>
      </c>
      <c r="C428" t="s">
        <v>691</v>
      </c>
    </row>
    <row r="429" spans="1:3" x14ac:dyDescent="0.2">
      <c r="A429" s="70" t="s">
        <v>410</v>
      </c>
      <c r="B429" t="s">
        <v>606</v>
      </c>
      <c r="C429" t="s">
        <v>691</v>
      </c>
    </row>
    <row r="430" spans="1:3" x14ac:dyDescent="0.2">
      <c r="A430" s="70" t="s">
        <v>410</v>
      </c>
      <c r="B430" t="s">
        <v>660</v>
      </c>
      <c r="C430" t="s">
        <v>691</v>
      </c>
    </row>
    <row r="431" spans="1:3" x14ac:dyDescent="0.2">
      <c r="A431" s="70" t="s">
        <v>410</v>
      </c>
      <c r="B431" t="s">
        <v>1232</v>
      </c>
      <c r="C431" t="s">
        <v>691</v>
      </c>
    </row>
    <row r="432" spans="1:3" x14ac:dyDescent="0.2">
      <c r="A432" s="70" t="s">
        <v>410</v>
      </c>
      <c r="B432" t="s">
        <v>1233</v>
      </c>
      <c r="C432" t="s">
        <v>691</v>
      </c>
    </row>
    <row r="433" spans="1:3" x14ac:dyDescent="0.2">
      <c r="A433" s="70" t="s">
        <v>410</v>
      </c>
      <c r="B433" t="s">
        <v>1234</v>
      </c>
      <c r="C433" t="s">
        <v>691</v>
      </c>
    </row>
    <row r="434" spans="1:3" x14ac:dyDescent="0.2">
      <c r="A434" s="70" t="s">
        <v>410</v>
      </c>
      <c r="B434" t="s">
        <v>415</v>
      </c>
      <c r="C434" t="s">
        <v>691</v>
      </c>
    </row>
    <row r="435" spans="1:3" x14ac:dyDescent="0.2">
      <c r="A435" s="70" t="s">
        <v>410</v>
      </c>
      <c r="B435" t="s">
        <v>1235</v>
      </c>
      <c r="C435" t="s">
        <v>691</v>
      </c>
    </row>
    <row r="436" spans="1:3" x14ac:dyDescent="0.2">
      <c r="A436" s="70" t="s">
        <v>410</v>
      </c>
      <c r="B436" t="s">
        <v>632</v>
      </c>
      <c r="C436" t="s">
        <v>691</v>
      </c>
    </row>
    <row r="437" spans="1:3" x14ac:dyDescent="0.2">
      <c r="A437" s="70" t="s">
        <v>410</v>
      </c>
      <c r="B437" t="s">
        <v>1236</v>
      </c>
      <c r="C437" t="s">
        <v>691</v>
      </c>
    </row>
    <row r="438" spans="1:3" x14ac:dyDescent="0.2">
      <c r="A438" s="70" t="s">
        <v>410</v>
      </c>
      <c r="B438" t="s">
        <v>1237</v>
      </c>
      <c r="C438" t="s">
        <v>691</v>
      </c>
    </row>
    <row r="439" spans="1:3" x14ac:dyDescent="0.2">
      <c r="A439" s="70" t="s">
        <v>410</v>
      </c>
      <c r="B439" t="s">
        <v>636</v>
      </c>
      <c r="C439" t="s">
        <v>691</v>
      </c>
    </row>
    <row r="440" spans="1:3" x14ac:dyDescent="0.2">
      <c r="A440" s="70" t="s">
        <v>410</v>
      </c>
      <c r="B440" t="s">
        <v>677</v>
      </c>
      <c r="C440" t="s">
        <v>691</v>
      </c>
    </row>
    <row r="441" spans="1:3" x14ac:dyDescent="0.2">
      <c r="A441" s="70" t="s">
        <v>410</v>
      </c>
      <c r="B441" t="s">
        <v>608</v>
      </c>
      <c r="C441" t="s">
        <v>691</v>
      </c>
    </row>
    <row r="442" spans="1:3" x14ac:dyDescent="0.2">
      <c r="A442" s="70" t="s">
        <v>410</v>
      </c>
      <c r="B442" t="s">
        <v>661</v>
      </c>
      <c r="C442" t="s">
        <v>691</v>
      </c>
    </row>
    <row r="443" spans="1:3" x14ac:dyDescent="0.2">
      <c r="A443" s="70" t="s">
        <v>410</v>
      </c>
      <c r="B443" t="s">
        <v>1238</v>
      </c>
      <c r="C443" t="s">
        <v>691</v>
      </c>
    </row>
    <row r="444" spans="1:3" x14ac:dyDescent="0.2">
      <c r="A444" s="70" t="s">
        <v>410</v>
      </c>
      <c r="B444" t="s">
        <v>1239</v>
      </c>
      <c r="C444" t="s">
        <v>691</v>
      </c>
    </row>
    <row r="445" spans="1:3" x14ac:dyDescent="0.2">
      <c r="A445" s="70" t="s">
        <v>410</v>
      </c>
      <c r="B445" t="s">
        <v>1240</v>
      </c>
      <c r="C445" t="s">
        <v>691</v>
      </c>
    </row>
    <row r="446" spans="1:3" x14ac:dyDescent="0.2">
      <c r="A446" s="70" t="s">
        <v>410</v>
      </c>
      <c r="B446" t="s">
        <v>418</v>
      </c>
      <c r="C446" t="s">
        <v>691</v>
      </c>
    </row>
    <row r="447" spans="1:3" x14ac:dyDescent="0.2">
      <c r="A447" s="70" t="s">
        <v>410</v>
      </c>
      <c r="B447" t="s">
        <v>1241</v>
      </c>
      <c r="C447" t="s">
        <v>691</v>
      </c>
    </row>
    <row r="448" spans="1:3" x14ac:dyDescent="0.2">
      <c r="A448" s="70" t="s">
        <v>410</v>
      </c>
      <c r="B448" t="s">
        <v>1242</v>
      </c>
      <c r="C448" t="s">
        <v>691</v>
      </c>
    </row>
    <row r="449" spans="1:3" x14ac:dyDescent="0.2">
      <c r="A449" s="70" t="s">
        <v>410</v>
      </c>
      <c r="B449" t="s">
        <v>640</v>
      </c>
      <c r="C449" t="s">
        <v>691</v>
      </c>
    </row>
    <row r="450" spans="1:3" x14ac:dyDescent="0.2">
      <c r="A450" s="70" t="s">
        <v>410</v>
      </c>
      <c r="B450" t="s">
        <v>678</v>
      </c>
      <c r="C450" t="s">
        <v>691</v>
      </c>
    </row>
    <row r="451" spans="1:3" x14ac:dyDescent="0.2">
      <c r="A451" s="70" t="s">
        <v>410</v>
      </c>
      <c r="B451" t="s">
        <v>610</v>
      </c>
      <c r="C451" t="s">
        <v>691</v>
      </c>
    </row>
    <row r="452" spans="1:3" x14ac:dyDescent="0.2">
      <c r="A452" s="70" t="s">
        <v>410</v>
      </c>
      <c r="B452" t="s">
        <v>662</v>
      </c>
      <c r="C452" t="s">
        <v>691</v>
      </c>
    </row>
    <row r="453" spans="1:3" x14ac:dyDescent="0.2">
      <c r="A453" s="70" t="s">
        <v>410</v>
      </c>
      <c r="B453" t="s">
        <v>1243</v>
      </c>
      <c r="C453" t="s">
        <v>691</v>
      </c>
    </row>
    <row r="454" spans="1:3" x14ac:dyDescent="0.2">
      <c r="A454" s="70" t="s">
        <v>410</v>
      </c>
      <c r="B454" t="s">
        <v>1244</v>
      </c>
      <c r="C454" t="s">
        <v>691</v>
      </c>
    </row>
    <row r="455" spans="1:3" x14ac:dyDescent="0.2">
      <c r="A455" s="70" t="s">
        <v>410</v>
      </c>
      <c r="B455" t="s">
        <v>1245</v>
      </c>
      <c r="C455" t="s">
        <v>691</v>
      </c>
    </row>
    <row r="456" spans="1:3" x14ac:dyDescent="0.2">
      <c r="A456" s="70" t="s">
        <v>410</v>
      </c>
      <c r="B456" t="s">
        <v>421</v>
      </c>
      <c r="C456" t="s">
        <v>691</v>
      </c>
    </row>
    <row r="457" spans="1:3" x14ac:dyDescent="0.2">
      <c r="A457" s="70" t="s">
        <v>410</v>
      </c>
      <c r="B457" t="s">
        <v>1246</v>
      </c>
      <c r="C457" t="s">
        <v>691</v>
      </c>
    </row>
    <row r="458" spans="1:3" x14ac:dyDescent="0.2">
      <c r="A458" s="70" t="s">
        <v>410</v>
      </c>
      <c r="B458" t="s">
        <v>1247</v>
      </c>
      <c r="C458" t="s">
        <v>691</v>
      </c>
    </row>
    <row r="459" spans="1:3" x14ac:dyDescent="0.2">
      <c r="A459" s="70" t="s">
        <v>410</v>
      </c>
      <c r="B459" t="s">
        <v>883</v>
      </c>
      <c r="C459" t="s">
        <v>691</v>
      </c>
    </row>
    <row r="460" spans="1:3" x14ac:dyDescent="0.2">
      <c r="A460" s="70" t="s">
        <v>410</v>
      </c>
      <c r="B460" t="s">
        <v>884</v>
      </c>
      <c r="C460" t="s">
        <v>691</v>
      </c>
    </row>
    <row r="461" spans="1:3" x14ac:dyDescent="0.2">
      <c r="A461" s="70" t="s">
        <v>410</v>
      </c>
      <c r="B461" t="s">
        <v>885</v>
      </c>
      <c r="C461" t="s">
        <v>691</v>
      </c>
    </row>
    <row r="462" spans="1:3" x14ac:dyDescent="0.2">
      <c r="A462" s="70" t="s">
        <v>410</v>
      </c>
      <c r="B462" t="s">
        <v>886</v>
      </c>
      <c r="C462" t="s">
        <v>691</v>
      </c>
    </row>
    <row r="463" spans="1:3" x14ac:dyDescent="0.2">
      <c r="A463" s="70" t="s">
        <v>410</v>
      </c>
      <c r="B463" t="s">
        <v>1248</v>
      </c>
      <c r="C463" t="s">
        <v>691</v>
      </c>
    </row>
    <row r="464" spans="1:3" x14ac:dyDescent="0.2">
      <c r="A464" s="70" t="s">
        <v>410</v>
      </c>
      <c r="B464" t="s">
        <v>1249</v>
      </c>
      <c r="C464" t="s">
        <v>691</v>
      </c>
    </row>
    <row r="465" spans="1:3" x14ac:dyDescent="0.2">
      <c r="A465" s="70" t="s">
        <v>410</v>
      </c>
      <c r="B465" t="s">
        <v>1250</v>
      </c>
      <c r="C465" t="s">
        <v>691</v>
      </c>
    </row>
    <row r="466" spans="1:3" x14ac:dyDescent="0.2">
      <c r="A466" s="70" t="s">
        <v>410</v>
      </c>
      <c r="B466" t="s">
        <v>887</v>
      </c>
      <c r="C466" t="s">
        <v>691</v>
      </c>
    </row>
    <row r="467" spans="1:3" x14ac:dyDescent="0.2">
      <c r="A467" s="70" t="s">
        <v>410</v>
      </c>
      <c r="B467" t="s">
        <v>1251</v>
      </c>
      <c r="C467" t="s">
        <v>691</v>
      </c>
    </row>
    <row r="468" spans="1:3" x14ac:dyDescent="0.2">
      <c r="A468" s="70" t="s">
        <v>410</v>
      </c>
      <c r="B468" t="s">
        <v>1252</v>
      </c>
      <c r="C468" t="s">
        <v>691</v>
      </c>
    </row>
    <row r="469" spans="1:3" x14ac:dyDescent="0.2">
      <c r="A469" s="70" t="s">
        <v>410</v>
      </c>
      <c r="B469" t="s">
        <v>888</v>
      </c>
      <c r="C469" t="s">
        <v>691</v>
      </c>
    </row>
    <row r="470" spans="1:3" x14ac:dyDescent="0.2">
      <c r="A470" s="70" t="s">
        <v>410</v>
      </c>
      <c r="B470" t="s">
        <v>889</v>
      </c>
      <c r="C470" t="s">
        <v>691</v>
      </c>
    </row>
    <row r="471" spans="1:3" x14ac:dyDescent="0.2">
      <c r="A471" s="70" t="s">
        <v>410</v>
      </c>
      <c r="B471" t="s">
        <v>890</v>
      </c>
      <c r="C471" t="s">
        <v>691</v>
      </c>
    </row>
    <row r="472" spans="1:3" x14ac:dyDescent="0.2">
      <c r="A472" s="70" t="s">
        <v>410</v>
      </c>
      <c r="B472" t="s">
        <v>891</v>
      </c>
      <c r="C472" t="s">
        <v>691</v>
      </c>
    </row>
    <row r="473" spans="1:3" x14ac:dyDescent="0.2">
      <c r="A473" s="70" t="s">
        <v>410</v>
      </c>
      <c r="B473" t="s">
        <v>1253</v>
      </c>
      <c r="C473" t="s">
        <v>691</v>
      </c>
    </row>
    <row r="474" spans="1:3" x14ac:dyDescent="0.2">
      <c r="A474" s="70" t="s">
        <v>410</v>
      </c>
      <c r="B474" t="s">
        <v>1254</v>
      </c>
      <c r="C474" t="s">
        <v>691</v>
      </c>
    </row>
    <row r="475" spans="1:3" x14ac:dyDescent="0.2">
      <c r="A475" s="70" t="s">
        <v>410</v>
      </c>
      <c r="B475" t="s">
        <v>1255</v>
      </c>
      <c r="C475" t="s">
        <v>691</v>
      </c>
    </row>
    <row r="476" spans="1:3" x14ac:dyDescent="0.2">
      <c r="A476" s="70" t="s">
        <v>410</v>
      </c>
      <c r="B476" t="s">
        <v>892</v>
      </c>
      <c r="C476" t="s">
        <v>691</v>
      </c>
    </row>
    <row r="477" spans="1:3" x14ac:dyDescent="0.2">
      <c r="A477" s="70" t="s">
        <v>410</v>
      </c>
      <c r="B477" t="s">
        <v>1256</v>
      </c>
      <c r="C477" t="s">
        <v>691</v>
      </c>
    </row>
    <row r="478" spans="1:3" x14ac:dyDescent="0.2">
      <c r="A478" s="70" t="s">
        <v>410</v>
      </c>
      <c r="B478" t="s">
        <v>1257</v>
      </c>
      <c r="C478" t="s">
        <v>691</v>
      </c>
    </row>
    <row r="479" spans="1:3" x14ac:dyDescent="0.2">
      <c r="A479" s="70" t="s">
        <v>410</v>
      </c>
      <c r="B479" t="s">
        <v>643</v>
      </c>
      <c r="C479" t="s">
        <v>691</v>
      </c>
    </row>
    <row r="480" spans="1:3" x14ac:dyDescent="0.2">
      <c r="A480" s="70" t="s">
        <v>410</v>
      </c>
      <c r="B480" t="s">
        <v>679</v>
      </c>
      <c r="C480" t="s">
        <v>691</v>
      </c>
    </row>
    <row r="481" spans="1:3" x14ac:dyDescent="0.2">
      <c r="A481" s="70" t="s">
        <v>410</v>
      </c>
      <c r="B481" t="s">
        <v>612</v>
      </c>
      <c r="C481" t="s">
        <v>691</v>
      </c>
    </row>
    <row r="482" spans="1:3" x14ac:dyDescent="0.2">
      <c r="A482" s="70" t="s">
        <v>410</v>
      </c>
      <c r="B482" t="s">
        <v>663</v>
      </c>
      <c r="C482" t="s">
        <v>691</v>
      </c>
    </row>
    <row r="483" spans="1:3" x14ac:dyDescent="0.2">
      <c r="A483" s="70" t="s">
        <v>410</v>
      </c>
      <c r="B483" t="s">
        <v>1258</v>
      </c>
      <c r="C483" t="s">
        <v>691</v>
      </c>
    </row>
    <row r="484" spans="1:3" x14ac:dyDescent="0.2">
      <c r="A484" s="70" t="s">
        <v>410</v>
      </c>
      <c r="B484" t="s">
        <v>1259</v>
      </c>
      <c r="C484" t="s">
        <v>691</v>
      </c>
    </row>
    <row r="485" spans="1:3" x14ac:dyDescent="0.2">
      <c r="A485" s="70" t="s">
        <v>410</v>
      </c>
      <c r="B485" t="s">
        <v>1260</v>
      </c>
      <c r="C485" t="s">
        <v>691</v>
      </c>
    </row>
    <row r="486" spans="1:3" x14ac:dyDescent="0.2">
      <c r="A486" s="70" t="s">
        <v>410</v>
      </c>
      <c r="B486" t="s">
        <v>425</v>
      </c>
      <c r="C486" t="s">
        <v>691</v>
      </c>
    </row>
    <row r="487" spans="1:3" x14ac:dyDescent="0.2">
      <c r="A487" s="70" t="s">
        <v>410</v>
      </c>
      <c r="B487" t="s">
        <v>1261</v>
      </c>
      <c r="C487" t="s">
        <v>691</v>
      </c>
    </row>
    <row r="488" spans="1:3" x14ac:dyDescent="0.2">
      <c r="A488" s="70" t="s">
        <v>410</v>
      </c>
      <c r="B488" t="s">
        <v>1262</v>
      </c>
      <c r="C488" t="s">
        <v>691</v>
      </c>
    </row>
    <row r="489" spans="1:3" x14ac:dyDescent="0.2">
      <c r="A489" s="70" t="s">
        <v>410</v>
      </c>
      <c r="B489" t="s">
        <v>893</v>
      </c>
      <c r="C489" t="s">
        <v>691</v>
      </c>
    </row>
    <row r="490" spans="1:3" x14ac:dyDescent="0.2">
      <c r="A490" s="70" t="s">
        <v>410</v>
      </c>
      <c r="B490" t="s">
        <v>894</v>
      </c>
      <c r="C490" t="s">
        <v>691</v>
      </c>
    </row>
    <row r="491" spans="1:3" x14ac:dyDescent="0.2">
      <c r="A491" s="70" t="s">
        <v>410</v>
      </c>
      <c r="B491" t="s">
        <v>895</v>
      </c>
      <c r="C491" t="s">
        <v>691</v>
      </c>
    </row>
    <row r="492" spans="1:3" x14ac:dyDescent="0.2">
      <c r="A492" s="70" t="s">
        <v>410</v>
      </c>
      <c r="B492" t="s">
        <v>896</v>
      </c>
      <c r="C492" t="s">
        <v>691</v>
      </c>
    </row>
    <row r="493" spans="1:3" x14ac:dyDescent="0.2">
      <c r="A493" s="70" t="s">
        <v>410</v>
      </c>
      <c r="B493" t="s">
        <v>1263</v>
      </c>
      <c r="C493" t="s">
        <v>691</v>
      </c>
    </row>
    <row r="494" spans="1:3" x14ac:dyDescent="0.2">
      <c r="A494" s="70" t="s">
        <v>410</v>
      </c>
      <c r="B494" t="s">
        <v>1264</v>
      </c>
      <c r="C494" t="s">
        <v>691</v>
      </c>
    </row>
    <row r="495" spans="1:3" x14ac:dyDescent="0.2">
      <c r="A495" s="70" t="s">
        <v>410</v>
      </c>
      <c r="B495" t="s">
        <v>1265</v>
      </c>
      <c r="C495" t="s">
        <v>691</v>
      </c>
    </row>
    <row r="496" spans="1:3" x14ac:dyDescent="0.2">
      <c r="A496" s="70" t="s">
        <v>410</v>
      </c>
      <c r="B496" t="s">
        <v>897</v>
      </c>
      <c r="C496" t="s">
        <v>691</v>
      </c>
    </row>
    <row r="497" spans="1:3" x14ac:dyDescent="0.2">
      <c r="A497" s="70" t="s">
        <v>410</v>
      </c>
      <c r="B497" t="s">
        <v>1266</v>
      </c>
      <c r="C497" t="s">
        <v>691</v>
      </c>
    </row>
    <row r="498" spans="1:3" x14ac:dyDescent="0.2">
      <c r="A498" s="70" t="s">
        <v>410</v>
      </c>
      <c r="B498" t="s">
        <v>898</v>
      </c>
      <c r="C498" t="s">
        <v>691</v>
      </c>
    </row>
    <row r="499" spans="1:3" x14ac:dyDescent="0.2">
      <c r="A499" s="70" t="s">
        <v>410</v>
      </c>
      <c r="B499" t="s">
        <v>899</v>
      </c>
      <c r="C499" t="s">
        <v>691</v>
      </c>
    </row>
    <row r="500" spans="1:3" x14ac:dyDescent="0.2">
      <c r="A500" s="70" t="s">
        <v>410</v>
      </c>
      <c r="B500" t="s">
        <v>900</v>
      </c>
      <c r="C500" t="s">
        <v>691</v>
      </c>
    </row>
    <row r="501" spans="1:3" x14ac:dyDescent="0.2">
      <c r="A501" s="70" t="s">
        <v>410</v>
      </c>
      <c r="B501" t="s">
        <v>1267</v>
      </c>
      <c r="C501" t="s">
        <v>691</v>
      </c>
    </row>
    <row r="502" spans="1:3" x14ac:dyDescent="0.2">
      <c r="A502" s="70" t="s">
        <v>410</v>
      </c>
      <c r="B502" t="s">
        <v>1268</v>
      </c>
      <c r="C502" t="s">
        <v>691</v>
      </c>
    </row>
    <row r="503" spans="1:3" x14ac:dyDescent="0.2">
      <c r="A503" s="70" t="s">
        <v>410</v>
      </c>
      <c r="B503" t="s">
        <v>1269</v>
      </c>
      <c r="C503" t="s">
        <v>691</v>
      </c>
    </row>
    <row r="504" spans="1:3" x14ac:dyDescent="0.2">
      <c r="A504" s="70" t="s">
        <v>410</v>
      </c>
      <c r="B504" t="s">
        <v>901</v>
      </c>
      <c r="C504" t="s">
        <v>691</v>
      </c>
    </row>
    <row r="505" spans="1:3" x14ac:dyDescent="0.2">
      <c r="A505" s="70" t="s">
        <v>410</v>
      </c>
      <c r="B505" t="s">
        <v>1270</v>
      </c>
      <c r="C505" t="s">
        <v>691</v>
      </c>
    </row>
    <row r="506" spans="1:3" x14ac:dyDescent="0.2">
      <c r="A506" s="70" t="s">
        <v>410</v>
      </c>
      <c r="B506" t="s">
        <v>902</v>
      </c>
      <c r="C506" t="s">
        <v>691</v>
      </c>
    </row>
    <row r="507" spans="1:3" x14ac:dyDescent="0.2">
      <c r="A507" s="70" t="s">
        <v>410</v>
      </c>
      <c r="B507" t="s">
        <v>1271</v>
      </c>
      <c r="C507" t="s">
        <v>691</v>
      </c>
    </row>
    <row r="508" spans="1:3" x14ac:dyDescent="0.2">
      <c r="A508" s="70" t="s">
        <v>410</v>
      </c>
      <c r="B508" t="s">
        <v>903</v>
      </c>
      <c r="C508" t="s">
        <v>691</v>
      </c>
    </row>
    <row r="509" spans="1:3" x14ac:dyDescent="0.2">
      <c r="A509" s="70" t="s">
        <v>410</v>
      </c>
      <c r="B509" t="s">
        <v>904</v>
      </c>
      <c r="C509" t="s">
        <v>691</v>
      </c>
    </row>
    <row r="510" spans="1:3" x14ac:dyDescent="0.2">
      <c r="A510" s="70" t="s">
        <v>410</v>
      </c>
      <c r="B510" t="s">
        <v>905</v>
      </c>
      <c r="C510" t="s">
        <v>691</v>
      </c>
    </row>
    <row r="511" spans="1:3" x14ac:dyDescent="0.2">
      <c r="A511" s="70" t="s">
        <v>410</v>
      </c>
      <c r="B511" t="s">
        <v>1272</v>
      </c>
      <c r="C511" t="s">
        <v>691</v>
      </c>
    </row>
    <row r="512" spans="1:3" x14ac:dyDescent="0.2">
      <c r="A512" s="70" t="s">
        <v>410</v>
      </c>
      <c r="B512" t="s">
        <v>1273</v>
      </c>
      <c r="C512" t="s">
        <v>691</v>
      </c>
    </row>
    <row r="513" spans="1:3" x14ac:dyDescent="0.2">
      <c r="A513" s="70" t="s">
        <v>410</v>
      </c>
      <c r="B513" t="s">
        <v>1274</v>
      </c>
      <c r="C513" t="s">
        <v>691</v>
      </c>
    </row>
    <row r="514" spans="1:3" x14ac:dyDescent="0.2">
      <c r="A514" s="70" t="s">
        <v>410</v>
      </c>
      <c r="B514" t="s">
        <v>906</v>
      </c>
      <c r="C514" t="s">
        <v>691</v>
      </c>
    </row>
    <row r="515" spans="1:3" x14ac:dyDescent="0.2">
      <c r="A515" s="70" t="s">
        <v>410</v>
      </c>
      <c r="B515" t="s">
        <v>1275</v>
      </c>
      <c r="C515" t="s">
        <v>691</v>
      </c>
    </row>
    <row r="516" spans="1:3" x14ac:dyDescent="0.2">
      <c r="A516" s="70" t="s">
        <v>410</v>
      </c>
      <c r="B516" t="s">
        <v>907</v>
      </c>
      <c r="C516" t="s">
        <v>691</v>
      </c>
    </row>
    <row r="517" spans="1:3" x14ac:dyDescent="0.2">
      <c r="A517" s="70" t="s">
        <v>410</v>
      </c>
      <c r="B517" t="s">
        <v>1276</v>
      </c>
      <c r="C517" t="s">
        <v>691</v>
      </c>
    </row>
    <row r="518" spans="1:3" x14ac:dyDescent="0.2">
      <c r="A518" s="70" t="s">
        <v>410</v>
      </c>
      <c r="B518" t="s">
        <v>1277</v>
      </c>
      <c r="C518" t="s">
        <v>691</v>
      </c>
    </row>
    <row r="519" spans="1:3" x14ac:dyDescent="0.2">
      <c r="A519" s="70" t="s">
        <v>410</v>
      </c>
      <c r="B519" t="s">
        <v>908</v>
      </c>
      <c r="C519" t="s">
        <v>691</v>
      </c>
    </row>
    <row r="520" spans="1:3" x14ac:dyDescent="0.2">
      <c r="A520" s="70" t="s">
        <v>410</v>
      </c>
      <c r="B520" t="s">
        <v>909</v>
      </c>
      <c r="C520" t="s">
        <v>691</v>
      </c>
    </row>
    <row r="521" spans="1:3" x14ac:dyDescent="0.2">
      <c r="A521" s="70" t="s">
        <v>410</v>
      </c>
      <c r="B521" t="s">
        <v>910</v>
      </c>
      <c r="C521" t="s">
        <v>691</v>
      </c>
    </row>
    <row r="522" spans="1:3" x14ac:dyDescent="0.2">
      <c r="A522" s="70" t="s">
        <v>410</v>
      </c>
      <c r="B522" t="s">
        <v>911</v>
      </c>
      <c r="C522" t="s">
        <v>691</v>
      </c>
    </row>
    <row r="523" spans="1:3" x14ac:dyDescent="0.2">
      <c r="A523" s="70" t="s">
        <v>410</v>
      </c>
      <c r="B523" t="s">
        <v>1278</v>
      </c>
      <c r="C523" t="s">
        <v>691</v>
      </c>
    </row>
    <row r="524" spans="1:3" x14ac:dyDescent="0.2">
      <c r="A524" s="70" t="s">
        <v>410</v>
      </c>
      <c r="B524" t="s">
        <v>1279</v>
      </c>
      <c r="C524" t="s">
        <v>691</v>
      </c>
    </row>
    <row r="525" spans="1:3" x14ac:dyDescent="0.2">
      <c r="A525" s="70" t="s">
        <v>410</v>
      </c>
      <c r="B525" t="s">
        <v>1280</v>
      </c>
      <c r="C525" t="s">
        <v>691</v>
      </c>
    </row>
    <row r="526" spans="1:3" x14ac:dyDescent="0.2">
      <c r="A526" s="70" t="s">
        <v>410</v>
      </c>
      <c r="B526" t="s">
        <v>912</v>
      </c>
      <c r="C526" t="s">
        <v>691</v>
      </c>
    </row>
    <row r="527" spans="1:3" x14ac:dyDescent="0.2">
      <c r="A527" s="70" t="s">
        <v>410</v>
      </c>
      <c r="B527" t="s">
        <v>1281</v>
      </c>
      <c r="C527" t="s">
        <v>691</v>
      </c>
    </row>
    <row r="528" spans="1:3" x14ac:dyDescent="0.2">
      <c r="A528" s="70" t="s">
        <v>410</v>
      </c>
      <c r="B528" t="s">
        <v>1282</v>
      </c>
      <c r="C528" t="s">
        <v>691</v>
      </c>
    </row>
    <row r="529" spans="1:3" x14ac:dyDescent="0.2">
      <c r="A529" s="70" t="s">
        <v>410</v>
      </c>
      <c r="B529" t="s">
        <v>913</v>
      </c>
      <c r="C529" t="s">
        <v>691</v>
      </c>
    </row>
    <row r="530" spans="1:3" x14ac:dyDescent="0.2">
      <c r="A530" s="70" t="s">
        <v>410</v>
      </c>
      <c r="B530" t="s">
        <v>914</v>
      </c>
      <c r="C530" t="s">
        <v>691</v>
      </c>
    </row>
    <row r="531" spans="1:3" x14ac:dyDescent="0.2">
      <c r="A531" s="70" t="s">
        <v>410</v>
      </c>
      <c r="B531" t="s">
        <v>915</v>
      </c>
      <c r="C531" t="s">
        <v>691</v>
      </c>
    </row>
    <row r="532" spans="1:3" x14ac:dyDescent="0.2">
      <c r="A532" s="70" t="s">
        <v>410</v>
      </c>
      <c r="B532" t="s">
        <v>916</v>
      </c>
      <c r="C532" t="s">
        <v>691</v>
      </c>
    </row>
    <row r="533" spans="1:3" x14ac:dyDescent="0.2">
      <c r="A533" s="70" t="s">
        <v>410</v>
      </c>
      <c r="B533" t="s">
        <v>1283</v>
      </c>
      <c r="C533" t="s">
        <v>691</v>
      </c>
    </row>
    <row r="534" spans="1:3" x14ac:dyDescent="0.2">
      <c r="A534" s="70" t="s">
        <v>410</v>
      </c>
      <c r="B534" t="s">
        <v>1284</v>
      </c>
      <c r="C534" t="s">
        <v>691</v>
      </c>
    </row>
    <row r="535" spans="1:3" x14ac:dyDescent="0.2">
      <c r="A535" s="70" t="s">
        <v>410</v>
      </c>
      <c r="B535" t="s">
        <v>1285</v>
      </c>
      <c r="C535" t="s">
        <v>691</v>
      </c>
    </row>
    <row r="536" spans="1:3" x14ac:dyDescent="0.2">
      <c r="A536" s="70" t="s">
        <v>410</v>
      </c>
      <c r="B536" t="s">
        <v>917</v>
      </c>
      <c r="C536" t="s">
        <v>691</v>
      </c>
    </row>
    <row r="537" spans="1:3" x14ac:dyDescent="0.2">
      <c r="A537" s="70" t="s">
        <v>410</v>
      </c>
      <c r="B537" t="s">
        <v>1286</v>
      </c>
      <c r="C537" t="s">
        <v>691</v>
      </c>
    </row>
    <row r="538" spans="1:3" x14ac:dyDescent="0.2">
      <c r="A538" s="70" t="s">
        <v>410</v>
      </c>
      <c r="B538" t="s">
        <v>1287</v>
      </c>
      <c r="C538" t="s">
        <v>691</v>
      </c>
    </row>
    <row r="539" spans="1:3" x14ac:dyDescent="0.2">
      <c r="A539" s="70" t="s">
        <v>410</v>
      </c>
      <c r="B539" t="s">
        <v>918</v>
      </c>
      <c r="C539" t="s">
        <v>691</v>
      </c>
    </row>
    <row r="540" spans="1:3" x14ac:dyDescent="0.2">
      <c r="A540" s="70" t="s">
        <v>410</v>
      </c>
      <c r="B540" t="s">
        <v>919</v>
      </c>
      <c r="C540" t="s">
        <v>691</v>
      </c>
    </row>
    <row r="541" spans="1:3" x14ac:dyDescent="0.2">
      <c r="A541" s="70" t="s">
        <v>410</v>
      </c>
      <c r="B541" t="s">
        <v>920</v>
      </c>
      <c r="C541" t="s">
        <v>691</v>
      </c>
    </row>
    <row r="542" spans="1:3" x14ac:dyDescent="0.2">
      <c r="A542" s="70" t="s">
        <v>410</v>
      </c>
      <c r="B542" t="s">
        <v>921</v>
      </c>
      <c r="C542" t="s">
        <v>691</v>
      </c>
    </row>
    <row r="543" spans="1:3" x14ac:dyDescent="0.2">
      <c r="A543" s="70" t="s">
        <v>410</v>
      </c>
      <c r="B543" t="s">
        <v>1288</v>
      </c>
      <c r="C543" t="s">
        <v>691</v>
      </c>
    </row>
    <row r="544" spans="1:3" x14ac:dyDescent="0.2">
      <c r="A544" s="70" t="s">
        <v>410</v>
      </c>
      <c r="B544" t="s">
        <v>1289</v>
      </c>
      <c r="C544" t="s">
        <v>691</v>
      </c>
    </row>
    <row r="545" spans="1:3" x14ac:dyDescent="0.2">
      <c r="A545" s="70" t="s">
        <v>410</v>
      </c>
      <c r="B545" t="s">
        <v>1290</v>
      </c>
      <c r="C545" t="s">
        <v>691</v>
      </c>
    </row>
    <row r="546" spans="1:3" x14ac:dyDescent="0.2">
      <c r="A546" s="70" t="s">
        <v>410</v>
      </c>
      <c r="B546" t="s">
        <v>922</v>
      </c>
      <c r="C546" t="s">
        <v>691</v>
      </c>
    </row>
    <row r="547" spans="1:3" x14ac:dyDescent="0.2">
      <c r="A547" s="70" t="s">
        <v>410</v>
      </c>
      <c r="B547" t="s">
        <v>1291</v>
      </c>
      <c r="C547" t="s">
        <v>691</v>
      </c>
    </row>
    <row r="548" spans="1:3" x14ac:dyDescent="0.2">
      <c r="A548" s="70" t="s">
        <v>410</v>
      </c>
      <c r="B548" t="s">
        <v>1292</v>
      </c>
      <c r="C548" t="s">
        <v>691</v>
      </c>
    </row>
    <row r="549" spans="1:3" x14ac:dyDescent="0.2">
      <c r="A549" s="70" t="s">
        <v>410</v>
      </c>
      <c r="B549" t="s">
        <v>923</v>
      </c>
      <c r="C549" t="s">
        <v>691</v>
      </c>
    </row>
    <row r="550" spans="1:3" x14ac:dyDescent="0.2">
      <c r="A550" s="70" t="s">
        <v>410</v>
      </c>
      <c r="B550" t="s">
        <v>924</v>
      </c>
      <c r="C550" t="s">
        <v>691</v>
      </c>
    </row>
    <row r="551" spans="1:3" x14ac:dyDescent="0.2">
      <c r="A551" s="70" t="s">
        <v>410</v>
      </c>
      <c r="B551" t="s">
        <v>925</v>
      </c>
      <c r="C551" t="s">
        <v>691</v>
      </c>
    </row>
    <row r="552" spans="1:3" x14ac:dyDescent="0.2">
      <c r="A552" s="70" t="s">
        <v>410</v>
      </c>
      <c r="B552" t="s">
        <v>926</v>
      </c>
      <c r="C552" t="s">
        <v>691</v>
      </c>
    </row>
    <row r="553" spans="1:3" x14ac:dyDescent="0.2">
      <c r="A553" s="70" t="s">
        <v>410</v>
      </c>
      <c r="B553" t="s">
        <v>1293</v>
      </c>
      <c r="C553" t="s">
        <v>691</v>
      </c>
    </row>
    <row r="554" spans="1:3" x14ac:dyDescent="0.2">
      <c r="A554" s="70" t="s">
        <v>410</v>
      </c>
      <c r="B554" t="s">
        <v>1294</v>
      </c>
      <c r="C554" t="s">
        <v>691</v>
      </c>
    </row>
    <row r="555" spans="1:3" x14ac:dyDescent="0.2">
      <c r="A555" s="70" t="s">
        <v>410</v>
      </c>
      <c r="B555" t="s">
        <v>1295</v>
      </c>
      <c r="C555" t="s">
        <v>691</v>
      </c>
    </row>
    <row r="556" spans="1:3" x14ac:dyDescent="0.2">
      <c r="A556" s="70" t="s">
        <v>410</v>
      </c>
      <c r="B556" t="s">
        <v>927</v>
      </c>
      <c r="C556" t="s">
        <v>691</v>
      </c>
    </row>
    <row r="557" spans="1:3" x14ac:dyDescent="0.2">
      <c r="A557" s="70" t="s">
        <v>410</v>
      </c>
      <c r="B557" t="s">
        <v>1296</v>
      </c>
      <c r="C557" t="s">
        <v>691</v>
      </c>
    </row>
    <row r="558" spans="1:3" x14ac:dyDescent="0.2">
      <c r="A558" s="70" t="s">
        <v>410</v>
      </c>
      <c r="B558" t="s">
        <v>1297</v>
      </c>
      <c r="C558" t="s">
        <v>691</v>
      </c>
    </row>
    <row r="559" spans="1:3" x14ac:dyDescent="0.2">
      <c r="A559" s="70" t="s">
        <v>410</v>
      </c>
      <c r="B559" t="s">
        <v>928</v>
      </c>
      <c r="C559" t="s">
        <v>691</v>
      </c>
    </row>
    <row r="560" spans="1:3" x14ac:dyDescent="0.2">
      <c r="A560" s="70" t="s">
        <v>410</v>
      </c>
      <c r="B560" t="s">
        <v>929</v>
      </c>
      <c r="C560" t="s">
        <v>691</v>
      </c>
    </row>
    <row r="561" spans="1:3" x14ac:dyDescent="0.2">
      <c r="A561" s="70" t="s">
        <v>410</v>
      </c>
      <c r="B561" t="s">
        <v>930</v>
      </c>
      <c r="C561" t="s">
        <v>691</v>
      </c>
    </row>
    <row r="562" spans="1:3" x14ac:dyDescent="0.2">
      <c r="A562" s="70" t="s">
        <v>410</v>
      </c>
      <c r="B562" t="s">
        <v>931</v>
      </c>
      <c r="C562" t="s">
        <v>691</v>
      </c>
    </row>
    <row r="563" spans="1:3" x14ac:dyDescent="0.2">
      <c r="A563" s="70" t="s">
        <v>410</v>
      </c>
      <c r="B563" t="s">
        <v>1298</v>
      </c>
      <c r="C563" t="s">
        <v>691</v>
      </c>
    </row>
    <row r="564" spans="1:3" x14ac:dyDescent="0.2">
      <c r="A564" s="70" t="s">
        <v>410</v>
      </c>
      <c r="B564" t="s">
        <v>1299</v>
      </c>
      <c r="C564" t="s">
        <v>691</v>
      </c>
    </row>
    <row r="565" spans="1:3" x14ac:dyDescent="0.2">
      <c r="A565" s="70" t="s">
        <v>410</v>
      </c>
      <c r="B565" t="s">
        <v>1300</v>
      </c>
      <c r="C565" t="s">
        <v>691</v>
      </c>
    </row>
    <row r="566" spans="1:3" x14ac:dyDescent="0.2">
      <c r="A566" s="70" t="s">
        <v>410</v>
      </c>
      <c r="B566" t="s">
        <v>932</v>
      </c>
      <c r="C566" t="s">
        <v>691</v>
      </c>
    </row>
    <row r="567" spans="1:3" x14ac:dyDescent="0.2">
      <c r="A567" s="70" t="s">
        <v>410</v>
      </c>
      <c r="B567" t="s">
        <v>1301</v>
      </c>
      <c r="C567" t="s">
        <v>691</v>
      </c>
    </row>
    <row r="568" spans="1:3" x14ac:dyDescent="0.2">
      <c r="A568" s="70" t="s">
        <v>410</v>
      </c>
      <c r="B568" t="s">
        <v>1302</v>
      </c>
      <c r="C568" t="s">
        <v>691</v>
      </c>
    </row>
    <row r="569" spans="1:3" x14ac:dyDescent="0.2">
      <c r="A569" s="70" t="s">
        <v>410</v>
      </c>
      <c r="B569" t="s">
        <v>933</v>
      </c>
      <c r="C569" t="s">
        <v>691</v>
      </c>
    </row>
    <row r="570" spans="1:3" x14ac:dyDescent="0.2">
      <c r="A570" s="70" t="s">
        <v>410</v>
      </c>
      <c r="B570" t="s">
        <v>934</v>
      </c>
      <c r="C570" t="s">
        <v>691</v>
      </c>
    </row>
    <row r="571" spans="1:3" x14ac:dyDescent="0.2">
      <c r="A571" s="70" t="s">
        <v>410</v>
      </c>
      <c r="B571" t="s">
        <v>935</v>
      </c>
      <c r="C571" t="s">
        <v>691</v>
      </c>
    </row>
    <row r="572" spans="1:3" x14ac:dyDescent="0.2">
      <c r="A572" s="70" t="s">
        <v>410</v>
      </c>
      <c r="B572" t="s">
        <v>936</v>
      </c>
      <c r="C572" t="s">
        <v>691</v>
      </c>
    </row>
    <row r="573" spans="1:3" x14ac:dyDescent="0.2">
      <c r="A573" s="70" t="s">
        <v>410</v>
      </c>
      <c r="B573" t="s">
        <v>1303</v>
      </c>
      <c r="C573" t="s">
        <v>691</v>
      </c>
    </row>
    <row r="574" spans="1:3" x14ac:dyDescent="0.2">
      <c r="A574" s="70" t="s">
        <v>410</v>
      </c>
      <c r="B574" t="s">
        <v>1304</v>
      </c>
      <c r="C574" t="s">
        <v>691</v>
      </c>
    </row>
    <row r="575" spans="1:3" x14ac:dyDescent="0.2">
      <c r="A575" s="70" t="s">
        <v>410</v>
      </c>
      <c r="B575" t="s">
        <v>1305</v>
      </c>
      <c r="C575" t="s">
        <v>691</v>
      </c>
    </row>
    <row r="576" spans="1:3" x14ac:dyDescent="0.2">
      <c r="A576" s="70" t="s">
        <v>410</v>
      </c>
      <c r="B576" t="s">
        <v>937</v>
      </c>
      <c r="C576" t="s">
        <v>691</v>
      </c>
    </row>
    <row r="577" spans="1:3" x14ac:dyDescent="0.2">
      <c r="A577" s="70" t="s">
        <v>410</v>
      </c>
      <c r="B577" t="s">
        <v>1306</v>
      </c>
      <c r="C577" t="s">
        <v>691</v>
      </c>
    </row>
    <row r="578" spans="1:3" x14ac:dyDescent="0.2">
      <c r="A578" s="70" t="s">
        <v>410</v>
      </c>
      <c r="B578" t="s">
        <v>1307</v>
      </c>
      <c r="C578" t="s">
        <v>691</v>
      </c>
    </row>
    <row r="579" spans="1:3" x14ac:dyDescent="0.2">
      <c r="A579" s="70" t="s">
        <v>410</v>
      </c>
      <c r="B579" t="s">
        <v>646</v>
      </c>
      <c r="C579" t="s">
        <v>691</v>
      </c>
    </row>
    <row r="580" spans="1:3" x14ac:dyDescent="0.2">
      <c r="A580" s="70" t="s">
        <v>410</v>
      </c>
      <c r="B580" t="s">
        <v>680</v>
      </c>
      <c r="C580" t="s">
        <v>691</v>
      </c>
    </row>
    <row r="581" spans="1:3" x14ac:dyDescent="0.2">
      <c r="A581" s="70" t="s">
        <v>410</v>
      </c>
      <c r="B581" t="s">
        <v>615</v>
      </c>
      <c r="C581" t="s">
        <v>691</v>
      </c>
    </row>
    <row r="582" spans="1:3" x14ac:dyDescent="0.2">
      <c r="A582" s="70" t="s">
        <v>410</v>
      </c>
      <c r="B582" t="s">
        <v>664</v>
      </c>
      <c r="C582" t="s">
        <v>691</v>
      </c>
    </row>
    <row r="583" spans="1:3" x14ac:dyDescent="0.2">
      <c r="A583" s="70" t="s">
        <v>410</v>
      </c>
      <c r="B583" t="s">
        <v>1308</v>
      </c>
      <c r="C583" t="s">
        <v>691</v>
      </c>
    </row>
    <row r="584" spans="1:3" x14ac:dyDescent="0.2">
      <c r="A584" s="70" t="s">
        <v>410</v>
      </c>
      <c r="B584" t="s">
        <v>1309</v>
      </c>
      <c r="C584" t="s">
        <v>691</v>
      </c>
    </row>
    <row r="585" spans="1:3" x14ac:dyDescent="0.2">
      <c r="A585" s="70" t="s">
        <v>410</v>
      </c>
      <c r="B585" t="s">
        <v>1310</v>
      </c>
      <c r="C585" t="s">
        <v>691</v>
      </c>
    </row>
    <row r="586" spans="1:3" x14ac:dyDescent="0.2">
      <c r="A586" s="70" t="s">
        <v>410</v>
      </c>
      <c r="B586" t="s">
        <v>428</v>
      </c>
      <c r="C586" t="s">
        <v>691</v>
      </c>
    </row>
    <row r="587" spans="1:3" x14ac:dyDescent="0.2">
      <c r="A587" s="70" t="s">
        <v>410</v>
      </c>
      <c r="B587" t="s">
        <v>1311</v>
      </c>
      <c r="C587" t="s">
        <v>691</v>
      </c>
    </row>
    <row r="588" spans="1:3" x14ac:dyDescent="0.2">
      <c r="A588" s="70" t="s">
        <v>410</v>
      </c>
      <c r="B588" t="s">
        <v>1312</v>
      </c>
      <c r="C588" t="s">
        <v>691</v>
      </c>
    </row>
    <row r="589" spans="1:3" x14ac:dyDescent="0.2">
      <c r="A589" s="70" t="s">
        <v>410</v>
      </c>
      <c r="B589" t="s">
        <v>938</v>
      </c>
      <c r="C589" t="s">
        <v>691</v>
      </c>
    </row>
    <row r="590" spans="1:3" x14ac:dyDescent="0.2">
      <c r="A590" s="70" t="s">
        <v>410</v>
      </c>
      <c r="B590" t="s">
        <v>939</v>
      </c>
      <c r="C590" t="s">
        <v>691</v>
      </c>
    </row>
    <row r="591" spans="1:3" x14ac:dyDescent="0.2">
      <c r="A591" s="70" t="s">
        <v>410</v>
      </c>
      <c r="B591" t="s">
        <v>940</v>
      </c>
      <c r="C591" t="s">
        <v>691</v>
      </c>
    </row>
    <row r="592" spans="1:3" x14ac:dyDescent="0.2">
      <c r="A592" s="70" t="s">
        <v>410</v>
      </c>
      <c r="B592" t="s">
        <v>941</v>
      </c>
      <c r="C592" t="s">
        <v>691</v>
      </c>
    </row>
    <row r="593" spans="1:3" x14ac:dyDescent="0.2">
      <c r="A593" s="70" t="s">
        <v>410</v>
      </c>
      <c r="B593" t="s">
        <v>1313</v>
      </c>
      <c r="C593" t="s">
        <v>691</v>
      </c>
    </row>
    <row r="594" spans="1:3" x14ac:dyDescent="0.2">
      <c r="A594" s="70" t="s">
        <v>410</v>
      </c>
      <c r="B594" t="s">
        <v>1314</v>
      </c>
      <c r="C594" t="s">
        <v>691</v>
      </c>
    </row>
    <row r="595" spans="1:3" x14ac:dyDescent="0.2">
      <c r="A595" s="70" t="s">
        <v>410</v>
      </c>
      <c r="B595" t="s">
        <v>1315</v>
      </c>
      <c r="C595" t="s">
        <v>691</v>
      </c>
    </row>
    <row r="596" spans="1:3" x14ac:dyDescent="0.2">
      <c r="A596" s="70" t="s">
        <v>410</v>
      </c>
      <c r="B596" t="s">
        <v>942</v>
      </c>
      <c r="C596" t="s">
        <v>691</v>
      </c>
    </row>
    <row r="597" spans="1:3" x14ac:dyDescent="0.2">
      <c r="A597" s="70" t="s">
        <v>410</v>
      </c>
      <c r="B597" t="s">
        <v>1316</v>
      </c>
      <c r="C597" t="s">
        <v>691</v>
      </c>
    </row>
    <row r="598" spans="1:3" x14ac:dyDescent="0.2">
      <c r="A598" s="70" t="s">
        <v>410</v>
      </c>
      <c r="B598" t="s">
        <v>1317</v>
      </c>
      <c r="C598" t="s">
        <v>691</v>
      </c>
    </row>
    <row r="599" spans="1:3" x14ac:dyDescent="0.2">
      <c r="A599" s="70" t="s">
        <v>410</v>
      </c>
      <c r="B599" t="s">
        <v>943</v>
      </c>
      <c r="C599" t="s">
        <v>691</v>
      </c>
    </row>
    <row r="600" spans="1:3" x14ac:dyDescent="0.2">
      <c r="A600" s="70" t="s">
        <v>410</v>
      </c>
      <c r="B600" t="s">
        <v>944</v>
      </c>
      <c r="C600" t="s">
        <v>691</v>
      </c>
    </row>
    <row r="601" spans="1:3" x14ac:dyDescent="0.2">
      <c r="A601" s="70" t="s">
        <v>410</v>
      </c>
      <c r="B601" t="s">
        <v>945</v>
      </c>
      <c r="C601" t="s">
        <v>691</v>
      </c>
    </row>
    <row r="602" spans="1:3" x14ac:dyDescent="0.2">
      <c r="A602" s="70" t="s">
        <v>410</v>
      </c>
      <c r="B602" t="s">
        <v>946</v>
      </c>
      <c r="C602" t="s">
        <v>691</v>
      </c>
    </row>
    <row r="603" spans="1:3" x14ac:dyDescent="0.2">
      <c r="A603" s="70" t="s">
        <v>410</v>
      </c>
      <c r="B603" t="s">
        <v>1318</v>
      </c>
      <c r="C603" t="s">
        <v>691</v>
      </c>
    </row>
    <row r="604" spans="1:3" x14ac:dyDescent="0.2">
      <c r="A604" s="70" t="s">
        <v>410</v>
      </c>
      <c r="B604" t="s">
        <v>1319</v>
      </c>
      <c r="C604" t="s">
        <v>691</v>
      </c>
    </row>
    <row r="605" spans="1:3" x14ac:dyDescent="0.2">
      <c r="A605" s="70" t="s">
        <v>410</v>
      </c>
      <c r="B605" t="s">
        <v>1320</v>
      </c>
      <c r="C605" t="s">
        <v>691</v>
      </c>
    </row>
    <row r="606" spans="1:3" x14ac:dyDescent="0.2">
      <c r="A606" s="70" t="s">
        <v>410</v>
      </c>
      <c r="B606" t="s">
        <v>947</v>
      </c>
      <c r="C606" t="s">
        <v>691</v>
      </c>
    </row>
    <row r="607" spans="1:3" x14ac:dyDescent="0.2">
      <c r="A607" s="70" t="s">
        <v>410</v>
      </c>
      <c r="B607" t="s">
        <v>1321</v>
      </c>
      <c r="C607" t="s">
        <v>691</v>
      </c>
    </row>
    <row r="608" spans="1:3" x14ac:dyDescent="0.2">
      <c r="A608" s="70" t="s">
        <v>410</v>
      </c>
      <c r="B608" t="s">
        <v>1322</v>
      </c>
      <c r="C608" t="s">
        <v>691</v>
      </c>
    </row>
    <row r="609" spans="1:3" x14ac:dyDescent="0.2">
      <c r="A609" s="70" t="s">
        <v>410</v>
      </c>
      <c r="B609" t="s">
        <v>948</v>
      </c>
      <c r="C609" t="s">
        <v>691</v>
      </c>
    </row>
    <row r="610" spans="1:3" x14ac:dyDescent="0.2">
      <c r="A610" s="70" t="s">
        <v>410</v>
      </c>
      <c r="B610" t="s">
        <v>949</v>
      </c>
      <c r="C610" t="s">
        <v>691</v>
      </c>
    </row>
    <row r="611" spans="1:3" x14ac:dyDescent="0.2">
      <c r="A611" s="70" t="s">
        <v>410</v>
      </c>
      <c r="B611" t="s">
        <v>950</v>
      </c>
      <c r="C611" t="s">
        <v>691</v>
      </c>
    </row>
    <row r="612" spans="1:3" x14ac:dyDescent="0.2">
      <c r="A612" s="70" t="s">
        <v>410</v>
      </c>
      <c r="B612" t="s">
        <v>951</v>
      </c>
      <c r="C612" t="s">
        <v>691</v>
      </c>
    </row>
    <row r="613" spans="1:3" x14ac:dyDescent="0.2">
      <c r="A613" s="70" t="s">
        <v>410</v>
      </c>
      <c r="B613" t="s">
        <v>1323</v>
      </c>
      <c r="C613" t="s">
        <v>691</v>
      </c>
    </row>
    <row r="614" spans="1:3" x14ac:dyDescent="0.2">
      <c r="A614" s="70" t="s">
        <v>410</v>
      </c>
      <c r="B614" t="s">
        <v>1324</v>
      </c>
      <c r="C614" t="s">
        <v>691</v>
      </c>
    </row>
    <row r="615" spans="1:3" x14ac:dyDescent="0.2">
      <c r="A615" s="70" t="s">
        <v>410</v>
      </c>
      <c r="B615" t="s">
        <v>1325</v>
      </c>
      <c r="C615" t="s">
        <v>691</v>
      </c>
    </row>
    <row r="616" spans="1:3" x14ac:dyDescent="0.2">
      <c r="A616" s="70" t="s">
        <v>410</v>
      </c>
      <c r="B616" t="s">
        <v>952</v>
      </c>
      <c r="C616" t="s">
        <v>691</v>
      </c>
    </row>
    <row r="617" spans="1:3" x14ac:dyDescent="0.2">
      <c r="A617" s="70" t="s">
        <v>410</v>
      </c>
      <c r="B617" t="s">
        <v>1326</v>
      </c>
      <c r="C617" t="s">
        <v>691</v>
      </c>
    </row>
    <row r="618" spans="1:3" x14ac:dyDescent="0.2">
      <c r="A618" s="70" t="s">
        <v>410</v>
      </c>
      <c r="B618" t="s">
        <v>1327</v>
      </c>
      <c r="C618" t="s">
        <v>691</v>
      </c>
    </row>
    <row r="619" spans="1:3" x14ac:dyDescent="0.2">
      <c r="A619" s="70" t="s">
        <v>410</v>
      </c>
      <c r="B619" t="s">
        <v>953</v>
      </c>
      <c r="C619" t="s">
        <v>691</v>
      </c>
    </row>
    <row r="620" spans="1:3" x14ac:dyDescent="0.2">
      <c r="A620" s="70" t="s">
        <v>410</v>
      </c>
      <c r="B620" t="s">
        <v>955</v>
      </c>
      <c r="C620" t="s">
        <v>691</v>
      </c>
    </row>
    <row r="621" spans="1:3" x14ac:dyDescent="0.2">
      <c r="A621" s="70" t="s">
        <v>410</v>
      </c>
      <c r="B621" t="s">
        <v>956</v>
      </c>
      <c r="C621" t="s">
        <v>691</v>
      </c>
    </row>
    <row r="622" spans="1:3" x14ac:dyDescent="0.2">
      <c r="A622" s="70" t="s">
        <v>410</v>
      </c>
      <c r="B622" t="s">
        <v>957</v>
      </c>
      <c r="C622" t="s">
        <v>691</v>
      </c>
    </row>
    <row r="623" spans="1:3" x14ac:dyDescent="0.2">
      <c r="A623" s="70" t="s">
        <v>410</v>
      </c>
      <c r="B623" t="s">
        <v>1328</v>
      </c>
      <c r="C623" t="s">
        <v>691</v>
      </c>
    </row>
    <row r="624" spans="1:3" x14ac:dyDescent="0.2">
      <c r="A624" s="70" t="s">
        <v>410</v>
      </c>
      <c r="B624" t="s">
        <v>1329</v>
      </c>
      <c r="C624" t="s">
        <v>691</v>
      </c>
    </row>
    <row r="625" spans="1:3" x14ac:dyDescent="0.2">
      <c r="A625" s="70" t="s">
        <v>410</v>
      </c>
      <c r="B625" t="s">
        <v>1330</v>
      </c>
      <c r="C625" t="s">
        <v>691</v>
      </c>
    </row>
    <row r="626" spans="1:3" x14ac:dyDescent="0.2">
      <c r="A626" s="70" t="s">
        <v>410</v>
      </c>
      <c r="B626" t="s">
        <v>958</v>
      </c>
      <c r="C626" t="s">
        <v>691</v>
      </c>
    </row>
    <row r="627" spans="1:3" x14ac:dyDescent="0.2">
      <c r="A627" s="70" t="s">
        <v>410</v>
      </c>
      <c r="B627" t="s">
        <v>1331</v>
      </c>
      <c r="C627" t="s">
        <v>691</v>
      </c>
    </row>
    <row r="628" spans="1:3" x14ac:dyDescent="0.2">
      <c r="A628" s="70" t="s">
        <v>410</v>
      </c>
      <c r="B628" t="s">
        <v>1091</v>
      </c>
      <c r="C628" t="s">
        <v>691</v>
      </c>
    </row>
    <row r="629" spans="1:3" x14ac:dyDescent="0.2">
      <c r="A629" s="70" t="s">
        <v>410</v>
      </c>
      <c r="B629" t="s">
        <v>752</v>
      </c>
      <c r="C629" t="s">
        <v>691</v>
      </c>
    </row>
    <row r="630" spans="1:3" x14ac:dyDescent="0.2">
      <c r="A630" s="70" t="s">
        <v>410</v>
      </c>
      <c r="B630" t="s">
        <v>754</v>
      </c>
      <c r="C630" t="s">
        <v>691</v>
      </c>
    </row>
    <row r="631" spans="1:3" x14ac:dyDescent="0.2">
      <c r="A631" s="70" t="s">
        <v>410</v>
      </c>
      <c r="B631" t="s">
        <v>755</v>
      </c>
      <c r="C631" t="s">
        <v>691</v>
      </c>
    </row>
    <row r="632" spans="1:3" x14ac:dyDescent="0.2">
      <c r="A632" s="70" t="s">
        <v>410</v>
      </c>
      <c r="B632" t="s">
        <v>756</v>
      </c>
      <c r="C632" t="s">
        <v>691</v>
      </c>
    </row>
    <row r="633" spans="1:3" x14ac:dyDescent="0.2">
      <c r="A633" s="70" t="s">
        <v>410</v>
      </c>
      <c r="B633" t="s">
        <v>1092</v>
      </c>
      <c r="C633" t="s">
        <v>691</v>
      </c>
    </row>
    <row r="634" spans="1:3" x14ac:dyDescent="0.2">
      <c r="A634" s="70" t="s">
        <v>410</v>
      </c>
      <c r="B634" t="s">
        <v>1093</v>
      </c>
      <c r="C634" t="s">
        <v>691</v>
      </c>
    </row>
    <row r="635" spans="1:3" x14ac:dyDescent="0.2">
      <c r="A635" s="70" t="s">
        <v>410</v>
      </c>
      <c r="B635" t="s">
        <v>1094</v>
      </c>
      <c r="C635" t="s">
        <v>691</v>
      </c>
    </row>
    <row r="636" spans="1:3" x14ac:dyDescent="0.2">
      <c r="A636" s="70" t="s">
        <v>410</v>
      </c>
      <c r="B636" t="s">
        <v>757</v>
      </c>
      <c r="C636" t="s">
        <v>691</v>
      </c>
    </row>
    <row r="637" spans="1:3" x14ac:dyDescent="0.2">
      <c r="A637" s="70" t="s">
        <v>410</v>
      </c>
      <c r="B637" t="s">
        <v>1095</v>
      </c>
      <c r="C637" t="s">
        <v>691</v>
      </c>
    </row>
    <row r="638" spans="1:3" x14ac:dyDescent="0.2">
      <c r="A638" s="70" t="s">
        <v>410</v>
      </c>
      <c r="B638" t="s">
        <v>1096</v>
      </c>
      <c r="C638" t="s">
        <v>691</v>
      </c>
    </row>
    <row r="639" spans="1:3" x14ac:dyDescent="0.2">
      <c r="A639" s="70" t="s">
        <v>410</v>
      </c>
      <c r="B639" t="s">
        <v>758</v>
      </c>
      <c r="C639" t="s">
        <v>691</v>
      </c>
    </row>
    <row r="640" spans="1:3" x14ac:dyDescent="0.2">
      <c r="A640" s="70" t="s">
        <v>441</v>
      </c>
      <c r="B640" t="s">
        <v>1332</v>
      </c>
      <c r="C640" t="s">
        <v>691</v>
      </c>
    </row>
    <row r="641" spans="1:3" x14ac:dyDescent="0.2">
      <c r="A641" s="70" t="s">
        <v>441</v>
      </c>
      <c r="B641" t="s">
        <v>959</v>
      </c>
      <c r="C641" t="s">
        <v>691</v>
      </c>
    </row>
    <row r="642" spans="1:3" x14ac:dyDescent="0.2">
      <c r="A642" s="70" t="s">
        <v>441</v>
      </c>
      <c r="B642" t="s">
        <v>960</v>
      </c>
      <c r="C642" t="s">
        <v>691</v>
      </c>
    </row>
    <row r="643" spans="1:3" x14ac:dyDescent="0.2">
      <c r="A643" s="70" t="s">
        <v>441</v>
      </c>
      <c r="B643" t="s">
        <v>961</v>
      </c>
      <c r="C643" t="s">
        <v>691</v>
      </c>
    </row>
    <row r="644" spans="1:3" x14ac:dyDescent="0.2">
      <c r="A644" s="70" t="s">
        <v>441</v>
      </c>
      <c r="B644" t="s">
        <v>962</v>
      </c>
      <c r="C644" t="s">
        <v>691</v>
      </c>
    </row>
    <row r="645" spans="1:3" x14ac:dyDescent="0.2">
      <c r="A645" s="70" t="s">
        <v>441</v>
      </c>
      <c r="B645" t="s">
        <v>1333</v>
      </c>
      <c r="C645" t="s">
        <v>691</v>
      </c>
    </row>
    <row r="646" spans="1:3" x14ac:dyDescent="0.2">
      <c r="A646" s="70" t="s">
        <v>441</v>
      </c>
      <c r="B646" t="s">
        <v>1334</v>
      </c>
      <c r="C646" t="s">
        <v>691</v>
      </c>
    </row>
    <row r="647" spans="1:3" x14ac:dyDescent="0.2">
      <c r="A647" s="70" t="s">
        <v>441</v>
      </c>
      <c r="B647" t="s">
        <v>1335</v>
      </c>
      <c r="C647" t="s">
        <v>691</v>
      </c>
    </row>
    <row r="648" spans="1:3" x14ac:dyDescent="0.2">
      <c r="A648" s="70" t="s">
        <v>441</v>
      </c>
      <c r="B648" t="s">
        <v>963</v>
      </c>
      <c r="C648" t="s">
        <v>691</v>
      </c>
    </row>
    <row r="649" spans="1:3" x14ac:dyDescent="0.2">
      <c r="A649" s="70" t="s">
        <v>441</v>
      </c>
      <c r="B649" t="s">
        <v>1336</v>
      </c>
      <c r="C649" t="s">
        <v>691</v>
      </c>
    </row>
    <row r="650" spans="1:3" x14ac:dyDescent="0.2">
      <c r="A650" s="70" t="s">
        <v>441</v>
      </c>
      <c r="B650" t="s">
        <v>1337</v>
      </c>
      <c r="C650" t="s">
        <v>691</v>
      </c>
    </row>
    <row r="651" spans="1:3" x14ac:dyDescent="0.2">
      <c r="A651" s="70" t="s">
        <v>441</v>
      </c>
      <c r="B651" t="s">
        <v>964</v>
      </c>
      <c r="C651" t="s">
        <v>691</v>
      </c>
    </row>
    <row r="652" spans="1:3" x14ac:dyDescent="0.2">
      <c r="A652" s="70" t="s">
        <v>441</v>
      </c>
      <c r="B652" t="s">
        <v>965</v>
      </c>
      <c r="C652" t="s">
        <v>691</v>
      </c>
    </row>
    <row r="653" spans="1:3" x14ac:dyDescent="0.2">
      <c r="A653" s="70" t="s">
        <v>441</v>
      </c>
      <c r="B653" t="s">
        <v>966</v>
      </c>
      <c r="C653" t="s">
        <v>691</v>
      </c>
    </row>
    <row r="654" spans="1:3" x14ac:dyDescent="0.2">
      <c r="A654" s="70" t="s">
        <v>441</v>
      </c>
      <c r="B654" t="s">
        <v>967</v>
      </c>
      <c r="C654" t="s">
        <v>691</v>
      </c>
    </row>
    <row r="655" spans="1:3" x14ac:dyDescent="0.2">
      <c r="A655" s="70" t="s">
        <v>441</v>
      </c>
      <c r="B655" t="s">
        <v>1338</v>
      </c>
      <c r="C655" t="s">
        <v>691</v>
      </c>
    </row>
    <row r="656" spans="1:3" x14ac:dyDescent="0.2">
      <c r="A656" s="70" t="s">
        <v>441</v>
      </c>
      <c r="B656" t="s">
        <v>1339</v>
      </c>
      <c r="C656" t="s">
        <v>691</v>
      </c>
    </row>
    <row r="657" spans="1:3" x14ac:dyDescent="0.2">
      <c r="A657" s="70" t="s">
        <v>441</v>
      </c>
      <c r="B657" t="s">
        <v>1340</v>
      </c>
      <c r="C657" t="s">
        <v>691</v>
      </c>
    </row>
    <row r="658" spans="1:3" x14ac:dyDescent="0.2">
      <c r="A658" s="70" t="s">
        <v>441</v>
      </c>
      <c r="B658" t="s">
        <v>968</v>
      </c>
      <c r="C658" t="s">
        <v>691</v>
      </c>
    </row>
    <row r="659" spans="1:3" x14ac:dyDescent="0.2">
      <c r="A659" s="70" t="s">
        <v>441</v>
      </c>
      <c r="B659" t="s">
        <v>1341</v>
      </c>
      <c r="C659" t="s">
        <v>691</v>
      </c>
    </row>
    <row r="660" spans="1:3" x14ac:dyDescent="0.2">
      <c r="A660" s="70" t="s">
        <v>441</v>
      </c>
      <c r="B660" t="s">
        <v>1342</v>
      </c>
      <c r="C660" t="s">
        <v>691</v>
      </c>
    </row>
    <row r="661" spans="1:3" x14ac:dyDescent="0.2">
      <c r="A661" s="70" t="s">
        <v>441</v>
      </c>
      <c r="B661" t="s">
        <v>969</v>
      </c>
      <c r="C661" t="s">
        <v>691</v>
      </c>
    </row>
    <row r="662" spans="1:3" x14ac:dyDescent="0.2">
      <c r="A662" s="70" t="s">
        <v>441</v>
      </c>
      <c r="B662" t="s">
        <v>970</v>
      </c>
      <c r="C662" t="s">
        <v>691</v>
      </c>
    </row>
    <row r="663" spans="1:3" x14ac:dyDescent="0.2">
      <c r="A663" s="70" t="s">
        <v>441</v>
      </c>
      <c r="B663" t="s">
        <v>971</v>
      </c>
      <c r="C663" t="s">
        <v>691</v>
      </c>
    </row>
    <row r="664" spans="1:3" x14ac:dyDescent="0.2">
      <c r="A664" s="70" t="s">
        <v>441</v>
      </c>
      <c r="B664" t="s">
        <v>972</v>
      </c>
      <c r="C664" t="s">
        <v>691</v>
      </c>
    </row>
    <row r="665" spans="1:3" x14ac:dyDescent="0.2">
      <c r="A665" s="70" t="s">
        <v>441</v>
      </c>
      <c r="B665" t="s">
        <v>1343</v>
      </c>
      <c r="C665" t="s">
        <v>691</v>
      </c>
    </row>
    <row r="666" spans="1:3" x14ac:dyDescent="0.2">
      <c r="A666" s="70" t="s">
        <v>441</v>
      </c>
      <c r="B666" t="s">
        <v>1344</v>
      </c>
      <c r="C666" t="s">
        <v>691</v>
      </c>
    </row>
    <row r="667" spans="1:3" x14ac:dyDescent="0.2">
      <c r="A667" s="70" t="s">
        <v>441</v>
      </c>
      <c r="B667" t="s">
        <v>1345</v>
      </c>
      <c r="C667" t="s">
        <v>691</v>
      </c>
    </row>
    <row r="668" spans="1:3" x14ac:dyDescent="0.2">
      <c r="A668" s="70" t="s">
        <v>441</v>
      </c>
      <c r="B668" t="s">
        <v>973</v>
      </c>
      <c r="C668" t="s">
        <v>691</v>
      </c>
    </row>
    <row r="669" spans="1:3" x14ac:dyDescent="0.2">
      <c r="A669" s="70" t="s">
        <v>441</v>
      </c>
      <c r="B669" t="s">
        <v>1346</v>
      </c>
      <c r="C669" t="s">
        <v>691</v>
      </c>
    </row>
    <row r="670" spans="1:3" x14ac:dyDescent="0.2">
      <c r="A670" s="70" t="s">
        <v>441</v>
      </c>
      <c r="B670" t="s">
        <v>1347</v>
      </c>
      <c r="C670" t="s">
        <v>691</v>
      </c>
    </row>
    <row r="671" spans="1:3" x14ac:dyDescent="0.2">
      <c r="A671" s="70" t="s">
        <v>441</v>
      </c>
      <c r="B671" t="s">
        <v>974</v>
      </c>
      <c r="C671" t="s">
        <v>691</v>
      </c>
    </row>
    <row r="672" spans="1:3" x14ac:dyDescent="0.2">
      <c r="A672" s="70" t="s">
        <v>441</v>
      </c>
      <c r="B672" t="s">
        <v>975</v>
      </c>
      <c r="C672" t="s">
        <v>691</v>
      </c>
    </row>
    <row r="673" spans="1:3" x14ac:dyDescent="0.2">
      <c r="A673" s="70" t="s">
        <v>441</v>
      </c>
      <c r="B673" t="s">
        <v>976</v>
      </c>
      <c r="C673" t="s">
        <v>691</v>
      </c>
    </row>
    <row r="674" spans="1:3" x14ac:dyDescent="0.2">
      <c r="A674" s="70" t="s">
        <v>441</v>
      </c>
      <c r="B674" t="s">
        <v>977</v>
      </c>
      <c r="C674" t="s">
        <v>691</v>
      </c>
    </row>
    <row r="675" spans="1:3" x14ac:dyDescent="0.2">
      <c r="A675" s="70" t="s">
        <v>441</v>
      </c>
      <c r="B675" t="s">
        <v>1348</v>
      </c>
      <c r="C675" t="s">
        <v>691</v>
      </c>
    </row>
    <row r="676" spans="1:3" x14ac:dyDescent="0.2">
      <c r="A676" s="70" t="s">
        <v>441</v>
      </c>
      <c r="B676" t="s">
        <v>1349</v>
      </c>
      <c r="C676" t="s">
        <v>691</v>
      </c>
    </row>
    <row r="677" spans="1:3" x14ac:dyDescent="0.2">
      <c r="A677" s="70" t="s">
        <v>441</v>
      </c>
      <c r="B677" t="s">
        <v>1350</v>
      </c>
      <c r="C677" t="s">
        <v>691</v>
      </c>
    </row>
    <row r="678" spans="1:3" x14ac:dyDescent="0.2">
      <c r="A678" s="70" t="s">
        <v>441</v>
      </c>
      <c r="B678" t="s">
        <v>978</v>
      </c>
      <c r="C678" t="s">
        <v>691</v>
      </c>
    </row>
    <row r="679" spans="1:3" x14ac:dyDescent="0.2">
      <c r="A679" s="70" t="s">
        <v>441</v>
      </c>
      <c r="B679" t="s">
        <v>1351</v>
      </c>
      <c r="C679" t="s">
        <v>691</v>
      </c>
    </row>
    <row r="680" spans="1:3" x14ac:dyDescent="0.2">
      <c r="A680" s="70" t="s">
        <v>441</v>
      </c>
      <c r="B680" t="s">
        <v>1352</v>
      </c>
      <c r="C680" t="s">
        <v>691</v>
      </c>
    </row>
    <row r="681" spans="1:3" x14ac:dyDescent="0.2">
      <c r="A681" s="70" t="s">
        <v>441</v>
      </c>
      <c r="B681" t="s">
        <v>979</v>
      </c>
      <c r="C681" t="s">
        <v>691</v>
      </c>
    </row>
    <row r="682" spans="1:3" x14ac:dyDescent="0.2">
      <c r="A682" s="70" t="s">
        <v>441</v>
      </c>
      <c r="B682" t="s">
        <v>980</v>
      </c>
      <c r="C682" t="s">
        <v>691</v>
      </c>
    </row>
    <row r="683" spans="1:3" x14ac:dyDescent="0.2">
      <c r="A683" s="70" t="s">
        <v>441</v>
      </c>
      <c r="B683" t="s">
        <v>981</v>
      </c>
      <c r="C683" t="s">
        <v>691</v>
      </c>
    </row>
    <row r="684" spans="1:3" x14ac:dyDescent="0.2">
      <c r="A684" s="70" t="s">
        <v>441</v>
      </c>
      <c r="B684" t="s">
        <v>982</v>
      </c>
      <c r="C684" t="s">
        <v>691</v>
      </c>
    </row>
    <row r="685" spans="1:3" x14ac:dyDescent="0.2">
      <c r="A685" s="70" t="s">
        <v>441</v>
      </c>
      <c r="B685" t="s">
        <v>1353</v>
      </c>
      <c r="C685" t="s">
        <v>691</v>
      </c>
    </row>
    <row r="686" spans="1:3" x14ac:dyDescent="0.2">
      <c r="A686" s="70" t="s">
        <v>441</v>
      </c>
      <c r="B686" t="s">
        <v>1354</v>
      </c>
      <c r="C686" t="s">
        <v>691</v>
      </c>
    </row>
    <row r="687" spans="1:3" x14ac:dyDescent="0.2">
      <c r="A687" s="70" t="s">
        <v>441</v>
      </c>
      <c r="B687" t="s">
        <v>1355</v>
      </c>
      <c r="C687" t="s">
        <v>691</v>
      </c>
    </row>
    <row r="688" spans="1:3" x14ac:dyDescent="0.2">
      <c r="A688" s="70" t="s">
        <v>441</v>
      </c>
      <c r="B688" t="s">
        <v>983</v>
      </c>
      <c r="C688" t="s">
        <v>691</v>
      </c>
    </row>
    <row r="689" spans="1:3" x14ac:dyDescent="0.2">
      <c r="A689" s="70" t="s">
        <v>441</v>
      </c>
      <c r="B689" t="s">
        <v>1356</v>
      </c>
      <c r="C689" t="s">
        <v>691</v>
      </c>
    </row>
    <row r="690" spans="1:3" x14ac:dyDescent="0.2">
      <c r="A690" s="70" t="s">
        <v>441</v>
      </c>
      <c r="B690" t="s">
        <v>1357</v>
      </c>
      <c r="C690" t="s">
        <v>691</v>
      </c>
    </row>
    <row r="691" spans="1:3" x14ac:dyDescent="0.2">
      <c r="A691" s="70" t="s">
        <v>441</v>
      </c>
      <c r="B691" t="s">
        <v>984</v>
      </c>
      <c r="C691" t="s">
        <v>691</v>
      </c>
    </row>
    <row r="692" spans="1:3" x14ac:dyDescent="0.2">
      <c r="A692" s="70" t="s">
        <v>441</v>
      </c>
      <c r="B692" t="s">
        <v>985</v>
      </c>
      <c r="C692" t="s">
        <v>691</v>
      </c>
    </row>
    <row r="693" spans="1:3" x14ac:dyDescent="0.2">
      <c r="A693" s="70" t="s">
        <v>441</v>
      </c>
      <c r="B693" t="s">
        <v>986</v>
      </c>
      <c r="C693" t="s">
        <v>691</v>
      </c>
    </row>
    <row r="694" spans="1:3" x14ac:dyDescent="0.2">
      <c r="A694" s="70" t="s">
        <v>441</v>
      </c>
      <c r="B694" t="s">
        <v>987</v>
      </c>
      <c r="C694" t="s">
        <v>691</v>
      </c>
    </row>
    <row r="695" spans="1:3" x14ac:dyDescent="0.2">
      <c r="A695" s="70" t="s">
        <v>441</v>
      </c>
      <c r="B695" t="s">
        <v>1358</v>
      </c>
      <c r="C695" t="s">
        <v>691</v>
      </c>
    </row>
    <row r="696" spans="1:3" x14ac:dyDescent="0.2">
      <c r="A696" s="70" t="s">
        <v>441</v>
      </c>
      <c r="B696" t="s">
        <v>1359</v>
      </c>
      <c r="C696" t="s">
        <v>691</v>
      </c>
    </row>
    <row r="697" spans="1:3" x14ac:dyDescent="0.2">
      <c r="A697" s="70" t="s">
        <v>441</v>
      </c>
      <c r="B697" t="s">
        <v>1360</v>
      </c>
      <c r="C697" t="s">
        <v>691</v>
      </c>
    </row>
    <row r="698" spans="1:3" x14ac:dyDescent="0.2">
      <c r="A698" s="70" t="s">
        <v>441</v>
      </c>
      <c r="B698" t="s">
        <v>988</v>
      </c>
      <c r="C698" t="s">
        <v>691</v>
      </c>
    </row>
    <row r="699" spans="1:3" x14ac:dyDescent="0.2">
      <c r="A699" s="70" t="s">
        <v>441</v>
      </c>
      <c r="B699" t="s">
        <v>1361</v>
      </c>
      <c r="C699" t="s">
        <v>691</v>
      </c>
    </row>
    <row r="700" spans="1:3" x14ac:dyDescent="0.2">
      <c r="A700" s="70" t="s">
        <v>441</v>
      </c>
      <c r="B700" t="s">
        <v>1362</v>
      </c>
      <c r="C700" t="s">
        <v>691</v>
      </c>
    </row>
    <row r="701" spans="1:3" x14ac:dyDescent="0.2">
      <c r="A701" s="70" t="s">
        <v>441</v>
      </c>
      <c r="B701" t="s">
        <v>989</v>
      </c>
      <c r="C701" t="s">
        <v>691</v>
      </c>
    </row>
    <row r="702" spans="1:3" x14ac:dyDescent="0.2">
      <c r="A702" s="70" t="s">
        <v>441</v>
      </c>
      <c r="B702" t="s">
        <v>990</v>
      </c>
      <c r="C702" t="s">
        <v>691</v>
      </c>
    </row>
    <row r="703" spans="1:3" x14ac:dyDescent="0.2">
      <c r="A703" s="70" t="s">
        <v>441</v>
      </c>
      <c r="B703" t="s">
        <v>991</v>
      </c>
      <c r="C703" t="s">
        <v>691</v>
      </c>
    </row>
    <row r="704" spans="1:3" x14ac:dyDescent="0.2">
      <c r="A704" s="70" t="s">
        <v>441</v>
      </c>
      <c r="B704" t="s">
        <v>992</v>
      </c>
      <c r="C704" t="s">
        <v>691</v>
      </c>
    </row>
    <row r="705" spans="1:3" x14ac:dyDescent="0.2">
      <c r="A705" s="70" t="s">
        <v>441</v>
      </c>
      <c r="B705" t="s">
        <v>1363</v>
      </c>
      <c r="C705" t="s">
        <v>691</v>
      </c>
    </row>
    <row r="706" spans="1:3" x14ac:dyDescent="0.2">
      <c r="A706" s="70" t="s">
        <v>441</v>
      </c>
      <c r="B706" t="s">
        <v>1364</v>
      </c>
      <c r="C706" t="s">
        <v>691</v>
      </c>
    </row>
    <row r="707" spans="1:3" x14ac:dyDescent="0.2">
      <c r="A707" s="70" t="s">
        <v>441</v>
      </c>
      <c r="B707" t="s">
        <v>1365</v>
      </c>
      <c r="C707" t="s">
        <v>691</v>
      </c>
    </row>
    <row r="708" spans="1:3" x14ac:dyDescent="0.2">
      <c r="A708" s="70" t="s">
        <v>441</v>
      </c>
      <c r="B708" t="s">
        <v>993</v>
      </c>
      <c r="C708" t="s">
        <v>691</v>
      </c>
    </row>
    <row r="709" spans="1:3" x14ac:dyDescent="0.2">
      <c r="A709" s="70" t="s">
        <v>441</v>
      </c>
      <c r="B709" t="s">
        <v>1366</v>
      </c>
      <c r="C709" t="s">
        <v>691</v>
      </c>
    </row>
    <row r="710" spans="1:3" x14ac:dyDescent="0.2">
      <c r="A710" s="70" t="s">
        <v>441</v>
      </c>
      <c r="B710" t="s">
        <v>1367</v>
      </c>
      <c r="C710" t="s">
        <v>691</v>
      </c>
    </row>
    <row r="711" spans="1:3" x14ac:dyDescent="0.2">
      <c r="A711" s="70" t="s">
        <v>441</v>
      </c>
      <c r="B711" t="s">
        <v>994</v>
      </c>
      <c r="C711" t="s">
        <v>691</v>
      </c>
    </row>
    <row r="712" spans="1:3" x14ac:dyDescent="0.2">
      <c r="A712" s="70" t="s">
        <v>441</v>
      </c>
      <c r="B712" t="s">
        <v>995</v>
      </c>
      <c r="C712" t="s">
        <v>691</v>
      </c>
    </row>
    <row r="713" spans="1:3" x14ac:dyDescent="0.2">
      <c r="A713" s="70" t="s">
        <v>441</v>
      </c>
      <c r="B713" t="s">
        <v>996</v>
      </c>
      <c r="C713" t="s">
        <v>691</v>
      </c>
    </row>
    <row r="714" spans="1:3" x14ac:dyDescent="0.2">
      <c r="A714" s="70" t="s">
        <v>441</v>
      </c>
      <c r="B714" t="s">
        <v>997</v>
      </c>
      <c r="C714" t="s">
        <v>691</v>
      </c>
    </row>
    <row r="715" spans="1:3" x14ac:dyDescent="0.2">
      <c r="A715" s="70" t="s">
        <v>441</v>
      </c>
      <c r="B715" t="s">
        <v>1368</v>
      </c>
      <c r="C715" t="s">
        <v>691</v>
      </c>
    </row>
    <row r="716" spans="1:3" x14ac:dyDescent="0.2">
      <c r="A716" s="70" t="s">
        <v>441</v>
      </c>
      <c r="B716" t="s">
        <v>1369</v>
      </c>
      <c r="C716" t="s">
        <v>691</v>
      </c>
    </row>
    <row r="717" spans="1:3" x14ac:dyDescent="0.2">
      <c r="A717" s="70" t="s">
        <v>441</v>
      </c>
      <c r="B717" t="s">
        <v>1370</v>
      </c>
      <c r="C717" t="s">
        <v>691</v>
      </c>
    </row>
    <row r="718" spans="1:3" x14ac:dyDescent="0.2">
      <c r="A718" s="70" t="s">
        <v>441</v>
      </c>
      <c r="B718" t="s">
        <v>998</v>
      </c>
      <c r="C718" t="s">
        <v>691</v>
      </c>
    </row>
    <row r="719" spans="1:3" x14ac:dyDescent="0.2">
      <c r="A719" s="70" t="s">
        <v>441</v>
      </c>
      <c r="B719" t="s">
        <v>1371</v>
      </c>
      <c r="C719" t="s">
        <v>691</v>
      </c>
    </row>
    <row r="720" spans="1:3" x14ac:dyDescent="0.2">
      <c r="A720" s="70" t="s">
        <v>441</v>
      </c>
      <c r="B720" t="s">
        <v>1372</v>
      </c>
      <c r="C720" t="s">
        <v>691</v>
      </c>
    </row>
    <row r="721" spans="1:3" x14ac:dyDescent="0.2">
      <c r="A721" s="70" t="s">
        <v>441</v>
      </c>
      <c r="B721" t="s">
        <v>999</v>
      </c>
      <c r="C721" t="s">
        <v>691</v>
      </c>
    </row>
    <row r="722" spans="1:3" x14ac:dyDescent="0.2">
      <c r="A722" s="70" t="s">
        <v>441</v>
      </c>
      <c r="B722" t="s">
        <v>1000</v>
      </c>
      <c r="C722" t="s">
        <v>691</v>
      </c>
    </row>
    <row r="723" spans="1:3" x14ac:dyDescent="0.2">
      <c r="A723" s="70" t="s">
        <v>441</v>
      </c>
      <c r="B723" t="s">
        <v>1001</v>
      </c>
      <c r="C723" t="s">
        <v>691</v>
      </c>
    </row>
    <row r="724" spans="1:3" x14ac:dyDescent="0.2">
      <c r="A724" s="70" t="s">
        <v>441</v>
      </c>
      <c r="B724" t="s">
        <v>1002</v>
      </c>
      <c r="C724" t="s">
        <v>691</v>
      </c>
    </row>
    <row r="725" spans="1:3" x14ac:dyDescent="0.2">
      <c r="A725" s="70" t="s">
        <v>441</v>
      </c>
      <c r="B725" t="s">
        <v>1373</v>
      </c>
      <c r="C725" t="s">
        <v>691</v>
      </c>
    </row>
    <row r="726" spans="1:3" x14ac:dyDescent="0.2">
      <c r="A726" s="70" t="s">
        <v>441</v>
      </c>
      <c r="B726" t="s">
        <v>1374</v>
      </c>
      <c r="C726" t="s">
        <v>691</v>
      </c>
    </row>
    <row r="727" spans="1:3" x14ac:dyDescent="0.2">
      <c r="A727" s="70" t="s">
        <v>441</v>
      </c>
      <c r="B727" t="s">
        <v>1375</v>
      </c>
      <c r="C727" t="s">
        <v>691</v>
      </c>
    </row>
    <row r="728" spans="1:3" x14ac:dyDescent="0.2">
      <c r="A728" s="70" t="s">
        <v>441</v>
      </c>
      <c r="B728" t="s">
        <v>1003</v>
      </c>
      <c r="C728" t="s">
        <v>691</v>
      </c>
    </row>
    <row r="729" spans="1:3" x14ac:dyDescent="0.2">
      <c r="A729" s="70" t="s">
        <v>441</v>
      </c>
      <c r="B729" t="s">
        <v>1376</v>
      </c>
      <c r="C729" t="s">
        <v>691</v>
      </c>
    </row>
    <row r="730" spans="1:3" x14ac:dyDescent="0.2">
      <c r="A730" s="70" t="s">
        <v>441</v>
      </c>
      <c r="B730" t="s">
        <v>1377</v>
      </c>
      <c r="C730" t="s">
        <v>691</v>
      </c>
    </row>
    <row r="731" spans="1:3" x14ac:dyDescent="0.2">
      <c r="A731" s="70" t="s">
        <v>441</v>
      </c>
      <c r="B731" t="s">
        <v>1004</v>
      </c>
      <c r="C731" t="s">
        <v>691</v>
      </c>
    </row>
    <row r="732" spans="1:3" x14ac:dyDescent="0.2">
      <c r="A732" s="70" t="s">
        <v>441</v>
      </c>
      <c r="B732" t="s">
        <v>1005</v>
      </c>
      <c r="C732" t="s">
        <v>691</v>
      </c>
    </row>
    <row r="733" spans="1:3" x14ac:dyDescent="0.2">
      <c r="A733" s="70" t="s">
        <v>441</v>
      </c>
      <c r="B733" t="s">
        <v>1006</v>
      </c>
      <c r="C733" t="s">
        <v>691</v>
      </c>
    </row>
    <row r="734" spans="1:3" x14ac:dyDescent="0.2">
      <c r="A734" s="70" t="s">
        <v>441</v>
      </c>
      <c r="B734" t="s">
        <v>1007</v>
      </c>
      <c r="C734" t="s">
        <v>691</v>
      </c>
    </row>
    <row r="735" spans="1:3" x14ac:dyDescent="0.2">
      <c r="A735" s="70" t="s">
        <v>441</v>
      </c>
      <c r="B735" t="s">
        <v>1378</v>
      </c>
      <c r="C735" t="s">
        <v>691</v>
      </c>
    </row>
    <row r="736" spans="1:3" x14ac:dyDescent="0.2">
      <c r="A736" s="70" t="s">
        <v>441</v>
      </c>
      <c r="B736" t="s">
        <v>1379</v>
      </c>
      <c r="C736" t="s">
        <v>691</v>
      </c>
    </row>
    <row r="737" spans="1:3" x14ac:dyDescent="0.2">
      <c r="A737" s="70" t="s">
        <v>441</v>
      </c>
      <c r="B737" t="s">
        <v>1380</v>
      </c>
      <c r="C737" t="s">
        <v>691</v>
      </c>
    </row>
    <row r="738" spans="1:3" x14ac:dyDescent="0.2">
      <c r="A738" s="70" t="s">
        <v>441</v>
      </c>
      <c r="B738" t="s">
        <v>1008</v>
      </c>
      <c r="C738" t="s">
        <v>691</v>
      </c>
    </row>
    <row r="739" spans="1:3" x14ac:dyDescent="0.2">
      <c r="A739" s="70" t="s">
        <v>441</v>
      </c>
      <c r="B739" t="s">
        <v>1381</v>
      </c>
      <c r="C739" t="s">
        <v>691</v>
      </c>
    </row>
    <row r="740" spans="1:3" x14ac:dyDescent="0.2">
      <c r="A740" s="70" t="s">
        <v>441</v>
      </c>
      <c r="B740" t="s">
        <v>1382</v>
      </c>
      <c r="C740" t="s">
        <v>691</v>
      </c>
    </row>
    <row r="741" spans="1:3" x14ac:dyDescent="0.2">
      <c r="A741" s="70" t="s">
        <v>441</v>
      </c>
      <c r="B741" t="s">
        <v>1009</v>
      </c>
      <c r="C741" t="s">
        <v>691</v>
      </c>
    </row>
    <row r="742" spans="1:3" x14ac:dyDescent="0.2">
      <c r="A742" s="70" t="s">
        <v>441</v>
      </c>
      <c r="B742" t="s">
        <v>1010</v>
      </c>
      <c r="C742" t="s">
        <v>691</v>
      </c>
    </row>
    <row r="743" spans="1:3" x14ac:dyDescent="0.2">
      <c r="A743" s="70" t="s">
        <v>441</v>
      </c>
      <c r="B743" t="s">
        <v>1011</v>
      </c>
      <c r="C743" t="s">
        <v>691</v>
      </c>
    </row>
    <row r="744" spans="1:3" x14ac:dyDescent="0.2">
      <c r="A744" s="70" t="s">
        <v>441</v>
      </c>
      <c r="B744" t="s">
        <v>1012</v>
      </c>
      <c r="C744" t="s">
        <v>691</v>
      </c>
    </row>
    <row r="745" spans="1:3" x14ac:dyDescent="0.2">
      <c r="A745" s="70" t="s">
        <v>441</v>
      </c>
      <c r="B745" t="s">
        <v>1383</v>
      </c>
      <c r="C745" t="s">
        <v>691</v>
      </c>
    </row>
    <row r="746" spans="1:3" x14ac:dyDescent="0.2">
      <c r="A746" s="70" t="s">
        <v>441</v>
      </c>
      <c r="B746" t="s">
        <v>1384</v>
      </c>
      <c r="C746" t="s">
        <v>691</v>
      </c>
    </row>
    <row r="747" spans="1:3" x14ac:dyDescent="0.2">
      <c r="A747" s="70" t="s">
        <v>441</v>
      </c>
      <c r="B747" t="s">
        <v>1385</v>
      </c>
      <c r="C747" t="s">
        <v>691</v>
      </c>
    </row>
    <row r="748" spans="1:3" x14ac:dyDescent="0.2">
      <c r="A748" s="70" t="s">
        <v>441</v>
      </c>
      <c r="B748" t="s">
        <v>1013</v>
      </c>
      <c r="C748" t="s">
        <v>691</v>
      </c>
    </row>
    <row r="749" spans="1:3" x14ac:dyDescent="0.2">
      <c r="A749" s="70" t="s">
        <v>441</v>
      </c>
      <c r="B749" t="s">
        <v>1386</v>
      </c>
      <c r="C749" t="s">
        <v>691</v>
      </c>
    </row>
    <row r="750" spans="1:3" x14ac:dyDescent="0.2">
      <c r="A750" s="70" t="s">
        <v>441</v>
      </c>
      <c r="B750" t="s">
        <v>1387</v>
      </c>
      <c r="C750" t="s">
        <v>691</v>
      </c>
    </row>
    <row r="751" spans="1:3" x14ac:dyDescent="0.2">
      <c r="A751" s="70" t="s">
        <v>441</v>
      </c>
      <c r="B751" t="s">
        <v>1014</v>
      </c>
      <c r="C751" t="s">
        <v>691</v>
      </c>
    </row>
    <row r="752" spans="1:3" x14ac:dyDescent="0.2">
      <c r="A752" s="70" t="s">
        <v>441</v>
      </c>
      <c r="B752" t="s">
        <v>1015</v>
      </c>
      <c r="C752" t="s">
        <v>691</v>
      </c>
    </row>
    <row r="753" spans="1:3" x14ac:dyDescent="0.2">
      <c r="A753" s="70" t="s">
        <v>441</v>
      </c>
      <c r="B753" t="s">
        <v>1016</v>
      </c>
      <c r="C753" t="s">
        <v>691</v>
      </c>
    </row>
    <row r="754" spans="1:3" x14ac:dyDescent="0.2">
      <c r="A754" s="70" t="s">
        <v>441</v>
      </c>
      <c r="B754" t="s">
        <v>1017</v>
      </c>
      <c r="C754" t="s">
        <v>691</v>
      </c>
    </row>
    <row r="755" spans="1:3" x14ac:dyDescent="0.2">
      <c r="A755" s="70" t="s">
        <v>441</v>
      </c>
      <c r="B755" t="s">
        <v>1388</v>
      </c>
      <c r="C755" t="s">
        <v>691</v>
      </c>
    </row>
    <row r="756" spans="1:3" x14ac:dyDescent="0.2">
      <c r="A756" s="70" t="s">
        <v>441</v>
      </c>
      <c r="B756" t="s">
        <v>1389</v>
      </c>
      <c r="C756" t="s">
        <v>691</v>
      </c>
    </row>
    <row r="757" spans="1:3" x14ac:dyDescent="0.2">
      <c r="A757" s="70" t="s">
        <v>441</v>
      </c>
      <c r="B757" t="s">
        <v>1390</v>
      </c>
      <c r="C757" t="s">
        <v>691</v>
      </c>
    </row>
    <row r="758" spans="1:3" x14ac:dyDescent="0.2">
      <c r="A758" s="70" t="s">
        <v>441</v>
      </c>
      <c r="B758" t="s">
        <v>1018</v>
      </c>
      <c r="C758" t="s">
        <v>691</v>
      </c>
    </row>
    <row r="759" spans="1:3" x14ac:dyDescent="0.2">
      <c r="A759" s="70" t="s">
        <v>441</v>
      </c>
      <c r="B759" t="s">
        <v>1391</v>
      </c>
      <c r="C759" t="s">
        <v>691</v>
      </c>
    </row>
    <row r="760" spans="1:3" x14ac:dyDescent="0.2">
      <c r="A760" s="70" t="s">
        <v>441</v>
      </c>
      <c r="B760" t="s">
        <v>1392</v>
      </c>
      <c r="C760" t="s">
        <v>691</v>
      </c>
    </row>
    <row r="761" spans="1:3" x14ac:dyDescent="0.2">
      <c r="A761" s="70" t="s">
        <v>441</v>
      </c>
      <c r="B761" t="s">
        <v>1019</v>
      </c>
      <c r="C761" t="s">
        <v>691</v>
      </c>
    </row>
    <row r="762" spans="1:3" x14ac:dyDescent="0.2">
      <c r="A762" s="70" t="s">
        <v>441</v>
      </c>
      <c r="B762" t="s">
        <v>1020</v>
      </c>
      <c r="C762" t="s">
        <v>691</v>
      </c>
    </row>
    <row r="763" spans="1:3" x14ac:dyDescent="0.2">
      <c r="A763" s="70" t="s">
        <v>441</v>
      </c>
      <c r="B763" t="s">
        <v>1021</v>
      </c>
      <c r="C763" t="s">
        <v>691</v>
      </c>
    </row>
    <row r="764" spans="1:3" x14ac:dyDescent="0.2">
      <c r="A764" s="70" t="s">
        <v>441</v>
      </c>
      <c r="B764" t="s">
        <v>1022</v>
      </c>
      <c r="C764" t="s">
        <v>691</v>
      </c>
    </row>
    <row r="765" spans="1:3" x14ac:dyDescent="0.2">
      <c r="A765" s="70" t="s">
        <v>441</v>
      </c>
      <c r="B765" t="s">
        <v>1393</v>
      </c>
      <c r="C765" t="s">
        <v>691</v>
      </c>
    </row>
    <row r="766" spans="1:3" x14ac:dyDescent="0.2">
      <c r="A766" s="70" t="s">
        <v>441</v>
      </c>
      <c r="B766" t="s">
        <v>1394</v>
      </c>
      <c r="C766" t="s">
        <v>691</v>
      </c>
    </row>
    <row r="767" spans="1:3" x14ac:dyDescent="0.2">
      <c r="A767" s="70" t="s">
        <v>441</v>
      </c>
      <c r="B767" t="s">
        <v>1395</v>
      </c>
      <c r="C767" t="s">
        <v>691</v>
      </c>
    </row>
    <row r="768" spans="1:3" x14ac:dyDescent="0.2">
      <c r="A768" s="70" t="s">
        <v>441</v>
      </c>
      <c r="B768" t="s">
        <v>1023</v>
      </c>
      <c r="C768" t="s">
        <v>691</v>
      </c>
    </row>
    <row r="769" spans="1:3" x14ac:dyDescent="0.2">
      <c r="A769" s="70" t="s">
        <v>441</v>
      </c>
      <c r="B769" t="s">
        <v>1396</v>
      </c>
      <c r="C769" t="s">
        <v>691</v>
      </c>
    </row>
    <row r="770" spans="1:3" x14ac:dyDescent="0.2">
      <c r="A770" s="70" t="s">
        <v>441</v>
      </c>
      <c r="B770" t="s">
        <v>1397</v>
      </c>
      <c r="C770" t="s">
        <v>691</v>
      </c>
    </row>
    <row r="771" spans="1:3" x14ac:dyDescent="0.2">
      <c r="A771" s="70" t="s">
        <v>441</v>
      </c>
      <c r="B771" t="s">
        <v>1024</v>
      </c>
      <c r="C771" t="s">
        <v>691</v>
      </c>
    </row>
    <row r="772" spans="1:3" x14ac:dyDescent="0.2">
      <c r="A772" s="70" t="s">
        <v>441</v>
      </c>
      <c r="B772" t="s">
        <v>1026</v>
      </c>
      <c r="C772" t="s">
        <v>691</v>
      </c>
    </row>
    <row r="773" spans="1:3" x14ac:dyDescent="0.2">
      <c r="A773" s="70" t="s">
        <v>441</v>
      </c>
      <c r="B773" t="s">
        <v>1027</v>
      </c>
      <c r="C773" t="s">
        <v>691</v>
      </c>
    </row>
    <row r="774" spans="1:3" x14ac:dyDescent="0.2">
      <c r="A774" s="70" t="s">
        <v>441</v>
      </c>
      <c r="B774" t="s">
        <v>1028</v>
      </c>
      <c r="C774" t="s">
        <v>691</v>
      </c>
    </row>
    <row r="775" spans="1:3" x14ac:dyDescent="0.2">
      <c r="A775" s="70" t="s">
        <v>441</v>
      </c>
      <c r="B775" t="s">
        <v>1398</v>
      </c>
      <c r="C775" t="s">
        <v>691</v>
      </c>
    </row>
    <row r="776" spans="1:3" x14ac:dyDescent="0.2">
      <c r="A776" s="70" t="s">
        <v>441</v>
      </c>
      <c r="B776" t="s">
        <v>1399</v>
      </c>
      <c r="C776" t="s">
        <v>691</v>
      </c>
    </row>
    <row r="777" spans="1:3" x14ac:dyDescent="0.2">
      <c r="A777" s="70" t="s">
        <v>441</v>
      </c>
      <c r="B777" t="s">
        <v>1400</v>
      </c>
      <c r="C777" t="s">
        <v>691</v>
      </c>
    </row>
    <row r="778" spans="1:3" x14ac:dyDescent="0.2">
      <c r="A778" s="70" t="s">
        <v>441</v>
      </c>
      <c r="B778" t="s">
        <v>1029</v>
      </c>
      <c r="C778" t="s">
        <v>691</v>
      </c>
    </row>
    <row r="779" spans="1:3" x14ac:dyDescent="0.2">
      <c r="A779" s="70" t="s">
        <v>441</v>
      </c>
      <c r="B779" t="s">
        <v>1401</v>
      </c>
      <c r="C779" t="s">
        <v>691</v>
      </c>
    </row>
    <row r="780" spans="1:3" x14ac:dyDescent="0.2">
      <c r="A780" s="70" t="s">
        <v>441</v>
      </c>
      <c r="B780" t="s">
        <v>1096</v>
      </c>
      <c r="C780" t="s">
        <v>691</v>
      </c>
    </row>
    <row r="781" spans="1:3" x14ac:dyDescent="0.2">
      <c r="A781" s="70" t="s">
        <v>441</v>
      </c>
      <c r="B781" t="s">
        <v>758</v>
      </c>
      <c r="C781" t="s">
        <v>691</v>
      </c>
    </row>
    <row r="782" spans="1:3" x14ac:dyDescent="0.2">
      <c r="A782" s="70" t="s">
        <v>399</v>
      </c>
      <c r="B782" t="s">
        <v>1402</v>
      </c>
      <c r="C782" t="s">
        <v>691</v>
      </c>
    </row>
    <row r="783" spans="1:3" x14ac:dyDescent="0.2">
      <c r="A783" s="70" t="s">
        <v>399</v>
      </c>
      <c r="B783" t="s">
        <v>650</v>
      </c>
      <c r="C783" t="s">
        <v>691</v>
      </c>
    </row>
    <row r="784" spans="1:3" x14ac:dyDescent="0.2">
      <c r="A784" s="70" t="s">
        <v>399</v>
      </c>
      <c r="B784" t="s">
        <v>681</v>
      </c>
      <c r="C784" t="s">
        <v>691</v>
      </c>
    </row>
    <row r="785" spans="1:3" x14ac:dyDescent="0.2">
      <c r="A785" s="70" t="s">
        <v>399</v>
      </c>
      <c r="B785" t="s">
        <v>616</v>
      </c>
      <c r="C785" t="s">
        <v>691</v>
      </c>
    </row>
    <row r="786" spans="1:3" x14ac:dyDescent="0.2">
      <c r="A786" s="70" t="s">
        <v>399</v>
      </c>
      <c r="B786" t="s">
        <v>665</v>
      </c>
      <c r="C786" t="s">
        <v>691</v>
      </c>
    </row>
    <row r="787" spans="1:3" x14ac:dyDescent="0.2">
      <c r="A787" s="70" t="s">
        <v>399</v>
      </c>
      <c r="B787" t="s">
        <v>1403</v>
      </c>
      <c r="C787" t="s">
        <v>691</v>
      </c>
    </row>
    <row r="788" spans="1:3" x14ac:dyDescent="0.2">
      <c r="A788" s="70" t="s">
        <v>399</v>
      </c>
      <c r="B788" t="s">
        <v>1404</v>
      </c>
      <c r="C788" t="s">
        <v>691</v>
      </c>
    </row>
    <row r="789" spans="1:3" x14ac:dyDescent="0.2">
      <c r="A789" s="70" t="s">
        <v>399</v>
      </c>
      <c r="B789" t="s">
        <v>1405</v>
      </c>
      <c r="C789" t="s">
        <v>691</v>
      </c>
    </row>
    <row r="790" spans="1:3" x14ac:dyDescent="0.2">
      <c r="A790" s="70" t="s">
        <v>399</v>
      </c>
      <c r="B790" t="s">
        <v>402</v>
      </c>
      <c r="C790" t="s">
        <v>691</v>
      </c>
    </row>
    <row r="791" spans="1:3" x14ac:dyDescent="0.2">
      <c r="A791" s="70" t="s">
        <v>399</v>
      </c>
      <c r="B791" t="s">
        <v>1406</v>
      </c>
      <c r="C791" t="s">
        <v>691</v>
      </c>
    </row>
    <row r="792" spans="1:3" x14ac:dyDescent="0.2">
      <c r="A792" s="70" t="s">
        <v>399</v>
      </c>
      <c r="B792" t="s">
        <v>1407</v>
      </c>
      <c r="C792" t="s">
        <v>691</v>
      </c>
    </row>
    <row r="793" spans="1:3" x14ac:dyDescent="0.2">
      <c r="A793" s="70" t="s">
        <v>399</v>
      </c>
      <c r="B793" t="s">
        <v>651</v>
      </c>
      <c r="C793" t="s">
        <v>691</v>
      </c>
    </row>
    <row r="794" spans="1:3" x14ac:dyDescent="0.2">
      <c r="A794" s="70" t="s">
        <v>399</v>
      </c>
      <c r="B794" t="s">
        <v>682</v>
      </c>
      <c r="C794" t="s">
        <v>691</v>
      </c>
    </row>
    <row r="795" spans="1:3" x14ac:dyDescent="0.2">
      <c r="A795" s="70" t="s">
        <v>399</v>
      </c>
      <c r="B795" t="s">
        <v>617</v>
      </c>
      <c r="C795" t="s">
        <v>691</v>
      </c>
    </row>
    <row r="796" spans="1:3" x14ac:dyDescent="0.2">
      <c r="A796" s="70" t="s">
        <v>399</v>
      </c>
      <c r="B796" t="s">
        <v>666</v>
      </c>
      <c r="C796" t="s">
        <v>691</v>
      </c>
    </row>
    <row r="797" spans="1:3" x14ac:dyDescent="0.2">
      <c r="A797" s="70" t="s">
        <v>399</v>
      </c>
      <c r="B797" t="s">
        <v>1408</v>
      </c>
      <c r="C797" t="s">
        <v>691</v>
      </c>
    </row>
    <row r="798" spans="1:3" x14ac:dyDescent="0.2">
      <c r="A798" s="70" t="s">
        <v>399</v>
      </c>
      <c r="B798" t="s">
        <v>1409</v>
      </c>
      <c r="C798" t="s">
        <v>691</v>
      </c>
    </row>
    <row r="799" spans="1:3" x14ac:dyDescent="0.2">
      <c r="A799" s="70" t="s">
        <v>399</v>
      </c>
      <c r="B799" t="s">
        <v>1410</v>
      </c>
      <c r="C799" t="s">
        <v>691</v>
      </c>
    </row>
    <row r="800" spans="1:3" x14ac:dyDescent="0.2">
      <c r="A800" s="70" t="s">
        <v>399</v>
      </c>
      <c r="B800" t="s">
        <v>403</v>
      </c>
      <c r="C800" t="s">
        <v>691</v>
      </c>
    </row>
    <row r="801" spans="1:3" x14ac:dyDescent="0.2">
      <c r="A801" s="70" t="s">
        <v>399</v>
      </c>
      <c r="B801" t="s">
        <v>1411</v>
      </c>
      <c r="C801" t="s">
        <v>691</v>
      </c>
    </row>
    <row r="802" spans="1:3" x14ac:dyDescent="0.2">
      <c r="A802" s="70" t="s">
        <v>399</v>
      </c>
      <c r="B802" t="s">
        <v>683</v>
      </c>
      <c r="C802" t="s">
        <v>691</v>
      </c>
    </row>
    <row r="803" spans="1:3" x14ac:dyDescent="0.2">
      <c r="A803" s="70" t="s">
        <v>399</v>
      </c>
      <c r="B803" t="s">
        <v>618</v>
      </c>
      <c r="C803" t="s">
        <v>691</v>
      </c>
    </row>
    <row r="804" spans="1:3" x14ac:dyDescent="0.2">
      <c r="A804" s="70" t="s">
        <v>399</v>
      </c>
      <c r="B804" t="s">
        <v>667</v>
      </c>
      <c r="C804" t="s">
        <v>691</v>
      </c>
    </row>
    <row r="805" spans="1:3" x14ac:dyDescent="0.2">
      <c r="A805" s="70" t="s">
        <v>399</v>
      </c>
      <c r="B805" t="s">
        <v>1412</v>
      </c>
      <c r="C805" t="s">
        <v>691</v>
      </c>
    </row>
    <row r="806" spans="1:3" x14ac:dyDescent="0.2">
      <c r="A806" s="70" t="s">
        <v>399</v>
      </c>
      <c r="B806" t="s">
        <v>1413</v>
      </c>
      <c r="C806" t="s">
        <v>691</v>
      </c>
    </row>
    <row r="807" spans="1:3" x14ac:dyDescent="0.2">
      <c r="A807" s="70" t="s">
        <v>399</v>
      </c>
      <c r="B807" t="s">
        <v>1414</v>
      </c>
      <c r="C807" t="s">
        <v>691</v>
      </c>
    </row>
    <row r="808" spans="1:3" x14ac:dyDescent="0.2">
      <c r="A808" s="70" t="s">
        <v>399</v>
      </c>
      <c r="B808" t="s">
        <v>404</v>
      </c>
      <c r="C808" t="s">
        <v>691</v>
      </c>
    </row>
    <row r="809" spans="1:3" x14ac:dyDescent="0.2">
      <c r="A809" s="70" t="s">
        <v>399</v>
      </c>
      <c r="B809" t="s">
        <v>1415</v>
      </c>
      <c r="C809" t="s">
        <v>691</v>
      </c>
    </row>
    <row r="810" spans="1:3" x14ac:dyDescent="0.2">
      <c r="A810" s="70" t="s">
        <v>399</v>
      </c>
      <c r="B810" t="s">
        <v>652</v>
      </c>
      <c r="C810" t="s">
        <v>691</v>
      </c>
    </row>
    <row r="811" spans="1:3" x14ac:dyDescent="0.2">
      <c r="A811" s="70" t="s">
        <v>399</v>
      </c>
      <c r="B811" t="s">
        <v>1416</v>
      </c>
      <c r="C811" t="s">
        <v>691</v>
      </c>
    </row>
    <row r="812" spans="1:3" x14ac:dyDescent="0.2">
      <c r="A812" s="70" t="s">
        <v>399</v>
      </c>
      <c r="B812" t="s">
        <v>1417</v>
      </c>
      <c r="C812" t="s">
        <v>691</v>
      </c>
    </row>
    <row r="813" spans="1:3" x14ac:dyDescent="0.2">
      <c r="A813" s="70" t="s">
        <v>399</v>
      </c>
      <c r="B813" t="s">
        <v>1030</v>
      </c>
      <c r="C813" t="s">
        <v>691</v>
      </c>
    </row>
    <row r="814" spans="1:3" x14ac:dyDescent="0.2">
      <c r="A814" s="70" t="s">
        <v>399</v>
      </c>
      <c r="B814" t="s">
        <v>684</v>
      </c>
      <c r="C814" t="s">
        <v>691</v>
      </c>
    </row>
    <row r="815" spans="1:3" x14ac:dyDescent="0.2">
      <c r="A815" s="70" t="s">
        <v>399</v>
      </c>
      <c r="B815" t="s">
        <v>619</v>
      </c>
      <c r="C815" t="s">
        <v>691</v>
      </c>
    </row>
    <row r="816" spans="1:3" x14ac:dyDescent="0.2">
      <c r="A816" s="70" t="s">
        <v>399</v>
      </c>
      <c r="B816" t="s">
        <v>668</v>
      </c>
      <c r="C816" t="s">
        <v>691</v>
      </c>
    </row>
    <row r="817" spans="1:3" x14ac:dyDescent="0.2">
      <c r="A817" s="70" t="s">
        <v>399</v>
      </c>
      <c r="B817" t="s">
        <v>1418</v>
      </c>
      <c r="C817" t="s">
        <v>691</v>
      </c>
    </row>
    <row r="818" spans="1:3" x14ac:dyDescent="0.2">
      <c r="A818" s="70" t="s">
        <v>399</v>
      </c>
      <c r="B818" t="s">
        <v>1419</v>
      </c>
      <c r="C818" t="s">
        <v>691</v>
      </c>
    </row>
    <row r="819" spans="1:3" x14ac:dyDescent="0.2">
      <c r="A819" s="70" t="s">
        <v>399</v>
      </c>
      <c r="B819" t="s">
        <v>1420</v>
      </c>
      <c r="C819" t="s">
        <v>691</v>
      </c>
    </row>
    <row r="820" spans="1:3" x14ac:dyDescent="0.2">
      <c r="A820" s="70" t="s">
        <v>399</v>
      </c>
      <c r="B820" t="s">
        <v>405</v>
      </c>
      <c r="C820" t="s">
        <v>691</v>
      </c>
    </row>
    <row r="821" spans="1:3" x14ac:dyDescent="0.2">
      <c r="A821" s="70" t="s">
        <v>399</v>
      </c>
      <c r="B821" t="s">
        <v>1421</v>
      </c>
      <c r="C821" t="s">
        <v>691</v>
      </c>
    </row>
    <row r="822" spans="1:3" x14ac:dyDescent="0.2">
      <c r="A822" s="70" t="s">
        <v>399</v>
      </c>
      <c r="B822" t="s">
        <v>685</v>
      </c>
      <c r="C822" t="s">
        <v>691</v>
      </c>
    </row>
    <row r="823" spans="1:3" x14ac:dyDescent="0.2">
      <c r="A823" s="70" t="s">
        <v>399</v>
      </c>
      <c r="B823" t="s">
        <v>620</v>
      </c>
      <c r="C823" t="s">
        <v>691</v>
      </c>
    </row>
    <row r="824" spans="1:3" x14ac:dyDescent="0.2">
      <c r="A824" s="70" t="s">
        <v>399</v>
      </c>
      <c r="B824" t="s">
        <v>669</v>
      </c>
      <c r="C824" t="s">
        <v>691</v>
      </c>
    </row>
    <row r="825" spans="1:3" x14ac:dyDescent="0.2">
      <c r="A825" s="70" t="s">
        <v>399</v>
      </c>
      <c r="B825" t="s">
        <v>1422</v>
      </c>
      <c r="C825" t="s">
        <v>691</v>
      </c>
    </row>
    <row r="826" spans="1:3" x14ac:dyDescent="0.2">
      <c r="A826" s="70" t="s">
        <v>399</v>
      </c>
      <c r="B826" t="s">
        <v>1423</v>
      </c>
      <c r="C826" t="s">
        <v>691</v>
      </c>
    </row>
    <row r="827" spans="1:3" x14ac:dyDescent="0.2">
      <c r="A827" s="70" t="s">
        <v>399</v>
      </c>
      <c r="B827" t="s">
        <v>1424</v>
      </c>
      <c r="C827" t="s">
        <v>691</v>
      </c>
    </row>
    <row r="828" spans="1:3" x14ac:dyDescent="0.2">
      <c r="A828" s="70" t="s">
        <v>399</v>
      </c>
      <c r="B828" t="s">
        <v>406</v>
      </c>
      <c r="C828" t="s">
        <v>691</v>
      </c>
    </row>
    <row r="829" spans="1:3" x14ac:dyDescent="0.2">
      <c r="A829" s="70" t="s">
        <v>399</v>
      </c>
      <c r="B829" t="s">
        <v>1425</v>
      </c>
      <c r="C829" t="s">
        <v>691</v>
      </c>
    </row>
    <row r="830" spans="1:3" x14ac:dyDescent="0.2">
      <c r="A830" s="70" t="s">
        <v>399</v>
      </c>
      <c r="B830" t="s">
        <v>653</v>
      </c>
      <c r="C830" t="s">
        <v>691</v>
      </c>
    </row>
    <row r="831" spans="1:3" x14ac:dyDescent="0.2">
      <c r="A831" s="70" t="s">
        <v>399</v>
      </c>
      <c r="B831" t="s">
        <v>1426</v>
      </c>
      <c r="C831" t="s">
        <v>691</v>
      </c>
    </row>
    <row r="832" spans="1:3" x14ac:dyDescent="0.2">
      <c r="A832" s="70" t="s">
        <v>399</v>
      </c>
      <c r="B832" t="s">
        <v>1427</v>
      </c>
      <c r="C832" t="s">
        <v>691</v>
      </c>
    </row>
    <row r="833" spans="1:3" x14ac:dyDescent="0.2">
      <c r="A833" s="70" t="s">
        <v>399</v>
      </c>
      <c r="B833" t="s">
        <v>654</v>
      </c>
      <c r="C833" t="s">
        <v>691</v>
      </c>
    </row>
    <row r="834" spans="1:3" x14ac:dyDescent="0.2">
      <c r="A834" s="70" t="s">
        <v>399</v>
      </c>
      <c r="B834" t="s">
        <v>686</v>
      </c>
      <c r="C834" t="s">
        <v>691</v>
      </c>
    </row>
    <row r="835" spans="1:3" x14ac:dyDescent="0.2">
      <c r="A835" s="70" t="s">
        <v>399</v>
      </c>
      <c r="B835" t="s">
        <v>621</v>
      </c>
      <c r="C835" t="s">
        <v>691</v>
      </c>
    </row>
    <row r="836" spans="1:3" x14ac:dyDescent="0.2">
      <c r="A836" s="70" t="s">
        <v>399</v>
      </c>
      <c r="B836" t="s">
        <v>670</v>
      </c>
      <c r="C836" t="s">
        <v>691</v>
      </c>
    </row>
    <row r="837" spans="1:3" x14ac:dyDescent="0.2">
      <c r="A837" s="70" t="s">
        <v>399</v>
      </c>
      <c r="B837" t="s">
        <v>1428</v>
      </c>
      <c r="C837" t="s">
        <v>691</v>
      </c>
    </row>
    <row r="838" spans="1:3" x14ac:dyDescent="0.2">
      <c r="A838" s="70" t="s">
        <v>399</v>
      </c>
      <c r="B838" t="s">
        <v>1429</v>
      </c>
      <c r="C838" t="s">
        <v>691</v>
      </c>
    </row>
    <row r="839" spans="1:3" x14ac:dyDescent="0.2">
      <c r="A839" s="70" t="s">
        <v>399</v>
      </c>
      <c r="B839" t="s">
        <v>1430</v>
      </c>
      <c r="C839" t="s">
        <v>691</v>
      </c>
    </row>
    <row r="840" spans="1:3" x14ac:dyDescent="0.2">
      <c r="A840" s="70" t="s">
        <v>399</v>
      </c>
      <c r="B840" t="s">
        <v>407</v>
      </c>
      <c r="C840" t="s">
        <v>691</v>
      </c>
    </row>
    <row r="841" spans="1:3" x14ac:dyDescent="0.2">
      <c r="A841" s="70" t="s">
        <v>399</v>
      </c>
      <c r="B841" t="s">
        <v>1431</v>
      </c>
      <c r="C841" t="s">
        <v>691</v>
      </c>
    </row>
    <row r="842" spans="1:3" x14ac:dyDescent="0.2">
      <c r="A842" s="70" t="s">
        <v>399</v>
      </c>
      <c r="B842" t="s">
        <v>1432</v>
      </c>
      <c r="C842" t="s">
        <v>691</v>
      </c>
    </row>
    <row r="843" spans="1:3" x14ac:dyDescent="0.2">
      <c r="A843" s="70" t="s">
        <v>399</v>
      </c>
      <c r="B843" t="s">
        <v>655</v>
      </c>
      <c r="C843" t="s">
        <v>691</v>
      </c>
    </row>
    <row r="844" spans="1:3" x14ac:dyDescent="0.2">
      <c r="A844" s="70" t="s">
        <v>399</v>
      </c>
      <c r="B844" t="s">
        <v>687</v>
      </c>
      <c r="C844" t="s">
        <v>691</v>
      </c>
    </row>
    <row r="845" spans="1:3" x14ac:dyDescent="0.2">
      <c r="A845" s="70" t="s">
        <v>399</v>
      </c>
      <c r="B845" t="s">
        <v>622</v>
      </c>
      <c r="C845" t="s">
        <v>691</v>
      </c>
    </row>
    <row r="846" spans="1:3" x14ac:dyDescent="0.2">
      <c r="A846" s="70" t="s">
        <v>399</v>
      </c>
      <c r="B846" t="s">
        <v>671</v>
      </c>
      <c r="C846" t="s">
        <v>691</v>
      </c>
    </row>
    <row r="847" spans="1:3" x14ac:dyDescent="0.2">
      <c r="A847" s="70" t="s">
        <v>399</v>
      </c>
      <c r="B847" t="s">
        <v>1433</v>
      </c>
      <c r="C847" t="s">
        <v>691</v>
      </c>
    </row>
    <row r="848" spans="1:3" x14ac:dyDescent="0.2">
      <c r="A848" s="70" t="s">
        <v>399</v>
      </c>
      <c r="B848" t="s">
        <v>1434</v>
      </c>
      <c r="C848" t="s">
        <v>691</v>
      </c>
    </row>
    <row r="849" spans="1:3" x14ac:dyDescent="0.2">
      <c r="A849" s="70" t="s">
        <v>399</v>
      </c>
      <c r="B849" t="s">
        <v>1435</v>
      </c>
      <c r="C849" t="s">
        <v>691</v>
      </c>
    </row>
    <row r="850" spans="1:3" x14ac:dyDescent="0.2">
      <c r="A850" s="70" t="s">
        <v>399</v>
      </c>
      <c r="B850" t="s">
        <v>408</v>
      </c>
      <c r="C850" t="s">
        <v>691</v>
      </c>
    </row>
    <row r="851" spans="1:3" x14ac:dyDescent="0.2">
      <c r="A851" s="70" t="s">
        <v>399</v>
      </c>
      <c r="B851" t="s">
        <v>1436</v>
      </c>
      <c r="C851" t="s">
        <v>691</v>
      </c>
    </row>
    <row r="852" spans="1:3" x14ac:dyDescent="0.2">
      <c r="A852" s="70" t="s">
        <v>399</v>
      </c>
      <c r="B852" t="s">
        <v>1437</v>
      </c>
      <c r="C852" t="s">
        <v>691</v>
      </c>
    </row>
    <row r="853" spans="1:3" x14ac:dyDescent="0.2">
      <c r="A853" s="70" t="s">
        <v>399</v>
      </c>
      <c r="B853" t="s">
        <v>656</v>
      </c>
      <c r="C853" t="s">
        <v>691</v>
      </c>
    </row>
    <row r="854" spans="1:3" x14ac:dyDescent="0.2">
      <c r="A854" s="70" t="s">
        <v>399</v>
      </c>
      <c r="B854" t="s">
        <v>688</v>
      </c>
      <c r="C854" t="s">
        <v>691</v>
      </c>
    </row>
    <row r="855" spans="1:3" x14ac:dyDescent="0.2">
      <c r="A855" s="70" t="s">
        <v>399</v>
      </c>
      <c r="B855" t="s">
        <v>623</v>
      </c>
      <c r="C855" t="s">
        <v>691</v>
      </c>
    </row>
    <row r="856" spans="1:3" x14ac:dyDescent="0.2">
      <c r="A856" s="70" t="s">
        <v>399</v>
      </c>
      <c r="B856" t="s">
        <v>672</v>
      </c>
      <c r="C856" t="s">
        <v>691</v>
      </c>
    </row>
    <row r="857" spans="1:3" x14ac:dyDescent="0.2">
      <c r="A857" s="70" t="s">
        <v>399</v>
      </c>
      <c r="B857" t="s">
        <v>1438</v>
      </c>
      <c r="C857" t="s">
        <v>691</v>
      </c>
    </row>
    <row r="858" spans="1:3" x14ac:dyDescent="0.2">
      <c r="A858" s="70" t="s">
        <v>399</v>
      </c>
      <c r="B858" t="s">
        <v>1439</v>
      </c>
      <c r="C858" t="s">
        <v>691</v>
      </c>
    </row>
    <row r="859" spans="1:3" x14ac:dyDescent="0.2">
      <c r="A859" s="70" t="s">
        <v>399</v>
      </c>
      <c r="B859" t="s">
        <v>409</v>
      </c>
      <c r="C859" t="s">
        <v>691</v>
      </c>
    </row>
    <row r="860" spans="1:3" x14ac:dyDescent="0.2">
      <c r="A860" s="70" t="s">
        <v>399</v>
      </c>
      <c r="B860" t="s">
        <v>1440</v>
      </c>
      <c r="C860" t="s">
        <v>691</v>
      </c>
    </row>
    <row r="861" spans="1:3" x14ac:dyDescent="0.2">
      <c r="A861" s="70" t="s">
        <v>399</v>
      </c>
      <c r="B861" t="s">
        <v>1441</v>
      </c>
      <c r="C861" t="s">
        <v>691</v>
      </c>
    </row>
    <row r="862" spans="1:3" x14ac:dyDescent="0.2">
      <c r="A862" s="70" t="s">
        <v>399</v>
      </c>
      <c r="B862" t="s">
        <v>1442</v>
      </c>
      <c r="C862" t="s">
        <v>691</v>
      </c>
    </row>
    <row r="863" spans="1:3" x14ac:dyDescent="0.2">
      <c r="A863" s="70" t="s">
        <v>399</v>
      </c>
      <c r="B863" t="s">
        <v>1096</v>
      </c>
      <c r="C863" t="s">
        <v>691</v>
      </c>
    </row>
    <row r="864" spans="1:3" x14ac:dyDescent="0.2">
      <c r="A864" s="70" t="s">
        <v>399</v>
      </c>
      <c r="B864" t="s">
        <v>758</v>
      </c>
      <c r="C864" t="s">
        <v>691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1F386-7C24-B74C-AD17-7A5A3A73D9F7}">
  <dimension ref="A1"/>
  <sheetViews>
    <sheetView workbookViewId="0"/>
  </sheetViews>
  <sheetFormatPr baseColWidth="10" defaultRowHeight="15" x14ac:dyDescent="0.2"/>
  <sheetData>
    <row r="1" spans="1:1" x14ac:dyDescent="0.2">
      <c r="A1" t="s">
        <v>442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7471F-C764-7747-B7D7-1D97EA520640}">
  <dimension ref="A1:F7"/>
  <sheetViews>
    <sheetView workbookViewId="0"/>
  </sheetViews>
  <sheetFormatPr baseColWidth="10" defaultRowHeight="15" x14ac:dyDescent="0.2"/>
  <cols>
    <col min="1" max="1" width="41" bestFit="1" customWidth="1"/>
    <col min="2" max="2" width="11.5" bestFit="1" customWidth="1"/>
    <col min="3" max="5" width="15" bestFit="1" customWidth="1"/>
    <col min="6" max="6" width="41.1640625" bestFit="1" customWidth="1"/>
  </cols>
  <sheetData>
    <row r="1" spans="1:6" x14ac:dyDescent="0.2">
      <c r="A1" t="s">
        <v>391</v>
      </c>
      <c r="B1" t="s">
        <v>392</v>
      </c>
      <c r="C1" t="s">
        <v>393</v>
      </c>
      <c r="D1" t="s">
        <v>394</v>
      </c>
      <c r="E1" t="s">
        <v>395</v>
      </c>
      <c r="F1" t="s">
        <v>396</v>
      </c>
    </row>
    <row r="2" spans="1:6" x14ac:dyDescent="0.2">
      <c r="A2" s="70" t="s">
        <v>438</v>
      </c>
      <c r="B2" s="70" t="s">
        <v>400</v>
      </c>
      <c r="C2" s="69">
        <v>46260.892104837963</v>
      </c>
      <c r="D2" s="69">
        <v>46260.888526550923</v>
      </c>
      <c r="E2" s="69">
        <v>46260.888526550923</v>
      </c>
      <c r="F2" s="70" t="s">
        <v>439</v>
      </c>
    </row>
    <row r="3" spans="1:6" x14ac:dyDescent="0.2">
      <c r="A3" s="70" t="s">
        <v>440</v>
      </c>
      <c r="B3" s="70" t="s">
        <v>400</v>
      </c>
      <c r="C3" s="69">
        <v>46260.892104814811</v>
      </c>
      <c r="D3" s="69">
        <v>46260.888526539355</v>
      </c>
      <c r="E3" s="69">
        <v>46260.888526539355</v>
      </c>
      <c r="F3" s="70" t="s">
        <v>439</v>
      </c>
    </row>
    <row r="4" spans="1:6" x14ac:dyDescent="0.2">
      <c r="A4" s="70" t="s">
        <v>431</v>
      </c>
      <c r="B4" s="70" t="s">
        <v>400</v>
      </c>
      <c r="C4" s="69">
        <v>46260.892104861108</v>
      </c>
      <c r="D4" s="69">
        <v>46260.88852659722</v>
      </c>
      <c r="E4" s="69">
        <v>46260.888526585652</v>
      </c>
      <c r="F4" s="70" t="s">
        <v>439</v>
      </c>
    </row>
    <row r="5" spans="1:6" x14ac:dyDescent="0.2">
      <c r="A5" s="70" t="s">
        <v>410</v>
      </c>
      <c r="B5" s="70" t="s">
        <v>400</v>
      </c>
      <c r="C5" s="69">
        <v>46260.892105162035</v>
      </c>
      <c r="D5" s="69">
        <v>46260.891033599539</v>
      </c>
      <c r="E5" s="69">
        <v>46260.88852659722</v>
      </c>
      <c r="F5" s="70" t="s">
        <v>439</v>
      </c>
    </row>
    <row r="6" spans="1:6" x14ac:dyDescent="0.2">
      <c r="A6" s="70" t="s">
        <v>441</v>
      </c>
      <c r="B6" s="70" t="s">
        <v>400</v>
      </c>
      <c r="C6" s="69">
        <v>46260.892104849539</v>
      </c>
      <c r="D6" s="69">
        <v>46260.888526574076</v>
      </c>
      <c r="E6" s="69">
        <v>46260.888526574076</v>
      </c>
      <c r="F6" s="70" t="s">
        <v>439</v>
      </c>
    </row>
    <row r="7" spans="1:6" x14ac:dyDescent="0.2">
      <c r="A7" s="70" t="s">
        <v>399</v>
      </c>
      <c r="B7" s="70" t="s">
        <v>400</v>
      </c>
      <c r="C7" s="69">
        <v>46265.868837268521</v>
      </c>
      <c r="D7" s="69">
        <v>46265.868835925925</v>
      </c>
      <c r="E7" s="69">
        <v>46261.547237303239</v>
      </c>
      <c r="F7" s="70" t="s">
        <v>439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E4640-53EE-495F-B2DD-6A7F9E57B5E0}">
  <dimension ref="A1:N29"/>
  <sheetViews>
    <sheetView workbookViewId="0">
      <selection activeCell="D48" sqref="D48"/>
    </sheetView>
  </sheetViews>
  <sheetFormatPr baseColWidth="10" defaultColWidth="8.83203125" defaultRowHeight="15" x14ac:dyDescent="0.2"/>
  <cols>
    <col min="1" max="1" width="13.5" bestFit="1" customWidth="1"/>
    <col min="2" max="2" width="49" bestFit="1" customWidth="1"/>
    <col min="3" max="3" width="12.33203125" bestFit="1" customWidth="1"/>
    <col min="4" max="4" width="16.5" bestFit="1" customWidth="1"/>
    <col min="5" max="5" width="16.33203125" bestFit="1" customWidth="1"/>
    <col min="6" max="6" width="15.5" bestFit="1" customWidth="1"/>
    <col min="7" max="7" width="81.1640625" bestFit="1" customWidth="1"/>
    <col min="8" max="8" width="15.33203125" bestFit="1" customWidth="1"/>
    <col min="9" max="9" width="17.5" bestFit="1" customWidth="1"/>
    <col min="10" max="10" width="19.1640625" bestFit="1" customWidth="1"/>
    <col min="11" max="11" width="22.33203125" bestFit="1" customWidth="1"/>
    <col min="12" max="12" width="81.1640625" bestFit="1" customWidth="1"/>
    <col min="13" max="13" width="12.5" bestFit="1" customWidth="1"/>
    <col min="14" max="14" width="81.1640625" bestFit="1" customWidth="1"/>
  </cols>
  <sheetData>
    <row r="1" spans="1:14" x14ac:dyDescent="0.2">
      <c r="A1" t="s">
        <v>390</v>
      </c>
      <c r="B1" t="s">
        <v>391</v>
      </c>
      <c r="C1" t="s">
        <v>392</v>
      </c>
      <c r="D1" t="s">
        <v>393</v>
      </c>
      <c r="E1" t="s">
        <v>394</v>
      </c>
      <c r="F1" t="s">
        <v>395</v>
      </c>
      <c r="G1" t="s">
        <v>396</v>
      </c>
      <c r="H1" t="s">
        <v>397</v>
      </c>
      <c r="I1" t="s">
        <v>45</v>
      </c>
      <c r="J1" t="s">
        <v>46</v>
      </c>
      <c r="K1" t="s">
        <v>47</v>
      </c>
      <c r="L1" t="s">
        <v>48</v>
      </c>
      <c r="M1" t="s">
        <v>49</v>
      </c>
      <c r="N1" t="s">
        <v>50</v>
      </c>
    </row>
    <row r="2" spans="1:14" x14ac:dyDescent="0.2">
      <c r="A2" t="s">
        <v>398</v>
      </c>
      <c r="B2" t="s">
        <v>399</v>
      </c>
      <c r="C2" t="s">
        <v>400</v>
      </c>
      <c r="D2" s="69"/>
      <c r="E2" s="69">
        <v>46258.70616898148</v>
      </c>
      <c r="F2" s="69">
        <v>46206.418333333335</v>
      </c>
      <c r="G2" t="s">
        <v>401</v>
      </c>
      <c r="H2" t="s">
        <v>402</v>
      </c>
      <c r="I2" t="s">
        <v>51</v>
      </c>
      <c r="J2" t="s">
        <v>52</v>
      </c>
      <c r="K2" t="s">
        <v>53</v>
      </c>
      <c r="L2" t="s">
        <v>54</v>
      </c>
      <c r="M2">
        <v>0.5</v>
      </c>
      <c r="N2">
        <v>12</v>
      </c>
    </row>
    <row r="3" spans="1:14" x14ac:dyDescent="0.2">
      <c r="A3" t="s">
        <v>398</v>
      </c>
      <c r="B3" t="s">
        <v>399</v>
      </c>
      <c r="C3" t="s">
        <v>400</v>
      </c>
      <c r="D3" s="69"/>
      <c r="E3" s="69">
        <v>46258.70616898148</v>
      </c>
      <c r="F3" s="69">
        <v>46206.418333333335</v>
      </c>
      <c r="G3" t="s">
        <v>401</v>
      </c>
      <c r="H3" t="s">
        <v>402</v>
      </c>
      <c r="I3" t="s">
        <v>55</v>
      </c>
      <c r="J3" t="s">
        <v>56</v>
      </c>
      <c r="K3" t="s">
        <v>57</v>
      </c>
      <c r="L3" t="s">
        <v>58</v>
      </c>
      <c r="M3">
        <v>0.5</v>
      </c>
      <c r="N3" t="s">
        <v>59</v>
      </c>
    </row>
    <row r="4" spans="1:14" x14ac:dyDescent="0.2">
      <c r="A4" t="s">
        <v>398</v>
      </c>
      <c r="B4" t="s">
        <v>399</v>
      </c>
      <c r="C4" t="s">
        <v>400</v>
      </c>
      <c r="D4" s="69"/>
      <c r="E4" s="69">
        <v>46258.70616898148</v>
      </c>
      <c r="F4" s="69">
        <v>46206.418333333335</v>
      </c>
      <c r="G4" t="s">
        <v>401</v>
      </c>
      <c r="H4" t="s">
        <v>403</v>
      </c>
      <c r="I4" t="s">
        <v>51</v>
      </c>
      <c r="J4" t="s">
        <v>52</v>
      </c>
      <c r="K4" t="s">
        <v>108</v>
      </c>
      <c r="L4" t="s">
        <v>109</v>
      </c>
      <c r="M4">
        <v>0.4</v>
      </c>
      <c r="N4">
        <v>7</v>
      </c>
    </row>
    <row r="5" spans="1:14" x14ac:dyDescent="0.2">
      <c r="A5" t="s">
        <v>398</v>
      </c>
      <c r="B5" t="s">
        <v>399</v>
      </c>
      <c r="C5" t="s">
        <v>400</v>
      </c>
      <c r="D5" s="69"/>
      <c r="E5" s="69">
        <v>46258.70616898148</v>
      </c>
      <c r="F5" s="69">
        <v>46206.418333333335</v>
      </c>
      <c r="G5" t="s">
        <v>401</v>
      </c>
      <c r="H5" t="s">
        <v>403</v>
      </c>
      <c r="I5" t="s">
        <v>55</v>
      </c>
      <c r="J5" t="s">
        <v>110</v>
      </c>
      <c r="K5" t="s">
        <v>111</v>
      </c>
      <c r="L5" t="s">
        <v>112</v>
      </c>
      <c r="M5">
        <v>0.6</v>
      </c>
      <c r="N5">
        <v>12</v>
      </c>
    </row>
    <row r="6" spans="1:14" x14ac:dyDescent="0.2">
      <c r="A6" t="s">
        <v>398</v>
      </c>
      <c r="B6" t="s">
        <v>399</v>
      </c>
      <c r="C6" t="s">
        <v>400</v>
      </c>
      <c r="D6" s="69"/>
      <c r="E6" s="69">
        <v>46258.70616898148</v>
      </c>
      <c r="F6" s="69">
        <v>46206.418333333335</v>
      </c>
      <c r="G6" t="s">
        <v>401</v>
      </c>
      <c r="H6" t="s">
        <v>404</v>
      </c>
      <c r="I6" t="s">
        <v>51</v>
      </c>
      <c r="J6" t="s">
        <v>110</v>
      </c>
      <c r="K6" t="s">
        <v>156</v>
      </c>
      <c r="L6" t="s">
        <v>157</v>
      </c>
      <c r="M6">
        <v>0.5</v>
      </c>
      <c r="N6">
        <v>10</v>
      </c>
    </row>
    <row r="7" spans="1:14" x14ac:dyDescent="0.2">
      <c r="A7" t="s">
        <v>398</v>
      </c>
      <c r="B7" t="s">
        <v>399</v>
      </c>
      <c r="C7" t="s">
        <v>400</v>
      </c>
      <c r="D7" s="69"/>
      <c r="E7" s="69">
        <v>46258.70616898148</v>
      </c>
      <c r="F7" s="69">
        <v>46206.418333333335</v>
      </c>
      <c r="G7" t="s">
        <v>401</v>
      </c>
      <c r="H7" t="s">
        <v>404</v>
      </c>
      <c r="I7" t="s">
        <v>55</v>
      </c>
      <c r="J7" t="s">
        <v>52</v>
      </c>
      <c r="K7" t="s">
        <v>158</v>
      </c>
      <c r="L7" t="s">
        <v>159</v>
      </c>
      <c r="M7">
        <v>0.5</v>
      </c>
      <c r="N7" t="s">
        <v>160</v>
      </c>
    </row>
    <row r="8" spans="1:14" x14ac:dyDescent="0.2">
      <c r="A8" t="s">
        <v>398</v>
      </c>
      <c r="B8" t="s">
        <v>399</v>
      </c>
      <c r="C8" t="s">
        <v>400</v>
      </c>
      <c r="D8" s="69"/>
      <c r="E8" s="69">
        <v>46258.70616898148</v>
      </c>
      <c r="F8" s="69">
        <v>46206.418333333335</v>
      </c>
      <c r="G8" t="s">
        <v>401</v>
      </c>
      <c r="H8" t="s">
        <v>405</v>
      </c>
      <c r="I8" t="s">
        <v>51</v>
      </c>
      <c r="J8" t="s">
        <v>52</v>
      </c>
      <c r="K8" t="s">
        <v>108</v>
      </c>
      <c r="L8" t="s">
        <v>177</v>
      </c>
      <c r="M8">
        <v>0.5</v>
      </c>
      <c r="N8">
        <v>6</v>
      </c>
    </row>
    <row r="9" spans="1:14" x14ac:dyDescent="0.2">
      <c r="A9" t="s">
        <v>398</v>
      </c>
      <c r="B9" t="s">
        <v>399</v>
      </c>
      <c r="C9" t="s">
        <v>400</v>
      </c>
      <c r="D9" s="69"/>
      <c r="E9" s="69">
        <v>46258.70616898148</v>
      </c>
      <c r="F9" s="69">
        <v>46206.418333333335</v>
      </c>
      <c r="G9" t="s">
        <v>401</v>
      </c>
      <c r="H9" t="s">
        <v>406</v>
      </c>
      <c r="I9" t="s">
        <v>51</v>
      </c>
      <c r="J9" t="s">
        <v>228</v>
      </c>
      <c r="K9" t="s">
        <v>229</v>
      </c>
      <c r="L9" t="s">
        <v>230</v>
      </c>
      <c r="M9">
        <v>0.5</v>
      </c>
      <c r="N9">
        <v>7</v>
      </c>
    </row>
    <row r="10" spans="1:14" x14ac:dyDescent="0.2">
      <c r="A10" t="s">
        <v>398</v>
      </c>
      <c r="B10" t="s">
        <v>399</v>
      </c>
      <c r="C10" t="s">
        <v>400</v>
      </c>
      <c r="D10" s="69"/>
      <c r="E10" s="69">
        <v>46258.70616898148</v>
      </c>
      <c r="F10" s="69">
        <v>46206.418333333335</v>
      </c>
      <c r="G10" t="s">
        <v>401</v>
      </c>
      <c r="H10" t="s">
        <v>406</v>
      </c>
      <c r="I10" t="s">
        <v>55</v>
      </c>
      <c r="J10" t="s">
        <v>52</v>
      </c>
      <c r="K10" t="s">
        <v>53</v>
      </c>
      <c r="L10" t="s">
        <v>231</v>
      </c>
      <c r="M10">
        <v>0.5</v>
      </c>
      <c r="N10">
        <v>12</v>
      </c>
    </row>
    <row r="11" spans="1:14" x14ac:dyDescent="0.2">
      <c r="A11" t="s">
        <v>398</v>
      </c>
      <c r="B11" t="s">
        <v>399</v>
      </c>
      <c r="C11" t="s">
        <v>400</v>
      </c>
      <c r="D11" s="69"/>
      <c r="E11" s="69">
        <v>46258.70616898148</v>
      </c>
      <c r="F11" s="69">
        <v>46206.418333333335</v>
      </c>
      <c r="G11" t="s">
        <v>401</v>
      </c>
      <c r="H11" t="s">
        <v>407</v>
      </c>
      <c r="I11" t="s">
        <v>51</v>
      </c>
      <c r="J11" t="s">
        <v>56</v>
      </c>
      <c r="K11" t="s">
        <v>108</v>
      </c>
      <c r="L11" t="s">
        <v>287</v>
      </c>
      <c r="M11">
        <v>1</v>
      </c>
      <c r="N11">
        <v>12</v>
      </c>
    </row>
    <row r="12" spans="1:14" x14ac:dyDescent="0.2">
      <c r="A12" t="s">
        <v>398</v>
      </c>
      <c r="B12" t="s">
        <v>399</v>
      </c>
      <c r="C12" t="s">
        <v>400</v>
      </c>
      <c r="D12" s="69"/>
      <c r="E12" s="69">
        <v>46258.70616898148</v>
      </c>
      <c r="F12" s="69">
        <v>46206.418333333335</v>
      </c>
      <c r="G12" t="s">
        <v>401</v>
      </c>
      <c r="H12" t="s">
        <v>408</v>
      </c>
      <c r="I12" t="s">
        <v>51</v>
      </c>
      <c r="J12" t="s">
        <v>52</v>
      </c>
      <c r="K12" t="s">
        <v>53</v>
      </c>
      <c r="L12" t="s">
        <v>268</v>
      </c>
      <c r="M12">
        <v>0.3</v>
      </c>
      <c r="N12">
        <v>6</v>
      </c>
    </row>
    <row r="13" spans="1:14" x14ac:dyDescent="0.2">
      <c r="A13" t="s">
        <v>398</v>
      </c>
      <c r="B13" t="s">
        <v>399</v>
      </c>
      <c r="C13" t="s">
        <v>400</v>
      </c>
      <c r="D13" s="69"/>
      <c r="E13" s="69">
        <v>46258.70616898148</v>
      </c>
      <c r="F13" s="69">
        <v>46206.418333333335</v>
      </c>
      <c r="G13" t="s">
        <v>401</v>
      </c>
      <c r="H13" t="s">
        <v>408</v>
      </c>
      <c r="I13" t="s">
        <v>55</v>
      </c>
      <c r="J13" t="s">
        <v>110</v>
      </c>
      <c r="K13" t="s">
        <v>156</v>
      </c>
      <c r="L13" t="s">
        <v>269</v>
      </c>
      <c r="M13">
        <v>0.7</v>
      </c>
      <c r="N13">
        <v>12</v>
      </c>
    </row>
    <row r="14" spans="1:14" x14ac:dyDescent="0.2">
      <c r="A14" t="s">
        <v>398</v>
      </c>
      <c r="B14" t="s">
        <v>399</v>
      </c>
      <c r="C14" t="s">
        <v>400</v>
      </c>
      <c r="D14" s="69"/>
      <c r="E14" s="69">
        <v>46258.70616898148</v>
      </c>
      <c r="F14" s="69">
        <v>46206.418333333335</v>
      </c>
      <c r="G14" t="s">
        <v>401</v>
      </c>
      <c r="H14" t="s">
        <v>409</v>
      </c>
      <c r="I14" t="s">
        <v>51</v>
      </c>
      <c r="J14" t="s">
        <v>110</v>
      </c>
      <c r="L14" t="s">
        <v>213</v>
      </c>
      <c r="M14">
        <v>0.5</v>
      </c>
    </row>
    <row r="15" spans="1:14" x14ac:dyDescent="0.2">
      <c r="A15" t="s">
        <v>398</v>
      </c>
      <c r="B15" t="s">
        <v>399</v>
      </c>
      <c r="C15" t="s">
        <v>400</v>
      </c>
      <c r="D15" s="69"/>
      <c r="E15" s="69">
        <v>46258.70616898148</v>
      </c>
      <c r="F15" s="69">
        <v>46206.418333333335</v>
      </c>
      <c r="G15" t="s">
        <v>401</v>
      </c>
      <c r="H15" t="s">
        <v>409</v>
      </c>
      <c r="I15" t="s">
        <v>55</v>
      </c>
      <c r="J15" t="s">
        <v>52</v>
      </c>
      <c r="K15" t="s">
        <v>53</v>
      </c>
      <c r="L15" t="s">
        <v>214</v>
      </c>
      <c r="M15">
        <v>0.5</v>
      </c>
    </row>
    <row r="16" spans="1:14" x14ac:dyDescent="0.2">
      <c r="A16" t="s">
        <v>398</v>
      </c>
      <c r="B16" t="s">
        <v>410</v>
      </c>
      <c r="C16" t="s">
        <v>400</v>
      </c>
      <c r="D16" s="69"/>
      <c r="E16" s="69">
        <v>46258.532002314816</v>
      </c>
      <c r="F16" s="69">
        <v>46206.421469907407</v>
      </c>
      <c r="G16" t="s">
        <v>411</v>
      </c>
      <c r="H16" t="s">
        <v>412</v>
      </c>
      <c r="I16" t="s">
        <v>51</v>
      </c>
      <c r="J16" t="s">
        <v>56</v>
      </c>
      <c r="K16" t="s">
        <v>304</v>
      </c>
      <c r="L16" t="s">
        <v>413</v>
      </c>
      <c r="M16">
        <v>0.5</v>
      </c>
      <c r="N16">
        <v>6</v>
      </c>
    </row>
    <row r="17" spans="1:14" x14ac:dyDescent="0.2">
      <c r="A17" t="s">
        <v>398</v>
      </c>
      <c r="B17" t="s">
        <v>410</v>
      </c>
      <c r="C17" t="s">
        <v>400</v>
      </c>
      <c r="D17" s="69"/>
      <c r="E17" s="69">
        <v>46258.532002314816</v>
      </c>
      <c r="F17" s="69">
        <v>46206.421469907407</v>
      </c>
      <c r="G17" t="s">
        <v>411</v>
      </c>
      <c r="H17" t="s">
        <v>412</v>
      </c>
      <c r="I17" t="s">
        <v>55</v>
      </c>
      <c r="J17" t="s">
        <v>228</v>
      </c>
      <c r="K17" t="s">
        <v>331</v>
      </c>
      <c r="L17" t="s">
        <v>414</v>
      </c>
      <c r="M17">
        <v>0.5</v>
      </c>
      <c r="N17">
        <v>12</v>
      </c>
    </row>
    <row r="18" spans="1:14" x14ac:dyDescent="0.2">
      <c r="A18" t="s">
        <v>398</v>
      </c>
      <c r="B18" t="s">
        <v>410</v>
      </c>
      <c r="C18" t="s">
        <v>400</v>
      </c>
      <c r="D18" s="69"/>
      <c r="E18" s="69">
        <v>46258.532002314816</v>
      </c>
      <c r="F18" s="69">
        <v>46206.421469907407</v>
      </c>
      <c r="G18" t="s">
        <v>411</v>
      </c>
      <c r="H18" t="s">
        <v>415</v>
      </c>
      <c r="I18" t="s">
        <v>51</v>
      </c>
      <c r="J18" t="s">
        <v>228</v>
      </c>
      <c r="K18" t="s">
        <v>328</v>
      </c>
      <c r="L18" t="s">
        <v>416</v>
      </c>
      <c r="M18">
        <v>0.35</v>
      </c>
      <c r="N18">
        <v>6</v>
      </c>
    </row>
    <row r="19" spans="1:14" x14ac:dyDescent="0.2">
      <c r="A19" t="s">
        <v>398</v>
      </c>
      <c r="B19" t="s">
        <v>410</v>
      </c>
      <c r="C19" t="s">
        <v>400</v>
      </c>
      <c r="D19" s="69"/>
      <c r="E19" s="69">
        <v>46258.532002314816</v>
      </c>
      <c r="F19" s="69">
        <v>46206.421469907407</v>
      </c>
      <c r="G19" t="s">
        <v>411</v>
      </c>
      <c r="H19" t="s">
        <v>415</v>
      </c>
      <c r="I19" t="s">
        <v>55</v>
      </c>
      <c r="J19" t="s">
        <v>52</v>
      </c>
      <c r="K19" t="s">
        <v>318</v>
      </c>
      <c r="L19" t="s">
        <v>417</v>
      </c>
      <c r="M19">
        <v>0.65</v>
      </c>
      <c r="N19">
        <v>13</v>
      </c>
    </row>
    <row r="20" spans="1:14" x14ac:dyDescent="0.2">
      <c r="A20" t="s">
        <v>398</v>
      </c>
      <c r="B20" t="s">
        <v>410</v>
      </c>
      <c r="C20" t="s">
        <v>400</v>
      </c>
      <c r="D20" s="69"/>
      <c r="E20" s="69">
        <v>46258.532002314816</v>
      </c>
      <c r="F20" s="69">
        <v>46206.421469907407</v>
      </c>
      <c r="G20" t="s">
        <v>411</v>
      </c>
      <c r="H20" t="s">
        <v>418</v>
      </c>
      <c r="I20" t="s">
        <v>51</v>
      </c>
      <c r="J20" t="s">
        <v>52</v>
      </c>
      <c r="K20" t="s">
        <v>108</v>
      </c>
      <c r="L20" t="s">
        <v>419</v>
      </c>
      <c r="M20">
        <v>0.5</v>
      </c>
      <c r="N20">
        <v>6</v>
      </c>
    </row>
    <row r="21" spans="1:14" x14ac:dyDescent="0.2">
      <c r="A21" t="s">
        <v>398</v>
      </c>
      <c r="B21" t="s">
        <v>410</v>
      </c>
      <c r="C21" t="s">
        <v>400</v>
      </c>
      <c r="D21" s="69"/>
      <c r="E21" s="69">
        <v>46258.532002314816</v>
      </c>
      <c r="F21" s="69">
        <v>46206.421469907407</v>
      </c>
      <c r="G21" t="s">
        <v>411</v>
      </c>
      <c r="H21" t="s">
        <v>418</v>
      </c>
      <c r="I21" t="s">
        <v>55</v>
      </c>
      <c r="J21" t="s">
        <v>110</v>
      </c>
      <c r="K21" t="s">
        <v>111</v>
      </c>
      <c r="L21" t="s">
        <v>420</v>
      </c>
      <c r="M21">
        <v>0.5</v>
      </c>
      <c r="N21">
        <v>12</v>
      </c>
    </row>
    <row r="22" spans="1:14" x14ac:dyDescent="0.2">
      <c r="A22" t="s">
        <v>398</v>
      </c>
      <c r="B22" t="s">
        <v>410</v>
      </c>
      <c r="C22" t="s">
        <v>400</v>
      </c>
      <c r="D22" s="69"/>
      <c r="E22" s="69">
        <v>46258.532002314816</v>
      </c>
      <c r="F22" s="69">
        <v>46206.421469907407</v>
      </c>
      <c r="G22" t="s">
        <v>411</v>
      </c>
      <c r="H22" t="s">
        <v>421</v>
      </c>
      <c r="I22" t="s">
        <v>51</v>
      </c>
      <c r="J22" t="s">
        <v>110</v>
      </c>
      <c r="K22" t="s">
        <v>304</v>
      </c>
      <c r="L22" t="s">
        <v>422</v>
      </c>
      <c r="M22">
        <v>0.5</v>
      </c>
      <c r="N22">
        <v>8</v>
      </c>
    </row>
    <row r="23" spans="1:14" x14ac:dyDescent="0.2">
      <c r="A23" t="s">
        <v>398</v>
      </c>
      <c r="B23" t="s">
        <v>410</v>
      </c>
      <c r="C23" t="s">
        <v>400</v>
      </c>
      <c r="D23" s="69"/>
      <c r="E23" s="69">
        <v>46258.532002314816</v>
      </c>
      <c r="F23" s="69">
        <v>46206.421469907407</v>
      </c>
      <c r="G23" t="s">
        <v>411</v>
      </c>
      <c r="H23" t="s">
        <v>421</v>
      </c>
      <c r="I23" t="s">
        <v>55</v>
      </c>
      <c r="J23" t="s">
        <v>52</v>
      </c>
      <c r="K23" t="s">
        <v>108</v>
      </c>
      <c r="L23" t="s">
        <v>423</v>
      </c>
      <c r="M23">
        <v>0.5</v>
      </c>
      <c r="N23" t="s">
        <v>424</v>
      </c>
    </row>
    <row r="24" spans="1:14" x14ac:dyDescent="0.2">
      <c r="A24" t="s">
        <v>398</v>
      </c>
      <c r="B24" t="s">
        <v>410</v>
      </c>
      <c r="C24" t="s">
        <v>400</v>
      </c>
      <c r="D24" s="69"/>
      <c r="E24" s="69">
        <v>46258.532002314816</v>
      </c>
      <c r="F24" s="69">
        <v>46206.421469907407</v>
      </c>
      <c r="G24" t="s">
        <v>411</v>
      </c>
      <c r="H24" t="s">
        <v>425</v>
      </c>
      <c r="I24" t="s">
        <v>51</v>
      </c>
      <c r="J24" t="s">
        <v>56</v>
      </c>
      <c r="K24" t="s">
        <v>304</v>
      </c>
      <c r="L24" t="s">
        <v>426</v>
      </c>
      <c r="M24">
        <v>0.5</v>
      </c>
      <c r="N24">
        <v>9</v>
      </c>
    </row>
    <row r="25" spans="1:14" x14ac:dyDescent="0.2">
      <c r="A25" t="s">
        <v>398</v>
      </c>
      <c r="B25" t="s">
        <v>410</v>
      </c>
      <c r="C25" t="s">
        <v>400</v>
      </c>
      <c r="D25" s="69"/>
      <c r="E25" s="69">
        <v>46258.532002314816</v>
      </c>
      <c r="F25" s="69">
        <v>46206.421469907407</v>
      </c>
      <c r="G25" t="s">
        <v>411</v>
      </c>
      <c r="H25" t="s">
        <v>425</v>
      </c>
      <c r="I25" t="s">
        <v>55</v>
      </c>
      <c r="J25" t="s">
        <v>228</v>
      </c>
      <c r="K25" t="s">
        <v>331</v>
      </c>
      <c r="L25" t="s">
        <v>427</v>
      </c>
      <c r="M25">
        <v>0.5</v>
      </c>
      <c r="N25">
        <v>12</v>
      </c>
    </row>
    <row r="26" spans="1:14" x14ac:dyDescent="0.2">
      <c r="A26" t="s">
        <v>398</v>
      </c>
      <c r="B26" t="s">
        <v>410</v>
      </c>
      <c r="C26" t="s">
        <v>400</v>
      </c>
      <c r="D26" s="69"/>
      <c r="E26" s="69">
        <v>46258.532002314816</v>
      </c>
      <c r="F26" s="69">
        <v>46206.421469907407</v>
      </c>
      <c r="G26" t="s">
        <v>411</v>
      </c>
      <c r="H26" t="s">
        <v>428</v>
      </c>
      <c r="I26" t="s">
        <v>51</v>
      </c>
      <c r="J26" t="s">
        <v>110</v>
      </c>
      <c r="K26" t="s">
        <v>306</v>
      </c>
      <c r="L26" t="s">
        <v>429</v>
      </c>
      <c r="M26">
        <v>0.6</v>
      </c>
      <c r="N26">
        <v>28</v>
      </c>
    </row>
    <row r="27" spans="1:14" x14ac:dyDescent="0.2">
      <c r="A27" t="s">
        <v>398</v>
      </c>
      <c r="B27" t="s">
        <v>410</v>
      </c>
      <c r="C27" t="s">
        <v>400</v>
      </c>
      <c r="D27" s="69"/>
      <c r="E27" s="69">
        <v>46258.532002314816</v>
      </c>
      <c r="F27" s="69">
        <v>46206.421469907407</v>
      </c>
      <c r="G27" t="s">
        <v>411</v>
      </c>
      <c r="H27" t="s">
        <v>428</v>
      </c>
      <c r="I27" t="s">
        <v>55</v>
      </c>
      <c r="J27" t="s">
        <v>52</v>
      </c>
      <c r="K27" t="s">
        <v>53</v>
      </c>
      <c r="L27" t="s">
        <v>430</v>
      </c>
      <c r="M27">
        <v>0.4</v>
      </c>
      <c r="N27">
        <v>28</v>
      </c>
    </row>
    <row r="28" spans="1:14" x14ac:dyDescent="0.2">
      <c r="A28" t="s">
        <v>398</v>
      </c>
      <c r="B28" t="s">
        <v>431</v>
      </c>
      <c r="C28" t="s">
        <v>400</v>
      </c>
      <c r="D28" s="69"/>
      <c r="E28" s="69">
        <v>46258.665937500002</v>
      </c>
      <c r="F28" s="69">
        <v>46206.423784722225</v>
      </c>
      <c r="G28" t="s">
        <v>432</v>
      </c>
      <c r="H28" t="s">
        <v>433</v>
      </c>
      <c r="I28" t="s">
        <v>51</v>
      </c>
      <c r="J28" t="s">
        <v>228</v>
      </c>
      <c r="K28" t="s">
        <v>331</v>
      </c>
      <c r="L28" t="s">
        <v>434</v>
      </c>
      <c r="M28">
        <v>0.5</v>
      </c>
      <c r="N28" t="s">
        <v>435</v>
      </c>
    </row>
    <row r="29" spans="1:14" x14ac:dyDescent="0.2">
      <c r="A29" t="s">
        <v>398</v>
      </c>
      <c r="B29" t="s">
        <v>431</v>
      </c>
      <c r="C29" t="s">
        <v>400</v>
      </c>
      <c r="D29" s="69"/>
      <c r="E29" s="69">
        <v>46258.665937500002</v>
      </c>
      <c r="F29" s="69">
        <v>46206.423784722225</v>
      </c>
      <c r="G29" t="s">
        <v>432</v>
      </c>
      <c r="H29" t="s">
        <v>433</v>
      </c>
      <c r="I29" t="s">
        <v>55</v>
      </c>
      <c r="J29" t="s">
        <v>228</v>
      </c>
      <c r="K29" t="s">
        <v>331</v>
      </c>
      <c r="L29" t="s">
        <v>436</v>
      </c>
      <c r="M29">
        <v>0.5</v>
      </c>
      <c r="N29" t="s">
        <v>437</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47D85-800B-4162-9FEF-D3A5F5FCFE6C}">
  <dimension ref="A1"/>
  <sheetViews>
    <sheetView workbookViewId="0"/>
  </sheetViews>
  <sheetFormatPr baseColWidth="10" defaultColWidth="8.83203125" defaultRowHeight="15" x14ac:dyDescent="0.2"/>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topLeftCell="A84" workbookViewId="0">
      <selection activeCell="C37" sqref="C37"/>
    </sheetView>
  </sheetViews>
  <sheetFormatPr baseColWidth="10" defaultColWidth="8.83203125" defaultRowHeight="15" x14ac:dyDescent="0.2"/>
  <cols>
    <col min="7" max="7" width="11.33203125" customWidth="1"/>
    <col min="10" max="10" width="19.33203125" bestFit="1" customWidth="1"/>
    <col min="19" max="19" width="28.33203125" customWidth="1"/>
    <col min="20" max="20" width="16.1640625" customWidth="1"/>
  </cols>
  <sheetData>
    <row r="4" spans="3:10" x14ac:dyDescent="0.2">
      <c r="C4" t="s">
        <v>301</v>
      </c>
      <c r="E4" t="s">
        <v>302</v>
      </c>
      <c r="G4" t="s">
        <v>302</v>
      </c>
      <c r="J4" t="s">
        <v>303</v>
      </c>
    </row>
    <row r="7" spans="3:10" ht="15.75" customHeight="1" x14ac:dyDescent="0.2">
      <c r="C7" s="7">
        <v>1</v>
      </c>
      <c r="E7" t="s">
        <v>37</v>
      </c>
      <c r="G7" t="s">
        <v>110</v>
      </c>
      <c r="J7" t="s">
        <v>113</v>
      </c>
    </row>
    <row r="8" spans="3:10" x14ac:dyDescent="0.2">
      <c r="C8" s="7">
        <v>2</v>
      </c>
      <c r="E8" t="s">
        <v>39</v>
      </c>
      <c r="G8" t="s">
        <v>228</v>
      </c>
      <c r="J8" t="s">
        <v>180</v>
      </c>
    </row>
    <row r="9" spans="3:10" x14ac:dyDescent="0.2">
      <c r="C9" s="7" t="s">
        <v>201</v>
      </c>
      <c r="E9" t="s">
        <v>41</v>
      </c>
      <c r="G9" t="s">
        <v>52</v>
      </c>
      <c r="J9" t="s">
        <v>74</v>
      </c>
    </row>
    <row r="10" spans="3:10" x14ac:dyDescent="0.2">
      <c r="E10" t="s">
        <v>42</v>
      </c>
      <c r="G10" t="s">
        <v>27</v>
      </c>
      <c r="J10" t="s">
        <v>116</v>
      </c>
    </row>
    <row r="11" spans="3:10" x14ac:dyDescent="0.2">
      <c r="C11" s="7">
        <v>3</v>
      </c>
      <c r="E11" t="s">
        <v>43</v>
      </c>
      <c r="G11" t="s">
        <v>56</v>
      </c>
      <c r="J11" t="s">
        <v>71</v>
      </c>
    </row>
    <row r="12" spans="3:10" x14ac:dyDescent="0.2">
      <c r="C12" s="7">
        <v>4</v>
      </c>
      <c r="J12" t="s">
        <v>65</v>
      </c>
    </row>
    <row r="13" spans="3:10" x14ac:dyDescent="0.2">
      <c r="C13" s="7">
        <v>5</v>
      </c>
      <c r="J13" t="s">
        <v>161</v>
      </c>
    </row>
    <row r="14" spans="3:10" x14ac:dyDescent="0.2">
      <c r="C14" s="7">
        <v>6</v>
      </c>
      <c r="G14" t="s">
        <v>47</v>
      </c>
      <c r="J14" t="s">
        <v>289</v>
      </c>
    </row>
    <row r="15" spans="3:10" x14ac:dyDescent="0.2">
      <c r="C15" s="7">
        <v>7</v>
      </c>
      <c r="G15" t="s">
        <v>304</v>
      </c>
      <c r="J15" t="s">
        <v>69</v>
      </c>
    </row>
    <row r="16" spans="3:10" x14ac:dyDescent="0.2">
      <c r="G16" t="s">
        <v>57</v>
      </c>
      <c r="J16" t="s">
        <v>305</v>
      </c>
    </row>
    <row r="17" spans="3:20" x14ac:dyDescent="0.2">
      <c r="C17" t="s">
        <v>205</v>
      </c>
      <c r="G17" t="s">
        <v>306</v>
      </c>
    </row>
    <row r="18" spans="3:20" x14ac:dyDescent="0.2">
      <c r="C18" t="s">
        <v>307</v>
      </c>
      <c r="G18" t="s">
        <v>111</v>
      </c>
    </row>
    <row r="19" spans="3:20" x14ac:dyDescent="0.2">
      <c r="C19" t="s">
        <v>308</v>
      </c>
      <c r="G19" t="s">
        <v>108</v>
      </c>
      <c r="J19" t="s">
        <v>309</v>
      </c>
      <c r="K19" t="s">
        <v>310</v>
      </c>
    </row>
    <row r="20" spans="3:20" x14ac:dyDescent="0.2">
      <c r="C20" t="s">
        <v>311</v>
      </c>
      <c r="G20" t="s">
        <v>53</v>
      </c>
      <c r="J20" t="s">
        <v>113</v>
      </c>
      <c r="K20" t="s">
        <v>215</v>
      </c>
      <c r="O20" s="9" t="s">
        <v>312</v>
      </c>
      <c r="S20" s="14" t="s">
        <v>313</v>
      </c>
      <c r="T20" s="15" t="s">
        <v>314</v>
      </c>
    </row>
    <row r="21" spans="3:20" x14ac:dyDescent="0.2">
      <c r="C21" t="s">
        <v>315</v>
      </c>
      <c r="G21" t="s">
        <v>156</v>
      </c>
      <c r="J21" t="s">
        <v>113</v>
      </c>
      <c r="K21" t="s">
        <v>115</v>
      </c>
      <c r="O21" t="str" cm="1">
        <f t="array" ref="O21:O26">_xlfn._xlws.FILTER(LISTS_Table[Skill],LISTS_Table[Category]="Scientific Knowledge")</f>
        <v>Critical thinking</v>
      </c>
      <c r="S21" s="16" t="s">
        <v>113</v>
      </c>
      <c r="T21" s="17" t="s">
        <v>316</v>
      </c>
    </row>
    <row r="22" spans="3:20" x14ac:dyDescent="0.2">
      <c r="C22" t="s">
        <v>17</v>
      </c>
      <c r="G22" t="s">
        <v>229</v>
      </c>
      <c r="J22" t="s">
        <v>113</v>
      </c>
      <c r="K22" t="s">
        <v>114</v>
      </c>
      <c r="O22" t="str">
        <v>Scientific literacy</v>
      </c>
      <c r="S22" s="18" t="s">
        <v>180</v>
      </c>
      <c r="T22" s="19" t="s">
        <v>317</v>
      </c>
    </row>
    <row r="23" spans="3:20" x14ac:dyDescent="0.2">
      <c r="G23" t="s">
        <v>318</v>
      </c>
      <c r="J23" t="s">
        <v>113</v>
      </c>
      <c r="K23" t="s">
        <v>319</v>
      </c>
      <c r="O23" t="str">
        <v>Information retrieval</v>
      </c>
      <c r="S23" s="16" t="s">
        <v>74</v>
      </c>
      <c r="T23" s="17" t="s">
        <v>320</v>
      </c>
    </row>
    <row r="24" spans="3:20" x14ac:dyDescent="0.2">
      <c r="G24" t="s">
        <v>321</v>
      </c>
      <c r="J24" t="s">
        <v>113</v>
      </c>
      <c r="K24" t="s">
        <v>178</v>
      </c>
      <c r="O24" t="str">
        <v>Knowledge synthesis</v>
      </c>
      <c r="S24" s="18" t="s">
        <v>116</v>
      </c>
      <c r="T24" s="19" t="s">
        <v>322</v>
      </c>
    </row>
    <row r="25" spans="3:20" x14ac:dyDescent="0.2">
      <c r="G25" t="s">
        <v>158</v>
      </c>
      <c r="J25" t="s">
        <v>113</v>
      </c>
      <c r="K25" t="s">
        <v>323</v>
      </c>
      <c r="O25" t="str">
        <v>Domian-specfic analytical skills</v>
      </c>
      <c r="S25" s="16" t="s">
        <v>71</v>
      </c>
      <c r="T25" s="17" t="s">
        <v>324</v>
      </c>
    </row>
    <row r="26" spans="3:20" x14ac:dyDescent="0.2">
      <c r="C26" t="s">
        <v>20</v>
      </c>
      <c r="G26" t="s">
        <v>325</v>
      </c>
      <c r="J26" t="s">
        <v>180</v>
      </c>
      <c r="K26" t="s">
        <v>326</v>
      </c>
      <c r="O26" t="str">
        <v>Evidence evaluation</v>
      </c>
      <c r="S26" s="18" t="s">
        <v>65</v>
      </c>
      <c r="T26" s="19" t="s">
        <v>65</v>
      </c>
    </row>
    <row r="27" spans="3:20" x14ac:dyDescent="0.2">
      <c r="C27" t="s">
        <v>327</v>
      </c>
      <c r="G27" t="s">
        <v>328</v>
      </c>
      <c r="J27" t="s">
        <v>180</v>
      </c>
      <c r="K27" t="s">
        <v>232</v>
      </c>
      <c r="S27" s="16" t="s">
        <v>161</v>
      </c>
      <c r="T27" s="17" t="s">
        <v>329</v>
      </c>
    </row>
    <row r="28" spans="3:20" x14ac:dyDescent="0.2">
      <c r="C28" t="s">
        <v>330</v>
      </c>
      <c r="G28" t="s">
        <v>331</v>
      </c>
      <c r="J28" t="s">
        <v>180</v>
      </c>
      <c r="K28" t="s">
        <v>195</v>
      </c>
      <c r="O28" s="6" t="s">
        <v>332</v>
      </c>
      <c r="S28" s="18" t="s">
        <v>289</v>
      </c>
      <c r="T28" s="19" t="s">
        <v>333</v>
      </c>
    </row>
    <row r="29" spans="3:20" x14ac:dyDescent="0.2">
      <c r="C29" t="s">
        <v>334</v>
      </c>
      <c r="J29" t="s">
        <v>180</v>
      </c>
      <c r="K29" t="s">
        <v>335</v>
      </c>
      <c r="O29" t="str" cm="1">
        <f t="array" ref="O29:O34">_xlfn._xlws.FILTER(LISTS_Table[Skill],LISTS_Table[Category]="Technical Skills")</f>
        <v>Laboratory/clinical techniques</v>
      </c>
      <c r="S29" s="16" t="s">
        <v>69</v>
      </c>
      <c r="T29" s="17" t="s">
        <v>336</v>
      </c>
    </row>
    <row r="30" spans="3:20" x14ac:dyDescent="0.2">
      <c r="C30" t="s">
        <v>337</v>
      </c>
      <c r="J30" t="s">
        <v>180</v>
      </c>
      <c r="K30" t="s">
        <v>181</v>
      </c>
      <c r="O30" t="str">
        <v>Data collection</v>
      </c>
      <c r="S30" s="13" t="s">
        <v>305</v>
      </c>
      <c r="T30" s="11" t="s">
        <v>338</v>
      </c>
    </row>
    <row r="31" spans="3:20" x14ac:dyDescent="0.2">
      <c r="C31" t="s">
        <v>339</v>
      </c>
      <c r="J31" t="s">
        <v>180</v>
      </c>
      <c r="K31" t="s">
        <v>340</v>
      </c>
      <c r="O31" t="str">
        <v>Data analysis</v>
      </c>
    </row>
    <row r="32" spans="3:20" x14ac:dyDescent="0.2">
      <c r="C32" t="s">
        <v>341</v>
      </c>
      <c r="J32" t="s">
        <v>74</v>
      </c>
      <c r="K32" t="s">
        <v>179</v>
      </c>
      <c r="O32" t="str">
        <v>Digital literacy</v>
      </c>
    </row>
    <row r="33" spans="3:15" x14ac:dyDescent="0.2">
      <c r="C33" t="s">
        <v>342</v>
      </c>
      <c r="J33" t="s">
        <v>74</v>
      </c>
      <c r="K33" t="s">
        <v>343</v>
      </c>
      <c r="O33" t="str">
        <v>Equipment and technology utilisation</v>
      </c>
    </row>
    <row r="34" spans="3:15" x14ac:dyDescent="0.2">
      <c r="C34" t="s">
        <v>344</v>
      </c>
      <c r="J34" t="s">
        <v>74</v>
      </c>
      <c r="K34" t="s">
        <v>75</v>
      </c>
      <c r="O34" t="str">
        <v>Technical proficiency</v>
      </c>
    </row>
    <row r="35" spans="3:15" x14ac:dyDescent="0.2">
      <c r="C35" t="s">
        <v>345</v>
      </c>
      <c r="J35" t="s">
        <v>74</v>
      </c>
      <c r="K35" t="s">
        <v>118</v>
      </c>
    </row>
    <row r="36" spans="3:15" x14ac:dyDescent="0.2">
      <c r="C36" t="s">
        <v>346</v>
      </c>
      <c r="J36" t="s">
        <v>74</v>
      </c>
      <c r="K36" t="s">
        <v>347</v>
      </c>
      <c r="O36" s="9" t="s">
        <v>348</v>
      </c>
    </row>
    <row r="37" spans="3:15" x14ac:dyDescent="0.2">
      <c r="C37" t="s">
        <v>349</v>
      </c>
      <c r="J37" t="s">
        <v>74</v>
      </c>
      <c r="K37" t="s">
        <v>350</v>
      </c>
      <c r="O37" t="str" cm="1">
        <f t="array" ref="O37:O42">_xlfn._xlws.FILTER(LISTS_Table[Skill],LISTS_Table[Category]="Application of Knowledge and skills")</f>
        <v>Decision-making</v>
      </c>
    </row>
    <row r="38" spans="3:15" x14ac:dyDescent="0.2">
      <c r="J38" t="s">
        <v>116</v>
      </c>
      <c r="K38" t="s">
        <v>351</v>
      </c>
      <c r="O38" t="str">
        <v>Translational practice</v>
      </c>
    </row>
    <row r="39" spans="3:15" x14ac:dyDescent="0.2">
      <c r="J39" t="s">
        <v>116</v>
      </c>
      <c r="K39" t="s">
        <v>352</v>
      </c>
      <c r="O39" t="str">
        <v>Contextual application</v>
      </c>
    </row>
    <row r="40" spans="3:15" x14ac:dyDescent="0.2">
      <c r="J40" t="s">
        <v>116</v>
      </c>
      <c r="K40" t="s">
        <v>353</v>
      </c>
      <c r="O40" t="str">
        <v>Professional judgement</v>
      </c>
    </row>
    <row r="41" spans="3:15" x14ac:dyDescent="0.2">
      <c r="J41" t="s">
        <v>116</v>
      </c>
      <c r="K41" t="s">
        <v>354</v>
      </c>
      <c r="O41" t="str">
        <v>Adaptability</v>
      </c>
    </row>
    <row r="42" spans="3:15" x14ac:dyDescent="0.2">
      <c r="J42" t="s">
        <v>116</v>
      </c>
      <c r="K42" t="s">
        <v>119</v>
      </c>
      <c r="O42" t="str">
        <v>Risk assessment</v>
      </c>
    </row>
    <row r="43" spans="3:15" x14ac:dyDescent="0.2">
      <c r="J43" t="s">
        <v>116</v>
      </c>
      <c r="K43" t="s">
        <v>117</v>
      </c>
    </row>
    <row r="44" spans="3:15" x14ac:dyDescent="0.2">
      <c r="J44" t="s">
        <v>71</v>
      </c>
      <c r="K44" t="s">
        <v>73</v>
      </c>
      <c r="O44" s="8" t="s">
        <v>116</v>
      </c>
    </row>
    <row r="45" spans="3:15" x14ac:dyDescent="0.2">
      <c r="J45" t="s">
        <v>71</v>
      </c>
      <c r="K45" t="s">
        <v>355</v>
      </c>
      <c r="O45" t="str" cm="1">
        <f t="array" ref="O45:O50">_xlfn._xlws.FILTER(LISTS_Table[Skill],LISTS_Table[Category]="Understanding and use of research")</f>
        <v>Reserch literacy</v>
      </c>
    </row>
    <row r="46" spans="3:15" x14ac:dyDescent="0.2">
      <c r="J46" t="s">
        <v>71</v>
      </c>
      <c r="K46" t="s">
        <v>356</v>
      </c>
      <c r="O46" t="str">
        <v>Literature searching</v>
      </c>
    </row>
    <row r="47" spans="3:15" x14ac:dyDescent="0.2">
      <c r="J47" t="s">
        <v>71</v>
      </c>
      <c r="K47" t="s">
        <v>72</v>
      </c>
      <c r="O47" t="str">
        <v>Critical appraisal</v>
      </c>
    </row>
    <row r="48" spans="3:15" x14ac:dyDescent="0.2">
      <c r="J48" t="s">
        <v>71</v>
      </c>
      <c r="K48" t="s">
        <v>76</v>
      </c>
      <c r="O48" t="str">
        <v>Data interpretation</v>
      </c>
    </row>
    <row r="49" spans="10:15" x14ac:dyDescent="0.2">
      <c r="J49" t="s">
        <v>71</v>
      </c>
      <c r="K49" t="s">
        <v>357</v>
      </c>
      <c r="O49" t="str">
        <v>Evidne-based practice</v>
      </c>
    </row>
    <row r="50" spans="10:15" x14ac:dyDescent="0.2">
      <c r="J50" t="s">
        <v>71</v>
      </c>
      <c r="K50" t="s">
        <v>358</v>
      </c>
      <c r="O50" t="str">
        <v>Research communication</v>
      </c>
    </row>
    <row r="51" spans="10:15" x14ac:dyDescent="0.2">
      <c r="J51" t="s">
        <v>65</v>
      </c>
      <c r="K51" t="s">
        <v>233</v>
      </c>
    </row>
    <row r="52" spans="10:15" x14ac:dyDescent="0.2">
      <c r="J52" t="s">
        <v>65</v>
      </c>
      <c r="K52" t="s">
        <v>66</v>
      </c>
      <c r="O52" s="8" t="s">
        <v>71</v>
      </c>
    </row>
    <row r="53" spans="10:15" x14ac:dyDescent="0.2">
      <c r="J53" t="s">
        <v>65</v>
      </c>
      <c r="K53" t="s">
        <v>359</v>
      </c>
      <c r="O53" t="str" cm="1">
        <f t="array" ref="O53:O59">_xlfn._xlws.FILTER(LISTS_Table[Skill],LISTS_Table[Category]="Self-evaluation and professional development")</f>
        <v>Reflective practice</v>
      </c>
    </row>
    <row r="54" spans="10:15" x14ac:dyDescent="0.2">
      <c r="J54" t="s">
        <v>65</v>
      </c>
      <c r="K54" t="s">
        <v>360</v>
      </c>
      <c r="O54" t="str">
        <v>Self-awareness</v>
      </c>
    </row>
    <row r="55" spans="10:15" x14ac:dyDescent="0.2">
      <c r="J55" t="s">
        <v>65</v>
      </c>
      <c r="K55" t="s">
        <v>68</v>
      </c>
      <c r="O55" t="str">
        <v>Lifelong learning</v>
      </c>
    </row>
    <row r="56" spans="10:15" x14ac:dyDescent="0.2">
      <c r="J56" t="s">
        <v>65</v>
      </c>
      <c r="K56" t="s">
        <v>67</v>
      </c>
      <c r="O56" t="str">
        <v>Personal development planning</v>
      </c>
    </row>
    <row r="57" spans="10:15" x14ac:dyDescent="0.2">
      <c r="J57" t="s">
        <v>161</v>
      </c>
      <c r="K57" t="s">
        <v>288</v>
      </c>
      <c r="O57" t="str">
        <v>Resilience</v>
      </c>
    </row>
    <row r="58" spans="10:15" x14ac:dyDescent="0.2">
      <c r="J58" t="s">
        <v>161</v>
      </c>
      <c r="K58" t="s">
        <v>361</v>
      </c>
      <c r="O58" t="str">
        <v>Initiative</v>
      </c>
    </row>
    <row r="59" spans="10:15" x14ac:dyDescent="0.2">
      <c r="J59" t="s">
        <v>161</v>
      </c>
      <c r="K59" t="s">
        <v>362</v>
      </c>
      <c r="O59" t="str">
        <v>Accountability</v>
      </c>
    </row>
    <row r="60" spans="10:15" x14ac:dyDescent="0.2">
      <c r="J60" t="s">
        <v>161</v>
      </c>
      <c r="K60" t="s">
        <v>162</v>
      </c>
    </row>
    <row r="61" spans="10:15" x14ac:dyDescent="0.2">
      <c r="J61" t="s">
        <v>161</v>
      </c>
      <c r="K61" t="s">
        <v>363</v>
      </c>
      <c r="O61" s="10" t="s">
        <v>65</v>
      </c>
    </row>
    <row r="62" spans="10:15" x14ac:dyDescent="0.2">
      <c r="J62" t="s">
        <v>161</v>
      </c>
      <c r="K62" t="s">
        <v>364</v>
      </c>
      <c r="O62" t="str" cm="1">
        <f t="array" ref="O62:O67">_xlfn._xlws.FILTER(LISTS_Table[Skill],LISTS_Table[Category]="Communication")</f>
        <v>Written communication</v>
      </c>
    </row>
    <row r="63" spans="10:15" x14ac:dyDescent="0.2">
      <c r="J63" t="s">
        <v>289</v>
      </c>
      <c r="K63" t="s">
        <v>365</v>
      </c>
      <c r="O63" t="str">
        <v>Oral presentation</v>
      </c>
    </row>
    <row r="64" spans="10:15" x14ac:dyDescent="0.2">
      <c r="J64" t="s">
        <v>289</v>
      </c>
      <c r="K64" t="s">
        <v>366</v>
      </c>
      <c r="O64" t="str">
        <v>Active listening</v>
      </c>
    </row>
    <row r="65" spans="10:15" x14ac:dyDescent="0.2">
      <c r="J65" t="s">
        <v>289</v>
      </c>
      <c r="K65" t="s">
        <v>367</v>
      </c>
      <c r="O65" t="str">
        <v>Scientific writing</v>
      </c>
    </row>
    <row r="66" spans="10:15" x14ac:dyDescent="0.2">
      <c r="J66" t="s">
        <v>289</v>
      </c>
      <c r="K66" t="s">
        <v>368</v>
      </c>
      <c r="O66" t="str">
        <v>Interpesronal communication</v>
      </c>
    </row>
    <row r="67" spans="10:15" x14ac:dyDescent="0.2">
      <c r="J67" t="s">
        <v>289</v>
      </c>
      <c r="K67" t="s">
        <v>290</v>
      </c>
      <c r="O67" t="str">
        <v>Digital communication</v>
      </c>
    </row>
    <row r="68" spans="10:15" x14ac:dyDescent="0.2">
      <c r="J68" t="s">
        <v>289</v>
      </c>
      <c r="K68" t="s">
        <v>369</v>
      </c>
    </row>
    <row r="69" spans="10:15" x14ac:dyDescent="0.2">
      <c r="J69" t="s">
        <v>289</v>
      </c>
      <c r="K69" t="s">
        <v>370</v>
      </c>
      <c r="O69" s="10" t="s">
        <v>161</v>
      </c>
    </row>
    <row r="70" spans="10:15" x14ac:dyDescent="0.2">
      <c r="J70" t="s">
        <v>289</v>
      </c>
      <c r="K70" t="s">
        <v>371</v>
      </c>
      <c r="O70" t="str" cm="1">
        <f t="array" ref="O70:O75">_xlfn._xlws.FILTER(LISTS_Table[Skill],LISTS_Table[Category]="Problem solving and impact")</f>
        <v>Analytical thinking</v>
      </c>
    </row>
    <row r="71" spans="10:15" x14ac:dyDescent="0.2">
      <c r="J71" t="s">
        <v>289</v>
      </c>
      <c r="K71" t="s">
        <v>372</v>
      </c>
      <c r="O71" t="str">
        <v>problem identification</v>
      </c>
    </row>
    <row r="72" spans="10:15" x14ac:dyDescent="0.2">
      <c r="J72" t="s">
        <v>69</v>
      </c>
      <c r="K72" t="s">
        <v>373</v>
      </c>
      <c r="O72" t="str">
        <v>Creative thinking</v>
      </c>
    </row>
    <row r="73" spans="10:15" x14ac:dyDescent="0.2">
      <c r="J73" t="s">
        <v>69</v>
      </c>
      <c r="K73" t="s">
        <v>374</v>
      </c>
      <c r="O73" t="str">
        <v>Evidence-based decision making</v>
      </c>
    </row>
    <row r="74" spans="10:15" x14ac:dyDescent="0.2">
      <c r="J74" t="s">
        <v>69</v>
      </c>
      <c r="K74" t="s">
        <v>163</v>
      </c>
      <c r="O74" t="str">
        <v>Innovation</v>
      </c>
    </row>
    <row r="75" spans="10:15" x14ac:dyDescent="0.2">
      <c r="J75" t="s">
        <v>69</v>
      </c>
      <c r="K75" t="s">
        <v>375</v>
      </c>
      <c r="O75" t="str">
        <v>Evaluation of outcomes</v>
      </c>
    </row>
    <row r="76" spans="10:15" x14ac:dyDescent="0.2">
      <c r="J76" t="s">
        <v>69</v>
      </c>
      <c r="K76" t="s">
        <v>70</v>
      </c>
    </row>
    <row r="77" spans="10:15" x14ac:dyDescent="0.2">
      <c r="J77" t="s">
        <v>305</v>
      </c>
      <c r="K77" t="s">
        <v>376</v>
      </c>
      <c r="O77" s="10" t="s">
        <v>289</v>
      </c>
    </row>
    <row r="78" spans="10:15" x14ac:dyDescent="0.2">
      <c r="J78" t="s">
        <v>305</v>
      </c>
      <c r="K78" t="s">
        <v>377</v>
      </c>
      <c r="O78" t="str" cm="1">
        <f t="array" ref="O78:O86">_xlfn._xlws.FILTER(LISTS_Table[Skill],LISTS_Table[Category]="Management of self and others")</f>
        <v>Leadership</v>
      </c>
    </row>
    <row r="79" spans="10:15" x14ac:dyDescent="0.2">
      <c r="J79" t="s">
        <v>305</v>
      </c>
      <c r="K79" t="s">
        <v>378</v>
      </c>
      <c r="O79" t="str">
        <v>Coaching and mentoring</v>
      </c>
    </row>
    <row r="80" spans="10:15" x14ac:dyDescent="0.2">
      <c r="J80" t="s">
        <v>305</v>
      </c>
      <c r="K80" t="s">
        <v>379</v>
      </c>
      <c r="O80" t="str">
        <v>Time management</v>
      </c>
    </row>
    <row r="81" spans="10:15" x14ac:dyDescent="0.2">
      <c r="J81" t="s">
        <v>305</v>
      </c>
      <c r="K81" t="s">
        <v>380</v>
      </c>
      <c r="O81" t="str">
        <v>Organisation</v>
      </c>
    </row>
    <row r="82" spans="10:15" x14ac:dyDescent="0.2">
      <c r="J82" t="s">
        <v>305</v>
      </c>
      <c r="K82" t="s">
        <v>381</v>
      </c>
      <c r="O82" t="str">
        <v>Delegation</v>
      </c>
    </row>
    <row r="83" spans="10:15" x14ac:dyDescent="0.2">
      <c r="J83" t="s">
        <v>305</v>
      </c>
      <c r="K83" t="s">
        <v>382</v>
      </c>
      <c r="O83" t="str">
        <v>Conflict resolution</v>
      </c>
    </row>
    <row r="84" spans="10:15" x14ac:dyDescent="0.2">
      <c r="O84" t="str">
        <v>Empathy</v>
      </c>
    </row>
    <row r="85" spans="10:15" x14ac:dyDescent="0.2">
      <c r="O85" t="str">
        <v>Multi-tasking</v>
      </c>
    </row>
    <row r="86" spans="10:15" x14ac:dyDescent="0.2">
      <c r="O86" t="str">
        <v>Resource management</v>
      </c>
    </row>
    <row r="88" spans="10:15" x14ac:dyDescent="0.2">
      <c r="O88" s="8" t="s">
        <v>69</v>
      </c>
    </row>
    <row r="89" spans="10:15" x14ac:dyDescent="0.2">
      <c r="O89" t="str" cm="1">
        <f t="array" ref="O89:O93">_xlfn._xlws.FILTER(LISTS_Table[Skill],LISTS_Table[Category]="Understanding the delivery environment")</f>
        <v>Organisational awareness</v>
      </c>
    </row>
    <row r="90" spans="10:15" x14ac:dyDescent="0.2">
      <c r="O90" t="str">
        <v>Policy interpretation</v>
      </c>
    </row>
    <row r="91" spans="10:15" x14ac:dyDescent="0.2">
      <c r="O91" t="str">
        <v>Stakeholder awareness</v>
      </c>
    </row>
    <row r="92" spans="10:15" x14ac:dyDescent="0.2">
      <c r="O92" t="str">
        <v>Service delivery</v>
      </c>
    </row>
    <row r="93" spans="10:15" x14ac:dyDescent="0.2">
      <c r="O93" t="str">
        <v>Professional awareness</v>
      </c>
    </row>
    <row r="95" spans="10:15" x14ac:dyDescent="0.2">
      <c r="O95" s="10" t="s">
        <v>383</v>
      </c>
    </row>
    <row r="96" spans="10:15" x14ac:dyDescent="0.2">
      <c r="O96" t="str" cm="1">
        <f t="array" ref="O96:O102">_xlfn._xlws.FILTER(LISTS_Table[Skill],LISTS_Table[Category]="Professional relationships and behaviours")</f>
        <v>Teamwork</v>
      </c>
    </row>
    <row r="97" spans="15:15" x14ac:dyDescent="0.2">
      <c r="O97" t="str">
        <v>Collaboration/multi-disciplinary working</v>
      </c>
    </row>
    <row r="98" spans="15:15" x14ac:dyDescent="0.2">
      <c r="O98" t="str">
        <v>Ethical practice</v>
      </c>
    </row>
    <row r="99" spans="15:15" x14ac:dyDescent="0.2">
      <c r="O99" t="str">
        <v>Professionalism</v>
      </c>
    </row>
    <row r="100" spans="15:15" x14ac:dyDescent="0.2">
      <c r="O100" t="str">
        <v>Cultural awareness and competence</v>
      </c>
    </row>
    <row r="101" spans="15:15" x14ac:dyDescent="0.2">
      <c r="O101" t="str">
        <v>Integrity</v>
      </c>
    </row>
    <row r="102" spans="15:15" x14ac:dyDescent="0.2">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DF99893-84B7-4DB0-BCCB-1BE3FDF1FFB8}">
  <ds:schemaRefs>
    <ds:schemaRef ds:uri="http://purl.org/dc/elements/1.1/"/>
    <ds:schemaRef ds:uri="http://schemas.microsoft.com/office/2006/documentManagement/types"/>
    <ds:schemaRef ds:uri="http://schemas.microsoft.com/office/2006/metadata/properties"/>
    <ds:schemaRef ds:uri="http://schemas.microsoft.com/office/infopath/2007/PartnerControls"/>
    <ds:schemaRef ds:uri="http://purl.org/dc/terms/"/>
    <ds:schemaRef ds:uri="e2acc87f-978a-4c56-9887-574fe2c7e53e"/>
    <ds:schemaRef ds:uri="f1436123-e04c-43f8-b7d8-6e3401685a6a"/>
    <ds:schemaRef ds:uri="http://www.w3.org/XML/1998/namespace"/>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4.xml><?xml version="1.0" encoding="utf-8"?>
<ds:datastoreItem xmlns:ds="http://schemas.openxmlformats.org/officeDocument/2006/customXml" ds:itemID="{DE07CC03-DA91-4DAD-B5EC-0B7B94373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4301SPS</vt:lpstr>
      <vt:lpstr>4303SPS</vt:lpstr>
      <vt:lpstr>5301SPS</vt:lpstr>
      <vt:lpstr>5302SPS</vt:lpstr>
      <vt:lpstr>6301SPS</vt:lpstr>
      <vt:lpstr>6302SPS</vt:lpstr>
      <vt:lpstr>6303SPS</vt:lpstr>
      <vt:lpstr>6304SPS</vt:lpstr>
      <vt:lpstr>FS_Mapping</vt:lpstr>
      <vt:lpstr>FS_Hours</vt:lpstr>
      <vt:lpstr>FS_Assess</vt:lpstr>
      <vt:lpstr>FS_LO</vt:lpstr>
      <vt:lpstr>FS_Meta</vt:lpstr>
      <vt:lpstr>FS_ModuleOverview</vt:lpstr>
      <vt:lpstr>FS_Hours_Wide</vt:lpstr>
      <vt:lpstr>FS_Meta_Wide</vt:lpstr>
      <vt:lpstr>DASHBOARD</vt:lpstr>
      <vt:lpstr>ModuleRegister</vt:lpstr>
      <vt:lpstr>RegisterBlocks</vt:lpstr>
      <vt:lpstr>SourceTablesParsed</vt:lpstr>
      <vt:lpstr>RelevantItems</vt:lpstr>
      <vt:lpstr>SourceTables</vt:lpstr>
      <vt:lpstr>GetRegisterFileContent</vt:lpstr>
      <vt:lpstr>GetWorkbookFiles</vt:lpstr>
      <vt:lpstr>Query1</vt:lpstr>
      <vt:lpstr>Sheet1</vt:lpstr>
      <vt:lpstr>LISTS</vt:lpstr>
      <vt:lpstr>GetRegisterFileContent!ExternalData_3</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2026-08-31T22:32:07Z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