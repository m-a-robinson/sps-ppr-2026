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queryTables/queryTable1.xml" ContentType="application/vnd.openxmlformats-officedocument.spreadsheetml.queryTable+xml"/>
  <Override PartName="/xl/tables/table83.xml" ContentType="application/vnd.openxmlformats-officedocument.spreadsheetml.table+xml"/>
  <Override PartName="/xl/queryTables/queryTable2.xml" ContentType="application/vnd.openxmlformats-officedocument.spreadsheetml.queryTable+xml"/>
  <Override PartName="/xl/tables/table84.xml" ContentType="application/vnd.openxmlformats-officedocument.spreadsheetml.table+xml"/>
  <Override PartName="/xl/queryTables/queryTable3.xml" ContentType="application/vnd.openxmlformats-officedocument.spreadsheetml.queryTable+xml"/>
  <Override PartName="/xl/tables/table85.xml" ContentType="application/vnd.openxmlformats-officedocument.spreadsheetml.table+xml"/>
  <Override PartName="/xl/queryTables/queryTable4.xml" ContentType="application/vnd.openxmlformats-officedocument.spreadsheetml.queryTable+xml"/>
  <Override PartName="/xl/tables/table86.xml" ContentType="application/vnd.openxmlformats-officedocument.spreadsheetml.table+xml"/>
  <Override PartName="/xl/queryTables/queryTable5.xml" ContentType="application/vnd.openxmlformats-officedocument.spreadsheetml.queryTable+xml"/>
  <Override PartName="/xl/tables/table87.xml" ContentType="application/vnd.openxmlformats-officedocument.spreadsheetml.table+xml"/>
  <Override PartName="/xl/queryTables/queryTable6.xml" ContentType="application/vnd.openxmlformats-officedocument.spreadsheetml.queryTable+xml"/>
  <Override PartName="/xl/tables/table88.xml" ContentType="application/vnd.openxmlformats-officedocument.spreadsheetml.table+xml"/>
  <Override PartName="/xl/queryTables/queryTable7.xml" ContentType="application/vnd.openxmlformats-officedocument.spreadsheetml.queryTable+xml"/>
  <Override PartName="/xl/tables/table89.xml" ContentType="application/vnd.openxmlformats-officedocument.spreadsheetml.table+xml"/>
  <Override PartName="/xl/queryTables/queryTable8.xml" ContentType="application/vnd.openxmlformats-officedocument.spreadsheetml.queryTable+xml"/>
  <Override PartName="/xl/tables/table90.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1974" documentId="8_{20AD63D6-7E4E-4EFA-BE5C-A6DF2DDE1EA8}" xr6:coauthVersionLast="47" xr6:coauthVersionMax="47" xr10:uidLastSave="{D984E7EB-2576-3245-89C4-83DF380E23F9}"/>
  <bookViews>
    <workbookView xWindow="0" yWindow="660" windowWidth="30240" windowHeight="18980" activeTab="11"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LISTS" sheetId="4" state="hidden" r:id="rId9"/>
    <sheet name="FS_Meta" sheetId="94" state="hidden" r:id="rId10"/>
    <sheet name="FS_LO" sheetId="95" r:id="rId11"/>
    <sheet name="FS_Assess" sheetId="96" r:id="rId12"/>
    <sheet name="FS_Hours" sheetId="97" state="hidden" r:id="rId13"/>
    <sheet name="FS_Mapping" sheetId="98" r:id="rId14"/>
    <sheet name="FS_Meta_Wide" sheetId="99" r:id="rId15"/>
    <sheet name="FS_Hours_Wide" sheetId="100" r:id="rId16"/>
    <sheet name="FS_Module_Overview" sheetId="101" r:id="rId17"/>
    <sheet name="FS_SkillsCoverage" sheetId="102"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1" hidden="1">FS_Assess!$A$1:$M$31</definedName>
    <definedName name="ExternalData_1" localSheetId="12" hidden="1">FS_Hours!$A$1:$I$103</definedName>
    <definedName name="ExternalData_1" localSheetId="15" hidden="1">FS_Hours_Wide!$A$1:$M$18</definedName>
    <definedName name="ExternalData_1" localSheetId="10" hidden="1">FS_LO!$A$1:$I$43</definedName>
    <definedName name="ExternalData_1" localSheetId="13" hidden="1">FS_Mapping!$A$1:$K$147</definedName>
    <definedName name="ExternalData_1" localSheetId="9" hidden="1">FS_Meta!$A$1:$I$137</definedName>
    <definedName name="ExternalData_1" localSheetId="14" hidden="1">FS_Meta_Wide!$A$1:$O$18</definedName>
    <definedName name="ExternalData_1" localSheetId="16" hidden="1">FS_Module_Overview!$A$1:$I$18</definedName>
    <definedName name="ExternalData_1" localSheetId="17" hidden="1">FS_SkillsCoverage!$A$1:$E$65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1" l="1"/>
  <c r="D2" i="81"/>
  <c r="C2" i="81"/>
  <c r="D24" i="80"/>
  <c r="D2" i="80"/>
  <c r="C2" i="80"/>
  <c r="D24" i="79"/>
  <c r="D2" i="79"/>
  <c r="C2" i="79"/>
  <c r="D24" i="78"/>
  <c r="D24" i="77"/>
  <c r="D2" i="77"/>
  <c r="C2" i="77"/>
  <c r="D24" i="76"/>
  <c r="D2" i="76"/>
  <c r="C2" i="76"/>
  <c r="D24" i="75"/>
  <c r="D2" i="75"/>
  <c r="C2" i="75"/>
  <c r="D24" i="68"/>
  <c r="D2" i="68"/>
  <c r="C2" i="68"/>
  <c r="O96" i="4" a="1"/>
  <c r="O89" i="4" a="1"/>
  <c r="O78" i="4" a="1"/>
  <c r="O70" i="4" a="1"/>
  <c r="O62" i="4" a="1"/>
  <c r="O53" i="4" a="1"/>
  <c r="O45" i="4" a="1"/>
  <c r="O37" i="4" a="1"/>
  <c r="O29" i="4" a="1"/>
  <c r="O21" i="4" a="1"/>
  <c r="O96" i="4"/>
  <c r="O89" i="4"/>
  <c r="O78" i="4"/>
  <c r="O70" i="4"/>
  <c r="O62" i="4"/>
  <c r="O53" i="4"/>
  <c r="O45" i="4"/>
  <c r="O37" i="4"/>
  <c r="O29" i="4"/>
  <c r="O2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69389D-E4D5-4F18-9E28-47EE094F045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2" xr16:uid="{AD6D8DAD-8FCE-4106-A6BE-4ED3C5AF138E}"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3" xr16:uid="{CAF737D6-B9D4-439D-A8EE-4BB278DA336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4" xr16:uid="{C45E1C66-8F2F-4C9C-B9FC-96A6D1B46308}" keepAlive="1" name="Query - FS_Assess" description="Connection to the 'FS_Assess' query in the workbook." type="5" refreshedVersion="8" background="1" saveData="1">
    <dbPr connection="Provider=Microsoft.Mashup.OleDb.1;Data Source=$Workbook$;Location=FS_Assess;Extended Properties=&quot;&quot;" command="SELECT * FROM [FS_Assess]"/>
  </connection>
  <connection id="5" xr16:uid="{E92E18EE-1D6E-42FF-856A-877032936BBA}" keepAlive="1" name="Query - FS_Hours" description="Connection to the 'FS_Hours' query in the workbook." type="5" refreshedVersion="8" background="1" saveData="1">
    <dbPr connection="Provider=Microsoft.Mashup.OleDb.1;Data Source=$Workbook$;Location=FS_Hours;Extended Properties=&quot;&quot;" command="SELECT * FROM [FS_Hours]"/>
  </connection>
  <connection id="6" xr16:uid="{A63B4021-EB2A-4091-9214-975A6A176F5A}" keepAlive="1" name="Query - FS_Hours_Wide" description="Connection to the 'FS_Hours_Wide' query in the workbook." type="5" refreshedVersion="8" background="1" saveData="1">
    <dbPr connection="Provider=Microsoft.Mashup.OleDb.1;Data Source=$Workbook$;Location=FS_Hours_Wide;Extended Properties=&quot;&quot;" command="SELECT * FROM [FS_Hours_Wide]"/>
  </connection>
  <connection id="7" xr16:uid="{A66BBA66-4C7D-416A-B6BA-9FBE565D7A9F}" keepAlive="1" name="Query - FS_LO" description="Connection to the 'FS_LO' query in the workbook." type="5" refreshedVersion="8" background="1" saveData="1">
    <dbPr connection="Provider=Microsoft.Mashup.OleDb.1;Data Source=$Workbook$;Location=FS_LO;Extended Properties=&quot;&quot;" command="SELECT * FROM [FS_LO]"/>
  </connection>
  <connection id="8" xr16:uid="{5D56653C-5012-4A08-973E-CA18182F283D}" keepAlive="1" name="Query - FS_Mapping" description="Connection to the 'FS_Mapping' query in the workbook." type="5" refreshedVersion="8" background="1" saveData="1">
    <dbPr connection="Provider=Microsoft.Mashup.OleDb.1;Data Source=$Workbook$;Location=FS_Mapping;Extended Properties=&quot;&quot;" command="SELECT * FROM [FS_Mapping]"/>
  </connection>
  <connection id="9" xr16:uid="{DC363A75-4F8C-4922-9D50-74FDE8C31450}" keepAlive="1" name="Query - FS_Meta" description="Connection to the 'FS_Meta' query in the workbook." type="5" refreshedVersion="8" background="1" saveData="1">
    <dbPr connection="Provider=Microsoft.Mashup.OleDb.1;Data Source=$Workbook$;Location=FS_Meta;Extended Properties=&quot;&quot;" command="SELECT * FROM [FS_Meta]"/>
  </connection>
  <connection id="10" xr16:uid="{23501ADA-46BC-4512-AD0E-52AE344AC066}" keepAlive="1" name="Query - FS_Meta_Wide" description="Connection to the 'FS_Meta_Wide' query in the workbook." type="5" refreshedVersion="8" background="1" saveData="1">
    <dbPr connection="Provider=Microsoft.Mashup.OleDb.1;Data Source=$Workbook$;Location=FS_Meta_Wide;Extended Properties=&quot;&quot;" command="SELECT * FROM [FS_Meta_Wide]"/>
  </connection>
  <connection id="11" xr16:uid="{F26928F1-BA65-4587-AF9B-9A871EECA56F}" keepAlive="1" name="Query - FS_Module_Overview" description="Connection to the 'FS_Module_Overview' query in the workbook." type="5" refreshedVersion="8" background="1" saveData="1">
    <dbPr connection="Provider=Microsoft.Mashup.OleDb.1;Data Source=$Workbook$;Location=FS_Module_Overview;Extended Properties=&quot;&quot;" command="SELECT * FROM [FS_Module_Overview]"/>
  </connection>
  <connection id="12" xr16:uid="{75E5F5A4-54D5-4618-9032-4D3C2856A07B}" keepAlive="1" name="Query - FS_SkillsCoverage" description="Connection to the 'FS_SkillsCoverage' query in the workbook." type="5" refreshedVersion="8" background="1" saveData="1">
    <dbPr connection="Provider=Microsoft.Mashup.OleDb.1;Data Source=$Workbook$;Location=FS_SkillsCoverage;Extended Properties=&quot;&quot;" command="SELECT * FROM [FS_SkillsCoverage]"/>
  </connection>
  <connection id="13" xr16:uid="{859ED4FC-3AD2-402A-A9BB-C86D4DC3D6B4}" keepAlive="1" name="Query - RegisterBlocks" description="Connection to the 'RegisterBlocks' query in the workbook." type="5" refreshedVersion="8" background="1" saveData="1">
    <dbPr connection="Provider=Microsoft.Mashup.OleDb.1;Data Source=$Workbook$;Location=RegisterBlocks;Extended Properties=&quot;&quot;" command="SELECT * FROM [RegisterBlocks]"/>
  </connection>
  <connection id="14" xr16:uid="{2E3E999C-AE5C-48E7-B2DE-8F87B13BDBE7}" keepAlive="1" name="Query - RelevantItems" description="Connection to the 'RelevantItems' query in the workbook." type="5" refreshedVersion="8" background="1" saveData="1">
    <dbPr connection="Provider=Microsoft.Mashup.OleDb.1;Data Source=$Workbook$;Location=RelevantItems;Extended Properties=&quot;&quot;" command="SELECT * FROM [RelevantItems]"/>
  </connection>
  <connection id="15" xr16:uid="{B97CF070-EC65-4D03-AA0E-3BDB12551A94}"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<sst xmlns="http://schemas.openxmlformats.org/spreadsheetml/2006/main" count="6111" uniqueCount="586">
  <si>
    <t>Module Information</t>
  </si>
  <si>
    <t>Module Data</t>
  </si>
  <si>
    <t>Details</t>
  </si>
  <si>
    <t>Aims</t>
  </si>
  <si>
    <t>Module Code</t>
  </si>
  <si>
    <t>4301SPS</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</si>
  <si>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</si>
  <si>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</si>
  <si>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</si>
  <si>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</si>
  <si>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</si>
  <si>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</si>
  <si>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</si>
  <si>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</si>
  <si>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</si>
  <si>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</si>
  <si>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</si>
  <si>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</si>
  <si>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</si>
  <si>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</si>
  <si>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</si>
  <si>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</si>
  <si>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</si>
  <si>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</si>
  <si>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</si>
  <si>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</si>
  <si>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</si>
  <si>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</si>
  <si>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</si>
  <si>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</si>
  <si>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</si>
  <si>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</si>
  <si>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</si>
  <si>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</si>
  <si>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</si>
  <si>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</si>
  <si>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</si>
  <si>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</si>
  <si>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</si>
  <si>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</si>
  <si>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</si>
  <si>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</si>
  <si>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</si>
  <si>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</si>
  <si>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</si>
  <si>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</si>
  <si>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</si>
  <si>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</si>
  <si>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</si>
  <si>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</si>
  <si>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</si>
  <si>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</si>
  <si>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</si>
  <si>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</si>
  <si>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</si>
  <si>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</si>
  <si>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</si>
  <si>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</si>
  <si>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</si>
  <si>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</si>
  <si>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</si>
  <si>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</si>
  <si>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</si>
  <si>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</si>
  <si>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</si>
  <si>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</si>
  <si>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</si>
  <si>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</si>
  <si>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</si>
  <si>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Interpesronal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</si>
  <si>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</si>
  <si>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</si>
  <si>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</si>
  <si>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</si>
  <si>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</si>
  <si>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</si>
  <si>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</si>
  <si>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</si>
  <si>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</si>
  <si>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</si>
  <si>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</si>
  <si>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</si>
  <si>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</si>
  <si>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</si>
  <si>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</si>
  <si>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</si>
  <si>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</si>
  <si>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</si>
  <si>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</si>
  <si>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</si>
  <si>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</si>
  <si>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</si>
  <si>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</si>
  <si>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</si>
  <si>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</si>
  <si>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</si>
  <si>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</si>
  <si>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</si>
  <si>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</si>
  <si>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</si>
  <si>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</si>
  <si>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</si>
  <si>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</si>
  <si>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</si>
  <si>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</si>
  <si>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</si>
  <si>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</si>
  <si>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</si>
  <si>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</si>
  <si>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</si>
  <si>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</si>
  <si>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</si>
  <si>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</si>
  <si>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</si>
  <si>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</si>
  <si>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</si>
  <si>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</si>
  <si>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</si>
  <si>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</si>
  <si>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</si>
  <si>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Evidne-based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</si>
  <si>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</si>
  <si>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</si>
  <si>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</si>
  <si>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</si>
  <si>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</si>
  <si>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</si>
  <si>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</si>
  <si>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</si>
  <si>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</si>
  <si>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</si>
  <si>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</si>
  <si>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</si>
  <si>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</si>
  <si>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</si>
  <si>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</si>
  <si>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</si>
  <si>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</si>
  <si>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</si>
  <si>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</si>
  <si>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</si>
  <si>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</si>
  <si>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</si>
  <si>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</si>
  <si>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</si>
  <si>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</si>
  <si>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</si>
  <si>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</si>
  <si>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</si>
  <si>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</si>
  <si>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</si>
  <si>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</si>
  <si>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</si>
  <si>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</si>
  <si>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</si>
  <si>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</si>
  <si>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</si>
  <si>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</si>
  <si>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</si>
  <si>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</si>
  <si>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</si>
  <si>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</si>
  <si>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</si>
  <si>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</si>
  <si>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</si>
  <si>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</si>
  <si>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</si>
  <si>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</si>
  <si>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</si>
  <si>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</si>
  <si>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</si>
  <si>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</si>
  <si>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</si>
  <si>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</si>
  <si>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</si>
  <si>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</si>
  <si>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</si>
  <si>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</si>
  <si>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5302SPS</t>
  </si>
  <si>
    <t>Football tactics and match analysis</t>
  </si>
  <si>
    <t>Group presentation on biomechanical principles in weightlifting</t>
  </si>
  <si>
    <t>Domian-specfic analytical skills</t>
  </si>
  <si>
    <t>Decision-making</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</si>
  <si>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</si>
  <si>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</si>
  <si>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</si>
  <si>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</si>
  <si>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</si>
  <si>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</si>
  <si>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</si>
  <si>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</si>
  <si>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</si>
  <si>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</si>
  <si>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</si>
  <si>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</si>
  <si>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</si>
  <si>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</si>
  <si>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</si>
  <si>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</si>
  <si>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</si>
  <si>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</si>
  <si>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</si>
  <si>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</si>
  <si>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</si>
  <si>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</si>
  <si>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</si>
  <si>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</si>
  <si>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</si>
  <si>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</si>
  <si>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</si>
  <si>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</si>
  <si>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</si>
  <si>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</si>
  <si>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</si>
  <si>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</si>
  <si>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</si>
  <si>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Critical thinking</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</si>
  <si>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</si>
  <si>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</si>
  <si>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</si>
  <si>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</si>
  <si>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</si>
  <si>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</si>
  <si>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</si>
  <si>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</si>
  <si>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</si>
  <si>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</si>
  <si>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</si>
  <si>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</si>
  <si>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</si>
  <si>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</si>
  <si>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</si>
  <si>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</si>
  <si>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</si>
  <si>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</si>
  <si>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</si>
  <si>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</si>
  <si>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</si>
  <si>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</si>
  <si>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</si>
  <si>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</si>
  <si>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</si>
  <si>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</si>
  <si>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6302SPS</t>
  </si>
  <si>
    <t>Physical Performance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</si>
  <si>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</si>
  <si>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</si>
  <si>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</si>
  <si>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</si>
  <si>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</si>
  <si>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</si>
  <si>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</si>
  <si>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</si>
  <si>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</si>
  <si>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</si>
  <si>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</si>
  <si>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</si>
  <si>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</si>
  <si>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</si>
  <si>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</si>
  <si>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</si>
  <si>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</si>
  <si>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</si>
  <si>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</si>
  <si>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</si>
  <si>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</si>
  <si>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</si>
  <si>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</si>
  <si>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</si>
  <si>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</si>
  <si>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</si>
  <si>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</si>
  <si>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</si>
  <si>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</si>
  <si>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</si>
  <si>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</si>
  <si>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</si>
  <si>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</si>
  <si>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</si>
  <si>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</si>
  <si>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</si>
  <si>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</si>
  <si>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</si>
  <si>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</si>
  <si>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</si>
  <si>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</si>
  <si>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</si>
  <si>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</si>
  <si>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Applied Practice in Football Science</t>
  </si>
  <si>
    <t>6304SPS</t>
  </si>
  <si>
    <t>The aims of this module are to:</t>
  </si>
  <si>
    <t>Provide students with the opportunity to gain extensive, hands-on experiential learning within a football environment (e.g., professional club, academy, grassroots, or community football trust).</t>
  </si>
  <si>
    <t>Facilitate the critical application of interdisciplinary football science principles to real-world performance or health outcomes.</t>
  </si>
  <si>
    <t>YL</t>
  </si>
  <si>
    <t>Foster advanced critical reflection on personal and professional development, accelerating students' readiness for employment in the football industry.</t>
  </si>
  <si>
    <t>Promote an understanding of safe, ethical, and inclusive practice, heavily emphasising Equity, Diversity, and Inclusion (EDI) and culturally responsive practices within modern football contexts.</t>
  </si>
  <si>
    <t>Ian Beattie</t>
  </si>
  <si>
    <t>Prof Practice Strand</t>
  </si>
  <si>
    <r>
      <t xml:space="preserve">The </t>
    </r>
    <r>
      <rPr>
        <b/>
        <sz val="11"/>
        <color rgb="FF000000"/>
        <rFont val="Aptos Narrow"/>
        <scheme val="minor"/>
      </rPr>
      <t>Applied Practice in Football Science</t>
    </r>
    <r>
      <rPr>
        <sz val="11"/>
        <color rgb="FF000000"/>
        <rFont val="Aptos Narrow"/>
        <scheme val="minor"/>
      </rPr>
      <t xml:space="preserve"> module is the capstone applied learning experience for Level 6 students on the BSc (Hons) Football Science degree. Designed to transition you from an academic student to an industry-ready practitioner, this module places you directly into the fast-paced, dynamic environment of modern football—whether within elite professional academies, first-team environments, grassroots initiatives, performance analysis departments, or community trusts.</t>
    </r>
  </si>
  <si>
    <r>
      <t xml:space="preserve">At this stage in your degree, knowing </t>
    </r>
    <r>
      <rPr>
        <i/>
        <sz val="11"/>
        <color rgb="FF000000"/>
        <rFont val="Aptos Narrow"/>
        <scheme val="minor"/>
      </rPr>
      <t>what</t>
    </r>
    <r>
      <rPr>
        <sz val="11"/>
        <color rgb="FF000000"/>
        <rFont val="Aptos Narrow"/>
        <scheme val="minor"/>
      </rPr>
      <t xml:space="preserve"> the science says is only half the battle; knowing </t>
    </r>
    <r>
      <rPr>
        <i/>
        <sz val="11"/>
        <color rgb="FF000000"/>
        <rFont val="Aptos Narrow"/>
        <scheme val="minor"/>
      </rPr>
      <t>how</t>
    </r>
    <r>
      <rPr>
        <sz val="11"/>
        <color rgb="FF000000"/>
        <rFont val="Aptos Narrow"/>
        <scheme val="minor"/>
      </rPr>
      <t xml:space="preserve"> to apply it in the real world is what sets elite practitioners apart. This module challenges you to put theory into practice, translating complex concepts into practical, actionable insights across the footballing landscape.</t>
    </r>
  </si>
  <si>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</si>
  <si>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</si>
  <si>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and future employability needs.</t>
  </si>
  <si>
    <t>Work independently and collaboratively within a Multidisciplinary Team (MDT), demonstrating effective communication to various stakeholders.</t>
  </si>
  <si>
    <t>Demonstrate a critical understanding of ethical guidelines, safeguarding, and the impact of systemic issues (e.g., race, gender, socio-economic status) on equity and inclusion within football science practice.</t>
  </si>
  <si>
    <t>Individual reflective report</t>
  </si>
  <si>
    <t>Individual reflective presentation</t>
  </si>
  <si>
    <t>Programme</t>
  </si>
  <si>
    <t>TableName</t>
  </si>
  <si>
    <t>FS</t>
  </si>
  <si>
    <t>Football Science - AllModuleProformas.xlsx</t>
  </si>
  <si>
    <t>4301SPS_Assess</t>
  </si>
  <si>
    <t>4303SPS_Assess</t>
  </si>
  <si>
    <t>5301SPS_Assess</t>
  </si>
  <si>
    <t>5302SPS_Assess</t>
  </si>
  <si>
    <t>6301SPS_Assess</t>
  </si>
  <si>
    <t>6302SPS_Assess</t>
  </si>
  <si>
    <t>6303SPS_Assess</t>
  </si>
  <si>
    <t>6304SPS_Assess</t>
  </si>
  <si>
    <t>Sport and Exercise Science - AllModuleProformas.xlsx</t>
  </si>
  <si>
    <t>4092SPS_Assess</t>
  </si>
  <si>
    <t>Lab Report</t>
  </si>
  <si>
    <t>Lab Report Portfolio: Lab Report 1 Submission + Peer Review Activity + Reflection + Lab Report 2 Submission</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</si>
  <si>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</si>
  <si>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</si>
  <si>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</si>
  <si>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</si>
  <si>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</si>
  <si>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</si>
  <si>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</si>
  <si>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</si>
  <si>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</si>
  <si>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</si>
  <si>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</si>
  <si>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</si>
  <si>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</si>
  <si>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</si>
  <si>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</si>
  <si>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</si>
  <si>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</si>
  <si>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6091SPS_Assess</t>
  </si>
  <si>
    <t>Dissertation</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</si>
  <si>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</si>
  <si>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</si>
  <si>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Sport Psychology - AllModuleProformas.xlsx</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</si>
  <si>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</si>
  <si>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</si>
  <si>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</si>
  <si>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</si>
  <si>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</si>
  <si>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Table 1</t>
  </si>
  <si>
    <t>Table 3</t>
  </si>
  <si>
    <t>Table 5</t>
  </si>
  <si>
    <t>Professional relationships and behaviours</t>
  </si>
  <si>
    <t>Research Strand</t>
  </si>
  <si>
    <t>Research Project</t>
  </si>
  <si>
    <t>Category</t>
  </si>
  <si>
    <t>Skill</t>
  </si>
  <si>
    <t>Placement</t>
  </si>
  <si>
    <t>Scientific Knowledge</t>
  </si>
  <si>
    <t>Category text shown to user</t>
  </si>
  <si>
    <t>Defined Name</t>
  </si>
  <si>
    <t>Option module</t>
  </si>
  <si>
    <t>ScientificKnowledge</t>
  </si>
  <si>
    <t>TechnicalSkills</t>
  </si>
  <si>
    <t>Knowledge synthesis</t>
  </si>
  <si>
    <t>ApplicationofKnowledge</t>
  </si>
  <si>
    <t>Infographic</t>
  </si>
  <si>
    <t>UnderstandingResearch</t>
  </si>
  <si>
    <t>Evidence evaluation</t>
  </si>
  <si>
    <t>SelfEvaluation</t>
  </si>
  <si>
    <t>Journal</t>
  </si>
  <si>
    <t>Laboratory/clinical techniques</t>
  </si>
  <si>
    <t>Physical Education</t>
  </si>
  <si>
    <t>ProblemSolving</t>
  </si>
  <si>
    <t>Sport and Exercise Science</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</si>
  <si>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</si>
  <si>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</si>
  <si>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</si>
  <si>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</si>
  <si>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</si>
  <si>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</si>
  <si>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</si>
  <si>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</si>
  <si>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</si>
  <si>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</si>
  <si>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</si>
  <si>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</si>
  <si>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</si>
  <si>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</si>
  <si>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</si>
  <si>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</si>
  <si>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</si>
  <si>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</si>
  <si>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</si>
  <si>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</si>
  <si>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</si>
  <si>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</si>
  <si>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</si>
  <si>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Self-awareness</t>
  </si>
  <si>
    <t>Lifelong learning</t>
  </si>
  <si>
    <t>Initiative</t>
  </si>
  <si>
    <t>Accountability</t>
  </si>
  <si>
    <t>Active listening</t>
  </si>
  <si>
    <t>Scientific writing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</si>
  <si>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</si>
  <si>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</si>
  <si>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</si>
  <si>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</si>
  <si>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</si>
  <si>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</si>
  <si>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</si>
  <si>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</si>
  <si>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</si>
  <si>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</si>
  <si>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</si>
  <si>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</si>
  <si>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</si>
  <si>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</si>
  <si>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</si>
  <si>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</si>
  <si>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</si>
  <si>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</si>
  <si>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</si>
  <si>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</si>
  <si>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</si>
  <si>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</si>
  <si>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</si>
  <si>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Meta</t>
  </si>
  <si>
    <t>LO</t>
  </si>
  <si>
    <t>Assess</t>
  </si>
  <si>
    <t>Hours</t>
  </si>
  <si>
    <t>Mapping</t>
  </si>
  <si>
    <t>SourceWorkbook</t>
  </si>
  <si>
    <t>ModuleCode</t>
  </si>
  <si>
    <t>ItemSuffix</t>
  </si>
  <si>
    <t>ProgCode</t>
  </si>
  <si>
    <t>ModuleTitle</t>
  </si>
  <si>
    <t>4301SPS_Meta</t>
  </si>
  <si>
    <t>4303SPS_Meta</t>
  </si>
  <si>
    <t>5301SPS_Meta</t>
  </si>
  <si>
    <t>5302SPS_Meta</t>
  </si>
  <si>
    <t>6301SPS_Meta</t>
  </si>
  <si>
    <t>6302SPS_Meta</t>
  </si>
  <si>
    <t>6303SPS_Meta</t>
  </si>
  <si>
    <t>6303SPS</t>
  </si>
  <si>
    <t>6304SPS_Meta</t>
  </si>
  <si>
    <t>4091SPS_Meta</t>
  </si>
  <si>
    <t>4091SPS</t>
  </si>
  <si>
    <t>Research Methods 1</t>
  </si>
  <si>
    <t>4092SPS_Meta</t>
  </si>
  <si>
    <t>4092SPS</t>
  </si>
  <si>
    <t>Exercise Phys L4</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</si>
  <si>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</si>
  <si>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</si>
  <si>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</si>
  <si>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</si>
  <si>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</si>
  <si>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</si>
  <si>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</si>
  <si>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</si>
  <si>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</si>
  <si>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</si>
  <si>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</si>
  <si>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</si>
  <si>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</si>
  <si>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5103SPS_Meta</t>
  </si>
  <si>
    <t>5103SPS</t>
  </si>
  <si>
    <t>Biomechanics</t>
  </si>
  <si>
    <t xml:space="preserve">Biomechanics </t>
  </si>
  <si>
    <t xml:space="preserve">Thomas O'Brien </t>
  </si>
  <si>
    <t>6091SPS_Meta</t>
  </si>
  <si>
    <t>6091SPS</t>
  </si>
  <si>
    <t>Major Project</t>
  </si>
  <si>
    <t>4093SPS_Meta</t>
  </si>
  <si>
    <t>4093SPS</t>
  </si>
  <si>
    <t>Psychosocial Principles of Sport and Exercise</t>
  </si>
  <si>
    <t>Kathryn Curran</t>
  </si>
  <si>
    <t>4301SPS_LO</t>
  </si>
  <si>
    <t>4303SPS_LO</t>
  </si>
  <si>
    <t>5301SPS_LO</t>
  </si>
  <si>
    <t>6301SPS_LO</t>
  </si>
  <si>
    <t>6302SPS_LO</t>
  </si>
  <si>
    <t>6303SPS_LO</t>
  </si>
  <si>
    <t>6304SPS_LO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</si>
  <si>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</si>
  <si>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</si>
  <si>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</si>
  <si>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</si>
  <si>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</si>
  <si>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</si>
  <si>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</si>
  <si>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</si>
  <si>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</si>
  <si>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</si>
  <si>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</si>
  <si>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</si>
  <si>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</si>
  <si>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</si>
  <si>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</si>
  <si>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5103SPS_LO</t>
  </si>
  <si>
    <t>Collect, analyse and report biomechanical data and in sports and exercise applications</t>
  </si>
  <si>
    <t xml:space="preserve">Explain how biomechanical principles can be used to improve performance and reduce injury </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</si>
  <si>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</si>
  <si>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</si>
  <si>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</si>
  <si>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</si>
  <si>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4093SPS_LO</t>
  </si>
  <si>
    <t>Outline the importance of psychology, sociology and psychosocial principles in sport and exercise.</t>
  </si>
  <si>
    <t>Describe the individual and environmental psychosocial principles associated with sport and exercise.</t>
  </si>
  <si>
    <t>Describe the social processes and behavioural outcomes associated with sport and exercise.</t>
  </si>
  <si>
    <t>4301SPS_Hours</t>
  </si>
  <si>
    <t>4303SPS_Hours</t>
  </si>
  <si>
    <t>5301SPS_Hours</t>
  </si>
  <si>
    <t>5302SPS_Hours</t>
  </si>
  <si>
    <t>6301SPS_Hours</t>
  </si>
  <si>
    <t>6302SPS_Hours</t>
  </si>
  <si>
    <t>6303SPS_Hours</t>
  </si>
  <si>
    <t>6304SPS_Hours</t>
  </si>
  <si>
    <t>4091SPS_Hours</t>
  </si>
  <si>
    <t>4092SPS_Hours</t>
  </si>
  <si>
    <t>4094SPS_Hours</t>
  </si>
  <si>
    <t>5091SPS_Hours</t>
  </si>
  <si>
    <t>5092SPS_Hours</t>
  </si>
  <si>
    <t>5103SPS_Hours</t>
  </si>
  <si>
    <t>6091SPS_Hours</t>
  </si>
  <si>
    <t>4093SPS_Hours</t>
  </si>
  <si>
    <t>4301SPS_Mapping</t>
  </si>
  <si>
    <t>4303SPS_Mapping</t>
  </si>
  <si>
    <t>5301SPS_Mapping</t>
  </si>
  <si>
    <t>5302SPS_Mapping</t>
  </si>
  <si>
    <t>6301SPS_Mapping</t>
  </si>
  <si>
    <t>6302SPS_Mapping</t>
  </si>
  <si>
    <t>6303SPS_Mapping</t>
  </si>
  <si>
    <t>6304SPS_Mapping</t>
  </si>
  <si>
    <t>4091SPS_Mapping</t>
  </si>
  <si>
    <t>4092SPS_Mapping</t>
  </si>
  <si>
    <t>4094SPS_Mapping</t>
  </si>
  <si>
    <t>5091SPS_Mapping</t>
  </si>
  <si>
    <t>5092SPS_Mapping</t>
  </si>
  <si>
    <t>5103SPS_Mapping</t>
  </si>
  <si>
    <t>6091SPS_Mapping</t>
  </si>
  <si>
    <t>4093SPS_Mapping</t>
  </si>
  <si>
    <t>Total Contact Hours</t>
  </si>
  <si>
    <t>Hours per Credit</t>
  </si>
  <si>
    <t>Modules Covering</t>
  </si>
  <si>
    <t>Module Count</t>
  </si>
  <si>
    <t>Covered</t>
  </si>
  <si>
    <t>Football Performance and Technology; Applied Practice in Football Science; Exercise Phys L4; Physiological adaptations to exercise; Major Project</t>
  </si>
  <si>
    <t>Professional Practice in Football Science; Football tactics and match analysis; Football Performance and Technology; Physical Performance in Football; Applied Psychology of Football; Applied Practice in Football Science; Research Methods 1; Research Methods 2; Physiological adaptations to exercise; Major Project</t>
  </si>
  <si>
    <t>Talent Identification, Development and Selection; Football tactics and match analysis; Football Performance and Technology; Physical Performance in Football; Applied Psychology of Football; Research Methods 1; Exercise Phys L4; Research Methods 2; Physiological adaptations to exercise; Major Project</t>
  </si>
  <si>
    <t>Professional Practice in Football Science; Human Movement</t>
  </si>
  <si>
    <t>Professional Practice in Football Science; Professional Practice in Football Science 2</t>
  </si>
  <si>
    <t>Human Movement; Major Project</t>
  </si>
  <si>
    <t>Football tactics and match analysis; Football Performance and Technology</t>
  </si>
  <si>
    <t>Professional Practice in Football Science; Professional Practice in Football Science 2; Applied Practice in Football Science; Research Methods 1; Exercise Phys L4</t>
  </si>
  <si>
    <t>Professional Practice in Football Science; Talent Identification, Development and Selection; Applied Practice in Football Science; Research Methods 1; Human Movement</t>
  </si>
  <si>
    <t>Football Performance and Technology; Exercise Phys L4; Human Movement; Major Project</t>
  </si>
  <si>
    <t>Football Performance and Technology; Physiological adaptations to exercise</t>
  </si>
  <si>
    <t>Football tactics and match analysis; Football Performance and Technology; Physical Performance in Football; Applied Psychology of Football; Research Methods 1; Research Methods 2</t>
  </si>
  <si>
    <t>Football tactics and match analysis; Physical Performance in Football; Applied Psychology of Football; Research Methods 2</t>
  </si>
  <si>
    <t>Talent Identification, Development and Selection; Professional Practice in Football Science 2</t>
  </si>
  <si>
    <t>Research Methods 1; Research Methods 2</t>
  </si>
  <si>
    <t>Research Methods 1; Exercise Phys L4; Research Methods 2; Physiological adaptations to exercise; Major Project; Psychosocial Principles of Sport and Exercise</t>
  </si>
  <si>
    <t>Football Performance and Technology; Exercise Phys L4</t>
  </si>
  <si>
    <t>Research Methods 2; Physiological adaptations to exercise; Major Project</t>
  </si>
  <si>
    <t>Human Movement; Physiological adaptations to exercise; Major Project</t>
  </si>
  <si>
    <t>Physical Performance in Football; Human Movement</t>
  </si>
  <si>
    <t>5093SPS_Meta</t>
  </si>
  <si>
    <t>5093SPS</t>
  </si>
  <si>
    <t>Sport and Performance Psychology</t>
  </si>
  <si>
    <t>James Roberts</t>
  </si>
  <si>
    <t>5093SPS_LO</t>
  </si>
  <si>
    <t>Evaluate individual and environmental psychological principles associated with sport performance.</t>
  </si>
  <si>
    <t>Evaluate the identification and development of perceptual-cognitive expertise within sport.</t>
  </si>
  <si>
    <t>5093SPS_Assess</t>
  </si>
  <si>
    <t>In-class video observation and short-answer questions</t>
  </si>
  <si>
    <t>In-class short- and multi-choice answer questions</t>
  </si>
  <si>
    <t>13-14</t>
  </si>
  <si>
    <t>5093SPS_Hours</t>
  </si>
  <si>
    <t>5093SPS_Mapping</t>
  </si>
  <si>
    <t>Talent Identification, Development and Selection; Professional Practice in Football Science 2; Applied Psychology of Football; Research Methods 1; Human Movement; Research Methods 2; Psychosocial Principles of Sport and Exercise; Sport and Performance Psychology</t>
  </si>
  <si>
    <t>Physiological adaptations to exercise; Sport and Performance Psychology</t>
  </si>
  <si>
    <t>Talent Identification, Development and Selection; Professional Practice in Football Science 2; Exercise Phys L4; Major Project; Sport and Performance Psychology</t>
  </si>
  <si>
    <t>Professional Practice in Football Science 2; Applied Practice in Football Science; Sport and Performance Psychology</t>
  </si>
  <si>
    <t>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</si>
</sst>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font>
    <font>
      <sz val="11"/>
      <color theme="1"/>
      <name val="Aptos"/>
      <family val="2"/>
      <charset val="1"/>
    </font>
    <font>
      <b/>
      <sz val="11"/>
      <color theme="1"/>
      <name val="Aptos"/>
      <family val="2"/>
      <charset val="1"/>
    </font>
    <font>
      <sz val="12"/>
      <color theme="1"/>
      <name val="Aptos"/>
      <family val="2"/>
      <charset val="1"/>
    </font>
    <font>
      <sz val="12"/>
      <color theme="1"/>
      <name val="Aptos Narrow"/>
      <scheme val="minor"/>
    </font>
    <font>
      <sz val="12"/>
      <color rgb="FF000000"/>
      <name val="Aptos"/>
    </font>
    <font>
      <sz val="11"/>
      <color theme="1"/>
      <name val="Aptos Narrow"/>
      <scheme val="minor"/>
    </font>
    <font>
      <sz val="12"/>
      <color rgb="FF333333"/>
      <name val="Aptos Narrow"/>
      <scheme val="minor"/>
    </font>
    <font>
      <sz val="12"/>
      <color rgb="FF000000"/>
      <name val="Aptos Narrow"/>
      <scheme val="minor"/>
    </font>
    <font>
      <sz val="11"/>
      <color rgb="FF000000"/>
      <name val="Aptos Narrow"/>
      <scheme val="minor"/>
    </font>
    <font>
      <i/>
      <sz val="11"/>
      <color rgb="FF000000"/>
      <name val="Aptos Narrow"/>
      <scheme val="minor"/>
    </font>
    <font>
      <b/>
      <sz val="20"/>
      <color theme="1"/>
      <name val="Aptos Narrow"/>
      <scheme val="minor"/>
    </font>
    <font>
      <b/>
      <sz val="11"/>
      <color theme="1"/>
      <name val="Aptos Narrow"/>
      <scheme val="minor"/>
    </font>
    <font>
      <b/>
      <sz val="14"/>
      <color theme="1"/>
      <name val="Aptos Narrow"/>
      <scheme val="minor"/>
    </font>
    <font>
      <b/>
      <sz val="12"/>
      <color rgb="FF000000"/>
      <name val="Aptos Narrow"/>
      <scheme val="minor"/>
    </font>
    <font>
      <b/>
      <sz val="11"/>
      <color rgb="FF000000"/>
      <name val="Aptos Narrow"/>
      <scheme val="minor"/>
    </font>
    <font>
      <sz val="11"/>
      <color rgb="FF011A42"/>
      <name val="Aptos Narrow"/>
      <scheme val="minor"/>
    </font>
    <font>
      <i/>
      <sz val="12"/>
      <color theme="1"/>
      <name val="Aptos Narrow"/>
      <scheme val="minor"/>
    </font>
    <font>
      <b/>
      <sz val="11"/>
      <color rgb="FF011A42"/>
      <name val="Aptos Narrow"/>
      <scheme val="minor"/>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
      <patternFill patternType="solid">
        <fgColor theme="8" tint="0.79998168889431442"/>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6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16" fillId="7" borderId="0" xfId="0" applyFont="1" applyFill="1"/>
    <xf numFmtId="0" fontId="17" fillId="0" borderId="0" xfId="0" applyFont="1"/>
    <xf numFmtId="0" fontId="18" fillId="0" borderId="0" xfId="0" applyFont="1"/>
    <xf numFmtId="0" fontId="15" fillId="0" borderId="0" xfId="0" applyFont="1"/>
    <xf numFmtId="0" fontId="15" fillId="4" borderId="0" xfId="0" applyFont="1" applyFill="1"/>
    <xf numFmtId="0" fontId="20" fillId="4" borderId="0" xfId="0" applyFont="1" applyFill="1"/>
    <xf numFmtId="0" fontId="21" fillId="0" borderId="0" xfId="0" applyFont="1" applyAlignment="1">
      <alignment horizontal="center" vertical="center" wrapText="1"/>
    </xf>
    <xf numFmtId="0" fontId="15" fillId="0" borderId="0" xfId="0" applyFont="1" applyAlignment="1">
      <alignment vertical="center" wrapText="1"/>
    </xf>
    <xf numFmtId="0" fontId="22" fillId="0" borderId="0" xfId="0" applyFont="1" applyAlignment="1">
      <alignment vertical="center" wrapText="1"/>
    </xf>
    <xf numFmtId="0" fontId="21" fillId="0" borderId="0" xfId="0" applyFont="1" applyAlignment="1">
      <alignment horizontal="left" vertical="center" wrapText="1"/>
    </xf>
    <xf numFmtId="0" fontId="15" fillId="0" borderId="0" xfId="0" applyFont="1" applyAlignment="1">
      <alignment horizontal="left" vertical="center" wrapText="1"/>
    </xf>
    <xf numFmtId="0" fontId="23" fillId="0" borderId="0" xfId="0" applyFont="1"/>
    <xf numFmtId="0" fontId="18" fillId="0" borderId="0" xfId="0" applyFont="1" applyProtection="1">
      <protection locked="0"/>
    </xf>
    <xf numFmtId="0" fontId="25" fillId="8" borderId="0" xfId="0" applyFont="1" applyFill="1" applyAlignment="1">
      <alignment wrapText="1"/>
    </xf>
    <xf numFmtId="0" fontId="15" fillId="0" borderId="0" xfId="0" applyFont="1" applyAlignment="1" applyProtection="1">
      <alignment horizontal="center" vertical="center" wrapText="1"/>
      <protection locked="0"/>
    </xf>
    <xf numFmtId="0" fontId="26" fillId="0" borderId="0" xfId="0" applyFont="1"/>
    <xf numFmtId="0" fontId="13" fillId="0" borderId="0" xfId="0" applyFont="1"/>
    <xf numFmtId="0" fontId="15" fillId="6" borderId="0" xfId="0" applyFont="1" applyFill="1" applyAlignment="1">
      <alignment horizontal="left" vertical="center" wrapText="1"/>
    </xf>
    <xf numFmtId="0" fontId="15" fillId="6" borderId="0" xfId="0" applyFont="1" applyFill="1" applyProtection="1">
      <protection locked="0"/>
    </xf>
    <xf numFmtId="0" fontId="15" fillId="6" borderId="0" xfId="0" applyFont="1" applyFill="1"/>
    <xf numFmtId="0" fontId="15" fillId="5" borderId="0" xfId="0" applyFont="1" applyFill="1" applyProtection="1">
      <protection locked="0"/>
    </xf>
    <xf numFmtId="0" fontId="27" fillId="0" borderId="0" xfId="0" applyFont="1" applyAlignment="1">
      <alignment wrapText="1"/>
    </xf>
    <xf numFmtId="0" fontId="25" fillId="0" borderId="0" xfId="0" applyFont="1" applyAlignment="1">
      <alignment wrapText="1"/>
    </xf>
    <xf numFmtId="9" fontId="15" fillId="0" borderId="0" xfId="0" applyNumberFormat="1" applyFont="1" applyAlignment="1" applyProtection="1">
      <alignment horizontal="left" vertical="center" wrapText="1"/>
      <protection locked="0"/>
    </xf>
    <xf numFmtId="0" fontId="21" fillId="0" borderId="0" xfId="0" applyFont="1" applyProtection="1">
      <protection locked="0"/>
    </xf>
    <xf numFmtId="0" fontId="15" fillId="0" borderId="0" xfId="0" applyFont="1" applyAlignment="1">
      <alignment horizontal="center"/>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cellXfs>
  <cellStyles count="1">
    <cellStyle name="Normal" xfId="0" builtinId="0"/>
  </cellStyles>
  <dxfs count="29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dxf>
    <dxf>
      <font>
        <name val="Aptos Narrow"/>
        <scheme val="minor"/>
      </font>
    </dxf>
    <dxf>
      <font>
        <name val="Aptos Narrow"/>
        <scheme val="minor"/>
      </font>
    </dxf>
    <dxf>
      <font>
        <name val="Aptos Narrow"/>
        <scheme val="minor"/>
      </font>
    </dxf>
    <dxf>
      <font>
        <color rgb="FF000000"/>
        <name val="Aptos Narrow"/>
        <scheme val="minor"/>
      </font>
      <fill>
        <patternFill patternType="none"/>
      </fill>
    </dxf>
    <dxf>
      <font>
        <color rgb="FF000000"/>
        <name val="Aptos Narrow"/>
        <scheme val="minor"/>
      </font>
      <fill>
        <patternFill patternType="none"/>
      </fill>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b/>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bottom" textRotation="0" wrapText="0" indent="0" justifyLastLine="0" shrinkToFit="0" readingOrder="0"/>
    </dxf>
    <dxf>
      <font>
        <name val="Aptos Narrow"/>
        <scheme val="minor"/>
      </font>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3EE938D-E44F-4BCC-B11A-E8BDC3A941D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69DF5C1F-60A2-4F56-9D15-32109E690B3C}"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5571DA55-26B4-4390-B6EA-6555EB9CDBF5}"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A315661-F931-4BE6-9016-DBB1262BA793}"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8" xr16:uid="{71013A21-0093-414C-8EB0-017EE4591D9A}"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0" xr16:uid="{7E4473E5-5957-4682-B6ED-85F82832ABBA}"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6" xr16:uid="{5DC437B7-9C1B-4C6C-B2B9-452A62A3DD60}"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059B1FCF-65B6-4F73-A68B-28797AEF614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2" xr16:uid="{1BB2BBCA-0705-4B35-A44D-9A72B5BE974C}"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tables/_rels/table8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autoFilter ref="C6:D14" xr:uid="{CD75D2A7-14B1-4ABD-B64D-6E875F9BC652}">
    <filterColumn colId="0" hiddenButton="1"/>
    <filterColumn colId="1" hiddenButton="1"/>
  </autoFilter>
  <tableColumns count="2">
    <tableColumn id="1" xr3:uid="{644E4444-F68A-4E74-BD5D-8748CD05A7D2}" name="Module Data" dataDxfId="287"/>
    <tableColumn id="2" xr3:uid="{AF6CCCE6-633B-4669-B570-EB4F893B50C4}" name="Details" dataDxfId="28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285">
  <autoFilter ref="C28:D33" xr:uid="{22316987-6BEB-4FAF-9619-BF9BE9909CFA}">
    <filterColumn colId="0" hiddenButton="1"/>
    <filterColumn colId="1" hiddenButton="1"/>
  </autoFilter>
  <tableColumns count="2">
    <tableColumn id="1" xr3:uid="{589112ED-5C99-4CD7-912A-F216AEC245F3}" name="LO Number" dataDxfId="284"/>
    <tableColumn id="2" xr3:uid="{D42319CA-BEAF-49C8-8EC7-B45F24386E7A}" name="LO Description" dataDxfId="28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28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81"/>
    <tableColumn id="2" xr3:uid="{0C168E40-BC62-40F7-8494-D9D585BBF5DD}" name="Assessment Type" dataDxfId="280"/>
    <tableColumn id="7" xr3:uid="{03042C7C-BE5A-4EDB-B18A-F162688CAFDA}" name="Assessment Specific" dataDxfId="279"/>
    <tableColumn id="3" xr3:uid="{B536E57C-91CB-491F-8850-5E1F4FFB6EC2}" name="Assessment Description" dataDxfId="278"/>
    <tableColumn id="4" xr3:uid="{CFEF4DCA-7026-4AB8-9930-965F672B21EC}" name="Weighting" dataDxfId="277"/>
    <tableColumn id="5" xr3:uid="{268A91DF-58B1-43BF-A340-0E1D33705BAA}" name="Due Week" dataDxfId="276"/>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75"/>
    <tableColumn id="2" xr3:uid="{916AD303-2708-4E40-8E0C-DE9D347BA8EA}" name="Week Number" dataDxfId="274"/>
    <tableColumn id="3" xr3:uid="{66580F8A-FF82-4503-9EBF-1B44DD45F9F5}" name="Weekly Content 1" dataDxfId="273"/>
    <tableColumn id="4" xr3:uid="{5E6D35EA-634F-45B1-8A96-068CB99E3BA7}" name="Weekly Content 2" dataDxfId="272"/>
    <tableColumn id="5" xr3:uid="{25F8B45E-A68A-40F6-AADD-D3228D0F228B}" name="Weekly Content 3" dataDxfId="271"/>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autoFilter ref="C18:D24" xr:uid="{B71A3569-AA65-4A4E-98A2-885F5C38B46D}">
    <filterColumn colId="0" hiddenButton="1"/>
    <filterColumn colId="1" hiddenButton="1"/>
  </autoFilter>
  <tableColumns count="2">
    <tableColumn id="1" xr3:uid="{E6DA5AB3-0374-477C-BB37-91CD5B04A8A7}" name="Component" dataDxfId="270"/>
    <tableColumn id="2" xr3:uid="{25171EA2-F360-4480-9A69-30F0637E5E19}" name="Contact Hours" dataDxfId="2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66" totalsRowShown="0" headerRowDxfId="268" dataDxfId="267">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66"/>
    <tableColumn id="2" xr3:uid="{220CCF7F-D01D-41B9-83FA-AB3772B56C47}" name="LO Number" dataDxfId="265"/>
    <tableColumn id="3" xr3:uid="{35876AFA-8C5D-4EB6-A40B-8013521A5A47}" name="Graduate Skills Category" dataDxfId="264"/>
    <tableColumn id="4" xr3:uid="{8CC8B0ED-B11D-43C6-AB11-C69764FE383C}" name="Graduate Skill" dataDxfId="26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dataDxfId="262">
  <autoFilter ref="F6:F8" xr:uid="{9552138F-2332-4BC4-A585-0E13162881A5}"/>
  <tableColumns count="1">
    <tableColumn id="1" xr3:uid="{17C9A3A3-D0C1-421C-8D52-32617D054C2E}" name="Aims" dataDxfId="261"/>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dataDxfId="260">
  <autoFilter ref="F10:F13" xr:uid="{94F18F67-3F10-4F6E-A953-4FE3399B07F2}"/>
  <tableColumns count="1">
    <tableColumn id="1" xr3:uid="{D7FF23A0-D568-4D96-9868-A6319DCE887A}" name="Outline Syllabus" dataDxfId="259"/>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dataDxfId="258">
  <autoFilter ref="F15:F20" xr:uid="{1B2BCD7B-6C15-4B1C-86BC-48FF83D8F225}"/>
  <tableColumns count="1">
    <tableColumn id="1" xr3:uid="{E558D902-00D8-4FEB-8431-38F38D3FD8C5}" name="Module Overview" dataDxfId="257"/>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dataDxfId="256">
  <autoFilter ref="F22:F33" xr:uid="{D5968C0A-6D7E-4221-87EE-78A85A4039B3}"/>
  <tableColumns count="1">
    <tableColumn id="1" xr3:uid="{C6EF2F48-EFDC-40BF-8A10-F2C80BC78705}" name="Additional Information/Notes" dataDxfId="255"/>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autoFilter ref="C6:D14" xr:uid="{CD75D2A7-14B1-4ABD-B64D-6E875F9BC652}">
    <filterColumn colId="0" hiddenButton="1"/>
    <filterColumn colId="1" hiddenButton="1"/>
  </autoFilter>
  <tableColumns count="2">
    <tableColumn id="1" xr3:uid="{ACF32678-77E3-4DB8-8FD6-8F313C0082A9}" name="Module Data" dataDxfId="254"/>
    <tableColumn id="2" xr3:uid="{DD1FE0F1-BC22-47E6-B097-D50D8388821E}" name="Details" dataDxfId="253"/>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52">
  <autoFilter ref="C28:D33" xr:uid="{22316987-6BEB-4FAF-9619-BF9BE9909CFA}">
    <filterColumn colId="0" hiddenButton="1"/>
    <filterColumn colId="1" hiddenButton="1"/>
  </autoFilter>
  <tableColumns count="2">
    <tableColumn id="1" xr3:uid="{6CB2DC80-959E-4050-BA4D-48CD62403E05}" name="LO Number" dataDxfId="251"/>
    <tableColumn id="2" xr3:uid="{85688B06-9831-461B-B933-1E407D860BB8}" name="LO Description" dataDxfId="25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4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48"/>
    <tableColumn id="2" xr3:uid="{F4594AC5-B575-460A-8B6B-2EF3FCBAB24A}" name="Assessment Type" dataDxfId="247"/>
    <tableColumn id="7" xr3:uid="{AAABE4DC-4613-4F22-97E3-44DC05E3C8C2}" name="Assessment Specific" dataDxfId="246"/>
    <tableColumn id="3" xr3:uid="{C3DF3668-A1BF-4CA9-A035-72DE23145404}" name="Assessment Description" dataDxfId="245"/>
    <tableColumn id="4" xr3:uid="{3D9A7936-2757-4200-8A20-0CA5D42BA49F}" name="Weighting" dataDxfId="244"/>
    <tableColumn id="5" xr3:uid="{8EF3572C-5F74-4584-B936-B47EF6784AC5}" name="Due Week" dataDxfId="243"/>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42"/>
    <tableColumn id="2" xr3:uid="{FBC07EB1-2635-4DBE-A175-763442B26942}" name="Week Number" dataDxfId="241"/>
    <tableColumn id="3" xr3:uid="{D5767446-3CE7-477F-86AC-430EDC126EA2}" name="Weekly Content 1" dataDxfId="240"/>
    <tableColumn id="4" xr3:uid="{9EAF880D-82C8-4C10-BC2E-5F1E7B2ED0C1}" name="Weekly Content 2" dataDxfId="239"/>
    <tableColumn id="5" xr3:uid="{322143D7-C33E-4E77-9B9F-4AFE42EC2AA6}" name="Weekly Content 3" dataDxfId="23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autoFilter ref="C18:D24" xr:uid="{B71A3569-AA65-4A4E-98A2-885F5C38B46D}">
    <filterColumn colId="0" hiddenButton="1"/>
    <filterColumn colId="1" hiddenButton="1"/>
  </autoFilter>
  <tableColumns count="2">
    <tableColumn id="1" xr3:uid="{CF6425D2-EB8D-46CC-B2D7-B49E8963FCEB}" name="Component" dataDxfId="237"/>
    <tableColumn id="2" xr3:uid="{BD9901A8-2A59-4CEC-ADF1-EDBA06D8EC9A}" name="Contact Hours" dataDxfId="23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66" totalsRowShown="0" headerRowDxfId="235" dataDxfId="234">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33"/>
    <tableColumn id="2" xr3:uid="{7A675E84-DDDC-4998-99E6-205908A58F57}" name="LO Number" dataDxfId="232"/>
    <tableColumn id="3" xr3:uid="{66CA6E22-8945-41E1-BB50-73156CC69517}" name="Graduate Skills Category" dataDxfId="231"/>
    <tableColumn id="4" xr3:uid="{325393C6-2FBF-4ABB-8CB2-DF104C6AB43E}" name="Graduate Skill" dataDxfId="230"/>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dataDxfId="229">
  <autoFilter ref="F6:F8" xr:uid="{9552138F-2332-4BC4-A585-0E13162881A5}"/>
  <tableColumns count="1">
    <tableColumn id="1" xr3:uid="{67F975D0-E9AC-4452-A379-A1359EC2808C}" name="Aims" dataDxfId="228"/>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dataDxfId="227">
  <autoFilter ref="F10:F13" xr:uid="{94F18F67-3F10-4F6E-A953-4FE3399B07F2}"/>
  <tableColumns count="1">
    <tableColumn id="1" xr3:uid="{BFF28868-E7E3-4275-B13E-588F6503F19C}" name="Outline Syllabus" dataDxfId="226"/>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dataDxfId="225">
  <autoFilter ref="F15:F20" xr:uid="{1B2BCD7B-6C15-4B1C-86BC-48FF83D8F225}"/>
  <tableColumns count="1">
    <tableColumn id="1" xr3:uid="{AD6B21BA-8875-45A9-8932-F4F0FB08A980}" name="Module Overview" dataDxfId="224"/>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dataDxfId="223">
  <autoFilter ref="F22:F33" xr:uid="{D5968C0A-6D7E-4221-87EE-78A85A4039B3}"/>
  <tableColumns count="1">
    <tableColumn id="1" xr3:uid="{91D0B8DA-30D1-4338-88D9-5A2355C1DF22}" name="Additional Information/Notes" dataDxfId="222"/>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autoFilter ref="C6:D14" xr:uid="{CD75D2A7-14B1-4ABD-B64D-6E875F9BC652}">
    <filterColumn colId="0" hiddenButton="1"/>
    <filterColumn colId="1" hiddenButton="1"/>
  </autoFilter>
  <tableColumns count="2">
    <tableColumn id="1" xr3:uid="{7B568BCE-928C-447D-BD05-0832B97C0D72}" name="Module Data" dataDxfId="221"/>
    <tableColumn id="2" xr3:uid="{706D7CC6-0EB1-4219-8291-567821A0A5B8}" name="Details" dataDxfId="22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219">
  <autoFilter ref="C28:D33" xr:uid="{22316987-6BEB-4FAF-9619-BF9BE9909CFA}">
    <filterColumn colId="0" hiddenButton="1"/>
    <filterColumn colId="1" hiddenButton="1"/>
  </autoFilter>
  <tableColumns count="2">
    <tableColumn id="1" xr3:uid="{C19B4674-B83E-4A42-A7E5-5468C8752F20}" name="LO Number" dataDxfId="218"/>
    <tableColumn id="2" xr3:uid="{78F135DA-0213-417E-88FD-2F76325B6D58}" name="LO Description" dataDxfId="21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21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15"/>
    <tableColumn id="2" xr3:uid="{43E55016-0B24-4AE6-8341-2CF6FE45EFE0}" name="Assessment Type" dataDxfId="214"/>
    <tableColumn id="7" xr3:uid="{74FB69C4-57FE-4D4F-92C7-425CCB32340D}" name="Assessment Specific" dataDxfId="213"/>
    <tableColumn id="3" xr3:uid="{F392CA10-65BB-49CE-8FEA-065DB3B1250A}" name="Assessment Description" dataDxfId="212"/>
    <tableColumn id="4" xr3:uid="{63105FFB-71CB-4889-BE3D-BA168F2B1D15}" name="Weighting" dataDxfId="211"/>
    <tableColumn id="5" xr3:uid="{942301B1-78DA-47AC-B487-4A82010FBC22}" name="Due Week" dataDxfId="21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209"/>
    <tableColumn id="2" xr3:uid="{D37085D6-4B13-4E18-BF1D-72E1D211C5E2}" name="Week Number" dataDxfId="208"/>
    <tableColumn id="3" xr3:uid="{E63B3791-EF8C-42D0-9D20-9E40C6780395}" name="Weekly Content 1" dataDxfId="207"/>
    <tableColumn id="4" xr3:uid="{B1BA8E95-AF48-472D-8022-4FFD3C39E6FD}" name="Weekly Content 2" dataDxfId="206"/>
    <tableColumn id="5" xr3:uid="{77ED77D2-DF2D-4913-862F-82B54D142645}" name="Weekly Content 3" dataDxfId="205"/>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autoFilter ref="C18:D24" xr:uid="{B71A3569-AA65-4A4E-98A2-885F5C38B46D}">
    <filterColumn colId="0" hiddenButton="1"/>
    <filterColumn colId="1" hiddenButton="1"/>
  </autoFilter>
  <tableColumns count="2">
    <tableColumn id="1" xr3:uid="{A4027C00-55EA-4E91-A17F-FC7D936AA12D}" name="Component" dataDxfId="204"/>
    <tableColumn id="2" xr3:uid="{2B461470-C937-400F-A861-E1EF437460FC}" name="Contact Hours" dataDxfId="20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66" totalsRowShown="0" headerRowDxfId="202" dataDxfId="201">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200"/>
    <tableColumn id="2" xr3:uid="{01ED9B44-AD4B-499E-8D3C-3B9247E57323}" name="LO Number" dataDxfId="199"/>
    <tableColumn id="3" xr3:uid="{D52384A9-63E3-4ABE-86FB-4619A06E02AF}" name="Graduate Skills Category" dataDxfId="198"/>
    <tableColumn id="4" xr3:uid="{B45DCF04-04F9-4B36-A81D-CEBACC18D2E8}" name="Graduate Skill" dataDxfId="197"/>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dataDxfId="196">
  <autoFilter ref="F6:F8" xr:uid="{9552138F-2332-4BC4-A585-0E13162881A5}"/>
  <tableColumns count="1">
    <tableColumn id="1" xr3:uid="{00C11AD8-5667-494A-85B4-23C210D1B918}" name="Aims" dataDxfId="195"/>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dataDxfId="194">
  <autoFilter ref="F10:F13" xr:uid="{94F18F67-3F10-4F6E-A953-4FE3399B07F2}"/>
  <tableColumns count="1">
    <tableColumn id="1" xr3:uid="{8917F32D-2D78-4B3C-93BA-03E82057EA4B}" name="Outline Syllabus" dataDxfId="193"/>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dataDxfId="192">
  <autoFilter ref="F15:F20" xr:uid="{1B2BCD7B-6C15-4B1C-86BC-48FF83D8F225}"/>
  <tableColumns count="1">
    <tableColumn id="1" xr3:uid="{B53F9EDB-3125-4C5C-A219-EFA16F274EFC}" name="Module Overview" dataDxfId="19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dataDxfId="190">
  <autoFilter ref="F22:F33" xr:uid="{D5968C0A-6D7E-4221-87EE-78A85A4039B3}"/>
  <tableColumns count="1">
    <tableColumn id="1" xr3:uid="{2E1C0BC3-8EFB-4AA5-A23B-DEAB35C7DEA7}" name="Additional Information/Notes" dataDxfId="189"/>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autoFilter ref="C6:D14" xr:uid="{CD75D2A7-14B1-4ABD-B64D-6E875F9BC652}">
    <filterColumn colId="0" hiddenButton="1"/>
    <filterColumn colId="1" hiddenButton="1"/>
  </autoFilter>
  <tableColumns count="2">
    <tableColumn id="1" xr3:uid="{5D38FCD1-7A3F-4025-AC69-E6A90C68A79E}" name="Module Data" dataDxfId="188"/>
    <tableColumn id="2" xr3:uid="{ACE861FD-0C1D-4D19-A0A8-AC83427FA81A}" name="Details" dataDxfId="18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186">
  <autoFilter ref="C28:D33" xr:uid="{22316987-6BEB-4FAF-9619-BF9BE9909CFA}">
    <filterColumn colId="0" hiddenButton="1"/>
    <filterColumn colId="1" hiddenButton="1"/>
  </autoFilter>
  <tableColumns count="2">
    <tableColumn id="1" xr3:uid="{92FDE3DF-EAC0-4CA6-A5B4-E15BAAC4A01D}" name="LO Number" dataDxfId="185"/>
    <tableColumn id="2" xr3:uid="{A384CFCB-55B0-46B7-AF9A-FAAC6022096A}" name="LO Description" dataDxfId="18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18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82"/>
    <tableColumn id="2" xr3:uid="{390EF809-FA62-405F-B84C-B2AD571CEBAA}" name="Assessment Type" dataDxfId="181"/>
    <tableColumn id="7" xr3:uid="{2B1618E6-AA98-4A15-AE0C-79993F1BAFB7}" name="Assessment Specific" dataDxfId="180"/>
    <tableColumn id="3" xr3:uid="{138C3352-0967-40A6-A5BE-4B32DEC01ACB}" name="Assessment Description" dataDxfId="179"/>
    <tableColumn id="4" xr3:uid="{F4B4B6BF-3460-42E3-849C-1BBE242E83C3}" name="Weighting" dataDxfId="178"/>
    <tableColumn id="5" xr3:uid="{E52307F9-F56A-42FC-9A76-6A630F2C5B71}" name="Due Week" dataDxfId="177"/>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76"/>
    <tableColumn id="2" xr3:uid="{1B7B234D-0DD9-4913-9C62-18CC4E0FD5D6}" name="Week Number" dataDxfId="175"/>
    <tableColumn id="3" xr3:uid="{FDA6287D-7D09-41DC-96F1-E9BCD4B11D2E}" name="Weekly Content 1" dataDxfId="174"/>
    <tableColumn id="4" xr3:uid="{C104D628-2E09-432B-BC7A-B7E29838D1BD}" name="Weekly Content 2" dataDxfId="173"/>
    <tableColumn id="5" xr3:uid="{6CD950CC-83A5-4FD3-93FC-B284F6F6350E}" name="Weekly Content 3" dataDxfId="172"/>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autoFilter ref="C18:D24" xr:uid="{B71A3569-AA65-4A4E-98A2-885F5C38B46D}">
    <filterColumn colId="0" hiddenButton="1"/>
    <filterColumn colId="1" hiddenButton="1"/>
  </autoFilter>
  <tableColumns count="2">
    <tableColumn id="1" xr3:uid="{27F817B7-6395-4976-9120-60D5C9775BA5}" name="Component" dataDxfId="171"/>
    <tableColumn id="2" xr3:uid="{D9B68E50-AFDD-4B94-80F2-BAB157C2FF40}" name="Contact Hours" dataDxfId="170"/>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66" totalsRowShown="0" headerRowDxfId="169" dataDxfId="168">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67"/>
    <tableColumn id="2" xr3:uid="{CF29F699-8C1A-4AC4-A563-FCBB128AC8F3}" name="LO Number" dataDxfId="166"/>
    <tableColumn id="3" xr3:uid="{B1082C18-E8C1-42F9-B74D-584EBA4A0A39}" name="Graduate Skills Category" dataDxfId="165"/>
    <tableColumn id="4" xr3:uid="{BD6D6488-ABFD-45B6-B06F-748690280986}" name="Graduate Skill" dataDxfId="164"/>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dataDxfId="163">
  <autoFilter ref="F6:F8" xr:uid="{9552138F-2332-4BC4-A585-0E13162881A5}"/>
  <tableColumns count="1">
    <tableColumn id="1" xr3:uid="{E2B338AF-53C9-469A-B45D-DF4BE4CCBDD0}" name="Aims" dataDxfId="16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dataDxfId="161">
  <autoFilter ref="F10:F13" xr:uid="{94F18F67-3F10-4F6E-A953-4FE3399B07F2}"/>
  <tableColumns count="1">
    <tableColumn id="1" xr3:uid="{0B585185-EFA9-44AB-A953-91DF09E1C8F4}" name="Outline Syllabus" dataDxfId="16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dataDxfId="159">
  <autoFilter ref="F15:F20" xr:uid="{1B2BCD7B-6C15-4B1C-86BC-48FF83D8F225}"/>
  <tableColumns count="1">
    <tableColumn id="1" xr3:uid="{8DA5C005-FC9F-4CBE-A281-B2B92A53526A}" name="Module Overview" dataDxfId="15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dataDxfId="157">
  <autoFilter ref="F22:F33" xr:uid="{D5968C0A-6D7E-4221-87EE-78A85A4039B3}"/>
  <tableColumns count="1">
    <tableColumn id="1" xr3:uid="{D67854B5-D179-408B-A477-7F6E3033D84B}" name="Additional Information/Notes" dataDxfId="15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autoFilter ref="C6:D14" xr:uid="{CD75D2A7-14B1-4ABD-B64D-6E875F9BC652}">
    <filterColumn colId="0" hiddenButton="1"/>
    <filterColumn colId="1" hiddenButton="1"/>
  </autoFilter>
  <tableColumns count="2">
    <tableColumn id="1" xr3:uid="{7833E623-ED87-40CE-93D2-B78B6A7D7E94}" name="Module Data" dataDxfId="155"/>
    <tableColumn id="2" xr3:uid="{0659839B-A1DA-4204-9267-1A4CC295A6EF}" name="Details" dataDxfId="154"/>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53">
  <autoFilter ref="C28:D33" xr:uid="{22316987-6BEB-4FAF-9619-BF9BE9909CFA}">
    <filterColumn colId="0" hiddenButton="1"/>
    <filterColumn colId="1" hiddenButton="1"/>
  </autoFilter>
  <tableColumns count="2">
    <tableColumn id="1" xr3:uid="{FEDC5FCD-23F6-4532-A565-C979DFEE6452}" name="LO Number" dataDxfId="152"/>
    <tableColumn id="2" xr3:uid="{1F64A8B9-B360-490C-BD12-64A29F9CF82F}" name="LO Description" dataDxfId="151"/>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5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49"/>
    <tableColumn id="2" xr3:uid="{0FE47FA8-B999-4405-B49D-E106E82A7509}" name="Assessment Type" dataDxfId="148"/>
    <tableColumn id="7" xr3:uid="{61D6D411-EDDD-4962-A754-A4B5EEB96263}" name="Assessment Specific" dataDxfId="147"/>
    <tableColumn id="3" xr3:uid="{1A288D47-FFDF-4BA0-94F1-9B647BE04DCC}" name="Assessment Description" dataDxfId="146"/>
    <tableColumn id="4" xr3:uid="{ED08857B-A938-490D-9B30-962DE64252AB}" name="Weighting" dataDxfId="145"/>
    <tableColumn id="5" xr3:uid="{581E13F4-4545-426B-8995-08E09758F5CB}" name="Due Week" dataDxfId="144"/>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43"/>
    <tableColumn id="2" xr3:uid="{BED16F5A-D8C5-4300-A763-C0065F48E598}" name="Week Number" dataDxfId="142"/>
    <tableColumn id="3" xr3:uid="{1C3278D5-9F89-43C0-84A5-ACE6AE3BF8C8}" name="Weekly Content 1" dataDxfId="141"/>
    <tableColumn id="4" xr3:uid="{8ADEF497-35DC-4945-B42C-DCA4C8DB67C9}" name="Weekly Content 2" dataDxfId="140"/>
    <tableColumn id="5" xr3:uid="{E6B69E39-A78E-4994-8E8F-40C76F0002A1}" name="Weekly Content 3" dataDxfId="13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autoFilter ref="C18:D24" xr:uid="{B71A3569-AA65-4A4E-98A2-885F5C38B46D}">
    <filterColumn colId="0" hiddenButton="1"/>
    <filterColumn colId="1" hiddenButton="1"/>
  </autoFilter>
  <tableColumns count="2">
    <tableColumn id="1" xr3:uid="{2FFE33E1-E3D8-499A-B70C-70494FCFC11F}" name="Component" dataDxfId="138"/>
    <tableColumn id="2" xr3:uid="{D8D74B7C-DED1-4107-9D9B-A69709137AF1}" name="Contact Hours" dataDxfId="137"/>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66" totalsRowShown="0" headerRowDxfId="136" dataDxfId="135">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34"/>
    <tableColumn id="2" xr3:uid="{3DE98FE2-3138-46D6-BD99-F2FB47042775}" name="LO Number" dataDxfId="133"/>
    <tableColumn id="3" xr3:uid="{810A03D8-C153-4962-9C3C-D761D27C4A3F}" name="Graduate Skills Category" dataDxfId="132"/>
    <tableColumn id="4" xr3:uid="{C3B0D1F6-1274-4ED1-9705-01F40BB1E2F2}" name="Graduate Skill" dataDxfId="13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dataDxfId="130">
  <autoFilter ref="F6:F8" xr:uid="{9552138F-2332-4BC4-A585-0E13162881A5}"/>
  <tableColumns count="1">
    <tableColumn id="1" xr3:uid="{C445F0C7-61B3-46CB-A56F-67D79AE54D5C}" name="Aims" dataDxfId="12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dataDxfId="128">
  <autoFilter ref="F10:F13" xr:uid="{94F18F67-3F10-4F6E-A953-4FE3399B07F2}"/>
  <tableColumns count="1">
    <tableColumn id="1" xr3:uid="{CAABEA9D-6FBF-459A-AD97-585A17318A01}" name="Outline Syllabus" dataDxfId="12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dataDxfId="126">
  <autoFilter ref="F15:F20" xr:uid="{1B2BCD7B-6C15-4B1C-86BC-48FF83D8F225}"/>
  <tableColumns count="1">
    <tableColumn id="1" xr3:uid="{A14625FC-0807-41B3-BEF3-09E7E979EFED}" name="Module Overview" dataDxfId="12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dataDxfId="124">
  <autoFilter ref="F22:F33" xr:uid="{D5968C0A-6D7E-4221-87EE-78A85A4039B3}"/>
  <tableColumns count="1">
    <tableColumn id="1" xr3:uid="{0F69CA79-BA33-4E25-8FA9-233F7FC95036}" name="Additional Information/Notes" dataDxfId="12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autoFilter ref="C6:D14" xr:uid="{CD75D2A7-14B1-4ABD-B64D-6E875F9BC652}">
    <filterColumn colId="0" hiddenButton="1"/>
    <filterColumn colId="1" hiddenButton="1"/>
  </autoFilter>
  <tableColumns count="2">
    <tableColumn id="1" xr3:uid="{4312B193-D095-44A4-B0FA-8864AE0BCBEF}" name="Module Data" dataDxfId="122"/>
    <tableColumn id="2" xr3:uid="{4F08D2F7-88F2-4061-857B-CBAD6623F570}" name="Details" dataDxfId="121"/>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20">
  <autoFilter ref="C28:D33" xr:uid="{22316987-6BEB-4FAF-9619-BF9BE9909CFA}">
    <filterColumn colId="0" hiddenButton="1"/>
    <filterColumn colId="1" hiddenButton="1"/>
  </autoFilter>
  <tableColumns count="2">
    <tableColumn id="1" xr3:uid="{87282965-A2DA-4B4E-8D06-98090F28BEEF}" name="LO Number" dataDxfId="119"/>
    <tableColumn id="2" xr3:uid="{5860F21B-133F-4A88-A61B-07CF39BC7E21}" name="LO Description" dataDxfId="118"/>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16"/>
    <tableColumn id="2" xr3:uid="{02E86080-DD71-4108-821B-E566F188DEA2}" name="Assessment Type" dataDxfId="115"/>
    <tableColumn id="7" xr3:uid="{47CA01EB-2FAC-4F47-BB5B-4ACF9B64B490}" name="Assessment Specific" dataDxfId="114"/>
    <tableColumn id="3" xr3:uid="{FBD48AF8-7B7F-4162-9266-C7CCFD60F0E7}" name="Assessment Description" dataDxfId="113"/>
    <tableColumn id="4" xr3:uid="{B1C6A884-1B35-475C-8890-451E2B62B45B}" name="Weighting" dataDxfId="112"/>
    <tableColumn id="5" xr3:uid="{52275FFC-C744-424D-9DA8-F4384F058801}" name="Due Week" dataDxfId="111"/>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110"/>
    <tableColumn id="2" xr3:uid="{F2C231FA-6829-4DDE-AADC-3E8FA43A1138}" name="Week Number" dataDxfId="109"/>
    <tableColumn id="3" xr3:uid="{BF2905C5-0007-47A2-850C-6A3A59009B1B}" name="Weekly Content 1" dataDxfId="108"/>
    <tableColumn id="4" xr3:uid="{87E349A9-C7DB-4B62-AE2D-73DF6FE87FF2}" name="Weekly Content 2" dataDxfId="107"/>
    <tableColumn id="5" xr3:uid="{9335E186-D4FA-4BC9-96F6-48CA2E66C8B8}" name="Weekly Content 3" dataDxfId="106"/>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autoFilter ref="C18:D24" xr:uid="{B71A3569-AA65-4A4E-98A2-885F5C38B46D}">
    <filterColumn colId="0" hiddenButton="1"/>
    <filterColumn colId="1" hiddenButton="1"/>
  </autoFilter>
  <tableColumns count="2">
    <tableColumn id="1" xr3:uid="{9CDDC04F-6E44-4B1D-B2F7-BCFB91288FF8}" name="Component" dataDxfId="105"/>
    <tableColumn id="2" xr3:uid="{0A78BA71-0A43-4908-AD5D-EAD433A8F0CB}" name="Contact Hours" dataDxfId="10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66" totalsRowShown="0" headerRowDxfId="103" dataDxfId="102">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01"/>
    <tableColumn id="2" xr3:uid="{38F835BE-5EB1-4FFA-8259-BEB6E39C8FA1}" name="LO Number" dataDxfId="100"/>
    <tableColumn id="3" xr3:uid="{C6B979A3-0E5A-464F-B5CD-CBA3047E98BE}" name="Graduate Skills Category" dataDxfId="99"/>
    <tableColumn id="4" xr3:uid="{2D7AD4B8-14A9-4533-A3C6-5E7125BAACC7}" name="Graduate Skill" dataDxfId="98"/>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dataDxfId="97">
  <autoFilter ref="F6:F8" xr:uid="{9552138F-2332-4BC4-A585-0E13162881A5}"/>
  <tableColumns count="1">
    <tableColumn id="1" xr3:uid="{9E1F2909-CE11-40D2-90E4-0F2548AB10B2}" name="Aims" dataDxfId="96"/>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dataDxfId="95">
  <autoFilter ref="F10:F13" xr:uid="{94F18F67-3F10-4F6E-A953-4FE3399B07F2}"/>
  <tableColumns count="1">
    <tableColumn id="1" xr3:uid="{454BC257-77E7-4C9C-B231-D65E8EE20325}" name="Outline Syllabus" dataDxfId="94"/>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dataDxfId="93">
  <autoFilter ref="F15:F20" xr:uid="{1B2BCD7B-6C15-4B1C-86BC-48FF83D8F225}"/>
  <tableColumns count="1">
    <tableColumn id="1" xr3:uid="{D37E1C0D-C9AF-4C78-BCFF-8B2CE993F50A}" name="Module Overview" dataDxfId="92"/>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dataDxfId="91">
  <autoFilter ref="F22:F33" xr:uid="{D5968C0A-6D7E-4221-87EE-78A85A4039B3}"/>
  <tableColumns count="1">
    <tableColumn id="1" xr3:uid="{E8342C1A-2B62-4E1C-B80B-B12917066000}" name="Additional Information/Notes" dataDxfId="90"/>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autoFilter ref="C6:D14" xr:uid="{CD75D2A7-14B1-4ABD-B64D-6E875F9BC652}">
    <filterColumn colId="0" hiddenButton="1"/>
    <filterColumn colId="1" hiddenButton="1"/>
  </autoFilter>
  <tableColumns count="2">
    <tableColumn id="1" xr3:uid="{DC5E8FB2-F1EF-4C76-ADAD-8DF1D4236058}" name="Module Data" dataDxfId="89"/>
    <tableColumn id="2" xr3:uid="{3CEC4644-C90E-484A-BB04-BC7E2522484B}" name="Details" dataDxfId="88"/>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87">
  <autoFilter ref="C28:D33" xr:uid="{22316987-6BEB-4FAF-9619-BF9BE9909CFA}">
    <filterColumn colId="0" hiddenButton="1"/>
    <filterColumn colId="1" hiddenButton="1"/>
  </autoFilter>
  <tableColumns count="2">
    <tableColumn id="1" xr3:uid="{96E1C0A4-F310-4104-877A-16C95A9DF8F8}" name="LO Number" dataDxfId="86"/>
    <tableColumn id="2" xr3:uid="{5193B932-1BB4-4665-BB60-1094CB27D2FB}" name="LO Description" dataDxfId="8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83"/>
    <tableColumn id="2" xr3:uid="{F6CC8F23-24C9-49E1-A7E1-F0C42C5E4062}" name="Assessment Type" dataDxfId="82"/>
    <tableColumn id="7" xr3:uid="{23445359-B102-481A-9626-644EC1147971}" name="Assessment Specific" dataDxfId="81"/>
    <tableColumn id="3" xr3:uid="{09F68760-DB1D-47DA-9C3B-991E85819122}" name="Assessment Description" dataDxfId="80"/>
    <tableColumn id="4" xr3:uid="{9C4EFAF0-0549-4906-AB40-C8046612A4D0}" name="Weighting" dataDxfId="79"/>
    <tableColumn id="5" xr3:uid="{6867F2EF-8B96-4C7F-A3F0-4AD115D6B611}" name="Due Week" dataDxfId="78"/>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7"/>
    <tableColumn id="2" xr3:uid="{3DC0D0B8-ED93-4FAA-ACD1-6A257B8D7D8B}" name="Week Number" dataDxfId="76"/>
    <tableColumn id="3" xr3:uid="{396A1CD9-0EA8-4576-AC19-41A37C40C78C}" name="Weekly Content 1" dataDxfId="75"/>
    <tableColumn id="4" xr3:uid="{27E6FFD2-4BB2-4380-B643-929F8059E10C}" name="Weekly Content 2" dataDxfId="74"/>
    <tableColumn id="5" xr3:uid="{5D410880-EC3B-476E-B727-61773B3F1720}" name="Weekly Content 3" dataDxfId="73"/>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autoFilter ref="C18:D24" xr:uid="{B71A3569-AA65-4A4E-98A2-885F5C38B46D}">
    <filterColumn colId="0" hiddenButton="1"/>
    <filterColumn colId="1" hiddenButton="1"/>
  </autoFilter>
  <tableColumns count="2">
    <tableColumn id="1" xr3:uid="{50ADF208-83C1-48D5-9F5C-65E697F266B7}" name="Component" dataDxfId="72"/>
    <tableColumn id="2" xr3:uid="{1EADC3A3-1557-4323-A40A-C84AEA0F188A}" name="Contact Hours" dataDxfId="71"/>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66" totalsRowShown="0" headerRowDxfId="70" dataDxfId="69">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68"/>
    <tableColumn id="2" xr3:uid="{162D175A-F572-46B3-8399-9FF334864C28}" name="LO Number" dataDxfId="67"/>
    <tableColumn id="3" xr3:uid="{4B8F87D6-8076-4256-870F-FFB0D542729A}" name="Graduate Skills Category" dataDxfId="66"/>
    <tableColumn id="4" xr3:uid="{3DB5254F-E5B1-45EA-B3FC-772579673F08}" name="Graduate Skill" dataDxfId="65"/>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dataDxfId="64">
  <autoFilter ref="F6:F8" xr:uid="{9552138F-2332-4BC4-A585-0E13162881A5}"/>
  <tableColumns count="1">
    <tableColumn id="1" xr3:uid="{D5911F00-3A12-4884-94FA-2461F2E6A773}" name="Aims" dataDxfId="63"/>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dataDxfId="62">
  <autoFilter ref="F10:F13" xr:uid="{94F18F67-3F10-4F6E-A953-4FE3399B07F2}"/>
  <tableColumns count="1">
    <tableColumn id="1" xr3:uid="{1984609B-7A7C-44AA-A114-5466EF451351}" name="Outline Syllabus" dataDxfId="61"/>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dataDxfId="60">
  <autoFilter ref="F15:F20" xr:uid="{1B2BCD7B-6C15-4B1C-86BC-48FF83D8F225}"/>
  <tableColumns count="1">
    <tableColumn id="1" xr3:uid="{19A46962-3EFC-4EE2-ACCE-5363E30EDC4F}" name="Module Overview" dataDxfId="59"/>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dataDxfId="58">
  <autoFilter ref="F22:F33" xr:uid="{D5968C0A-6D7E-4221-87EE-78A85A4039B3}"/>
  <tableColumns count="1">
    <tableColumn id="1" xr3:uid="{EEDA3204-13C4-4B95-A550-B650C09B689D}" name="Additional Information/Notes" dataDxfId="57"/>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56" dataDxfId="55">
  <autoFilter ref="C6:D14" xr:uid="{CD75D2A7-14B1-4ABD-B64D-6E875F9BC652}">
    <filterColumn colId="0" hiddenButton="1"/>
    <filterColumn colId="1" hiddenButton="1"/>
  </autoFilter>
  <tableColumns count="2">
    <tableColumn id="1" xr3:uid="{294825A0-B000-4273-A73D-4BDF1B0EEF00}" name="Module Data" dataDxfId="54"/>
    <tableColumn id="2" xr3:uid="{BFFFACD7-D0A7-40F6-BF15-469686406C3F}" name="Details" dataDxfId="53"/>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8:D33" totalsRowShown="0" headerRowDxfId="52" dataDxfId="51">
  <autoFilter ref="C28:D33" xr:uid="{22316987-6BEB-4FAF-9619-BF9BE9909CFA}">
    <filterColumn colId="0" hiddenButton="1"/>
    <filterColumn colId="1" hiddenButton="1"/>
  </autoFilter>
  <tableColumns count="2">
    <tableColumn id="1" xr3:uid="{EB0958A2-9E66-44D9-A8DF-610B48FE0AC6}" name="LO Number" dataDxfId="50"/>
    <tableColumn id="2" xr3:uid="{0F368925-4523-471B-A68D-184E05AABCF7}" name="LO Description" dataDxfId="49"/>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5:H37" totalsRowShown="0" headerRowDxfId="48" dataDxfId="47">
  <autoFilter ref="C35:H37"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46"/>
    <tableColumn id="2" xr3:uid="{1FA5C130-1C0E-45D6-8735-EA79A0166F2D}" name="Assessment Type" dataDxfId="45"/>
    <tableColumn id="7" xr3:uid="{34024CC2-5A32-45FD-95BD-978953E7F41B}" name="Assessment Specific" dataDxfId="44"/>
    <tableColumn id="3" xr3:uid="{5DA2B338-CCFE-4568-ACFD-CC8F0B883170}" name="Assessment Description" dataDxfId="43"/>
    <tableColumn id="4" xr3:uid="{597ADF95-B9B9-411B-8079-7F615E89550C}" name="Weighting" dataDxfId="42"/>
    <tableColumn id="5" xr3:uid="{A0D1FD19-8DF8-4595-ADE8-675937B4A7F4}" name="Due Week" dataDxfId="41"/>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59:F83" totalsRowShown="0" headerRowDxfId="40" dataDxfId="39">
  <autoFilter ref="B59:F83"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8"/>
    <tableColumn id="2" xr3:uid="{633971FF-9E7F-4A44-865E-D409908313D1}" name="Week Number" dataDxfId="37"/>
    <tableColumn id="3" xr3:uid="{77413702-BFB9-4DEA-BF99-C2A188E22509}" name="Weekly Content 1" dataDxfId="36"/>
    <tableColumn id="4" xr3:uid="{DD1B7D42-32B3-4CC2-9308-AD66B052F8DB}" name="Weekly Content 2" dataDxfId="35"/>
    <tableColumn id="5" xr3:uid="{504E9A1A-C43C-49D3-BB42-E4DD5A49EFCE}" name="Weekly Content 3" dataDxfId="3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33" dataDxfId="32">
  <autoFilter ref="C18:D24" xr:uid="{B71A3569-AA65-4A4E-98A2-885F5C38B46D}">
    <filterColumn colId="0" hiddenButton="1"/>
    <filterColumn colId="1" hiddenButton="1"/>
  </autoFilter>
  <tableColumns count="2">
    <tableColumn id="1" xr3:uid="{5D165BDB-09FC-4AAA-91DB-E67A247DFF72}" name="Component" dataDxfId="31"/>
    <tableColumn id="2" xr3:uid="{E28A3B10-E692-47D9-A3AD-18128B6A4794}" name="Contact Hours" dataDxfId="30"/>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1:F56" totalsRowShown="0" headerRowDxfId="29" dataDxfId="28">
  <autoFilter ref="C41:F5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7"/>
    <tableColumn id="2" xr3:uid="{A7D6827C-7020-4950-BD3E-00625169C68E}" name="LO Number" dataDxfId="26"/>
    <tableColumn id="3" xr3:uid="{1F68EB03-6C47-4955-9791-229A42D1A45A}" name="Graduate Skills Category" dataDxfId="25"/>
    <tableColumn id="4" xr3:uid="{1FD832D4-8E97-4B72-9B09-606CF407E6C7}" name="Graduate Skill" dataDxfId="24"/>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23" dataDxfId="22">
  <autoFilter ref="F6:F11" xr:uid="{9552138F-2332-4BC4-A585-0E13162881A5}"/>
  <tableColumns count="1">
    <tableColumn id="1" xr3:uid="{2EE5D059-BB6B-4406-AF24-CB56C5C24856}" name="Aims" dataDxfId="2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0" totalsRowShown="0" headerRowDxfId="20" dataDxfId="19">
  <autoFilter ref="F15:F20" xr:uid="{1B2BCD7B-6C15-4B1C-86BC-48FF83D8F225}"/>
  <tableColumns count="1">
    <tableColumn id="1" xr3:uid="{C16E0E90-DC44-4185-AB55-C39332B32B2D}" name="Module Overview" dataDxfId="18"/>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8" totalsRowShown="0" headerRowDxfId="17" dataDxfId="16">
  <autoFilter ref="F22:G28" xr:uid="{D5968C0A-6D7E-4221-87EE-78A85A4039B3}"/>
  <tableColumns count="2">
    <tableColumn id="1" xr3:uid="{719B4DA9-E67A-4094-A58E-921C645096BE}" name="Additional Information/Notes" dataDxfId="15"/>
    <tableColumn id="2" xr3:uid="{5987DB22-4216-4B38-873C-9F893FC3A61C}" name="Column1" dataDxfId="1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BB4F80B-A6E5-48AE-B631-14BC297081E2}" name="FS_Meta" displayName="FS_Meta" ref="A1:I137" tableType="queryTable" totalsRowShown="0">
  <autoFilter ref="A1:I137" xr:uid="{DBB4F80B-A6E5-48AE-B631-14BC297081E2}"/>
  <tableColumns count="9">
    <tableColumn id="1" xr3:uid="{8190852F-5E3F-4B47-B478-814AB2684471}" uniqueName="1" name="SourceWorkbook" queryTableFieldId="1" dataDxfId="13"/>
    <tableColumn id="2" xr3:uid="{6F37CE9E-0E9F-47C0-A742-315AE9F5D31F}" uniqueName="2" name="TableName" queryTableFieldId="2"/>
    <tableColumn id="3" xr3:uid="{9484EC22-39BB-4257-B572-C23F9A8832E2}" uniqueName="3" name="Module Data" queryTableFieldId="3"/>
    <tableColumn id="4" xr3:uid="{24F49A67-A2C9-42FA-898C-AB2DDCD36A36}" uniqueName="4" name="Details" queryTableFieldId="4"/>
    <tableColumn id="5" xr3:uid="{4910279A-AD37-4684-9E42-5EFD45B960C3}" uniqueName="5" name="ModuleCode" queryTableFieldId="5"/>
    <tableColumn id="6" xr3:uid="{ACCF5FA6-6FB5-4460-A59C-D3BA9302E1BD}" uniqueName="6" name="ItemSuffix" queryTableFieldId="6"/>
    <tableColumn id="7" xr3:uid="{0CAF6C87-72B1-42CB-BDC0-F4F9B9CAA822}" uniqueName="7" name="Programme" queryTableFieldId="7"/>
    <tableColumn id="8" xr3:uid="{A597C099-C314-4CF3-8BD1-E53DE812E62C}" uniqueName="8" name="ProgCode" queryTableFieldId="8"/>
    <tableColumn id="9" xr3:uid="{238FFBE3-C562-42A0-8B0F-091681386D51}" uniqueName="9" name="ModuleTitle" queryTableFieldId="9" dataDxfId="12"/>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49E33A-F5DC-4569-9A40-00B346C2D729}" name="FS_LO" displayName="FS_LO" ref="A1:I43" tableType="queryTable" totalsRowShown="0">
  <autoFilter ref="A1:I43" xr:uid="{1749E33A-F5DC-4569-9A40-00B346C2D729}"/>
  <tableColumns count="9">
    <tableColumn id="1" xr3:uid="{8F66E1A1-8F01-4651-9DD2-788FE5FDB92F}" uniqueName="1" name="SourceWorkbook" queryTableFieldId="1" dataDxfId="11"/>
    <tableColumn id="2" xr3:uid="{6AC0BF47-9FF4-4A5F-827D-F9D8C703411F}" uniqueName="2" name="TableName" queryTableFieldId="2"/>
    <tableColumn id="3" xr3:uid="{CC4951FE-537A-4158-A562-1F3FB46B693B}" uniqueName="3" name="LO Number" queryTableFieldId="3"/>
    <tableColumn id="4" xr3:uid="{2CE1738D-C657-4968-A55C-75B2B8C1ADBF}" uniqueName="4" name="LO Description" queryTableFieldId="4"/>
    <tableColumn id="5" xr3:uid="{40FBA96B-7547-40C2-AB22-35ED479F6E71}" uniqueName="5" name="ModuleCode" queryTableFieldId="5"/>
    <tableColumn id="6" xr3:uid="{FE0ABC6B-CC75-45AA-845A-0E73C31691B4}" uniqueName="6" name="ItemSuffix" queryTableFieldId="6"/>
    <tableColumn id="7" xr3:uid="{A0EB73BB-0F4C-4271-B859-5BB38CEFD983}" uniqueName="7" name="Programme" queryTableFieldId="7"/>
    <tableColumn id="8" xr3:uid="{F3E61B67-0356-4D54-AEB5-09996A08327C}" uniqueName="8" name="ProgCode" queryTableFieldId="8"/>
    <tableColumn id="9" xr3:uid="{9BD4A92B-D514-456A-8CA4-B22B2E3AC0C8}" uniqueName="9" name="ModuleTitle" queryTableFieldId="9" dataDxfId="10"/>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E6E4A7-A8E4-4CCE-9762-B11D6CF2E6CB}" name="FS_Assess" displayName="FS_Assess" ref="A1:M31" tableType="queryTable" totalsRowShown="0">
  <autoFilter ref="A1:M31" xr:uid="{C9E6E4A7-A8E4-4CCE-9762-B11D6CF2E6CB}"/>
  <sortState xmlns:xlrd2="http://schemas.microsoft.com/office/spreadsheetml/2017/richdata2" ref="A2:M31">
    <sortCondition ref="B1:B31"/>
  </sortState>
  <tableColumns count="13">
    <tableColumn id="1" xr3:uid="{B7261F2C-F524-4BB0-83D6-AD6EE698BB94}" uniqueName="1" name="SourceWorkbook" queryTableFieldId="1" dataDxfId="289"/>
    <tableColumn id="2" xr3:uid="{42A38ED9-BC3F-4A65-A4F0-B4721A7DFE7F}" uniqueName="2" name="TableName" queryTableFieldId="2"/>
    <tableColumn id="3" xr3:uid="{AEF70D57-F2DD-4FD6-941D-73A5FF9695CD}" uniqueName="3" name="Assessment No" queryTableFieldId="3"/>
    <tableColumn id="4" xr3:uid="{FC92966A-8FB8-47B1-8F66-E0D0B09D3D50}" uniqueName="4" name="Assessment Type" queryTableFieldId="4"/>
    <tableColumn id="5" xr3:uid="{EBCBB79D-0C53-469C-B55E-5CCFE3D778CA}" uniqueName="5" name="Assessment Specific" queryTableFieldId="5"/>
    <tableColumn id="6" xr3:uid="{A4B66951-E619-41CF-B161-7AD88F7CEC90}" uniqueName="6" name="Assessment Description" queryTableFieldId="6"/>
    <tableColumn id="7" xr3:uid="{BAA3A5DF-425F-4A74-A0D2-34C3C938147D}" uniqueName="7" name="Weighting" queryTableFieldId="7"/>
    <tableColumn id="8" xr3:uid="{7BA79F68-4D05-40D5-BDF1-7E11DEC3FCCD}" uniqueName="8" name="Due Week" queryTableFieldId="8"/>
    <tableColumn id="9" xr3:uid="{A31B31FE-AF11-49E8-AED4-9ADADB507119}" uniqueName="9" name="ModuleCode" queryTableFieldId="9"/>
    <tableColumn id="10" xr3:uid="{E02E948E-93C2-48C7-BA57-8F51E1BC0D9B}" uniqueName="10" name="ItemSuffix" queryTableFieldId="10"/>
    <tableColumn id="11" xr3:uid="{D5C25DED-F303-492C-A620-DE88AE52963C}" uniqueName="11" name="Programme" queryTableFieldId="11"/>
    <tableColumn id="12" xr3:uid="{FD2B53ED-0CB9-433B-8964-7328317E5ED5}" uniqueName="12" name="ProgCode" queryTableFieldId="12"/>
    <tableColumn id="13" xr3:uid="{B13285B8-CB81-48BC-98AD-8D09E8A86665}" uniqueName="13" name="ModuleTitle" queryTableFieldId="13" dataDxfId="288"/>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440EED6-1ABF-43CC-A82B-9A413F84A80C}" name="FS_Hours" displayName="FS_Hours" ref="A1:I103" tableType="queryTable" totalsRowShown="0">
  <autoFilter ref="A1:I103" xr:uid="{6440EED6-1ABF-43CC-A82B-9A413F84A80C}"/>
  <tableColumns count="9">
    <tableColumn id="1" xr3:uid="{E8CA27F7-BE94-4829-8020-78DA9F2748C9}" uniqueName="1" name="SourceWorkbook" queryTableFieldId="1" dataDxfId="9"/>
    <tableColumn id="2" xr3:uid="{3ED38C94-33C9-46EE-8E3A-EFE1479D7821}" uniqueName="2" name="TableName" queryTableFieldId="2"/>
    <tableColumn id="3" xr3:uid="{F967165C-5555-494B-ACC4-8EFDC1BE7760}" uniqueName="3" name="Component" queryTableFieldId="3"/>
    <tableColumn id="4" xr3:uid="{083DCC0A-FC69-4727-A790-C9AA06BEE83A}" uniqueName="4" name="Contact Hours" queryTableFieldId="4"/>
    <tableColumn id="5" xr3:uid="{FE16DD87-81A1-4F9B-A023-6D30B50669F8}" uniqueName="5" name="ModuleCode" queryTableFieldId="5"/>
    <tableColumn id="6" xr3:uid="{4A8CD129-1A3E-4B5A-B26F-06FA6B9FA222}" uniqueName="6" name="ItemSuffix" queryTableFieldId="6"/>
    <tableColumn id="7" xr3:uid="{4C964EC9-7485-4AA5-89D6-98CCF4858EC2}" uniqueName="7" name="Programme" queryTableFieldId="7"/>
    <tableColumn id="8" xr3:uid="{63703FFC-F485-4411-8CAF-73EF0B943028}" uniqueName="8" name="ProgCode" queryTableFieldId="8"/>
    <tableColumn id="9" xr3:uid="{2B95A713-6D3E-49EF-AC4A-14DAFA0693CC}" uniqueName="9" name="ModuleTitle" queryTableFieldId="9" dataDxfId="8"/>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F2DDBC-378E-43EE-9C7F-299FC71C6A04}" name="FS_Mapping" displayName="FS_Mapping" ref="A1:K147" tableType="queryTable" totalsRowShown="0">
  <autoFilter ref="A1:K147" xr:uid="{96F2DDBC-378E-43EE-9C7F-299FC71C6A04}"/>
  <tableColumns count="11">
    <tableColumn id="1" xr3:uid="{7A0DFE44-B75B-4932-8E69-4CBABAD729EE}" uniqueName="1" name="SourceWorkbook" queryTableFieldId="1" dataDxfId="7"/>
    <tableColumn id="2" xr3:uid="{B07967B6-354A-409E-AE6B-6CD0667AE45F}" uniqueName="2" name="TableName" queryTableFieldId="2"/>
    <tableColumn id="3" xr3:uid="{21F9F120-75D7-4836-BF56-65C15A9080A2}" uniqueName="3" name="Assessment No" queryTableFieldId="3"/>
    <tableColumn id="4" xr3:uid="{131A9285-B0BF-4D95-A4F1-C7A978BB4D33}" uniqueName="4" name="LO Number" queryTableFieldId="4"/>
    <tableColumn id="5" xr3:uid="{582818FD-AE38-4416-A8A8-B21F3B786011}" uniqueName="5" name="Graduate Skills Category" queryTableFieldId="5"/>
    <tableColumn id="6" xr3:uid="{1BB9799A-3E5A-4B92-BF41-7FC8656E0EA8}" uniqueName="6" name="Graduate Skill" queryTableFieldId="6"/>
    <tableColumn id="7" xr3:uid="{AA538E3C-4CB5-4162-B2F4-9896A11E92A1}" uniqueName="7" name="ModuleCode" queryTableFieldId="7"/>
    <tableColumn id="8" xr3:uid="{84185C8B-4814-495B-95B4-AAC0C0E0E444}" uniqueName="8" name="ItemSuffix" queryTableFieldId="8"/>
    <tableColumn id="9" xr3:uid="{61F32765-0588-4DD4-AD4F-6439D12A363B}" uniqueName="9" name="Programme" queryTableFieldId="9"/>
    <tableColumn id="10" xr3:uid="{37DBB0F6-E7A4-480C-A6EE-452457190953}" uniqueName="10" name="ProgCode" queryTableFieldId="10"/>
    <tableColumn id="11" xr3:uid="{9C0E6BB8-9502-4241-9995-D6CD13A43CA3}" uniqueName="11" name="ModuleTitle" queryTableFieldId="11" dataDxfId="6"/>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1D03718-409C-4D40-9CD5-1FB8389E243B}" name="FS_Meta_Wide" displayName="FS_Meta_Wide" ref="A1:O18" tableType="queryTable" totalsRowShown="0">
  <autoFilter ref="A1:O18" xr:uid="{C1D03718-409C-4D40-9CD5-1FB8389E243B}"/>
  <tableColumns count="15">
    <tableColumn id="1" xr3:uid="{F44EB091-F69B-4BBF-9FA6-E30168D269EE}" uniqueName="1" name="SourceWorkbook" queryTableFieldId="1" dataDxfId="5"/>
    <tableColumn id="2" xr3:uid="{696FEF69-CAFC-40F6-AAD7-53DAF50A0AB9}" uniqueName="2" name="TableName" queryTableFieldId="2"/>
    <tableColumn id="3" xr3:uid="{31338EE4-1AAB-42DB-9E7E-DAECABFDB483}" uniqueName="3" name="ModuleCode" queryTableFieldId="3"/>
    <tableColumn id="4" xr3:uid="{2441E343-B991-4B2E-BF4F-C352543115CF}" uniqueName="4" name="ItemSuffix" queryTableFieldId="4"/>
    <tableColumn id="5" xr3:uid="{5B8A2873-9921-44E8-9C73-6534137DD39A}" uniqueName="5" name="Programme" queryTableFieldId="5"/>
    <tableColumn id="6" xr3:uid="{9AAF8A12-97DF-4F1E-9788-D96BEFC1A383}" uniqueName="6" name="ProgCode" queryTableFieldId="6"/>
    <tableColumn id="7" xr3:uid="{D604C8C4-B7BC-4ED2-9DC4-00B38025777B}" uniqueName="7" name="ModuleTitle" queryTableFieldId="7" dataDxfId="4"/>
    <tableColumn id="8" xr3:uid="{F837EBAD-877A-4A06-9836-D714F73C7B16}" uniqueName="8" name="Module Code" queryTableFieldId="8"/>
    <tableColumn id="9" xr3:uid="{25CC6845-7AA2-4D36-8329-F3DF0CCAB9D1}" uniqueName="9" name="Module Title" queryTableFieldId="9"/>
    <tableColumn id="10" xr3:uid="{D8D35029-D912-44A3-99C8-2EC4367FB93F}" uniqueName="10" name="Credits" queryTableFieldId="10"/>
    <tableColumn id="11" xr3:uid="{58FE3E7E-B850-4F31-A23E-21E81E88D46A}" uniqueName="11" name="Semester" queryTableFieldId="11"/>
    <tableColumn id="12" xr3:uid="{A8DF5724-D643-4B44-9DD4-0AEF8E9CB7DD}" uniqueName="12" name="Level" queryTableFieldId="12"/>
    <tableColumn id="13" xr3:uid="{D799333B-AD73-4738-818B-A09617322F72}" uniqueName="13" name="Module Leader" queryTableFieldId="13"/>
    <tableColumn id="14" xr3:uid="{8A45F77E-792E-4E20-ADD8-5B21B8503DAD}" uniqueName="14" name="Module Type" queryTableFieldId="14"/>
    <tableColumn id="15" xr3:uid="{D7D49B96-359F-42A9-AC7E-C42FA10567DA}" uniqueName="15" name="Programme(s)" queryTableFieldId="15"/>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2A44BD-49F7-4CE3-A528-F5FECB3A6D14}" name="FS_Hours_Wide" displayName="FS_Hours_Wide" ref="A1:M18" tableType="queryTable" totalsRowShown="0">
  <autoFilter ref="A1:M18" xr:uid="{A32A44BD-49F7-4CE3-A528-F5FECB3A6D14}"/>
  <tableColumns count="13">
    <tableColumn id="1" xr3:uid="{E8AB9703-BB5D-4157-9790-995D60E1479F}" uniqueName="1" name="SourceWorkbook" queryTableFieldId="1" dataDxfId="3"/>
    <tableColumn id="2" xr3:uid="{98A0658E-4929-4175-B230-3B7E4B043ADB}" uniqueName="2" name="TableName" queryTableFieldId="2"/>
    <tableColumn id="3" xr3:uid="{1C5CB053-D088-47EA-BA01-EBB31FC0FEB2}" uniqueName="3" name="ModuleCode" queryTableFieldId="3"/>
    <tableColumn id="4" xr3:uid="{7099143B-E8CA-4DBD-8B1B-E6B169C4547D}" uniqueName="4" name="ItemSuffix" queryTableFieldId="4"/>
    <tableColumn id="5" xr3:uid="{AAA4F5C4-FD96-444A-A436-327B0B4DE2B8}" uniqueName="5" name="Programme" queryTableFieldId="5"/>
    <tableColumn id="6" xr3:uid="{97C2FFEB-8B7C-48F5-BA43-9FF1207F479E}" uniqueName="6" name="ProgCode" queryTableFieldId="6"/>
    <tableColumn id="7" xr3:uid="{C094EB6E-02ED-43D6-8024-9CE4CFBC962B}" uniqueName="7" name="ModuleTitle" queryTableFieldId="7" dataDxfId="2"/>
    <tableColumn id="8" xr3:uid="{3DB548B9-70B3-4478-911C-0F5DE693EB42}" uniqueName="8" name="Lecture" queryTableFieldId="8"/>
    <tableColumn id="9" xr3:uid="{A789A230-46D9-49D2-850D-591E4324DA7B}" uniqueName="9" name="Seminar" queryTableFieldId="9"/>
    <tableColumn id="10" xr3:uid="{5AA2C52E-C47A-4E77-8E90-64DFBB37F88A}" uniqueName="10" name="Practical" queryTableFieldId="10"/>
    <tableColumn id="11" xr3:uid="{BBF2929C-4707-403C-BDF2-47B8CCB5EA89}" uniqueName="11" name="Workshop" queryTableFieldId="11"/>
    <tableColumn id="12" xr3:uid="{4FC29B27-7345-47E4-B2EA-4CD971CD5FFE}" uniqueName="12" name="Online" queryTableFieldId="12"/>
    <tableColumn id="13" xr3:uid="{082BBFDC-EDEB-4E66-814B-26DCB30DF08D}" uniqueName="13" name="Total" queryTableFieldId="13"/>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A49B85-60D3-4700-BFE1-669427CAA719}" name="FS_Module_Overview" displayName="FS_Module_Overview" ref="A1:I18" tableType="queryTable" totalsRowShown="0">
  <autoFilter ref="A1:I18" xr:uid="{94A49B85-60D3-4700-BFE1-669427CAA719}"/>
  <tableColumns count="9">
    <tableColumn id="1" xr3:uid="{7A200DC1-154C-4571-925F-0702F1421CD2}" uniqueName="1" name="ModuleCode" queryTableFieldId="1"/>
    <tableColumn id="2" xr3:uid="{B805D57F-DEB3-46EB-8A7D-0EF986215BB1}" uniqueName="2" name="ModuleTitle" queryTableFieldId="2" dataDxfId="1"/>
    <tableColumn id="3" xr3:uid="{13E4614C-38F5-463F-B339-73D3ECC06D95}" uniqueName="3" name="Level" queryTableFieldId="3"/>
    <tableColumn id="4" xr3:uid="{09F0524B-4D7F-42B6-AA38-CF2FC5CA8395}" uniqueName="4" name="Semester" queryTableFieldId="4"/>
    <tableColumn id="5" xr3:uid="{1DE812EA-FE75-4865-A7AE-14E6887B4CE3}" uniqueName="5" name="Credits" queryTableFieldId="5"/>
    <tableColumn id="6" xr3:uid="{718FCBFA-A852-4162-9B37-605CDE27D15C}" uniqueName="6" name="Module Leader" queryTableFieldId="6"/>
    <tableColumn id="7" xr3:uid="{E81DF9F0-1266-4E29-A7FF-2CD4D35149F1}" uniqueName="7" name="Module Type" queryTableFieldId="7"/>
    <tableColumn id="8" xr3:uid="{1B3571E9-12D6-4022-8C6E-3D6349E5E5B9}" uniqueName="8" name="Total Contact Hours" queryTableFieldId="8"/>
    <tableColumn id="9" xr3:uid="{504B2365-8671-4C1C-A792-B1ECC67A6004}" uniqueName="9" name="Hours per Credit" queryTableFieldId="9"/>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0644B3-D23B-466E-909F-37E4415CCDCF}" name="FS_SkillsCoverage" displayName="FS_SkillsCoverage" ref="A1:E65" tableType="queryTable" totalsRowShown="0">
  <autoFilter ref="A1:E65" xr:uid="{480644B3-D23B-466E-909F-37E4415CCDCF}"/>
  <tableColumns count="5">
    <tableColumn id="1" xr3:uid="{2AA7BA67-9BE4-4DAB-9582-13991092EDB5}" uniqueName="1" name="Category" queryTableFieldId="1"/>
    <tableColumn id="2" xr3:uid="{7542E16C-D215-4ECF-9998-4A46869C8C64}" uniqueName="2" name="Skill" queryTableFieldId="2"/>
    <tableColumn id="3" xr3:uid="{71BC08FF-0F37-4712-8B64-05164095121E}" uniqueName="3" name="Modules Covering" queryTableFieldId="3" dataDxfId="0"/>
    <tableColumn id="4" xr3:uid="{0ACE8D40-DF31-4A63-9C26-AC9C16542FBE}" uniqueName="4" name="Module Count" queryTableFieldId="4"/>
    <tableColumn id="5" xr3:uid="{5178E5CB-AB23-499A-96C3-FFB22BFCE3B7}" uniqueName="5" name="Covered"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1.xml"/><Relationship Id="rId1" Type="http://schemas.openxmlformats.org/officeDocument/2006/relationships/table" Target="../tables/table8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94"/>
  <sheetViews>
    <sheetView showGridLines="0" topLeftCell="A11" zoomScale="70" zoomScaleNormal="70" workbookViewId="0">
      <selection activeCell="D56" sqref="D56"/>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4301SPS</v>
      </c>
      <c r="D2" s="20" t="str">
        <f>D8</f>
        <v>Professional Practice in Football Science</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5</v>
      </c>
      <c r="E7" s="4"/>
      <c r="F7" s="24" t="s">
        <v>6</v>
      </c>
    </row>
    <row r="8" spans="2:6" ht="16" x14ac:dyDescent="0.2">
      <c r="B8" s="2"/>
      <c r="C8" s="3" t="s">
        <v>7</v>
      </c>
      <c r="D8" s="21" t="s">
        <v>8</v>
      </c>
      <c r="E8" s="4"/>
      <c r="F8" s="24"/>
    </row>
    <row r="9" spans="2:6" ht="16" x14ac:dyDescent="0.2">
      <c r="C9" s="3" t="s">
        <v>9</v>
      </c>
      <c r="D9" s="21">
        <v>20</v>
      </c>
      <c r="E9" s="4"/>
    </row>
    <row r="10" spans="2:6" ht="16" x14ac:dyDescent="0.2">
      <c r="C10" s="3" t="s">
        <v>10</v>
      </c>
      <c r="D10" s="21">
        <v>1</v>
      </c>
      <c r="E10" s="4"/>
      <c r="F10" t="s">
        <v>11</v>
      </c>
    </row>
    <row r="11" spans="2:6" ht="16" x14ac:dyDescent="0.2">
      <c r="C11" s="3" t="s">
        <v>12</v>
      </c>
      <c r="D11" s="21">
        <v>4</v>
      </c>
      <c r="E11" s="4"/>
      <c r="F11" s="24" t="s">
        <v>13</v>
      </c>
    </row>
    <row r="12" spans="2:6" ht="16" x14ac:dyDescent="0.2">
      <c r="C12" s="3" t="s">
        <v>14</v>
      </c>
      <c r="D12" s="21" t="s">
        <v>15</v>
      </c>
      <c r="E12" s="4"/>
      <c r="F12" s="24" t="s">
        <v>16</v>
      </c>
    </row>
    <row r="13" spans="2:6" ht="16" x14ac:dyDescent="0.2">
      <c r="C13" s="3" t="s">
        <v>17</v>
      </c>
      <c r="D13" s="21" t="s">
        <v>18</v>
      </c>
      <c r="E13" s="4"/>
      <c r="F13" s="24" t="s">
        <v>19</v>
      </c>
    </row>
    <row r="14" spans="2:6" ht="16" x14ac:dyDescent="0.2">
      <c r="C14" s="3" t="s">
        <v>20</v>
      </c>
      <c r="D14" s="21" t="s">
        <v>21</v>
      </c>
      <c r="E14" s="4"/>
    </row>
    <row r="15" spans="2:6" x14ac:dyDescent="0.2">
      <c r="C15" s="3"/>
      <c r="D15" s="4"/>
      <c r="E15" s="4"/>
      <c r="F15" t="s">
        <v>22</v>
      </c>
    </row>
    <row r="16" spans="2:6" x14ac:dyDescent="0.2">
      <c r="C16" s="3"/>
      <c r="D16" s="4"/>
      <c r="E16" s="4"/>
      <c r="F16" s="24" t="s">
        <v>23</v>
      </c>
    </row>
    <row r="17" spans="3:6" ht="20" x14ac:dyDescent="0.2">
      <c r="C17" s="5" t="s">
        <v>24</v>
      </c>
      <c r="D17" s="4"/>
      <c r="E17" s="4"/>
      <c r="F17" s="24"/>
    </row>
    <row r="18" spans="3:6" ht="16" x14ac:dyDescent="0.2">
      <c r="C18" s="3" t="s">
        <v>25</v>
      </c>
      <c r="D18" s="1" t="s">
        <v>24</v>
      </c>
      <c r="E18" s="4"/>
      <c r="F18" s="24"/>
    </row>
    <row r="19" spans="3:6" ht="16" x14ac:dyDescent="0.2">
      <c r="C19" s="3" t="s">
        <v>26</v>
      </c>
      <c r="D19" s="22">
        <v>24</v>
      </c>
      <c r="E19" s="4"/>
      <c r="F19" s="24"/>
    </row>
    <row r="20" spans="3:6" ht="16" x14ac:dyDescent="0.2">
      <c r="C20" s="3" t="s">
        <v>27</v>
      </c>
      <c r="D20" s="22">
        <v>10</v>
      </c>
      <c r="E20" s="4"/>
      <c r="F20" s="24"/>
    </row>
    <row r="21" spans="3:6" ht="16" x14ac:dyDescent="0.2">
      <c r="C21" s="3" t="s">
        <v>28</v>
      </c>
      <c r="D21" s="22">
        <v>9</v>
      </c>
      <c r="E21" s="4"/>
    </row>
    <row r="22" spans="3:6" ht="16" x14ac:dyDescent="0.2">
      <c r="C22" s="3" t="s">
        <v>29</v>
      </c>
      <c r="D22" s="22">
        <v>6</v>
      </c>
      <c r="E22" s="4"/>
      <c r="F22" t="s">
        <v>30</v>
      </c>
    </row>
    <row r="23" spans="3:6" ht="16" x14ac:dyDescent="0.2">
      <c r="C23" s="3" t="s">
        <v>31</v>
      </c>
      <c r="D23" s="22">
        <v>0</v>
      </c>
      <c r="E23" s="4"/>
      <c r="F23" s="24" t="s">
        <v>32</v>
      </c>
    </row>
    <row r="24" spans="3:6" ht="16" x14ac:dyDescent="0.2">
      <c r="C24" s="3" t="s">
        <v>33</v>
      </c>
      <c r="D24" s="1">
        <f>SUM(D19:D23)</f>
        <v>49</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48" x14ac:dyDescent="0.2">
      <c r="C29" s="3" t="s">
        <v>38</v>
      </c>
      <c r="D29" s="21" t="s">
        <v>39</v>
      </c>
      <c r="E29" s="4"/>
      <c r="F29" s="24"/>
    </row>
    <row r="30" spans="3:6" ht="48" x14ac:dyDescent="0.2">
      <c r="C30" s="3" t="s">
        <v>40</v>
      </c>
      <c r="D30" s="21" t="s">
        <v>41</v>
      </c>
      <c r="E30" s="4"/>
      <c r="F30" s="24"/>
    </row>
    <row r="31" spans="3:6" ht="16" x14ac:dyDescent="0.2">
      <c r="C31" s="3" t="s">
        <v>42</v>
      </c>
      <c r="D31" s="21"/>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48" x14ac:dyDescent="0.2">
      <c r="C38" s="3" t="s">
        <v>52</v>
      </c>
      <c r="D38" s="21" t="s">
        <v>53</v>
      </c>
      <c r="E38" s="21" t="s">
        <v>54</v>
      </c>
      <c r="F38" s="21" t="s">
        <v>55</v>
      </c>
      <c r="G38" s="23">
        <v>0.5</v>
      </c>
      <c r="H38" s="21">
        <v>12</v>
      </c>
    </row>
    <row r="39" spans="3:8" ht="64" x14ac:dyDescent="0.2">
      <c r="C39" s="3" t="s">
        <v>56</v>
      </c>
      <c r="D39" s="21" t="s">
        <v>57</v>
      </c>
      <c r="E39" s="21" t="s">
        <v>58</v>
      </c>
      <c r="F39" s="21" t="s">
        <v>59</v>
      </c>
      <c r="G39" s="23">
        <v>0.5</v>
      </c>
      <c r="H39" s="21" t="s">
        <v>60</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66</v>
      </c>
      <c r="F46" s="24" t="s">
        <v>67</v>
      </c>
    </row>
    <row r="47" spans="3:8" x14ac:dyDescent="0.2">
      <c r="C47" s="25" t="s">
        <v>52</v>
      </c>
      <c r="D47" s="24" t="s">
        <v>38</v>
      </c>
      <c r="E47" s="24" t="s">
        <v>66</v>
      </c>
      <c r="F47" s="24" t="s">
        <v>68</v>
      </c>
    </row>
    <row r="48" spans="3:8" x14ac:dyDescent="0.2">
      <c r="C48" s="25" t="s">
        <v>52</v>
      </c>
      <c r="D48" s="24" t="s">
        <v>38</v>
      </c>
      <c r="E48" s="24" t="s">
        <v>66</v>
      </c>
      <c r="F48" s="24" t="s">
        <v>69</v>
      </c>
    </row>
    <row r="49" spans="3:6" x14ac:dyDescent="0.2">
      <c r="C49" s="25" t="s">
        <v>52</v>
      </c>
      <c r="D49" s="24" t="s">
        <v>38</v>
      </c>
      <c r="E49" s="24" t="s">
        <v>70</v>
      </c>
      <c r="F49" s="24" t="s">
        <v>71</v>
      </c>
    </row>
    <row r="50" spans="3:6" x14ac:dyDescent="0.2">
      <c r="C50" s="25" t="s">
        <v>52</v>
      </c>
      <c r="D50" s="24" t="s">
        <v>38</v>
      </c>
      <c r="E50" s="24" t="s">
        <v>72</v>
      </c>
      <c r="F50" s="24" t="s">
        <v>73</v>
      </c>
    </row>
    <row r="51" spans="3:6" x14ac:dyDescent="0.2">
      <c r="C51" s="25" t="s">
        <v>56</v>
      </c>
      <c r="D51" s="24" t="s">
        <v>40</v>
      </c>
      <c r="E51" s="24" t="s">
        <v>72</v>
      </c>
      <c r="F51" s="24" t="s">
        <v>74</v>
      </c>
    </row>
    <row r="52" spans="3:6" x14ac:dyDescent="0.2">
      <c r="C52" s="25" t="s">
        <v>56</v>
      </c>
      <c r="D52" s="24" t="s">
        <v>40</v>
      </c>
      <c r="E52" s="24" t="s">
        <v>75</v>
      </c>
      <c r="F52" s="24" t="s">
        <v>76</v>
      </c>
    </row>
    <row r="53" spans="3:6" x14ac:dyDescent="0.2">
      <c r="C53" s="25" t="s">
        <v>56</v>
      </c>
      <c r="D53" s="24" t="s">
        <v>40</v>
      </c>
      <c r="E53" s="24" t="s">
        <v>72</v>
      </c>
      <c r="F53" s="24" t="s">
        <v>77</v>
      </c>
    </row>
    <row r="54" spans="3:6" x14ac:dyDescent="0.2">
      <c r="C54" s="25" t="s">
        <v>56</v>
      </c>
      <c r="D54" s="24"/>
      <c r="E54" s="24"/>
      <c r="F54" s="24"/>
    </row>
    <row r="55" spans="3:6" x14ac:dyDescent="0.2">
      <c r="C55" s="25" t="s">
        <v>56</v>
      </c>
      <c r="D55" s="24"/>
      <c r="E55" s="24"/>
      <c r="F55" s="24"/>
    </row>
    <row r="56" spans="3:6" x14ac:dyDescent="0.2">
      <c r="C56" s="25" t="s">
        <v>56</v>
      </c>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ht="16" x14ac:dyDescent="0.2">
      <c r="B71" s="7">
        <v>1</v>
      </c>
      <c r="C71" s="1">
        <v>1</v>
      </c>
      <c r="D71" s="21" t="s">
        <v>84</v>
      </c>
      <c r="E71" s="21" t="s">
        <v>27</v>
      </c>
      <c r="F71" s="21"/>
    </row>
    <row r="72" spans="2:6" ht="16" x14ac:dyDescent="0.2">
      <c r="B72" s="7">
        <v>1</v>
      </c>
      <c r="C72" s="1">
        <v>2</v>
      </c>
      <c r="D72" s="21" t="s">
        <v>85</v>
      </c>
      <c r="E72" s="21" t="s">
        <v>27</v>
      </c>
      <c r="F72" s="21"/>
    </row>
    <row r="73" spans="2:6" ht="16" x14ac:dyDescent="0.2">
      <c r="B73" s="7">
        <v>1</v>
      </c>
      <c r="C73" s="1">
        <v>3</v>
      </c>
      <c r="D73" s="21" t="s">
        <v>86</v>
      </c>
      <c r="E73" s="21" t="s">
        <v>27</v>
      </c>
      <c r="F73" s="21"/>
    </row>
    <row r="74" spans="2:6" ht="16" x14ac:dyDescent="0.2">
      <c r="B74" s="7">
        <v>1</v>
      </c>
      <c r="C74" s="1">
        <v>4</v>
      </c>
      <c r="D74" s="21" t="s">
        <v>87</v>
      </c>
      <c r="E74" s="21" t="s">
        <v>28</v>
      </c>
      <c r="F74" s="21"/>
    </row>
    <row r="75" spans="2:6" ht="16" x14ac:dyDescent="0.2">
      <c r="B75" s="7">
        <v>1</v>
      </c>
      <c r="C75" s="1">
        <v>5</v>
      </c>
      <c r="D75" s="21" t="s">
        <v>88</v>
      </c>
      <c r="E75" s="21" t="s">
        <v>29</v>
      </c>
      <c r="F75" s="21"/>
    </row>
    <row r="76" spans="2:6" ht="16" x14ac:dyDescent="0.2">
      <c r="B76" s="7">
        <v>1</v>
      </c>
      <c r="C76" s="1">
        <v>6</v>
      </c>
      <c r="D76" s="21" t="s">
        <v>89</v>
      </c>
      <c r="E76" s="21" t="s">
        <v>29</v>
      </c>
      <c r="F76" s="21"/>
    </row>
    <row r="77" spans="2:6" ht="16" x14ac:dyDescent="0.2">
      <c r="B77" s="7">
        <v>1</v>
      </c>
      <c r="C77" s="1">
        <v>7</v>
      </c>
      <c r="D77" s="21" t="s">
        <v>90</v>
      </c>
      <c r="E77" s="21"/>
      <c r="F77" s="21"/>
    </row>
    <row r="78" spans="2:6" ht="32" x14ac:dyDescent="0.2">
      <c r="B78" s="7">
        <v>1</v>
      </c>
      <c r="C78" s="1">
        <v>8</v>
      </c>
      <c r="D78" s="21" t="s">
        <v>91</v>
      </c>
      <c r="E78" s="21" t="s">
        <v>27</v>
      </c>
      <c r="F78" s="21"/>
    </row>
    <row r="79" spans="2:6" ht="16" x14ac:dyDescent="0.2">
      <c r="B79" s="7">
        <v>1</v>
      </c>
      <c r="C79" s="1">
        <v>9</v>
      </c>
      <c r="D79" s="21" t="s">
        <v>92</v>
      </c>
      <c r="E79" s="21" t="s">
        <v>28</v>
      </c>
      <c r="F79" s="21" t="s">
        <v>29</v>
      </c>
    </row>
    <row r="80" spans="2:6" ht="16" x14ac:dyDescent="0.2">
      <c r="B80" s="7">
        <v>1</v>
      </c>
      <c r="C80" s="1">
        <v>10</v>
      </c>
      <c r="D80" s="21" t="s">
        <v>93</v>
      </c>
      <c r="E80" s="21" t="s">
        <v>28</v>
      </c>
      <c r="F80" s="21"/>
    </row>
    <row r="81" spans="2:6" ht="16" x14ac:dyDescent="0.2">
      <c r="B81" s="7">
        <v>1</v>
      </c>
      <c r="C81" s="1">
        <v>11</v>
      </c>
      <c r="D81" s="21" t="s">
        <v>94</v>
      </c>
      <c r="E81" s="21" t="s">
        <v>27</v>
      </c>
      <c r="F81" s="21"/>
    </row>
    <row r="82" spans="2:6" ht="16" x14ac:dyDescent="0.2">
      <c r="B82" s="7">
        <v>1</v>
      </c>
      <c r="C82" s="1">
        <v>12</v>
      </c>
      <c r="D82" s="21" t="s">
        <v>95</v>
      </c>
      <c r="E82" s="21"/>
      <c r="F82" s="21"/>
    </row>
    <row r="83" spans="2:6" x14ac:dyDescent="0.2">
      <c r="B83" s="7">
        <v>2</v>
      </c>
      <c r="C83" s="1">
        <v>1</v>
      </c>
      <c r="D83" s="21"/>
      <c r="E83" s="21"/>
      <c r="F83" s="21"/>
    </row>
    <row r="84" spans="2:6" x14ac:dyDescent="0.2">
      <c r="B84" s="7">
        <v>2</v>
      </c>
      <c r="C84" s="1">
        <v>2</v>
      </c>
      <c r="D84" s="21"/>
      <c r="E84" s="21"/>
      <c r="F84" s="21"/>
    </row>
    <row r="85" spans="2:6" x14ac:dyDescent="0.2">
      <c r="B85" s="7">
        <v>2</v>
      </c>
      <c r="C85" s="1">
        <v>3</v>
      </c>
      <c r="D85" s="21"/>
      <c r="E85" s="21"/>
      <c r="F85" s="21"/>
    </row>
    <row r="86" spans="2:6" x14ac:dyDescent="0.2">
      <c r="B86" s="7">
        <v>2</v>
      </c>
      <c r="C86" s="1">
        <v>4</v>
      </c>
      <c r="D86" s="21"/>
      <c r="E86" s="21"/>
      <c r="F86" s="21"/>
    </row>
    <row r="87" spans="2:6" x14ac:dyDescent="0.2">
      <c r="B87" s="7">
        <v>2</v>
      </c>
      <c r="C87" s="1">
        <v>5</v>
      </c>
      <c r="D87" s="21"/>
      <c r="E87" s="21"/>
      <c r="F87" s="21"/>
    </row>
    <row r="88" spans="2:6" x14ac:dyDescent="0.2">
      <c r="B88" s="7">
        <v>2</v>
      </c>
      <c r="C88" s="1">
        <v>6</v>
      </c>
      <c r="D88" s="21"/>
      <c r="E88" s="21"/>
      <c r="F88" s="21"/>
    </row>
    <row r="89" spans="2:6" x14ac:dyDescent="0.2">
      <c r="B89" s="7">
        <v>2</v>
      </c>
      <c r="C89" s="1">
        <v>7</v>
      </c>
      <c r="D89" s="21"/>
      <c r="E89" s="21"/>
      <c r="F89" s="21"/>
    </row>
    <row r="90" spans="2:6" x14ac:dyDescent="0.2">
      <c r="B90" s="7">
        <v>2</v>
      </c>
      <c r="C90" s="1">
        <v>8</v>
      </c>
      <c r="D90" s="21"/>
      <c r="E90" s="21"/>
      <c r="F90" s="21"/>
    </row>
    <row r="91" spans="2:6" x14ac:dyDescent="0.2">
      <c r="B91" s="7">
        <v>2</v>
      </c>
      <c r="C91" s="1">
        <v>9</v>
      </c>
      <c r="D91" s="21"/>
      <c r="E91" s="21"/>
      <c r="F91" s="21"/>
    </row>
    <row r="92" spans="2:6" x14ac:dyDescent="0.2">
      <c r="B92" s="7">
        <v>2</v>
      </c>
      <c r="C92" s="1">
        <v>10</v>
      </c>
      <c r="D92" s="21"/>
      <c r="E92" s="21"/>
      <c r="F92" s="21"/>
    </row>
    <row r="93" spans="2:6" x14ac:dyDescent="0.2">
      <c r="B93" s="7">
        <v>2</v>
      </c>
      <c r="C93" s="1">
        <v>11</v>
      </c>
      <c r="D93" s="21"/>
      <c r="E93" s="21"/>
      <c r="F93" s="21"/>
    </row>
    <row r="94" spans="2:6" x14ac:dyDescent="0.2">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94"/>
  <sheetViews>
    <sheetView showGridLines="0" zoomScale="85" zoomScaleNormal="85" workbookViewId="0">
      <selection activeCell="D81" sqref="D81"/>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4303SPS</v>
      </c>
      <c r="D2" s="20" t="str">
        <f>D8</f>
        <v>Talent Identification, Development and Selection</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48" x14ac:dyDescent="0.2">
      <c r="B7" s="2"/>
      <c r="C7" s="3" t="s">
        <v>4</v>
      </c>
      <c r="D7" s="21" t="s">
        <v>96</v>
      </c>
      <c r="E7" s="4"/>
      <c r="F7" s="29" t="s">
        <v>97</v>
      </c>
    </row>
    <row r="8" spans="2:6" ht="64" x14ac:dyDescent="0.2">
      <c r="B8" s="2"/>
      <c r="C8" s="3" t="s">
        <v>7</v>
      </c>
      <c r="D8" s="21" t="s">
        <v>98</v>
      </c>
      <c r="E8" s="4"/>
      <c r="F8" s="29" t="s">
        <v>99</v>
      </c>
    </row>
    <row r="9" spans="2:6" ht="16" x14ac:dyDescent="0.2">
      <c r="C9" s="3" t="s">
        <v>9</v>
      </c>
      <c r="D9" s="21">
        <v>20</v>
      </c>
      <c r="E9" s="4"/>
    </row>
    <row r="10" spans="2:6" ht="16" x14ac:dyDescent="0.2">
      <c r="C10" s="3" t="s">
        <v>10</v>
      </c>
      <c r="D10" s="21">
        <v>2</v>
      </c>
      <c r="E10" s="4"/>
      <c r="F10" t="s">
        <v>11</v>
      </c>
    </row>
    <row r="11" spans="2:6" ht="16" x14ac:dyDescent="0.2">
      <c r="C11" s="3" t="s">
        <v>12</v>
      </c>
      <c r="D11" s="21">
        <v>4</v>
      </c>
      <c r="E11" s="4"/>
      <c r="F11" s="24" t="s">
        <v>100</v>
      </c>
    </row>
    <row r="12" spans="2:6" ht="16" x14ac:dyDescent="0.2">
      <c r="C12" s="3" t="s">
        <v>14</v>
      </c>
      <c r="D12" s="21" t="s">
        <v>101</v>
      </c>
      <c r="E12" s="4"/>
      <c r="F12" s="24" t="s">
        <v>102</v>
      </c>
    </row>
    <row r="13" spans="2:6" ht="48" x14ac:dyDescent="0.2">
      <c r="C13" s="3" t="s">
        <v>17</v>
      </c>
      <c r="D13" s="21" t="s">
        <v>18</v>
      </c>
      <c r="E13" s="4"/>
      <c r="F13" s="29" t="s">
        <v>103</v>
      </c>
    </row>
    <row r="14" spans="2:6" ht="16" x14ac:dyDescent="0.2">
      <c r="C14" s="3" t="s">
        <v>20</v>
      </c>
      <c r="D14" s="21" t="s">
        <v>21</v>
      </c>
      <c r="E14" s="4"/>
    </row>
    <row r="15" spans="2:6" x14ac:dyDescent="0.2">
      <c r="C15" s="3"/>
      <c r="D15" s="4"/>
      <c r="E15" s="4"/>
      <c r="F15" t="s">
        <v>22</v>
      </c>
    </row>
    <row r="16" spans="2:6" ht="224" x14ac:dyDescent="0.2">
      <c r="C16" s="3"/>
      <c r="D16" s="4"/>
      <c r="E16" s="4"/>
      <c r="F16" s="64" t="s">
        <v>104</v>
      </c>
    </row>
    <row r="17" spans="3:6" ht="20" x14ac:dyDescent="0.2">
      <c r="C17" s="5" t="s">
        <v>24</v>
      </c>
      <c r="D17" s="4"/>
      <c r="E17" s="4"/>
      <c r="F17" s="64"/>
    </row>
    <row r="18" spans="3:6" ht="16" x14ac:dyDescent="0.2">
      <c r="C18" s="3" t="s">
        <v>25</v>
      </c>
      <c r="D18" s="1" t="s">
        <v>24</v>
      </c>
      <c r="E18" s="4"/>
      <c r="F18" s="64"/>
    </row>
    <row r="19" spans="3:6" ht="16" x14ac:dyDescent="0.2">
      <c r="C19" s="3" t="s">
        <v>26</v>
      </c>
      <c r="D19" s="22">
        <v>22</v>
      </c>
      <c r="E19" s="4"/>
      <c r="F19" s="24"/>
    </row>
    <row r="20" spans="3:6" ht="16" x14ac:dyDescent="0.2">
      <c r="C20" s="3" t="s">
        <v>27</v>
      </c>
      <c r="D20" s="22">
        <v>14</v>
      </c>
      <c r="E20" s="4"/>
      <c r="F20" s="24"/>
    </row>
    <row r="21" spans="3:6" ht="16" x14ac:dyDescent="0.2">
      <c r="C21" s="3" t="s">
        <v>28</v>
      </c>
      <c r="D21" s="22">
        <v>4</v>
      </c>
      <c r="E21" s="4"/>
    </row>
    <row r="22" spans="3:6" ht="16" x14ac:dyDescent="0.2">
      <c r="C22" s="3" t="s">
        <v>29</v>
      </c>
      <c r="D22" s="22">
        <v>8</v>
      </c>
      <c r="E22" s="4"/>
      <c r="F22" t="s">
        <v>30</v>
      </c>
    </row>
    <row r="23" spans="3:6" ht="16" x14ac:dyDescent="0.2">
      <c r="C23" s="3" t="s">
        <v>31</v>
      </c>
      <c r="D23" s="22">
        <v>0</v>
      </c>
      <c r="E23" s="4"/>
      <c r="F23" s="24"/>
    </row>
    <row r="24" spans="3:6" ht="16" x14ac:dyDescent="0.2">
      <c r="C24" s="3" t="s">
        <v>33</v>
      </c>
      <c r="D24" s="1">
        <f>SUM(D19:D23)</f>
        <v>48</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32" x14ac:dyDescent="0.2">
      <c r="C29" s="3" t="s">
        <v>38</v>
      </c>
      <c r="D29" s="29" t="s">
        <v>105</v>
      </c>
      <c r="E29" s="4"/>
      <c r="F29" s="24"/>
    </row>
    <row r="30" spans="3:6" ht="32" x14ac:dyDescent="0.2">
      <c r="C30" s="3" t="s">
        <v>40</v>
      </c>
      <c r="D30" s="29" t="s">
        <v>106</v>
      </c>
      <c r="E30" s="4"/>
      <c r="F30" s="24"/>
    </row>
    <row r="31" spans="3:6" ht="48" x14ac:dyDescent="0.2">
      <c r="C31" s="3" t="s">
        <v>42</v>
      </c>
      <c r="D31" s="29" t="s">
        <v>107</v>
      </c>
      <c r="E31" s="4"/>
      <c r="F31" s="24"/>
    </row>
    <row r="32" spans="3:6" ht="48" x14ac:dyDescent="0.2">
      <c r="C32" s="3" t="s">
        <v>43</v>
      </c>
      <c r="D32" s="29" t="s">
        <v>108</v>
      </c>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16" x14ac:dyDescent="0.2">
      <c r="C38" s="3" t="s">
        <v>52</v>
      </c>
      <c r="D38" s="21" t="s">
        <v>53</v>
      </c>
      <c r="E38" s="21" t="s">
        <v>109</v>
      </c>
      <c r="F38" s="21" t="s">
        <v>110</v>
      </c>
      <c r="G38" s="23">
        <v>0.4</v>
      </c>
      <c r="H38" s="21">
        <v>7</v>
      </c>
    </row>
    <row r="39" spans="3:8" ht="16" x14ac:dyDescent="0.2">
      <c r="C39" s="3" t="s">
        <v>56</v>
      </c>
      <c r="D39" s="21" t="s">
        <v>111</v>
      </c>
      <c r="E39" s="21" t="s">
        <v>112</v>
      </c>
      <c r="F39" s="21" t="s">
        <v>113</v>
      </c>
      <c r="G39" s="23">
        <v>0.6</v>
      </c>
      <c r="H39" s="21">
        <v>12</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67" t="s">
        <v>52</v>
      </c>
      <c r="D46" s="66" t="s">
        <v>38</v>
      </c>
      <c r="E46" s="65" t="s">
        <v>114</v>
      </c>
      <c r="F46" s="65" t="s">
        <v>115</v>
      </c>
    </row>
    <row r="47" spans="3:8" x14ac:dyDescent="0.2">
      <c r="C47" s="67" t="s">
        <v>52</v>
      </c>
      <c r="D47" s="66" t="s">
        <v>40</v>
      </c>
      <c r="E47" s="65" t="s">
        <v>114</v>
      </c>
      <c r="F47" s="65" t="s">
        <v>116</v>
      </c>
    </row>
    <row r="48" spans="3:8" x14ac:dyDescent="0.2">
      <c r="C48" s="67" t="s">
        <v>52</v>
      </c>
      <c r="D48" s="66" t="s">
        <v>42</v>
      </c>
      <c r="E48" s="65" t="s">
        <v>117</v>
      </c>
      <c r="F48" s="65" t="s">
        <v>118</v>
      </c>
    </row>
    <row r="49" spans="3:6" x14ac:dyDescent="0.2">
      <c r="C49" s="67" t="s">
        <v>52</v>
      </c>
      <c r="D49" s="66" t="s">
        <v>43</v>
      </c>
      <c r="E49" s="65" t="s">
        <v>75</v>
      </c>
      <c r="F49" s="65" t="s">
        <v>76</v>
      </c>
    </row>
    <row r="50" spans="3:6" x14ac:dyDescent="0.2">
      <c r="C50" s="67" t="s">
        <v>52</v>
      </c>
      <c r="D50" s="66" t="s">
        <v>43</v>
      </c>
      <c r="E50" s="65" t="s">
        <v>75</v>
      </c>
      <c r="F50" s="65" t="s">
        <v>119</v>
      </c>
    </row>
    <row r="51" spans="3:6" x14ac:dyDescent="0.2">
      <c r="C51" s="67" t="s">
        <v>56</v>
      </c>
      <c r="D51" s="66" t="s">
        <v>38</v>
      </c>
      <c r="E51" s="65" t="s">
        <v>114</v>
      </c>
      <c r="F51" s="65" t="s">
        <v>116</v>
      </c>
    </row>
    <row r="52" spans="3:6" x14ac:dyDescent="0.2">
      <c r="C52" s="67" t="s">
        <v>56</v>
      </c>
      <c r="D52" s="66" t="s">
        <v>40</v>
      </c>
      <c r="E52" s="65" t="s">
        <v>117</v>
      </c>
      <c r="F52" s="65" t="s">
        <v>118</v>
      </c>
    </row>
    <row r="53" spans="3:6" x14ac:dyDescent="0.2">
      <c r="C53" s="67" t="s">
        <v>56</v>
      </c>
      <c r="D53" s="66" t="s">
        <v>42</v>
      </c>
      <c r="E53" s="65" t="s">
        <v>75</v>
      </c>
      <c r="F53" s="65" t="s">
        <v>76</v>
      </c>
    </row>
    <row r="54" spans="3:6" x14ac:dyDescent="0.2">
      <c r="C54" s="67" t="s">
        <v>56</v>
      </c>
      <c r="D54" s="66" t="s">
        <v>43</v>
      </c>
      <c r="E54" s="65" t="s">
        <v>117</v>
      </c>
      <c r="F54" s="65" t="s">
        <v>120</v>
      </c>
    </row>
    <row r="55" spans="3:6" x14ac:dyDescent="0.2">
      <c r="C55" s="25"/>
      <c r="D55" s="24"/>
      <c r="E55" s="24"/>
      <c r="F55" s="24"/>
    </row>
    <row r="56" spans="3:6" x14ac:dyDescent="0.2">
      <c r="C56" s="25"/>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x14ac:dyDescent="0.2">
      <c r="B71" s="7">
        <v>1</v>
      </c>
      <c r="C71" s="1">
        <v>1</v>
      </c>
      <c r="D71" s="21"/>
      <c r="E71" s="21"/>
      <c r="F71" s="21"/>
    </row>
    <row r="72" spans="2:6" x14ac:dyDescent="0.2">
      <c r="B72" s="7">
        <v>1</v>
      </c>
      <c r="C72" s="1">
        <v>2</v>
      </c>
      <c r="D72" s="21"/>
      <c r="E72" s="21"/>
      <c r="F72" s="21"/>
    </row>
    <row r="73" spans="2:6" x14ac:dyDescent="0.2">
      <c r="B73" s="7">
        <v>1</v>
      </c>
      <c r="C73" s="1">
        <v>3</v>
      </c>
      <c r="D73" s="21"/>
      <c r="E73" s="21"/>
      <c r="F73" s="21"/>
    </row>
    <row r="74" spans="2:6" x14ac:dyDescent="0.2">
      <c r="B74" s="7">
        <v>1</v>
      </c>
      <c r="C74" s="1">
        <v>4</v>
      </c>
      <c r="D74" s="21"/>
      <c r="E74" s="21"/>
      <c r="F74" s="21"/>
    </row>
    <row r="75" spans="2:6" x14ac:dyDescent="0.2">
      <c r="B75" s="7">
        <v>1</v>
      </c>
      <c r="C75" s="1">
        <v>5</v>
      </c>
      <c r="D75" s="21"/>
      <c r="E75" s="21"/>
      <c r="F75" s="21"/>
    </row>
    <row r="76" spans="2:6" x14ac:dyDescent="0.2">
      <c r="B76" s="7">
        <v>1</v>
      </c>
      <c r="C76" s="1">
        <v>6</v>
      </c>
      <c r="D76" s="21"/>
      <c r="E76" s="21"/>
      <c r="F76" s="21"/>
    </row>
    <row r="77" spans="2:6" x14ac:dyDescent="0.2">
      <c r="B77" s="7">
        <v>1</v>
      </c>
      <c r="C77" s="1">
        <v>7</v>
      </c>
      <c r="D77" s="21"/>
      <c r="E77" s="21"/>
      <c r="F77" s="21"/>
    </row>
    <row r="78" spans="2:6" x14ac:dyDescent="0.2">
      <c r="B78" s="7">
        <v>1</v>
      </c>
      <c r="C78" s="1">
        <v>8</v>
      </c>
      <c r="D78" s="21"/>
      <c r="E78" s="21"/>
      <c r="F78" s="21"/>
    </row>
    <row r="79" spans="2:6" x14ac:dyDescent="0.2">
      <c r="B79" s="7">
        <v>1</v>
      </c>
      <c r="C79" s="1">
        <v>9</v>
      </c>
      <c r="D79" s="21"/>
      <c r="E79" s="21"/>
      <c r="F79" s="21"/>
    </row>
    <row r="80" spans="2:6" x14ac:dyDescent="0.2">
      <c r="B80" s="7">
        <v>1</v>
      </c>
      <c r="C80" s="1">
        <v>10</v>
      </c>
      <c r="D80" s="21"/>
      <c r="E80" s="21"/>
      <c r="F80" s="21"/>
    </row>
    <row r="81" spans="2:6" x14ac:dyDescent="0.2">
      <c r="B81" s="7">
        <v>1</v>
      </c>
      <c r="C81" s="1">
        <v>11</v>
      </c>
      <c r="D81" s="21"/>
      <c r="E81" s="21"/>
      <c r="F81" s="21"/>
    </row>
    <row r="82" spans="2:6" x14ac:dyDescent="0.2">
      <c r="B82" s="7">
        <v>1</v>
      </c>
      <c r="C82" s="1">
        <v>12</v>
      </c>
      <c r="D82" s="21"/>
      <c r="E82" s="21"/>
      <c r="F82" s="21"/>
    </row>
    <row r="83" spans="2:6" ht="16" x14ac:dyDescent="0.2">
      <c r="B83" s="7">
        <v>2</v>
      </c>
      <c r="C83" s="1">
        <v>1</v>
      </c>
      <c r="D83" s="21" t="s">
        <v>121</v>
      </c>
      <c r="E83" s="21" t="s">
        <v>122</v>
      </c>
      <c r="F83" s="21"/>
    </row>
    <row r="84" spans="2:6" ht="32" x14ac:dyDescent="0.2">
      <c r="B84" s="7">
        <v>2</v>
      </c>
      <c r="C84" s="1">
        <v>2</v>
      </c>
      <c r="D84" s="21" t="s">
        <v>123</v>
      </c>
      <c r="E84" s="21" t="s">
        <v>124</v>
      </c>
      <c r="F84" s="21"/>
    </row>
    <row r="85" spans="2:6" ht="32" x14ac:dyDescent="0.2">
      <c r="B85" s="7">
        <v>2</v>
      </c>
      <c r="C85" s="1">
        <v>3</v>
      </c>
      <c r="D85" s="21" t="s">
        <v>125</v>
      </c>
      <c r="E85" s="21" t="s">
        <v>126</v>
      </c>
      <c r="F85" s="21"/>
    </row>
    <row r="86" spans="2:6" ht="16" x14ac:dyDescent="0.2">
      <c r="B86" s="7">
        <v>2</v>
      </c>
      <c r="C86" s="1">
        <v>4</v>
      </c>
      <c r="D86" s="21" t="s">
        <v>127</v>
      </c>
      <c r="E86" s="21" t="s">
        <v>128</v>
      </c>
      <c r="F86" s="21"/>
    </row>
    <row r="87" spans="2:6" ht="32" x14ac:dyDescent="0.2">
      <c r="B87" s="7">
        <v>2</v>
      </c>
      <c r="C87" s="1">
        <v>5</v>
      </c>
      <c r="D87" s="21" t="s">
        <v>129</v>
      </c>
      <c r="E87" s="21" t="s">
        <v>130</v>
      </c>
      <c r="F87" s="21"/>
    </row>
    <row r="88" spans="2:6" ht="32" x14ac:dyDescent="0.2">
      <c r="B88" s="7">
        <v>2</v>
      </c>
      <c r="C88" s="1">
        <v>6</v>
      </c>
      <c r="D88" s="21" t="s">
        <v>131</v>
      </c>
      <c r="E88" s="21" t="s">
        <v>132</v>
      </c>
      <c r="F88" s="21"/>
    </row>
    <row r="89" spans="2:6" ht="16" x14ac:dyDescent="0.2">
      <c r="B89" s="7">
        <v>2</v>
      </c>
      <c r="C89" s="1">
        <v>7</v>
      </c>
      <c r="D89" s="68" t="s">
        <v>133</v>
      </c>
      <c r="E89" s="68" t="s">
        <v>133</v>
      </c>
      <c r="F89" s="21"/>
    </row>
    <row r="90" spans="2:6" ht="32" x14ac:dyDescent="0.2">
      <c r="B90" s="7">
        <v>2</v>
      </c>
      <c r="C90" s="1">
        <v>8</v>
      </c>
      <c r="D90" s="21" t="s">
        <v>134</v>
      </c>
      <c r="E90" s="21" t="s">
        <v>135</v>
      </c>
      <c r="F90" s="21"/>
    </row>
    <row r="91" spans="2:6" ht="16" x14ac:dyDescent="0.2">
      <c r="B91" s="7">
        <v>2</v>
      </c>
      <c r="C91" s="1">
        <v>9</v>
      </c>
      <c r="D91" s="21" t="s">
        <v>136</v>
      </c>
      <c r="E91" s="21" t="s">
        <v>137</v>
      </c>
      <c r="F91" s="21"/>
    </row>
    <row r="92" spans="2:6" ht="16" x14ac:dyDescent="0.2">
      <c r="B92" s="7">
        <v>2</v>
      </c>
      <c r="C92" s="1">
        <v>10</v>
      </c>
      <c r="D92" s="21" t="s">
        <v>138</v>
      </c>
      <c r="E92" s="21" t="s">
        <v>139</v>
      </c>
      <c r="F92" s="21"/>
    </row>
    <row r="93" spans="2:6" ht="16" x14ac:dyDescent="0.2">
      <c r="B93" s="7">
        <v>2</v>
      </c>
      <c r="C93" s="1">
        <v>11</v>
      </c>
      <c r="D93" s="21" t="s">
        <v>140</v>
      </c>
      <c r="E93" s="21" t="s">
        <v>141</v>
      </c>
      <c r="F93" s="21"/>
    </row>
    <row r="94" spans="2:6" ht="16" x14ac:dyDescent="0.2">
      <c r="B94" s="7">
        <v>2</v>
      </c>
      <c r="C94" s="1">
        <v>12</v>
      </c>
      <c r="D94" s="21" t="s">
        <v>142</v>
      </c>
      <c r="E94" s="21" t="s">
        <v>143</v>
      </c>
      <c r="F94" s="21"/>
    </row>
  </sheetData>
  <sheetProtection selectLockedCells="1" sort="0" autoFilter="0" pivotTable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94"/>
  <sheetViews>
    <sheetView showGridLines="0" zoomScale="85" zoomScaleNormal="85" workbookViewId="0">
      <selection activeCell="E67" sqref="E67"/>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35.83203125" customWidth="1"/>
    <col min="9" max="9" width="14.6640625" customWidth="1"/>
  </cols>
  <sheetData>
    <row r="2" spans="2:6" ht="27" x14ac:dyDescent="0.35">
      <c r="C2" s="20" t="str">
        <f>D7</f>
        <v>5301SPS</v>
      </c>
      <c r="D2" s="20" t="str">
        <f>D8</f>
        <v>Professional Practice in Football Science 2</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144</v>
      </c>
      <c r="E7" s="4"/>
      <c r="F7" s="34" t="s">
        <v>145</v>
      </c>
    </row>
    <row r="8" spans="2:6" ht="16" x14ac:dyDescent="0.2">
      <c r="B8" s="2"/>
      <c r="C8" s="3" t="s">
        <v>7</v>
      </c>
      <c r="D8" s="21" t="s">
        <v>146</v>
      </c>
      <c r="E8" s="4"/>
      <c r="F8" s="35" t="s">
        <v>147</v>
      </c>
    </row>
    <row r="9" spans="2:6" ht="16" x14ac:dyDescent="0.2">
      <c r="C9" s="3" t="s">
        <v>9</v>
      </c>
      <c r="D9" s="21">
        <v>20</v>
      </c>
      <c r="E9" s="4"/>
    </row>
    <row r="10" spans="2:6" ht="16" x14ac:dyDescent="0.2">
      <c r="C10" s="3" t="s">
        <v>10</v>
      </c>
      <c r="D10" s="21">
        <v>1</v>
      </c>
      <c r="E10" s="4"/>
      <c r="F10" t="s">
        <v>11</v>
      </c>
    </row>
    <row r="11" spans="2:6" ht="16" x14ac:dyDescent="0.2">
      <c r="C11" s="3" t="s">
        <v>12</v>
      </c>
      <c r="D11" s="21">
        <v>5</v>
      </c>
      <c r="E11" s="4"/>
      <c r="F11" s="33" t="s">
        <v>148</v>
      </c>
    </row>
    <row r="12" spans="2:6" ht="16" x14ac:dyDescent="0.2">
      <c r="C12" s="3" t="s">
        <v>14</v>
      </c>
      <c r="D12" s="21" t="s">
        <v>149</v>
      </c>
      <c r="E12" s="4"/>
      <c r="F12" s="33" t="s">
        <v>150</v>
      </c>
    </row>
    <row r="13" spans="2:6" ht="16" x14ac:dyDescent="0.2">
      <c r="C13" s="3" t="s">
        <v>17</v>
      </c>
      <c r="D13" s="21" t="s">
        <v>18</v>
      </c>
      <c r="E13" s="4"/>
      <c r="F13" s="33" t="s">
        <v>151</v>
      </c>
    </row>
    <row r="14" spans="2:6" ht="16" x14ac:dyDescent="0.2">
      <c r="C14" s="3" t="s">
        <v>20</v>
      </c>
      <c r="D14" s="21" t="s">
        <v>21</v>
      </c>
      <c r="E14" s="4"/>
    </row>
    <row r="15" spans="2:6" x14ac:dyDescent="0.2">
      <c r="C15" s="3"/>
      <c r="D15" s="4"/>
      <c r="E15" s="4"/>
      <c r="F15" t="s">
        <v>22</v>
      </c>
    </row>
    <row r="16" spans="2:6" x14ac:dyDescent="0.2">
      <c r="C16" s="3"/>
      <c r="D16" s="4"/>
      <c r="E16" s="4"/>
      <c r="F16" s="31" t="s">
        <v>152</v>
      </c>
    </row>
    <row r="17" spans="3:6" ht="20" x14ac:dyDescent="0.2">
      <c r="C17" s="5" t="s">
        <v>24</v>
      </c>
      <c r="D17" s="4"/>
      <c r="E17" s="4"/>
      <c r="F17" s="24"/>
    </row>
    <row r="18" spans="3:6" ht="16" x14ac:dyDescent="0.2">
      <c r="C18" s="3" t="s">
        <v>25</v>
      </c>
      <c r="D18" s="1" t="s">
        <v>24</v>
      </c>
      <c r="E18" s="4"/>
      <c r="F18" s="24"/>
    </row>
    <row r="19" spans="3:6" ht="16" x14ac:dyDescent="0.2">
      <c r="C19" s="3" t="s">
        <v>26</v>
      </c>
      <c r="D19" s="22">
        <v>18</v>
      </c>
      <c r="E19" s="4"/>
      <c r="F19" s="24"/>
    </row>
    <row r="20" spans="3:6" ht="16" x14ac:dyDescent="0.2">
      <c r="C20" s="3" t="s">
        <v>27</v>
      </c>
      <c r="D20" s="22">
        <v>14</v>
      </c>
      <c r="E20" s="4"/>
      <c r="F20" s="24"/>
    </row>
    <row r="21" spans="3:6" ht="16" x14ac:dyDescent="0.2">
      <c r="C21" s="3" t="s">
        <v>28</v>
      </c>
      <c r="D21" s="22">
        <v>6</v>
      </c>
      <c r="E21" s="4"/>
    </row>
    <row r="22" spans="3:6" ht="16" x14ac:dyDescent="0.2">
      <c r="C22" s="3" t="s">
        <v>29</v>
      </c>
      <c r="D22" s="22">
        <v>10</v>
      </c>
      <c r="E22" s="4"/>
      <c r="F22" t="s">
        <v>30</v>
      </c>
    </row>
    <row r="23" spans="3:6" ht="16" x14ac:dyDescent="0.2">
      <c r="C23" s="3" t="s">
        <v>31</v>
      </c>
      <c r="D23" s="22"/>
      <c r="E23" s="4"/>
      <c r="F23" s="30" t="s">
        <v>153</v>
      </c>
    </row>
    <row r="24" spans="3:6" ht="16" x14ac:dyDescent="0.2">
      <c r="C24" s="3" t="s">
        <v>33</v>
      </c>
      <c r="D24" s="1">
        <f>SUM(D19:D23)</f>
        <v>48</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16" x14ac:dyDescent="0.2">
      <c r="C29" s="3" t="s">
        <v>38</v>
      </c>
      <c r="D29" s="33" t="s">
        <v>154</v>
      </c>
      <c r="E29" s="4"/>
      <c r="F29" s="24"/>
    </row>
    <row r="30" spans="3:6" ht="16" x14ac:dyDescent="0.2">
      <c r="C30" s="3" t="s">
        <v>40</v>
      </c>
      <c r="D30" s="33" t="s">
        <v>155</v>
      </c>
      <c r="E30" s="4"/>
      <c r="F30" s="24"/>
    </row>
    <row r="31" spans="3:6" ht="16" x14ac:dyDescent="0.2">
      <c r="C31" s="3" t="s">
        <v>42</v>
      </c>
      <c r="D31" s="33" t="s">
        <v>156</v>
      </c>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32" x14ac:dyDescent="0.2">
      <c r="C38" s="3" t="s">
        <v>52</v>
      </c>
      <c r="D38" s="21" t="s">
        <v>111</v>
      </c>
      <c r="E38" s="21" t="s">
        <v>157</v>
      </c>
      <c r="F38" s="21" t="s">
        <v>158</v>
      </c>
      <c r="G38" s="23">
        <v>0.5</v>
      </c>
      <c r="H38" s="21">
        <v>10</v>
      </c>
    </row>
    <row r="39" spans="3:8" ht="80" x14ac:dyDescent="0.2">
      <c r="C39" s="3" t="s">
        <v>56</v>
      </c>
      <c r="D39" s="21" t="s">
        <v>53</v>
      </c>
      <c r="E39" s="21" t="s">
        <v>159</v>
      </c>
      <c r="F39" s="21" t="s">
        <v>160</v>
      </c>
      <c r="G39" s="23">
        <v>0.5</v>
      </c>
      <c r="H39" s="21" t="s">
        <v>161</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75</v>
      </c>
      <c r="F46" s="24" t="s">
        <v>119</v>
      </c>
    </row>
    <row r="47" spans="3:8" x14ac:dyDescent="0.2">
      <c r="C47" s="25" t="s">
        <v>52</v>
      </c>
      <c r="D47" s="24" t="s">
        <v>38</v>
      </c>
      <c r="E47" s="24" t="s">
        <v>162</v>
      </c>
      <c r="F47" s="24" t="s">
        <v>163</v>
      </c>
    </row>
    <row r="48" spans="3:8" x14ac:dyDescent="0.2">
      <c r="C48" s="25" t="s">
        <v>52</v>
      </c>
      <c r="D48" s="24" t="s">
        <v>38</v>
      </c>
      <c r="E48" s="24" t="s">
        <v>117</v>
      </c>
      <c r="F48" s="24" t="s">
        <v>120</v>
      </c>
    </row>
    <row r="49" spans="3:6" x14ac:dyDescent="0.2">
      <c r="C49" s="25" t="s">
        <v>52</v>
      </c>
      <c r="D49" s="24" t="s">
        <v>40</v>
      </c>
      <c r="E49" s="24" t="s">
        <v>70</v>
      </c>
      <c r="F49" s="24" t="s">
        <v>164</v>
      </c>
    </row>
    <row r="50" spans="3:6" x14ac:dyDescent="0.2">
      <c r="C50" s="25" t="s">
        <v>56</v>
      </c>
      <c r="D50" s="24" t="s">
        <v>38</v>
      </c>
      <c r="E50" s="24" t="s">
        <v>114</v>
      </c>
      <c r="F50" s="24" t="s">
        <v>115</v>
      </c>
    </row>
    <row r="51" spans="3:6" x14ac:dyDescent="0.2">
      <c r="C51" s="25" t="s">
        <v>56</v>
      </c>
      <c r="D51" s="24" t="s">
        <v>40</v>
      </c>
      <c r="E51" s="24" t="s">
        <v>70</v>
      </c>
      <c r="F51" s="24" t="s">
        <v>71</v>
      </c>
    </row>
    <row r="52" spans="3:6" x14ac:dyDescent="0.2">
      <c r="C52" s="25" t="s">
        <v>56</v>
      </c>
      <c r="D52" s="24" t="s">
        <v>40</v>
      </c>
      <c r="E52" s="24" t="s">
        <v>66</v>
      </c>
      <c r="F52" s="24" t="s">
        <v>69</v>
      </c>
    </row>
    <row r="53" spans="3:6" x14ac:dyDescent="0.2">
      <c r="C53" s="25" t="s">
        <v>56</v>
      </c>
      <c r="D53" s="24" t="s">
        <v>42</v>
      </c>
      <c r="E53" s="24" t="s">
        <v>72</v>
      </c>
      <c r="F53" s="24" t="s">
        <v>74</v>
      </c>
    </row>
    <row r="54" spans="3:6" x14ac:dyDescent="0.2">
      <c r="C54" s="25"/>
      <c r="D54" s="24"/>
      <c r="E54" s="24"/>
      <c r="F54" s="24"/>
    </row>
    <row r="55" spans="3:6" x14ac:dyDescent="0.2">
      <c r="C55" s="25"/>
      <c r="D55" s="24"/>
      <c r="E55" s="24"/>
      <c r="F55" s="24"/>
    </row>
    <row r="56" spans="3:6" x14ac:dyDescent="0.2">
      <c r="C56" s="25"/>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x14ac:dyDescent="0.2">
      <c r="B71" s="7">
        <v>1</v>
      </c>
      <c r="C71" s="1">
        <v>1</v>
      </c>
      <c r="D71" s="36" t="s">
        <v>165</v>
      </c>
      <c r="E71" s="32"/>
      <c r="F71" s="32"/>
    </row>
    <row r="72" spans="2:6" x14ac:dyDescent="0.2">
      <c r="B72" s="7">
        <v>1</v>
      </c>
      <c r="C72" s="1">
        <v>2</v>
      </c>
      <c r="D72" s="36" t="s">
        <v>166</v>
      </c>
      <c r="E72" s="32"/>
      <c r="F72" s="32"/>
    </row>
    <row r="73" spans="2:6" x14ac:dyDescent="0.2">
      <c r="B73" s="7">
        <v>1</v>
      </c>
      <c r="C73" s="1">
        <v>3</v>
      </c>
      <c r="D73" s="36" t="s">
        <v>167</v>
      </c>
      <c r="E73" s="21"/>
      <c r="F73" s="21"/>
    </row>
    <row r="74" spans="2:6" x14ac:dyDescent="0.2">
      <c r="B74" s="7">
        <v>1</v>
      </c>
      <c r="C74" s="1">
        <v>4</v>
      </c>
      <c r="D74" s="36" t="s">
        <v>168</v>
      </c>
      <c r="E74" s="21"/>
      <c r="F74" s="21"/>
    </row>
    <row r="75" spans="2:6" x14ac:dyDescent="0.2">
      <c r="B75" s="7">
        <v>1</v>
      </c>
      <c r="C75" s="1">
        <v>5</v>
      </c>
      <c r="D75" s="36" t="s">
        <v>169</v>
      </c>
      <c r="E75" s="21"/>
      <c r="F75" s="21"/>
    </row>
    <row r="76" spans="2:6" x14ac:dyDescent="0.2">
      <c r="B76" s="7">
        <v>1</v>
      </c>
      <c r="C76" s="1">
        <v>6</v>
      </c>
      <c r="D76" s="36" t="s">
        <v>170</v>
      </c>
      <c r="E76" s="21"/>
      <c r="F76" s="21"/>
    </row>
    <row r="77" spans="2:6" ht="16" x14ac:dyDescent="0.2">
      <c r="B77" s="7">
        <v>1</v>
      </c>
      <c r="C77" s="1">
        <v>7</v>
      </c>
      <c r="D77" s="37" t="s">
        <v>171</v>
      </c>
      <c r="E77" s="21"/>
      <c r="F77" s="21"/>
    </row>
    <row r="78" spans="2:6" ht="16" x14ac:dyDescent="0.2">
      <c r="B78" s="7">
        <v>1</v>
      </c>
      <c r="C78" s="1">
        <v>8</v>
      </c>
      <c r="D78" s="37" t="s">
        <v>172</v>
      </c>
      <c r="E78" s="21"/>
      <c r="F78" s="21"/>
    </row>
    <row r="79" spans="2:6" ht="16" x14ac:dyDescent="0.2">
      <c r="B79" s="7">
        <v>1</v>
      </c>
      <c r="C79" s="1">
        <v>9</v>
      </c>
      <c r="D79" s="37" t="s">
        <v>173</v>
      </c>
      <c r="E79" s="21"/>
      <c r="F79" s="21"/>
    </row>
    <row r="80" spans="2:6" x14ac:dyDescent="0.2">
      <c r="B80" s="7">
        <v>1</v>
      </c>
      <c r="C80" s="1">
        <v>10</v>
      </c>
      <c r="D80" s="36" t="s">
        <v>174</v>
      </c>
      <c r="E80" s="21"/>
      <c r="F80" s="21"/>
    </row>
    <row r="81" spans="2:6" x14ac:dyDescent="0.2">
      <c r="B81" s="7">
        <v>1</v>
      </c>
      <c r="C81" s="1">
        <v>11</v>
      </c>
      <c r="D81" s="36" t="s">
        <v>175</v>
      </c>
      <c r="E81" s="21"/>
      <c r="F81" s="21"/>
    </row>
    <row r="82" spans="2:6" ht="16" x14ac:dyDescent="0.2">
      <c r="B82" s="7">
        <v>1</v>
      </c>
      <c r="C82" s="1">
        <v>12</v>
      </c>
      <c r="D82" s="36" t="s">
        <v>176</v>
      </c>
      <c r="E82" s="21" t="s">
        <v>177</v>
      </c>
      <c r="F82" s="21"/>
    </row>
    <row r="83" spans="2:6" x14ac:dyDescent="0.2">
      <c r="B83" s="7">
        <v>2</v>
      </c>
      <c r="C83" s="1">
        <v>1</v>
      </c>
      <c r="D83" s="21"/>
      <c r="E83" s="21"/>
      <c r="F83" s="21"/>
    </row>
    <row r="84" spans="2:6" x14ac:dyDescent="0.2">
      <c r="B84" s="7">
        <v>2</v>
      </c>
      <c r="C84" s="1">
        <v>2</v>
      </c>
      <c r="D84" s="21"/>
      <c r="E84" s="21"/>
      <c r="F84" s="21"/>
    </row>
    <row r="85" spans="2:6" x14ac:dyDescent="0.2">
      <c r="B85" s="7">
        <v>2</v>
      </c>
      <c r="C85" s="1">
        <v>3</v>
      </c>
      <c r="D85" s="21"/>
      <c r="E85" s="21"/>
      <c r="F85" s="21"/>
    </row>
    <row r="86" spans="2:6" x14ac:dyDescent="0.2">
      <c r="B86" s="7">
        <v>2</v>
      </c>
      <c r="C86" s="1">
        <v>4</v>
      </c>
      <c r="D86" s="21"/>
      <c r="E86" s="21"/>
      <c r="F86" s="21"/>
    </row>
    <row r="87" spans="2:6" x14ac:dyDescent="0.2">
      <c r="B87" s="7">
        <v>2</v>
      </c>
      <c r="C87" s="1">
        <v>5</v>
      </c>
      <c r="D87" s="21"/>
      <c r="E87" s="21"/>
      <c r="F87" s="21"/>
    </row>
    <row r="88" spans="2:6" x14ac:dyDescent="0.2">
      <c r="B88" s="7">
        <v>2</v>
      </c>
      <c r="C88" s="1">
        <v>6</v>
      </c>
      <c r="D88" s="21"/>
      <c r="E88" s="21"/>
      <c r="F88" s="21"/>
    </row>
    <row r="89" spans="2:6" x14ac:dyDescent="0.2">
      <c r="B89" s="7">
        <v>2</v>
      </c>
      <c r="C89" s="1">
        <v>7</v>
      </c>
      <c r="D89" s="21"/>
      <c r="E89" s="21"/>
      <c r="F89" s="21"/>
    </row>
    <row r="90" spans="2:6" x14ac:dyDescent="0.2">
      <c r="B90" s="7">
        <v>2</v>
      </c>
      <c r="C90" s="1">
        <v>8</v>
      </c>
      <c r="D90" s="21"/>
      <c r="E90" s="21"/>
      <c r="F90" s="21"/>
    </row>
    <row r="91" spans="2:6" x14ac:dyDescent="0.2">
      <c r="B91" s="7">
        <v>2</v>
      </c>
      <c r="C91" s="1">
        <v>9</v>
      </c>
      <c r="D91" s="21"/>
      <c r="E91" s="21"/>
      <c r="F91" s="21"/>
    </row>
    <row r="92" spans="2:6" x14ac:dyDescent="0.2">
      <c r="B92" s="7">
        <v>2</v>
      </c>
      <c r="C92" s="1">
        <v>10</v>
      </c>
      <c r="D92" s="21"/>
      <c r="E92" s="21"/>
      <c r="F92" s="21"/>
    </row>
    <row r="93" spans="2:6" x14ac:dyDescent="0.2">
      <c r="B93" s="7">
        <v>2</v>
      </c>
      <c r="C93" s="1">
        <v>11</v>
      </c>
      <c r="D93" s="21"/>
      <c r="E93" s="21"/>
      <c r="F93" s="21"/>
    </row>
    <row r="94" spans="2:6" x14ac:dyDescent="0.2">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topLeftCell="B1" zoomScale="85" zoomScaleNormal="85" workbookViewId="0">
      <selection activeCell="D9" sqref="D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5302SPS</v>
      </c>
      <c r="D2" s="20" t="str">
        <f>D8</f>
        <v>Football tactics and match analysis</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178</v>
      </c>
      <c r="E7" s="4"/>
      <c r="F7" s="24"/>
    </row>
    <row r="8" spans="2:6" ht="16" x14ac:dyDescent="0.2">
      <c r="B8" s="2"/>
      <c r="C8" s="3" t="s">
        <v>7</v>
      </c>
      <c r="D8" s="21" t="s">
        <v>179</v>
      </c>
      <c r="E8" s="4"/>
      <c r="F8" s="24"/>
    </row>
    <row r="9" spans="2:6" ht="16" x14ac:dyDescent="0.2">
      <c r="C9" s="3" t="s">
        <v>9</v>
      </c>
      <c r="D9" s="21"/>
      <c r="E9" s="4"/>
    </row>
    <row r="10" spans="2:6" ht="16" x14ac:dyDescent="0.2">
      <c r="C10" s="3" t="s">
        <v>10</v>
      </c>
      <c r="D10" s="21"/>
      <c r="E10" s="4"/>
      <c r="F10" t="s">
        <v>11</v>
      </c>
    </row>
    <row r="11" spans="2:6" ht="16" x14ac:dyDescent="0.2">
      <c r="C11" s="3" t="s">
        <v>12</v>
      </c>
      <c r="D11" s="21"/>
      <c r="E11" s="4"/>
      <c r="F11" s="24"/>
    </row>
    <row r="12" spans="2:6" ht="16" x14ac:dyDescent="0.2">
      <c r="C12" s="3" t="s">
        <v>14</v>
      </c>
      <c r="D12" s="21"/>
      <c r="E12" s="4"/>
      <c r="F12" s="24"/>
    </row>
    <row r="13" spans="2:6" ht="16" x14ac:dyDescent="0.2">
      <c r="C13" s="3" t="s">
        <v>17</v>
      </c>
      <c r="D13" s="21"/>
      <c r="E13" s="4"/>
      <c r="F13" s="24"/>
    </row>
    <row r="14" spans="2:6" ht="16" x14ac:dyDescent="0.2">
      <c r="C14" s="3" t="s">
        <v>20</v>
      </c>
      <c r="D14" s="21"/>
      <c r="E14" s="4"/>
    </row>
    <row r="15" spans="2:6" x14ac:dyDescent="0.2">
      <c r="C15" s="3"/>
      <c r="D15" s="4"/>
      <c r="E15" s="4"/>
      <c r="F15" t="s">
        <v>22</v>
      </c>
    </row>
    <row r="16" spans="2:6" x14ac:dyDescent="0.2">
      <c r="C16" s="3"/>
      <c r="D16" s="4"/>
      <c r="E16" s="4"/>
      <c r="F16" s="24"/>
    </row>
    <row r="17" spans="3:6" ht="20" x14ac:dyDescent="0.2">
      <c r="C17" s="5" t="s">
        <v>24</v>
      </c>
      <c r="D17" s="4"/>
      <c r="E17" s="4"/>
      <c r="F17" s="24"/>
    </row>
    <row r="18" spans="3:6" ht="16" x14ac:dyDescent="0.2">
      <c r="C18" s="3" t="s">
        <v>25</v>
      </c>
      <c r="D18" s="1" t="s">
        <v>24</v>
      </c>
      <c r="E18" s="4"/>
      <c r="F18" s="24"/>
    </row>
    <row r="19" spans="3:6" ht="16" x14ac:dyDescent="0.2">
      <c r="C19" s="3" t="s">
        <v>26</v>
      </c>
      <c r="D19" s="22"/>
      <c r="E19" s="4"/>
      <c r="F19" s="24"/>
    </row>
    <row r="20" spans="3:6" ht="16" x14ac:dyDescent="0.2">
      <c r="C20" s="3" t="s">
        <v>27</v>
      </c>
      <c r="D20" s="22"/>
      <c r="E20" s="4"/>
      <c r="F20" s="24"/>
    </row>
    <row r="21" spans="3:6" ht="16" x14ac:dyDescent="0.2">
      <c r="C21" s="3" t="s">
        <v>28</v>
      </c>
      <c r="D21" s="22"/>
      <c r="E21" s="4"/>
    </row>
    <row r="22" spans="3:6" ht="16" x14ac:dyDescent="0.2">
      <c r="C22" s="3" t="s">
        <v>29</v>
      </c>
      <c r="D22" s="22"/>
      <c r="E22" s="4"/>
      <c r="F22" t="s">
        <v>30</v>
      </c>
    </row>
    <row r="23" spans="3:6" ht="16" x14ac:dyDescent="0.2">
      <c r="C23" s="3" t="s">
        <v>31</v>
      </c>
      <c r="D23" s="22"/>
      <c r="E23" s="4"/>
      <c r="F23" s="24"/>
    </row>
    <row r="24" spans="3:6" ht="16" x14ac:dyDescent="0.2">
      <c r="C24" s="3" t="s">
        <v>33</v>
      </c>
      <c r="D24" s="1">
        <f>SUM(D19:D23)</f>
        <v>0</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16" x14ac:dyDescent="0.2">
      <c r="C29" s="3" t="s">
        <v>38</v>
      </c>
      <c r="D29" s="21"/>
      <c r="E29" s="4"/>
      <c r="F29" s="24"/>
    </row>
    <row r="30" spans="3:6" ht="16" x14ac:dyDescent="0.2">
      <c r="C30" s="3" t="s">
        <v>40</v>
      </c>
      <c r="D30" s="21"/>
      <c r="E30" s="4"/>
      <c r="F30" s="24"/>
    </row>
    <row r="31" spans="3:6" ht="16" x14ac:dyDescent="0.2">
      <c r="C31" s="3" t="s">
        <v>42</v>
      </c>
      <c r="D31" s="21"/>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16" x14ac:dyDescent="0.2">
      <c r="C38" s="3" t="s">
        <v>52</v>
      </c>
      <c r="D38" s="21" t="s">
        <v>53</v>
      </c>
      <c r="E38" s="21" t="s">
        <v>109</v>
      </c>
      <c r="F38" s="21" t="s">
        <v>180</v>
      </c>
      <c r="G38" s="23">
        <v>0.5</v>
      </c>
      <c r="H38" s="21">
        <v>6</v>
      </c>
    </row>
    <row r="39" spans="3:8" ht="16" x14ac:dyDescent="0.2">
      <c r="C39" s="3" t="s">
        <v>56</v>
      </c>
      <c r="D39" s="21"/>
      <c r="E39" s="21"/>
      <c r="F39" s="21"/>
      <c r="G39" s="23">
        <v>0.5</v>
      </c>
      <c r="H39" s="21">
        <v>12</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114</v>
      </c>
      <c r="F46" s="24" t="s">
        <v>181</v>
      </c>
    </row>
    <row r="47" spans="3:8" x14ac:dyDescent="0.2">
      <c r="C47" s="25" t="s">
        <v>52</v>
      </c>
      <c r="D47" s="24" t="s">
        <v>38</v>
      </c>
      <c r="E47" s="24" t="s">
        <v>114</v>
      </c>
      <c r="F47" s="24" t="s">
        <v>116</v>
      </c>
    </row>
    <row r="48" spans="3:8" x14ac:dyDescent="0.2">
      <c r="C48" s="25" t="s">
        <v>52</v>
      </c>
      <c r="D48" s="24" t="s">
        <v>38</v>
      </c>
      <c r="E48" s="24" t="s">
        <v>75</v>
      </c>
      <c r="F48" s="24" t="s">
        <v>182</v>
      </c>
    </row>
    <row r="49" spans="3:6" x14ac:dyDescent="0.2">
      <c r="C49" s="25" t="s">
        <v>56</v>
      </c>
      <c r="D49" s="24" t="s">
        <v>40</v>
      </c>
      <c r="E49" s="24" t="s">
        <v>66</v>
      </c>
      <c r="F49" s="24" t="s">
        <v>67</v>
      </c>
    </row>
    <row r="50" spans="3:6" x14ac:dyDescent="0.2">
      <c r="C50" s="25" t="s">
        <v>56</v>
      </c>
      <c r="D50" s="24" t="s">
        <v>40</v>
      </c>
      <c r="E50" s="24" t="s">
        <v>183</v>
      </c>
      <c r="F50" s="24" t="s">
        <v>184</v>
      </c>
    </row>
    <row r="51" spans="3:6" x14ac:dyDescent="0.2">
      <c r="C51" s="25" t="s">
        <v>56</v>
      </c>
      <c r="D51" s="24"/>
      <c r="E51" s="24"/>
      <c r="F51" s="24"/>
    </row>
    <row r="52" spans="3:6" x14ac:dyDescent="0.2">
      <c r="C52" s="25" t="s">
        <v>61</v>
      </c>
      <c r="D52" s="24"/>
      <c r="E52" s="24"/>
      <c r="F52" s="24"/>
    </row>
    <row r="53" spans="3:6" x14ac:dyDescent="0.2">
      <c r="C53" s="25" t="s">
        <v>61</v>
      </c>
      <c r="D53" s="24"/>
      <c r="E53" s="24"/>
      <c r="F53" s="24"/>
    </row>
    <row r="54" spans="3:6" x14ac:dyDescent="0.2">
      <c r="C54" s="25" t="s">
        <v>61</v>
      </c>
      <c r="D54" s="24"/>
      <c r="E54" s="24"/>
      <c r="F54" s="24"/>
    </row>
    <row r="55" spans="3:6" x14ac:dyDescent="0.2">
      <c r="C55" s="25" t="s">
        <v>62</v>
      </c>
      <c r="D55" s="24"/>
      <c r="E55" s="24"/>
      <c r="F55" s="24"/>
    </row>
    <row r="56" spans="3:6" x14ac:dyDescent="0.2">
      <c r="C56" s="25" t="s">
        <v>62</v>
      </c>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ht="16" x14ac:dyDescent="0.2">
      <c r="B71" s="7">
        <v>1</v>
      </c>
      <c r="C71" s="1">
        <v>1</v>
      </c>
      <c r="D71" s="21" t="s">
        <v>185</v>
      </c>
      <c r="E71" s="21"/>
      <c r="F71" s="21"/>
    </row>
    <row r="72" spans="2:6" ht="16" x14ac:dyDescent="0.2">
      <c r="B72" s="7">
        <v>1</v>
      </c>
      <c r="C72" s="1">
        <v>2</v>
      </c>
      <c r="D72" s="21" t="s">
        <v>186</v>
      </c>
      <c r="E72" s="21" t="s">
        <v>187</v>
      </c>
      <c r="F72" s="21" t="s">
        <v>27</v>
      </c>
    </row>
    <row r="73" spans="2:6" ht="16" x14ac:dyDescent="0.2">
      <c r="B73" s="7">
        <v>1</v>
      </c>
      <c r="C73" s="1">
        <v>3</v>
      </c>
      <c r="D73" s="21" t="s">
        <v>188</v>
      </c>
      <c r="E73" s="21"/>
      <c r="F73" s="21"/>
    </row>
    <row r="74" spans="2:6" ht="16" x14ac:dyDescent="0.2">
      <c r="B74" s="7">
        <v>1</v>
      </c>
      <c r="C74" s="1">
        <v>4</v>
      </c>
      <c r="D74" s="21" t="s">
        <v>189</v>
      </c>
      <c r="E74" s="21" t="s">
        <v>190</v>
      </c>
      <c r="F74" s="21" t="s">
        <v>27</v>
      </c>
    </row>
    <row r="75" spans="2:6" ht="16" x14ac:dyDescent="0.2">
      <c r="B75" s="7">
        <v>1</v>
      </c>
      <c r="C75" s="1">
        <v>5</v>
      </c>
      <c r="D75" s="21" t="s">
        <v>191</v>
      </c>
      <c r="E75" s="21"/>
      <c r="F75" s="21"/>
    </row>
    <row r="76" spans="2:6" ht="16" x14ac:dyDescent="0.2">
      <c r="B76" s="7">
        <v>1</v>
      </c>
      <c r="C76" s="1">
        <v>6</v>
      </c>
      <c r="D76" s="21" t="s">
        <v>192</v>
      </c>
      <c r="E76" s="21"/>
      <c r="F76" s="21" t="s">
        <v>27</v>
      </c>
    </row>
    <row r="77" spans="2:6" ht="16" x14ac:dyDescent="0.2">
      <c r="B77" s="7">
        <v>1</v>
      </c>
      <c r="C77" s="1">
        <v>7</v>
      </c>
      <c r="D77" s="21" t="s">
        <v>193</v>
      </c>
      <c r="E77" s="21"/>
      <c r="F77" s="21"/>
    </row>
    <row r="78" spans="2:6" ht="16" x14ac:dyDescent="0.2">
      <c r="B78" s="7">
        <v>1</v>
      </c>
      <c r="C78" s="1">
        <v>8</v>
      </c>
      <c r="D78" s="21" t="s">
        <v>194</v>
      </c>
      <c r="E78" s="21"/>
      <c r="F78" s="21" t="s">
        <v>27</v>
      </c>
    </row>
    <row r="79" spans="2:6" ht="16" x14ac:dyDescent="0.2">
      <c r="B79" s="7">
        <v>1</v>
      </c>
      <c r="C79" s="1">
        <v>9</v>
      </c>
      <c r="D79" s="21" t="s">
        <v>195</v>
      </c>
      <c r="E79" s="21"/>
      <c r="F79" s="21"/>
    </row>
    <row r="80" spans="2:6" ht="16" x14ac:dyDescent="0.2">
      <c r="B80" s="7">
        <v>1</v>
      </c>
      <c r="C80" s="1">
        <v>10</v>
      </c>
      <c r="D80" s="21" t="s">
        <v>196</v>
      </c>
      <c r="E80" s="21" t="s">
        <v>197</v>
      </c>
      <c r="F80" s="21" t="s">
        <v>27</v>
      </c>
    </row>
    <row r="81" spans="2:6" ht="16" x14ac:dyDescent="0.2">
      <c r="B81" s="7">
        <v>1</v>
      </c>
      <c r="C81" s="1">
        <v>11</v>
      </c>
      <c r="D81" s="21" t="s">
        <v>198</v>
      </c>
      <c r="E81" s="21"/>
      <c r="F81" s="21"/>
    </row>
    <row r="82" spans="2:6" ht="16" x14ac:dyDescent="0.2">
      <c r="B82" s="7">
        <v>1</v>
      </c>
      <c r="C82" s="1">
        <v>12</v>
      </c>
      <c r="D82" s="21" t="s">
        <v>199</v>
      </c>
      <c r="E82" s="21"/>
      <c r="F82" s="21" t="s">
        <v>27</v>
      </c>
    </row>
    <row r="83" spans="2:6" x14ac:dyDescent="0.2">
      <c r="B83" s="7">
        <v>2</v>
      </c>
      <c r="C83" s="1">
        <v>1</v>
      </c>
      <c r="D83" s="21"/>
      <c r="E83" s="21"/>
      <c r="F83" s="21"/>
    </row>
    <row r="84" spans="2:6" x14ac:dyDescent="0.2">
      <c r="B84" s="7">
        <v>2</v>
      </c>
      <c r="C84" s="1">
        <v>2</v>
      </c>
      <c r="D84" s="21"/>
      <c r="E84" s="21"/>
      <c r="F84" s="21"/>
    </row>
    <row r="85" spans="2:6" x14ac:dyDescent="0.2">
      <c r="B85" s="7">
        <v>2</v>
      </c>
      <c r="C85" s="1">
        <v>3</v>
      </c>
      <c r="D85" s="21"/>
      <c r="E85" s="21"/>
      <c r="F85" s="21"/>
    </row>
    <row r="86" spans="2:6" x14ac:dyDescent="0.2">
      <c r="B86" s="7">
        <v>2</v>
      </c>
      <c r="C86" s="1">
        <v>4</v>
      </c>
      <c r="D86" s="21"/>
      <c r="E86" s="21"/>
      <c r="F86" s="21"/>
    </row>
    <row r="87" spans="2:6" x14ac:dyDescent="0.2">
      <c r="B87" s="7">
        <v>2</v>
      </c>
      <c r="C87" s="1">
        <v>5</v>
      </c>
      <c r="D87" s="21"/>
      <c r="E87" s="21"/>
      <c r="F87" s="21"/>
    </row>
    <row r="88" spans="2:6" x14ac:dyDescent="0.2">
      <c r="B88" s="7">
        <v>2</v>
      </c>
      <c r="C88" s="1">
        <v>6</v>
      </c>
      <c r="D88" s="21"/>
      <c r="E88" s="21"/>
      <c r="F88" s="21"/>
    </row>
    <row r="89" spans="2:6" x14ac:dyDescent="0.2">
      <c r="B89" s="7">
        <v>2</v>
      </c>
      <c r="C89" s="1">
        <v>7</v>
      </c>
      <c r="D89" s="21"/>
      <c r="E89" s="21"/>
      <c r="F89" s="21"/>
    </row>
    <row r="90" spans="2:6" x14ac:dyDescent="0.2">
      <c r="B90" s="7">
        <v>2</v>
      </c>
      <c r="C90" s="1">
        <v>8</v>
      </c>
      <c r="D90" s="21"/>
      <c r="E90" s="21"/>
      <c r="F90" s="21"/>
    </row>
    <row r="91" spans="2:6" x14ac:dyDescent="0.2">
      <c r="B91" s="7">
        <v>2</v>
      </c>
      <c r="C91" s="1">
        <v>9</v>
      </c>
      <c r="D91" s="21"/>
      <c r="E91" s="21"/>
      <c r="F91" s="21"/>
    </row>
    <row r="92" spans="2:6" x14ac:dyDescent="0.2">
      <c r="B92" s="7">
        <v>2</v>
      </c>
      <c r="C92" s="1">
        <v>10</v>
      </c>
      <c r="D92" s="21"/>
      <c r="E92" s="21"/>
      <c r="F92" s="21"/>
    </row>
    <row r="93" spans="2:6" x14ac:dyDescent="0.2">
      <c r="B93" s="7">
        <v>2</v>
      </c>
      <c r="C93" s="1">
        <v>11</v>
      </c>
      <c r="D93" s="21"/>
      <c r="E93" s="21"/>
      <c r="F93" s="21"/>
    </row>
    <row r="94" spans="2:6" x14ac:dyDescent="0.2">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94"/>
  <sheetViews>
    <sheetView showGridLines="0" zoomScale="70" zoomScaleNormal="70" workbookViewId="0">
      <selection activeCell="F16" sqref="F16"/>
    </sheetView>
  </sheetViews>
  <sheetFormatPr baseColWidth="10" defaultColWidth="8.83203125" defaultRowHeight="15" x14ac:dyDescent="0.2"/>
  <cols>
    <col min="3" max="3" width="33.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6301SPS</v>
      </c>
      <c r="D2" s="20" t="str">
        <f>D8</f>
        <v>Football Performance and Technology</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32" x14ac:dyDescent="0.2">
      <c r="B7" s="2"/>
      <c r="C7" s="3" t="s">
        <v>4</v>
      </c>
      <c r="D7" s="21" t="s">
        <v>200</v>
      </c>
      <c r="E7" s="4"/>
      <c r="F7" s="29" t="s">
        <v>201</v>
      </c>
    </row>
    <row r="8" spans="2:6" ht="64" x14ac:dyDescent="0.2">
      <c r="B8" s="2"/>
      <c r="C8" s="3" t="s">
        <v>7</v>
      </c>
      <c r="D8" s="21" t="s">
        <v>202</v>
      </c>
      <c r="E8" s="4"/>
      <c r="F8" s="29" t="s">
        <v>203</v>
      </c>
    </row>
    <row r="9" spans="2:6" ht="16" x14ac:dyDescent="0.2">
      <c r="C9" s="3" t="s">
        <v>9</v>
      </c>
      <c r="D9" s="21">
        <v>20</v>
      </c>
      <c r="E9" s="4"/>
    </row>
    <row r="10" spans="2:6" ht="16" x14ac:dyDescent="0.2">
      <c r="C10" s="3" t="s">
        <v>10</v>
      </c>
      <c r="D10" s="21">
        <v>1</v>
      </c>
      <c r="E10" s="4"/>
      <c r="F10" t="s">
        <v>11</v>
      </c>
    </row>
    <row r="11" spans="2:6" ht="16" x14ac:dyDescent="0.2">
      <c r="C11" s="3" t="s">
        <v>12</v>
      </c>
      <c r="D11" s="21">
        <v>6</v>
      </c>
      <c r="E11" s="4"/>
      <c r="F11" s="24" t="s">
        <v>204</v>
      </c>
    </row>
    <row r="12" spans="2:6" ht="16" x14ac:dyDescent="0.2">
      <c r="C12" s="3" t="s">
        <v>14</v>
      </c>
      <c r="D12" s="21" t="s">
        <v>205</v>
      </c>
      <c r="E12" s="4"/>
      <c r="F12" s="24" t="s">
        <v>206</v>
      </c>
    </row>
    <row r="13" spans="2:6" ht="48" x14ac:dyDescent="0.2">
      <c r="C13" s="3" t="s">
        <v>17</v>
      </c>
      <c r="D13" s="21" t="s">
        <v>18</v>
      </c>
      <c r="E13" s="4"/>
      <c r="F13" s="29" t="s">
        <v>207</v>
      </c>
    </row>
    <row r="14" spans="2:6" ht="16" x14ac:dyDescent="0.2">
      <c r="C14" s="3" t="s">
        <v>20</v>
      </c>
      <c r="D14" s="21" t="s">
        <v>21</v>
      </c>
      <c r="E14" s="4"/>
    </row>
    <row r="15" spans="2:6" x14ac:dyDescent="0.2">
      <c r="C15" s="3"/>
      <c r="D15" s="4"/>
      <c r="E15" s="4"/>
      <c r="F15" t="s">
        <v>22</v>
      </c>
    </row>
    <row r="16" spans="2:6" ht="128" x14ac:dyDescent="0.2">
      <c r="C16" s="3"/>
      <c r="D16" s="4"/>
      <c r="E16" s="4"/>
      <c r="F16" s="29" t="s">
        <v>208</v>
      </c>
    </row>
    <row r="17" spans="3:6" ht="20" x14ac:dyDescent="0.2">
      <c r="C17" s="5" t="s">
        <v>24</v>
      </c>
      <c r="D17" s="4"/>
      <c r="E17" s="4"/>
      <c r="F17" s="24"/>
    </row>
    <row r="18" spans="3:6" ht="16" x14ac:dyDescent="0.2">
      <c r="C18" s="3" t="s">
        <v>25</v>
      </c>
      <c r="D18" s="1" t="s">
        <v>24</v>
      </c>
      <c r="E18" s="4"/>
      <c r="F18" s="24"/>
    </row>
    <row r="19" spans="3:6" ht="16" x14ac:dyDescent="0.2">
      <c r="C19" s="3" t="s">
        <v>26</v>
      </c>
      <c r="D19" s="22">
        <v>22</v>
      </c>
      <c r="E19" s="4"/>
      <c r="F19" s="24"/>
    </row>
    <row r="20" spans="3:6" ht="16" x14ac:dyDescent="0.2">
      <c r="C20" s="3" t="s">
        <v>27</v>
      </c>
      <c r="D20" s="22"/>
      <c r="E20" s="4"/>
      <c r="F20" s="24"/>
    </row>
    <row r="21" spans="3:6" ht="16" x14ac:dyDescent="0.2">
      <c r="C21" s="3" t="s">
        <v>28</v>
      </c>
      <c r="D21" s="22">
        <v>16</v>
      </c>
      <c r="E21" s="4"/>
    </row>
    <row r="22" spans="3:6" ht="16" x14ac:dyDescent="0.2">
      <c r="C22" s="3" t="s">
        <v>29</v>
      </c>
      <c r="D22" s="22">
        <v>8</v>
      </c>
      <c r="E22" s="4"/>
      <c r="F22" t="s">
        <v>30</v>
      </c>
    </row>
    <row r="23" spans="3:6" ht="16" x14ac:dyDescent="0.2">
      <c r="C23" s="3" t="s">
        <v>31</v>
      </c>
      <c r="D23" s="22"/>
      <c r="E23" s="4"/>
      <c r="F23" s="24" t="s">
        <v>153</v>
      </c>
    </row>
    <row r="24" spans="3:6" ht="16" x14ac:dyDescent="0.2">
      <c r="C24" s="3" t="s">
        <v>33</v>
      </c>
      <c r="D24" s="1">
        <f>SUM(D19:D23)</f>
        <v>46</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32" x14ac:dyDescent="0.2">
      <c r="C29" s="3" t="s">
        <v>38</v>
      </c>
      <c r="D29" s="21" t="s">
        <v>209</v>
      </c>
      <c r="E29" s="4"/>
      <c r="F29" s="24"/>
    </row>
    <row r="30" spans="3:6" ht="32" x14ac:dyDescent="0.2">
      <c r="C30" s="3" t="s">
        <v>40</v>
      </c>
      <c r="D30" s="21" t="s">
        <v>210</v>
      </c>
      <c r="E30" s="4"/>
      <c r="F30" s="24"/>
    </row>
    <row r="31" spans="3:6" ht="32" x14ac:dyDescent="0.2">
      <c r="C31" s="3" t="s">
        <v>42</v>
      </c>
      <c r="D31" s="21" t="s">
        <v>211</v>
      </c>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16" x14ac:dyDescent="0.2">
      <c r="C38" s="3" t="s">
        <v>52</v>
      </c>
      <c r="D38" s="21" t="s">
        <v>212</v>
      </c>
      <c r="E38" s="21" t="s">
        <v>213</v>
      </c>
      <c r="F38" s="21" t="s">
        <v>214</v>
      </c>
      <c r="G38" s="23">
        <v>0.5</v>
      </c>
      <c r="H38" s="21">
        <v>7</v>
      </c>
    </row>
    <row r="39" spans="3:8" ht="16" x14ac:dyDescent="0.2">
      <c r="C39" s="3" t="s">
        <v>56</v>
      </c>
      <c r="D39" s="21" t="s">
        <v>53</v>
      </c>
      <c r="E39" s="21" t="s">
        <v>54</v>
      </c>
      <c r="F39" s="21" t="s">
        <v>215</v>
      </c>
      <c r="G39" s="23">
        <v>0.5</v>
      </c>
      <c r="H39" s="21">
        <v>12</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114</v>
      </c>
      <c r="F46" s="24" t="s">
        <v>116</v>
      </c>
    </row>
    <row r="47" spans="3:8" x14ac:dyDescent="0.2">
      <c r="C47" s="25" t="s">
        <v>52</v>
      </c>
      <c r="D47" s="24" t="s">
        <v>38</v>
      </c>
      <c r="E47" s="24" t="s">
        <v>114</v>
      </c>
      <c r="F47" s="24" t="s">
        <v>216</v>
      </c>
    </row>
    <row r="48" spans="3:8" x14ac:dyDescent="0.2">
      <c r="C48" s="25" t="s">
        <v>52</v>
      </c>
      <c r="D48" s="24" t="s">
        <v>38</v>
      </c>
      <c r="E48" s="24" t="s">
        <v>183</v>
      </c>
      <c r="F48" s="24" t="s">
        <v>217</v>
      </c>
    </row>
    <row r="49" spans="3:6" x14ac:dyDescent="0.2">
      <c r="C49" s="25" t="s">
        <v>52</v>
      </c>
      <c r="D49" s="24" t="s">
        <v>42</v>
      </c>
      <c r="E49" s="24" t="s">
        <v>183</v>
      </c>
      <c r="F49" s="24" t="s">
        <v>198</v>
      </c>
    </row>
    <row r="50" spans="3:6" x14ac:dyDescent="0.2">
      <c r="C50" s="25" t="s">
        <v>52</v>
      </c>
      <c r="D50" s="24" t="s">
        <v>42</v>
      </c>
      <c r="E50" s="24" t="s">
        <v>183</v>
      </c>
      <c r="F50" s="24" t="s">
        <v>184</v>
      </c>
    </row>
    <row r="51" spans="3:6" x14ac:dyDescent="0.2">
      <c r="C51" s="25" t="s">
        <v>52</v>
      </c>
      <c r="D51" s="24" t="s">
        <v>42</v>
      </c>
      <c r="E51" s="24" t="s">
        <v>66</v>
      </c>
      <c r="F51" s="24" t="s">
        <v>218</v>
      </c>
    </row>
    <row r="52" spans="3:6" x14ac:dyDescent="0.2">
      <c r="C52" s="25" t="s">
        <v>56</v>
      </c>
      <c r="D52" s="24" t="s">
        <v>40</v>
      </c>
      <c r="E52" s="24" t="s">
        <v>183</v>
      </c>
      <c r="F52" s="24" t="s">
        <v>198</v>
      </c>
    </row>
    <row r="53" spans="3:6" x14ac:dyDescent="0.2">
      <c r="C53" s="25" t="s">
        <v>56</v>
      </c>
      <c r="D53" s="24" t="s">
        <v>42</v>
      </c>
      <c r="E53" s="24" t="s">
        <v>66</v>
      </c>
      <c r="F53" s="24" t="s">
        <v>67</v>
      </c>
    </row>
    <row r="54" spans="3:6" x14ac:dyDescent="0.2">
      <c r="C54" s="25" t="s">
        <v>61</v>
      </c>
      <c r="D54" s="24" t="s">
        <v>40</v>
      </c>
      <c r="E54" s="24" t="s">
        <v>114</v>
      </c>
      <c r="F54" s="24" t="s">
        <v>181</v>
      </c>
    </row>
    <row r="55" spans="3:6" x14ac:dyDescent="0.2">
      <c r="C55" s="25" t="s">
        <v>62</v>
      </c>
      <c r="D55" s="24"/>
      <c r="E55" s="24"/>
      <c r="F55" s="24"/>
    </row>
    <row r="56" spans="3:6" x14ac:dyDescent="0.2">
      <c r="C56" s="25" t="s">
        <v>62</v>
      </c>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ht="16" x14ac:dyDescent="0.2">
      <c r="B71" s="7">
        <v>1</v>
      </c>
      <c r="C71" s="1">
        <v>1</v>
      </c>
      <c r="D71" s="21" t="s">
        <v>219</v>
      </c>
      <c r="E71" s="21" t="s">
        <v>220</v>
      </c>
      <c r="F71" s="21"/>
    </row>
    <row r="72" spans="2:6" ht="16" x14ac:dyDescent="0.2">
      <c r="B72" s="7">
        <v>1</v>
      </c>
      <c r="C72" s="1">
        <v>2</v>
      </c>
      <c r="D72" s="21" t="s">
        <v>221</v>
      </c>
      <c r="E72" s="21" t="s">
        <v>222</v>
      </c>
      <c r="F72" s="21" t="s">
        <v>223</v>
      </c>
    </row>
    <row r="73" spans="2:6" ht="16" x14ac:dyDescent="0.2">
      <c r="B73" s="7">
        <v>1</v>
      </c>
      <c r="C73" s="1">
        <v>3</v>
      </c>
      <c r="D73" s="21" t="s">
        <v>224</v>
      </c>
      <c r="E73" t="s">
        <v>225</v>
      </c>
      <c r="F73" s="21"/>
    </row>
    <row r="74" spans="2:6" ht="16" x14ac:dyDescent="0.2">
      <c r="B74" s="7">
        <v>1</v>
      </c>
      <c r="C74" s="1">
        <v>4</v>
      </c>
      <c r="D74" s="21" t="s">
        <v>226</v>
      </c>
      <c r="E74" s="21" t="s">
        <v>227</v>
      </c>
      <c r="F74" s="21"/>
    </row>
    <row r="75" spans="2:6" ht="16" x14ac:dyDescent="0.2">
      <c r="B75" s="7">
        <v>1</v>
      </c>
      <c r="C75" s="1">
        <v>5</v>
      </c>
      <c r="D75" s="21" t="s">
        <v>228</v>
      </c>
      <c r="E75" s="21" t="s">
        <v>229</v>
      </c>
      <c r="F75" s="21" t="s">
        <v>230</v>
      </c>
    </row>
    <row r="76" spans="2:6" ht="16" x14ac:dyDescent="0.2">
      <c r="B76" s="7">
        <v>1</v>
      </c>
      <c r="C76" s="1">
        <v>6</v>
      </c>
      <c r="D76" s="21" t="s">
        <v>231</v>
      </c>
      <c r="E76" s="21"/>
      <c r="F76" s="21"/>
    </row>
    <row r="77" spans="2:6" ht="16" x14ac:dyDescent="0.2">
      <c r="B77" s="7">
        <v>1</v>
      </c>
      <c r="C77" s="1">
        <v>7</v>
      </c>
      <c r="D77" s="21" t="s">
        <v>232</v>
      </c>
      <c r="E77" s="21"/>
      <c r="F77" s="21"/>
    </row>
    <row r="78" spans="2:6" ht="16" x14ac:dyDescent="0.2">
      <c r="B78" s="7">
        <v>1</v>
      </c>
      <c r="C78" s="1">
        <v>8</v>
      </c>
      <c r="D78" s="21" t="s">
        <v>233</v>
      </c>
      <c r="E78" s="21" t="s">
        <v>234</v>
      </c>
      <c r="F78" s="21" t="s">
        <v>235</v>
      </c>
    </row>
    <row r="79" spans="2:6" ht="16" x14ac:dyDescent="0.2">
      <c r="B79" s="7">
        <v>1</v>
      </c>
      <c r="C79" s="1">
        <v>9</v>
      </c>
      <c r="D79" s="21" t="s">
        <v>236</v>
      </c>
      <c r="E79" s="21" t="s">
        <v>237</v>
      </c>
      <c r="F79" s="21"/>
    </row>
    <row r="80" spans="2:6" ht="16" x14ac:dyDescent="0.2">
      <c r="B80" s="7">
        <v>1</v>
      </c>
      <c r="C80" s="1">
        <v>10</v>
      </c>
      <c r="D80" s="21" t="s">
        <v>238</v>
      </c>
      <c r="E80" s="21" t="s">
        <v>237</v>
      </c>
      <c r="F80" s="21" t="s">
        <v>239</v>
      </c>
    </row>
    <row r="81" spans="2:6" ht="16" x14ac:dyDescent="0.2">
      <c r="B81" s="7">
        <v>1</v>
      </c>
      <c r="C81" s="1">
        <v>11</v>
      </c>
      <c r="D81" s="21" t="s">
        <v>240</v>
      </c>
      <c r="E81" s="21"/>
      <c r="F81" s="21"/>
    </row>
    <row r="82" spans="2:6" ht="16" x14ac:dyDescent="0.2">
      <c r="B82" s="7">
        <v>1</v>
      </c>
      <c r="C82" s="1">
        <v>12</v>
      </c>
      <c r="D82" s="21" t="s">
        <v>241</v>
      </c>
      <c r="E82" s="21" t="s">
        <v>242</v>
      </c>
      <c r="F82" s="21"/>
    </row>
    <row r="83" spans="2:6" x14ac:dyDescent="0.2">
      <c r="B83" s="7">
        <v>2</v>
      </c>
      <c r="C83" s="1">
        <v>1</v>
      </c>
      <c r="D83" s="21"/>
      <c r="E83" s="21"/>
      <c r="F83" s="21"/>
    </row>
    <row r="84" spans="2:6" x14ac:dyDescent="0.2">
      <c r="B84" s="7">
        <v>2</v>
      </c>
      <c r="C84" s="1">
        <v>2</v>
      </c>
      <c r="D84" s="21"/>
      <c r="E84" s="21"/>
      <c r="F84" s="21"/>
    </row>
    <row r="85" spans="2:6" x14ac:dyDescent="0.2">
      <c r="B85" s="7">
        <v>2</v>
      </c>
      <c r="C85" s="1">
        <v>3</v>
      </c>
      <c r="D85" s="21"/>
      <c r="E85" s="21"/>
      <c r="F85" s="21"/>
    </row>
    <row r="86" spans="2:6" x14ac:dyDescent="0.2">
      <c r="B86" s="7">
        <v>2</v>
      </c>
      <c r="C86" s="1">
        <v>4</v>
      </c>
      <c r="D86" s="21"/>
      <c r="E86" s="21"/>
      <c r="F86" s="21"/>
    </row>
    <row r="87" spans="2:6" x14ac:dyDescent="0.2">
      <c r="B87" s="7">
        <v>2</v>
      </c>
      <c r="C87" s="1">
        <v>5</v>
      </c>
      <c r="D87" s="21"/>
      <c r="E87" s="21"/>
      <c r="F87" s="21"/>
    </row>
    <row r="88" spans="2:6" x14ac:dyDescent="0.2">
      <c r="B88" s="7">
        <v>2</v>
      </c>
      <c r="C88" s="1">
        <v>6</v>
      </c>
      <c r="D88" s="21"/>
      <c r="E88" s="21"/>
      <c r="F88" s="21"/>
    </row>
    <row r="89" spans="2:6" x14ac:dyDescent="0.2">
      <c r="B89" s="7">
        <v>2</v>
      </c>
      <c r="C89" s="1">
        <v>7</v>
      </c>
      <c r="D89" s="21"/>
      <c r="E89" s="21"/>
      <c r="F89" s="21"/>
    </row>
    <row r="90" spans="2:6" x14ac:dyDescent="0.2">
      <c r="B90" s="7">
        <v>2</v>
      </c>
      <c r="C90" s="1">
        <v>8</v>
      </c>
      <c r="D90" s="21"/>
      <c r="E90" s="21"/>
      <c r="F90" s="21"/>
    </row>
    <row r="91" spans="2:6" x14ac:dyDescent="0.2">
      <c r="B91" s="7">
        <v>2</v>
      </c>
      <c r="C91" s="1">
        <v>9</v>
      </c>
      <c r="D91" s="21"/>
      <c r="E91" s="21"/>
      <c r="F91" s="21"/>
    </row>
    <row r="92" spans="2:6" x14ac:dyDescent="0.2">
      <c r="B92" s="7">
        <v>2</v>
      </c>
      <c r="C92" s="1">
        <v>10</v>
      </c>
      <c r="D92" s="21"/>
      <c r="E92" s="21"/>
      <c r="F92" s="21"/>
    </row>
    <row r="93" spans="2:6" x14ac:dyDescent="0.2">
      <c r="B93" s="7">
        <v>2</v>
      </c>
      <c r="C93" s="1">
        <v>11</v>
      </c>
      <c r="D93" s="21"/>
      <c r="E93" s="21"/>
      <c r="F93" s="21"/>
    </row>
    <row r="94" spans="2:6" x14ac:dyDescent="0.2">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94"/>
  <sheetViews>
    <sheetView showGridLines="0" zoomScale="85" zoomScaleNormal="85" workbookViewId="0">
      <selection activeCell="D9" sqref="D9"/>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t="str">
        <f>D7</f>
        <v>6302SPS</v>
      </c>
      <c r="D2" s="20" t="str">
        <f>D8</f>
        <v>Physical Performance in Football</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16" x14ac:dyDescent="0.2">
      <c r="B7" s="2"/>
      <c r="C7" s="3" t="s">
        <v>4</v>
      </c>
      <c r="D7" s="21" t="s">
        <v>243</v>
      </c>
      <c r="E7" s="4"/>
      <c r="F7" s="24"/>
    </row>
    <row r="8" spans="2:6" ht="64" x14ac:dyDescent="0.2">
      <c r="B8" s="2"/>
      <c r="C8" s="3" t="s">
        <v>7</v>
      </c>
      <c r="D8" s="21" t="s">
        <v>244</v>
      </c>
      <c r="E8" s="4"/>
      <c r="F8" s="29" t="s">
        <v>245</v>
      </c>
    </row>
    <row r="9" spans="2:6" ht="16" x14ac:dyDescent="0.2">
      <c r="C9" s="3" t="s">
        <v>9</v>
      </c>
      <c r="D9" s="21">
        <v>20</v>
      </c>
      <c r="E9" s="4"/>
    </row>
    <row r="10" spans="2:6" ht="16" x14ac:dyDescent="0.2">
      <c r="C10" s="3" t="s">
        <v>10</v>
      </c>
      <c r="D10" s="21">
        <v>2</v>
      </c>
      <c r="E10" s="4"/>
      <c r="F10" t="s">
        <v>11</v>
      </c>
    </row>
    <row r="11" spans="2:6" ht="16" x14ac:dyDescent="0.2">
      <c r="C11" s="3" t="s">
        <v>12</v>
      </c>
      <c r="D11" s="21">
        <v>6</v>
      </c>
      <c r="E11" s="4"/>
      <c r="F11" s="24"/>
    </row>
    <row r="12" spans="2:6" ht="112" x14ac:dyDescent="0.2">
      <c r="C12" s="3" t="s">
        <v>14</v>
      </c>
      <c r="D12" s="21" t="s">
        <v>246</v>
      </c>
      <c r="E12" s="4"/>
      <c r="F12" s="29" t="s">
        <v>247</v>
      </c>
    </row>
    <row r="13" spans="2:6" ht="16" x14ac:dyDescent="0.2">
      <c r="C13" s="3" t="s">
        <v>17</v>
      </c>
      <c r="D13" s="21" t="s">
        <v>18</v>
      </c>
      <c r="E13" s="4"/>
      <c r="F13" s="24"/>
    </row>
    <row r="14" spans="2:6" ht="16" x14ac:dyDescent="0.2">
      <c r="C14" s="3" t="s">
        <v>20</v>
      </c>
      <c r="D14" s="21" t="s">
        <v>21</v>
      </c>
      <c r="E14" s="4"/>
    </row>
    <row r="15" spans="2:6" x14ac:dyDescent="0.2">
      <c r="C15" s="3"/>
      <c r="D15" s="4"/>
      <c r="E15" s="4"/>
      <c r="F15" t="s">
        <v>22</v>
      </c>
    </row>
    <row r="16" spans="2:6" x14ac:dyDescent="0.2">
      <c r="C16" s="3"/>
      <c r="D16" s="4"/>
      <c r="E16" s="4"/>
      <c r="F16" s="24"/>
    </row>
    <row r="17" spans="3:6" ht="64" x14ac:dyDescent="0.2">
      <c r="C17" s="5" t="s">
        <v>24</v>
      </c>
      <c r="D17" s="4"/>
      <c r="E17" s="4"/>
      <c r="F17" s="29" t="s">
        <v>248</v>
      </c>
    </row>
    <row r="18" spans="3:6" ht="16" x14ac:dyDescent="0.2">
      <c r="C18" s="3" t="s">
        <v>25</v>
      </c>
      <c r="D18" s="1" t="s">
        <v>24</v>
      </c>
      <c r="E18" s="4"/>
      <c r="F18" s="24"/>
    </row>
    <row r="19" spans="3:6" ht="16" x14ac:dyDescent="0.2">
      <c r="C19" s="3" t="s">
        <v>26</v>
      </c>
      <c r="D19" s="22">
        <v>8</v>
      </c>
      <c r="E19" s="4"/>
      <c r="F19" s="24"/>
    </row>
    <row r="20" spans="3:6" ht="16" x14ac:dyDescent="0.2">
      <c r="C20" s="3" t="s">
        <v>27</v>
      </c>
      <c r="D20" s="22"/>
      <c r="E20" s="4"/>
      <c r="F20" s="24"/>
    </row>
    <row r="21" spans="3:6" ht="16" x14ac:dyDescent="0.2">
      <c r="C21" s="3" t="s">
        <v>28</v>
      </c>
      <c r="D21" s="22">
        <v>12</v>
      </c>
      <c r="E21" s="4"/>
    </row>
    <row r="22" spans="3:6" ht="16" x14ac:dyDescent="0.2">
      <c r="C22" s="3" t="s">
        <v>29</v>
      </c>
      <c r="D22" s="22">
        <v>20</v>
      </c>
      <c r="E22" s="4"/>
      <c r="F22" t="s">
        <v>30</v>
      </c>
    </row>
    <row r="23" spans="3:6" ht="16" x14ac:dyDescent="0.2">
      <c r="C23" s="3" t="s">
        <v>31</v>
      </c>
      <c r="D23" s="22"/>
      <c r="E23" s="4"/>
      <c r="F23" s="24"/>
    </row>
    <row r="24" spans="3:6" ht="16" x14ac:dyDescent="0.2">
      <c r="C24" s="3" t="s">
        <v>33</v>
      </c>
      <c r="D24" s="1">
        <f>SUM(D19:D23)</f>
        <v>40</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48" x14ac:dyDescent="0.2">
      <c r="C29" s="3" t="s">
        <v>38</v>
      </c>
      <c r="D29" s="21" t="s">
        <v>249</v>
      </c>
      <c r="E29" s="4"/>
      <c r="F29" s="24"/>
    </row>
    <row r="30" spans="3:6" ht="48" x14ac:dyDescent="0.2">
      <c r="C30" s="3" t="s">
        <v>40</v>
      </c>
      <c r="D30" s="21" t="s">
        <v>250</v>
      </c>
      <c r="E30" s="4"/>
      <c r="F30" s="24"/>
    </row>
    <row r="31" spans="3:6" ht="16" x14ac:dyDescent="0.2">
      <c r="C31" s="3" t="s">
        <v>42</v>
      </c>
      <c r="D31" s="21"/>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96" x14ac:dyDescent="0.2">
      <c r="C38" s="3" t="s">
        <v>52</v>
      </c>
      <c r="D38" s="21" t="s">
        <v>57</v>
      </c>
      <c r="E38" s="21" t="s">
        <v>109</v>
      </c>
      <c r="F38" s="21" t="s">
        <v>251</v>
      </c>
      <c r="G38" s="23">
        <v>1</v>
      </c>
      <c r="H38" s="21">
        <v>12</v>
      </c>
    </row>
    <row r="39" spans="3:8" ht="16" x14ac:dyDescent="0.2">
      <c r="C39" s="3" t="s">
        <v>56</v>
      </c>
      <c r="D39" s="21"/>
      <c r="E39" s="21"/>
      <c r="F39" s="21"/>
      <c r="G39" s="23"/>
      <c r="H39" s="21"/>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114</v>
      </c>
      <c r="F46" s="24" t="s">
        <v>116</v>
      </c>
    </row>
    <row r="47" spans="3:8" x14ac:dyDescent="0.2">
      <c r="C47" s="25" t="s">
        <v>52</v>
      </c>
      <c r="D47" s="24" t="s">
        <v>38</v>
      </c>
      <c r="E47" s="24" t="s">
        <v>183</v>
      </c>
      <c r="F47" s="24" t="s">
        <v>184</v>
      </c>
    </row>
    <row r="48" spans="3:8" x14ac:dyDescent="0.2">
      <c r="C48" s="25" t="s">
        <v>52</v>
      </c>
      <c r="D48" s="24" t="s">
        <v>38</v>
      </c>
      <c r="E48" s="24" t="s">
        <v>75</v>
      </c>
      <c r="F48" s="24" t="s">
        <v>182</v>
      </c>
    </row>
    <row r="49" spans="3:6" x14ac:dyDescent="0.2">
      <c r="C49" s="25" t="s">
        <v>52</v>
      </c>
      <c r="D49" s="24" t="s">
        <v>40</v>
      </c>
      <c r="E49" s="24" t="s">
        <v>66</v>
      </c>
      <c r="F49" s="24" t="s">
        <v>67</v>
      </c>
    </row>
    <row r="50" spans="3:6" x14ac:dyDescent="0.2">
      <c r="C50" s="25" t="s">
        <v>52</v>
      </c>
      <c r="D50" s="24" t="s">
        <v>40</v>
      </c>
      <c r="E50" s="24" t="s">
        <v>162</v>
      </c>
      <c r="F50" s="24" t="s">
        <v>252</v>
      </c>
    </row>
    <row r="51" spans="3:6" x14ac:dyDescent="0.2">
      <c r="C51" s="25" t="s">
        <v>52</v>
      </c>
      <c r="D51" s="24" t="s">
        <v>40</v>
      </c>
      <c r="E51" s="24" t="s">
        <v>253</v>
      </c>
      <c r="F51" s="24" t="s">
        <v>254</v>
      </c>
    </row>
    <row r="52" spans="3:6" x14ac:dyDescent="0.2">
      <c r="C52" s="25"/>
      <c r="D52" s="24"/>
      <c r="E52" s="24"/>
      <c r="F52" s="24"/>
    </row>
    <row r="53" spans="3:6" x14ac:dyDescent="0.2">
      <c r="C53" s="25"/>
      <c r="D53" s="24"/>
      <c r="E53" s="24"/>
      <c r="F53" s="24"/>
    </row>
    <row r="54" spans="3:6" x14ac:dyDescent="0.2">
      <c r="C54" s="25"/>
      <c r="D54" s="24"/>
      <c r="E54" s="24"/>
      <c r="F54" s="24"/>
    </row>
    <row r="55" spans="3:6" x14ac:dyDescent="0.2">
      <c r="C55" s="25"/>
      <c r="D55" s="24"/>
      <c r="E55" s="24"/>
      <c r="F55" s="24"/>
    </row>
    <row r="56" spans="3:6" x14ac:dyDescent="0.2">
      <c r="C56" s="25"/>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x14ac:dyDescent="0.2">
      <c r="B71" s="7">
        <v>1</v>
      </c>
      <c r="C71" s="1">
        <v>1</v>
      </c>
      <c r="D71" s="21"/>
      <c r="E71" s="21"/>
      <c r="F71" s="21"/>
    </row>
    <row r="72" spans="2:6" x14ac:dyDescent="0.2">
      <c r="B72" s="7">
        <v>1</v>
      </c>
      <c r="C72" s="1">
        <v>2</v>
      </c>
      <c r="D72" s="21"/>
      <c r="E72" s="21"/>
      <c r="F72" s="21"/>
    </row>
    <row r="73" spans="2:6" x14ac:dyDescent="0.2">
      <c r="B73" s="7">
        <v>1</v>
      </c>
      <c r="C73" s="1">
        <v>3</v>
      </c>
      <c r="D73" s="21"/>
      <c r="E73" s="21"/>
      <c r="F73" s="21"/>
    </row>
    <row r="74" spans="2:6" x14ac:dyDescent="0.2">
      <c r="B74" s="7">
        <v>1</v>
      </c>
      <c r="C74" s="1">
        <v>4</v>
      </c>
      <c r="D74" s="21"/>
      <c r="E74" s="21"/>
      <c r="F74" s="21"/>
    </row>
    <row r="75" spans="2:6" x14ac:dyDescent="0.2">
      <c r="B75" s="7">
        <v>1</v>
      </c>
      <c r="C75" s="1">
        <v>5</v>
      </c>
      <c r="D75" s="21"/>
      <c r="E75" s="21"/>
      <c r="F75" s="21"/>
    </row>
    <row r="76" spans="2:6" x14ac:dyDescent="0.2">
      <c r="B76" s="7">
        <v>1</v>
      </c>
      <c r="C76" s="1">
        <v>6</v>
      </c>
      <c r="D76" s="21"/>
      <c r="E76" s="21"/>
      <c r="F76" s="21"/>
    </row>
    <row r="77" spans="2:6" x14ac:dyDescent="0.2">
      <c r="B77" s="7">
        <v>1</v>
      </c>
      <c r="C77" s="1">
        <v>7</v>
      </c>
      <c r="D77" s="21"/>
      <c r="E77" s="21"/>
      <c r="F77" s="21"/>
    </row>
    <row r="78" spans="2:6" x14ac:dyDescent="0.2">
      <c r="B78" s="7">
        <v>1</v>
      </c>
      <c r="C78" s="1">
        <v>8</v>
      </c>
      <c r="D78" s="21"/>
      <c r="E78" s="21"/>
      <c r="F78" s="21"/>
    </row>
    <row r="79" spans="2:6" x14ac:dyDescent="0.2">
      <c r="B79" s="7">
        <v>1</v>
      </c>
      <c r="C79" s="1">
        <v>9</v>
      </c>
      <c r="D79" s="21"/>
      <c r="E79" s="21"/>
      <c r="F79" s="21"/>
    </row>
    <row r="80" spans="2:6" x14ac:dyDescent="0.2">
      <c r="B80" s="7">
        <v>1</v>
      </c>
      <c r="C80" s="1">
        <v>10</v>
      </c>
      <c r="D80" s="21"/>
      <c r="E80" s="21"/>
      <c r="F80" s="21"/>
    </row>
    <row r="81" spans="2:6" x14ac:dyDescent="0.2">
      <c r="B81" s="7">
        <v>1</v>
      </c>
      <c r="C81" s="1">
        <v>11</v>
      </c>
      <c r="D81" s="21"/>
      <c r="E81" s="21"/>
      <c r="F81" s="21"/>
    </row>
    <row r="82" spans="2:6" x14ac:dyDescent="0.2">
      <c r="B82" s="7">
        <v>1</v>
      </c>
      <c r="C82" s="1">
        <v>12</v>
      </c>
      <c r="D82" s="21"/>
      <c r="E82" s="21"/>
      <c r="F82" s="21"/>
    </row>
    <row r="83" spans="2:6" ht="16" x14ac:dyDescent="0.2">
      <c r="B83" s="7">
        <v>2</v>
      </c>
      <c r="C83" s="1">
        <v>1</v>
      </c>
      <c r="D83" s="21" t="s">
        <v>255</v>
      </c>
      <c r="E83" s="21"/>
      <c r="F83" s="21"/>
    </row>
    <row r="84" spans="2:6" ht="16" x14ac:dyDescent="0.2">
      <c r="B84" s="7">
        <v>2</v>
      </c>
      <c r="C84" s="1">
        <v>2</v>
      </c>
      <c r="D84" s="21" t="s">
        <v>256</v>
      </c>
      <c r="E84" s="21"/>
      <c r="F84" s="21"/>
    </row>
    <row r="85" spans="2:6" ht="16" x14ac:dyDescent="0.2">
      <c r="B85" s="7">
        <v>2</v>
      </c>
      <c r="C85" s="1">
        <v>3</v>
      </c>
      <c r="D85" s="21" t="s">
        <v>256</v>
      </c>
      <c r="E85" s="21"/>
      <c r="F85" s="21"/>
    </row>
    <row r="86" spans="2:6" ht="16" x14ac:dyDescent="0.2">
      <c r="B86" s="7">
        <v>2</v>
      </c>
      <c r="C86" s="1">
        <v>4</v>
      </c>
      <c r="D86" s="21" t="s">
        <v>256</v>
      </c>
      <c r="E86" s="21"/>
      <c r="F86" s="21"/>
    </row>
    <row r="87" spans="2:6" ht="16" x14ac:dyDescent="0.2">
      <c r="B87" s="7">
        <v>2</v>
      </c>
      <c r="C87" s="1">
        <v>5</v>
      </c>
      <c r="D87" s="21" t="s">
        <v>257</v>
      </c>
      <c r="E87" s="21"/>
      <c r="F87" s="21"/>
    </row>
    <row r="88" spans="2:6" ht="16" x14ac:dyDescent="0.2">
      <c r="B88" s="7">
        <v>2</v>
      </c>
      <c r="C88" s="1">
        <v>6</v>
      </c>
      <c r="D88" s="21" t="s">
        <v>258</v>
      </c>
      <c r="E88" s="21"/>
      <c r="F88" s="21"/>
    </row>
    <row r="89" spans="2:6" ht="16" x14ac:dyDescent="0.2">
      <c r="B89" s="7">
        <v>2</v>
      </c>
      <c r="C89" s="1">
        <v>7</v>
      </c>
      <c r="D89" s="21" t="s">
        <v>259</v>
      </c>
      <c r="E89" s="21"/>
      <c r="F89" s="21"/>
    </row>
    <row r="90" spans="2:6" ht="16" x14ac:dyDescent="0.2">
      <c r="B90" s="7">
        <v>2</v>
      </c>
      <c r="C90" s="1">
        <v>8</v>
      </c>
      <c r="D90" s="21" t="s">
        <v>260</v>
      </c>
      <c r="E90" s="21"/>
      <c r="F90" s="21"/>
    </row>
    <row r="91" spans="2:6" ht="16" x14ac:dyDescent="0.2">
      <c r="B91" s="7">
        <v>2</v>
      </c>
      <c r="C91" s="1">
        <v>9</v>
      </c>
      <c r="D91" s="21" t="s">
        <v>261</v>
      </c>
      <c r="E91" s="21"/>
      <c r="F91" s="21"/>
    </row>
    <row r="92" spans="2:6" ht="16" x14ac:dyDescent="0.2">
      <c r="B92" s="7">
        <v>2</v>
      </c>
      <c r="C92" s="1">
        <v>10</v>
      </c>
      <c r="D92" s="21" t="s">
        <v>262</v>
      </c>
      <c r="E92" s="21"/>
      <c r="F92" s="21"/>
    </row>
    <row r="93" spans="2:6" ht="16" x14ac:dyDescent="0.2">
      <c r="B93" s="7">
        <v>2</v>
      </c>
      <c r="C93" s="1">
        <v>11</v>
      </c>
      <c r="D93" s="21" t="s">
        <v>263</v>
      </c>
      <c r="E93" s="21"/>
      <c r="F93" s="21"/>
    </row>
    <row r="94" spans="2:6" ht="16" x14ac:dyDescent="0.2">
      <c r="B94" s="7">
        <v>2</v>
      </c>
      <c r="C94" s="1">
        <v>12</v>
      </c>
      <c r="D94" s="21" t="s">
        <v>264</v>
      </c>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D64" sqref="D64"/>
    </sheetView>
  </sheetViews>
  <sheetFormatPr baseColWidth="10" defaultColWidth="8.83203125" defaultRowHeight="15" x14ac:dyDescent="0.2"/>
  <cols>
    <col min="3" max="3" width="33.33203125" customWidth="1"/>
    <col min="4" max="4" width="51.5" customWidth="1"/>
    <col min="5" max="5" width="67.33203125" customWidth="1"/>
    <col min="6" max="6" width="63.1640625" customWidth="1"/>
    <col min="7" max="7" width="12.5" customWidth="1"/>
    <col min="8" max="8" width="15.5" customWidth="1"/>
    <col min="9" max="9" width="14.6640625" customWidth="1"/>
  </cols>
  <sheetData>
    <row r="2" spans="2:6" ht="27" x14ac:dyDescent="0.35">
      <c r="C2" s="20">
        <f>D7</f>
        <v>6303</v>
      </c>
      <c r="D2" s="20" t="str">
        <f>D8</f>
        <v>Applied Psychology of Football</v>
      </c>
    </row>
    <row r="3" spans="2:6" x14ac:dyDescent="0.2">
      <c r="B3" s="1"/>
      <c r="C3" s="1"/>
    </row>
    <row r="4" spans="2:6" x14ac:dyDescent="0.2">
      <c r="B4" s="2"/>
      <c r="C4" s="2"/>
    </row>
    <row r="5" spans="2:6" ht="20" x14ac:dyDescent="0.2">
      <c r="B5" s="2"/>
      <c r="C5" s="5" t="s">
        <v>0</v>
      </c>
    </row>
    <row r="6" spans="2:6" ht="16" x14ac:dyDescent="0.2">
      <c r="B6" s="2"/>
      <c r="C6" s="3" t="s">
        <v>1</v>
      </c>
      <c r="D6" s="4" t="s">
        <v>2</v>
      </c>
      <c r="E6" s="4"/>
      <c r="F6" t="s">
        <v>3</v>
      </c>
    </row>
    <row r="7" spans="2:6" ht="68" x14ac:dyDescent="0.2">
      <c r="B7" s="2"/>
      <c r="C7" s="3" t="s">
        <v>4</v>
      </c>
      <c r="D7" s="21">
        <v>6303</v>
      </c>
      <c r="E7" s="4"/>
      <c r="F7" s="28" t="s">
        <v>265</v>
      </c>
    </row>
    <row r="8" spans="2:6" ht="34" x14ac:dyDescent="0.2">
      <c r="B8" s="2"/>
      <c r="C8" s="3" t="s">
        <v>7</v>
      </c>
      <c r="D8" s="21" t="s">
        <v>266</v>
      </c>
      <c r="E8" s="4"/>
      <c r="F8" s="28" t="s">
        <v>267</v>
      </c>
    </row>
    <row r="9" spans="2:6" ht="16" x14ac:dyDescent="0.2">
      <c r="C9" s="3" t="s">
        <v>9</v>
      </c>
      <c r="D9" s="21">
        <v>20</v>
      </c>
      <c r="E9" s="4"/>
    </row>
    <row r="10" spans="2:6" ht="16" x14ac:dyDescent="0.2">
      <c r="C10" s="3" t="s">
        <v>10</v>
      </c>
      <c r="D10" s="21">
        <v>1</v>
      </c>
      <c r="E10" s="4"/>
      <c r="F10" t="s">
        <v>11</v>
      </c>
    </row>
    <row r="11" spans="2:6" ht="16" x14ac:dyDescent="0.2">
      <c r="C11" s="3" t="s">
        <v>12</v>
      </c>
      <c r="D11" s="21">
        <v>6</v>
      </c>
      <c r="E11" s="4"/>
      <c r="F11" s="27" t="s">
        <v>268</v>
      </c>
    </row>
    <row r="12" spans="2:6" ht="16" x14ac:dyDescent="0.2">
      <c r="C12" s="3" t="s">
        <v>14</v>
      </c>
      <c r="D12" s="21" t="s">
        <v>269</v>
      </c>
      <c r="E12" s="4"/>
      <c r="F12" s="27" t="s">
        <v>270</v>
      </c>
    </row>
    <row r="13" spans="2:6" ht="16" x14ac:dyDescent="0.2">
      <c r="C13" s="3" t="s">
        <v>17</v>
      </c>
      <c r="D13" s="21" t="s">
        <v>18</v>
      </c>
      <c r="E13" s="4"/>
      <c r="F13" s="27" t="s">
        <v>271</v>
      </c>
    </row>
    <row r="14" spans="2:6" ht="16" x14ac:dyDescent="0.2">
      <c r="C14" s="3" t="s">
        <v>20</v>
      </c>
      <c r="D14" s="21" t="s">
        <v>21</v>
      </c>
      <c r="E14" s="4"/>
    </row>
    <row r="15" spans="2:6" x14ac:dyDescent="0.2">
      <c r="C15" s="3"/>
      <c r="D15" s="4"/>
      <c r="E15" s="4"/>
      <c r="F15" t="s">
        <v>22</v>
      </c>
    </row>
    <row r="16" spans="2:6" x14ac:dyDescent="0.2">
      <c r="C16" s="3"/>
      <c r="D16" s="4"/>
      <c r="E16" s="4"/>
      <c r="F16" s="24"/>
    </row>
    <row r="17" spans="3:6" ht="20" x14ac:dyDescent="0.2">
      <c r="C17" s="5" t="s">
        <v>24</v>
      </c>
      <c r="D17" s="4"/>
      <c r="E17" s="4"/>
      <c r="F17" s="24"/>
    </row>
    <row r="18" spans="3:6" ht="16" x14ac:dyDescent="0.2">
      <c r="C18" s="3" t="s">
        <v>25</v>
      </c>
      <c r="D18" s="1" t="s">
        <v>24</v>
      </c>
      <c r="E18" s="4"/>
      <c r="F18" s="24"/>
    </row>
    <row r="19" spans="3:6" ht="16" x14ac:dyDescent="0.2">
      <c r="C19" s="3" t="s">
        <v>26</v>
      </c>
      <c r="D19" s="22">
        <v>22</v>
      </c>
      <c r="E19" s="4"/>
      <c r="F19" s="24"/>
    </row>
    <row r="20" spans="3:6" ht="16" x14ac:dyDescent="0.2">
      <c r="C20" s="3" t="s">
        <v>27</v>
      </c>
      <c r="D20" s="22">
        <v>18</v>
      </c>
      <c r="E20" s="4"/>
      <c r="F20" s="24"/>
    </row>
    <row r="21" spans="3:6" ht="16" x14ac:dyDescent="0.2">
      <c r="C21" s="3" t="s">
        <v>28</v>
      </c>
      <c r="D21" s="22"/>
      <c r="E21" s="4"/>
    </row>
    <row r="22" spans="3:6" ht="16" x14ac:dyDescent="0.2">
      <c r="C22" s="3" t="s">
        <v>29</v>
      </c>
      <c r="D22" s="22"/>
      <c r="E22" s="4"/>
      <c r="F22" t="s">
        <v>30</v>
      </c>
    </row>
    <row r="23" spans="3:6" ht="16" x14ac:dyDescent="0.2">
      <c r="C23" s="3" t="s">
        <v>31</v>
      </c>
      <c r="D23" s="22"/>
      <c r="E23" s="4"/>
      <c r="F23" s="24"/>
    </row>
    <row r="24" spans="3:6" ht="16" x14ac:dyDescent="0.2">
      <c r="C24" s="3" t="s">
        <v>33</v>
      </c>
      <c r="D24" s="1">
        <f>SUM(D19:D23)</f>
        <v>40</v>
      </c>
      <c r="E24" s="4"/>
      <c r="F24" s="24"/>
    </row>
    <row r="25" spans="3:6" x14ac:dyDescent="0.2">
      <c r="F25" s="24"/>
    </row>
    <row r="26" spans="3:6" x14ac:dyDescent="0.2">
      <c r="F26" s="24"/>
    </row>
    <row r="27" spans="3:6" ht="20" x14ac:dyDescent="0.2">
      <c r="C27" s="5" t="s">
        <v>34</v>
      </c>
      <c r="D27" s="12" t="s">
        <v>35</v>
      </c>
      <c r="F27" s="24"/>
    </row>
    <row r="28" spans="3:6" ht="16" x14ac:dyDescent="0.2">
      <c r="C28" s="3" t="s">
        <v>36</v>
      </c>
      <c r="D28" s="3" t="s">
        <v>37</v>
      </c>
      <c r="E28" s="3"/>
      <c r="F28" s="24"/>
    </row>
    <row r="29" spans="3:6" ht="46" x14ac:dyDescent="0.2">
      <c r="C29" s="3" t="s">
        <v>38</v>
      </c>
      <c r="D29" s="26" t="s">
        <v>272</v>
      </c>
      <c r="E29" s="4"/>
      <c r="F29" s="24"/>
    </row>
    <row r="30" spans="3:6" ht="61" x14ac:dyDescent="0.2">
      <c r="C30" s="3" t="s">
        <v>40</v>
      </c>
      <c r="D30" s="26" t="s">
        <v>273</v>
      </c>
      <c r="E30" s="4"/>
      <c r="F30" s="24"/>
    </row>
    <row r="31" spans="3:6" ht="31" x14ac:dyDescent="0.2">
      <c r="C31" s="3" t="s">
        <v>42</v>
      </c>
      <c r="D31" s="26" t="s">
        <v>274</v>
      </c>
      <c r="E31" s="4"/>
      <c r="F31" s="24"/>
    </row>
    <row r="32" spans="3:6" ht="16" x14ac:dyDescent="0.2">
      <c r="C32" s="3" t="s">
        <v>43</v>
      </c>
      <c r="D32" s="21"/>
      <c r="E32" s="4"/>
      <c r="F32" s="24"/>
    </row>
    <row r="33" spans="3:8" ht="16" x14ac:dyDescent="0.2">
      <c r="C33" s="3" t="s">
        <v>44</v>
      </c>
      <c r="D33" s="21"/>
      <c r="E33" s="4"/>
      <c r="F33" s="24"/>
    </row>
    <row r="36" spans="3:8" ht="20" x14ac:dyDescent="0.2">
      <c r="C36" s="5" t="s">
        <v>45</v>
      </c>
    </row>
    <row r="37" spans="3:8" ht="16" x14ac:dyDescent="0.2">
      <c r="C37" s="3" t="s">
        <v>46</v>
      </c>
      <c r="D37" s="3" t="s">
        <v>47</v>
      </c>
      <c r="E37" s="3" t="s">
        <v>48</v>
      </c>
      <c r="F37" s="3" t="s">
        <v>49</v>
      </c>
      <c r="G37" s="3" t="s">
        <v>50</v>
      </c>
      <c r="H37" s="3" t="s">
        <v>51</v>
      </c>
    </row>
    <row r="38" spans="3:8" ht="16" x14ac:dyDescent="0.2">
      <c r="C38" s="3" t="s">
        <v>52</v>
      </c>
      <c r="D38" s="21" t="s">
        <v>53</v>
      </c>
      <c r="E38" s="21" t="s">
        <v>54</v>
      </c>
      <c r="F38" s="21" t="s">
        <v>275</v>
      </c>
      <c r="G38" s="23">
        <v>0.3</v>
      </c>
      <c r="H38" s="21">
        <v>6</v>
      </c>
    </row>
    <row r="39" spans="3:8" ht="16" x14ac:dyDescent="0.2">
      <c r="C39" s="3" t="s">
        <v>56</v>
      </c>
      <c r="D39" s="21" t="s">
        <v>111</v>
      </c>
      <c r="E39" s="21" t="s">
        <v>157</v>
      </c>
      <c r="F39" s="21" t="s">
        <v>276</v>
      </c>
      <c r="G39" s="23">
        <v>0.7</v>
      </c>
      <c r="H39" s="21">
        <v>12</v>
      </c>
    </row>
    <row r="40" spans="3:8" ht="16" x14ac:dyDescent="0.2">
      <c r="C40" s="3" t="s">
        <v>61</v>
      </c>
      <c r="D40" s="24"/>
      <c r="E40" s="24"/>
      <c r="F40" s="24"/>
      <c r="G40" s="24"/>
      <c r="H40" s="24"/>
    </row>
    <row r="41" spans="3:8" ht="16" x14ac:dyDescent="0.2">
      <c r="C41" s="3" t="s">
        <v>62</v>
      </c>
      <c r="D41" s="24"/>
      <c r="E41" s="24"/>
      <c r="F41" s="24"/>
      <c r="G41" s="24"/>
      <c r="H41" s="24"/>
    </row>
    <row r="42" spans="3:8" x14ac:dyDescent="0.2">
      <c r="C42" s="3"/>
    </row>
    <row r="44" spans="3:8" ht="20" x14ac:dyDescent="0.2">
      <c r="C44" s="5" t="s">
        <v>63</v>
      </c>
      <c r="D44" s="12"/>
    </row>
    <row r="45" spans="3:8" ht="16" x14ac:dyDescent="0.2">
      <c r="C45" s="1" t="s">
        <v>46</v>
      </c>
      <c r="D45" s="1" t="s">
        <v>36</v>
      </c>
      <c r="E45" s="1" t="s">
        <v>64</v>
      </c>
      <c r="F45" s="1" t="s">
        <v>65</v>
      </c>
    </row>
    <row r="46" spans="3:8" x14ac:dyDescent="0.2">
      <c r="C46" s="25" t="s">
        <v>52</v>
      </c>
      <c r="D46" s="24" t="s">
        <v>38</v>
      </c>
      <c r="E46" s="24" t="s">
        <v>114</v>
      </c>
      <c r="F46" s="24" t="s">
        <v>115</v>
      </c>
    </row>
    <row r="47" spans="3:8" x14ac:dyDescent="0.2">
      <c r="C47" s="25" t="s">
        <v>52</v>
      </c>
      <c r="D47" s="24" t="s">
        <v>38</v>
      </c>
      <c r="E47" s="24" t="s">
        <v>114</v>
      </c>
      <c r="F47" s="24" t="s">
        <v>116</v>
      </c>
    </row>
    <row r="48" spans="3:8" x14ac:dyDescent="0.2">
      <c r="C48" s="25" t="s">
        <v>52</v>
      </c>
      <c r="D48" s="24" t="s">
        <v>38</v>
      </c>
      <c r="E48" s="24" t="s">
        <v>75</v>
      </c>
      <c r="F48" s="24" t="s">
        <v>182</v>
      </c>
    </row>
    <row r="49" spans="3:6" x14ac:dyDescent="0.2">
      <c r="C49" s="25" t="s">
        <v>56</v>
      </c>
      <c r="D49" s="24" t="s">
        <v>40</v>
      </c>
      <c r="E49" s="24" t="s">
        <v>66</v>
      </c>
      <c r="F49" s="24" t="s">
        <v>67</v>
      </c>
    </row>
    <row r="50" spans="3:6" x14ac:dyDescent="0.2">
      <c r="C50" s="25" t="s">
        <v>56</v>
      </c>
      <c r="D50" s="24" t="s">
        <v>40</v>
      </c>
      <c r="E50" s="24" t="s">
        <v>183</v>
      </c>
      <c r="F50" s="24" t="s">
        <v>184</v>
      </c>
    </row>
    <row r="51" spans="3:6" x14ac:dyDescent="0.2">
      <c r="C51" s="25" t="s">
        <v>56</v>
      </c>
      <c r="D51" s="24"/>
      <c r="E51" s="24"/>
      <c r="F51" s="24"/>
    </row>
    <row r="52" spans="3:6" x14ac:dyDescent="0.2">
      <c r="C52" s="25" t="s">
        <v>61</v>
      </c>
      <c r="D52" s="24"/>
      <c r="E52" s="24"/>
      <c r="F52" s="24"/>
    </row>
    <row r="53" spans="3:6" x14ac:dyDescent="0.2">
      <c r="C53" s="25" t="s">
        <v>61</v>
      </c>
      <c r="D53" s="24"/>
      <c r="E53" s="24"/>
      <c r="F53" s="24"/>
    </row>
    <row r="54" spans="3:6" x14ac:dyDescent="0.2">
      <c r="C54" s="25" t="s">
        <v>61</v>
      </c>
      <c r="D54" s="24"/>
      <c r="E54" s="24"/>
      <c r="F54" s="24"/>
    </row>
    <row r="55" spans="3:6" x14ac:dyDescent="0.2">
      <c r="C55" s="25" t="s">
        <v>62</v>
      </c>
      <c r="D55" s="24"/>
      <c r="E55" s="24"/>
      <c r="F55" s="24"/>
    </row>
    <row r="56" spans="3:6" x14ac:dyDescent="0.2">
      <c r="C56" s="25" t="s">
        <v>62</v>
      </c>
      <c r="D56" s="24"/>
      <c r="E56" s="24"/>
      <c r="F56" s="24"/>
    </row>
    <row r="57" spans="3:6" x14ac:dyDescent="0.2">
      <c r="C57" s="25"/>
      <c r="D57" s="24"/>
      <c r="E57" s="24"/>
      <c r="F57" s="24"/>
    </row>
    <row r="58" spans="3:6" x14ac:dyDescent="0.2">
      <c r="C58" s="25"/>
      <c r="D58" s="24"/>
      <c r="E58" s="24"/>
      <c r="F58" s="24"/>
    </row>
    <row r="59" spans="3:6" x14ac:dyDescent="0.2">
      <c r="C59" s="25"/>
      <c r="D59" s="24"/>
      <c r="E59" s="24"/>
      <c r="F59" s="24"/>
    </row>
    <row r="60" spans="3:6" x14ac:dyDescent="0.2">
      <c r="C60" s="25"/>
      <c r="D60" s="24"/>
      <c r="E60" s="24"/>
      <c r="F60" s="24"/>
    </row>
    <row r="61" spans="3:6" x14ac:dyDescent="0.2">
      <c r="C61" s="25"/>
      <c r="D61" s="24"/>
      <c r="E61" s="24"/>
      <c r="F61" s="24"/>
    </row>
    <row r="62" spans="3:6" x14ac:dyDescent="0.2">
      <c r="C62" s="25"/>
      <c r="D62" s="24"/>
      <c r="E62" s="24"/>
      <c r="F62" s="24"/>
    </row>
    <row r="63" spans="3:6" x14ac:dyDescent="0.2">
      <c r="C63" s="25"/>
      <c r="D63" s="24"/>
      <c r="E63" s="24"/>
      <c r="F63" s="24"/>
    </row>
    <row r="64" spans="3:6" x14ac:dyDescent="0.2">
      <c r="C64" s="25"/>
      <c r="D64" s="24"/>
      <c r="E64" s="24"/>
      <c r="F64" s="24"/>
    </row>
    <row r="65" spans="2:6" x14ac:dyDescent="0.2">
      <c r="C65" s="25"/>
      <c r="D65" s="24"/>
      <c r="E65" s="24"/>
      <c r="F65" s="24"/>
    </row>
    <row r="66" spans="2:6" x14ac:dyDescent="0.2">
      <c r="C66" s="25"/>
      <c r="D66" s="24"/>
      <c r="E66" s="24"/>
      <c r="F66" s="24"/>
    </row>
    <row r="69" spans="2:6" ht="20" x14ac:dyDescent="0.2">
      <c r="C69" s="5" t="s">
        <v>78</v>
      </c>
    </row>
    <row r="70" spans="2:6" ht="16" x14ac:dyDescent="0.2">
      <c r="B70" t="s">
        <v>79</v>
      </c>
      <c r="C70" s="1" t="s">
        <v>80</v>
      </c>
      <c r="D70" s="1" t="s">
        <v>81</v>
      </c>
      <c r="E70" s="1" t="s">
        <v>82</v>
      </c>
      <c r="F70" s="1" t="s">
        <v>83</v>
      </c>
    </row>
    <row r="71" spans="2:6" ht="16" x14ac:dyDescent="0.2">
      <c r="B71" s="7">
        <v>1</v>
      </c>
      <c r="C71" s="1">
        <v>1</v>
      </c>
      <c r="D71" s="21" t="s">
        <v>277</v>
      </c>
      <c r="E71" s="21" t="s">
        <v>27</v>
      </c>
      <c r="F71" s="21"/>
    </row>
    <row r="72" spans="2:6" ht="16" x14ac:dyDescent="0.2">
      <c r="B72" s="7">
        <v>1</v>
      </c>
      <c r="C72" s="1">
        <v>2</v>
      </c>
      <c r="D72" s="21" t="s">
        <v>278</v>
      </c>
      <c r="E72" s="21" t="s">
        <v>27</v>
      </c>
      <c r="F72" s="21"/>
    </row>
    <row r="73" spans="2:6" ht="16" x14ac:dyDescent="0.2">
      <c r="B73" s="7">
        <v>1</v>
      </c>
      <c r="C73" s="1">
        <v>3</v>
      </c>
      <c r="D73" s="21" t="s">
        <v>279</v>
      </c>
      <c r="E73" s="21" t="s">
        <v>27</v>
      </c>
      <c r="F73" s="21"/>
    </row>
    <row r="74" spans="2:6" ht="16" x14ac:dyDescent="0.2">
      <c r="B74" s="7">
        <v>1</v>
      </c>
      <c r="C74" s="1">
        <v>4</v>
      </c>
      <c r="D74" s="21" t="s">
        <v>280</v>
      </c>
      <c r="E74" s="21" t="s">
        <v>27</v>
      </c>
      <c r="F74" s="21"/>
    </row>
    <row r="75" spans="2:6" ht="16" x14ac:dyDescent="0.2">
      <c r="B75" s="7">
        <v>1</v>
      </c>
      <c r="C75" s="1">
        <v>5</v>
      </c>
      <c r="D75" s="21" t="s">
        <v>281</v>
      </c>
      <c r="E75" s="21" t="s">
        <v>27</v>
      </c>
      <c r="F75" s="21"/>
    </row>
    <row r="76" spans="2:6" ht="16" x14ac:dyDescent="0.2">
      <c r="B76" s="7">
        <v>1</v>
      </c>
      <c r="C76" s="1">
        <v>6</v>
      </c>
      <c r="D76" s="21" t="s">
        <v>282</v>
      </c>
      <c r="E76" s="21" t="s">
        <v>27</v>
      </c>
      <c r="F76" s="21"/>
    </row>
    <row r="77" spans="2:6" ht="16" x14ac:dyDescent="0.2">
      <c r="B77" s="7">
        <v>1</v>
      </c>
      <c r="C77" s="1">
        <v>7</v>
      </c>
      <c r="D77" s="21" t="s">
        <v>283</v>
      </c>
      <c r="E77" s="21" t="s">
        <v>283</v>
      </c>
      <c r="F77" s="21"/>
    </row>
    <row r="78" spans="2:6" ht="16" x14ac:dyDescent="0.2">
      <c r="B78" s="7">
        <v>1</v>
      </c>
      <c r="C78" s="1">
        <v>8</v>
      </c>
      <c r="D78" s="21" t="s">
        <v>284</v>
      </c>
      <c r="E78" s="21"/>
      <c r="F78" s="21"/>
    </row>
    <row r="79" spans="2:6" ht="16" x14ac:dyDescent="0.2">
      <c r="B79" s="7">
        <v>1</v>
      </c>
      <c r="C79" s="1">
        <v>9</v>
      </c>
      <c r="D79" s="21" t="s">
        <v>285</v>
      </c>
      <c r="E79" s="21" t="s">
        <v>27</v>
      </c>
      <c r="F79" s="21"/>
    </row>
    <row r="80" spans="2:6" ht="16" x14ac:dyDescent="0.2">
      <c r="B80" s="7">
        <v>1</v>
      </c>
      <c r="C80" s="1">
        <v>10</v>
      </c>
      <c r="D80" s="21" t="s">
        <v>286</v>
      </c>
      <c r="E80" s="21" t="s">
        <v>27</v>
      </c>
      <c r="F80" s="21"/>
    </row>
    <row r="81" spans="2:6" ht="16" x14ac:dyDescent="0.2">
      <c r="B81" s="7">
        <v>1</v>
      </c>
      <c r="C81" s="1">
        <v>11</v>
      </c>
      <c r="D81" s="21" t="s">
        <v>287</v>
      </c>
      <c r="E81" s="21" t="s">
        <v>27</v>
      </c>
      <c r="F81" s="21"/>
    </row>
    <row r="82" spans="2:6" ht="16" x14ac:dyDescent="0.2">
      <c r="B82" s="7">
        <v>1</v>
      </c>
      <c r="C82" s="1">
        <v>12</v>
      </c>
      <c r="D82" s="21" t="s">
        <v>45</v>
      </c>
      <c r="E82" s="21" t="s">
        <v>45</v>
      </c>
      <c r="F82" s="21"/>
    </row>
    <row r="83" spans="2:6" x14ac:dyDescent="0.2">
      <c r="B83" s="7">
        <v>2</v>
      </c>
      <c r="C83" s="1">
        <v>1</v>
      </c>
      <c r="D83" s="21"/>
      <c r="E83" s="21"/>
      <c r="F83" s="21"/>
    </row>
    <row r="84" spans="2:6" x14ac:dyDescent="0.2">
      <c r="B84" s="7">
        <v>2</v>
      </c>
      <c r="C84" s="1">
        <v>2</v>
      </c>
      <c r="D84" s="21"/>
      <c r="E84" s="21"/>
      <c r="F84" s="21"/>
    </row>
    <row r="85" spans="2:6" x14ac:dyDescent="0.2">
      <c r="B85" s="7">
        <v>2</v>
      </c>
      <c r="C85" s="1">
        <v>3</v>
      </c>
      <c r="D85" s="21"/>
      <c r="E85" s="21"/>
      <c r="F85" s="21"/>
    </row>
    <row r="86" spans="2:6" x14ac:dyDescent="0.2">
      <c r="B86" s="7">
        <v>2</v>
      </c>
      <c r="C86" s="1">
        <v>4</v>
      </c>
      <c r="D86" s="21"/>
      <c r="E86" s="21"/>
      <c r="F86" s="21"/>
    </row>
    <row r="87" spans="2:6" x14ac:dyDescent="0.2">
      <c r="B87" s="7">
        <v>2</v>
      </c>
      <c r="C87" s="1">
        <v>5</v>
      </c>
      <c r="D87" s="21"/>
      <c r="E87" s="21"/>
      <c r="F87" s="21"/>
    </row>
    <row r="88" spans="2:6" x14ac:dyDescent="0.2">
      <c r="B88" s="7">
        <v>2</v>
      </c>
      <c r="C88" s="1">
        <v>6</v>
      </c>
      <c r="D88" s="21"/>
      <c r="E88" s="21"/>
      <c r="F88" s="21"/>
    </row>
    <row r="89" spans="2:6" x14ac:dyDescent="0.2">
      <c r="B89" s="7">
        <v>2</v>
      </c>
      <c r="C89" s="1">
        <v>7</v>
      </c>
      <c r="D89" s="21"/>
      <c r="E89" s="21"/>
      <c r="F89" s="21"/>
    </row>
    <row r="90" spans="2:6" x14ac:dyDescent="0.2">
      <c r="B90" s="7">
        <v>2</v>
      </c>
      <c r="C90" s="1">
        <v>8</v>
      </c>
      <c r="D90" s="21"/>
      <c r="E90" s="21"/>
      <c r="F90" s="21"/>
    </row>
    <row r="91" spans="2:6" x14ac:dyDescent="0.2">
      <c r="B91" s="7">
        <v>2</v>
      </c>
      <c r="C91" s="1">
        <v>9</v>
      </c>
      <c r="D91" s="21"/>
      <c r="E91" s="21"/>
      <c r="F91" s="21"/>
    </row>
    <row r="92" spans="2:6" x14ac:dyDescent="0.2">
      <c r="B92" s="7">
        <v>2</v>
      </c>
      <c r="C92" s="1">
        <v>10</v>
      </c>
      <c r="D92" s="21"/>
      <c r="E92" s="21"/>
      <c r="F92" s="21"/>
    </row>
    <row r="93" spans="2:6" x14ac:dyDescent="0.2">
      <c r="B93" s="7">
        <v>2</v>
      </c>
      <c r="C93" s="1">
        <v>11</v>
      </c>
      <c r="D93" s="21"/>
      <c r="E93" s="21"/>
      <c r="F93" s="21"/>
    </row>
    <row r="94" spans="2:6" x14ac:dyDescent="0.2">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83"/>
  <sheetViews>
    <sheetView showGridLines="0" topLeftCell="A8" zoomScale="85" zoomScaleNormal="85" workbookViewId="0">
      <selection activeCell="C2" sqref="C2"/>
    </sheetView>
  </sheetViews>
  <sheetFormatPr baseColWidth="10" defaultColWidth="8.83203125" defaultRowHeight="15" x14ac:dyDescent="0.2"/>
  <cols>
    <col min="1" max="2" width="8.83203125" style="41"/>
    <col min="3" max="3" width="33.33203125" style="41" customWidth="1"/>
    <col min="4" max="4" width="58.5" style="41" customWidth="1"/>
    <col min="5" max="5" width="20.5" style="41" customWidth="1"/>
    <col min="6" max="6" width="63.1640625" style="41" customWidth="1"/>
    <col min="7" max="7" width="12.5" style="41" customWidth="1"/>
    <col min="8" max="8" width="15.5" style="41" customWidth="1"/>
    <col min="9" max="9" width="14.6640625" style="41" customWidth="1"/>
    <col min="10" max="16384" width="8.83203125" style="41"/>
  </cols>
  <sheetData>
    <row r="2" spans="2:6" ht="27" x14ac:dyDescent="0.35">
      <c r="C2" s="42"/>
      <c r="D2" s="43" t="s">
        <v>288</v>
      </c>
      <c r="E2" s="42"/>
    </row>
    <row r="3" spans="2:6" x14ac:dyDescent="0.2">
      <c r="B3" s="44"/>
      <c r="C3" s="44"/>
    </row>
    <row r="4" spans="2:6" x14ac:dyDescent="0.2">
      <c r="B4" s="45"/>
      <c r="C4" s="45"/>
    </row>
    <row r="5" spans="2:6" ht="20" x14ac:dyDescent="0.2">
      <c r="B5" s="45"/>
      <c r="C5" s="46" t="s">
        <v>0</v>
      </c>
    </row>
    <row r="6" spans="2:6" ht="16" x14ac:dyDescent="0.2">
      <c r="B6" s="45"/>
      <c r="C6" s="47" t="s">
        <v>1</v>
      </c>
      <c r="D6" s="48" t="s">
        <v>2</v>
      </c>
      <c r="E6" s="48"/>
      <c r="F6" s="41" t="s">
        <v>3</v>
      </c>
    </row>
    <row r="7" spans="2:6" ht="16" x14ac:dyDescent="0.2">
      <c r="B7" s="45"/>
      <c r="C7" s="47" t="s">
        <v>4</v>
      </c>
      <c r="D7" s="21" t="s">
        <v>289</v>
      </c>
      <c r="E7" s="48"/>
      <c r="F7" s="49" t="s">
        <v>290</v>
      </c>
    </row>
    <row r="8" spans="2:6" ht="16" x14ac:dyDescent="0.2">
      <c r="B8" s="45"/>
      <c r="C8" s="47" t="s">
        <v>7</v>
      </c>
      <c r="D8" s="37" t="s">
        <v>288</v>
      </c>
      <c r="E8" s="48"/>
      <c r="F8" s="38" t="s">
        <v>291</v>
      </c>
    </row>
    <row r="9" spans="2:6" ht="16" x14ac:dyDescent="0.2">
      <c r="C9" s="47" t="s">
        <v>9</v>
      </c>
      <c r="D9" s="37">
        <v>20</v>
      </c>
      <c r="E9" s="48"/>
      <c r="F9" s="39" t="s">
        <v>292</v>
      </c>
    </row>
    <row r="10" spans="2:6" ht="16" x14ac:dyDescent="0.2">
      <c r="C10" s="47" t="s">
        <v>10</v>
      </c>
      <c r="D10" s="37" t="s">
        <v>293</v>
      </c>
      <c r="E10" s="48"/>
      <c r="F10" s="39" t="s">
        <v>294</v>
      </c>
    </row>
    <row r="11" spans="2:6" ht="16" x14ac:dyDescent="0.2">
      <c r="C11" s="47" t="s">
        <v>12</v>
      </c>
      <c r="D11" s="37">
        <v>6</v>
      </c>
      <c r="E11" s="48"/>
      <c r="F11" s="39" t="s">
        <v>295</v>
      </c>
    </row>
    <row r="12" spans="2:6" ht="16" x14ac:dyDescent="0.2">
      <c r="C12" s="47" t="s">
        <v>14</v>
      </c>
      <c r="D12" s="37" t="s">
        <v>296</v>
      </c>
      <c r="E12" s="48"/>
      <c r="F12" s="50"/>
    </row>
    <row r="13" spans="2:6" ht="16" x14ac:dyDescent="0.2">
      <c r="C13" s="47" t="s">
        <v>17</v>
      </c>
      <c r="D13" s="37" t="s">
        <v>297</v>
      </c>
      <c r="E13" s="48"/>
      <c r="F13" s="50"/>
    </row>
    <row r="14" spans="2:6" ht="16" x14ac:dyDescent="0.2">
      <c r="C14" s="47" t="s">
        <v>20</v>
      </c>
      <c r="D14" s="37" t="s">
        <v>21</v>
      </c>
      <c r="E14" s="48"/>
    </row>
    <row r="15" spans="2:6" x14ac:dyDescent="0.2">
      <c r="C15" s="47"/>
      <c r="D15" s="48"/>
      <c r="E15" s="48"/>
      <c r="F15" s="41" t="s">
        <v>22</v>
      </c>
    </row>
    <row r="16" spans="2:6" x14ac:dyDescent="0.2">
      <c r="C16" s="47"/>
      <c r="D16" s="48"/>
      <c r="E16" s="48"/>
      <c r="F16" s="40" t="s">
        <v>298</v>
      </c>
    </row>
    <row r="17" spans="3:8" ht="20" x14ac:dyDescent="0.2">
      <c r="C17" s="46" t="s">
        <v>24</v>
      </c>
      <c r="D17" s="48"/>
      <c r="E17" s="48"/>
      <c r="F17" s="40" t="s">
        <v>299</v>
      </c>
    </row>
    <row r="18" spans="3:8" ht="16" x14ac:dyDescent="0.2">
      <c r="C18" s="47" t="s">
        <v>25</v>
      </c>
      <c r="D18" s="44" t="s">
        <v>24</v>
      </c>
      <c r="E18" s="48"/>
      <c r="F18" s="51"/>
    </row>
    <row r="19" spans="3:8" ht="16" x14ac:dyDescent="0.2">
      <c r="C19" s="47" t="s">
        <v>26</v>
      </c>
      <c r="D19" s="52">
        <v>10</v>
      </c>
      <c r="E19" s="48"/>
    </row>
    <row r="20" spans="3:8" ht="16" x14ac:dyDescent="0.2">
      <c r="C20" s="47" t="s">
        <v>27</v>
      </c>
      <c r="D20" s="52">
        <v>10</v>
      </c>
      <c r="E20" s="48"/>
      <c r="F20" s="51"/>
    </row>
    <row r="21" spans="3:8" ht="16" x14ac:dyDescent="0.2">
      <c r="C21" s="47" t="s">
        <v>28</v>
      </c>
      <c r="D21" s="52"/>
      <c r="E21" s="48"/>
    </row>
    <row r="22" spans="3:8" ht="16" x14ac:dyDescent="0.2">
      <c r="C22" s="47" t="s">
        <v>29</v>
      </c>
      <c r="D22" s="52"/>
      <c r="E22" s="48"/>
      <c r="F22" s="41" t="s">
        <v>30</v>
      </c>
      <c r="G22" s="41" t="s">
        <v>300</v>
      </c>
    </row>
    <row r="23" spans="3:8" ht="16" x14ac:dyDescent="0.2">
      <c r="C23" s="47" t="s">
        <v>31</v>
      </c>
      <c r="D23" s="52"/>
      <c r="E23" s="48"/>
      <c r="F23" s="36"/>
      <c r="G23" s="36"/>
    </row>
    <row r="24" spans="3:8" ht="16" x14ac:dyDescent="0.2">
      <c r="C24" s="47" t="s">
        <v>33</v>
      </c>
      <c r="D24" s="44">
        <f>SUM(D19:D23)</f>
        <v>20</v>
      </c>
      <c r="E24" s="48"/>
      <c r="F24" s="36"/>
      <c r="G24" s="36"/>
    </row>
    <row r="25" spans="3:8" x14ac:dyDescent="0.2">
      <c r="F25" s="36"/>
      <c r="G25" s="36"/>
    </row>
    <row r="26" spans="3:8" x14ac:dyDescent="0.2">
      <c r="F26" s="36"/>
      <c r="G26" s="36"/>
    </row>
    <row r="27" spans="3:8" ht="20" x14ac:dyDescent="0.2">
      <c r="C27" s="46" t="s">
        <v>34</v>
      </c>
      <c r="D27" s="53" t="s">
        <v>35</v>
      </c>
      <c r="F27" s="36"/>
      <c r="G27" s="36"/>
    </row>
    <row r="28" spans="3:8" ht="16" x14ac:dyDescent="0.2">
      <c r="C28" s="47" t="s">
        <v>36</v>
      </c>
      <c r="D28" s="47" t="s">
        <v>37</v>
      </c>
      <c r="E28" s="47"/>
      <c r="F28" s="36"/>
      <c r="G28" s="36"/>
    </row>
    <row r="29" spans="3:8" ht="16" x14ac:dyDescent="0.2">
      <c r="C29" s="47" t="s">
        <v>38</v>
      </c>
      <c r="D29" s="54" t="s">
        <v>301</v>
      </c>
      <c r="E29" s="55"/>
      <c r="F29" s="56"/>
      <c r="G29" s="57"/>
      <c r="H29" s="57"/>
    </row>
    <row r="30" spans="3:8" ht="16" x14ac:dyDescent="0.2">
      <c r="C30" s="47" t="s">
        <v>40</v>
      </c>
      <c r="D30" s="54" t="s">
        <v>302</v>
      </c>
      <c r="E30" s="48"/>
      <c r="F30" s="58"/>
    </row>
    <row r="31" spans="3:8" ht="16" x14ac:dyDescent="0.2">
      <c r="C31" s="47" t="s">
        <v>42</v>
      </c>
      <c r="D31" s="54" t="s">
        <v>303</v>
      </c>
      <c r="E31" s="55"/>
      <c r="F31" s="56"/>
      <c r="G31" s="57"/>
      <c r="H31" s="57"/>
    </row>
    <row r="32" spans="3:8" ht="16" x14ac:dyDescent="0.2">
      <c r="C32" s="47" t="s">
        <v>43</v>
      </c>
      <c r="D32" s="54" t="s">
        <v>304</v>
      </c>
      <c r="E32" s="48"/>
      <c r="F32" s="58"/>
    </row>
    <row r="33" spans="3:8" x14ac:dyDescent="0.2">
      <c r="C33" s="47"/>
      <c r="D33" s="59"/>
    </row>
    <row r="34" spans="3:8" ht="20" x14ac:dyDescent="0.2">
      <c r="C34" s="46" t="s">
        <v>45</v>
      </c>
      <c r="D34" s="60"/>
    </row>
    <row r="35" spans="3:8" ht="16" x14ac:dyDescent="0.2">
      <c r="C35" s="47" t="s">
        <v>46</v>
      </c>
      <c r="D35" s="47" t="s">
        <v>47</v>
      </c>
      <c r="E35" s="47" t="s">
        <v>48</v>
      </c>
      <c r="F35" s="47" t="s">
        <v>49</v>
      </c>
      <c r="G35" s="47" t="s">
        <v>50</v>
      </c>
      <c r="H35" s="47" t="s">
        <v>51</v>
      </c>
    </row>
    <row r="36" spans="3:8" ht="16" x14ac:dyDescent="0.2">
      <c r="C36" s="47" t="s">
        <v>52</v>
      </c>
      <c r="D36" s="37" t="s">
        <v>111</v>
      </c>
      <c r="E36" s="37"/>
      <c r="F36" s="37" t="s">
        <v>305</v>
      </c>
      <c r="G36" s="61">
        <v>0.5</v>
      </c>
      <c r="H36" s="37"/>
    </row>
    <row r="37" spans="3:8" ht="16" x14ac:dyDescent="0.2">
      <c r="C37" s="47" t="s">
        <v>56</v>
      </c>
      <c r="D37" s="37" t="s">
        <v>53</v>
      </c>
      <c r="E37" s="37" t="s">
        <v>54</v>
      </c>
      <c r="F37" s="37" t="s">
        <v>306</v>
      </c>
      <c r="G37" s="61">
        <v>0.5</v>
      </c>
      <c r="H37" s="37"/>
    </row>
    <row r="38" spans="3:8" x14ac:dyDescent="0.2">
      <c r="C38" s="47"/>
      <c r="D38" s="36"/>
      <c r="E38" s="36"/>
      <c r="F38" s="36"/>
      <c r="G38" s="36"/>
      <c r="H38" s="36"/>
    </row>
    <row r="40" spans="3:8" ht="20" x14ac:dyDescent="0.2">
      <c r="C40" s="46" t="s">
        <v>63</v>
      </c>
      <c r="D40" s="53"/>
    </row>
    <row r="41" spans="3:8" ht="16" x14ac:dyDescent="0.2">
      <c r="C41" s="44" t="s">
        <v>46</v>
      </c>
      <c r="D41" s="44" t="s">
        <v>36</v>
      </c>
      <c r="E41" s="44" t="s">
        <v>64</v>
      </c>
      <c r="F41" s="44" t="s">
        <v>65</v>
      </c>
    </row>
    <row r="42" spans="3:8" x14ac:dyDescent="0.2">
      <c r="C42" s="62" t="s">
        <v>52</v>
      </c>
      <c r="D42" s="36" t="s">
        <v>38</v>
      </c>
      <c r="E42" s="36" t="s">
        <v>114</v>
      </c>
      <c r="F42" s="36" t="s">
        <v>216</v>
      </c>
    </row>
    <row r="43" spans="3:8" x14ac:dyDescent="0.2">
      <c r="C43" s="62" t="s">
        <v>52</v>
      </c>
      <c r="D43" s="36" t="s">
        <v>42</v>
      </c>
      <c r="E43" s="36" t="s">
        <v>72</v>
      </c>
      <c r="F43" s="36" t="s">
        <v>74</v>
      </c>
    </row>
    <row r="44" spans="3:8" x14ac:dyDescent="0.2">
      <c r="C44" s="62" t="s">
        <v>52</v>
      </c>
      <c r="D44" s="36" t="s">
        <v>43</v>
      </c>
      <c r="E44" s="36" t="s">
        <v>75</v>
      </c>
      <c r="F44" s="36" t="s">
        <v>76</v>
      </c>
    </row>
    <row r="45" spans="3:8" x14ac:dyDescent="0.2">
      <c r="C45" s="62" t="s">
        <v>56</v>
      </c>
      <c r="D45" s="36" t="s">
        <v>38</v>
      </c>
      <c r="E45" s="36" t="s">
        <v>162</v>
      </c>
      <c r="F45" s="36" t="s">
        <v>163</v>
      </c>
    </row>
    <row r="46" spans="3:8" x14ac:dyDescent="0.2">
      <c r="C46" s="62" t="s">
        <v>56</v>
      </c>
      <c r="D46" s="36" t="s">
        <v>40</v>
      </c>
      <c r="E46" s="36" t="s">
        <v>66</v>
      </c>
      <c r="F46" s="36" t="s">
        <v>67</v>
      </c>
    </row>
    <row r="47" spans="3:8" x14ac:dyDescent="0.2">
      <c r="C47" s="62"/>
      <c r="D47" s="36"/>
      <c r="E47" s="36"/>
      <c r="F47" s="36"/>
    </row>
    <row r="48" spans="3:8" x14ac:dyDescent="0.2">
      <c r="C48" s="62"/>
      <c r="D48" s="36"/>
      <c r="E48" s="36"/>
      <c r="F48" s="36"/>
    </row>
    <row r="49" spans="2:6" x14ac:dyDescent="0.2">
      <c r="C49" s="62"/>
      <c r="D49" s="36"/>
      <c r="E49" s="36"/>
      <c r="F49" s="36"/>
    </row>
    <row r="50" spans="2:6" x14ac:dyDescent="0.2">
      <c r="C50" s="62"/>
      <c r="D50" s="36"/>
      <c r="E50" s="36"/>
      <c r="F50" s="36"/>
    </row>
    <row r="51" spans="2:6" x14ac:dyDescent="0.2">
      <c r="C51" s="62"/>
      <c r="D51" s="36"/>
      <c r="E51" s="36"/>
      <c r="F51" s="36"/>
    </row>
    <row r="52" spans="2:6" x14ac:dyDescent="0.2">
      <c r="C52" s="62"/>
      <c r="D52" s="36"/>
      <c r="E52" s="36"/>
      <c r="F52" s="36"/>
    </row>
    <row r="53" spans="2:6" x14ac:dyDescent="0.2">
      <c r="C53" s="62"/>
      <c r="D53" s="36"/>
      <c r="E53" s="36"/>
      <c r="F53" s="36"/>
    </row>
    <row r="54" spans="2:6" x14ac:dyDescent="0.2">
      <c r="C54" s="62"/>
      <c r="D54" s="36"/>
      <c r="E54" s="36"/>
      <c r="F54" s="36"/>
    </row>
    <row r="55" spans="2:6" x14ac:dyDescent="0.2">
      <c r="C55" s="62"/>
      <c r="D55" s="36"/>
      <c r="E55" s="36"/>
      <c r="F55" s="36"/>
    </row>
    <row r="56" spans="2:6" x14ac:dyDescent="0.2">
      <c r="C56" s="62"/>
      <c r="D56" s="36"/>
      <c r="E56" s="36"/>
      <c r="F56" s="36"/>
    </row>
    <row r="58" spans="2:6" ht="20" x14ac:dyDescent="0.2">
      <c r="C58" s="46" t="s">
        <v>78</v>
      </c>
    </row>
    <row r="59" spans="2:6" ht="16" x14ac:dyDescent="0.2">
      <c r="B59" s="41" t="s">
        <v>79</v>
      </c>
      <c r="C59" s="44" t="s">
        <v>80</v>
      </c>
      <c r="D59" s="44" t="s">
        <v>81</v>
      </c>
      <c r="E59" s="44" t="s">
        <v>82</v>
      </c>
      <c r="F59" s="44" t="s">
        <v>83</v>
      </c>
    </row>
    <row r="60" spans="2:6" x14ac:dyDescent="0.2">
      <c r="B60" s="63">
        <v>1</v>
      </c>
      <c r="C60" s="44">
        <v>1</v>
      </c>
      <c r="D60" s="37"/>
      <c r="E60" s="37"/>
      <c r="F60" s="37"/>
    </row>
    <row r="61" spans="2:6" x14ac:dyDescent="0.2">
      <c r="B61" s="63">
        <v>1</v>
      </c>
      <c r="C61" s="44">
        <v>2</v>
      </c>
      <c r="D61" s="37"/>
      <c r="E61" s="37"/>
      <c r="F61" s="37"/>
    </row>
    <row r="62" spans="2:6" x14ac:dyDescent="0.2">
      <c r="B62" s="63">
        <v>1</v>
      </c>
      <c r="C62" s="44">
        <v>3</v>
      </c>
      <c r="D62" s="37"/>
      <c r="E62" s="37"/>
      <c r="F62" s="37"/>
    </row>
    <row r="63" spans="2:6" x14ac:dyDescent="0.2">
      <c r="B63" s="63">
        <v>1</v>
      </c>
      <c r="C63" s="44">
        <v>4</v>
      </c>
      <c r="D63" s="37"/>
      <c r="E63" s="37"/>
      <c r="F63" s="37"/>
    </row>
    <row r="64" spans="2:6" x14ac:dyDescent="0.2">
      <c r="B64" s="63">
        <v>1</v>
      </c>
      <c r="C64" s="44">
        <v>5</v>
      </c>
      <c r="D64" s="37"/>
      <c r="E64" s="37"/>
      <c r="F64" s="37"/>
    </row>
    <row r="65" spans="2:6" x14ac:dyDescent="0.2">
      <c r="B65" s="63">
        <v>1</v>
      </c>
      <c r="C65" s="44">
        <v>6</v>
      </c>
      <c r="D65" s="37"/>
      <c r="E65" s="37"/>
      <c r="F65" s="37"/>
    </row>
    <row r="66" spans="2:6" x14ac:dyDescent="0.2">
      <c r="B66" s="63">
        <v>1</v>
      </c>
      <c r="C66" s="44">
        <v>7</v>
      </c>
      <c r="D66" s="37"/>
      <c r="E66" s="37"/>
      <c r="F66" s="37"/>
    </row>
    <row r="67" spans="2:6" x14ac:dyDescent="0.2">
      <c r="B67" s="63">
        <v>1</v>
      </c>
      <c r="C67" s="44">
        <v>8</v>
      </c>
      <c r="D67" s="37"/>
      <c r="E67" s="37"/>
      <c r="F67" s="37"/>
    </row>
    <row r="68" spans="2:6" x14ac:dyDescent="0.2">
      <c r="B68" s="63">
        <v>1</v>
      </c>
      <c r="C68" s="44">
        <v>9</v>
      </c>
      <c r="D68" s="37"/>
      <c r="E68" s="37"/>
      <c r="F68" s="37"/>
    </row>
    <row r="69" spans="2:6" x14ac:dyDescent="0.2">
      <c r="B69" s="63">
        <v>1</v>
      </c>
      <c r="C69" s="44">
        <v>10</v>
      </c>
      <c r="D69" s="37"/>
      <c r="E69" s="37"/>
      <c r="F69" s="37"/>
    </row>
    <row r="70" spans="2:6" x14ac:dyDescent="0.2">
      <c r="B70" s="63">
        <v>1</v>
      </c>
      <c r="C70" s="44">
        <v>11</v>
      </c>
      <c r="D70" s="37"/>
      <c r="E70" s="37"/>
      <c r="F70" s="37"/>
    </row>
    <row r="71" spans="2:6" x14ac:dyDescent="0.2">
      <c r="B71" s="63">
        <v>1</v>
      </c>
      <c r="C71" s="44">
        <v>12</v>
      </c>
      <c r="D71" s="37"/>
      <c r="E71" s="37"/>
      <c r="F71" s="37"/>
    </row>
    <row r="72" spans="2:6" x14ac:dyDescent="0.2">
      <c r="B72" s="63">
        <v>2</v>
      </c>
      <c r="C72" s="44">
        <v>1</v>
      </c>
      <c r="D72" s="37"/>
      <c r="E72" s="37"/>
      <c r="F72" s="37"/>
    </row>
    <row r="73" spans="2:6" x14ac:dyDescent="0.2">
      <c r="B73" s="63">
        <v>2</v>
      </c>
      <c r="C73" s="44">
        <v>2</v>
      </c>
      <c r="D73" s="37"/>
      <c r="E73" s="37"/>
      <c r="F73" s="37"/>
    </row>
    <row r="74" spans="2:6" x14ac:dyDescent="0.2">
      <c r="B74" s="63">
        <v>2</v>
      </c>
      <c r="C74" s="44">
        <v>3</v>
      </c>
      <c r="D74" s="37"/>
      <c r="E74" s="37"/>
      <c r="F74" s="37"/>
    </row>
    <row r="75" spans="2:6" x14ac:dyDescent="0.2">
      <c r="B75" s="63">
        <v>2</v>
      </c>
      <c r="C75" s="44">
        <v>4</v>
      </c>
      <c r="D75" s="37"/>
      <c r="E75" s="37"/>
      <c r="F75" s="37"/>
    </row>
    <row r="76" spans="2:6" x14ac:dyDescent="0.2">
      <c r="B76" s="63">
        <v>2</v>
      </c>
      <c r="C76" s="44">
        <v>5</v>
      </c>
      <c r="D76" s="37"/>
      <c r="E76" s="37"/>
      <c r="F76" s="37"/>
    </row>
    <row r="77" spans="2:6" x14ac:dyDescent="0.2">
      <c r="B77" s="63">
        <v>2</v>
      </c>
      <c r="C77" s="44">
        <v>6</v>
      </c>
      <c r="D77" s="37"/>
      <c r="E77" s="37"/>
      <c r="F77" s="37"/>
    </row>
    <row r="78" spans="2:6" x14ac:dyDescent="0.2">
      <c r="B78" s="63">
        <v>2</v>
      </c>
      <c r="C78" s="44">
        <v>7</v>
      </c>
      <c r="D78" s="37"/>
      <c r="E78" s="37"/>
      <c r="F78" s="37"/>
    </row>
    <row r="79" spans="2:6" x14ac:dyDescent="0.2">
      <c r="B79" s="63">
        <v>2</v>
      </c>
      <c r="C79" s="44">
        <v>8</v>
      </c>
      <c r="D79" s="37"/>
      <c r="E79" s="37"/>
      <c r="F79" s="37"/>
    </row>
    <row r="80" spans="2:6" x14ac:dyDescent="0.2">
      <c r="B80" s="63">
        <v>2</v>
      </c>
      <c r="C80" s="44">
        <v>9</v>
      </c>
      <c r="D80" s="37"/>
      <c r="E80" s="37"/>
      <c r="F80" s="37"/>
    </row>
    <row r="81" spans="2:6" x14ac:dyDescent="0.2">
      <c r="B81" s="63">
        <v>2</v>
      </c>
      <c r="C81" s="44">
        <v>10</v>
      </c>
      <c r="D81" s="37"/>
      <c r="E81" s="37"/>
      <c r="F81" s="37"/>
    </row>
    <row r="82" spans="2:6" x14ac:dyDescent="0.2">
      <c r="B82" s="63">
        <v>2</v>
      </c>
      <c r="C82" s="44">
        <v>11</v>
      </c>
      <c r="D82" s="37"/>
      <c r="E82" s="37"/>
      <c r="F82" s="37"/>
    </row>
    <row r="83" spans="2:6" x14ac:dyDescent="0.2">
      <c r="B83" s="63">
        <v>2</v>
      </c>
      <c r="C83" s="44">
        <v>12</v>
      </c>
      <c r="D83" s="37"/>
      <c r="E83" s="37"/>
      <c r="F83" s="37"/>
    </row>
  </sheetData>
  <sheetProtection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6:E37" xr:uid="{DFA2EEE3-AB9D-4F7C-8E30-3C3C00872C8A}">
      <formula1>INDIRECT("LISTAssess[Assessment Specific]")</formula1>
    </dataValidation>
    <dataValidation type="list" allowBlank="1" showInputMessage="1" showErrorMessage="1" sqref="F42:F56" xr:uid="{BD0B3AD5-4A05-466E-9EAF-E466604786A1}">
      <formula1>INDIRECT(VLOOKUP($E42, SkillNameMap, 2, FALSE))</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1AB77DFB-5427-40D4-BAEB-24C786FA7A86}">
          <x14:formula1>
            <xm:f>LISTS!$E$7:$E$11</xm:f>
          </x14:formula1>
          <xm:sqref>D42:D56</xm:sqref>
        </x14:dataValidation>
        <x14:dataValidation type="list" allowBlank="1" showInputMessage="1" showErrorMessage="1" xr:uid="{EB948922-0A22-4BD6-8094-4C6953146F85}">
          <x14:formula1>
            <xm:f>LISTS!$J$7:$J$16</xm:f>
          </x14:formula1>
          <xm:sqref>E42:E56</xm:sqref>
        </x14:dataValidation>
        <x14:dataValidation type="list" allowBlank="1" showInputMessage="1" showErrorMessage="1" xr:uid="{20095D0C-07FE-4EE7-BFEC-317D253839B4}">
          <x14:formula1>
            <xm:f>LISTS!$G$7:$G$11</xm:f>
          </x14:formula1>
          <xm:sqref>D36:D37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baseColWidth="10" defaultColWidth="8.83203125" defaultRowHeight="15" x14ac:dyDescent="0.2"/>
  <cols>
    <col min="7" max="7" width="11.33203125" customWidth="1"/>
    <col min="10" max="10" width="19.33203125" bestFit="1" customWidth="1"/>
    <col min="19" max="19" width="28.33203125" customWidth="1"/>
    <col min="20" max="20" width="16.1640625" customWidth="1"/>
  </cols>
  <sheetData>
    <row r="4" spans="3:10" x14ac:dyDescent="0.2">
      <c r="C4" t="s">
        <v>350</v>
      </c>
      <c r="E4" t="s">
        <v>351</v>
      </c>
      <c r="G4" t="s">
        <v>351</v>
      </c>
      <c r="J4" t="s">
        <v>352</v>
      </c>
    </row>
    <row r="7" spans="3:10" ht="15.75" customHeight="1" x14ac:dyDescent="0.2">
      <c r="C7" s="7">
        <v>1</v>
      </c>
      <c r="E7" t="s">
        <v>38</v>
      </c>
      <c r="G7" t="s">
        <v>111</v>
      </c>
      <c r="J7" t="s">
        <v>114</v>
      </c>
    </row>
    <row r="8" spans="3:10" x14ac:dyDescent="0.2">
      <c r="C8" s="7">
        <v>2</v>
      </c>
      <c r="E8" t="s">
        <v>40</v>
      </c>
      <c r="G8" t="s">
        <v>212</v>
      </c>
      <c r="J8" t="s">
        <v>183</v>
      </c>
    </row>
    <row r="9" spans="3:10" x14ac:dyDescent="0.2">
      <c r="C9" s="7" t="s">
        <v>293</v>
      </c>
      <c r="E9" t="s">
        <v>42</v>
      </c>
      <c r="G9" t="s">
        <v>53</v>
      </c>
      <c r="J9" t="s">
        <v>75</v>
      </c>
    </row>
    <row r="10" spans="3:10" x14ac:dyDescent="0.2">
      <c r="E10" t="s">
        <v>43</v>
      </c>
      <c r="G10" t="s">
        <v>28</v>
      </c>
      <c r="J10" t="s">
        <v>117</v>
      </c>
    </row>
    <row r="11" spans="3:10" x14ac:dyDescent="0.2">
      <c r="C11" s="7">
        <v>3</v>
      </c>
      <c r="E11" t="s">
        <v>44</v>
      </c>
      <c r="G11" t="s">
        <v>57</v>
      </c>
      <c r="J11" t="s">
        <v>72</v>
      </c>
    </row>
    <row r="12" spans="3:10" x14ac:dyDescent="0.2">
      <c r="C12" s="7">
        <v>4</v>
      </c>
      <c r="J12" t="s">
        <v>66</v>
      </c>
    </row>
    <row r="13" spans="3:10" x14ac:dyDescent="0.2">
      <c r="C13" s="7">
        <v>5</v>
      </c>
      <c r="J13" t="s">
        <v>162</v>
      </c>
    </row>
    <row r="14" spans="3:10" x14ac:dyDescent="0.2">
      <c r="C14" s="7">
        <v>6</v>
      </c>
      <c r="G14" t="s">
        <v>48</v>
      </c>
      <c r="J14" t="s">
        <v>253</v>
      </c>
    </row>
    <row r="15" spans="3:10" x14ac:dyDescent="0.2">
      <c r="C15" s="7">
        <v>7</v>
      </c>
      <c r="G15" t="s">
        <v>321</v>
      </c>
      <c r="J15" t="s">
        <v>70</v>
      </c>
    </row>
    <row r="16" spans="3:10" x14ac:dyDescent="0.2">
      <c r="G16" t="s">
        <v>58</v>
      </c>
      <c r="J16" t="s">
        <v>353</v>
      </c>
    </row>
    <row r="17" spans="3:20" x14ac:dyDescent="0.2">
      <c r="C17" t="s">
        <v>297</v>
      </c>
      <c r="G17" t="s">
        <v>341</v>
      </c>
    </row>
    <row r="18" spans="3:20" x14ac:dyDescent="0.2">
      <c r="C18" t="s">
        <v>354</v>
      </c>
      <c r="G18" t="s">
        <v>112</v>
      </c>
    </row>
    <row r="19" spans="3:20" x14ac:dyDescent="0.2">
      <c r="C19" t="s">
        <v>355</v>
      </c>
      <c r="G19" t="s">
        <v>109</v>
      </c>
      <c r="J19" t="s">
        <v>356</v>
      </c>
      <c r="K19" t="s">
        <v>357</v>
      </c>
    </row>
    <row r="20" spans="3:20" x14ac:dyDescent="0.2">
      <c r="C20" t="s">
        <v>358</v>
      </c>
      <c r="G20" t="s">
        <v>54</v>
      </c>
      <c r="J20" t="s">
        <v>114</v>
      </c>
      <c r="K20" t="s">
        <v>216</v>
      </c>
      <c r="O20" s="9" t="s">
        <v>359</v>
      </c>
      <c r="S20" s="14" t="s">
        <v>360</v>
      </c>
      <c r="T20" s="15" t="s">
        <v>361</v>
      </c>
    </row>
    <row r="21" spans="3:20" x14ac:dyDescent="0.2">
      <c r="C21" t="s">
        <v>362</v>
      </c>
      <c r="G21" t="s">
        <v>157</v>
      </c>
      <c r="J21" t="s">
        <v>114</v>
      </c>
      <c r="K21" t="s">
        <v>116</v>
      </c>
      <c r="O21" t="str" cm="1">
        <f t="array" ref="O21:O26">_xlfn._xlws.FILTER(LISTS_Table[Skill],LISTS_Table[Category]="Scientific Knowledge")</f>
        <v>Critical thinking</v>
      </c>
      <c r="S21" s="16" t="s">
        <v>114</v>
      </c>
      <c r="T21" s="17" t="s">
        <v>363</v>
      </c>
    </row>
    <row r="22" spans="3:20" x14ac:dyDescent="0.2">
      <c r="C22" t="s">
        <v>18</v>
      </c>
      <c r="G22" t="s">
        <v>213</v>
      </c>
      <c r="J22" t="s">
        <v>114</v>
      </c>
      <c r="K22" t="s">
        <v>115</v>
      </c>
      <c r="O22" t="str">
        <v>Scientific literacy</v>
      </c>
      <c r="S22" s="18" t="s">
        <v>183</v>
      </c>
      <c r="T22" s="19" t="s">
        <v>364</v>
      </c>
    </row>
    <row r="23" spans="3:20" x14ac:dyDescent="0.2">
      <c r="G23" t="s">
        <v>328</v>
      </c>
      <c r="J23" t="s">
        <v>114</v>
      </c>
      <c r="K23" t="s">
        <v>365</v>
      </c>
      <c r="O23" t="str">
        <v>Information retrieval</v>
      </c>
      <c r="S23" s="16" t="s">
        <v>75</v>
      </c>
      <c r="T23" s="17" t="s">
        <v>366</v>
      </c>
    </row>
    <row r="24" spans="3:20" x14ac:dyDescent="0.2">
      <c r="G24" t="s">
        <v>367</v>
      </c>
      <c r="J24" t="s">
        <v>114</v>
      </c>
      <c r="K24" t="s">
        <v>181</v>
      </c>
      <c r="O24" t="str">
        <v>Knowledge synthesis</v>
      </c>
      <c r="S24" s="18" t="s">
        <v>117</v>
      </c>
      <c r="T24" s="19" t="s">
        <v>368</v>
      </c>
    </row>
    <row r="25" spans="3:20" x14ac:dyDescent="0.2">
      <c r="G25" t="s">
        <v>159</v>
      </c>
      <c r="J25" t="s">
        <v>114</v>
      </c>
      <c r="K25" t="s">
        <v>369</v>
      </c>
      <c r="O25" t="str">
        <v>Domian-specfic analytical skills</v>
      </c>
      <c r="S25" s="16" t="s">
        <v>72</v>
      </c>
      <c r="T25" s="17" t="s">
        <v>370</v>
      </c>
    </row>
    <row r="26" spans="3:20" x14ac:dyDescent="0.2">
      <c r="C26" t="s">
        <v>21</v>
      </c>
      <c r="G26" t="s">
        <v>371</v>
      </c>
      <c r="J26" t="s">
        <v>183</v>
      </c>
      <c r="K26" t="s">
        <v>372</v>
      </c>
      <c r="O26" t="str">
        <v>Evidence evaluation</v>
      </c>
      <c r="S26" s="18" t="s">
        <v>66</v>
      </c>
      <c r="T26" s="19" t="s">
        <v>66</v>
      </c>
    </row>
    <row r="27" spans="3:20" x14ac:dyDescent="0.2">
      <c r="C27" t="s">
        <v>373</v>
      </c>
      <c r="G27" t="s">
        <v>326</v>
      </c>
      <c r="J27" t="s">
        <v>183</v>
      </c>
      <c r="K27" t="s">
        <v>217</v>
      </c>
      <c r="S27" s="16" t="s">
        <v>162</v>
      </c>
      <c r="T27" s="17" t="s">
        <v>374</v>
      </c>
    </row>
    <row r="28" spans="3:20" x14ac:dyDescent="0.2">
      <c r="C28" t="s">
        <v>375</v>
      </c>
      <c r="G28" t="s">
        <v>323</v>
      </c>
      <c r="J28" t="s">
        <v>183</v>
      </c>
      <c r="K28" t="s">
        <v>198</v>
      </c>
      <c r="O28" s="6" t="s">
        <v>376</v>
      </c>
      <c r="S28" s="18" t="s">
        <v>253</v>
      </c>
      <c r="T28" s="19" t="s">
        <v>377</v>
      </c>
    </row>
    <row r="29" spans="3:20" x14ac:dyDescent="0.2">
      <c r="C29" t="s">
        <v>378</v>
      </c>
      <c r="J29" t="s">
        <v>183</v>
      </c>
      <c r="K29" t="s">
        <v>379</v>
      </c>
      <c r="O29" t="str" cm="1">
        <f t="array" ref="O29:O34">_xlfn._xlws.FILTER(LISTS_Table[Skill],LISTS_Table[Category]="Technical Skills")</f>
        <v>Laboratory/clinical techniques</v>
      </c>
      <c r="S29" s="16" t="s">
        <v>70</v>
      </c>
      <c r="T29" s="17" t="s">
        <v>380</v>
      </c>
    </row>
    <row r="30" spans="3:20" x14ac:dyDescent="0.2">
      <c r="C30" t="s">
        <v>381</v>
      </c>
      <c r="J30" t="s">
        <v>183</v>
      </c>
      <c r="K30" t="s">
        <v>184</v>
      </c>
      <c r="O30" t="str">
        <v>Data collection</v>
      </c>
      <c r="S30" s="13" t="s">
        <v>353</v>
      </c>
      <c r="T30" s="11" t="s">
        <v>382</v>
      </c>
    </row>
    <row r="31" spans="3:20" x14ac:dyDescent="0.2">
      <c r="C31" t="s">
        <v>383</v>
      </c>
      <c r="J31" t="s">
        <v>183</v>
      </c>
      <c r="K31" t="s">
        <v>384</v>
      </c>
      <c r="O31" t="str">
        <v>Data analysis</v>
      </c>
    </row>
    <row r="32" spans="3:20" x14ac:dyDescent="0.2">
      <c r="C32" t="s">
        <v>385</v>
      </c>
      <c r="J32" t="s">
        <v>75</v>
      </c>
      <c r="K32" t="s">
        <v>182</v>
      </c>
      <c r="O32" t="str">
        <v>Digital literacy</v>
      </c>
    </row>
    <row r="33" spans="3:15" x14ac:dyDescent="0.2">
      <c r="C33" t="s">
        <v>386</v>
      </c>
      <c r="J33" t="s">
        <v>75</v>
      </c>
      <c r="K33" t="s">
        <v>387</v>
      </c>
      <c r="O33" t="str">
        <v>Equipment and technology utilisation</v>
      </c>
    </row>
    <row r="34" spans="3:15" x14ac:dyDescent="0.2">
      <c r="C34" t="s">
        <v>388</v>
      </c>
      <c r="J34" t="s">
        <v>75</v>
      </c>
      <c r="K34" t="s">
        <v>76</v>
      </c>
      <c r="O34" t="str">
        <v>Technical proficiency</v>
      </c>
    </row>
    <row r="35" spans="3:15" x14ac:dyDescent="0.2">
      <c r="C35" t="s">
        <v>389</v>
      </c>
      <c r="J35" t="s">
        <v>75</v>
      </c>
      <c r="K35" t="s">
        <v>119</v>
      </c>
    </row>
    <row r="36" spans="3:15" x14ac:dyDescent="0.2">
      <c r="C36" t="s">
        <v>390</v>
      </c>
      <c r="J36" t="s">
        <v>75</v>
      </c>
      <c r="K36" t="s">
        <v>391</v>
      </c>
      <c r="O36" s="9" t="s">
        <v>392</v>
      </c>
    </row>
    <row r="37" spans="3:15" x14ac:dyDescent="0.2">
      <c r="C37" t="s">
        <v>393</v>
      </c>
      <c r="J37" t="s">
        <v>75</v>
      </c>
      <c r="K37" t="s">
        <v>394</v>
      </c>
      <c r="O37" t="str" cm="1">
        <f t="array" ref="O37:O42">_xlfn._xlws.FILTER(LISTS_Table[Skill],LISTS_Table[Category]="Application of Knowledge and skills")</f>
        <v>Decision-making</v>
      </c>
    </row>
    <row r="38" spans="3:15" x14ac:dyDescent="0.2">
      <c r="J38" t="s">
        <v>117</v>
      </c>
      <c r="K38" t="s">
        <v>395</v>
      </c>
      <c r="O38" t="str">
        <v>Translational practice</v>
      </c>
    </row>
    <row r="39" spans="3:15" x14ac:dyDescent="0.2">
      <c r="J39" t="s">
        <v>117</v>
      </c>
      <c r="K39" t="s">
        <v>396</v>
      </c>
      <c r="O39" t="str">
        <v>Contextual application</v>
      </c>
    </row>
    <row r="40" spans="3:15" x14ac:dyDescent="0.2">
      <c r="J40" t="s">
        <v>117</v>
      </c>
      <c r="K40" t="s">
        <v>397</v>
      </c>
      <c r="O40" t="str">
        <v>Professional judgement</v>
      </c>
    </row>
    <row r="41" spans="3:15" x14ac:dyDescent="0.2">
      <c r="J41" t="s">
        <v>117</v>
      </c>
      <c r="K41" t="s">
        <v>398</v>
      </c>
      <c r="O41" t="str">
        <v>Adaptability</v>
      </c>
    </row>
    <row r="42" spans="3:15" x14ac:dyDescent="0.2">
      <c r="J42" t="s">
        <v>117</v>
      </c>
      <c r="K42" t="s">
        <v>120</v>
      </c>
      <c r="O42" t="str">
        <v>Risk assessment</v>
      </c>
    </row>
    <row r="43" spans="3:15" x14ac:dyDescent="0.2">
      <c r="J43" t="s">
        <v>117</v>
      </c>
      <c r="K43" t="s">
        <v>118</v>
      </c>
    </row>
    <row r="44" spans="3:15" x14ac:dyDescent="0.2">
      <c r="J44" t="s">
        <v>72</v>
      </c>
      <c r="K44" t="s">
        <v>74</v>
      </c>
      <c r="O44" s="8" t="s">
        <v>117</v>
      </c>
    </row>
    <row r="45" spans="3:15" x14ac:dyDescent="0.2">
      <c r="J45" t="s">
        <v>72</v>
      </c>
      <c r="K45" t="s">
        <v>399</v>
      </c>
      <c r="O45" t="str" cm="1">
        <f t="array" ref="O45:O50">_xlfn._xlws.FILTER(LISTS_Table[Skill],LISTS_Table[Category]="Understanding and use of research")</f>
        <v>Reserch literacy</v>
      </c>
    </row>
    <row r="46" spans="3:15" x14ac:dyDescent="0.2">
      <c r="J46" t="s">
        <v>72</v>
      </c>
      <c r="K46" t="s">
        <v>400</v>
      </c>
      <c r="O46" t="str">
        <v>Literature searching</v>
      </c>
    </row>
    <row r="47" spans="3:15" x14ac:dyDescent="0.2">
      <c r="J47" t="s">
        <v>72</v>
      </c>
      <c r="K47" t="s">
        <v>73</v>
      </c>
      <c r="O47" t="str">
        <v>Critical appraisal</v>
      </c>
    </row>
    <row r="48" spans="3:15" x14ac:dyDescent="0.2">
      <c r="J48" t="s">
        <v>72</v>
      </c>
      <c r="K48" t="s">
        <v>77</v>
      </c>
      <c r="O48" t="str">
        <v>Data interpretation</v>
      </c>
    </row>
    <row r="49" spans="10:15" x14ac:dyDescent="0.2">
      <c r="J49" t="s">
        <v>72</v>
      </c>
      <c r="K49" t="s">
        <v>401</v>
      </c>
      <c r="O49" t="str">
        <v>Evidne-based practice</v>
      </c>
    </row>
    <row r="50" spans="10:15" x14ac:dyDescent="0.2">
      <c r="J50" t="s">
        <v>72</v>
      </c>
      <c r="K50" t="s">
        <v>402</v>
      </c>
      <c r="O50" t="str">
        <v>Research communication</v>
      </c>
    </row>
    <row r="51" spans="10:15" x14ac:dyDescent="0.2">
      <c r="J51" t="s">
        <v>66</v>
      </c>
      <c r="K51" t="s">
        <v>218</v>
      </c>
    </row>
    <row r="52" spans="10:15" x14ac:dyDescent="0.2">
      <c r="J52" t="s">
        <v>66</v>
      </c>
      <c r="K52" t="s">
        <v>67</v>
      </c>
      <c r="O52" s="8" t="s">
        <v>72</v>
      </c>
    </row>
    <row r="53" spans="10:15" x14ac:dyDescent="0.2">
      <c r="J53" t="s">
        <v>66</v>
      </c>
      <c r="K53" t="s">
        <v>403</v>
      </c>
      <c r="O53" t="str" cm="1">
        <f t="array" ref="O53:O59">_xlfn._xlws.FILTER(LISTS_Table[Skill],LISTS_Table[Category]="Self-evaluation and professional development")</f>
        <v>Reflective practice</v>
      </c>
    </row>
    <row r="54" spans="10:15" x14ac:dyDescent="0.2">
      <c r="J54" t="s">
        <v>66</v>
      </c>
      <c r="K54" t="s">
        <v>404</v>
      </c>
      <c r="O54" t="str">
        <v>Self-awareness</v>
      </c>
    </row>
    <row r="55" spans="10:15" x14ac:dyDescent="0.2">
      <c r="J55" t="s">
        <v>66</v>
      </c>
      <c r="K55" t="s">
        <v>69</v>
      </c>
      <c r="O55" t="str">
        <v>Lifelong learning</v>
      </c>
    </row>
    <row r="56" spans="10:15" x14ac:dyDescent="0.2">
      <c r="J56" t="s">
        <v>66</v>
      </c>
      <c r="K56" t="s">
        <v>68</v>
      </c>
      <c r="O56" t="str">
        <v>Personal development planning</v>
      </c>
    </row>
    <row r="57" spans="10:15" x14ac:dyDescent="0.2">
      <c r="J57" t="s">
        <v>162</v>
      </c>
      <c r="K57" t="s">
        <v>252</v>
      </c>
      <c r="O57" t="str">
        <v>Resilience</v>
      </c>
    </row>
    <row r="58" spans="10:15" x14ac:dyDescent="0.2">
      <c r="J58" t="s">
        <v>162</v>
      </c>
      <c r="K58" t="s">
        <v>405</v>
      </c>
      <c r="O58" t="str">
        <v>Initiative</v>
      </c>
    </row>
    <row r="59" spans="10:15" x14ac:dyDescent="0.2">
      <c r="J59" t="s">
        <v>162</v>
      </c>
      <c r="K59" t="s">
        <v>406</v>
      </c>
      <c r="O59" t="str">
        <v>Accountability</v>
      </c>
    </row>
    <row r="60" spans="10:15" x14ac:dyDescent="0.2">
      <c r="J60" t="s">
        <v>162</v>
      </c>
      <c r="K60" t="s">
        <v>163</v>
      </c>
    </row>
    <row r="61" spans="10:15" x14ac:dyDescent="0.2">
      <c r="J61" t="s">
        <v>162</v>
      </c>
      <c r="K61" t="s">
        <v>407</v>
      </c>
      <c r="O61" s="10" t="s">
        <v>66</v>
      </c>
    </row>
    <row r="62" spans="10:15" x14ac:dyDescent="0.2">
      <c r="J62" t="s">
        <v>162</v>
      </c>
      <c r="K62" t="s">
        <v>408</v>
      </c>
      <c r="O62" t="str" cm="1">
        <f t="array" ref="O62:O67">_xlfn._xlws.FILTER(LISTS_Table[Skill],LISTS_Table[Category]="Communication")</f>
        <v>Written communication</v>
      </c>
    </row>
    <row r="63" spans="10:15" x14ac:dyDescent="0.2">
      <c r="J63" t="s">
        <v>253</v>
      </c>
      <c r="K63" t="s">
        <v>409</v>
      </c>
      <c r="O63" t="str">
        <v>Oral presentation</v>
      </c>
    </row>
    <row r="64" spans="10:15" x14ac:dyDescent="0.2">
      <c r="J64" t="s">
        <v>253</v>
      </c>
      <c r="K64" t="s">
        <v>410</v>
      </c>
      <c r="O64" t="str">
        <v>Active listening</v>
      </c>
    </row>
    <row r="65" spans="10:15" x14ac:dyDescent="0.2">
      <c r="J65" t="s">
        <v>253</v>
      </c>
      <c r="K65" t="s">
        <v>411</v>
      </c>
      <c r="O65" t="str">
        <v>Scientific writing</v>
      </c>
    </row>
    <row r="66" spans="10:15" x14ac:dyDescent="0.2">
      <c r="J66" t="s">
        <v>253</v>
      </c>
      <c r="K66" t="s">
        <v>412</v>
      </c>
      <c r="O66" t="str">
        <v>Interpesronal communication</v>
      </c>
    </row>
    <row r="67" spans="10:15" x14ac:dyDescent="0.2">
      <c r="J67" t="s">
        <v>253</v>
      </c>
      <c r="K67" t="s">
        <v>254</v>
      </c>
      <c r="O67" t="str">
        <v>Digital communication</v>
      </c>
    </row>
    <row r="68" spans="10:15" x14ac:dyDescent="0.2">
      <c r="J68" t="s">
        <v>253</v>
      </c>
      <c r="K68" t="s">
        <v>413</v>
      </c>
    </row>
    <row r="69" spans="10:15" x14ac:dyDescent="0.2">
      <c r="J69" t="s">
        <v>253</v>
      </c>
      <c r="K69" t="s">
        <v>414</v>
      </c>
      <c r="O69" s="10" t="s">
        <v>162</v>
      </c>
    </row>
    <row r="70" spans="10:15" x14ac:dyDescent="0.2">
      <c r="J70" t="s">
        <v>253</v>
      </c>
      <c r="K70" t="s">
        <v>415</v>
      </c>
      <c r="O70" t="str" cm="1">
        <f t="array" ref="O70:O75">_xlfn._xlws.FILTER(LISTS_Table[Skill],LISTS_Table[Category]="Problem solving and impact")</f>
        <v>Analytical thinking</v>
      </c>
    </row>
    <row r="71" spans="10:15" x14ac:dyDescent="0.2">
      <c r="J71" t="s">
        <v>253</v>
      </c>
      <c r="K71" t="s">
        <v>416</v>
      </c>
      <c r="O71" t="str">
        <v>problem identification</v>
      </c>
    </row>
    <row r="72" spans="10:15" x14ac:dyDescent="0.2">
      <c r="J72" t="s">
        <v>70</v>
      </c>
      <c r="K72" t="s">
        <v>417</v>
      </c>
      <c r="O72" t="str">
        <v>Creative thinking</v>
      </c>
    </row>
    <row r="73" spans="10:15" x14ac:dyDescent="0.2">
      <c r="J73" t="s">
        <v>70</v>
      </c>
      <c r="K73" t="s">
        <v>418</v>
      </c>
      <c r="O73" t="str">
        <v>Evidence-based decision making</v>
      </c>
    </row>
    <row r="74" spans="10:15" x14ac:dyDescent="0.2">
      <c r="J74" t="s">
        <v>70</v>
      </c>
      <c r="K74" t="s">
        <v>164</v>
      </c>
      <c r="O74" t="str">
        <v>Innovation</v>
      </c>
    </row>
    <row r="75" spans="10:15" x14ac:dyDescent="0.2">
      <c r="J75" t="s">
        <v>70</v>
      </c>
      <c r="K75" t="s">
        <v>419</v>
      </c>
      <c r="O75" t="str">
        <v>Evaluation of outcomes</v>
      </c>
    </row>
    <row r="76" spans="10:15" x14ac:dyDescent="0.2">
      <c r="J76" t="s">
        <v>70</v>
      </c>
      <c r="K76" t="s">
        <v>71</v>
      </c>
    </row>
    <row r="77" spans="10:15" x14ac:dyDescent="0.2">
      <c r="J77" t="s">
        <v>353</v>
      </c>
      <c r="K77" t="s">
        <v>420</v>
      </c>
      <c r="O77" s="10" t="s">
        <v>253</v>
      </c>
    </row>
    <row r="78" spans="10:15" x14ac:dyDescent="0.2">
      <c r="J78" t="s">
        <v>353</v>
      </c>
      <c r="K78" t="s">
        <v>421</v>
      </c>
      <c r="O78" t="str" cm="1">
        <f t="array" ref="O78:O86">_xlfn._xlws.FILTER(LISTS_Table[Skill],LISTS_Table[Category]="Management of self and others")</f>
        <v>Leadership</v>
      </c>
    </row>
    <row r="79" spans="10:15" x14ac:dyDescent="0.2">
      <c r="J79" t="s">
        <v>353</v>
      </c>
      <c r="K79" t="s">
        <v>422</v>
      </c>
      <c r="O79" t="str">
        <v>Coaching and mentoring</v>
      </c>
    </row>
    <row r="80" spans="10:15" x14ac:dyDescent="0.2">
      <c r="J80" t="s">
        <v>353</v>
      </c>
      <c r="K80" t="s">
        <v>423</v>
      </c>
      <c r="O80" t="str">
        <v>Time management</v>
      </c>
    </row>
    <row r="81" spans="10:15" x14ac:dyDescent="0.2">
      <c r="J81" t="s">
        <v>353</v>
      </c>
      <c r="K81" t="s">
        <v>424</v>
      </c>
      <c r="O81" t="str">
        <v>Organisation</v>
      </c>
    </row>
    <row r="82" spans="10:15" x14ac:dyDescent="0.2">
      <c r="J82" t="s">
        <v>353</v>
      </c>
      <c r="K82" t="s">
        <v>425</v>
      </c>
      <c r="O82" t="str">
        <v>Delegation</v>
      </c>
    </row>
    <row r="83" spans="10:15" x14ac:dyDescent="0.2">
      <c r="J83" t="s">
        <v>353</v>
      </c>
      <c r="K83" t="s">
        <v>426</v>
      </c>
      <c r="O83" t="str">
        <v>Conflict resolution</v>
      </c>
    </row>
    <row r="84" spans="10:15" x14ac:dyDescent="0.2">
      <c r="O84" t="str">
        <v>Empathy</v>
      </c>
    </row>
    <row r="85" spans="10:15" x14ac:dyDescent="0.2">
      <c r="O85" t="str">
        <v>Multi-tasking</v>
      </c>
    </row>
    <row r="86" spans="10:15" x14ac:dyDescent="0.2">
      <c r="O86" t="str">
        <v>Resource management</v>
      </c>
    </row>
    <row r="88" spans="10:15" x14ac:dyDescent="0.2">
      <c r="O88" s="8" t="s">
        <v>70</v>
      </c>
    </row>
    <row r="89" spans="10:15" x14ac:dyDescent="0.2">
      <c r="O89" t="str" cm="1">
        <f t="array" ref="O89:O93">_xlfn._xlws.FILTER(LISTS_Table[Skill],LISTS_Table[Category]="Understanding the delivery environment")</f>
        <v>Organisational awareness</v>
      </c>
    </row>
    <row r="90" spans="10:15" x14ac:dyDescent="0.2">
      <c r="O90" t="str">
        <v>Policy interpretation</v>
      </c>
    </row>
    <row r="91" spans="10:15" x14ac:dyDescent="0.2">
      <c r="O91" t="str">
        <v>Stakeholder awareness</v>
      </c>
    </row>
    <row r="92" spans="10:15" x14ac:dyDescent="0.2">
      <c r="O92" t="str">
        <v>Service delivery</v>
      </c>
    </row>
    <row r="93" spans="10:15" x14ac:dyDescent="0.2">
      <c r="O93" t="str">
        <v>Professional awareness</v>
      </c>
    </row>
    <row r="95" spans="10:15" x14ac:dyDescent="0.2">
      <c r="O95" s="10" t="s">
        <v>427</v>
      </c>
    </row>
    <row r="96" spans="10:15" x14ac:dyDescent="0.2">
      <c r="O96" t="str" cm="1">
        <f t="array" ref="O96:O102">_xlfn._xlws.FILTER(LISTS_Table[Skill],LISTS_Table[Category]="Professional relationships and behaviours")</f>
        <v>Teamwork</v>
      </c>
    </row>
    <row r="97" spans="15:15" x14ac:dyDescent="0.2">
      <c r="O97" t="str">
        <v>Collaboration/multi-disciplinary working</v>
      </c>
    </row>
    <row r="98" spans="15:15" x14ac:dyDescent="0.2">
      <c r="O98" t="str">
        <v>Ethical practice</v>
      </c>
    </row>
    <row r="99" spans="15:15" x14ac:dyDescent="0.2">
      <c r="O99" t="str">
        <v>Professionalism</v>
      </c>
    </row>
    <row r="100" spans="15:15" x14ac:dyDescent="0.2">
      <c r="O100" t="str">
        <v>Cultural awareness and competence</v>
      </c>
    </row>
    <row r="101" spans="15:15" x14ac:dyDescent="0.2">
      <c r="O101" t="str">
        <v>Integrity</v>
      </c>
    </row>
    <row r="102" spans="15:15" x14ac:dyDescent="0.2">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3E6B-1848-469D-A045-952B9F4CDE0B}">
  <sheetPr codeName="Sheet10"/>
  <dimension ref="A1:I137"/>
  <sheetViews>
    <sheetView topLeftCell="A94" workbookViewId="0">
      <selection activeCell="K131" sqref="K131"/>
    </sheetView>
  </sheetViews>
  <sheetFormatPr baseColWidth="10" defaultColWidth="8.83203125" defaultRowHeight="15" x14ac:dyDescent="0.2"/>
  <cols>
    <col min="1" max="1" width="49" bestFit="1" customWidth="1"/>
    <col min="2" max="2" width="13.5" bestFit="1" customWidth="1"/>
    <col min="3" max="3" width="14.5" bestFit="1" customWidth="1"/>
    <col min="4" max="4" width="44.5" bestFit="1" customWidth="1"/>
    <col min="5" max="5" width="14.83203125" bestFit="1" customWidth="1"/>
    <col min="6" max="6" width="12.6640625" bestFit="1" customWidth="1"/>
    <col min="7" max="7" width="15.5" bestFit="1" customWidth="1"/>
    <col min="8" max="8" width="12.1640625" bestFit="1" customWidth="1"/>
    <col min="9" max="9" width="44.5" bestFit="1" customWidth="1"/>
  </cols>
  <sheetData>
    <row r="1" spans="1:9" x14ac:dyDescent="0.2">
      <c r="A1" t="s">
        <v>433</v>
      </c>
      <c r="B1" t="s">
        <v>308</v>
      </c>
      <c r="C1" t="s">
        <v>1</v>
      </c>
      <c r="D1" t="s">
        <v>2</v>
      </c>
      <c r="E1" t="s">
        <v>434</v>
      </c>
      <c r="F1" t="s">
        <v>435</v>
      </c>
      <c r="G1" t="s">
        <v>307</v>
      </c>
      <c r="H1" t="s">
        <v>436</v>
      </c>
      <c r="I1" t="s">
        <v>437</v>
      </c>
    </row>
    <row r="2" spans="1:9" x14ac:dyDescent="0.2">
      <c r="A2" t="s">
        <v>310</v>
      </c>
      <c r="B2" t="s">
        <v>438</v>
      </c>
      <c r="C2" t="s">
        <v>4</v>
      </c>
      <c r="D2" t="s">
        <v>5</v>
      </c>
      <c r="E2" t="s">
        <v>5</v>
      </c>
      <c r="F2" t="s">
        <v>428</v>
      </c>
      <c r="G2" t="s">
        <v>21</v>
      </c>
      <c r="H2" t="s">
        <v>309</v>
      </c>
      <c r="I2" t="s">
        <v>8</v>
      </c>
    </row>
    <row r="3" spans="1:9" x14ac:dyDescent="0.2">
      <c r="A3" t="s">
        <v>310</v>
      </c>
      <c r="B3" t="s">
        <v>438</v>
      </c>
      <c r="C3" t="s">
        <v>7</v>
      </c>
      <c r="D3" t="s">
        <v>8</v>
      </c>
      <c r="E3" t="s">
        <v>5</v>
      </c>
      <c r="F3" t="s">
        <v>428</v>
      </c>
      <c r="G3" t="s">
        <v>21</v>
      </c>
      <c r="H3" t="s">
        <v>309</v>
      </c>
      <c r="I3" t="s">
        <v>8</v>
      </c>
    </row>
    <row r="4" spans="1:9" x14ac:dyDescent="0.2">
      <c r="A4" t="s">
        <v>310</v>
      </c>
      <c r="B4" t="s">
        <v>438</v>
      </c>
      <c r="C4" t="s">
        <v>9</v>
      </c>
      <c r="D4">
        <v>20</v>
      </c>
      <c r="E4" t="s">
        <v>5</v>
      </c>
      <c r="F4" t="s">
        <v>428</v>
      </c>
      <c r="G4" t="s">
        <v>21</v>
      </c>
      <c r="H4" t="s">
        <v>309</v>
      </c>
      <c r="I4" t="s">
        <v>8</v>
      </c>
    </row>
    <row r="5" spans="1:9" x14ac:dyDescent="0.2">
      <c r="A5" t="s">
        <v>310</v>
      </c>
      <c r="B5" t="s">
        <v>438</v>
      </c>
      <c r="C5" t="s">
        <v>10</v>
      </c>
      <c r="D5">
        <v>1</v>
      </c>
      <c r="E5" t="s">
        <v>5</v>
      </c>
      <c r="F5" t="s">
        <v>428</v>
      </c>
      <c r="G5" t="s">
        <v>21</v>
      </c>
      <c r="H5" t="s">
        <v>309</v>
      </c>
      <c r="I5" t="s">
        <v>8</v>
      </c>
    </row>
    <row r="6" spans="1:9" x14ac:dyDescent="0.2">
      <c r="A6" t="s">
        <v>310</v>
      </c>
      <c r="B6" t="s">
        <v>438</v>
      </c>
      <c r="C6" t="s">
        <v>12</v>
      </c>
      <c r="D6">
        <v>4</v>
      </c>
      <c r="E6" t="s">
        <v>5</v>
      </c>
      <c r="F6" t="s">
        <v>428</v>
      </c>
      <c r="G6" t="s">
        <v>21</v>
      </c>
      <c r="H6" t="s">
        <v>309</v>
      </c>
      <c r="I6" t="s">
        <v>8</v>
      </c>
    </row>
    <row r="7" spans="1:9" x14ac:dyDescent="0.2">
      <c r="A7" t="s">
        <v>310</v>
      </c>
      <c r="B7" t="s">
        <v>438</v>
      </c>
      <c r="C7" t="s">
        <v>14</v>
      </c>
      <c r="D7" t="s">
        <v>15</v>
      </c>
      <c r="E7" t="s">
        <v>5</v>
      </c>
      <c r="F7" t="s">
        <v>428</v>
      </c>
      <c r="G7" t="s">
        <v>21</v>
      </c>
      <c r="H7" t="s">
        <v>309</v>
      </c>
      <c r="I7" t="s">
        <v>8</v>
      </c>
    </row>
    <row r="8" spans="1:9" x14ac:dyDescent="0.2">
      <c r="A8" t="s">
        <v>310</v>
      </c>
      <c r="B8" t="s">
        <v>438</v>
      </c>
      <c r="C8" t="s">
        <v>17</v>
      </c>
      <c r="D8" t="s">
        <v>18</v>
      </c>
      <c r="E8" t="s">
        <v>5</v>
      </c>
      <c r="F8" t="s">
        <v>428</v>
      </c>
      <c r="G8" t="s">
        <v>21</v>
      </c>
      <c r="H8" t="s">
        <v>309</v>
      </c>
      <c r="I8" t="s">
        <v>8</v>
      </c>
    </row>
    <row r="9" spans="1:9" x14ac:dyDescent="0.2">
      <c r="A9" t="s">
        <v>310</v>
      </c>
      <c r="B9" t="s">
        <v>438</v>
      </c>
      <c r="C9" t="s">
        <v>20</v>
      </c>
      <c r="D9" t="s">
        <v>21</v>
      </c>
      <c r="E9" t="s">
        <v>5</v>
      </c>
      <c r="F9" t="s">
        <v>428</v>
      </c>
      <c r="G9" t="s">
        <v>21</v>
      </c>
      <c r="H9" t="s">
        <v>309</v>
      </c>
      <c r="I9" t="s">
        <v>8</v>
      </c>
    </row>
    <row r="10" spans="1:9" x14ac:dyDescent="0.2">
      <c r="A10" t="s">
        <v>310</v>
      </c>
      <c r="B10" t="s">
        <v>439</v>
      </c>
      <c r="C10" t="s">
        <v>4</v>
      </c>
      <c r="D10" t="s">
        <v>96</v>
      </c>
      <c r="E10" t="s">
        <v>96</v>
      </c>
      <c r="F10" t="s">
        <v>428</v>
      </c>
      <c r="G10" t="s">
        <v>21</v>
      </c>
      <c r="H10" t="s">
        <v>309</v>
      </c>
      <c r="I10" t="s">
        <v>98</v>
      </c>
    </row>
    <row r="11" spans="1:9" x14ac:dyDescent="0.2">
      <c r="A11" t="s">
        <v>310</v>
      </c>
      <c r="B11" t="s">
        <v>439</v>
      </c>
      <c r="C11" t="s">
        <v>7</v>
      </c>
      <c r="D11" t="s">
        <v>98</v>
      </c>
      <c r="E11" t="s">
        <v>96</v>
      </c>
      <c r="F11" t="s">
        <v>428</v>
      </c>
      <c r="G11" t="s">
        <v>21</v>
      </c>
      <c r="H11" t="s">
        <v>309</v>
      </c>
      <c r="I11" t="s">
        <v>98</v>
      </c>
    </row>
    <row r="12" spans="1:9" x14ac:dyDescent="0.2">
      <c r="A12" t="s">
        <v>310</v>
      </c>
      <c r="B12" t="s">
        <v>439</v>
      </c>
      <c r="C12" t="s">
        <v>9</v>
      </c>
      <c r="D12">
        <v>20</v>
      </c>
      <c r="E12" t="s">
        <v>96</v>
      </c>
      <c r="F12" t="s">
        <v>428</v>
      </c>
      <c r="G12" t="s">
        <v>21</v>
      </c>
      <c r="H12" t="s">
        <v>309</v>
      </c>
      <c r="I12" t="s">
        <v>98</v>
      </c>
    </row>
    <row r="13" spans="1:9" x14ac:dyDescent="0.2">
      <c r="A13" t="s">
        <v>310</v>
      </c>
      <c r="B13" t="s">
        <v>439</v>
      </c>
      <c r="C13" t="s">
        <v>10</v>
      </c>
      <c r="D13">
        <v>2</v>
      </c>
      <c r="E13" t="s">
        <v>96</v>
      </c>
      <c r="F13" t="s">
        <v>428</v>
      </c>
      <c r="G13" t="s">
        <v>21</v>
      </c>
      <c r="H13" t="s">
        <v>309</v>
      </c>
      <c r="I13" t="s">
        <v>98</v>
      </c>
    </row>
    <row r="14" spans="1:9" x14ac:dyDescent="0.2">
      <c r="A14" t="s">
        <v>310</v>
      </c>
      <c r="B14" t="s">
        <v>439</v>
      </c>
      <c r="C14" t="s">
        <v>12</v>
      </c>
      <c r="D14">
        <v>4</v>
      </c>
      <c r="E14" t="s">
        <v>96</v>
      </c>
      <c r="F14" t="s">
        <v>428</v>
      </c>
      <c r="G14" t="s">
        <v>21</v>
      </c>
      <c r="H14" t="s">
        <v>309</v>
      </c>
      <c r="I14" t="s">
        <v>98</v>
      </c>
    </row>
    <row r="15" spans="1:9" x14ac:dyDescent="0.2">
      <c r="A15" t="s">
        <v>310</v>
      </c>
      <c r="B15" t="s">
        <v>439</v>
      </c>
      <c r="C15" t="s">
        <v>14</v>
      </c>
      <c r="D15" t="s">
        <v>101</v>
      </c>
      <c r="E15" t="s">
        <v>96</v>
      </c>
      <c r="F15" t="s">
        <v>428</v>
      </c>
      <c r="G15" t="s">
        <v>21</v>
      </c>
      <c r="H15" t="s">
        <v>309</v>
      </c>
      <c r="I15" t="s">
        <v>98</v>
      </c>
    </row>
    <row r="16" spans="1:9" x14ac:dyDescent="0.2">
      <c r="A16" t="s">
        <v>310</v>
      </c>
      <c r="B16" t="s">
        <v>439</v>
      </c>
      <c r="C16" t="s">
        <v>17</v>
      </c>
      <c r="D16" t="s">
        <v>18</v>
      </c>
      <c r="E16" t="s">
        <v>96</v>
      </c>
      <c r="F16" t="s">
        <v>428</v>
      </c>
      <c r="G16" t="s">
        <v>21</v>
      </c>
      <c r="H16" t="s">
        <v>309</v>
      </c>
      <c r="I16" t="s">
        <v>98</v>
      </c>
    </row>
    <row r="17" spans="1:9" x14ac:dyDescent="0.2">
      <c r="A17" t="s">
        <v>310</v>
      </c>
      <c r="B17" t="s">
        <v>439</v>
      </c>
      <c r="C17" t="s">
        <v>20</v>
      </c>
      <c r="D17" t="s">
        <v>21</v>
      </c>
      <c r="E17" t="s">
        <v>96</v>
      </c>
      <c r="F17" t="s">
        <v>428</v>
      </c>
      <c r="G17" t="s">
        <v>21</v>
      </c>
      <c r="H17" t="s">
        <v>309</v>
      </c>
      <c r="I17" t="s">
        <v>98</v>
      </c>
    </row>
    <row r="18" spans="1:9" x14ac:dyDescent="0.2">
      <c r="A18" t="s">
        <v>310</v>
      </c>
      <c r="B18" t="s">
        <v>440</v>
      </c>
      <c r="C18" t="s">
        <v>4</v>
      </c>
      <c r="D18" t="s">
        <v>144</v>
      </c>
      <c r="E18" t="s">
        <v>144</v>
      </c>
      <c r="F18" t="s">
        <v>428</v>
      </c>
      <c r="G18" t="s">
        <v>21</v>
      </c>
      <c r="H18" t="s">
        <v>309</v>
      </c>
      <c r="I18" t="s">
        <v>146</v>
      </c>
    </row>
    <row r="19" spans="1:9" x14ac:dyDescent="0.2">
      <c r="A19" t="s">
        <v>310</v>
      </c>
      <c r="B19" t="s">
        <v>440</v>
      </c>
      <c r="C19" t="s">
        <v>7</v>
      </c>
      <c r="D19" t="s">
        <v>146</v>
      </c>
      <c r="E19" t="s">
        <v>144</v>
      </c>
      <c r="F19" t="s">
        <v>428</v>
      </c>
      <c r="G19" t="s">
        <v>21</v>
      </c>
      <c r="H19" t="s">
        <v>309</v>
      </c>
      <c r="I19" t="s">
        <v>146</v>
      </c>
    </row>
    <row r="20" spans="1:9" x14ac:dyDescent="0.2">
      <c r="A20" t="s">
        <v>310</v>
      </c>
      <c r="B20" t="s">
        <v>440</v>
      </c>
      <c r="C20" t="s">
        <v>9</v>
      </c>
      <c r="D20">
        <v>20</v>
      </c>
      <c r="E20" t="s">
        <v>144</v>
      </c>
      <c r="F20" t="s">
        <v>428</v>
      </c>
      <c r="G20" t="s">
        <v>21</v>
      </c>
      <c r="H20" t="s">
        <v>309</v>
      </c>
      <c r="I20" t="s">
        <v>146</v>
      </c>
    </row>
    <row r="21" spans="1:9" x14ac:dyDescent="0.2">
      <c r="A21" t="s">
        <v>310</v>
      </c>
      <c r="B21" t="s">
        <v>440</v>
      </c>
      <c r="C21" t="s">
        <v>10</v>
      </c>
      <c r="D21">
        <v>1</v>
      </c>
      <c r="E21" t="s">
        <v>144</v>
      </c>
      <c r="F21" t="s">
        <v>428</v>
      </c>
      <c r="G21" t="s">
        <v>21</v>
      </c>
      <c r="H21" t="s">
        <v>309</v>
      </c>
      <c r="I21" t="s">
        <v>146</v>
      </c>
    </row>
    <row r="22" spans="1:9" x14ac:dyDescent="0.2">
      <c r="A22" t="s">
        <v>310</v>
      </c>
      <c r="B22" t="s">
        <v>440</v>
      </c>
      <c r="C22" t="s">
        <v>12</v>
      </c>
      <c r="D22">
        <v>5</v>
      </c>
      <c r="E22" t="s">
        <v>144</v>
      </c>
      <c r="F22" t="s">
        <v>428</v>
      </c>
      <c r="G22" t="s">
        <v>21</v>
      </c>
      <c r="H22" t="s">
        <v>309</v>
      </c>
      <c r="I22" t="s">
        <v>146</v>
      </c>
    </row>
    <row r="23" spans="1:9" x14ac:dyDescent="0.2">
      <c r="A23" t="s">
        <v>310</v>
      </c>
      <c r="B23" t="s">
        <v>440</v>
      </c>
      <c r="C23" t="s">
        <v>14</v>
      </c>
      <c r="D23" t="s">
        <v>149</v>
      </c>
      <c r="E23" t="s">
        <v>144</v>
      </c>
      <c r="F23" t="s">
        <v>428</v>
      </c>
      <c r="G23" t="s">
        <v>21</v>
      </c>
      <c r="H23" t="s">
        <v>309</v>
      </c>
      <c r="I23" t="s">
        <v>146</v>
      </c>
    </row>
    <row r="24" spans="1:9" x14ac:dyDescent="0.2">
      <c r="A24" t="s">
        <v>310</v>
      </c>
      <c r="B24" t="s">
        <v>440</v>
      </c>
      <c r="C24" t="s">
        <v>17</v>
      </c>
      <c r="D24" t="s">
        <v>18</v>
      </c>
      <c r="E24" t="s">
        <v>144</v>
      </c>
      <c r="F24" t="s">
        <v>428</v>
      </c>
      <c r="G24" t="s">
        <v>21</v>
      </c>
      <c r="H24" t="s">
        <v>309</v>
      </c>
      <c r="I24" t="s">
        <v>146</v>
      </c>
    </row>
    <row r="25" spans="1:9" x14ac:dyDescent="0.2">
      <c r="A25" t="s">
        <v>310</v>
      </c>
      <c r="B25" t="s">
        <v>440</v>
      </c>
      <c r="C25" t="s">
        <v>20</v>
      </c>
      <c r="D25" t="s">
        <v>21</v>
      </c>
      <c r="E25" t="s">
        <v>144</v>
      </c>
      <c r="F25" t="s">
        <v>428</v>
      </c>
      <c r="G25" t="s">
        <v>21</v>
      </c>
      <c r="H25" t="s">
        <v>309</v>
      </c>
      <c r="I25" t="s">
        <v>146</v>
      </c>
    </row>
    <row r="26" spans="1:9" x14ac:dyDescent="0.2">
      <c r="A26" t="s">
        <v>310</v>
      </c>
      <c r="B26" t="s">
        <v>441</v>
      </c>
      <c r="C26" t="s">
        <v>4</v>
      </c>
      <c r="D26" t="s">
        <v>178</v>
      </c>
      <c r="E26" t="s">
        <v>178</v>
      </c>
      <c r="F26" t="s">
        <v>428</v>
      </c>
      <c r="G26" t="s">
        <v>21</v>
      </c>
      <c r="H26" t="s">
        <v>309</v>
      </c>
      <c r="I26" t="s">
        <v>179</v>
      </c>
    </row>
    <row r="27" spans="1:9" x14ac:dyDescent="0.2">
      <c r="A27" t="s">
        <v>310</v>
      </c>
      <c r="B27" t="s">
        <v>441</v>
      </c>
      <c r="C27" t="s">
        <v>7</v>
      </c>
      <c r="D27" t="s">
        <v>179</v>
      </c>
      <c r="E27" t="s">
        <v>178</v>
      </c>
      <c r="F27" t="s">
        <v>428</v>
      </c>
      <c r="G27" t="s">
        <v>21</v>
      </c>
      <c r="H27" t="s">
        <v>309</v>
      </c>
      <c r="I27" t="s">
        <v>179</v>
      </c>
    </row>
    <row r="28" spans="1:9" x14ac:dyDescent="0.2">
      <c r="A28" t="s">
        <v>310</v>
      </c>
      <c r="B28" t="s">
        <v>441</v>
      </c>
      <c r="C28" t="s">
        <v>9</v>
      </c>
      <c r="E28" t="s">
        <v>178</v>
      </c>
      <c r="F28" t="s">
        <v>428</v>
      </c>
      <c r="G28" t="s">
        <v>21</v>
      </c>
      <c r="H28" t="s">
        <v>309</v>
      </c>
      <c r="I28" t="s">
        <v>179</v>
      </c>
    </row>
    <row r="29" spans="1:9" x14ac:dyDescent="0.2">
      <c r="A29" t="s">
        <v>310</v>
      </c>
      <c r="B29" t="s">
        <v>441</v>
      </c>
      <c r="C29" t="s">
        <v>10</v>
      </c>
      <c r="E29" t="s">
        <v>178</v>
      </c>
      <c r="F29" t="s">
        <v>428</v>
      </c>
      <c r="G29" t="s">
        <v>21</v>
      </c>
      <c r="H29" t="s">
        <v>309</v>
      </c>
      <c r="I29" t="s">
        <v>179</v>
      </c>
    </row>
    <row r="30" spans="1:9" x14ac:dyDescent="0.2">
      <c r="A30" t="s">
        <v>310</v>
      </c>
      <c r="B30" t="s">
        <v>441</v>
      </c>
      <c r="C30" t="s">
        <v>12</v>
      </c>
      <c r="E30" t="s">
        <v>178</v>
      </c>
      <c r="F30" t="s">
        <v>428</v>
      </c>
      <c r="G30" t="s">
        <v>21</v>
      </c>
      <c r="H30" t="s">
        <v>309</v>
      </c>
      <c r="I30" t="s">
        <v>179</v>
      </c>
    </row>
    <row r="31" spans="1:9" x14ac:dyDescent="0.2">
      <c r="A31" t="s">
        <v>310</v>
      </c>
      <c r="B31" t="s">
        <v>441</v>
      </c>
      <c r="C31" t="s">
        <v>14</v>
      </c>
      <c r="E31" t="s">
        <v>178</v>
      </c>
      <c r="F31" t="s">
        <v>428</v>
      </c>
      <c r="G31" t="s">
        <v>21</v>
      </c>
      <c r="H31" t="s">
        <v>309</v>
      </c>
      <c r="I31" t="s">
        <v>179</v>
      </c>
    </row>
    <row r="32" spans="1:9" x14ac:dyDescent="0.2">
      <c r="A32" t="s">
        <v>310</v>
      </c>
      <c r="B32" t="s">
        <v>441</v>
      </c>
      <c r="C32" t="s">
        <v>17</v>
      </c>
      <c r="E32" t="s">
        <v>178</v>
      </c>
      <c r="F32" t="s">
        <v>428</v>
      </c>
      <c r="G32" t="s">
        <v>21</v>
      </c>
      <c r="H32" t="s">
        <v>309</v>
      </c>
      <c r="I32" t="s">
        <v>179</v>
      </c>
    </row>
    <row r="33" spans="1:9" x14ac:dyDescent="0.2">
      <c r="A33" t="s">
        <v>310</v>
      </c>
      <c r="B33" t="s">
        <v>441</v>
      </c>
      <c r="C33" t="s">
        <v>20</v>
      </c>
      <c r="E33" t="s">
        <v>178</v>
      </c>
      <c r="F33" t="s">
        <v>428</v>
      </c>
      <c r="G33" t="s">
        <v>21</v>
      </c>
      <c r="H33" t="s">
        <v>309</v>
      </c>
      <c r="I33" t="s">
        <v>179</v>
      </c>
    </row>
    <row r="34" spans="1:9" x14ac:dyDescent="0.2">
      <c r="A34" t="s">
        <v>310</v>
      </c>
      <c r="B34" t="s">
        <v>442</v>
      </c>
      <c r="C34" t="s">
        <v>4</v>
      </c>
      <c r="D34" t="s">
        <v>200</v>
      </c>
      <c r="E34" t="s">
        <v>200</v>
      </c>
      <c r="F34" t="s">
        <v>428</v>
      </c>
      <c r="G34" t="s">
        <v>21</v>
      </c>
      <c r="H34" t="s">
        <v>309</v>
      </c>
      <c r="I34" t="s">
        <v>202</v>
      </c>
    </row>
    <row r="35" spans="1:9" x14ac:dyDescent="0.2">
      <c r="A35" t="s">
        <v>310</v>
      </c>
      <c r="B35" t="s">
        <v>442</v>
      </c>
      <c r="C35" t="s">
        <v>7</v>
      </c>
      <c r="D35" t="s">
        <v>202</v>
      </c>
      <c r="E35" t="s">
        <v>200</v>
      </c>
      <c r="F35" t="s">
        <v>428</v>
      </c>
      <c r="G35" t="s">
        <v>21</v>
      </c>
      <c r="H35" t="s">
        <v>309</v>
      </c>
      <c r="I35" t="s">
        <v>202</v>
      </c>
    </row>
    <row r="36" spans="1:9" x14ac:dyDescent="0.2">
      <c r="A36" t="s">
        <v>310</v>
      </c>
      <c r="B36" t="s">
        <v>442</v>
      </c>
      <c r="C36" t="s">
        <v>9</v>
      </c>
      <c r="D36">
        <v>20</v>
      </c>
      <c r="E36" t="s">
        <v>200</v>
      </c>
      <c r="F36" t="s">
        <v>428</v>
      </c>
      <c r="G36" t="s">
        <v>21</v>
      </c>
      <c r="H36" t="s">
        <v>309</v>
      </c>
      <c r="I36" t="s">
        <v>202</v>
      </c>
    </row>
    <row r="37" spans="1:9" x14ac:dyDescent="0.2">
      <c r="A37" t="s">
        <v>310</v>
      </c>
      <c r="B37" t="s">
        <v>442</v>
      </c>
      <c r="C37" t="s">
        <v>10</v>
      </c>
      <c r="D37">
        <v>1</v>
      </c>
      <c r="E37" t="s">
        <v>200</v>
      </c>
      <c r="F37" t="s">
        <v>428</v>
      </c>
      <c r="G37" t="s">
        <v>21</v>
      </c>
      <c r="H37" t="s">
        <v>309</v>
      </c>
      <c r="I37" t="s">
        <v>202</v>
      </c>
    </row>
    <row r="38" spans="1:9" x14ac:dyDescent="0.2">
      <c r="A38" t="s">
        <v>310</v>
      </c>
      <c r="B38" t="s">
        <v>442</v>
      </c>
      <c r="C38" t="s">
        <v>12</v>
      </c>
      <c r="D38">
        <v>6</v>
      </c>
      <c r="E38" t="s">
        <v>200</v>
      </c>
      <c r="F38" t="s">
        <v>428</v>
      </c>
      <c r="G38" t="s">
        <v>21</v>
      </c>
      <c r="H38" t="s">
        <v>309</v>
      </c>
      <c r="I38" t="s">
        <v>202</v>
      </c>
    </row>
    <row r="39" spans="1:9" x14ac:dyDescent="0.2">
      <c r="A39" t="s">
        <v>310</v>
      </c>
      <c r="B39" t="s">
        <v>442</v>
      </c>
      <c r="C39" t="s">
        <v>14</v>
      </c>
      <c r="D39" t="s">
        <v>205</v>
      </c>
      <c r="E39" t="s">
        <v>200</v>
      </c>
      <c r="F39" t="s">
        <v>428</v>
      </c>
      <c r="G39" t="s">
        <v>21</v>
      </c>
      <c r="H39" t="s">
        <v>309</v>
      </c>
      <c r="I39" t="s">
        <v>202</v>
      </c>
    </row>
    <row r="40" spans="1:9" x14ac:dyDescent="0.2">
      <c r="A40" t="s">
        <v>310</v>
      </c>
      <c r="B40" t="s">
        <v>442</v>
      </c>
      <c r="C40" t="s">
        <v>17</v>
      </c>
      <c r="D40" t="s">
        <v>18</v>
      </c>
      <c r="E40" t="s">
        <v>200</v>
      </c>
      <c r="F40" t="s">
        <v>428</v>
      </c>
      <c r="G40" t="s">
        <v>21</v>
      </c>
      <c r="H40" t="s">
        <v>309</v>
      </c>
      <c r="I40" t="s">
        <v>202</v>
      </c>
    </row>
    <row r="41" spans="1:9" x14ac:dyDescent="0.2">
      <c r="A41" t="s">
        <v>310</v>
      </c>
      <c r="B41" t="s">
        <v>442</v>
      </c>
      <c r="C41" t="s">
        <v>20</v>
      </c>
      <c r="D41" t="s">
        <v>21</v>
      </c>
      <c r="E41" t="s">
        <v>200</v>
      </c>
      <c r="F41" t="s">
        <v>428</v>
      </c>
      <c r="G41" t="s">
        <v>21</v>
      </c>
      <c r="H41" t="s">
        <v>309</v>
      </c>
      <c r="I41" t="s">
        <v>202</v>
      </c>
    </row>
    <row r="42" spans="1:9" x14ac:dyDescent="0.2">
      <c r="A42" t="s">
        <v>310</v>
      </c>
      <c r="B42" t="s">
        <v>443</v>
      </c>
      <c r="C42" t="s">
        <v>4</v>
      </c>
      <c r="D42" t="s">
        <v>243</v>
      </c>
      <c r="E42" t="s">
        <v>243</v>
      </c>
      <c r="F42" t="s">
        <v>428</v>
      </c>
      <c r="G42" t="s">
        <v>21</v>
      </c>
      <c r="H42" t="s">
        <v>309</v>
      </c>
      <c r="I42" t="s">
        <v>244</v>
      </c>
    </row>
    <row r="43" spans="1:9" x14ac:dyDescent="0.2">
      <c r="A43" t="s">
        <v>310</v>
      </c>
      <c r="B43" t="s">
        <v>443</v>
      </c>
      <c r="C43" t="s">
        <v>7</v>
      </c>
      <c r="D43" t="s">
        <v>244</v>
      </c>
      <c r="E43" t="s">
        <v>243</v>
      </c>
      <c r="F43" t="s">
        <v>428</v>
      </c>
      <c r="G43" t="s">
        <v>21</v>
      </c>
      <c r="H43" t="s">
        <v>309</v>
      </c>
      <c r="I43" t="s">
        <v>244</v>
      </c>
    </row>
    <row r="44" spans="1:9" x14ac:dyDescent="0.2">
      <c r="A44" t="s">
        <v>310</v>
      </c>
      <c r="B44" t="s">
        <v>443</v>
      </c>
      <c r="C44" t="s">
        <v>9</v>
      </c>
      <c r="D44">
        <v>20</v>
      </c>
      <c r="E44" t="s">
        <v>243</v>
      </c>
      <c r="F44" t="s">
        <v>428</v>
      </c>
      <c r="G44" t="s">
        <v>21</v>
      </c>
      <c r="H44" t="s">
        <v>309</v>
      </c>
      <c r="I44" t="s">
        <v>244</v>
      </c>
    </row>
    <row r="45" spans="1:9" x14ac:dyDescent="0.2">
      <c r="A45" t="s">
        <v>310</v>
      </c>
      <c r="B45" t="s">
        <v>443</v>
      </c>
      <c r="C45" t="s">
        <v>10</v>
      </c>
      <c r="D45">
        <v>2</v>
      </c>
      <c r="E45" t="s">
        <v>243</v>
      </c>
      <c r="F45" t="s">
        <v>428</v>
      </c>
      <c r="G45" t="s">
        <v>21</v>
      </c>
      <c r="H45" t="s">
        <v>309</v>
      </c>
      <c r="I45" t="s">
        <v>244</v>
      </c>
    </row>
    <row r="46" spans="1:9" x14ac:dyDescent="0.2">
      <c r="A46" t="s">
        <v>310</v>
      </c>
      <c r="B46" t="s">
        <v>443</v>
      </c>
      <c r="C46" t="s">
        <v>12</v>
      </c>
      <c r="D46">
        <v>6</v>
      </c>
      <c r="E46" t="s">
        <v>243</v>
      </c>
      <c r="F46" t="s">
        <v>428</v>
      </c>
      <c r="G46" t="s">
        <v>21</v>
      </c>
      <c r="H46" t="s">
        <v>309</v>
      </c>
      <c r="I46" t="s">
        <v>244</v>
      </c>
    </row>
    <row r="47" spans="1:9" x14ac:dyDescent="0.2">
      <c r="A47" t="s">
        <v>310</v>
      </c>
      <c r="B47" t="s">
        <v>443</v>
      </c>
      <c r="C47" t="s">
        <v>14</v>
      </c>
      <c r="D47" t="s">
        <v>246</v>
      </c>
      <c r="E47" t="s">
        <v>243</v>
      </c>
      <c r="F47" t="s">
        <v>428</v>
      </c>
      <c r="G47" t="s">
        <v>21</v>
      </c>
      <c r="H47" t="s">
        <v>309</v>
      </c>
      <c r="I47" t="s">
        <v>244</v>
      </c>
    </row>
    <row r="48" spans="1:9" x14ac:dyDescent="0.2">
      <c r="A48" t="s">
        <v>310</v>
      </c>
      <c r="B48" t="s">
        <v>443</v>
      </c>
      <c r="C48" t="s">
        <v>17</v>
      </c>
      <c r="D48" t="s">
        <v>18</v>
      </c>
      <c r="E48" t="s">
        <v>243</v>
      </c>
      <c r="F48" t="s">
        <v>428</v>
      </c>
      <c r="G48" t="s">
        <v>21</v>
      </c>
      <c r="H48" t="s">
        <v>309</v>
      </c>
      <c r="I48" t="s">
        <v>244</v>
      </c>
    </row>
    <row r="49" spans="1:9" x14ac:dyDescent="0.2">
      <c r="A49" t="s">
        <v>310</v>
      </c>
      <c r="B49" t="s">
        <v>443</v>
      </c>
      <c r="C49" t="s">
        <v>20</v>
      </c>
      <c r="D49" t="s">
        <v>21</v>
      </c>
      <c r="E49" t="s">
        <v>243</v>
      </c>
      <c r="F49" t="s">
        <v>428</v>
      </c>
      <c r="G49" t="s">
        <v>21</v>
      </c>
      <c r="H49" t="s">
        <v>309</v>
      </c>
      <c r="I49" t="s">
        <v>244</v>
      </c>
    </row>
    <row r="50" spans="1:9" x14ac:dyDescent="0.2">
      <c r="A50" t="s">
        <v>310</v>
      </c>
      <c r="B50" t="s">
        <v>444</v>
      </c>
      <c r="C50" t="s">
        <v>4</v>
      </c>
      <c r="D50">
        <v>6303</v>
      </c>
      <c r="E50" t="s">
        <v>445</v>
      </c>
      <c r="F50" t="s">
        <v>428</v>
      </c>
      <c r="G50" t="s">
        <v>21</v>
      </c>
      <c r="H50" t="s">
        <v>309</v>
      </c>
      <c r="I50" t="s">
        <v>266</v>
      </c>
    </row>
    <row r="51" spans="1:9" x14ac:dyDescent="0.2">
      <c r="A51" t="s">
        <v>310</v>
      </c>
      <c r="B51" t="s">
        <v>444</v>
      </c>
      <c r="C51" t="s">
        <v>7</v>
      </c>
      <c r="D51" t="s">
        <v>266</v>
      </c>
      <c r="E51" t="s">
        <v>445</v>
      </c>
      <c r="F51" t="s">
        <v>428</v>
      </c>
      <c r="G51" t="s">
        <v>21</v>
      </c>
      <c r="H51" t="s">
        <v>309</v>
      </c>
      <c r="I51" t="s">
        <v>266</v>
      </c>
    </row>
    <row r="52" spans="1:9" x14ac:dyDescent="0.2">
      <c r="A52" t="s">
        <v>310</v>
      </c>
      <c r="B52" t="s">
        <v>444</v>
      </c>
      <c r="C52" t="s">
        <v>9</v>
      </c>
      <c r="D52">
        <v>20</v>
      </c>
      <c r="E52" t="s">
        <v>445</v>
      </c>
      <c r="F52" t="s">
        <v>428</v>
      </c>
      <c r="G52" t="s">
        <v>21</v>
      </c>
      <c r="H52" t="s">
        <v>309</v>
      </c>
      <c r="I52" t="s">
        <v>266</v>
      </c>
    </row>
    <row r="53" spans="1:9" x14ac:dyDescent="0.2">
      <c r="A53" t="s">
        <v>310</v>
      </c>
      <c r="B53" t="s">
        <v>444</v>
      </c>
      <c r="C53" t="s">
        <v>10</v>
      </c>
      <c r="D53">
        <v>1</v>
      </c>
      <c r="E53" t="s">
        <v>445</v>
      </c>
      <c r="F53" t="s">
        <v>428</v>
      </c>
      <c r="G53" t="s">
        <v>21</v>
      </c>
      <c r="H53" t="s">
        <v>309</v>
      </c>
      <c r="I53" t="s">
        <v>266</v>
      </c>
    </row>
    <row r="54" spans="1:9" x14ac:dyDescent="0.2">
      <c r="A54" t="s">
        <v>310</v>
      </c>
      <c r="B54" t="s">
        <v>444</v>
      </c>
      <c r="C54" t="s">
        <v>12</v>
      </c>
      <c r="D54">
        <v>6</v>
      </c>
      <c r="E54" t="s">
        <v>445</v>
      </c>
      <c r="F54" t="s">
        <v>428</v>
      </c>
      <c r="G54" t="s">
        <v>21</v>
      </c>
      <c r="H54" t="s">
        <v>309</v>
      </c>
      <c r="I54" t="s">
        <v>266</v>
      </c>
    </row>
    <row r="55" spans="1:9" x14ac:dyDescent="0.2">
      <c r="A55" t="s">
        <v>310</v>
      </c>
      <c r="B55" t="s">
        <v>444</v>
      </c>
      <c r="C55" t="s">
        <v>14</v>
      </c>
      <c r="D55" t="s">
        <v>269</v>
      </c>
      <c r="E55" t="s">
        <v>445</v>
      </c>
      <c r="F55" t="s">
        <v>428</v>
      </c>
      <c r="G55" t="s">
        <v>21</v>
      </c>
      <c r="H55" t="s">
        <v>309</v>
      </c>
      <c r="I55" t="s">
        <v>266</v>
      </c>
    </row>
    <row r="56" spans="1:9" x14ac:dyDescent="0.2">
      <c r="A56" t="s">
        <v>310</v>
      </c>
      <c r="B56" t="s">
        <v>444</v>
      </c>
      <c r="C56" t="s">
        <v>17</v>
      </c>
      <c r="D56" t="s">
        <v>18</v>
      </c>
      <c r="E56" t="s">
        <v>445</v>
      </c>
      <c r="F56" t="s">
        <v>428</v>
      </c>
      <c r="G56" t="s">
        <v>21</v>
      </c>
      <c r="H56" t="s">
        <v>309</v>
      </c>
      <c r="I56" t="s">
        <v>266</v>
      </c>
    </row>
    <row r="57" spans="1:9" x14ac:dyDescent="0.2">
      <c r="A57" t="s">
        <v>310</v>
      </c>
      <c r="B57" t="s">
        <v>444</v>
      </c>
      <c r="C57" t="s">
        <v>20</v>
      </c>
      <c r="D57" t="s">
        <v>21</v>
      </c>
      <c r="E57" t="s">
        <v>445</v>
      </c>
      <c r="F57" t="s">
        <v>428</v>
      </c>
      <c r="G57" t="s">
        <v>21</v>
      </c>
      <c r="H57" t="s">
        <v>309</v>
      </c>
      <c r="I57" t="s">
        <v>266</v>
      </c>
    </row>
    <row r="58" spans="1:9" x14ac:dyDescent="0.2">
      <c r="A58" t="s">
        <v>310</v>
      </c>
      <c r="B58" t="s">
        <v>446</v>
      </c>
      <c r="C58" t="s">
        <v>4</v>
      </c>
      <c r="D58" t="s">
        <v>289</v>
      </c>
      <c r="E58" t="s">
        <v>289</v>
      </c>
      <c r="F58" t="s">
        <v>428</v>
      </c>
      <c r="G58" t="s">
        <v>21</v>
      </c>
      <c r="H58" t="s">
        <v>309</v>
      </c>
      <c r="I58" t="s">
        <v>288</v>
      </c>
    </row>
    <row r="59" spans="1:9" x14ac:dyDescent="0.2">
      <c r="A59" t="s">
        <v>310</v>
      </c>
      <c r="B59" t="s">
        <v>446</v>
      </c>
      <c r="C59" t="s">
        <v>7</v>
      </c>
      <c r="D59" t="s">
        <v>288</v>
      </c>
      <c r="E59" t="s">
        <v>289</v>
      </c>
      <c r="F59" t="s">
        <v>428</v>
      </c>
      <c r="G59" t="s">
        <v>21</v>
      </c>
      <c r="H59" t="s">
        <v>309</v>
      </c>
      <c r="I59" t="s">
        <v>288</v>
      </c>
    </row>
    <row r="60" spans="1:9" x14ac:dyDescent="0.2">
      <c r="A60" t="s">
        <v>310</v>
      </c>
      <c r="B60" t="s">
        <v>446</v>
      </c>
      <c r="C60" t="s">
        <v>9</v>
      </c>
      <c r="D60">
        <v>20</v>
      </c>
      <c r="E60" t="s">
        <v>289</v>
      </c>
      <c r="F60" t="s">
        <v>428</v>
      </c>
      <c r="G60" t="s">
        <v>21</v>
      </c>
      <c r="H60" t="s">
        <v>309</v>
      </c>
      <c r="I60" t="s">
        <v>288</v>
      </c>
    </row>
    <row r="61" spans="1:9" x14ac:dyDescent="0.2">
      <c r="A61" t="s">
        <v>310</v>
      </c>
      <c r="B61" t="s">
        <v>446</v>
      </c>
      <c r="C61" t="s">
        <v>10</v>
      </c>
      <c r="D61" t="s">
        <v>293</v>
      </c>
      <c r="E61" t="s">
        <v>289</v>
      </c>
      <c r="F61" t="s">
        <v>428</v>
      </c>
      <c r="G61" t="s">
        <v>21</v>
      </c>
      <c r="H61" t="s">
        <v>309</v>
      </c>
      <c r="I61" t="s">
        <v>288</v>
      </c>
    </row>
    <row r="62" spans="1:9" x14ac:dyDescent="0.2">
      <c r="A62" t="s">
        <v>310</v>
      </c>
      <c r="B62" t="s">
        <v>446</v>
      </c>
      <c r="C62" t="s">
        <v>12</v>
      </c>
      <c r="D62">
        <v>6</v>
      </c>
      <c r="E62" t="s">
        <v>289</v>
      </c>
      <c r="F62" t="s">
        <v>428</v>
      </c>
      <c r="G62" t="s">
        <v>21</v>
      </c>
      <c r="H62" t="s">
        <v>309</v>
      </c>
      <c r="I62" t="s">
        <v>288</v>
      </c>
    </row>
    <row r="63" spans="1:9" x14ac:dyDescent="0.2">
      <c r="A63" t="s">
        <v>310</v>
      </c>
      <c r="B63" t="s">
        <v>446</v>
      </c>
      <c r="C63" t="s">
        <v>14</v>
      </c>
      <c r="D63" t="s">
        <v>296</v>
      </c>
      <c r="E63" t="s">
        <v>289</v>
      </c>
      <c r="F63" t="s">
        <v>428</v>
      </c>
      <c r="G63" t="s">
        <v>21</v>
      </c>
      <c r="H63" t="s">
        <v>309</v>
      </c>
      <c r="I63" t="s">
        <v>288</v>
      </c>
    </row>
    <row r="64" spans="1:9" x14ac:dyDescent="0.2">
      <c r="A64" t="s">
        <v>310</v>
      </c>
      <c r="B64" t="s">
        <v>446</v>
      </c>
      <c r="C64" t="s">
        <v>17</v>
      </c>
      <c r="D64" t="s">
        <v>297</v>
      </c>
      <c r="E64" t="s">
        <v>289</v>
      </c>
      <c r="F64" t="s">
        <v>428</v>
      </c>
      <c r="G64" t="s">
        <v>21</v>
      </c>
      <c r="H64" t="s">
        <v>309</v>
      </c>
      <c r="I64" t="s">
        <v>288</v>
      </c>
    </row>
    <row r="65" spans="1:9" x14ac:dyDescent="0.2">
      <c r="A65" t="s">
        <v>310</v>
      </c>
      <c r="B65" t="s">
        <v>446</v>
      </c>
      <c r="C65" t="s">
        <v>20</v>
      </c>
      <c r="D65" t="s">
        <v>21</v>
      </c>
      <c r="E65" t="s">
        <v>289</v>
      </c>
      <c r="F65" t="s">
        <v>428</v>
      </c>
      <c r="G65" t="s">
        <v>21</v>
      </c>
      <c r="H65" t="s">
        <v>309</v>
      </c>
      <c r="I65" t="s">
        <v>288</v>
      </c>
    </row>
    <row r="66" spans="1:9" x14ac:dyDescent="0.2">
      <c r="A66" t="s">
        <v>319</v>
      </c>
      <c r="B66" t="s">
        <v>447</v>
      </c>
      <c r="C66" t="s">
        <v>4</v>
      </c>
      <c r="D66" t="s">
        <v>448</v>
      </c>
      <c r="E66" t="s">
        <v>448</v>
      </c>
      <c r="F66" t="s">
        <v>428</v>
      </c>
      <c r="G66" t="s">
        <v>21</v>
      </c>
      <c r="H66" t="s">
        <v>309</v>
      </c>
      <c r="I66" t="s">
        <v>449</v>
      </c>
    </row>
    <row r="67" spans="1:9" x14ac:dyDescent="0.2">
      <c r="A67" t="s">
        <v>319</v>
      </c>
      <c r="B67" t="s">
        <v>447</v>
      </c>
      <c r="C67" t="s">
        <v>7</v>
      </c>
      <c r="D67" t="s">
        <v>449</v>
      </c>
      <c r="E67" t="s">
        <v>448</v>
      </c>
      <c r="F67" t="s">
        <v>428</v>
      </c>
      <c r="G67" t="s">
        <v>21</v>
      </c>
      <c r="H67" t="s">
        <v>309</v>
      </c>
      <c r="I67" t="s">
        <v>449</v>
      </c>
    </row>
    <row r="68" spans="1:9" x14ac:dyDescent="0.2">
      <c r="A68" t="s">
        <v>319</v>
      </c>
      <c r="B68" t="s">
        <v>447</v>
      </c>
      <c r="C68" t="s">
        <v>9</v>
      </c>
      <c r="E68" t="s">
        <v>448</v>
      </c>
      <c r="F68" t="s">
        <v>428</v>
      </c>
      <c r="G68" t="s">
        <v>21</v>
      </c>
      <c r="H68" t="s">
        <v>309</v>
      </c>
      <c r="I68" t="s">
        <v>449</v>
      </c>
    </row>
    <row r="69" spans="1:9" x14ac:dyDescent="0.2">
      <c r="A69" t="s">
        <v>319</v>
      </c>
      <c r="B69" t="s">
        <v>447</v>
      </c>
      <c r="C69" t="s">
        <v>10</v>
      </c>
      <c r="E69" t="s">
        <v>448</v>
      </c>
      <c r="F69" t="s">
        <v>428</v>
      </c>
      <c r="G69" t="s">
        <v>21</v>
      </c>
      <c r="H69" t="s">
        <v>309</v>
      </c>
      <c r="I69" t="s">
        <v>449</v>
      </c>
    </row>
    <row r="70" spans="1:9" x14ac:dyDescent="0.2">
      <c r="A70" t="s">
        <v>319</v>
      </c>
      <c r="B70" t="s">
        <v>447</v>
      </c>
      <c r="C70" t="s">
        <v>12</v>
      </c>
      <c r="E70" t="s">
        <v>448</v>
      </c>
      <c r="F70" t="s">
        <v>428</v>
      </c>
      <c r="G70" t="s">
        <v>21</v>
      </c>
      <c r="H70" t="s">
        <v>309</v>
      </c>
      <c r="I70" t="s">
        <v>449</v>
      </c>
    </row>
    <row r="71" spans="1:9" x14ac:dyDescent="0.2">
      <c r="A71" t="s">
        <v>319</v>
      </c>
      <c r="B71" t="s">
        <v>447</v>
      </c>
      <c r="C71" t="s">
        <v>14</v>
      </c>
      <c r="E71" t="s">
        <v>448</v>
      </c>
      <c r="F71" t="s">
        <v>428</v>
      </c>
      <c r="G71" t="s">
        <v>21</v>
      </c>
      <c r="H71" t="s">
        <v>309</v>
      </c>
      <c r="I71" t="s">
        <v>449</v>
      </c>
    </row>
    <row r="72" spans="1:9" x14ac:dyDescent="0.2">
      <c r="A72" t="s">
        <v>319</v>
      </c>
      <c r="B72" t="s">
        <v>447</v>
      </c>
      <c r="C72" t="s">
        <v>17</v>
      </c>
      <c r="D72" t="s">
        <v>354</v>
      </c>
      <c r="E72" t="s">
        <v>448</v>
      </c>
      <c r="F72" t="s">
        <v>428</v>
      </c>
      <c r="G72" t="s">
        <v>21</v>
      </c>
      <c r="H72" t="s">
        <v>309</v>
      </c>
      <c r="I72" t="s">
        <v>449</v>
      </c>
    </row>
    <row r="73" spans="1:9" x14ac:dyDescent="0.2">
      <c r="A73" t="s">
        <v>319</v>
      </c>
      <c r="B73" t="s">
        <v>447</v>
      </c>
      <c r="C73" t="s">
        <v>20</v>
      </c>
      <c r="E73" t="s">
        <v>448</v>
      </c>
      <c r="F73" t="s">
        <v>428</v>
      </c>
      <c r="G73" t="s">
        <v>21</v>
      </c>
      <c r="H73" t="s">
        <v>309</v>
      </c>
      <c r="I73" t="s">
        <v>449</v>
      </c>
    </row>
    <row r="74" spans="1:9" x14ac:dyDescent="0.2">
      <c r="A74" t="s">
        <v>319</v>
      </c>
      <c r="B74" t="s">
        <v>450</v>
      </c>
      <c r="C74" t="s">
        <v>4</v>
      </c>
      <c r="D74" t="s">
        <v>451</v>
      </c>
      <c r="E74" t="s">
        <v>451</v>
      </c>
      <c r="F74" t="s">
        <v>428</v>
      </c>
      <c r="G74" t="s">
        <v>21</v>
      </c>
      <c r="H74" t="s">
        <v>309</v>
      </c>
      <c r="I74" t="s">
        <v>452</v>
      </c>
    </row>
    <row r="75" spans="1:9" x14ac:dyDescent="0.2">
      <c r="A75" t="s">
        <v>319</v>
      </c>
      <c r="B75" t="s">
        <v>450</v>
      </c>
      <c r="C75" t="s">
        <v>7</v>
      </c>
      <c r="D75" t="s">
        <v>585</v>
      </c>
      <c r="E75" t="s">
        <v>451</v>
      </c>
      <c r="F75" t="s">
        <v>428</v>
      </c>
      <c r="G75" t="s">
        <v>21</v>
      </c>
      <c r="H75" t="s">
        <v>309</v>
      </c>
      <c r="I75" t="s">
        <v>452</v>
      </c>
    </row>
    <row r="76" spans="1:9" x14ac:dyDescent="0.2">
      <c r="A76" t="s">
        <v>319</v>
      </c>
      <c r="B76" t="s">
        <v>450</v>
      </c>
      <c r="C76" t="s">
        <v>9</v>
      </c>
      <c r="D76">
        <v>20</v>
      </c>
      <c r="E76" t="s">
        <v>451</v>
      </c>
      <c r="F76" t="s">
        <v>428</v>
      </c>
      <c r="G76" t="s">
        <v>21</v>
      </c>
      <c r="H76" t="s">
        <v>309</v>
      </c>
      <c r="I76" t="s">
        <v>452</v>
      </c>
    </row>
    <row r="77" spans="1:9" x14ac:dyDescent="0.2">
      <c r="A77" t="s">
        <v>319</v>
      </c>
      <c r="B77" t="s">
        <v>450</v>
      </c>
      <c r="C77" t="s">
        <v>10</v>
      </c>
      <c r="D77">
        <v>1</v>
      </c>
      <c r="E77" t="s">
        <v>451</v>
      </c>
      <c r="F77" t="s">
        <v>428</v>
      </c>
      <c r="G77" t="s">
        <v>21</v>
      </c>
      <c r="H77" t="s">
        <v>309</v>
      </c>
      <c r="I77" t="s">
        <v>452</v>
      </c>
    </row>
    <row r="78" spans="1:9" x14ac:dyDescent="0.2">
      <c r="A78" t="s">
        <v>319</v>
      </c>
      <c r="B78" t="s">
        <v>450</v>
      </c>
      <c r="C78" t="s">
        <v>12</v>
      </c>
      <c r="D78">
        <v>4</v>
      </c>
      <c r="E78" t="s">
        <v>451</v>
      </c>
      <c r="F78" t="s">
        <v>428</v>
      </c>
      <c r="G78" t="s">
        <v>21</v>
      </c>
      <c r="H78" t="s">
        <v>309</v>
      </c>
      <c r="I78" t="s">
        <v>452</v>
      </c>
    </row>
    <row r="79" spans="1:9" x14ac:dyDescent="0.2">
      <c r="A79" t="s">
        <v>319</v>
      </c>
      <c r="B79" t="s">
        <v>450</v>
      </c>
      <c r="C79" t="s">
        <v>14</v>
      </c>
      <c r="D79" t="s">
        <v>453</v>
      </c>
      <c r="E79" t="s">
        <v>451</v>
      </c>
      <c r="F79" t="s">
        <v>428</v>
      </c>
      <c r="G79" t="s">
        <v>21</v>
      </c>
      <c r="H79" t="s">
        <v>309</v>
      </c>
      <c r="I79" t="s">
        <v>452</v>
      </c>
    </row>
    <row r="80" spans="1:9" x14ac:dyDescent="0.2">
      <c r="A80" t="s">
        <v>319</v>
      </c>
      <c r="B80" t="s">
        <v>450</v>
      </c>
      <c r="C80" t="s">
        <v>17</v>
      </c>
      <c r="D80" t="s">
        <v>18</v>
      </c>
      <c r="E80" t="s">
        <v>451</v>
      </c>
      <c r="F80" t="s">
        <v>428</v>
      </c>
      <c r="G80" t="s">
        <v>21</v>
      </c>
      <c r="H80" t="s">
        <v>309</v>
      </c>
      <c r="I80" t="s">
        <v>452</v>
      </c>
    </row>
    <row r="81" spans="1:9" x14ac:dyDescent="0.2">
      <c r="A81" t="s">
        <v>319</v>
      </c>
      <c r="B81" t="s">
        <v>450</v>
      </c>
      <c r="C81" t="s">
        <v>20</v>
      </c>
      <c r="D81" t="s">
        <v>385</v>
      </c>
      <c r="E81" t="s">
        <v>451</v>
      </c>
      <c r="F81" t="s">
        <v>428</v>
      </c>
      <c r="G81" t="s">
        <v>21</v>
      </c>
      <c r="H81" t="s">
        <v>309</v>
      </c>
      <c r="I81" t="s">
        <v>452</v>
      </c>
    </row>
    <row r="82" spans="1:9" x14ac:dyDescent="0.2">
      <c r="A82" t="s">
        <v>319</v>
      </c>
      <c r="B82" t="s">
        <v>454</v>
      </c>
      <c r="C82" t="s">
        <v>4</v>
      </c>
      <c r="D82" t="s">
        <v>455</v>
      </c>
      <c r="E82" t="s">
        <v>455</v>
      </c>
      <c r="F82" t="s">
        <v>428</v>
      </c>
      <c r="G82" t="s">
        <v>21</v>
      </c>
      <c r="H82" t="s">
        <v>309</v>
      </c>
      <c r="I82" t="s">
        <v>456</v>
      </c>
    </row>
    <row r="83" spans="1:9" x14ac:dyDescent="0.2">
      <c r="A83" t="s">
        <v>319</v>
      </c>
      <c r="B83" t="s">
        <v>454</v>
      </c>
      <c r="C83" t="s">
        <v>7</v>
      </c>
      <c r="D83" t="s">
        <v>456</v>
      </c>
      <c r="E83" t="s">
        <v>455</v>
      </c>
      <c r="F83" t="s">
        <v>428</v>
      </c>
      <c r="G83" t="s">
        <v>21</v>
      </c>
      <c r="H83" t="s">
        <v>309</v>
      </c>
      <c r="I83" t="s">
        <v>456</v>
      </c>
    </row>
    <row r="84" spans="1:9" x14ac:dyDescent="0.2">
      <c r="A84" t="s">
        <v>319</v>
      </c>
      <c r="B84" t="s">
        <v>454</v>
      </c>
      <c r="C84" t="s">
        <v>9</v>
      </c>
      <c r="D84">
        <v>20</v>
      </c>
      <c r="E84" t="s">
        <v>455</v>
      </c>
      <c r="F84" t="s">
        <v>428</v>
      </c>
      <c r="G84" t="s">
        <v>21</v>
      </c>
      <c r="H84" t="s">
        <v>309</v>
      </c>
      <c r="I84" t="s">
        <v>456</v>
      </c>
    </row>
    <row r="85" spans="1:9" x14ac:dyDescent="0.2">
      <c r="A85" t="s">
        <v>319</v>
      </c>
      <c r="B85" t="s">
        <v>454</v>
      </c>
      <c r="C85" t="s">
        <v>10</v>
      </c>
      <c r="D85">
        <v>2</v>
      </c>
      <c r="E85" t="s">
        <v>455</v>
      </c>
      <c r="F85" t="s">
        <v>428</v>
      </c>
      <c r="G85" t="s">
        <v>21</v>
      </c>
      <c r="H85" t="s">
        <v>309</v>
      </c>
      <c r="I85" t="s">
        <v>456</v>
      </c>
    </row>
    <row r="86" spans="1:9" x14ac:dyDescent="0.2">
      <c r="A86" t="s">
        <v>319</v>
      </c>
      <c r="B86" t="s">
        <v>454</v>
      </c>
      <c r="C86" t="s">
        <v>12</v>
      </c>
      <c r="D86">
        <v>4</v>
      </c>
      <c r="E86" t="s">
        <v>455</v>
      </c>
      <c r="F86" t="s">
        <v>428</v>
      </c>
      <c r="G86" t="s">
        <v>21</v>
      </c>
      <c r="H86" t="s">
        <v>309</v>
      </c>
      <c r="I86" t="s">
        <v>456</v>
      </c>
    </row>
    <row r="87" spans="1:9" x14ac:dyDescent="0.2">
      <c r="A87" t="s">
        <v>319</v>
      </c>
      <c r="B87" t="s">
        <v>454</v>
      </c>
      <c r="C87" t="s">
        <v>14</v>
      </c>
      <c r="D87" t="s">
        <v>457</v>
      </c>
      <c r="E87" t="s">
        <v>455</v>
      </c>
      <c r="F87" t="s">
        <v>428</v>
      </c>
      <c r="G87" t="s">
        <v>21</v>
      </c>
      <c r="H87" t="s">
        <v>309</v>
      </c>
      <c r="I87" t="s">
        <v>456</v>
      </c>
    </row>
    <row r="88" spans="1:9" x14ac:dyDescent="0.2">
      <c r="A88" t="s">
        <v>319</v>
      </c>
      <c r="B88" t="s">
        <v>454</v>
      </c>
      <c r="C88" t="s">
        <v>17</v>
      </c>
      <c r="D88" t="s">
        <v>18</v>
      </c>
      <c r="E88" t="s">
        <v>455</v>
      </c>
      <c r="F88" t="s">
        <v>428</v>
      </c>
      <c r="G88" t="s">
        <v>21</v>
      </c>
      <c r="H88" t="s">
        <v>309</v>
      </c>
      <c r="I88" t="s">
        <v>456</v>
      </c>
    </row>
    <row r="89" spans="1:9" x14ac:dyDescent="0.2">
      <c r="A89" t="s">
        <v>319</v>
      </c>
      <c r="B89" t="s">
        <v>454</v>
      </c>
      <c r="C89" t="s">
        <v>20</v>
      </c>
      <c r="D89" t="s">
        <v>393</v>
      </c>
      <c r="E89" t="s">
        <v>455</v>
      </c>
      <c r="F89" t="s">
        <v>428</v>
      </c>
      <c r="G89" t="s">
        <v>21</v>
      </c>
      <c r="H89" t="s">
        <v>309</v>
      </c>
      <c r="I89" t="s">
        <v>456</v>
      </c>
    </row>
    <row r="90" spans="1:9" x14ac:dyDescent="0.2">
      <c r="A90" t="s">
        <v>319</v>
      </c>
      <c r="B90" t="s">
        <v>458</v>
      </c>
      <c r="C90" t="s">
        <v>4</v>
      </c>
      <c r="D90" t="s">
        <v>459</v>
      </c>
      <c r="E90" t="s">
        <v>459</v>
      </c>
      <c r="F90" t="s">
        <v>428</v>
      </c>
      <c r="G90" t="s">
        <v>21</v>
      </c>
      <c r="H90" t="s">
        <v>309</v>
      </c>
      <c r="I90" t="s">
        <v>460</v>
      </c>
    </row>
    <row r="91" spans="1:9" x14ac:dyDescent="0.2">
      <c r="A91" t="s">
        <v>319</v>
      </c>
      <c r="B91" t="s">
        <v>458</v>
      </c>
      <c r="C91" t="s">
        <v>7</v>
      </c>
      <c r="D91" t="s">
        <v>460</v>
      </c>
      <c r="E91" t="s">
        <v>459</v>
      </c>
      <c r="F91" t="s">
        <v>428</v>
      </c>
      <c r="G91" t="s">
        <v>21</v>
      </c>
      <c r="H91" t="s">
        <v>309</v>
      </c>
      <c r="I91" t="s">
        <v>460</v>
      </c>
    </row>
    <row r="92" spans="1:9" x14ac:dyDescent="0.2">
      <c r="A92" t="s">
        <v>319</v>
      </c>
      <c r="B92" t="s">
        <v>458</v>
      </c>
      <c r="C92" t="s">
        <v>9</v>
      </c>
      <c r="D92">
        <v>20</v>
      </c>
      <c r="E92" t="s">
        <v>459</v>
      </c>
      <c r="F92" t="s">
        <v>428</v>
      </c>
      <c r="G92" t="s">
        <v>21</v>
      </c>
      <c r="H92" t="s">
        <v>309</v>
      </c>
      <c r="I92" t="s">
        <v>460</v>
      </c>
    </row>
    <row r="93" spans="1:9" x14ac:dyDescent="0.2">
      <c r="A93" t="s">
        <v>319</v>
      </c>
      <c r="B93" t="s">
        <v>458</v>
      </c>
      <c r="C93" t="s">
        <v>10</v>
      </c>
      <c r="D93">
        <v>2</v>
      </c>
      <c r="E93" t="s">
        <v>459</v>
      </c>
      <c r="F93" t="s">
        <v>428</v>
      </c>
      <c r="G93" t="s">
        <v>21</v>
      </c>
      <c r="H93" t="s">
        <v>309</v>
      </c>
      <c r="I93" t="s">
        <v>460</v>
      </c>
    </row>
    <row r="94" spans="1:9" x14ac:dyDescent="0.2">
      <c r="A94" t="s">
        <v>319</v>
      </c>
      <c r="B94" t="s">
        <v>458</v>
      </c>
      <c r="C94" t="s">
        <v>12</v>
      </c>
      <c r="D94">
        <v>5</v>
      </c>
      <c r="E94" t="s">
        <v>459</v>
      </c>
      <c r="F94" t="s">
        <v>428</v>
      </c>
      <c r="G94" t="s">
        <v>21</v>
      </c>
      <c r="H94" t="s">
        <v>309</v>
      </c>
      <c r="I94" t="s">
        <v>460</v>
      </c>
    </row>
    <row r="95" spans="1:9" x14ac:dyDescent="0.2">
      <c r="A95" t="s">
        <v>319</v>
      </c>
      <c r="B95" t="s">
        <v>458</v>
      </c>
      <c r="C95" t="s">
        <v>14</v>
      </c>
      <c r="D95" t="s">
        <v>461</v>
      </c>
      <c r="E95" t="s">
        <v>459</v>
      </c>
      <c r="F95" t="s">
        <v>428</v>
      </c>
      <c r="G95" t="s">
        <v>21</v>
      </c>
      <c r="H95" t="s">
        <v>309</v>
      </c>
      <c r="I95" t="s">
        <v>460</v>
      </c>
    </row>
    <row r="96" spans="1:9" x14ac:dyDescent="0.2">
      <c r="A96" t="s">
        <v>319</v>
      </c>
      <c r="B96" t="s">
        <v>458</v>
      </c>
      <c r="C96" t="s">
        <v>17</v>
      </c>
      <c r="D96" t="s">
        <v>354</v>
      </c>
      <c r="E96" t="s">
        <v>459</v>
      </c>
      <c r="F96" t="s">
        <v>428</v>
      </c>
      <c r="G96" t="s">
        <v>21</v>
      </c>
      <c r="H96" t="s">
        <v>309</v>
      </c>
      <c r="I96" t="s">
        <v>460</v>
      </c>
    </row>
    <row r="97" spans="1:9" x14ac:dyDescent="0.2">
      <c r="A97" t="s">
        <v>319</v>
      </c>
      <c r="B97" t="s">
        <v>458</v>
      </c>
      <c r="C97" t="s">
        <v>20</v>
      </c>
      <c r="D97" t="s">
        <v>385</v>
      </c>
      <c r="E97" t="s">
        <v>459</v>
      </c>
      <c r="F97" t="s">
        <v>428</v>
      </c>
      <c r="G97" t="s">
        <v>21</v>
      </c>
      <c r="H97" t="s">
        <v>309</v>
      </c>
      <c r="I97" t="s">
        <v>460</v>
      </c>
    </row>
    <row r="98" spans="1:9" x14ac:dyDescent="0.2">
      <c r="A98" t="s">
        <v>319</v>
      </c>
      <c r="B98" t="s">
        <v>462</v>
      </c>
      <c r="C98" t="s">
        <v>4</v>
      </c>
      <c r="D98" t="s">
        <v>463</v>
      </c>
      <c r="E98" t="s">
        <v>463</v>
      </c>
      <c r="F98" t="s">
        <v>428</v>
      </c>
      <c r="G98" t="s">
        <v>21</v>
      </c>
      <c r="H98" t="s">
        <v>309</v>
      </c>
      <c r="I98" t="s">
        <v>464</v>
      </c>
    </row>
    <row r="99" spans="1:9" x14ac:dyDescent="0.2">
      <c r="A99" t="s">
        <v>319</v>
      </c>
      <c r="B99" t="s">
        <v>462</v>
      </c>
      <c r="C99" t="s">
        <v>7</v>
      </c>
      <c r="D99" t="s">
        <v>464</v>
      </c>
      <c r="E99" t="s">
        <v>463</v>
      </c>
      <c r="F99" t="s">
        <v>428</v>
      </c>
      <c r="G99" t="s">
        <v>21</v>
      </c>
      <c r="H99" t="s">
        <v>309</v>
      </c>
      <c r="I99" t="s">
        <v>464</v>
      </c>
    </row>
    <row r="100" spans="1:9" x14ac:dyDescent="0.2">
      <c r="A100" t="s">
        <v>319</v>
      </c>
      <c r="B100" t="s">
        <v>462</v>
      </c>
      <c r="C100" t="s">
        <v>9</v>
      </c>
      <c r="D100">
        <v>20</v>
      </c>
      <c r="E100" t="s">
        <v>463</v>
      </c>
      <c r="F100" t="s">
        <v>428</v>
      </c>
      <c r="G100" t="s">
        <v>21</v>
      </c>
      <c r="H100" t="s">
        <v>309</v>
      </c>
      <c r="I100" t="s">
        <v>464</v>
      </c>
    </row>
    <row r="101" spans="1:9" x14ac:dyDescent="0.2">
      <c r="A101" t="s">
        <v>319</v>
      </c>
      <c r="B101" t="s">
        <v>462</v>
      </c>
      <c r="C101" t="s">
        <v>10</v>
      </c>
      <c r="D101">
        <v>2</v>
      </c>
      <c r="E101" t="s">
        <v>463</v>
      </c>
      <c r="F101" t="s">
        <v>428</v>
      </c>
      <c r="G101" t="s">
        <v>21</v>
      </c>
      <c r="H101" t="s">
        <v>309</v>
      </c>
      <c r="I101" t="s">
        <v>464</v>
      </c>
    </row>
    <row r="102" spans="1:9" x14ac:dyDescent="0.2">
      <c r="A102" t="s">
        <v>319</v>
      </c>
      <c r="B102" t="s">
        <v>462</v>
      </c>
      <c r="C102" t="s">
        <v>12</v>
      </c>
      <c r="D102">
        <v>5</v>
      </c>
      <c r="E102" t="s">
        <v>463</v>
      </c>
      <c r="F102" t="s">
        <v>428</v>
      </c>
      <c r="G102" t="s">
        <v>21</v>
      </c>
      <c r="H102" t="s">
        <v>309</v>
      </c>
      <c r="I102" t="s">
        <v>464</v>
      </c>
    </row>
    <row r="103" spans="1:9" x14ac:dyDescent="0.2">
      <c r="A103" t="s">
        <v>319</v>
      </c>
      <c r="B103" t="s">
        <v>462</v>
      </c>
      <c r="C103" t="s">
        <v>14</v>
      </c>
      <c r="D103" t="s">
        <v>465</v>
      </c>
      <c r="E103" t="s">
        <v>463</v>
      </c>
      <c r="F103" t="s">
        <v>428</v>
      </c>
      <c r="G103" t="s">
        <v>21</v>
      </c>
      <c r="H103" t="s">
        <v>309</v>
      </c>
      <c r="I103" t="s">
        <v>464</v>
      </c>
    </row>
    <row r="104" spans="1:9" x14ac:dyDescent="0.2">
      <c r="A104" t="s">
        <v>319</v>
      </c>
      <c r="B104" t="s">
        <v>462</v>
      </c>
      <c r="C104" t="s">
        <v>17</v>
      </c>
      <c r="D104" t="s">
        <v>18</v>
      </c>
      <c r="E104" t="s">
        <v>463</v>
      </c>
      <c r="F104" t="s">
        <v>428</v>
      </c>
      <c r="G104" t="s">
        <v>21</v>
      </c>
      <c r="H104" t="s">
        <v>309</v>
      </c>
      <c r="I104" t="s">
        <v>464</v>
      </c>
    </row>
    <row r="105" spans="1:9" x14ac:dyDescent="0.2">
      <c r="A105" t="s">
        <v>319</v>
      </c>
      <c r="B105" t="s">
        <v>462</v>
      </c>
      <c r="C105" t="s">
        <v>20</v>
      </c>
      <c r="D105" t="s">
        <v>393</v>
      </c>
      <c r="E105" t="s">
        <v>463</v>
      </c>
      <c r="F105" t="s">
        <v>428</v>
      </c>
      <c r="G105" t="s">
        <v>21</v>
      </c>
      <c r="H105" t="s">
        <v>309</v>
      </c>
      <c r="I105" t="s">
        <v>464</v>
      </c>
    </row>
    <row r="106" spans="1:9" x14ac:dyDescent="0.2">
      <c r="A106" t="s">
        <v>319</v>
      </c>
      <c r="B106" t="s">
        <v>466</v>
      </c>
      <c r="C106" t="s">
        <v>4</v>
      </c>
      <c r="D106" t="s">
        <v>467</v>
      </c>
      <c r="E106" t="s">
        <v>467</v>
      </c>
      <c r="F106" t="s">
        <v>428</v>
      </c>
      <c r="G106" t="s">
        <v>21</v>
      </c>
      <c r="H106" t="s">
        <v>309</v>
      </c>
      <c r="I106" t="s">
        <v>468</v>
      </c>
    </row>
    <row r="107" spans="1:9" x14ac:dyDescent="0.2">
      <c r="A107" t="s">
        <v>319</v>
      </c>
      <c r="B107" t="s">
        <v>466</v>
      </c>
      <c r="C107" t="s">
        <v>7</v>
      </c>
      <c r="D107" t="s">
        <v>469</v>
      </c>
      <c r="E107" t="s">
        <v>467</v>
      </c>
      <c r="F107" t="s">
        <v>428</v>
      </c>
      <c r="G107" t="s">
        <v>21</v>
      </c>
      <c r="H107" t="s">
        <v>309</v>
      </c>
      <c r="I107" t="s">
        <v>468</v>
      </c>
    </row>
    <row r="108" spans="1:9" x14ac:dyDescent="0.2">
      <c r="A108" t="s">
        <v>319</v>
      </c>
      <c r="B108" t="s">
        <v>466</v>
      </c>
      <c r="C108" t="s">
        <v>9</v>
      </c>
      <c r="E108" t="s">
        <v>467</v>
      </c>
      <c r="F108" t="s">
        <v>428</v>
      </c>
      <c r="G108" t="s">
        <v>21</v>
      </c>
      <c r="H108" t="s">
        <v>309</v>
      </c>
      <c r="I108" t="s">
        <v>468</v>
      </c>
    </row>
    <row r="109" spans="1:9" x14ac:dyDescent="0.2">
      <c r="A109" t="s">
        <v>319</v>
      </c>
      <c r="B109" t="s">
        <v>466</v>
      </c>
      <c r="C109" t="s">
        <v>10</v>
      </c>
      <c r="E109" t="s">
        <v>467</v>
      </c>
      <c r="F109" t="s">
        <v>428</v>
      </c>
      <c r="G109" t="s">
        <v>21</v>
      </c>
      <c r="H109" t="s">
        <v>309</v>
      </c>
      <c r="I109" t="s">
        <v>468</v>
      </c>
    </row>
    <row r="110" spans="1:9" x14ac:dyDescent="0.2">
      <c r="A110" t="s">
        <v>319</v>
      </c>
      <c r="B110" t="s">
        <v>466</v>
      </c>
      <c r="C110" t="s">
        <v>12</v>
      </c>
      <c r="D110">
        <v>5</v>
      </c>
      <c r="E110" t="s">
        <v>467</v>
      </c>
      <c r="F110" t="s">
        <v>428</v>
      </c>
      <c r="G110" t="s">
        <v>21</v>
      </c>
      <c r="H110" t="s">
        <v>309</v>
      </c>
      <c r="I110" t="s">
        <v>468</v>
      </c>
    </row>
    <row r="111" spans="1:9" x14ac:dyDescent="0.2">
      <c r="A111" t="s">
        <v>319</v>
      </c>
      <c r="B111" t="s">
        <v>466</v>
      </c>
      <c r="C111" t="s">
        <v>14</v>
      </c>
      <c r="D111" t="s">
        <v>470</v>
      </c>
      <c r="E111" t="s">
        <v>467</v>
      </c>
      <c r="F111" t="s">
        <v>428</v>
      </c>
      <c r="G111" t="s">
        <v>21</v>
      </c>
      <c r="H111" t="s">
        <v>309</v>
      </c>
      <c r="I111" t="s">
        <v>468</v>
      </c>
    </row>
    <row r="112" spans="1:9" x14ac:dyDescent="0.2">
      <c r="A112" t="s">
        <v>319</v>
      </c>
      <c r="B112" t="s">
        <v>466</v>
      </c>
      <c r="C112" t="s">
        <v>17</v>
      </c>
      <c r="D112" t="s">
        <v>18</v>
      </c>
      <c r="E112" t="s">
        <v>467</v>
      </c>
      <c r="F112" t="s">
        <v>428</v>
      </c>
      <c r="G112" t="s">
        <v>21</v>
      </c>
      <c r="H112" t="s">
        <v>309</v>
      </c>
      <c r="I112" t="s">
        <v>468</v>
      </c>
    </row>
    <row r="113" spans="1:9" x14ac:dyDescent="0.2">
      <c r="A113" t="s">
        <v>319</v>
      </c>
      <c r="B113" t="s">
        <v>466</v>
      </c>
      <c r="C113" t="s">
        <v>20</v>
      </c>
      <c r="D113" t="s">
        <v>386</v>
      </c>
      <c r="E113" t="s">
        <v>467</v>
      </c>
      <c r="F113" t="s">
        <v>428</v>
      </c>
      <c r="G113" t="s">
        <v>21</v>
      </c>
      <c r="H113" t="s">
        <v>309</v>
      </c>
      <c r="I113" t="s">
        <v>468</v>
      </c>
    </row>
    <row r="114" spans="1:9" x14ac:dyDescent="0.2">
      <c r="A114" t="s">
        <v>319</v>
      </c>
      <c r="B114" t="s">
        <v>471</v>
      </c>
      <c r="C114" t="s">
        <v>4</v>
      </c>
      <c r="D114" t="s">
        <v>472</v>
      </c>
      <c r="E114" t="s">
        <v>472</v>
      </c>
      <c r="F114" t="s">
        <v>428</v>
      </c>
      <c r="G114" t="s">
        <v>21</v>
      </c>
      <c r="H114" t="s">
        <v>309</v>
      </c>
      <c r="I114" t="s">
        <v>473</v>
      </c>
    </row>
    <row r="115" spans="1:9" x14ac:dyDescent="0.2">
      <c r="A115" t="s">
        <v>319</v>
      </c>
      <c r="B115" t="s">
        <v>471</v>
      </c>
      <c r="C115" t="s">
        <v>7</v>
      </c>
      <c r="D115" t="s">
        <v>473</v>
      </c>
      <c r="E115" t="s">
        <v>472</v>
      </c>
      <c r="F115" t="s">
        <v>428</v>
      </c>
      <c r="G115" t="s">
        <v>21</v>
      </c>
      <c r="H115" t="s">
        <v>309</v>
      </c>
      <c r="I115" t="s">
        <v>473</v>
      </c>
    </row>
    <row r="116" spans="1:9" x14ac:dyDescent="0.2">
      <c r="A116" t="s">
        <v>319</v>
      </c>
      <c r="B116" t="s">
        <v>471</v>
      </c>
      <c r="C116" t="s">
        <v>9</v>
      </c>
      <c r="D116">
        <v>40</v>
      </c>
      <c r="E116" t="s">
        <v>472</v>
      </c>
      <c r="F116" t="s">
        <v>428</v>
      </c>
      <c r="G116" t="s">
        <v>21</v>
      </c>
      <c r="H116" t="s">
        <v>309</v>
      </c>
      <c r="I116" t="s">
        <v>473</v>
      </c>
    </row>
    <row r="117" spans="1:9" x14ac:dyDescent="0.2">
      <c r="A117" t="s">
        <v>319</v>
      </c>
      <c r="B117" t="s">
        <v>471</v>
      </c>
      <c r="C117" t="s">
        <v>10</v>
      </c>
      <c r="D117" t="s">
        <v>293</v>
      </c>
      <c r="E117" t="s">
        <v>472</v>
      </c>
      <c r="F117" t="s">
        <v>428</v>
      </c>
      <c r="G117" t="s">
        <v>21</v>
      </c>
      <c r="H117" t="s">
        <v>309</v>
      </c>
      <c r="I117" t="s">
        <v>473</v>
      </c>
    </row>
    <row r="118" spans="1:9" x14ac:dyDescent="0.2">
      <c r="A118" t="s">
        <v>319</v>
      </c>
      <c r="B118" t="s">
        <v>471</v>
      </c>
      <c r="C118" t="s">
        <v>12</v>
      </c>
      <c r="D118">
        <v>6</v>
      </c>
      <c r="E118" t="s">
        <v>472</v>
      </c>
      <c r="F118" t="s">
        <v>428</v>
      </c>
      <c r="G118" t="s">
        <v>21</v>
      </c>
      <c r="H118" t="s">
        <v>309</v>
      </c>
      <c r="I118" t="s">
        <v>473</v>
      </c>
    </row>
    <row r="119" spans="1:9" x14ac:dyDescent="0.2">
      <c r="A119" t="s">
        <v>319</v>
      </c>
      <c r="B119" t="s">
        <v>471</v>
      </c>
      <c r="C119" t="s">
        <v>14</v>
      </c>
      <c r="E119" t="s">
        <v>472</v>
      </c>
      <c r="F119" t="s">
        <v>428</v>
      </c>
      <c r="G119" t="s">
        <v>21</v>
      </c>
      <c r="H119" t="s">
        <v>309</v>
      </c>
      <c r="I119" t="s">
        <v>473</v>
      </c>
    </row>
    <row r="120" spans="1:9" x14ac:dyDescent="0.2">
      <c r="A120" t="s">
        <v>319</v>
      </c>
      <c r="B120" t="s">
        <v>471</v>
      </c>
      <c r="C120" t="s">
        <v>17</v>
      </c>
      <c r="D120" t="s">
        <v>355</v>
      </c>
      <c r="E120" t="s">
        <v>472</v>
      </c>
      <c r="F120" t="s">
        <v>428</v>
      </c>
      <c r="G120" t="s">
        <v>21</v>
      </c>
      <c r="H120" t="s">
        <v>309</v>
      </c>
      <c r="I120" t="s">
        <v>473</v>
      </c>
    </row>
    <row r="121" spans="1:9" x14ac:dyDescent="0.2">
      <c r="A121" t="s">
        <v>319</v>
      </c>
      <c r="B121" t="s">
        <v>471</v>
      </c>
      <c r="C121" t="s">
        <v>20</v>
      </c>
      <c r="D121" t="s">
        <v>385</v>
      </c>
      <c r="E121" t="s">
        <v>472</v>
      </c>
      <c r="F121" t="s">
        <v>428</v>
      </c>
      <c r="G121" t="s">
        <v>21</v>
      </c>
      <c r="H121" t="s">
        <v>309</v>
      </c>
      <c r="I121" t="s">
        <v>473</v>
      </c>
    </row>
    <row r="122" spans="1:9" x14ac:dyDescent="0.2">
      <c r="A122" t="s">
        <v>344</v>
      </c>
      <c r="B122" t="s">
        <v>474</v>
      </c>
      <c r="C122" t="s">
        <v>4</v>
      </c>
      <c r="D122" t="s">
        <v>475</v>
      </c>
      <c r="E122" t="s">
        <v>475</v>
      </c>
      <c r="F122" t="s">
        <v>428</v>
      </c>
      <c r="G122" t="s">
        <v>21</v>
      </c>
      <c r="H122" t="s">
        <v>309</v>
      </c>
      <c r="I122" t="s">
        <v>476</v>
      </c>
    </row>
    <row r="123" spans="1:9" x14ac:dyDescent="0.2">
      <c r="A123" t="s">
        <v>344</v>
      </c>
      <c r="B123" t="s">
        <v>474</v>
      </c>
      <c r="C123" t="s">
        <v>7</v>
      </c>
      <c r="D123" t="s">
        <v>476</v>
      </c>
      <c r="E123" t="s">
        <v>475</v>
      </c>
      <c r="F123" t="s">
        <v>428</v>
      </c>
      <c r="G123" t="s">
        <v>21</v>
      </c>
      <c r="H123" t="s">
        <v>309</v>
      </c>
      <c r="I123" t="s">
        <v>476</v>
      </c>
    </row>
    <row r="124" spans="1:9" x14ac:dyDescent="0.2">
      <c r="A124" t="s">
        <v>344</v>
      </c>
      <c r="B124" t="s">
        <v>474</v>
      </c>
      <c r="C124" t="s">
        <v>9</v>
      </c>
      <c r="D124">
        <v>20</v>
      </c>
      <c r="E124" t="s">
        <v>475</v>
      </c>
      <c r="F124" t="s">
        <v>428</v>
      </c>
      <c r="G124" t="s">
        <v>21</v>
      </c>
      <c r="H124" t="s">
        <v>309</v>
      </c>
      <c r="I124" t="s">
        <v>476</v>
      </c>
    </row>
    <row r="125" spans="1:9" x14ac:dyDescent="0.2">
      <c r="A125" t="s">
        <v>344</v>
      </c>
      <c r="B125" t="s">
        <v>474</v>
      </c>
      <c r="C125" t="s">
        <v>10</v>
      </c>
      <c r="D125">
        <v>1</v>
      </c>
      <c r="E125" t="s">
        <v>475</v>
      </c>
      <c r="F125" t="s">
        <v>428</v>
      </c>
      <c r="G125" t="s">
        <v>21</v>
      </c>
      <c r="H125" t="s">
        <v>309</v>
      </c>
      <c r="I125" t="s">
        <v>476</v>
      </c>
    </row>
    <row r="126" spans="1:9" x14ac:dyDescent="0.2">
      <c r="A126" t="s">
        <v>344</v>
      </c>
      <c r="B126" t="s">
        <v>474</v>
      </c>
      <c r="C126" t="s">
        <v>12</v>
      </c>
      <c r="D126">
        <v>4</v>
      </c>
      <c r="E126" t="s">
        <v>475</v>
      </c>
      <c r="F126" t="s">
        <v>428</v>
      </c>
      <c r="G126" t="s">
        <v>21</v>
      </c>
      <c r="H126" t="s">
        <v>309</v>
      </c>
      <c r="I126" t="s">
        <v>476</v>
      </c>
    </row>
    <row r="127" spans="1:9" x14ac:dyDescent="0.2">
      <c r="A127" t="s">
        <v>344</v>
      </c>
      <c r="B127" t="s">
        <v>474</v>
      </c>
      <c r="C127" t="s">
        <v>14</v>
      </c>
      <c r="D127" t="s">
        <v>477</v>
      </c>
      <c r="E127" t="s">
        <v>475</v>
      </c>
      <c r="F127" t="s">
        <v>428</v>
      </c>
      <c r="G127" t="s">
        <v>21</v>
      </c>
      <c r="H127" t="s">
        <v>309</v>
      </c>
      <c r="I127" t="s">
        <v>476</v>
      </c>
    </row>
    <row r="128" spans="1:9" x14ac:dyDescent="0.2">
      <c r="A128" t="s">
        <v>344</v>
      </c>
      <c r="B128" t="s">
        <v>474</v>
      </c>
      <c r="C128" t="s">
        <v>17</v>
      </c>
      <c r="D128" t="s">
        <v>18</v>
      </c>
      <c r="E128" t="s">
        <v>475</v>
      </c>
      <c r="F128" t="s">
        <v>428</v>
      </c>
      <c r="G128" t="s">
        <v>21</v>
      </c>
      <c r="H128" t="s">
        <v>309</v>
      </c>
      <c r="I128" t="s">
        <v>476</v>
      </c>
    </row>
    <row r="129" spans="1:9" x14ac:dyDescent="0.2">
      <c r="A129" t="s">
        <v>344</v>
      </c>
      <c r="B129" t="s">
        <v>474</v>
      </c>
      <c r="C129" t="s">
        <v>20</v>
      </c>
      <c r="D129" t="s">
        <v>393</v>
      </c>
      <c r="E129" t="s">
        <v>475</v>
      </c>
      <c r="F129" t="s">
        <v>428</v>
      </c>
      <c r="G129" t="s">
        <v>21</v>
      </c>
      <c r="H129" t="s">
        <v>309</v>
      </c>
      <c r="I129" t="s">
        <v>476</v>
      </c>
    </row>
    <row r="130" spans="1:9" x14ac:dyDescent="0.2">
      <c r="A130" t="s">
        <v>344</v>
      </c>
      <c r="B130" t="s">
        <v>568</v>
      </c>
      <c r="C130" t="s">
        <v>4</v>
      </c>
      <c r="D130" t="s">
        <v>569</v>
      </c>
      <c r="E130" t="s">
        <v>569</v>
      </c>
      <c r="F130" t="s">
        <v>428</v>
      </c>
      <c r="G130" t="s">
        <v>21</v>
      </c>
      <c r="H130" t="s">
        <v>309</v>
      </c>
      <c r="I130" t="s">
        <v>570</v>
      </c>
    </row>
    <row r="131" spans="1:9" x14ac:dyDescent="0.2">
      <c r="A131" t="s">
        <v>344</v>
      </c>
      <c r="B131" t="s">
        <v>568</v>
      </c>
      <c r="C131" t="s">
        <v>7</v>
      </c>
      <c r="D131" t="s">
        <v>570</v>
      </c>
      <c r="E131" t="s">
        <v>569</v>
      </c>
      <c r="F131" t="s">
        <v>428</v>
      </c>
      <c r="G131" t="s">
        <v>21</v>
      </c>
      <c r="H131" t="s">
        <v>309</v>
      </c>
      <c r="I131" t="s">
        <v>570</v>
      </c>
    </row>
    <row r="132" spans="1:9" x14ac:dyDescent="0.2">
      <c r="A132" t="s">
        <v>344</v>
      </c>
      <c r="B132" t="s">
        <v>568</v>
      </c>
      <c r="C132" t="s">
        <v>9</v>
      </c>
      <c r="D132">
        <v>20</v>
      </c>
      <c r="E132" t="s">
        <v>569</v>
      </c>
      <c r="F132" t="s">
        <v>428</v>
      </c>
      <c r="G132" t="s">
        <v>21</v>
      </c>
      <c r="H132" t="s">
        <v>309</v>
      </c>
      <c r="I132" t="s">
        <v>570</v>
      </c>
    </row>
    <row r="133" spans="1:9" x14ac:dyDescent="0.2">
      <c r="A133" t="s">
        <v>344</v>
      </c>
      <c r="B133" t="s">
        <v>568</v>
      </c>
      <c r="C133" t="s">
        <v>10</v>
      </c>
      <c r="D133">
        <v>2</v>
      </c>
      <c r="E133" t="s">
        <v>569</v>
      </c>
      <c r="F133" t="s">
        <v>428</v>
      </c>
      <c r="G133" t="s">
        <v>21</v>
      </c>
      <c r="H133" t="s">
        <v>309</v>
      </c>
      <c r="I133" t="s">
        <v>570</v>
      </c>
    </row>
    <row r="134" spans="1:9" x14ac:dyDescent="0.2">
      <c r="A134" t="s">
        <v>344</v>
      </c>
      <c r="B134" t="s">
        <v>568</v>
      </c>
      <c r="C134" t="s">
        <v>12</v>
      </c>
      <c r="D134">
        <v>5</v>
      </c>
      <c r="E134" t="s">
        <v>569</v>
      </c>
      <c r="F134" t="s">
        <v>428</v>
      </c>
      <c r="G134" t="s">
        <v>21</v>
      </c>
      <c r="H134" t="s">
        <v>309</v>
      </c>
      <c r="I134" t="s">
        <v>570</v>
      </c>
    </row>
    <row r="135" spans="1:9" x14ac:dyDescent="0.2">
      <c r="A135" t="s">
        <v>344</v>
      </c>
      <c r="B135" t="s">
        <v>568</v>
      </c>
      <c r="C135" t="s">
        <v>14</v>
      </c>
      <c r="D135" t="s">
        <v>571</v>
      </c>
      <c r="E135" t="s">
        <v>569</v>
      </c>
      <c r="F135" t="s">
        <v>428</v>
      </c>
      <c r="G135" t="s">
        <v>21</v>
      </c>
      <c r="H135" t="s">
        <v>309</v>
      </c>
      <c r="I135" t="s">
        <v>570</v>
      </c>
    </row>
    <row r="136" spans="1:9" x14ac:dyDescent="0.2">
      <c r="A136" t="s">
        <v>344</v>
      </c>
      <c r="B136" t="s">
        <v>568</v>
      </c>
      <c r="C136" t="s">
        <v>17</v>
      </c>
      <c r="D136" t="s">
        <v>18</v>
      </c>
      <c r="E136" t="s">
        <v>569</v>
      </c>
      <c r="F136" t="s">
        <v>428</v>
      </c>
      <c r="G136" t="s">
        <v>21</v>
      </c>
      <c r="H136" t="s">
        <v>309</v>
      </c>
      <c r="I136" t="s">
        <v>570</v>
      </c>
    </row>
    <row r="137" spans="1:9" x14ac:dyDescent="0.2">
      <c r="A137" t="s">
        <v>344</v>
      </c>
      <c r="B137" t="s">
        <v>568</v>
      </c>
      <c r="C137" t="s">
        <v>20</v>
      </c>
      <c r="D137" t="s">
        <v>385</v>
      </c>
      <c r="E137" t="s">
        <v>569</v>
      </c>
      <c r="F137" t="s">
        <v>428</v>
      </c>
      <c r="G137" t="s">
        <v>21</v>
      </c>
      <c r="H137" t="s">
        <v>309</v>
      </c>
      <c r="I137" t="s">
        <v>570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C48DC-865D-406F-B0B7-C392D9B6738A}">
  <sheetPr codeName="Sheet11"/>
  <dimension ref="A1:I43"/>
  <sheetViews>
    <sheetView workbookViewId="0">
      <selection activeCell="V40" sqref="V40"/>
    </sheetView>
  </sheetViews>
  <sheetFormatPr baseColWidth="10" defaultColWidth="8.83203125" defaultRowHeight="15" x14ac:dyDescent="0.2"/>
  <cols>
    <col min="1" max="1" width="49" bestFit="1" customWidth="1"/>
    <col min="2" max="3" width="13.5" bestFit="1" customWidth="1"/>
    <col min="4" max="4" width="81.1640625" bestFit="1" customWidth="1"/>
    <col min="5" max="5" width="14.83203125" bestFit="1" customWidth="1"/>
    <col min="6" max="6" width="12.6640625" bestFit="1" customWidth="1"/>
    <col min="7" max="7" width="15.5" bestFit="1" customWidth="1"/>
    <col min="8" max="8" width="12.1640625" bestFit="1" customWidth="1"/>
    <col min="9" max="9" width="44.5" bestFit="1" customWidth="1"/>
  </cols>
  <sheetData>
    <row r="1" spans="1:9" x14ac:dyDescent="0.2">
      <c r="A1" t="s">
        <v>433</v>
      </c>
      <c r="B1" t="s">
        <v>308</v>
      </c>
      <c r="C1" t="s">
        <v>36</v>
      </c>
      <c r="D1" t="s">
        <v>37</v>
      </c>
      <c r="E1" t="s">
        <v>434</v>
      </c>
      <c r="F1" t="s">
        <v>435</v>
      </c>
      <c r="G1" t="s">
        <v>307</v>
      </c>
      <c r="H1" t="s">
        <v>436</v>
      </c>
      <c r="I1" t="s">
        <v>437</v>
      </c>
    </row>
    <row r="2" spans="1:9" x14ac:dyDescent="0.2">
      <c r="A2" t="s">
        <v>310</v>
      </c>
      <c r="B2" t="s">
        <v>478</v>
      </c>
      <c r="C2" t="s">
        <v>38</v>
      </c>
      <c r="D2" t="s">
        <v>39</v>
      </c>
      <c r="E2" t="s">
        <v>5</v>
      </c>
      <c r="F2" t="s">
        <v>429</v>
      </c>
      <c r="G2" t="s">
        <v>21</v>
      </c>
      <c r="H2" t="s">
        <v>309</v>
      </c>
      <c r="I2" t="s">
        <v>8</v>
      </c>
    </row>
    <row r="3" spans="1:9" x14ac:dyDescent="0.2">
      <c r="A3" t="s">
        <v>310</v>
      </c>
      <c r="B3" t="s">
        <v>478</v>
      </c>
      <c r="C3" t="s">
        <v>40</v>
      </c>
      <c r="D3" t="s">
        <v>41</v>
      </c>
      <c r="E3" t="s">
        <v>5</v>
      </c>
      <c r="F3" t="s">
        <v>429</v>
      </c>
      <c r="G3" t="s">
        <v>21</v>
      </c>
      <c r="H3" t="s">
        <v>309</v>
      </c>
      <c r="I3" t="s">
        <v>8</v>
      </c>
    </row>
    <row r="4" spans="1:9" x14ac:dyDescent="0.2">
      <c r="A4" t="s">
        <v>310</v>
      </c>
      <c r="B4" t="s">
        <v>479</v>
      </c>
      <c r="C4" t="s">
        <v>38</v>
      </c>
      <c r="D4" t="s">
        <v>105</v>
      </c>
      <c r="E4" t="s">
        <v>96</v>
      </c>
      <c r="F4" t="s">
        <v>429</v>
      </c>
      <c r="G4" t="s">
        <v>21</v>
      </c>
      <c r="H4" t="s">
        <v>309</v>
      </c>
      <c r="I4" t="s">
        <v>98</v>
      </c>
    </row>
    <row r="5" spans="1:9" x14ac:dyDescent="0.2">
      <c r="A5" t="s">
        <v>310</v>
      </c>
      <c r="B5" t="s">
        <v>479</v>
      </c>
      <c r="C5" t="s">
        <v>40</v>
      </c>
      <c r="D5" t="s">
        <v>106</v>
      </c>
      <c r="E5" t="s">
        <v>96</v>
      </c>
      <c r="F5" t="s">
        <v>429</v>
      </c>
      <c r="G5" t="s">
        <v>21</v>
      </c>
      <c r="H5" t="s">
        <v>309</v>
      </c>
      <c r="I5" t="s">
        <v>98</v>
      </c>
    </row>
    <row r="6" spans="1:9" x14ac:dyDescent="0.2">
      <c r="A6" t="s">
        <v>310</v>
      </c>
      <c r="B6" t="s">
        <v>479</v>
      </c>
      <c r="C6" t="s">
        <v>42</v>
      </c>
      <c r="D6" t="s">
        <v>107</v>
      </c>
      <c r="E6" t="s">
        <v>96</v>
      </c>
      <c r="F6" t="s">
        <v>429</v>
      </c>
      <c r="G6" t="s">
        <v>21</v>
      </c>
      <c r="H6" t="s">
        <v>309</v>
      </c>
      <c r="I6" t="s">
        <v>98</v>
      </c>
    </row>
    <row r="7" spans="1:9" x14ac:dyDescent="0.2">
      <c r="A7" t="s">
        <v>310</v>
      </c>
      <c r="B7" t="s">
        <v>479</v>
      </c>
      <c r="C7" t="s">
        <v>43</v>
      </c>
      <c r="D7" t="s">
        <v>108</v>
      </c>
      <c r="E7" t="s">
        <v>96</v>
      </c>
      <c r="F7" t="s">
        <v>429</v>
      </c>
      <c r="G7" t="s">
        <v>21</v>
      </c>
      <c r="H7" t="s">
        <v>309</v>
      </c>
      <c r="I7" t="s">
        <v>98</v>
      </c>
    </row>
    <row r="8" spans="1:9" x14ac:dyDescent="0.2">
      <c r="A8" t="s">
        <v>310</v>
      </c>
      <c r="B8" t="s">
        <v>480</v>
      </c>
      <c r="C8" t="s">
        <v>38</v>
      </c>
      <c r="D8" t="s">
        <v>154</v>
      </c>
      <c r="E8" t="s">
        <v>144</v>
      </c>
      <c r="F8" t="s">
        <v>429</v>
      </c>
      <c r="G8" t="s">
        <v>21</v>
      </c>
      <c r="H8" t="s">
        <v>309</v>
      </c>
      <c r="I8" t="s">
        <v>146</v>
      </c>
    </row>
    <row r="9" spans="1:9" x14ac:dyDescent="0.2">
      <c r="A9" t="s">
        <v>310</v>
      </c>
      <c r="B9" t="s">
        <v>480</v>
      </c>
      <c r="C9" t="s">
        <v>40</v>
      </c>
      <c r="D9" t="s">
        <v>155</v>
      </c>
      <c r="E9" t="s">
        <v>144</v>
      </c>
      <c r="F9" t="s">
        <v>429</v>
      </c>
      <c r="G9" t="s">
        <v>21</v>
      </c>
      <c r="H9" t="s">
        <v>309</v>
      </c>
      <c r="I9" t="s">
        <v>146</v>
      </c>
    </row>
    <row r="10" spans="1:9" x14ac:dyDescent="0.2">
      <c r="A10" t="s">
        <v>310</v>
      </c>
      <c r="B10" t="s">
        <v>480</v>
      </c>
      <c r="C10" t="s">
        <v>42</v>
      </c>
      <c r="D10" t="s">
        <v>156</v>
      </c>
      <c r="E10" t="s">
        <v>144</v>
      </c>
      <c r="F10" t="s">
        <v>429</v>
      </c>
      <c r="G10" t="s">
        <v>21</v>
      </c>
      <c r="H10" t="s">
        <v>309</v>
      </c>
      <c r="I10" t="s">
        <v>146</v>
      </c>
    </row>
    <row r="11" spans="1:9" x14ac:dyDescent="0.2">
      <c r="A11" t="s">
        <v>310</v>
      </c>
      <c r="B11" t="s">
        <v>481</v>
      </c>
      <c r="C11" t="s">
        <v>38</v>
      </c>
      <c r="D11" t="s">
        <v>209</v>
      </c>
      <c r="E11" t="s">
        <v>200</v>
      </c>
      <c r="F11" t="s">
        <v>429</v>
      </c>
      <c r="G11" t="s">
        <v>21</v>
      </c>
      <c r="H11" t="s">
        <v>309</v>
      </c>
      <c r="I11" t="s">
        <v>202</v>
      </c>
    </row>
    <row r="12" spans="1:9" x14ac:dyDescent="0.2">
      <c r="A12" t="s">
        <v>310</v>
      </c>
      <c r="B12" t="s">
        <v>481</v>
      </c>
      <c r="C12" t="s">
        <v>40</v>
      </c>
      <c r="D12" t="s">
        <v>210</v>
      </c>
      <c r="E12" t="s">
        <v>200</v>
      </c>
      <c r="F12" t="s">
        <v>429</v>
      </c>
      <c r="G12" t="s">
        <v>21</v>
      </c>
      <c r="H12" t="s">
        <v>309</v>
      </c>
      <c r="I12" t="s">
        <v>202</v>
      </c>
    </row>
    <row r="13" spans="1:9" x14ac:dyDescent="0.2">
      <c r="A13" t="s">
        <v>310</v>
      </c>
      <c r="B13" t="s">
        <v>481</v>
      </c>
      <c r="C13" t="s">
        <v>42</v>
      </c>
      <c r="D13" t="s">
        <v>211</v>
      </c>
      <c r="E13" t="s">
        <v>200</v>
      </c>
      <c r="F13" t="s">
        <v>429</v>
      </c>
      <c r="G13" t="s">
        <v>21</v>
      </c>
      <c r="H13" t="s">
        <v>309</v>
      </c>
      <c r="I13" t="s">
        <v>202</v>
      </c>
    </row>
    <row r="14" spans="1:9" x14ac:dyDescent="0.2">
      <c r="A14" t="s">
        <v>310</v>
      </c>
      <c r="B14" t="s">
        <v>482</v>
      </c>
      <c r="C14" t="s">
        <v>38</v>
      </c>
      <c r="D14" t="s">
        <v>249</v>
      </c>
      <c r="E14" t="s">
        <v>243</v>
      </c>
      <c r="F14" t="s">
        <v>429</v>
      </c>
      <c r="G14" t="s">
        <v>21</v>
      </c>
      <c r="H14" t="s">
        <v>309</v>
      </c>
      <c r="I14" t="s">
        <v>244</v>
      </c>
    </row>
    <row r="15" spans="1:9" x14ac:dyDescent="0.2">
      <c r="A15" t="s">
        <v>310</v>
      </c>
      <c r="B15" t="s">
        <v>482</v>
      </c>
      <c r="C15" t="s">
        <v>40</v>
      </c>
      <c r="D15" t="s">
        <v>250</v>
      </c>
      <c r="E15" t="s">
        <v>243</v>
      </c>
      <c r="F15" t="s">
        <v>429</v>
      </c>
      <c r="G15" t="s">
        <v>21</v>
      </c>
      <c r="H15" t="s">
        <v>309</v>
      </c>
      <c r="I15" t="s">
        <v>244</v>
      </c>
    </row>
    <row r="16" spans="1:9" x14ac:dyDescent="0.2">
      <c r="A16" t="s">
        <v>310</v>
      </c>
      <c r="B16" t="s">
        <v>483</v>
      </c>
      <c r="C16" t="s">
        <v>38</v>
      </c>
      <c r="D16" t="s">
        <v>272</v>
      </c>
      <c r="E16" t="s">
        <v>445</v>
      </c>
      <c r="F16" t="s">
        <v>429</v>
      </c>
      <c r="G16" t="s">
        <v>21</v>
      </c>
      <c r="H16" t="s">
        <v>309</v>
      </c>
      <c r="I16" t="s">
        <v>266</v>
      </c>
    </row>
    <row r="17" spans="1:9" x14ac:dyDescent="0.2">
      <c r="A17" t="s">
        <v>310</v>
      </c>
      <c r="B17" t="s">
        <v>483</v>
      </c>
      <c r="C17" t="s">
        <v>40</v>
      </c>
      <c r="D17" t="s">
        <v>273</v>
      </c>
      <c r="E17" t="s">
        <v>445</v>
      </c>
      <c r="F17" t="s">
        <v>429</v>
      </c>
      <c r="G17" t="s">
        <v>21</v>
      </c>
      <c r="H17" t="s">
        <v>309</v>
      </c>
      <c r="I17" t="s">
        <v>266</v>
      </c>
    </row>
    <row r="18" spans="1:9" x14ac:dyDescent="0.2">
      <c r="A18" t="s">
        <v>310</v>
      </c>
      <c r="B18" t="s">
        <v>483</v>
      </c>
      <c r="C18" t="s">
        <v>42</v>
      </c>
      <c r="D18" t="s">
        <v>274</v>
      </c>
      <c r="E18" t="s">
        <v>445</v>
      </c>
      <c r="F18" t="s">
        <v>429</v>
      </c>
      <c r="G18" t="s">
        <v>21</v>
      </c>
      <c r="H18" t="s">
        <v>309</v>
      </c>
      <c r="I18" t="s">
        <v>266</v>
      </c>
    </row>
    <row r="19" spans="1:9" x14ac:dyDescent="0.2">
      <c r="A19" t="s">
        <v>310</v>
      </c>
      <c r="B19" t="s">
        <v>484</v>
      </c>
      <c r="C19" t="s">
        <v>38</v>
      </c>
      <c r="D19" t="s">
        <v>301</v>
      </c>
      <c r="E19" t="s">
        <v>289</v>
      </c>
      <c r="F19" t="s">
        <v>429</v>
      </c>
      <c r="G19" t="s">
        <v>21</v>
      </c>
      <c r="H19" t="s">
        <v>309</v>
      </c>
      <c r="I19" t="s">
        <v>288</v>
      </c>
    </row>
    <row r="20" spans="1:9" x14ac:dyDescent="0.2">
      <c r="A20" t="s">
        <v>310</v>
      </c>
      <c r="B20" t="s">
        <v>484</v>
      </c>
      <c r="C20" t="s">
        <v>40</v>
      </c>
      <c r="D20" t="s">
        <v>302</v>
      </c>
      <c r="E20" t="s">
        <v>289</v>
      </c>
      <c r="F20" t="s">
        <v>429</v>
      </c>
      <c r="G20" t="s">
        <v>21</v>
      </c>
      <c r="H20" t="s">
        <v>309</v>
      </c>
      <c r="I20" t="s">
        <v>288</v>
      </c>
    </row>
    <row r="21" spans="1:9" x14ac:dyDescent="0.2">
      <c r="A21" t="s">
        <v>310</v>
      </c>
      <c r="B21" t="s">
        <v>484</v>
      </c>
      <c r="C21" t="s">
        <v>42</v>
      </c>
      <c r="D21" t="s">
        <v>303</v>
      </c>
      <c r="E21" t="s">
        <v>289</v>
      </c>
      <c r="F21" t="s">
        <v>429</v>
      </c>
      <c r="G21" t="s">
        <v>21</v>
      </c>
      <c r="H21" t="s">
        <v>309</v>
      </c>
      <c r="I21" t="s">
        <v>288</v>
      </c>
    </row>
    <row r="22" spans="1:9" x14ac:dyDescent="0.2">
      <c r="A22" t="s">
        <v>310</v>
      </c>
      <c r="B22" t="s">
        <v>484</v>
      </c>
      <c r="C22" t="s">
        <v>43</v>
      </c>
      <c r="D22" t="s">
        <v>304</v>
      </c>
      <c r="E22" t="s">
        <v>289</v>
      </c>
      <c r="F22" t="s">
        <v>429</v>
      </c>
      <c r="G22" t="s">
        <v>21</v>
      </c>
      <c r="H22" t="s">
        <v>309</v>
      </c>
      <c r="I22" t="s">
        <v>288</v>
      </c>
    </row>
    <row r="23" spans="1:9" x14ac:dyDescent="0.2">
      <c r="A23" t="s">
        <v>319</v>
      </c>
      <c r="B23" t="s">
        <v>485</v>
      </c>
      <c r="C23" t="s">
        <v>38</v>
      </c>
      <c r="D23" t="s">
        <v>486</v>
      </c>
      <c r="E23" t="s">
        <v>451</v>
      </c>
      <c r="F23" t="s">
        <v>429</v>
      </c>
      <c r="G23" t="s">
        <v>21</v>
      </c>
      <c r="H23" t="s">
        <v>309</v>
      </c>
      <c r="I23" t="s">
        <v>452</v>
      </c>
    </row>
    <row r="24" spans="1:9" x14ac:dyDescent="0.2">
      <c r="A24" t="s">
        <v>319</v>
      </c>
      <c r="B24" t="s">
        <v>485</v>
      </c>
      <c r="C24" t="s">
        <v>40</v>
      </c>
      <c r="D24" t="s">
        <v>487</v>
      </c>
      <c r="E24" t="s">
        <v>451</v>
      </c>
      <c r="F24" t="s">
        <v>429</v>
      </c>
      <c r="G24" t="s">
        <v>21</v>
      </c>
      <c r="H24" t="s">
        <v>309</v>
      </c>
      <c r="I24" t="s">
        <v>452</v>
      </c>
    </row>
    <row r="25" spans="1:9" x14ac:dyDescent="0.2">
      <c r="A25" t="s">
        <v>319</v>
      </c>
      <c r="B25" t="s">
        <v>485</v>
      </c>
      <c r="C25" t="s">
        <v>42</v>
      </c>
      <c r="D25" t="s">
        <v>488</v>
      </c>
      <c r="E25" t="s">
        <v>451</v>
      </c>
      <c r="F25" t="s">
        <v>429</v>
      </c>
      <c r="G25" t="s">
        <v>21</v>
      </c>
      <c r="H25" t="s">
        <v>309</v>
      </c>
      <c r="I25" t="s">
        <v>452</v>
      </c>
    </row>
    <row r="26" spans="1:9" x14ac:dyDescent="0.2">
      <c r="A26" t="s">
        <v>319</v>
      </c>
      <c r="B26" t="s">
        <v>489</v>
      </c>
      <c r="C26" t="s">
        <v>38</v>
      </c>
      <c r="D26" t="s">
        <v>490</v>
      </c>
      <c r="E26" t="s">
        <v>455</v>
      </c>
      <c r="F26" t="s">
        <v>429</v>
      </c>
      <c r="G26" t="s">
        <v>21</v>
      </c>
      <c r="H26" t="s">
        <v>309</v>
      </c>
      <c r="I26" t="s">
        <v>456</v>
      </c>
    </row>
    <row r="27" spans="1:9" x14ac:dyDescent="0.2">
      <c r="A27" t="s">
        <v>319</v>
      </c>
      <c r="B27" t="s">
        <v>489</v>
      </c>
      <c r="C27" t="s">
        <v>40</v>
      </c>
      <c r="D27" t="s">
        <v>491</v>
      </c>
      <c r="E27" t="s">
        <v>455</v>
      </c>
      <c r="F27" t="s">
        <v>429</v>
      </c>
      <c r="G27" t="s">
        <v>21</v>
      </c>
      <c r="H27" t="s">
        <v>309</v>
      </c>
      <c r="I27" t="s">
        <v>456</v>
      </c>
    </row>
    <row r="28" spans="1:9" x14ac:dyDescent="0.2">
      <c r="A28" t="s">
        <v>319</v>
      </c>
      <c r="B28" t="s">
        <v>489</v>
      </c>
      <c r="C28" t="s">
        <v>42</v>
      </c>
      <c r="D28" t="s">
        <v>492</v>
      </c>
      <c r="E28" t="s">
        <v>455</v>
      </c>
      <c r="F28" t="s">
        <v>429</v>
      </c>
      <c r="G28" t="s">
        <v>21</v>
      </c>
      <c r="H28" t="s">
        <v>309</v>
      </c>
      <c r="I28" t="s">
        <v>456</v>
      </c>
    </row>
    <row r="29" spans="1:9" x14ac:dyDescent="0.2">
      <c r="A29" t="s">
        <v>319</v>
      </c>
      <c r="B29" t="s">
        <v>493</v>
      </c>
      <c r="C29" t="s">
        <v>38</v>
      </c>
      <c r="D29" t="s">
        <v>494</v>
      </c>
      <c r="E29" t="s">
        <v>459</v>
      </c>
      <c r="F29" t="s">
        <v>429</v>
      </c>
      <c r="G29" t="s">
        <v>21</v>
      </c>
      <c r="H29" t="s">
        <v>309</v>
      </c>
      <c r="I29" t="s">
        <v>460</v>
      </c>
    </row>
    <row r="30" spans="1:9" x14ac:dyDescent="0.2">
      <c r="A30" t="s">
        <v>319</v>
      </c>
      <c r="B30" t="s">
        <v>493</v>
      </c>
      <c r="C30" t="s">
        <v>40</v>
      </c>
      <c r="D30" t="s">
        <v>495</v>
      </c>
      <c r="E30" t="s">
        <v>459</v>
      </c>
      <c r="F30" t="s">
        <v>429</v>
      </c>
      <c r="G30" t="s">
        <v>21</v>
      </c>
      <c r="H30" t="s">
        <v>309</v>
      </c>
      <c r="I30" t="s">
        <v>460</v>
      </c>
    </row>
    <row r="31" spans="1:9" x14ac:dyDescent="0.2">
      <c r="A31" t="s">
        <v>319</v>
      </c>
      <c r="B31" t="s">
        <v>493</v>
      </c>
      <c r="C31" t="s">
        <v>42</v>
      </c>
      <c r="D31" t="s">
        <v>496</v>
      </c>
      <c r="E31" t="s">
        <v>459</v>
      </c>
      <c r="F31" t="s">
        <v>429</v>
      </c>
      <c r="G31" t="s">
        <v>21</v>
      </c>
      <c r="H31" t="s">
        <v>309</v>
      </c>
      <c r="I31" t="s">
        <v>460</v>
      </c>
    </row>
    <row r="32" spans="1:9" x14ac:dyDescent="0.2">
      <c r="A32" t="s">
        <v>319</v>
      </c>
      <c r="B32" t="s">
        <v>497</v>
      </c>
      <c r="C32" t="s">
        <v>38</v>
      </c>
      <c r="D32" t="s">
        <v>498</v>
      </c>
      <c r="E32" t="s">
        <v>463</v>
      </c>
      <c r="F32" t="s">
        <v>429</v>
      </c>
      <c r="G32" t="s">
        <v>21</v>
      </c>
      <c r="H32" t="s">
        <v>309</v>
      </c>
      <c r="I32" t="s">
        <v>464</v>
      </c>
    </row>
    <row r="33" spans="1:9" x14ac:dyDescent="0.2">
      <c r="A33" t="s">
        <v>319</v>
      </c>
      <c r="B33" t="s">
        <v>497</v>
      </c>
      <c r="C33" t="s">
        <v>40</v>
      </c>
      <c r="D33" t="s">
        <v>499</v>
      </c>
      <c r="E33" t="s">
        <v>463</v>
      </c>
      <c r="F33" t="s">
        <v>429</v>
      </c>
      <c r="G33" t="s">
        <v>21</v>
      </c>
      <c r="H33" t="s">
        <v>309</v>
      </c>
      <c r="I33" t="s">
        <v>464</v>
      </c>
    </row>
    <row r="34" spans="1:9" x14ac:dyDescent="0.2">
      <c r="A34" t="s">
        <v>319</v>
      </c>
      <c r="B34" t="s">
        <v>500</v>
      </c>
      <c r="C34" t="s">
        <v>38</v>
      </c>
      <c r="D34" t="s">
        <v>501</v>
      </c>
      <c r="E34" t="s">
        <v>467</v>
      </c>
      <c r="F34" t="s">
        <v>429</v>
      </c>
      <c r="G34" t="s">
        <v>21</v>
      </c>
      <c r="H34" t="s">
        <v>309</v>
      </c>
      <c r="I34" t="s">
        <v>468</v>
      </c>
    </row>
    <row r="35" spans="1:9" x14ac:dyDescent="0.2">
      <c r="A35" t="s">
        <v>319</v>
      </c>
      <c r="B35" t="s">
        <v>500</v>
      </c>
      <c r="C35" t="s">
        <v>40</v>
      </c>
      <c r="D35" t="s">
        <v>502</v>
      </c>
      <c r="E35" t="s">
        <v>467</v>
      </c>
      <c r="F35" t="s">
        <v>429</v>
      </c>
      <c r="G35" t="s">
        <v>21</v>
      </c>
      <c r="H35" t="s">
        <v>309</v>
      </c>
      <c r="I35" t="s">
        <v>468</v>
      </c>
    </row>
    <row r="36" spans="1:9" x14ac:dyDescent="0.2">
      <c r="A36" t="s">
        <v>319</v>
      </c>
      <c r="B36" t="s">
        <v>503</v>
      </c>
      <c r="C36" t="s">
        <v>38</v>
      </c>
      <c r="D36" t="s">
        <v>504</v>
      </c>
      <c r="E36" t="s">
        <v>472</v>
      </c>
      <c r="F36" t="s">
        <v>429</v>
      </c>
      <c r="G36" t="s">
        <v>21</v>
      </c>
      <c r="H36" t="s">
        <v>309</v>
      </c>
      <c r="I36" t="s">
        <v>473</v>
      </c>
    </row>
    <row r="37" spans="1:9" x14ac:dyDescent="0.2">
      <c r="A37" t="s">
        <v>319</v>
      </c>
      <c r="B37" t="s">
        <v>503</v>
      </c>
      <c r="C37" t="s">
        <v>40</v>
      </c>
      <c r="D37" t="s">
        <v>505</v>
      </c>
      <c r="E37" t="s">
        <v>472</v>
      </c>
      <c r="F37" t="s">
        <v>429</v>
      </c>
      <c r="G37" t="s">
        <v>21</v>
      </c>
      <c r="H37" t="s">
        <v>309</v>
      </c>
      <c r="I37" t="s">
        <v>473</v>
      </c>
    </row>
    <row r="38" spans="1:9" x14ac:dyDescent="0.2">
      <c r="A38" t="s">
        <v>319</v>
      </c>
      <c r="B38" t="s">
        <v>503</v>
      </c>
      <c r="C38" t="s">
        <v>42</v>
      </c>
      <c r="D38" t="s">
        <v>506</v>
      </c>
      <c r="E38" t="s">
        <v>472</v>
      </c>
      <c r="F38" t="s">
        <v>429</v>
      </c>
      <c r="G38" t="s">
        <v>21</v>
      </c>
      <c r="H38" t="s">
        <v>309</v>
      </c>
      <c r="I38" t="s">
        <v>473</v>
      </c>
    </row>
    <row r="39" spans="1:9" x14ac:dyDescent="0.2">
      <c r="A39" t="s">
        <v>344</v>
      </c>
      <c r="B39" t="s">
        <v>507</v>
      </c>
      <c r="C39" t="s">
        <v>38</v>
      </c>
      <c r="D39" t="s">
        <v>508</v>
      </c>
      <c r="E39" t="s">
        <v>475</v>
      </c>
      <c r="F39" t="s">
        <v>429</v>
      </c>
      <c r="G39" t="s">
        <v>21</v>
      </c>
      <c r="H39" t="s">
        <v>309</v>
      </c>
      <c r="I39" t="s">
        <v>476</v>
      </c>
    </row>
    <row r="40" spans="1:9" x14ac:dyDescent="0.2">
      <c r="A40" t="s">
        <v>344</v>
      </c>
      <c r="B40" t="s">
        <v>507</v>
      </c>
      <c r="C40" t="s">
        <v>40</v>
      </c>
      <c r="D40" t="s">
        <v>509</v>
      </c>
      <c r="E40" t="s">
        <v>475</v>
      </c>
      <c r="F40" t="s">
        <v>429</v>
      </c>
      <c r="G40" t="s">
        <v>21</v>
      </c>
      <c r="H40" t="s">
        <v>309</v>
      </c>
      <c r="I40" t="s">
        <v>476</v>
      </c>
    </row>
    <row r="41" spans="1:9" x14ac:dyDescent="0.2">
      <c r="A41" t="s">
        <v>344</v>
      </c>
      <c r="B41" t="s">
        <v>507</v>
      </c>
      <c r="C41" t="s">
        <v>42</v>
      </c>
      <c r="D41" t="s">
        <v>510</v>
      </c>
      <c r="E41" t="s">
        <v>475</v>
      </c>
      <c r="F41" t="s">
        <v>429</v>
      </c>
      <c r="G41" t="s">
        <v>21</v>
      </c>
      <c r="H41" t="s">
        <v>309</v>
      </c>
      <c r="I41" t="s">
        <v>476</v>
      </c>
    </row>
    <row r="42" spans="1:9" x14ac:dyDescent="0.2">
      <c r="A42" t="s">
        <v>344</v>
      </c>
      <c r="B42" t="s">
        <v>572</v>
      </c>
      <c r="C42" t="s">
        <v>38</v>
      </c>
      <c r="D42" t="s">
        <v>573</v>
      </c>
      <c r="E42" t="s">
        <v>569</v>
      </c>
      <c r="F42" t="s">
        <v>429</v>
      </c>
      <c r="G42" t="s">
        <v>21</v>
      </c>
      <c r="H42" t="s">
        <v>309</v>
      </c>
      <c r="I42" t="s">
        <v>570</v>
      </c>
    </row>
    <row r="43" spans="1:9" x14ac:dyDescent="0.2">
      <c r="A43" t="s">
        <v>344</v>
      </c>
      <c r="B43" t="s">
        <v>572</v>
      </c>
      <c r="C43" t="s">
        <v>40</v>
      </c>
      <c r="D43" t="s">
        <v>574</v>
      </c>
      <c r="E43" t="s">
        <v>569</v>
      </c>
      <c r="F43" t="s">
        <v>429</v>
      </c>
      <c r="G43" t="s">
        <v>21</v>
      </c>
      <c r="H43" t="s">
        <v>309</v>
      </c>
      <c r="I43" t="s">
        <v>570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D3D33-9028-4AD3-A2DF-45CA6E65CE9B}">
  <sheetPr codeName="Sheet12"/>
  <dimension ref="A1:M31"/>
  <sheetViews>
    <sheetView tabSelected="1" workbookViewId="0">
      <selection activeCell="J42" sqref="J42"/>
    </sheetView>
  </sheetViews>
  <sheetFormatPr baseColWidth="10" defaultColWidth="8.83203125" defaultRowHeight="15" x14ac:dyDescent="0.2"/>
  <cols>
    <col min="1" max="1" width="49" bestFit="1" customWidth="1"/>
    <col min="2" max="2" width="15.33203125" bestFit="1" customWidth="1"/>
    <col min="3" max="3" width="17.5" bestFit="1" customWidth="1"/>
    <col min="4" max="4" width="19.1640625" bestFit="1" customWidth="1"/>
    <col min="5" max="5" width="22.33203125" bestFit="1" customWidth="1"/>
    <col min="6" max="6" width="81.1640625" bestFit="1" customWidth="1"/>
    <col min="7" max="7" width="12.5" bestFit="1" customWidth="1"/>
    <col min="8" max="8" width="81.1640625" bestFit="1" customWidth="1"/>
    <col min="9" max="9" width="14.83203125" bestFit="1" customWidth="1"/>
    <col min="10" max="10" width="12.6640625" bestFit="1" customWidth="1"/>
    <col min="11" max="11" width="15.5" bestFit="1" customWidth="1"/>
    <col min="12" max="12" width="12.1640625" bestFit="1" customWidth="1"/>
    <col min="13" max="13" width="44.5" bestFit="1" customWidth="1"/>
  </cols>
  <sheetData>
    <row r="1" spans="1:13" x14ac:dyDescent="0.2">
      <c r="A1" t="s">
        <v>433</v>
      </c>
      <c r="B1" t="s">
        <v>308</v>
      </c>
      <c r="C1" t="s">
        <v>46</v>
      </c>
      <c r="D1" t="s">
        <v>47</v>
      </c>
      <c r="E1" t="s">
        <v>48</v>
      </c>
      <c r="F1" t="s">
        <v>49</v>
      </c>
      <c r="G1" t="s">
        <v>50</v>
      </c>
      <c r="H1" t="s">
        <v>51</v>
      </c>
      <c r="I1" t="s">
        <v>434</v>
      </c>
      <c r="J1" t="s">
        <v>435</v>
      </c>
      <c r="K1" t="s">
        <v>307</v>
      </c>
      <c r="L1" t="s">
        <v>436</v>
      </c>
      <c r="M1" t="s">
        <v>437</v>
      </c>
    </row>
    <row r="2" spans="1:13" x14ac:dyDescent="0.2">
      <c r="A2" t="s">
        <v>319</v>
      </c>
      <c r="B2" t="s">
        <v>320</v>
      </c>
      <c r="C2" t="s">
        <v>52</v>
      </c>
      <c r="D2" t="s">
        <v>57</v>
      </c>
      <c r="E2" t="s">
        <v>321</v>
      </c>
      <c r="F2" t="s">
        <v>322</v>
      </c>
      <c r="G2">
        <v>0.5</v>
      </c>
      <c r="H2">
        <v>6</v>
      </c>
      <c r="I2" t="s">
        <v>451</v>
      </c>
      <c r="J2" t="s">
        <v>430</v>
      </c>
      <c r="K2" t="s">
        <v>21</v>
      </c>
      <c r="L2" t="s">
        <v>309</v>
      </c>
      <c r="M2" t="s">
        <v>452</v>
      </c>
    </row>
    <row r="3" spans="1:13" x14ac:dyDescent="0.2">
      <c r="A3" t="s">
        <v>319</v>
      </c>
      <c r="B3" t="s">
        <v>320</v>
      </c>
      <c r="C3" t="s">
        <v>56</v>
      </c>
      <c r="D3" t="s">
        <v>212</v>
      </c>
      <c r="E3" t="s">
        <v>323</v>
      </c>
      <c r="F3" t="s">
        <v>324</v>
      </c>
      <c r="G3">
        <v>0.5</v>
      </c>
      <c r="H3">
        <v>12</v>
      </c>
      <c r="I3" t="s">
        <v>451</v>
      </c>
      <c r="J3" t="s">
        <v>430</v>
      </c>
      <c r="K3" t="s">
        <v>21</v>
      </c>
      <c r="L3" t="s">
        <v>309</v>
      </c>
      <c r="M3" t="s">
        <v>452</v>
      </c>
    </row>
    <row r="4" spans="1:13" x14ac:dyDescent="0.2">
      <c r="A4" t="s">
        <v>344</v>
      </c>
      <c r="B4" t="s">
        <v>345</v>
      </c>
      <c r="C4" t="s">
        <v>52</v>
      </c>
      <c r="D4" t="s">
        <v>212</v>
      </c>
      <c r="E4" t="s">
        <v>323</v>
      </c>
      <c r="F4" t="s">
        <v>346</v>
      </c>
      <c r="G4">
        <v>0.5</v>
      </c>
      <c r="H4" t="s">
        <v>347</v>
      </c>
      <c r="I4" t="s">
        <v>475</v>
      </c>
      <c r="J4" t="s">
        <v>430</v>
      </c>
      <c r="K4" t="s">
        <v>21</v>
      </c>
      <c r="L4" t="s">
        <v>309</v>
      </c>
      <c r="M4" t="s">
        <v>476</v>
      </c>
    </row>
    <row r="5" spans="1:13" x14ac:dyDescent="0.2">
      <c r="A5" t="s">
        <v>344</v>
      </c>
      <c r="B5" t="s">
        <v>345</v>
      </c>
      <c r="C5" t="s">
        <v>56</v>
      </c>
      <c r="D5" t="s">
        <v>212</v>
      </c>
      <c r="E5" t="s">
        <v>323</v>
      </c>
      <c r="F5" t="s">
        <v>348</v>
      </c>
      <c r="G5">
        <v>0.5</v>
      </c>
      <c r="H5" t="s">
        <v>349</v>
      </c>
      <c r="I5" t="s">
        <v>475</v>
      </c>
      <c r="J5" t="s">
        <v>430</v>
      </c>
      <c r="K5" t="s">
        <v>21</v>
      </c>
      <c r="L5" t="s">
        <v>309</v>
      </c>
      <c r="M5" t="s">
        <v>476</v>
      </c>
    </row>
    <row r="6" spans="1:13" x14ac:dyDescent="0.2">
      <c r="A6" t="s">
        <v>319</v>
      </c>
      <c r="B6" t="s">
        <v>325</v>
      </c>
      <c r="C6" t="s">
        <v>52</v>
      </c>
      <c r="D6" t="s">
        <v>212</v>
      </c>
      <c r="E6" t="s">
        <v>326</v>
      </c>
      <c r="F6" t="s">
        <v>327</v>
      </c>
      <c r="G6">
        <v>0.35</v>
      </c>
      <c r="H6">
        <v>6</v>
      </c>
      <c r="I6" t="s">
        <v>455</v>
      </c>
      <c r="J6" t="s">
        <v>430</v>
      </c>
      <c r="K6" t="s">
        <v>21</v>
      </c>
      <c r="L6" t="s">
        <v>309</v>
      </c>
      <c r="M6" t="s">
        <v>456</v>
      </c>
    </row>
    <row r="7" spans="1:13" x14ac:dyDescent="0.2">
      <c r="A7" t="s">
        <v>319</v>
      </c>
      <c r="B7" t="s">
        <v>325</v>
      </c>
      <c r="C7" t="s">
        <v>56</v>
      </c>
      <c r="D7" t="s">
        <v>53</v>
      </c>
      <c r="E7" t="s">
        <v>328</v>
      </c>
      <c r="F7" t="s">
        <v>329</v>
      </c>
      <c r="G7">
        <v>0.65</v>
      </c>
      <c r="H7">
        <v>13</v>
      </c>
      <c r="I7" t="s">
        <v>455</v>
      </c>
      <c r="J7" t="s">
        <v>430</v>
      </c>
      <c r="K7" t="s">
        <v>21</v>
      </c>
      <c r="L7" t="s">
        <v>309</v>
      </c>
      <c r="M7" t="s">
        <v>456</v>
      </c>
    </row>
    <row r="8" spans="1:13" x14ac:dyDescent="0.2">
      <c r="A8" t="s">
        <v>310</v>
      </c>
      <c r="B8" t="s">
        <v>311</v>
      </c>
      <c r="C8" t="s">
        <v>52</v>
      </c>
      <c r="D8" t="s">
        <v>53</v>
      </c>
      <c r="E8" t="s">
        <v>54</v>
      </c>
      <c r="F8" t="s">
        <v>55</v>
      </c>
      <c r="G8">
        <v>0.5</v>
      </c>
      <c r="H8">
        <v>12</v>
      </c>
      <c r="I8" t="s">
        <v>5</v>
      </c>
      <c r="J8" t="s">
        <v>430</v>
      </c>
      <c r="K8" t="s">
        <v>21</v>
      </c>
      <c r="L8" t="s">
        <v>309</v>
      </c>
      <c r="M8" t="s">
        <v>8</v>
      </c>
    </row>
    <row r="9" spans="1:13" x14ac:dyDescent="0.2">
      <c r="A9" t="s">
        <v>310</v>
      </c>
      <c r="B9" t="s">
        <v>311</v>
      </c>
      <c r="C9" t="s">
        <v>56</v>
      </c>
      <c r="D9" t="s">
        <v>57</v>
      </c>
      <c r="E9" t="s">
        <v>58</v>
      </c>
      <c r="F9" t="s">
        <v>59</v>
      </c>
      <c r="G9">
        <v>0.5</v>
      </c>
      <c r="H9" t="s">
        <v>60</v>
      </c>
      <c r="I9" t="s">
        <v>5</v>
      </c>
      <c r="J9" t="s">
        <v>430</v>
      </c>
      <c r="K9" t="s">
        <v>21</v>
      </c>
      <c r="L9" t="s">
        <v>309</v>
      </c>
      <c r="M9" t="s">
        <v>8</v>
      </c>
    </row>
    <row r="10" spans="1:13" x14ac:dyDescent="0.2">
      <c r="A10" t="s">
        <v>310</v>
      </c>
      <c r="B10" t="s">
        <v>312</v>
      </c>
      <c r="C10" t="s">
        <v>52</v>
      </c>
      <c r="D10" t="s">
        <v>53</v>
      </c>
      <c r="E10" t="s">
        <v>109</v>
      </c>
      <c r="F10" t="s">
        <v>110</v>
      </c>
      <c r="G10">
        <v>0.4</v>
      </c>
      <c r="H10">
        <v>7</v>
      </c>
      <c r="I10" t="s">
        <v>96</v>
      </c>
      <c r="J10" t="s">
        <v>430</v>
      </c>
      <c r="K10" t="s">
        <v>21</v>
      </c>
      <c r="L10" t="s">
        <v>309</v>
      </c>
      <c r="M10" t="s">
        <v>98</v>
      </c>
    </row>
    <row r="11" spans="1:13" x14ac:dyDescent="0.2">
      <c r="A11" t="s">
        <v>310</v>
      </c>
      <c r="B11" t="s">
        <v>312</v>
      </c>
      <c r="C11" t="s">
        <v>56</v>
      </c>
      <c r="D11" t="s">
        <v>111</v>
      </c>
      <c r="E11" t="s">
        <v>112</v>
      </c>
      <c r="F11" t="s">
        <v>113</v>
      </c>
      <c r="G11">
        <v>0.6</v>
      </c>
      <c r="H11">
        <v>12</v>
      </c>
      <c r="I11" t="s">
        <v>96</v>
      </c>
      <c r="J11" t="s">
        <v>430</v>
      </c>
      <c r="K11" t="s">
        <v>21</v>
      </c>
      <c r="L11" t="s">
        <v>309</v>
      </c>
      <c r="M11" t="s">
        <v>98</v>
      </c>
    </row>
    <row r="12" spans="1:13" x14ac:dyDescent="0.2">
      <c r="A12" t="s">
        <v>319</v>
      </c>
      <c r="B12" t="s">
        <v>330</v>
      </c>
      <c r="C12" t="s">
        <v>52</v>
      </c>
      <c r="D12" t="s">
        <v>53</v>
      </c>
      <c r="E12" t="s">
        <v>109</v>
      </c>
      <c r="F12" t="s">
        <v>331</v>
      </c>
      <c r="G12">
        <v>0.5</v>
      </c>
      <c r="H12">
        <v>6</v>
      </c>
      <c r="I12" t="s">
        <v>459</v>
      </c>
      <c r="J12" t="s">
        <v>430</v>
      </c>
      <c r="K12" t="s">
        <v>21</v>
      </c>
      <c r="L12" t="s">
        <v>309</v>
      </c>
      <c r="M12" t="s">
        <v>460</v>
      </c>
    </row>
    <row r="13" spans="1:13" x14ac:dyDescent="0.2">
      <c r="A13" t="s">
        <v>319</v>
      </c>
      <c r="B13" t="s">
        <v>330</v>
      </c>
      <c r="C13" t="s">
        <v>56</v>
      </c>
      <c r="D13" t="s">
        <v>111</v>
      </c>
      <c r="E13" t="s">
        <v>112</v>
      </c>
      <c r="F13" t="s">
        <v>332</v>
      </c>
      <c r="G13">
        <v>0.5</v>
      </c>
      <c r="H13">
        <v>12</v>
      </c>
      <c r="I13" t="s">
        <v>459</v>
      </c>
      <c r="J13" t="s">
        <v>430</v>
      </c>
      <c r="K13" t="s">
        <v>21</v>
      </c>
      <c r="L13" t="s">
        <v>309</v>
      </c>
      <c r="M13" t="s">
        <v>460</v>
      </c>
    </row>
    <row r="14" spans="1:13" x14ac:dyDescent="0.2">
      <c r="A14" t="s">
        <v>319</v>
      </c>
      <c r="B14" t="s">
        <v>333</v>
      </c>
      <c r="C14" t="s">
        <v>52</v>
      </c>
      <c r="D14" t="s">
        <v>111</v>
      </c>
      <c r="E14" t="s">
        <v>321</v>
      </c>
      <c r="F14" t="s">
        <v>334</v>
      </c>
      <c r="G14">
        <v>0.5</v>
      </c>
      <c r="H14">
        <v>8</v>
      </c>
      <c r="I14" t="s">
        <v>463</v>
      </c>
      <c r="J14" t="s">
        <v>430</v>
      </c>
      <c r="K14" t="s">
        <v>21</v>
      </c>
      <c r="L14" t="s">
        <v>309</v>
      </c>
      <c r="M14" t="s">
        <v>464</v>
      </c>
    </row>
    <row r="15" spans="1:13" x14ac:dyDescent="0.2">
      <c r="A15" t="s">
        <v>319</v>
      </c>
      <c r="B15" t="s">
        <v>333</v>
      </c>
      <c r="C15" t="s">
        <v>56</v>
      </c>
      <c r="D15" t="s">
        <v>53</v>
      </c>
      <c r="E15" t="s">
        <v>109</v>
      </c>
      <c r="F15" t="s">
        <v>335</v>
      </c>
      <c r="G15">
        <v>0.5</v>
      </c>
      <c r="H15" t="s">
        <v>336</v>
      </c>
      <c r="I15" t="s">
        <v>463</v>
      </c>
      <c r="J15" t="s">
        <v>430</v>
      </c>
      <c r="K15" t="s">
        <v>21</v>
      </c>
      <c r="L15" t="s">
        <v>309</v>
      </c>
      <c r="M15" t="s">
        <v>464</v>
      </c>
    </row>
    <row r="16" spans="1:13" x14ac:dyDescent="0.2">
      <c r="A16" t="s">
        <v>344</v>
      </c>
      <c r="B16" t="s">
        <v>575</v>
      </c>
      <c r="C16" t="s">
        <v>52</v>
      </c>
      <c r="D16" t="s">
        <v>212</v>
      </c>
      <c r="E16" t="s">
        <v>323</v>
      </c>
      <c r="F16" t="s">
        <v>576</v>
      </c>
      <c r="G16">
        <v>0.5</v>
      </c>
      <c r="H16">
        <v>8</v>
      </c>
      <c r="I16" t="s">
        <v>569</v>
      </c>
      <c r="J16" t="s">
        <v>430</v>
      </c>
      <c r="K16" t="s">
        <v>21</v>
      </c>
      <c r="L16" t="s">
        <v>309</v>
      </c>
      <c r="M16" t="s">
        <v>570</v>
      </c>
    </row>
    <row r="17" spans="1:13" x14ac:dyDescent="0.2">
      <c r="A17" t="s">
        <v>344</v>
      </c>
      <c r="B17" t="s">
        <v>575</v>
      </c>
      <c r="C17" t="s">
        <v>56</v>
      </c>
      <c r="D17" t="s">
        <v>212</v>
      </c>
      <c r="E17" t="s">
        <v>323</v>
      </c>
      <c r="F17" t="s">
        <v>577</v>
      </c>
      <c r="G17">
        <v>0.5</v>
      </c>
      <c r="H17" t="s">
        <v>578</v>
      </c>
      <c r="I17" t="s">
        <v>569</v>
      </c>
      <c r="J17" t="s">
        <v>430</v>
      </c>
      <c r="K17" t="s">
        <v>21</v>
      </c>
      <c r="L17" t="s">
        <v>309</v>
      </c>
      <c r="M17" t="s">
        <v>570</v>
      </c>
    </row>
    <row r="18" spans="1:13" x14ac:dyDescent="0.2">
      <c r="A18" t="s">
        <v>319</v>
      </c>
      <c r="B18" t="s">
        <v>337</v>
      </c>
      <c r="C18" t="s">
        <v>52</v>
      </c>
      <c r="D18" t="s">
        <v>57</v>
      </c>
      <c r="E18" t="s">
        <v>321</v>
      </c>
      <c r="F18" t="s">
        <v>338</v>
      </c>
      <c r="G18">
        <v>0.5</v>
      </c>
      <c r="H18">
        <v>9</v>
      </c>
      <c r="I18" t="s">
        <v>467</v>
      </c>
      <c r="J18" t="s">
        <v>430</v>
      </c>
      <c r="K18" t="s">
        <v>21</v>
      </c>
      <c r="L18" t="s">
        <v>309</v>
      </c>
      <c r="M18" t="s">
        <v>468</v>
      </c>
    </row>
    <row r="19" spans="1:13" x14ac:dyDescent="0.2">
      <c r="A19" t="s">
        <v>319</v>
      </c>
      <c r="B19" t="s">
        <v>337</v>
      </c>
      <c r="C19" t="s">
        <v>56</v>
      </c>
      <c r="D19" t="s">
        <v>212</v>
      </c>
      <c r="E19" t="s">
        <v>323</v>
      </c>
      <c r="F19" t="s">
        <v>339</v>
      </c>
      <c r="G19">
        <v>0.5</v>
      </c>
      <c r="H19">
        <v>12</v>
      </c>
      <c r="I19" t="s">
        <v>467</v>
      </c>
      <c r="J19" t="s">
        <v>430</v>
      </c>
      <c r="K19" t="s">
        <v>21</v>
      </c>
      <c r="L19" t="s">
        <v>309</v>
      </c>
      <c r="M19" t="s">
        <v>468</v>
      </c>
    </row>
    <row r="20" spans="1:13" x14ac:dyDescent="0.2">
      <c r="A20" t="s">
        <v>310</v>
      </c>
      <c r="B20" t="s">
        <v>313</v>
      </c>
      <c r="C20" t="s">
        <v>52</v>
      </c>
      <c r="D20" t="s">
        <v>111</v>
      </c>
      <c r="E20" t="s">
        <v>157</v>
      </c>
      <c r="F20" t="s">
        <v>158</v>
      </c>
      <c r="G20">
        <v>0.5</v>
      </c>
      <c r="H20">
        <v>10</v>
      </c>
      <c r="I20" t="s">
        <v>144</v>
      </c>
      <c r="J20" t="s">
        <v>430</v>
      </c>
      <c r="K20" t="s">
        <v>21</v>
      </c>
      <c r="L20" t="s">
        <v>309</v>
      </c>
      <c r="M20" t="s">
        <v>146</v>
      </c>
    </row>
    <row r="21" spans="1:13" x14ac:dyDescent="0.2">
      <c r="A21" t="s">
        <v>310</v>
      </c>
      <c r="B21" t="s">
        <v>313</v>
      </c>
      <c r="C21" t="s">
        <v>56</v>
      </c>
      <c r="D21" t="s">
        <v>53</v>
      </c>
      <c r="E21" t="s">
        <v>159</v>
      </c>
      <c r="F21" t="s">
        <v>160</v>
      </c>
      <c r="G21">
        <v>0.5</v>
      </c>
      <c r="H21" t="s">
        <v>161</v>
      </c>
      <c r="I21" t="s">
        <v>144</v>
      </c>
      <c r="J21" t="s">
        <v>430</v>
      </c>
      <c r="K21" t="s">
        <v>21</v>
      </c>
      <c r="L21" t="s">
        <v>309</v>
      </c>
      <c r="M21" t="s">
        <v>146</v>
      </c>
    </row>
    <row r="22" spans="1:13" x14ac:dyDescent="0.2">
      <c r="A22" t="s">
        <v>310</v>
      </c>
      <c r="B22" t="s">
        <v>314</v>
      </c>
      <c r="C22" t="s">
        <v>52</v>
      </c>
      <c r="D22" t="s">
        <v>53</v>
      </c>
      <c r="E22" t="s">
        <v>109</v>
      </c>
      <c r="F22" t="s">
        <v>180</v>
      </c>
      <c r="G22">
        <v>0.5</v>
      </c>
      <c r="H22">
        <v>6</v>
      </c>
      <c r="I22" t="s">
        <v>178</v>
      </c>
      <c r="J22" t="s">
        <v>430</v>
      </c>
      <c r="K22" t="s">
        <v>21</v>
      </c>
      <c r="L22" t="s">
        <v>309</v>
      </c>
      <c r="M22" t="s">
        <v>179</v>
      </c>
    </row>
    <row r="23" spans="1:13" x14ac:dyDescent="0.2">
      <c r="A23" t="s">
        <v>319</v>
      </c>
      <c r="B23" t="s">
        <v>340</v>
      </c>
      <c r="C23" t="s">
        <v>52</v>
      </c>
      <c r="D23" t="s">
        <v>111</v>
      </c>
      <c r="E23" t="s">
        <v>341</v>
      </c>
      <c r="F23" t="s">
        <v>342</v>
      </c>
      <c r="G23">
        <v>0.6</v>
      </c>
      <c r="H23">
        <v>28</v>
      </c>
      <c r="I23" t="s">
        <v>472</v>
      </c>
      <c r="J23" t="s">
        <v>430</v>
      </c>
      <c r="K23" t="s">
        <v>21</v>
      </c>
      <c r="L23" t="s">
        <v>309</v>
      </c>
      <c r="M23" t="s">
        <v>473</v>
      </c>
    </row>
    <row r="24" spans="1:13" x14ac:dyDescent="0.2">
      <c r="A24" t="s">
        <v>319</v>
      </c>
      <c r="B24" t="s">
        <v>340</v>
      </c>
      <c r="C24" t="s">
        <v>56</v>
      </c>
      <c r="D24" t="s">
        <v>53</v>
      </c>
      <c r="E24" t="s">
        <v>54</v>
      </c>
      <c r="F24" t="s">
        <v>343</v>
      </c>
      <c r="G24">
        <v>0.4</v>
      </c>
      <c r="H24">
        <v>28</v>
      </c>
      <c r="I24" t="s">
        <v>472</v>
      </c>
      <c r="J24" t="s">
        <v>430</v>
      </c>
      <c r="K24" t="s">
        <v>21</v>
      </c>
      <c r="L24" t="s">
        <v>309</v>
      </c>
      <c r="M24" t="s">
        <v>473</v>
      </c>
    </row>
    <row r="25" spans="1:13" x14ac:dyDescent="0.2">
      <c r="A25" t="s">
        <v>310</v>
      </c>
      <c r="B25" t="s">
        <v>315</v>
      </c>
      <c r="C25" t="s">
        <v>52</v>
      </c>
      <c r="D25" t="s">
        <v>212</v>
      </c>
      <c r="E25" t="s">
        <v>213</v>
      </c>
      <c r="F25" t="s">
        <v>214</v>
      </c>
      <c r="G25">
        <v>0.5</v>
      </c>
      <c r="H25">
        <v>7</v>
      </c>
      <c r="I25" t="s">
        <v>200</v>
      </c>
      <c r="J25" t="s">
        <v>430</v>
      </c>
      <c r="K25" t="s">
        <v>21</v>
      </c>
      <c r="L25" t="s">
        <v>309</v>
      </c>
      <c r="M25" t="s">
        <v>202</v>
      </c>
    </row>
    <row r="26" spans="1:13" x14ac:dyDescent="0.2">
      <c r="A26" t="s">
        <v>310</v>
      </c>
      <c r="B26" t="s">
        <v>315</v>
      </c>
      <c r="C26" t="s">
        <v>56</v>
      </c>
      <c r="D26" t="s">
        <v>53</v>
      </c>
      <c r="E26" t="s">
        <v>54</v>
      </c>
      <c r="F26" t="s">
        <v>215</v>
      </c>
      <c r="G26">
        <v>0.5</v>
      </c>
      <c r="H26">
        <v>12</v>
      </c>
      <c r="I26" t="s">
        <v>200</v>
      </c>
      <c r="J26" t="s">
        <v>430</v>
      </c>
      <c r="K26" t="s">
        <v>21</v>
      </c>
      <c r="L26" t="s">
        <v>309</v>
      </c>
      <c r="M26" t="s">
        <v>202</v>
      </c>
    </row>
    <row r="27" spans="1:13" x14ac:dyDescent="0.2">
      <c r="A27" t="s">
        <v>310</v>
      </c>
      <c r="B27" t="s">
        <v>316</v>
      </c>
      <c r="C27" t="s">
        <v>52</v>
      </c>
      <c r="D27" t="s">
        <v>57</v>
      </c>
      <c r="E27" t="s">
        <v>109</v>
      </c>
      <c r="F27" t="s">
        <v>251</v>
      </c>
      <c r="G27">
        <v>1</v>
      </c>
      <c r="H27">
        <v>12</v>
      </c>
      <c r="I27" t="s">
        <v>243</v>
      </c>
      <c r="J27" t="s">
        <v>430</v>
      </c>
      <c r="K27" t="s">
        <v>21</v>
      </c>
      <c r="L27" t="s">
        <v>309</v>
      </c>
      <c r="M27" t="s">
        <v>244</v>
      </c>
    </row>
    <row r="28" spans="1:13" x14ac:dyDescent="0.2">
      <c r="A28" t="s">
        <v>310</v>
      </c>
      <c r="B28" t="s">
        <v>317</v>
      </c>
      <c r="C28" t="s">
        <v>52</v>
      </c>
      <c r="D28" t="s">
        <v>53</v>
      </c>
      <c r="E28" t="s">
        <v>54</v>
      </c>
      <c r="F28" t="s">
        <v>275</v>
      </c>
      <c r="G28">
        <v>0.3</v>
      </c>
      <c r="H28">
        <v>6</v>
      </c>
      <c r="I28" t="s">
        <v>445</v>
      </c>
      <c r="J28" t="s">
        <v>430</v>
      </c>
      <c r="K28" t="s">
        <v>21</v>
      </c>
      <c r="L28" t="s">
        <v>309</v>
      </c>
      <c r="M28" t="s">
        <v>266</v>
      </c>
    </row>
    <row r="29" spans="1:13" x14ac:dyDescent="0.2">
      <c r="A29" t="s">
        <v>310</v>
      </c>
      <c r="B29" t="s">
        <v>317</v>
      </c>
      <c r="C29" t="s">
        <v>56</v>
      </c>
      <c r="D29" t="s">
        <v>111</v>
      </c>
      <c r="E29" t="s">
        <v>157</v>
      </c>
      <c r="F29" t="s">
        <v>276</v>
      </c>
      <c r="G29">
        <v>0.7</v>
      </c>
      <c r="H29">
        <v>12</v>
      </c>
      <c r="I29" t="s">
        <v>445</v>
      </c>
      <c r="J29" t="s">
        <v>430</v>
      </c>
      <c r="K29" t="s">
        <v>21</v>
      </c>
      <c r="L29" t="s">
        <v>309</v>
      </c>
      <c r="M29" t="s">
        <v>266</v>
      </c>
    </row>
    <row r="30" spans="1:13" x14ac:dyDescent="0.2">
      <c r="A30" t="s">
        <v>310</v>
      </c>
      <c r="B30" t="s">
        <v>318</v>
      </c>
      <c r="C30" t="s">
        <v>52</v>
      </c>
      <c r="D30" t="s">
        <v>111</v>
      </c>
      <c r="F30" t="s">
        <v>305</v>
      </c>
      <c r="G30">
        <v>0.5</v>
      </c>
      <c r="I30" t="s">
        <v>289</v>
      </c>
      <c r="J30" t="s">
        <v>430</v>
      </c>
      <c r="K30" t="s">
        <v>21</v>
      </c>
      <c r="L30" t="s">
        <v>309</v>
      </c>
      <c r="M30" t="s">
        <v>288</v>
      </c>
    </row>
    <row r="31" spans="1:13" x14ac:dyDescent="0.2">
      <c r="A31" t="s">
        <v>310</v>
      </c>
      <c r="B31" t="s">
        <v>318</v>
      </c>
      <c r="C31" t="s">
        <v>56</v>
      </c>
      <c r="D31" t="s">
        <v>53</v>
      </c>
      <c r="E31" t="s">
        <v>54</v>
      </c>
      <c r="F31" t="s">
        <v>306</v>
      </c>
      <c r="G31">
        <v>0.5</v>
      </c>
      <c r="I31" t="s">
        <v>289</v>
      </c>
      <c r="J31" t="s">
        <v>430</v>
      </c>
      <c r="K31" t="s">
        <v>21</v>
      </c>
      <c r="L31" t="s">
        <v>309</v>
      </c>
      <c r="M31" t="s">
        <v>288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1C97F-676A-49C6-B57B-2D06E915BA17}">
  <sheetPr codeName="Sheet13"/>
  <dimension ref="A1:I103"/>
  <sheetViews>
    <sheetView topLeftCell="A58" workbookViewId="0">
      <selection activeCell="R99" sqref="R99"/>
    </sheetView>
  </sheetViews>
  <sheetFormatPr baseColWidth="10" defaultColWidth="8.83203125" defaultRowHeight="15" x14ac:dyDescent="0.2"/>
  <cols>
    <col min="1" max="1" width="49" bestFit="1" customWidth="1"/>
    <col min="2" max="2" width="14.5" bestFit="1" customWidth="1"/>
    <col min="3" max="3" width="14" bestFit="1" customWidth="1"/>
    <col min="4" max="4" width="16.5" bestFit="1" customWidth="1"/>
    <col min="5" max="5" width="14.83203125" bestFit="1" customWidth="1"/>
    <col min="6" max="6" width="12.6640625" bestFit="1" customWidth="1"/>
    <col min="7" max="7" width="15.5" bestFit="1" customWidth="1"/>
    <col min="8" max="8" width="12.1640625" bestFit="1" customWidth="1"/>
    <col min="9" max="9" width="44.5" bestFit="1" customWidth="1"/>
  </cols>
  <sheetData>
    <row r="1" spans="1:9" x14ac:dyDescent="0.2">
      <c r="A1" t="s">
        <v>433</v>
      </c>
      <c r="B1" t="s">
        <v>308</v>
      </c>
      <c r="C1" t="s">
        <v>25</v>
      </c>
      <c r="D1" t="s">
        <v>24</v>
      </c>
      <c r="E1" t="s">
        <v>434</v>
      </c>
      <c r="F1" t="s">
        <v>435</v>
      </c>
      <c r="G1" t="s">
        <v>307</v>
      </c>
      <c r="H1" t="s">
        <v>436</v>
      </c>
      <c r="I1" t="s">
        <v>437</v>
      </c>
    </row>
    <row r="2" spans="1:9" x14ac:dyDescent="0.2">
      <c r="A2" t="s">
        <v>310</v>
      </c>
      <c r="B2" t="s">
        <v>511</v>
      </c>
      <c r="C2" t="s">
        <v>26</v>
      </c>
      <c r="D2">
        <v>24</v>
      </c>
      <c r="E2" t="s">
        <v>5</v>
      </c>
      <c r="F2" t="s">
        <v>431</v>
      </c>
      <c r="G2" t="s">
        <v>21</v>
      </c>
      <c r="H2" t="s">
        <v>309</v>
      </c>
      <c r="I2" t="s">
        <v>8</v>
      </c>
    </row>
    <row r="3" spans="1:9" x14ac:dyDescent="0.2">
      <c r="A3" t="s">
        <v>310</v>
      </c>
      <c r="B3" t="s">
        <v>511</v>
      </c>
      <c r="C3" t="s">
        <v>27</v>
      </c>
      <c r="D3">
        <v>10</v>
      </c>
      <c r="E3" t="s">
        <v>5</v>
      </c>
      <c r="F3" t="s">
        <v>431</v>
      </c>
      <c r="G3" t="s">
        <v>21</v>
      </c>
      <c r="H3" t="s">
        <v>309</v>
      </c>
      <c r="I3" t="s">
        <v>8</v>
      </c>
    </row>
    <row r="4" spans="1:9" x14ac:dyDescent="0.2">
      <c r="A4" t="s">
        <v>310</v>
      </c>
      <c r="B4" t="s">
        <v>511</v>
      </c>
      <c r="C4" t="s">
        <v>28</v>
      </c>
      <c r="D4">
        <v>9</v>
      </c>
      <c r="E4" t="s">
        <v>5</v>
      </c>
      <c r="F4" t="s">
        <v>431</v>
      </c>
      <c r="G4" t="s">
        <v>21</v>
      </c>
      <c r="H4" t="s">
        <v>309</v>
      </c>
      <c r="I4" t="s">
        <v>8</v>
      </c>
    </row>
    <row r="5" spans="1:9" x14ac:dyDescent="0.2">
      <c r="A5" t="s">
        <v>310</v>
      </c>
      <c r="B5" t="s">
        <v>511</v>
      </c>
      <c r="C5" t="s">
        <v>29</v>
      </c>
      <c r="D5">
        <v>6</v>
      </c>
      <c r="E5" t="s">
        <v>5</v>
      </c>
      <c r="F5" t="s">
        <v>431</v>
      </c>
      <c r="G5" t="s">
        <v>21</v>
      </c>
      <c r="H5" t="s">
        <v>309</v>
      </c>
      <c r="I5" t="s">
        <v>8</v>
      </c>
    </row>
    <row r="6" spans="1:9" x14ac:dyDescent="0.2">
      <c r="A6" t="s">
        <v>310</v>
      </c>
      <c r="B6" t="s">
        <v>511</v>
      </c>
      <c r="C6" t="s">
        <v>31</v>
      </c>
      <c r="D6">
        <v>0</v>
      </c>
      <c r="E6" t="s">
        <v>5</v>
      </c>
      <c r="F6" t="s">
        <v>431</v>
      </c>
      <c r="G6" t="s">
        <v>21</v>
      </c>
      <c r="H6" t="s">
        <v>309</v>
      </c>
      <c r="I6" t="s">
        <v>8</v>
      </c>
    </row>
    <row r="7" spans="1:9" x14ac:dyDescent="0.2">
      <c r="A7" t="s">
        <v>310</v>
      </c>
      <c r="B7" t="s">
        <v>511</v>
      </c>
      <c r="C7" t="s">
        <v>33</v>
      </c>
      <c r="D7">
        <v>49</v>
      </c>
      <c r="E7" t="s">
        <v>5</v>
      </c>
      <c r="F7" t="s">
        <v>431</v>
      </c>
      <c r="G7" t="s">
        <v>21</v>
      </c>
      <c r="H7" t="s">
        <v>309</v>
      </c>
      <c r="I7" t="s">
        <v>8</v>
      </c>
    </row>
    <row r="8" spans="1:9" x14ac:dyDescent="0.2">
      <c r="A8" t="s">
        <v>310</v>
      </c>
      <c r="B8" t="s">
        <v>512</v>
      </c>
      <c r="C8" t="s">
        <v>26</v>
      </c>
      <c r="D8">
        <v>22</v>
      </c>
      <c r="E8" t="s">
        <v>96</v>
      </c>
      <c r="F8" t="s">
        <v>431</v>
      </c>
      <c r="G8" t="s">
        <v>21</v>
      </c>
      <c r="H8" t="s">
        <v>309</v>
      </c>
      <c r="I8" t="s">
        <v>98</v>
      </c>
    </row>
    <row r="9" spans="1:9" x14ac:dyDescent="0.2">
      <c r="A9" t="s">
        <v>310</v>
      </c>
      <c r="B9" t="s">
        <v>512</v>
      </c>
      <c r="C9" t="s">
        <v>27</v>
      </c>
      <c r="D9">
        <v>14</v>
      </c>
      <c r="E9" t="s">
        <v>96</v>
      </c>
      <c r="F9" t="s">
        <v>431</v>
      </c>
      <c r="G9" t="s">
        <v>21</v>
      </c>
      <c r="H9" t="s">
        <v>309</v>
      </c>
      <c r="I9" t="s">
        <v>98</v>
      </c>
    </row>
    <row r="10" spans="1:9" x14ac:dyDescent="0.2">
      <c r="A10" t="s">
        <v>310</v>
      </c>
      <c r="B10" t="s">
        <v>512</v>
      </c>
      <c r="C10" t="s">
        <v>28</v>
      </c>
      <c r="D10">
        <v>4</v>
      </c>
      <c r="E10" t="s">
        <v>96</v>
      </c>
      <c r="F10" t="s">
        <v>431</v>
      </c>
      <c r="G10" t="s">
        <v>21</v>
      </c>
      <c r="H10" t="s">
        <v>309</v>
      </c>
      <c r="I10" t="s">
        <v>98</v>
      </c>
    </row>
    <row r="11" spans="1:9" x14ac:dyDescent="0.2">
      <c r="A11" t="s">
        <v>310</v>
      </c>
      <c r="B11" t="s">
        <v>512</v>
      </c>
      <c r="C11" t="s">
        <v>29</v>
      </c>
      <c r="D11">
        <v>8</v>
      </c>
      <c r="E11" t="s">
        <v>96</v>
      </c>
      <c r="F11" t="s">
        <v>431</v>
      </c>
      <c r="G11" t="s">
        <v>21</v>
      </c>
      <c r="H11" t="s">
        <v>309</v>
      </c>
      <c r="I11" t="s">
        <v>98</v>
      </c>
    </row>
    <row r="12" spans="1:9" x14ac:dyDescent="0.2">
      <c r="A12" t="s">
        <v>310</v>
      </c>
      <c r="B12" t="s">
        <v>512</v>
      </c>
      <c r="C12" t="s">
        <v>31</v>
      </c>
      <c r="D12">
        <v>0</v>
      </c>
      <c r="E12" t="s">
        <v>96</v>
      </c>
      <c r="F12" t="s">
        <v>431</v>
      </c>
      <c r="G12" t="s">
        <v>21</v>
      </c>
      <c r="H12" t="s">
        <v>309</v>
      </c>
      <c r="I12" t="s">
        <v>98</v>
      </c>
    </row>
    <row r="13" spans="1:9" x14ac:dyDescent="0.2">
      <c r="A13" t="s">
        <v>310</v>
      </c>
      <c r="B13" t="s">
        <v>512</v>
      </c>
      <c r="C13" t="s">
        <v>33</v>
      </c>
      <c r="D13">
        <v>48</v>
      </c>
      <c r="E13" t="s">
        <v>96</v>
      </c>
      <c r="F13" t="s">
        <v>431</v>
      </c>
      <c r="G13" t="s">
        <v>21</v>
      </c>
      <c r="H13" t="s">
        <v>309</v>
      </c>
      <c r="I13" t="s">
        <v>98</v>
      </c>
    </row>
    <row r="14" spans="1:9" x14ac:dyDescent="0.2">
      <c r="A14" t="s">
        <v>310</v>
      </c>
      <c r="B14" t="s">
        <v>513</v>
      </c>
      <c r="C14" t="s">
        <v>26</v>
      </c>
      <c r="D14">
        <v>18</v>
      </c>
      <c r="E14" t="s">
        <v>144</v>
      </c>
      <c r="F14" t="s">
        <v>431</v>
      </c>
      <c r="G14" t="s">
        <v>21</v>
      </c>
      <c r="H14" t="s">
        <v>309</v>
      </c>
      <c r="I14" t="s">
        <v>146</v>
      </c>
    </row>
    <row r="15" spans="1:9" x14ac:dyDescent="0.2">
      <c r="A15" t="s">
        <v>310</v>
      </c>
      <c r="B15" t="s">
        <v>513</v>
      </c>
      <c r="C15" t="s">
        <v>27</v>
      </c>
      <c r="D15">
        <v>14</v>
      </c>
      <c r="E15" t="s">
        <v>144</v>
      </c>
      <c r="F15" t="s">
        <v>431</v>
      </c>
      <c r="G15" t="s">
        <v>21</v>
      </c>
      <c r="H15" t="s">
        <v>309</v>
      </c>
      <c r="I15" t="s">
        <v>146</v>
      </c>
    </row>
    <row r="16" spans="1:9" x14ac:dyDescent="0.2">
      <c r="A16" t="s">
        <v>310</v>
      </c>
      <c r="B16" t="s">
        <v>513</v>
      </c>
      <c r="C16" t="s">
        <v>28</v>
      </c>
      <c r="D16">
        <v>6</v>
      </c>
      <c r="E16" t="s">
        <v>144</v>
      </c>
      <c r="F16" t="s">
        <v>431</v>
      </c>
      <c r="G16" t="s">
        <v>21</v>
      </c>
      <c r="H16" t="s">
        <v>309</v>
      </c>
      <c r="I16" t="s">
        <v>146</v>
      </c>
    </row>
    <row r="17" spans="1:9" x14ac:dyDescent="0.2">
      <c r="A17" t="s">
        <v>310</v>
      </c>
      <c r="B17" t="s">
        <v>513</v>
      </c>
      <c r="C17" t="s">
        <v>29</v>
      </c>
      <c r="D17">
        <v>10</v>
      </c>
      <c r="E17" t="s">
        <v>144</v>
      </c>
      <c r="F17" t="s">
        <v>431</v>
      </c>
      <c r="G17" t="s">
        <v>21</v>
      </c>
      <c r="H17" t="s">
        <v>309</v>
      </c>
      <c r="I17" t="s">
        <v>146</v>
      </c>
    </row>
    <row r="18" spans="1:9" x14ac:dyDescent="0.2">
      <c r="A18" t="s">
        <v>310</v>
      </c>
      <c r="B18" t="s">
        <v>513</v>
      </c>
      <c r="C18" t="s">
        <v>31</v>
      </c>
      <c r="E18" t="s">
        <v>144</v>
      </c>
      <c r="F18" t="s">
        <v>431</v>
      </c>
      <c r="G18" t="s">
        <v>21</v>
      </c>
      <c r="H18" t="s">
        <v>309</v>
      </c>
      <c r="I18" t="s">
        <v>146</v>
      </c>
    </row>
    <row r="19" spans="1:9" x14ac:dyDescent="0.2">
      <c r="A19" t="s">
        <v>310</v>
      </c>
      <c r="B19" t="s">
        <v>513</v>
      </c>
      <c r="C19" t="s">
        <v>33</v>
      </c>
      <c r="D19">
        <v>48</v>
      </c>
      <c r="E19" t="s">
        <v>144</v>
      </c>
      <c r="F19" t="s">
        <v>431</v>
      </c>
      <c r="G19" t="s">
        <v>21</v>
      </c>
      <c r="H19" t="s">
        <v>309</v>
      </c>
      <c r="I19" t="s">
        <v>146</v>
      </c>
    </row>
    <row r="20" spans="1:9" x14ac:dyDescent="0.2">
      <c r="A20" t="s">
        <v>310</v>
      </c>
      <c r="B20" t="s">
        <v>514</v>
      </c>
      <c r="C20" t="s">
        <v>26</v>
      </c>
      <c r="E20" t="s">
        <v>178</v>
      </c>
      <c r="F20" t="s">
        <v>431</v>
      </c>
      <c r="G20" t="s">
        <v>21</v>
      </c>
      <c r="H20" t="s">
        <v>309</v>
      </c>
      <c r="I20" t="s">
        <v>179</v>
      </c>
    </row>
    <row r="21" spans="1:9" x14ac:dyDescent="0.2">
      <c r="A21" t="s">
        <v>310</v>
      </c>
      <c r="B21" t="s">
        <v>514</v>
      </c>
      <c r="C21" t="s">
        <v>27</v>
      </c>
      <c r="E21" t="s">
        <v>178</v>
      </c>
      <c r="F21" t="s">
        <v>431</v>
      </c>
      <c r="G21" t="s">
        <v>21</v>
      </c>
      <c r="H21" t="s">
        <v>309</v>
      </c>
      <c r="I21" t="s">
        <v>179</v>
      </c>
    </row>
    <row r="22" spans="1:9" x14ac:dyDescent="0.2">
      <c r="A22" t="s">
        <v>310</v>
      </c>
      <c r="B22" t="s">
        <v>514</v>
      </c>
      <c r="C22" t="s">
        <v>28</v>
      </c>
      <c r="E22" t="s">
        <v>178</v>
      </c>
      <c r="F22" t="s">
        <v>431</v>
      </c>
      <c r="G22" t="s">
        <v>21</v>
      </c>
      <c r="H22" t="s">
        <v>309</v>
      </c>
      <c r="I22" t="s">
        <v>179</v>
      </c>
    </row>
    <row r="23" spans="1:9" x14ac:dyDescent="0.2">
      <c r="A23" t="s">
        <v>310</v>
      </c>
      <c r="B23" t="s">
        <v>514</v>
      </c>
      <c r="C23" t="s">
        <v>29</v>
      </c>
      <c r="E23" t="s">
        <v>178</v>
      </c>
      <c r="F23" t="s">
        <v>431</v>
      </c>
      <c r="G23" t="s">
        <v>21</v>
      </c>
      <c r="H23" t="s">
        <v>309</v>
      </c>
      <c r="I23" t="s">
        <v>179</v>
      </c>
    </row>
    <row r="24" spans="1:9" x14ac:dyDescent="0.2">
      <c r="A24" t="s">
        <v>310</v>
      </c>
      <c r="B24" t="s">
        <v>514</v>
      </c>
      <c r="C24" t="s">
        <v>31</v>
      </c>
      <c r="E24" t="s">
        <v>178</v>
      </c>
      <c r="F24" t="s">
        <v>431</v>
      </c>
      <c r="G24" t="s">
        <v>21</v>
      </c>
      <c r="H24" t="s">
        <v>309</v>
      </c>
      <c r="I24" t="s">
        <v>179</v>
      </c>
    </row>
    <row r="25" spans="1:9" x14ac:dyDescent="0.2">
      <c r="A25" t="s">
        <v>310</v>
      </c>
      <c r="B25" t="s">
        <v>514</v>
      </c>
      <c r="C25" t="s">
        <v>33</v>
      </c>
      <c r="D25">
        <v>0</v>
      </c>
      <c r="E25" t="s">
        <v>178</v>
      </c>
      <c r="F25" t="s">
        <v>431</v>
      </c>
      <c r="G25" t="s">
        <v>21</v>
      </c>
      <c r="H25" t="s">
        <v>309</v>
      </c>
      <c r="I25" t="s">
        <v>179</v>
      </c>
    </row>
    <row r="26" spans="1:9" x14ac:dyDescent="0.2">
      <c r="A26" t="s">
        <v>310</v>
      </c>
      <c r="B26" t="s">
        <v>515</v>
      </c>
      <c r="C26" t="s">
        <v>26</v>
      </c>
      <c r="D26">
        <v>22</v>
      </c>
      <c r="E26" t="s">
        <v>200</v>
      </c>
      <c r="F26" t="s">
        <v>431</v>
      </c>
      <c r="G26" t="s">
        <v>21</v>
      </c>
      <c r="H26" t="s">
        <v>309</v>
      </c>
      <c r="I26" t="s">
        <v>202</v>
      </c>
    </row>
    <row r="27" spans="1:9" x14ac:dyDescent="0.2">
      <c r="A27" t="s">
        <v>310</v>
      </c>
      <c r="B27" t="s">
        <v>515</v>
      </c>
      <c r="C27" t="s">
        <v>27</v>
      </c>
      <c r="E27" t="s">
        <v>200</v>
      </c>
      <c r="F27" t="s">
        <v>431</v>
      </c>
      <c r="G27" t="s">
        <v>21</v>
      </c>
      <c r="H27" t="s">
        <v>309</v>
      </c>
      <c r="I27" t="s">
        <v>202</v>
      </c>
    </row>
    <row r="28" spans="1:9" x14ac:dyDescent="0.2">
      <c r="A28" t="s">
        <v>310</v>
      </c>
      <c r="B28" t="s">
        <v>515</v>
      </c>
      <c r="C28" t="s">
        <v>28</v>
      </c>
      <c r="D28">
        <v>16</v>
      </c>
      <c r="E28" t="s">
        <v>200</v>
      </c>
      <c r="F28" t="s">
        <v>431</v>
      </c>
      <c r="G28" t="s">
        <v>21</v>
      </c>
      <c r="H28" t="s">
        <v>309</v>
      </c>
      <c r="I28" t="s">
        <v>202</v>
      </c>
    </row>
    <row r="29" spans="1:9" x14ac:dyDescent="0.2">
      <c r="A29" t="s">
        <v>310</v>
      </c>
      <c r="B29" t="s">
        <v>515</v>
      </c>
      <c r="C29" t="s">
        <v>29</v>
      </c>
      <c r="D29">
        <v>8</v>
      </c>
      <c r="E29" t="s">
        <v>200</v>
      </c>
      <c r="F29" t="s">
        <v>431</v>
      </c>
      <c r="G29" t="s">
        <v>21</v>
      </c>
      <c r="H29" t="s">
        <v>309</v>
      </c>
      <c r="I29" t="s">
        <v>202</v>
      </c>
    </row>
    <row r="30" spans="1:9" x14ac:dyDescent="0.2">
      <c r="A30" t="s">
        <v>310</v>
      </c>
      <c r="B30" t="s">
        <v>515</v>
      </c>
      <c r="C30" t="s">
        <v>31</v>
      </c>
      <c r="E30" t="s">
        <v>200</v>
      </c>
      <c r="F30" t="s">
        <v>431</v>
      </c>
      <c r="G30" t="s">
        <v>21</v>
      </c>
      <c r="H30" t="s">
        <v>309</v>
      </c>
      <c r="I30" t="s">
        <v>202</v>
      </c>
    </row>
    <row r="31" spans="1:9" x14ac:dyDescent="0.2">
      <c r="A31" t="s">
        <v>310</v>
      </c>
      <c r="B31" t="s">
        <v>515</v>
      </c>
      <c r="C31" t="s">
        <v>33</v>
      </c>
      <c r="D31">
        <v>46</v>
      </c>
      <c r="E31" t="s">
        <v>200</v>
      </c>
      <c r="F31" t="s">
        <v>431</v>
      </c>
      <c r="G31" t="s">
        <v>21</v>
      </c>
      <c r="H31" t="s">
        <v>309</v>
      </c>
      <c r="I31" t="s">
        <v>202</v>
      </c>
    </row>
    <row r="32" spans="1:9" x14ac:dyDescent="0.2">
      <c r="A32" t="s">
        <v>310</v>
      </c>
      <c r="B32" t="s">
        <v>516</v>
      </c>
      <c r="C32" t="s">
        <v>26</v>
      </c>
      <c r="D32">
        <v>8</v>
      </c>
      <c r="E32" t="s">
        <v>243</v>
      </c>
      <c r="F32" t="s">
        <v>431</v>
      </c>
      <c r="G32" t="s">
        <v>21</v>
      </c>
      <c r="H32" t="s">
        <v>309</v>
      </c>
      <c r="I32" t="s">
        <v>244</v>
      </c>
    </row>
    <row r="33" spans="1:9" x14ac:dyDescent="0.2">
      <c r="A33" t="s">
        <v>310</v>
      </c>
      <c r="B33" t="s">
        <v>516</v>
      </c>
      <c r="C33" t="s">
        <v>27</v>
      </c>
      <c r="E33" t="s">
        <v>243</v>
      </c>
      <c r="F33" t="s">
        <v>431</v>
      </c>
      <c r="G33" t="s">
        <v>21</v>
      </c>
      <c r="H33" t="s">
        <v>309</v>
      </c>
      <c r="I33" t="s">
        <v>244</v>
      </c>
    </row>
    <row r="34" spans="1:9" x14ac:dyDescent="0.2">
      <c r="A34" t="s">
        <v>310</v>
      </c>
      <c r="B34" t="s">
        <v>516</v>
      </c>
      <c r="C34" t="s">
        <v>28</v>
      </c>
      <c r="D34">
        <v>12</v>
      </c>
      <c r="E34" t="s">
        <v>243</v>
      </c>
      <c r="F34" t="s">
        <v>431</v>
      </c>
      <c r="G34" t="s">
        <v>21</v>
      </c>
      <c r="H34" t="s">
        <v>309</v>
      </c>
      <c r="I34" t="s">
        <v>244</v>
      </c>
    </row>
    <row r="35" spans="1:9" x14ac:dyDescent="0.2">
      <c r="A35" t="s">
        <v>310</v>
      </c>
      <c r="B35" t="s">
        <v>516</v>
      </c>
      <c r="C35" t="s">
        <v>29</v>
      </c>
      <c r="D35">
        <v>20</v>
      </c>
      <c r="E35" t="s">
        <v>243</v>
      </c>
      <c r="F35" t="s">
        <v>431</v>
      </c>
      <c r="G35" t="s">
        <v>21</v>
      </c>
      <c r="H35" t="s">
        <v>309</v>
      </c>
      <c r="I35" t="s">
        <v>244</v>
      </c>
    </row>
    <row r="36" spans="1:9" x14ac:dyDescent="0.2">
      <c r="A36" t="s">
        <v>310</v>
      </c>
      <c r="B36" t="s">
        <v>516</v>
      </c>
      <c r="C36" t="s">
        <v>31</v>
      </c>
      <c r="E36" t="s">
        <v>243</v>
      </c>
      <c r="F36" t="s">
        <v>431</v>
      </c>
      <c r="G36" t="s">
        <v>21</v>
      </c>
      <c r="H36" t="s">
        <v>309</v>
      </c>
      <c r="I36" t="s">
        <v>244</v>
      </c>
    </row>
    <row r="37" spans="1:9" x14ac:dyDescent="0.2">
      <c r="A37" t="s">
        <v>310</v>
      </c>
      <c r="B37" t="s">
        <v>516</v>
      </c>
      <c r="C37" t="s">
        <v>33</v>
      </c>
      <c r="D37">
        <v>40</v>
      </c>
      <c r="E37" t="s">
        <v>243</v>
      </c>
      <c r="F37" t="s">
        <v>431</v>
      </c>
      <c r="G37" t="s">
        <v>21</v>
      </c>
      <c r="H37" t="s">
        <v>309</v>
      </c>
      <c r="I37" t="s">
        <v>244</v>
      </c>
    </row>
    <row r="38" spans="1:9" x14ac:dyDescent="0.2">
      <c r="A38" t="s">
        <v>310</v>
      </c>
      <c r="B38" t="s">
        <v>517</v>
      </c>
      <c r="C38" t="s">
        <v>26</v>
      </c>
      <c r="D38">
        <v>22</v>
      </c>
      <c r="E38" t="s">
        <v>445</v>
      </c>
      <c r="F38" t="s">
        <v>431</v>
      </c>
      <c r="G38" t="s">
        <v>21</v>
      </c>
      <c r="H38" t="s">
        <v>309</v>
      </c>
      <c r="I38" t="s">
        <v>266</v>
      </c>
    </row>
    <row r="39" spans="1:9" x14ac:dyDescent="0.2">
      <c r="A39" t="s">
        <v>310</v>
      </c>
      <c r="B39" t="s">
        <v>517</v>
      </c>
      <c r="C39" t="s">
        <v>27</v>
      </c>
      <c r="D39">
        <v>18</v>
      </c>
      <c r="E39" t="s">
        <v>445</v>
      </c>
      <c r="F39" t="s">
        <v>431</v>
      </c>
      <c r="G39" t="s">
        <v>21</v>
      </c>
      <c r="H39" t="s">
        <v>309</v>
      </c>
      <c r="I39" t="s">
        <v>266</v>
      </c>
    </row>
    <row r="40" spans="1:9" x14ac:dyDescent="0.2">
      <c r="A40" t="s">
        <v>310</v>
      </c>
      <c r="B40" t="s">
        <v>517</v>
      </c>
      <c r="C40" t="s">
        <v>28</v>
      </c>
      <c r="E40" t="s">
        <v>445</v>
      </c>
      <c r="F40" t="s">
        <v>431</v>
      </c>
      <c r="G40" t="s">
        <v>21</v>
      </c>
      <c r="H40" t="s">
        <v>309</v>
      </c>
      <c r="I40" t="s">
        <v>266</v>
      </c>
    </row>
    <row r="41" spans="1:9" x14ac:dyDescent="0.2">
      <c r="A41" t="s">
        <v>310</v>
      </c>
      <c r="B41" t="s">
        <v>517</v>
      </c>
      <c r="C41" t="s">
        <v>29</v>
      </c>
      <c r="E41" t="s">
        <v>445</v>
      </c>
      <c r="F41" t="s">
        <v>431</v>
      </c>
      <c r="G41" t="s">
        <v>21</v>
      </c>
      <c r="H41" t="s">
        <v>309</v>
      </c>
      <c r="I41" t="s">
        <v>266</v>
      </c>
    </row>
    <row r="42" spans="1:9" x14ac:dyDescent="0.2">
      <c r="A42" t="s">
        <v>310</v>
      </c>
      <c r="B42" t="s">
        <v>517</v>
      </c>
      <c r="C42" t="s">
        <v>31</v>
      </c>
      <c r="E42" t="s">
        <v>445</v>
      </c>
      <c r="F42" t="s">
        <v>431</v>
      </c>
      <c r="G42" t="s">
        <v>21</v>
      </c>
      <c r="H42" t="s">
        <v>309</v>
      </c>
      <c r="I42" t="s">
        <v>266</v>
      </c>
    </row>
    <row r="43" spans="1:9" x14ac:dyDescent="0.2">
      <c r="A43" t="s">
        <v>310</v>
      </c>
      <c r="B43" t="s">
        <v>517</v>
      </c>
      <c r="C43" t="s">
        <v>33</v>
      </c>
      <c r="D43">
        <v>40</v>
      </c>
      <c r="E43" t="s">
        <v>445</v>
      </c>
      <c r="F43" t="s">
        <v>431</v>
      </c>
      <c r="G43" t="s">
        <v>21</v>
      </c>
      <c r="H43" t="s">
        <v>309</v>
      </c>
      <c r="I43" t="s">
        <v>266</v>
      </c>
    </row>
    <row r="44" spans="1:9" x14ac:dyDescent="0.2">
      <c r="A44" t="s">
        <v>310</v>
      </c>
      <c r="B44" t="s">
        <v>518</v>
      </c>
      <c r="C44" t="s">
        <v>26</v>
      </c>
      <c r="D44">
        <v>10</v>
      </c>
      <c r="E44" t="s">
        <v>289</v>
      </c>
      <c r="F44" t="s">
        <v>431</v>
      </c>
      <c r="G44" t="s">
        <v>21</v>
      </c>
      <c r="H44" t="s">
        <v>309</v>
      </c>
      <c r="I44" t="s">
        <v>288</v>
      </c>
    </row>
    <row r="45" spans="1:9" x14ac:dyDescent="0.2">
      <c r="A45" t="s">
        <v>310</v>
      </c>
      <c r="B45" t="s">
        <v>518</v>
      </c>
      <c r="C45" t="s">
        <v>27</v>
      </c>
      <c r="D45">
        <v>10</v>
      </c>
      <c r="E45" t="s">
        <v>289</v>
      </c>
      <c r="F45" t="s">
        <v>431</v>
      </c>
      <c r="G45" t="s">
        <v>21</v>
      </c>
      <c r="H45" t="s">
        <v>309</v>
      </c>
      <c r="I45" t="s">
        <v>288</v>
      </c>
    </row>
    <row r="46" spans="1:9" x14ac:dyDescent="0.2">
      <c r="A46" t="s">
        <v>310</v>
      </c>
      <c r="B46" t="s">
        <v>518</v>
      </c>
      <c r="C46" t="s">
        <v>28</v>
      </c>
      <c r="E46" t="s">
        <v>289</v>
      </c>
      <c r="F46" t="s">
        <v>431</v>
      </c>
      <c r="G46" t="s">
        <v>21</v>
      </c>
      <c r="H46" t="s">
        <v>309</v>
      </c>
      <c r="I46" t="s">
        <v>288</v>
      </c>
    </row>
    <row r="47" spans="1:9" x14ac:dyDescent="0.2">
      <c r="A47" t="s">
        <v>310</v>
      </c>
      <c r="B47" t="s">
        <v>518</v>
      </c>
      <c r="C47" t="s">
        <v>29</v>
      </c>
      <c r="E47" t="s">
        <v>289</v>
      </c>
      <c r="F47" t="s">
        <v>431</v>
      </c>
      <c r="G47" t="s">
        <v>21</v>
      </c>
      <c r="H47" t="s">
        <v>309</v>
      </c>
      <c r="I47" t="s">
        <v>288</v>
      </c>
    </row>
    <row r="48" spans="1:9" x14ac:dyDescent="0.2">
      <c r="A48" t="s">
        <v>310</v>
      </c>
      <c r="B48" t="s">
        <v>518</v>
      </c>
      <c r="C48" t="s">
        <v>31</v>
      </c>
      <c r="E48" t="s">
        <v>289</v>
      </c>
      <c r="F48" t="s">
        <v>431</v>
      </c>
      <c r="G48" t="s">
        <v>21</v>
      </c>
      <c r="H48" t="s">
        <v>309</v>
      </c>
      <c r="I48" t="s">
        <v>288</v>
      </c>
    </row>
    <row r="49" spans="1:9" x14ac:dyDescent="0.2">
      <c r="A49" t="s">
        <v>310</v>
      </c>
      <c r="B49" t="s">
        <v>518</v>
      </c>
      <c r="C49" t="s">
        <v>33</v>
      </c>
      <c r="D49">
        <v>20</v>
      </c>
      <c r="E49" t="s">
        <v>289</v>
      </c>
      <c r="F49" t="s">
        <v>431</v>
      </c>
      <c r="G49" t="s">
        <v>21</v>
      </c>
      <c r="H49" t="s">
        <v>309</v>
      </c>
      <c r="I49" t="s">
        <v>288</v>
      </c>
    </row>
    <row r="50" spans="1:9" x14ac:dyDescent="0.2">
      <c r="A50" t="s">
        <v>319</v>
      </c>
      <c r="B50" t="s">
        <v>519</v>
      </c>
      <c r="C50" t="s">
        <v>26</v>
      </c>
      <c r="E50" t="s">
        <v>448</v>
      </c>
      <c r="F50" t="s">
        <v>431</v>
      </c>
      <c r="G50" t="s">
        <v>21</v>
      </c>
      <c r="H50" t="s">
        <v>309</v>
      </c>
      <c r="I50" t="s">
        <v>449</v>
      </c>
    </row>
    <row r="51" spans="1:9" x14ac:dyDescent="0.2">
      <c r="A51" t="s">
        <v>319</v>
      </c>
      <c r="B51" t="s">
        <v>519</v>
      </c>
      <c r="C51" t="s">
        <v>27</v>
      </c>
      <c r="E51" t="s">
        <v>448</v>
      </c>
      <c r="F51" t="s">
        <v>431</v>
      </c>
      <c r="G51" t="s">
        <v>21</v>
      </c>
      <c r="H51" t="s">
        <v>309</v>
      </c>
      <c r="I51" t="s">
        <v>449</v>
      </c>
    </row>
    <row r="52" spans="1:9" x14ac:dyDescent="0.2">
      <c r="A52" t="s">
        <v>319</v>
      </c>
      <c r="B52" t="s">
        <v>519</v>
      </c>
      <c r="C52" t="s">
        <v>28</v>
      </c>
      <c r="E52" t="s">
        <v>448</v>
      </c>
      <c r="F52" t="s">
        <v>431</v>
      </c>
      <c r="G52" t="s">
        <v>21</v>
      </c>
      <c r="H52" t="s">
        <v>309</v>
      </c>
      <c r="I52" t="s">
        <v>449</v>
      </c>
    </row>
    <row r="53" spans="1:9" x14ac:dyDescent="0.2">
      <c r="A53" t="s">
        <v>319</v>
      </c>
      <c r="B53" t="s">
        <v>519</v>
      </c>
      <c r="C53" t="s">
        <v>29</v>
      </c>
      <c r="E53" t="s">
        <v>448</v>
      </c>
      <c r="F53" t="s">
        <v>431</v>
      </c>
      <c r="G53" t="s">
        <v>21</v>
      </c>
      <c r="H53" t="s">
        <v>309</v>
      </c>
      <c r="I53" t="s">
        <v>449</v>
      </c>
    </row>
    <row r="54" spans="1:9" x14ac:dyDescent="0.2">
      <c r="A54" t="s">
        <v>319</v>
      </c>
      <c r="B54" t="s">
        <v>519</v>
      </c>
      <c r="C54" t="s">
        <v>31</v>
      </c>
      <c r="E54" t="s">
        <v>448</v>
      </c>
      <c r="F54" t="s">
        <v>431</v>
      </c>
      <c r="G54" t="s">
        <v>21</v>
      </c>
      <c r="H54" t="s">
        <v>309</v>
      </c>
      <c r="I54" t="s">
        <v>449</v>
      </c>
    </row>
    <row r="55" spans="1:9" x14ac:dyDescent="0.2">
      <c r="A55" t="s">
        <v>319</v>
      </c>
      <c r="B55" t="s">
        <v>519</v>
      </c>
      <c r="C55" t="s">
        <v>33</v>
      </c>
      <c r="D55">
        <v>0</v>
      </c>
      <c r="E55" t="s">
        <v>448</v>
      </c>
      <c r="F55" t="s">
        <v>431</v>
      </c>
      <c r="G55" t="s">
        <v>21</v>
      </c>
      <c r="H55" t="s">
        <v>309</v>
      </c>
      <c r="I55" t="s">
        <v>449</v>
      </c>
    </row>
    <row r="56" spans="1:9" x14ac:dyDescent="0.2">
      <c r="A56" t="s">
        <v>319</v>
      </c>
      <c r="B56" t="s">
        <v>520</v>
      </c>
      <c r="C56" t="s">
        <v>26</v>
      </c>
      <c r="D56">
        <v>33</v>
      </c>
      <c r="E56" t="s">
        <v>451</v>
      </c>
      <c r="F56" t="s">
        <v>431</v>
      </c>
      <c r="G56" t="s">
        <v>21</v>
      </c>
      <c r="H56" t="s">
        <v>309</v>
      </c>
      <c r="I56" t="s">
        <v>452</v>
      </c>
    </row>
    <row r="57" spans="1:9" x14ac:dyDescent="0.2">
      <c r="A57" t="s">
        <v>319</v>
      </c>
      <c r="B57" t="s">
        <v>520</v>
      </c>
      <c r="C57" t="s">
        <v>27</v>
      </c>
      <c r="D57">
        <v>1</v>
      </c>
      <c r="E57" t="s">
        <v>451</v>
      </c>
      <c r="F57" t="s">
        <v>431</v>
      </c>
      <c r="G57" t="s">
        <v>21</v>
      </c>
      <c r="H57" t="s">
        <v>309</v>
      </c>
      <c r="I57" t="s">
        <v>452</v>
      </c>
    </row>
    <row r="58" spans="1:9" x14ac:dyDescent="0.2">
      <c r="A58" t="s">
        <v>319</v>
      </c>
      <c r="B58" t="s">
        <v>520</v>
      </c>
      <c r="C58" t="s">
        <v>28</v>
      </c>
      <c r="D58">
        <v>6</v>
      </c>
      <c r="E58" t="s">
        <v>451</v>
      </c>
      <c r="F58" t="s">
        <v>431</v>
      </c>
      <c r="G58" t="s">
        <v>21</v>
      </c>
      <c r="H58" t="s">
        <v>309</v>
      </c>
      <c r="I58" t="s">
        <v>452</v>
      </c>
    </row>
    <row r="59" spans="1:9" x14ac:dyDescent="0.2">
      <c r="A59" t="s">
        <v>319</v>
      </c>
      <c r="B59" t="s">
        <v>520</v>
      </c>
      <c r="C59" t="s">
        <v>29</v>
      </c>
      <c r="D59">
        <v>1</v>
      </c>
      <c r="E59" t="s">
        <v>451</v>
      </c>
      <c r="F59" t="s">
        <v>431</v>
      </c>
      <c r="G59" t="s">
        <v>21</v>
      </c>
      <c r="H59" t="s">
        <v>309</v>
      </c>
      <c r="I59" t="s">
        <v>452</v>
      </c>
    </row>
    <row r="60" spans="1:9" x14ac:dyDescent="0.2">
      <c r="A60" t="s">
        <v>319</v>
      </c>
      <c r="B60" t="s">
        <v>520</v>
      </c>
      <c r="C60" t="s">
        <v>31</v>
      </c>
      <c r="D60">
        <v>3</v>
      </c>
      <c r="E60" t="s">
        <v>451</v>
      </c>
      <c r="F60" t="s">
        <v>431</v>
      </c>
      <c r="G60" t="s">
        <v>21</v>
      </c>
      <c r="H60" t="s">
        <v>309</v>
      </c>
      <c r="I60" t="s">
        <v>452</v>
      </c>
    </row>
    <row r="61" spans="1:9" x14ac:dyDescent="0.2">
      <c r="A61" t="s">
        <v>319</v>
      </c>
      <c r="B61" t="s">
        <v>520</v>
      </c>
      <c r="C61" t="s">
        <v>33</v>
      </c>
      <c r="D61">
        <v>44</v>
      </c>
      <c r="E61" t="s">
        <v>451</v>
      </c>
      <c r="F61" t="s">
        <v>431</v>
      </c>
      <c r="G61" t="s">
        <v>21</v>
      </c>
      <c r="H61" t="s">
        <v>309</v>
      </c>
      <c r="I61" t="s">
        <v>452</v>
      </c>
    </row>
    <row r="62" spans="1:9" x14ac:dyDescent="0.2">
      <c r="A62" t="s">
        <v>319</v>
      </c>
      <c r="B62" t="s">
        <v>521</v>
      </c>
      <c r="C62" t="s">
        <v>26</v>
      </c>
      <c r="D62">
        <v>11</v>
      </c>
      <c r="E62" t="s">
        <v>455</v>
      </c>
      <c r="F62" t="s">
        <v>431</v>
      </c>
      <c r="G62" t="s">
        <v>21</v>
      </c>
      <c r="H62" t="s">
        <v>309</v>
      </c>
      <c r="I62" t="s">
        <v>456</v>
      </c>
    </row>
    <row r="63" spans="1:9" x14ac:dyDescent="0.2">
      <c r="A63" t="s">
        <v>319</v>
      </c>
      <c r="B63" t="s">
        <v>521</v>
      </c>
      <c r="C63" t="s">
        <v>27</v>
      </c>
      <c r="E63" t="s">
        <v>455</v>
      </c>
      <c r="F63" t="s">
        <v>431</v>
      </c>
      <c r="G63" t="s">
        <v>21</v>
      </c>
      <c r="H63" t="s">
        <v>309</v>
      </c>
      <c r="I63" t="s">
        <v>456</v>
      </c>
    </row>
    <row r="64" spans="1:9" x14ac:dyDescent="0.2">
      <c r="A64" t="s">
        <v>319</v>
      </c>
      <c r="B64" t="s">
        <v>521</v>
      </c>
      <c r="C64" t="s">
        <v>28</v>
      </c>
      <c r="D64">
        <v>6</v>
      </c>
      <c r="E64" t="s">
        <v>455</v>
      </c>
      <c r="F64" t="s">
        <v>431</v>
      </c>
      <c r="G64" t="s">
        <v>21</v>
      </c>
      <c r="H64" t="s">
        <v>309</v>
      </c>
      <c r="I64" t="s">
        <v>456</v>
      </c>
    </row>
    <row r="65" spans="1:9" x14ac:dyDescent="0.2">
      <c r="A65" t="s">
        <v>319</v>
      </c>
      <c r="B65" t="s">
        <v>521</v>
      </c>
      <c r="C65" t="s">
        <v>29</v>
      </c>
      <c r="D65">
        <v>11</v>
      </c>
      <c r="E65" t="s">
        <v>455</v>
      </c>
      <c r="F65" t="s">
        <v>431</v>
      </c>
      <c r="G65" t="s">
        <v>21</v>
      </c>
      <c r="H65" t="s">
        <v>309</v>
      </c>
      <c r="I65" t="s">
        <v>456</v>
      </c>
    </row>
    <row r="66" spans="1:9" x14ac:dyDescent="0.2">
      <c r="A66" t="s">
        <v>319</v>
      </c>
      <c r="B66" t="s">
        <v>521</v>
      </c>
      <c r="C66" t="s">
        <v>31</v>
      </c>
      <c r="D66">
        <v>11</v>
      </c>
      <c r="E66" t="s">
        <v>455</v>
      </c>
      <c r="F66" t="s">
        <v>431</v>
      </c>
      <c r="G66" t="s">
        <v>21</v>
      </c>
      <c r="H66" t="s">
        <v>309</v>
      </c>
      <c r="I66" t="s">
        <v>456</v>
      </c>
    </row>
    <row r="67" spans="1:9" x14ac:dyDescent="0.2">
      <c r="A67" t="s">
        <v>319</v>
      </c>
      <c r="B67" t="s">
        <v>521</v>
      </c>
      <c r="C67" t="s">
        <v>33</v>
      </c>
      <c r="D67">
        <v>39</v>
      </c>
      <c r="E67" t="s">
        <v>455</v>
      </c>
      <c r="F67" t="s">
        <v>431</v>
      </c>
      <c r="G67" t="s">
        <v>21</v>
      </c>
      <c r="H67" t="s">
        <v>309</v>
      </c>
      <c r="I67" t="s">
        <v>456</v>
      </c>
    </row>
    <row r="68" spans="1:9" x14ac:dyDescent="0.2">
      <c r="A68" t="s">
        <v>319</v>
      </c>
      <c r="B68" t="s">
        <v>522</v>
      </c>
      <c r="C68" t="s">
        <v>26</v>
      </c>
      <c r="D68">
        <v>34</v>
      </c>
      <c r="E68" t="s">
        <v>459</v>
      </c>
      <c r="F68" t="s">
        <v>431</v>
      </c>
      <c r="G68" t="s">
        <v>21</v>
      </c>
      <c r="H68" t="s">
        <v>309</v>
      </c>
      <c r="I68" t="s">
        <v>460</v>
      </c>
    </row>
    <row r="69" spans="1:9" x14ac:dyDescent="0.2">
      <c r="A69" t="s">
        <v>319</v>
      </c>
      <c r="B69" t="s">
        <v>522</v>
      </c>
      <c r="C69" t="s">
        <v>27</v>
      </c>
      <c r="D69">
        <v>6</v>
      </c>
      <c r="E69" t="s">
        <v>459</v>
      </c>
      <c r="F69" t="s">
        <v>431</v>
      </c>
      <c r="G69" t="s">
        <v>21</v>
      </c>
      <c r="H69" t="s">
        <v>309</v>
      </c>
      <c r="I69" t="s">
        <v>460</v>
      </c>
    </row>
    <row r="70" spans="1:9" x14ac:dyDescent="0.2">
      <c r="A70" t="s">
        <v>319</v>
      </c>
      <c r="B70" t="s">
        <v>522</v>
      </c>
      <c r="C70" t="s">
        <v>28</v>
      </c>
      <c r="E70" t="s">
        <v>459</v>
      </c>
      <c r="F70" t="s">
        <v>431</v>
      </c>
      <c r="G70" t="s">
        <v>21</v>
      </c>
      <c r="H70" t="s">
        <v>309</v>
      </c>
      <c r="I70" t="s">
        <v>460</v>
      </c>
    </row>
    <row r="71" spans="1:9" x14ac:dyDescent="0.2">
      <c r="A71" t="s">
        <v>319</v>
      </c>
      <c r="B71" t="s">
        <v>522</v>
      </c>
      <c r="C71" t="s">
        <v>29</v>
      </c>
      <c r="D71">
        <v>2</v>
      </c>
      <c r="E71" t="s">
        <v>459</v>
      </c>
      <c r="F71" t="s">
        <v>431</v>
      </c>
      <c r="G71" t="s">
        <v>21</v>
      </c>
      <c r="H71" t="s">
        <v>309</v>
      </c>
      <c r="I71" t="s">
        <v>460</v>
      </c>
    </row>
    <row r="72" spans="1:9" x14ac:dyDescent="0.2">
      <c r="A72" t="s">
        <v>319</v>
      </c>
      <c r="B72" t="s">
        <v>522</v>
      </c>
      <c r="C72" t="s">
        <v>31</v>
      </c>
      <c r="E72" t="s">
        <v>459</v>
      </c>
      <c r="F72" t="s">
        <v>431</v>
      </c>
      <c r="G72" t="s">
        <v>21</v>
      </c>
      <c r="H72" t="s">
        <v>309</v>
      </c>
      <c r="I72" t="s">
        <v>460</v>
      </c>
    </row>
    <row r="73" spans="1:9" x14ac:dyDescent="0.2">
      <c r="A73" t="s">
        <v>319</v>
      </c>
      <c r="B73" t="s">
        <v>522</v>
      </c>
      <c r="C73" t="s">
        <v>33</v>
      </c>
      <c r="D73">
        <v>42</v>
      </c>
      <c r="E73" t="s">
        <v>459</v>
      </c>
      <c r="F73" t="s">
        <v>431</v>
      </c>
      <c r="G73" t="s">
        <v>21</v>
      </c>
      <c r="H73" t="s">
        <v>309</v>
      </c>
      <c r="I73" t="s">
        <v>460</v>
      </c>
    </row>
    <row r="74" spans="1:9" x14ac:dyDescent="0.2">
      <c r="A74" t="s">
        <v>319</v>
      </c>
      <c r="B74" t="s">
        <v>523</v>
      </c>
      <c r="C74" t="s">
        <v>26</v>
      </c>
      <c r="D74">
        <v>16</v>
      </c>
      <c r="E74" t="s">
        <v>463</v>
      </c>
      <c r="F74" t="s">
        <v>431</v>
      </c>
      <c r="G74" t="s">
        <v>21</v>
      </c>
      <c r="H74" t="s">
        <v>309</v>
      </c>
      <c r="I74" t="s">
        <v>464</v>
      </c>
    </row>
    <row r="75" spans="1:9" x14ac:dyDescent="0.2">
      <c r="A75" t="s">
        <v>319</v>
      </c>
      <c r="B75" t="s">
        <v>523</v>
      </c>
      <c r="C75" t="s">
        <v>27</v>
      </c>
      <c r="D75">
        <v>5</v>
      </c>
      <c r="E75" t="s">
        <v>463</v>
      </c>
      <c r="F75" t="s">
        <v>431</v>
      </c>
      <c r="G75" t="s">
        <v>21</v>
      </c>
      <c r="H75" t="s">
        <v>309</v>
      </c>
      <c r="I75" t="s">
        <v>464</v>
      </c>
    </row>
    <row r="76" spans="1:9" x14ac:dyDescent="0.2">
      <c r="A76" t="s">
        <v>319</v>
      </c>
      <c r="B76" t="s">
        <v>523</v>
      </c>
      <c r="C76" t="s">
        <v>28</v>
      </c>
      <c r="D76">
        <v>6</v>
      </c>
      <c r="E76" t="s">
        <v>463</v>
      </c>
      <c r="F76" t="s">
        <v>431</v>
      </c>
      <c r="G76" t="s">
        <v>21</v>
      </c>
      <c r="H76" t="s">
        <v>309</v>
      </c>
      <c r="I76" t="s">
        <v>464</v>
      </c>
    </row>
    <row r="77" spans="1:9" x14ac:dyDescent="0.2">
      <c r="A77" t="s">
        <v>319</v>
      </c>
      <c r="B77" t="s">
        <v>523</v>
      </c>
      <c r="C77" t="s">
        <v>29</v>
      </c>
      <c r="D77">
        <v>7</v>
      </c>
      <c r="E77" t="s">
        <v>463</v>
      </c>
      <c r="F77" t="s">
        <v>431</v>
      </c>
      <c r="G77" t="s">
        <v>21</v>
      </c>
      <c r="H77" t="s">
        <v>309</v>
      </c>
      <c r="I77" t="s">
        <v>464</v>
      </c>
    </row>
    <row r="78" spans="1:9" x14ac:dyDescent="0.2">
      <c r="A78" t="s">
        <v>319</v>
      </c>
      <c r="B78" t="s">
        <v>523</v>
      </c>
      <c r="C78" t="s">
        <v>31</v>
      </c>
      <c r="D78">
        <v>6</v>
      </c>
      <c r="E78" t="s">
        <v>463</v>
      </c>
      <c r="F78" t="s">
        <v>431</v>
      </c>
      <c r="G78" t="s">
        <v>21</v>
      </c>
      <c r="H78" t="s">
        <v>309</v>
      </c>
      <c r="I78" t="s">
        <v>464</v>
      </c>
    </row>
    <row r="79" spans="1:9" x14ac:dyDescent="0.2">
      <c r="A79" t="s">
        <v>319</v>
      </c>
      <c r="B79" t="s">
        <v>523</v>
      </c>
      <c r="C79" t="s">
        <v>33</v>
      </c>
      <c r="D79">
        <v>40</v>
      </c>
      <c r="E79" t="s">
        <v>463</v>
      </c>
      <c r="F79" t="s">
        <v>431</v>
      </c>
      <c r="G79" t="s">
        <v>21</v>
      </c>
      <c r="H79" t="s">
        <v>309</v>
      </c>
      <c r="I79" t="s">
        <v>464</v>
      </c>
    </row>
    <row r="80" spans="1:9" x14ac:dyDescent="0.2">
      <c r="A80" t="s">
        <v>319</v>
      </c>
      <c r="B80" t="s">
        <v>524</v>
      </c>
      <c r="C80" t="s">
        <v>26</v>
      </c>
      <c r="E80" t="s">
        <v>467</v>
      </c>
      <c r="F80" t="s">
        <v>431</v>
      </c>
      <c r="G80" t="s">
        <v>21</v>
      </c>
      <c r="H80" t="s">
        <v>309</v>
      </c>
      <c r="I80" t="s">
        <v>468</v>
      </c>
    </row>
    <row r="81" spans="1:9" x14ac:dyDescent="0.2">
      <c r="A81" t="s">
        <v>319</v>
      </c>
      <c r="B81" t="s">
        <v>524</v>
      </c>
      <c r="C81" t="s">
        <v>27</v>
      </c>
      <c r="E81" t="s">
        <v>467</v>
      </c>
      <c r="F81" t="s">
        <v>431</v>
      </c>
      <c r="G81" t="s">
        <v>21</v>
      </c>
      <c r="H81" t="s">
        <v>309</v>
      </c>
      <c r="I81" t="s">
        <v>468</v>
      </c>
    </row>
    <row r="82" spans="1:9" x14ac:dyDescent="0.2">
      <c r="A82" t="s">
        <v>319</v>
      </c>
      <c r="B82" t="s">
        <v>524</v>
      </c>
      <c r="C82" t="s">
        <v>28</v>
      </c>
      <c r="E82" t="s">
        <v>467</v>
      </c>
      <c r="F82" t="s">
        <v>431</v>
      </c>
      <c r="G82" t="s">
        <v>21</v>
      </c>
      <c r="H82" t="s">
        <v>309</v>
      </c>
      <c r="I82" t="s">
        <v>468</v>
      </c>
    </row>
    <row r="83" spans="1:9" x14ac:dyDescent="0.2">
      <c r="A83" t="s">
        <v>319</v>
      </c>
      <c r="B83" t="s">
        <v>524</v>
      </c>
      <c r="C83" t="s">
        <v>29</v>
      </c>
      <c r="E83" t="s">
        <v>467</v>
      </c>
      <c r="F83" t="s">
        <v>431</v>
      </c>
      <c r="G83" t="s">
        <v>21</v>
      </c>
      <c r="H83" t="s">
        <v>309</v>
      </c>
      <c r="I83" t="s">
        <v>468</v>
      </c>
    </row>
    <row r="84" spans="1:9" x14ac:dyDescent="0.2">
      <c r="A84" t="s">
        <v>319</v>
      </c>
      <c r="B84" t="s">
        <v>524</v>
      </c>
      <c r="C84" t="s">
        <v>31</v>
      </c>
      <c r="E84" t="s">
        <v>467</v>
      </c>
      <c r="F84" t="s">
        <v>431</v>
      </c>
      <c r="G84" t="s">
        <v>21</v>
      </c>
      <c r="H84" t="s">
        <v>309</v>
      </c>
      <c r="I84" t="s">
        <v>468</v>
      </c>
    </row>
    <row r="85" spans="1:9" x14ac:dyDescent="0.2">
      <c r="A85" t="s">
        <v>319</v>
      </c>
      <c r="B85" t="s">
        <v>524</v>
      </c>
      <c r="C85" t="s">
        <v>33</v>
      </c>
      <c r="D85">
        <v>0</v>
      </c>
      <c r="E85" t="s">
        <v>467</v>
      </c>
      <c r="F85" t="s">
        <v>431</v>
      </c>
      <c r="G85" t="s">
        <v>21</v>
      </c>
      <c r="H85" t="s">
        <v>309</v>
      </c>
      <c r="I85" t="s">
        <v>468</v>
      </c>
    </row>
    <row r="86" spans="1:9" x14ac:dyDescent="0.2">
      <c r="A86" t="s">
        <v>319</v>
      </c>
      <c r="B86" t="s">
        <v>525</v>
      </c>
      <c r="C86" t="s">
        <v>26</v>
      </c>
      <c r="D86">
        <v>10</v>
      </c>
      <c r="E86" t="s">
        <v>472</v>
      </c>
      <c r="F86" t="s">
        <v>431</v>
      </c>
      <c r="G86" t="s">
        <v>21</v>
      </c>
      <c r="H86" t="s">
        <v>309</v>
      </c>
      <c r="I86" t="s">
        <v>473</v>
      </c>
    </row>
    <row r="87" spans="1:9" x14ac:dyDescent="0.2">
      <c r="A87" t="s">
        <v>319</v>
      </c>
      <c r="B87" t="s">
        <v>525</v>
      </c>
      <c r="C87" t="s">
        <v>27</v>
      </c>
      <c r="D87">
        <v>26</v>
      </c>
      <c r="E87" t="s">
        <v>472</v>
      </c>
      <c r="F87" t="s">
        <v>431</v>
      </c>
      <c r="G87" t="s">
        <v>21</v>
      </c>
      <c r="H87" t="s">
        <v>309</v>
      </c>
      <c r="I87" t="s">
        <v>473</v>
      </c>
    </row>
    <row r="88" spans="1:9" x14ac:dyDescent="0.2">
      <c r="A88" t="s">
        <v>319</v>
      </c>
      <c r="B88" t="s">
        <v>525</v>
      </c>
      <c r="C88" t="s">
        <v>28</v>
      </c>
      <c r="E88" t="s">
        <v>472</v>
      </c>
      <c r="F88" t="s">
        <v>431</v>
      </c>
      <c r="G88" t="s">
        <v>21</v>
      </c>
      <c r="H88" t="s">
        <v>309</v>
      </c>
      <c r="I88" t="s">
        <v>473</v>
      </c>
    </row>
    <row r="89" spans="1:9" x14ac:dyDescent="0.2">
      <c r="A89" t="s">
        <v>319</v>
      </c>
      <c r="B89" t="s">
        <v>525</v>
      </c>
      <c r="C89" t="s">
        <v>29</v>
      </c>
      <c r="E89" t="s">
        <v>472</v>
      </c>
      <c r="F89" t="s">
        <v>431</v>
      </c>
      <c r="G89" t="s">
        <v>21</v>
      </c>
      <c r="H89" t="s">
        <v>309</v>
      </c>
      <c r="I89" t="s">
        <v>473</v>
      </c>
    </row>
    <row r="90" spans="1:9" x14ac:dyDescent="0.2">
      <c r="A90" t="s">
        <v>319</v>
      </c>
      <c r="B90" t="s">
        <v>525</v>
      </c>
      <c r="C90" t="s">
        <v>31</v>
      </c>
      <c r="E90" t="s">
        <v>472</v>
      </c>
      <c r="F90" t="s">
        <v>431</v>
      </c>
      <c r="G90" t="s">
        <v>21</v>
      </c>
      <c r="H90" t="s">
        <v>309</v>
      </c>
      <c r="I90" t="s">
        <v>473</v>
      </c>
    </row>
    <row r="91" spans="1:9" x14ac:dyDescent="0.2">
      <c r="A91" t="s">
        <v>319</v>
      </c>
      <c r="B91" t="s">
        <v>525</v>
      </c>
      <c r="C91" t="s">
        <v>33</v>
      </c>
      <c r="D91">
        <v>36</v>
      </c>
      <c r="E91" t="s">
        <v>472</v>
      </c>
      <c r="F91" t="s">
        <v>431</v>
      </c>
      <c r="G91" t="s">
        <v>21</v>
      </c>
      <c r="H91" t="s">
        <v>309</v>
      </c>
      <c r="I91" t="s">
        <v>473</v>
      </c>
    </row>
    <row r="92" spans="1:9" x14ac:dyDescent="0.2">
      <c r="A92" t="s">
        <v>344</v>
      </c>
      <c r="B92" t="s">
        <v>526</v>
      </c>
      <c r="C92" t="s">
        <v>26</v>
      </c>
      <c r="D92">
        <v>22</v>
      </c>
      <c r="E92" t="s">
        <v>475</v>
      </c>
      <c r="F92" t="s">
        <v>431</v>
      </c>
      <c r="G92" t="s">
        <v>21</v>
      </c>
      <c r="H92" t="s">
        <v>309</v>
      </c>
      <c r="I92" t="s">
        <v>476</v>
      </c>
    </row>
    <row r="93" spans="1:9" x14ac:dyDescent="0.2">
      <c r="A93" t="s">
        <v>344</v>
      </c>
      <c r="B93" t="s">
        <v>526</v>
      </c>
      <c r="C93" t="s">
        <v>27</v>
      </c>
      <c r="E93" t="s">
        <v>475</v>
      </c>
      <c r="F93" t="s">
        <v>431</v>
      </c>
      <c r="G93" t="s">
        <v>21</v>
      </c>
      <c r="H93" t="s">
        <v>309</v>
      </c>
      <c r="I93" t="s">
        <v>476</v>
      </c>
    </row>
    <row r="94" spans="1:9" x14ac:dyDescent="0.2">
      <c r="A94" t="s">
        <v>344</v>
      </c>
      <c r="B94" t="s">
        <v>526</v>
      </c>
      <c r="C94" t="s">
        <v>28</v>
      </c>
      <c r="E94" t="s">
        <v>475</v>
      </c>
      <c r="F94" t="s">
        <v>431</v>
      </c>
      <c r="G94" t="s">
        <v>21</v>
      </c>
      <c r="H94" t="s">
        <v>309</v>
      </c>
      <c r="I94" t="s">
        <v>476</v>
      </c>
    </row>
    <row r="95" spans="1:9" x14ac:dyDescent="0.2">
      <c r="A95" t="s">
        <v>344</v>
      </c>
      <c r="B95" t="s">
        <v>526</v>
      </c>
      <c r="C95" t="s">
        <v>29</v>
      </c>
      <c r="E95" t="s">
        <v>475</v>
      </c>
      <c r="F95" t="s">
        <v>431</v>
      </c>
      <c r="G95" t="s">
        <v>21</v>
      </c>
      <c r="H95" t="s">
        <v>309</v>
      </c>
      <c r="I95" t="s">
        <v>476</v>
      </c>
    </row>
    <row r="96" spans="1:9" x14ac:dyDescent="0.2">
      <c r="A96" t="s">
        <v>344</v>
      </c>
      <c r="B96" t="s">
        <v>526</v>
      </c>
      <c r="C96" t="s">
        <v>31</v>
      </c>
      <c r="D96">
        <v>22</v>
      </c>
      <c r="E96" t="s">
        <v>475</v>
      </c>
      <c r="F96" t="s">
        <v>431</v>
      </c>
      <c r="G96" t="s">
        <v>21</v>
      </c>
      <c r="H96" t="s">
        <v>309</v>
      </c>
      <c r="I96" t="s">
        <v>476</v>
      </c>
    </row>
    <row r="97" spans="1:9" x14ac:dyDescent="0.2">
      <c r="A97" t="s">
        <v>344</v>
      </c>
      <c r="B97" t="s">
        <v>526</v>
      </c>
      <c r="C97" t="s">
        <v>33</v>
      </c>
      <c r="D97">
        <v>44</v>
      </c>
      <c r="E97" t="s">
        <v>475</v>
      </c>
      <c r="F97" t="s">
        <v>431</v>
      </c>
      <c r="G97" t="s">
        <v>21</v>
      </c>
      <c r="H97" t="s">
        <v>309</v>
      </c>
      <c r="I97" t="s">
        <v>476</v>
      </c>
    </row>
    <row r="98" spans="1:9" x14ac:dyDescent="0.2">
      <c r="A98" t="s">
        <v>344</v>
      </c>
      <c r="B98" t="s">
        <v>579</v>
      </c>
      <c r="C98" t="s">
        <v>26</v>
      </c>
      <c r="D98">
        <v>38</v>
      </c>
      <c r="E98" t="s">
        <v>569</v>
      </c>
      <c r="F98" t="s">
        <v>431</v>
      </c>
      <c r="G98" t="s">
        <v>21</v>
      </c>
      <c r="H98" t="s">
        <v>309</v>
      </c>
      <c r="I98" t="s">
        <v>570</v>
      </c>
    </row>
    <row r="99" spans="1:9" x14ac:dyDescent="0.2">
      <c r="A99" t="s">
        <v>344</v>
      </c>
      <c r="B99" t="s">
        <v>579</v>
      </c>
      <c r="C99" t="s">
        <v>27</v>
      </c>
      <c r="D99">
        <v>6</v>
      </c>
      <c r="E99" t="s">
        <v>569</v>
      </c>
      <c r="F99" t="s">
        <v>431</v>
      </c>
      <c r="G99" t="s">
        <v>21</v>
      </c>
      <c r="H99" t="s">
        <v>309</v>
      </c>
      <c r="I99" t="s">
        <v>570</v>
      </c>
    </row>
    <row r="100" spans="1:9" x14ac:dyDescent="0.2">
      <c r="A100" t="s">
        <v>344</v>
      </c>
      <c r="B100" t="s">
        <v>579</v>
      </c>
      <c r="C100" t="s">
        <v>28</v>
      </c>
      <c r="D100">
        <v>0</v>
      </c>
      <c r="E100" t="s">
        <v>569</v>
      </c>
      <c r="F100" t="s">
        <v>431</v>
      </c>
      <c r="G100" t="s">
        <v>21</v>
      </c>
      <c r="H100" t="s">
        <v>309</v>
      </c>
      <c r="I100" t="s">
        <v>570</v>
      </c>
    </row>
    <row r="101" spans="1:9" x14ac:dyDescent="0.2">
      <c r="A101" t="s">
        <v>344</v>
      </c>
      <c r="B101" t="s">
        <v>579</v>
      </c>
      <c r="C101" t="s">
        <v>29</v>
      </c>
      <c r="D101">
        <v>0</v>
      </c>
      <c r="E101" t="s">
        <v>569</v>
      </c>
      <c r="F101" t="s">
        <v>431</v>
      </c>
      <c r="G101" t="s">
        <v>21</v>
      </c>
      <c r="H101" t="s">
        <v>309</v>
      </c>
      <c r="I101" t="s">
        <v>570</v>
      </c>
    </row>
    <row r="102" spans="1:9" x14ac:dyDescent="0.2">
      <c r="A102" t="s">
        <v>344</v>
      </c>
      <c r="B102" t="s">
        <v>579</v>
      </c>
      <c r="C102" t="s">
        <v>31</v>
      </c>
      <c r="D102">
        <v>0</v>
      </c>
      <c r="E102" t="s">
        <v>569</v>
      </c>
      <c r="F102" t="s">
        <v>431</v>
      </c>
      <c r="G102" t="s">
        <v>21</v>
      </c>
      <c r="H102" t="s">
        <v>309</v>
      </c>
      <c r="I102" t="s">
        <v>570</v>
      </c>
    </row>
    <row r="103" spans="1:9" x14ac:dyDescent="0.2">
      <c r="A103" t="s">
        <v>344</v>
      </c>
      <c r="B103" t="s">
        <v>579</v>
      </c>
      <c r="C103" t="s">
        <v>33</v>
      </c>
      <c r="D103">
        <v>44</v>
      </c>
      <c r="E103" t="s">
        <v>569</v>
      </c>
      <c r="F103" t="s">
        <v>431</v>
      </c>
      <c r="G103" t="s">
        <v>21</v>
      </c>
      <c r="H103" t="s">
        <v>309</v>
      </c>
      <c r="I103"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0F62A-026D-404B-AF67-23032E49391E}">
  <sheetPr codeName="Sheet14"/>
  <dimension ref="A1:K147"/>
  <sheetViews>
    <sheetView workbookViewId="0">
      <selection activeCell="O47" sqref="O47"/>
    </sheetView>
  </sheetViews>
  <sheetFormatPr baseColWidth="10" defaultColWidth="8.83203125" defaultRowHeight="15" x14ac:dyDescent="0.2"/>
  <cols>
    <col min="1" max="1" width="49" bestFit="1" customWidth="1"/>
    <col min="2" max="2" width="16.83203125" bestFit="1" customWidth="1"/>
    <col min="3" max="3" width="17.5" bestFit="1" customWidth="1"/>
    <col min="4" max="4" width="13.5" bestFit="1" customWidth="1"/>
    <col min="5" max="5" width="42.5" bestFit="1" customWidth="1"/>
    <col min="6" max="6" width="34.5" bestFit="1" customWidth="1"/>
    <col min="7" max="7" width="14.83203125" bestFit="1" customWidth="1"/>
    <col min="8" max="8" width="12.6640625" bestFit="1" customWidth="1"/>
    <col min="9" max="9" width="15.5" bestFit="1" customWidth="1"/>
    <col min="10" max="10" width="12.1640625" bestFit="1" customWidth="1"/>
    <col min="11" max="11" width="44.5" bestFit="1" customWidth="1"/>
  </cols>
  <sheetData>
    <row r="1" spans="1:11" x14ac:dyDescent="0.2">
      <c r="A1" t="s">
        <v>433</v>
      </c>
      <c r="B1" t="s">
        <v>308</v>
      </c>
      <c r="C1" t="s">
        <v>46</v>
      </c>
      <c r="D1" t="s">
        <v>36</v>
      </c>
      <c r="E1" t="s">
        <v>64</v>
      </c>
      <c r="F1" t="s">
        <v>65</v>
      </c>
      <c r="G1" t="s">
        <v>434</v>
      </c>
      <c r="H1" t="s">
        <v>435</v>
      </c>
      <c r="I1" t="s">
        <v>307</v>
      </c>
      <c r="J1" t="s">
        <v>436</v>
      </c>
      <c r="K1" t="s">
        <v>437</v>
      </c>
    </row>
    <row r="2" spans="1:11" x14ac:dyDescent="0.2">
      <c r="A2" t="s">
        <v>310</v>
      </c>
      <c r="B2" t="s">
        <v>527</v>
      </c>
      <c r="C2" t="s">
        <v>52</v>
      </c>
      <c r="D2" t="s">
        <v>38</v>
      </c>
      <c r="E2" t="s">
        <v>66</v>
      </c>
      <c r="F2" t="s">
        <v>67</v>
      </c>
      <c r="G2" t="s">
        <v>5</v>
      </c>
      <c r="H2" t="s">
        <v>432</v>
      </c>
      <c r="I2" t="s">
        <v>21</v>
      </c>
      <c r="J2" t="s">
        <v>309</v>
      </c>
      <c r="K2" t="s">
        <v>8</v>
      </c>
    </row>
    <row r="3" spans="1:11" x14ac:dyDescent="0.2">
      <c r="A3" t="s">
        <v>310</v>
      </c>
      <c r="B3" t="s">
        <v>527</v>
      </c>
      <c r="C3" t="s">
        <v>52</v>
      </c>
      <c r="D3" t="s">
        <v>38</v>
      </c>
      <c r="E3" t="s">
        <v>66</v>
      </c>
      <c r="F3" t="s">
        <v>68</v>
      </c>
      <c r="G3" t="s">
        <v>5</v>
      </c>
      <c r="H3" t="s">
        <v>432</v>
      </c>
      <c r="I3" t="s">
        <v>21</v>
      </c>
      <c r="J3" t="s">
        <v>309</v>
      </c>
      <c r="K3" t="s">
        <v>8</v>
      </c>
    </row>
    <row r="4" spans="1:11" x14ac:dyDescent="0.2">
      <c r="A4" t="s">
        <v>310</v>
      </c>
      <c r="B4" t="s">
        <v>527</v>
      </c>
      <c r="C4" t="s">
        <v>52</v>
      </c>
      <c r="D4" t="s">
        <v>38</v>
      </c>
      <c r="E4" t="s">
        <v>66</v>
      </c>
      <c r="F4" t="s">
        <v>69</v>
      </c>
      <c r="G4" t="s">
        <v>5</v>
      </c>
      <c r="H4" t="s">
        <v>432</v>
      </c>
      <c r="I4" t="s">
        <v>21</v>
      </c>
      <c r="J4" t="s">
        <v>309</v>
      </c>
      <c r="K4" t="s">
        <v>8</v>
      </c>
    </row>
    <row r="5" spans="1:11" x14ac:dyDescent="0.2">
      <c r="A5" t="s">
        <v>310</v>
      </c>
      <c r="B5" t="s">
        <v>527</v>
      </c>
      <c r="C5" t="s">
        <v>52</v>
      </c>
      <c r="D5" t="s">
        <v>38</v>
      </c>
      <c r="E5" t="s">
        <v>70</v>
      </c>
      <c r="F5" t="s">
        <v>71</v>
      </c>
      <c r="G5" t="s">
        <v>5</v>
      </c>
      <c r="H5" t="s">
        <v>432</v>
      </c>
      <c r="I5" t="s">
        <v>21</v>
      </c>
      <c r="J5" t="s">
        <v>309</v>
      </c>
      <c r="K5" t="s">
        <v>8</v>
      </c>
    </row>
    <row r="6" spans="1:11" x14ac:dyDescent="0.2">
      <c r="A6" t="s">
        <v>310</v>
      </c>
      <c r="B6" t="s">
        <v>527</v>
      </c>
      <c r="C6" t="s">
        <v>52</v>
      </c>
      <c r="D6" t="s">
        <v>38</v>
      </c>
      <c r="E6" t="s">
        <v>72</v>
      </c>
      <c r="F6" t="s">
        <v>73</v>
      </c>
      <c r="G6" t="s">
        <v>5</v>
      </c>
      <c r="H6" t="s">
        <v>432</v>
      </c>
      <c r="I6" t="s">
        <v>21</v>
      </c>
      <c r="J6" t="s">
        <v>309</v>
      </c>
      <c r="K6" t="s">
        <v>8</v>
      </c>
    </row>
    <row r="7" spans="1:11" x14ac:dyDescent="0.2">
      <c r="A7" t="s">
        <v>310</v>
      </c>
      <c r="B7" t="s">
        <v>527</v>
      </c>
      <c r="C7" t="s">
        <v>56</v>
      </c>
      <c r="D7" t="s">
        <v>40</v>
      </c>
      <c r="E7" t="s">
        <v>72</v>
      </c>
      <c r="F7" t="s">
        <v>74</v>
      </c>
      <c r="G7" t="s">
        <v>5</v>
      </c>
      <c r="H7" t="s">
        <v>432</v>
      </c>
      <c r="I7" t="s">
        <v>21</v>
      </c>
      <c r="J7" t="s">
        <v>309</v>
      </c>
      <c r="K7" t="s">
        <v>8</v>
      </c>
    </row>
    <row r="8" spans="1:11" x14ac:dyDescent="0.2">
      <c r="A8" t="s">
        <v>310</v>
      </c>
      <c r="B8" t="s">
        <v>527</v>
      </c>
      <c r="C8" t="s">
        <v>56</v>
      </c>
      <c r="D8" t="s">
        <v>40</v>
      </c>
      <c r="E8" t="s">
        <v>75</v>
      </c>
      <c r="F8" t="s">
        <v>76</v>
      </c>
      <c r="G8" t="s">
        <v>5</v>
      </c>
      <c r="H8" t="s">
        <v>432</v>
      </c>
      <c r="I8" t="s">
        <v>21</v>
      </c>
      <c r="J8" t="s">
        <v>309</v>
      </c>
      <c r="K8" t="s">
        <v>8</v>
      </c>
    </row>
    <row r="9" spans="1:11" x14ac:dyDescent="0.2">
      <c r="A9" t="s">
        <v>310</v>
      </c>
      <c r="B9" t="s">
        <v>527</v>
      </c>
      <c r="C9" t="s">
        <v>56</v>
      </c>
      <c r="D9" t="s">
        <v>40</v>
      </c>
      <c r="E9" t="s">
        <v>72</v>
      </c>
      <c r="F9" t="s">
        <v>77</v>
      </c>
      <c r="G9" t="s">
        <v>5</v>
      </c>
      <c r="H9" t="s">
        <v>432</v>
      </c>
      <c r="I9" t="s">
        <v>21</v>
      </c>
      <c r="J9" t="s">
        <v>309</v>
      </c>
      <c r="K9" t="s">
        <v>8</v>
      </c>
    </row>
    <row r="10" spans="1:11" x14ac:dyDescent="0.2">
      <c r="A10" t="s">
        <v>310</v>
      </c>
      <c r="B10" t="s">
        <v>528</v>
      </c>
      <c r="C10" t="s">
        <v>52</v>
      </c>
      <c r="D10" t="s">
        <v>38</v>
      </c>
      <c r="E10" t="s">
        <v>114</v>
      </c>
      <c r="F10" t="s">
        <v>115</v>
      </c>
      <c r="G10" t="s">
        <v>96</v>
      </c>
      <c r="H10" t="s">
        <v>432</v>
      </c>
      <c r="I10" t="s">
        <v>21</v>
      </c>
      <c r="J10" t="s">
        <v>309</v>
      </c>
      <c r="K10" t="s">
        <v>98</v>
      </c>
    </row>
    <row r="11" spans="1:11" x14ac:dyDescent="0.2">
      <c r="A11" t="s">
        <v>310</v>
      </c>
      <c r="B11" t="s">
        <v>528</v>
      </c>
      <c r="C11" t="s">
        <v>52</v>
      </c>
      <c r="D11" t="s">
        <v>40</v>
      </c>
      <c r="E11" t="s">
        <v>114</v>
      </c>
      <c r="F11" t="s">
        <v>116</v>
      </c>
      <c r="G11" t="s">
        <v>96</v>
      </c>
      <c r="H11" t="s">
        <v>432</v>
      </c>
      <c r="I11" t="s">
        <v>21</v>
      </c>
      <c r="J11" t="s">
        <v>309</v>
      </c>
      <c r="K11" t="s">
        <v>98</v>
      </c>
    </row>
    <row r="12" spans="1:11" x14ac:dyDescent="0.2">
      <c r="A12" t="s">
        <v>310</v>
      </c>
      <c r="B12" t="s">
        <v>528</v>
      </c>
      <c r="C12" t="s">
        <v>52</v>
      </c>
      <c r="D12" t="s">
        <v>42</v>
      </c>
      <c r="E12" t="s">
        <v>117</v>
      </c>
      <c r="F12" t="s">
        <v>118</v>
      </c>
      <c r="G12" t="s">
        <v>96</v>
      </c>
      <c r="H12" t="s">
        <v>432</v>
      </c>
      <c r="I12" t="s">
        <v>21</v>
      </c>
      <c r="J12" t="s">
        <v>309</v>
      </c>
      <c r="K12" t="s">
        <v>98</v>
      </c>
    </row>
    <row r="13" spans="1:11" x14ac:dyDescent="0.2">
      <c r="A13" t="s">
        <v>310</v>
      </c>
      <c r="B13" t="s">
        <v>528</v>
      </c>
      <c r="C13" t="s">
        <v>52</v>
      </c>
      <c r="D13" t="s">
        <v>43</v>
      </c>
      <c r="E13" t="s">
        <v>75</v>
      </c>
      <c r="F13" t="s">
        <v>76</v>
      </c>
      <c r="G13" t="s">
        <v>96</v>
      </c>
      <c r="H13" t="s">
        <v>432</v>
      </c>
      <c r="I13" t="s">
        <v>21</v>
      </c>
      <c r="J13" t="s">
        <v>309</v>
      </c>
      <c r="K13" t="s">
        <v>98</v>
      </c>
    </row>
    <row r="14" spans="1:11" x14ac:dyDescent="0.2">
      <c r="A14" t="s">
        <v>310</v>
      </c>
      <c r="B14" t="s">
        <v>528</v>
      </c>
      <c r="C14" t="s">
        <v>52</v>
      </c>
      <c r="D14" t="s">
        <v>43</v>
      </c>
      <c r="E14" t="s">
        <v>75</v>
      </c>
      <c r="F14" t="s">
        <v>119</v>
      </c>
      <c r="G14" t="s">
        <v>96</v>
      </c>
      <c r="H14" t="s">
        <v>432</v>
      </c>
      <c r="I14" t="s">
        <v>21</v>
      </c>
      <c r="J14" t="s">
        <v>309</v>
      </c>
      <c r="K14" t="s">
        <v>98</v>
      </c>
    </row>
    <row r="15" spans="1:11" x14ac:dyDescent="0.2">
      <c r="A15" t="s">
        <v>310</v>
      </c>
      <c r="B15" t="s">
        <v>528</v>
      </c>
      <c r="C15" t="s">
        <v>56</v>
      </c>
      <c r="D15" t="s">
        <v>38</v>
      </c>
      <c r="E15" t="s">
        <v>114</v>
      </c>
      <c r="F15" t="s">
        <v>116</v>
      </c>
      <c r="G15" t="s">
        <v>96</v>
      </c>
      <c r="H15" t="s">
        <v>432</v>
      </c>
      <c r="I15" t="s">
        <v>21</v>
      </c>
      <c r="J15" t="s">
        <v>309</v>
      </c>
      <c r="K15" t="s">
        <v>98</v>
      </c>
    </row>
    <row r="16" spans="1:11" x14ac:dyDescent="0.2">
      <c r="A16" t="s">
        <v>310</v>
      </c>
      <c r="B16" t="s">
        <v>528</v>
      </c>
      <c r="C16" t="s">
        <v>56</v>
      </c>
      <c r="D16" t="s">
        <v>40</v>
      </c>
      <c r="E16" t="s">
        <v>117</v>
      </c>
      <c r="F16" t="s">
        <v>118</v>
      </c>
      <c r="G16" t="s">
        <v>96</v>
      </c>
      <c r="H16" t="s">
        <v>432</v>
      </c>
      <c r="I16" t="s">
        <v>21</v>
      </c>
      <c r="J16" t="s">
        <v>309</v>
      </c>
      <c r="K16" t="s">
        <v>98</v>
      </c>
    </row>
    <row r="17" spans="1:11" x14ac:dyDescent="0.2">
      <c r="A17" t="s">
        <v>310</v>
      </c>
      <c r="B17" t="s">
        <v>528</v>
      </c>
      <c r="C17" t="s">
        <v>56</v>
      </c>
      <c r="D17" t="s">
        <v>42</v>
      </c>
      <c r="E17" t="s">
        <v>75</v>
      </c>
      <c r="F17" t="s">
        <v>76</v>
      </c>
      <c r="G17" t="s">
        <v>96</v>
      </c>
      <c r="H17" t="s">
        <v>432</v>
      </c>
      <c r="I17" t="s">
        <v>21</v>
      </c>
      <c r="J17" t="s">
        <v>309</v>
      </c>
      <c r="K17" t="s">
        <v>98</v>
      </c>
    </row>
    <row r="18" spans="1:11" x14ac:dyDescent="0.2">
      <c r="A18" t="s">
        <v>310</v>
      </c>
      <c r="B18" t="s">
        <v>528</v>
      </c>
      <c r="C18" t="s">
        <v>56</v>
      </c>
      <c r="D18" t="s">
        <v>43</v>
      </c>
      <c r="E18" t="s">
        <v>117</v>
      </c>
      <c r="F18" t="s">
        <v>120</v>
      </c>
      <c r="G18" t="s">
        <v>96</v>
      </c>
      <c r="H18" t="s">
        <v>432</v>
      </c>
      <c r="I18" t="s">
        <v>21</v>
      </c>
      <c r="J18" t="s">
        <v>309</v>
      </c>
      <c r="K18" t="s">
        <v>98</v>
      </c>
    </row>
    <row r="19" spans="1:11" x14ac:dyDescent="0.2">
      <c r="A19" t="s">
        <v>310</v>
      </c>
      <c r="B19" t="s">
        <v>529</v>
      </c>
      <c r="C19" t="s">
        <v>52</v>
      </c>
      <c r="D19" t="s">
        <v>38</v>
      </c>
      <c r="E19" t="s">
        <v>75</v>
      </c>
      <c r="F19" t="s">
        <v>119</v>
      </c>
      <c r="G19" t="s">
        <v>144</v>
      </c>
      <c r="H19" t="s">
        <v>432</v>
      </c>
      <c r="I19" t="s">
        <v>21</v>
      </c>
      <c r="J19" t="s">
        <v>309</v>
      </c>
      <c r="K19" t="s">
        <v>146</v>
      </c>
    </row>
    <row r="20" spans="1:11" x14ac:dyDescent="0.2">
      <c r="A20" t="s">
        <v>310</v>
      </c>
      <c r="B20" t="s">
        <v>529</v>
      </c>
      <c r="C20" t="s">
        <v>52</v>
      </c>
      <c r="D20" t="s">
        <v>38</v>
      </c>
      <c r="E20" t="s">
        <v>162</v>
      </c>
      <c r="F20" t="s">
        <v>163</v>
      </c>
      <c r="G20" t="s">
        <v>144</v>
      </c>
      <c r="H20" t="s">
        <v>432</v>
      </c>
      <c r="I20" t="s">
        <v>21</v>
      </c>
      <c r="J20" t="s">
        <v>309</v>
      </c>
      <c r="K20" t="s">
        <v>146</v>
      </c>
    </row>
    <row r="21" spans="1:11" x14ac:dyDescent="0.2">
      <c r="A21" t="s">
        <v>310</v>
      </c>
      <c r="B21" t="s">
        <v>529</v>
      </c>
      <c r="C21" t="s">
        <v>52</v>
      </c>
      <c r="D21" t="s">
        <v>38</v>
      </c>
      <c r="E21" t="s">
        <v>117</v>
      </c>
      <c r="F21" t="s">
        <v>120</v>
      </c>
      <c r="G21" t="s">
        <v>144</v>
      </c>
      <c r="H21" t="s">
        <v>432</v>
      </c>
      <c r="I21" t="s">
        <v>21</v>
      </c>
      <c r="J21" t="s">
        <v>309</v>
      </c>
      <c r="K21" t="s">
        <v>146</v>
      </c>
    </row>
    <row r="22" spans="1:11" x14ac:dyDescent="0.2">
      <c r="A22" t="s">
        <v>310</v>
      </c>
      <c r="B22" t="s">
        <v>529</v>
      </c>
      <c r="C22" t="s">
        <v>52</v>
      </c>
      <c r="D22" t="s">
        <v>40</v>
      </c>
      <c r="E22" t="s">
        <v>70</v>
      </c>
      <c r="F22" t="s">
        <v>164</v>
      </c>
      <c r="G22" t="s">
        <v>144</v>
      </c>
      <c r="H22" t="s">
        <v>432</v>
      </c>
      <c r="I22" t="s">
        <v>21</v>
      </c>
      <c r="J22" t="s">
        <v>309</v>
      </c>
      <c r="K22" t="s">
        <v>146</v>
      </c>
    </row>
    <row r="23" spans="1:11" x14ac:dyDescent="0.2">
      <c r="A23" t="s">
        <v>310</v>
      </c>
      <c r="B23" t="s">
        <v>529</v>
      </c>
      <c r="C23" t="s">
        <v>56</v>
      </c>
      <c r="D23" t="s">
        <v>38</v>
      </c>
      <c r="E23" t="s">
        <v>114</v>
      </c>
      <c r="F23" t="s">
        <v>115</v>
      </c>
      <c r="G23" t="s">
        <v>144</v>
      </c>
      <c r="H23" t="s">
        <v>432</v>
      </c>
      <c r="I23" t="s">
        <v>21</v>
      </c>
      <c r="J23" t="s">
        <v>309</v>
      </c>
      <c r="K23" t="s">
        <v>146</v>
      </c>
    </row>
    <row r="24" spans="1:11" x14ac:dyDescent="0.2">
      <c r="A24" t="s">
        <v>310</v>
      </c>
      <c r="B24" t="s">
        <v>529</v>
      </c>
      <c r="C24" t="s">
        <v>56</v>
      </c>
      <c r="D24" t="s">
        <v>40</v>
      </c>
      <c r="E24" t="s">
        <v>70</v>
      </c>
      <c r="F24" t="s">
        <v>71</v>
      </c>
      <c r="G24" t="s">
        <v>144</v>
      </c>
      <c r="H24" t="s">
        <v>432</v>
      </c>
      <c r="I24" t="s">
        <v>21</v>
      </c>
      <c r="J24" t="s">
        <v>309</v>
      </c>
      <c r="K24" t="s">
        <v>146</v>
      </c>
    </row>
    <row r="25" spans="1:11" x14ac:dyDescent="0.2">
      <c r="A25" t="s">
        <v>310</v>
      </c>
      <c r="B25" t="s">
        <v>529</v>
      </c>
      <c r="C25" t="s">
        <v>56</v>
      </c>
      <c r="D25" t="s">
        <v>40</v>
      </c>
      <c r="E25" t="s">
        <v>66</v>
      </c>
      <c r="F25" t="s">
        <v>69</v>
      </c>
      <c r="G25" t="s">
        <v>144</v>
      </c>
      <c r="H25" t="s">
        <v>432</v>
      </c>
      <c r="I25" t="s">
        <v>21</v>
      </c>
      <c r="J25" t="s">
        <v>309</v>
      </c>
      <c r="K25" t="s">
        <v>146</v>
      </c>
    </row>
    <row r="26" spans="1:11" x14ac:dyDescent="0.2">
      <c r="A26" t="s">
        <v>310</v>
      </c>
      <c r="B26" t="s">
        <v>529</v>
      </c>
      <c r="C26" t="s">
        <v>56</v>
      </c>
      <c r="D26" t="s">
        <v>42</v>
      </c>
      <c r="E26" t="s">
        <v>72</v>
      </c>
      <c r="F26" t="s">
        <v>74</v>
      </c>
      <c r="G26" t="s">
        <v>144</v>
      </c>
      <c r="H26" t="s">
        <v>432</v>
      </c>
      <c r="I26" t="s">
        <v>21</v>
      </c>
      <c r="J26" t="s">
        <v>309</v>
      </c>
      <c r="K26" t="s">
        <v>146</v>
      </c>
    </row>
    <row r="27" spans="1:11" x14ac:dyDescent="0.2">
      <c r="A27" t="s">
        <v>310</v>
      </c>
      <c r="B27" t="s">
        <v>530</v>
      </c>
      <c r="C27" t="s">
        <v>52</v>
      </c>
      <c r="D27" t="s">
        <v>38</v>
      </c>
      <c r="E27" t="s">
        <v>114</v>
      </c>
      <c r="F27" t="s">
        <v>181</v>
      </c>
      <c r="G27" t="s">
        <v>178</v>
      </c>
      <c r="H27" t="s">
        <v>432</v>
      </c>
      <c r="I27" t="s">
        <v>21</v>
      </c>
      <c r="J27" t="s">
        <v>309</v>
      </c>
      <c r="K27" t="s">
        <v>179</v>
      </c>
    </row>
    <row r="28" spans="1:11" x14ac:dyDescent="0.2">
      <c r="A28" t="s">
        <v>310</v>
      </c>
      <c r="B28" t="s">
        <v>530</v>
      </c>
      <c r="C28" t="s">
        <v>52</v>
      </c>
      <c r="D28" t="s">
        <v>38</v>
      </c>
      <c r="E28" t="s">
        <v>114</v>
      </c>
      <c r="F28" t="s">
        <v>116</v>
      </c>
      <c r="G28" t="s">
        <v>178</v>
      </c>
      <c r="H28" t="s">
        <v>432</v>
      </c>
      <c r="I28" t="s">
        <v>21</v>
      </c>
      <c r="J28" t="s">
        <v>309</v>
      </c>
      <c r="K28" t="s">
        <v>179</v>
      </c>
    </row>
    <row r="29" spans="1:11" x14ac:dyDescent="0.2">
      <c r="A29" t="s">
        <v>310</v>
      </c>
      <c r="B29" t="s">
        <v>530</v>
      </c>
      <c r="C29" t="s">
        <v>52</v>
      </c>
      <c r="D29" t="s">
        <v>38</v>
      </c>
      <c r="E29" t="s">
        <v>75</v>
      </c>
      <c r="F29" t="s">
        <v>182</v>
      </c>
      <c r="G29" t="s">
        <v>178</v>
      </c>
      <c r="H29" t="s">
        <v>432</v>
      </c>
      <c r="I29" t="s">
        <v>21</v>
      </c>
      <c r="J29" t="s">
        <v>309</v>
      </c>
      <c r="K29" t="s">
        <v>179</v>
      </c>
    </row>
    <row r="30" spans="1:11" x14ac:dyDescent="0.2">
      <c r="A30" t="s">
        <v>310</v>
      </c>
      <c r="B30" t="s">
        <v>530</v>
      </c>
      <c r="C30" t="s">
        <v>56</v>
      </c>
      <c r="D30" t="s">
        <v>40</v>
      </c>
      <c r="E30" t="s">
        <v>66</v>
      </c>
      <c r="F30" t="s">
        <v>67</v>
      </c>
      <c r="G30" t="s">
        <v>178</v>
      </c>
      <c r="H30" t="s">
        <v>432</v>
      </c>
      <c r="I30" t="s">
        <v>21</v>
      </c>
      <c r="J30" t="s">
        <v>309</v>
      </c>
      <c r="K30" t="s">
        <v>179</v>
      </c>
    </row>
    <row r="31" spans="1:11" x14ac:dyDescent="0.2">
      <c r="A31" t="s">
        <v>310</v>
      </c>
      <c r="B31" t="s">
        <v>530</v>
      </c>
      <c r="C31" t="s">
        <v>56</v>
      </c>
      <c r="D31" t="s">
        <v>40</v>
      </c>
      <c r="E31" t="s">
        <v>183</v>
      </c>
      <c r="F31" t="s">
        <v>184</v>
      </c>
      <c r="G31" t="s">
        <v>178</v>
      </c>
      <c r="H31" t="s">
        <v>432</v>
      </c>
      <c r="I31" t="s">
        <v>21</v>
      </c>
      <c r="J31" t="s">
        <v>309</v>
      </c>
      <c r="K31" t="s">
        <v>179</v>
      </c>
    </row>
    <row r="32" spans="1:11" x14ac:dyDescent="0.2">
      <c r="A32" t="s">
        <v>310</v>
      </c>
      <c r="B32" t="s">
        <v>531</v>
      </c>
      <c r="C32" t="s">
        <v>52</v>
      </c>
      <c r="D32" t="s">
        <v>38</v>
      </c>
      <c r="E32" t="s">
        <v>114</v>
      </c>
      <c r="F32" t="s">
        <v>116</v>
      </c>
      <c r="G32" t="s">
        <v>200</v>
      </c>
      <c r="H32" t="s">
        <v>432</v>
      </c>
      <c r="I32" t="s">
        <v>21</v>
      </c>
      <c r="J32" t="s">
        <v>309</v>
      </c>
      <c r="K32" t="s">
        <v>202</v>
      </c>
    </row>
    <row r="33" spans="1:11" x14ac:dyDescent="0.2">
      <c r="A33" t="s">
        <v>310</v>
      </c>
      <c r="B33" t="s">
        <v>531</v>
      </c>
      <c r="C33" t="s">
        <v>52</v>
      </c>
      <c r="D33" t="s">
        <v>38</v>
      </c>
      <c r="E33" t="s">
        <v>114</v>
      </c>
      <c r="F33" t="s">
        <v>216</v>
      </c>
      <c r="G33" t="s">
        <v>200</v>
      </c>
      <c r="H33" t="s">
        <v>432</v>
      </c>
      <c r="I33" t="s">
        <v>21</v>
      </c>
      <c r="J33" t="s">
        <v>309</v>
      </c>
      <c r="K33" t="s">
        <v>202</v>
      </c>
    </row>
    <row r="34" spans="1:11" x14ac:dyDescent="0.2">
      <c r="A34" t="s">
        <v>310</v>
      </c>
      <c r="B34" t="s">
        <v>531</v>
      </c>
      <c r="C34" t="s">
        <v>52</v>
      </c>
      <c r="D34" t="s">
        <v>38</v>
      </c>
      <c r="E34" t="s">
        <v>183</v>
      </c>
      <c r="F34" t="s">
        <v>217</v>
      </c>
      <c r="G34" t="s">
        <v>200</v>
      </c>
      <c r="H34" t="s">
        <v>432</v>
      </c>
      <c r="I34" t="s">
        <v>21</v>
      </c>
      <c r="J34" t="s">
        <v>309</v>
      </c>
      <c r="K34" t="s">
        <v>202</v>
      </c>
    </row>
    <row r="35" spans="1:11" x14ac:dyDescent="0.2">
      <c r="A35" t="s">
        <v>310</v>
      </c>
      <c r="B35" t="s">
        <v>531</v>
      </c>
      <c r="C35" t="s">
        <v>52</v>
      </c>
      <c r="D35" t="s">
        <v>42</v>
      </c>
      <c r="E35" t="s">
        <v>183</v>
      </c>
      <c r="F35" t="s">
        <v>198</v>
      </c>
      <c r="G35" t="s">
        <v>200</v>
      </c>
      <c r="H35" t="s">
        <v>432</v>
      </c>
      <c r="I35" t="s">
        <v>21</v>
      </c>
      <c r="J35" t="s">
        <v>309</v>
      </c>
      <c r="K35" t="s">
        <v>202</v>
      </c>
    </row>
    <row r="36" spans="1:11" x14ac:dyDescent="0.2">
      <c r="A36" t="s">
        <v>310</v>
      </c>
      <c r="B36" t="s">
        <v>531</v>
      </c>
      <c r="C36" t="s">
        <v>52</v>
      </c>
      <c r="D36" t="s">
        <v>42</v>
      </c>
      <c r="E36" t="s">
        <v>183</v>
      </c>
      <c r="F36" t="s">
        <v>184</v>
      </c>
      <c r="G36" t="s">
        <v>200</v>
      </c>
      <c r="H36" t="s">
        <v>432</v>
      </c>
      <c r="I36" t="s">
        <v>21</v>
      </c>
      <c r="J36" t="s">
        <v>309</v>
      </c>
      <c r="K36" t="s">
        <v>202</v>
      </c>
    </row>
    <row r="37" spans="1:11" x14ac:dyDescent="0.2">
      <c r="A37" t="s">
        <v>310</v>
      </c>
      <c r="B37" t="s">
        <v>531</v>
      </c>
      <c r="C37" t="s">
        <v>52</v>
      </c>
      <c r="D37" t="s">
        <v>42</v>
      </c>
      <c r="E37" t="s">
        <v>66</v>
      </c>
      <c r="F37" t="s">
        <v>218</v>
      </c>
      <c r="G37" t="s">
        <v>200</v>
      </c>
      <c r="H37" t="s">
        <v>432</v>
      </c>
      <c r="I37" t="s">
        <v>21</v>
      </c>
      <c r="J37" t="s">
        <v>309</v>
      </c>
      <c r="K37" t="s">
        <v>202</v>
      </c>
    </row>
    <row r="38" spans="1:11" x14ac:dyDescent="0.2">
      <c r="A38" t="s">
        <v>310</v>
      </c>
      <c r="B38" t="s">
        <v>531</v>
      </c>
      <c r="C38" t="s">
        <v>56</v>
      </c>
      <c r="D38" t="s">
        <v>40</v>
      </c>
      <c r="E38" t="s">
        <v>183</v>
      </c>
      <c r="F38" t="s">
        <v>198</v>
      </c>
      <c r="G38" t="s">
        <v>200</v>
      </c>
      <c r="H38" t="s">
        <v>432</v>
      </c>
      <c r="I38" t="s">
        <v>21</v>
      </c>
      <c r="J38" t="s">
        <v>309</v>
      </c>
      <c r="K38" t="s">
        <v>202</v>
      </c>
    </row>
    <row r="39" spans="1:11" x14ac:dyDescent="0.2">
      <c r="A39" t="s">
        <v>310</v>
      </c>
      <c r="B39" t="s">
        <v>531</v>
      </c>
      <c r="C39" t="s">
        <v>56</v>
      </c>
      <c r="D39" t="s">
        <v>42</v>
      </c>
      <c r="E39" t="s">
        <v>66</v>
      </c>
      <c r="F39" t="s">
        <v>67</v>
      </c>
      <c r="G39" t="s">
        <v>200</v>
      </c>
      <c r="H39" t="s">
        <v>432</v>
      </c>
      <c r="I39" t="s">
        <v>21</v>
      </c>
      <c r="J39" t="s">
        <v>309</v>
      </c>
      <c r="K39" t="s">
        <v>202</v>
      </c>
    </row>
    <row r="40" spans="1:11" x14ac:dyDescent="0.2">
      <c r="A40" t="s">
        <v>310</v>
      </c>
      <c r="B40" t="s">
        <v>531</v>
      </c>
      <c r="C40" t="s">
        <v>61</v>
      </c>
      <c r="D40" t="s">
        <v>40</v>
      </c>
      <c r="E40" t="s">
        <v>114</v>
      </c>
      <c r="F40" t="s">
        <v>181</v>
      </c>
      <c r="G40" t="s">
        <v>200</v>
      </c>
      <c r="H40" t="s">
        <v>432</v>
      </c>
      <c r="I40" t="s">
        <v>21</v>
      </c>
      <c r="J40" t="s">
        <v>309</v>
      </c>
      <c r="K40" t="s">
        <v>202</v>
      </c>
    </row>
    <row r="41" spans="1:11" x14ac:dyDescent="0.2">
      <c r="A41" t="s">
        <v>310</v>
      </c>
      <c r="B41" t="s">
        <v>532</v>
      </c>
      <c r="C41" t="s">
        <v>52</v>
      </c>
      <c r="D41" t="s">
        <v>38</v>
      </c>
      <c r="E41" t="s">
        <v>114</v>
      </c>
      <c r="F41" t="s">
        <v>116</v>
      </c>
      <c r="G41" t="s">
        <v>243</v>
      </c>
      <c r="H41" t="s">
        <v>432</v>
      </c>
      <c r="I41" t="s">
        <v>21</v>
      </c>
      <c r="J41" t="s">
        <v>309</v>
      </c>
      <c r="K41" t="s">
        <v>244</v>
      </c>
    </row>
    <row r="42" spans="1:11" x14ac:dyDescent="0.2">
      <c r="A42" t="s">
        <v>310</v>
      </c>
      <c r="B42" t="s">
        <v>532</v>
      </c>
      <c r="C42" t="s">
        <v>52</v>
      </c>
      <c r="D42" t="s">
        <v>38</v>
      </c>
      <c r="E42" t="s">
        <v>183</v>
      </c>
      <c r="F42" t="s">
        <v>184</v>
      </c>
      <c r="G42" t="s">
        <v>243</v>
      </c>
      <c r="H42" t="s">
        <v>432</v>
      </c>
      <c r="I42" t="s">
        <v>21</v>
      </c>
      <c r="J42" t="s">
        <v>309</v>
      </c>
      <c r="K42" t="s">
        <v>244</v>
      </c>
    </row>
    <row r="43" spans="1:11" x14ac:dyDescent="0.2">
      <c r="A43" t="s">
        <v>310</v>
      </c>
      <c r="B43" t="s">
        <v>532</v>
      </c>
      <c r="C43" t="s">
        <v>52</v>
      </c>
      <c r="D43" t="s">
        <v>38</v>
      </c>
      <c r="E43" t="s">
        <v>75</v>
      </c>
      <c r="F43" t="s">
        <v>182</v>
      </c>
      <c r="G43" t="s">
        <v>243</v>
      </c>
      <c r="H43" t="s">
        <v>432</v>
      </c>
      <c r="I43" t="s">
        <v>21</v>
      </c>
      <c r="J43" t="s">
        <v>309</v>
      </c>
      <c r="K43" t="s">
        <v>244</v>
      </c>
    </row>
    <row r="44" spans="1:11" x14ac:dyDescent="0.2">
      <c r="A44" t="s">
        <v>310</v>
      </c>
      <c r="B44" t="s">
        <v>532</v>
      </c>
      <c r="C44" t="s">
        <v>52</v>
      </c>
      <c r="D44" t="s">
        <v>40</v>
      </c>
      <c r="E44" t="s">
        <v>66</v>
      </c>
      <c r="F44" t="s">
        <v>67</v>
      </c>
      <c r="G44" t="s">
        <v>243</v>
      </c>
      <c r="H44" t="s">
        <v>432</v>
      </c>
      <c r="I44" t="s">
        <v>21</v>
      </c>
      <c r="J44" t="s">
        <v>309</v>
      </c>
      <c r="K44" t="s">
        <v>244</v>
      </c>
    </row>
    <row r="45" spans="1:11" x14ac:dyDescent="0.2">
      <c r="A45" t="s">
        <v>310</v>
      </c>
      <c r="B45" t="s">
        <v>532</v>
      </c>
      <c r="C45" t="s">
        <v>52</v>
      </c>
      <c r="D45" t="s">
        <v>40</v>
      </c>
      <c r="E45" t="s">
        <v>162</v>
      </c>
      <c r="F45" t="s">
        <v>252</v>
      </c>
      <c r="G45" t="s">
        <v>243</v>
      </c>
      <c r="H45" t="s">
        <v>432</v>
      </c>
      <c r="I45" t="s">
        <v>21</v>
      </c>
      <c r="J45" t="s">
        <v>309</v>
      </c>
      <c r="K45" t="s">
        <v>244</v>
      </c>
    </row>
    <row r="46" spans="1:11" x14ac:dyDescent="0.2">
      <c r="A46" t="s">
        <v>310</v>
      </c>
      <c r="B46" t="s">
        <v>532</v>
      </c>
      <c r="C46" t="s">
        <v>52</v>
      </c>
      <c r="D46" t="s">
        <v>40</v>
      </c>
      <c r="E46" t="s">
        <v>253</v>
      </c>
      <c r="F46" t="s">
        <v>254</v>
      </c>
      <c r="G46" t="s">
        <v>243</v>
      </c>
      <c r="H46" t="s">
        <v>432</v>
      </c>
      <c r="I46" t="s">
        <v>21</v>
      </c>
      <c r="J46" t="s">
        <v>309</v>
      </c>
      <c r="K46" t="s">
        <v>244</v>
      </c>
    </row>
    <row r="47" spans="1:11" x14ac:dyDescent="0.2">
      <c r="A47" t="s">
        <v>310</v>
      </c>
      <c r="B47" t="s">
        <v>533</v>
      </c>
      <c r="C47" t="s">
        <v>52</v>
      </c>
      <c r="D47" t="s">
        <v>38</v>
      </c>
      <c r="E47" t="s">
        <v>114</v>
      </c>
      <c r="F47" t="s">
        <v>115</v>
      </c>
      <c r="G47" t="s">
        <v>445</v>
      </c>
      <c r="H47" t="s">
        <v>432</v>
      </c>
      <c r="I47" t="s">
        <v>21</v>
      </c>
      <c r="J47" t="s">
        <v>309</v>
      </c>
      <c r="K47" t="s">
        <v>266</v>
      </c>
    </row>
    <row r="48" spans="1:11" x14ac:dyDescent="0.2">
      <c r="A48" t="s">
        <v>310</v>
      </c>
      <c r="B48" t="s">
        <v>533</v>
      </c>
      <c r="C48" t="s">
        <v>52</v>
      </c>
      <c r="D48" t="s">
        <v>38</v>
      </c>
      <c r="E48" t="s">
        <v>114</v>
      </c>
      <c r="F48" t="s">
        <v>116</v>
      </c>
      <c r="G48" t="s">
        <v>445</v>
      </c>
      <c r="H48" t="s">
        <v>432</v>
      </c>
      <c r="I48" t="s">
        <v>21</v>
      </c>
      <c r="J48" t="s">
        <v>309</v>
      </c>
      <c r="K48" t="s">
        <v>266</v>
      </c>
    </row>
    <row r="49" spans="1:11" x14ac:dyDescent="0.2">
      <c r="A49" t="s">
        <v>310</v>
      </c>
      <c r="B49" t="s">
        <v>533</v>
      </c>
      <c r="C49" t="s">
        <v>52</v>
      </c>
      <c r="D49" t="s">
        <v>38</v>
      </c>
      <c r="E49" t="s">
        <v>75</v>
      </c>
      <c r="F49" t="s">
        <v>182</v>
      </c>
      <c r="G49" t="s">
        <v>445</v>
      </c>
      <c r="H49" t="s">
        <v>432</v>
      </c>
      <c r="I49" t="s">
        <v>21</v>
      </c>
      <c r="J49" t="s">
        <v>309</v>
      </c>
      <c r="K49" t="s">
        <v>266</v>
      </c>
    </row>
    <row r="50" spans="1:11" x14ac:dyDescent="0.2">
      <c r="A50" t="s">
        <v>310</v>
      </c>
      <c r="B50" t="s">
        <v>533</v>
      </c>
      <c r="C50" t="s">
        <v>56</v>
      </c>
      <c r="D50" t="s">
        <v>40</v>
      </c>
      <c r="E50" t="s">
        <v>66</v>
      </c>
      <c r="F50" t="s">
        <v>67</v>
      </c>
      <c r="G50" t="s">
        <v>445</v>
      </c>
      <c r="H50" t="s">
        <v>432</v>
      </c>
      <c r="I50" t="s">
        <v>21</v>
      </c>
      <c r="J50" t="s">
        <v>309</v>
      </c>
      <c r="K50" t="s">
        <v>266</v>
      </c>
    </row>
    <row r="51" spans="1:11" x14ac:dyDescent="0.2">
      <c r="A51" t="s">
        <v>310</v>
      </c>
      <c r="B51" t="s">
        <v>533</v>
      </c>
      <c r="C51" t="s">
        <v>56</v>
      </c>
      <c r="D51" t="s">
        <v>40</v>
      </c>
      <c r="E51" t="s">
        <v>183</v>
      </c>
      <c r="F51" t="s">
        <v>184</v>
      </c>
      <c r="G51" t="s">
        <v>445</v>
      </c>
      <c r="H51" t="s">
        <v>432</v>
      </c>
      <c r="I51" t="s">
        <v>21</v>
      </c>
      <c r="J51" t="s">
        <v>309</v>
      </c>
      <c r="K51" t="s">
        <v>266</v>
      </c>
    </row>
    <row r="52" spans="1:11" x14ac:dyDescent="0.2">
      <c r="A52" t="s">
        <v>310</v>
      </c>
      <c r="B52" t="s">
        <v>534</v>
      </c>
      <c r="C52" t="s">
        <v>52</v>
      </c>
      <c r="D52" t="s">
        <v>38</v>
      </c>
      <c r="E52" t="s">
        <v>114</v>
      </c>
      <c r="F52" t="s">
        <v>216</v>
      </c>
      <c r="G52" t="s">
        <v>289</v>
      </c>
      <c r="H52" t="s">
        <v>432</v>
      </c>
      <c r="I52" t="s">
        <v>21</v>
      </c>
      <c r="J52" t="s">
        <v>309</v>
      </c>
      <c r="K52" t="s">
        <v>288</v>
      </c>
    </row>
    <row r="53" spans="1:11" x14ac:dyDescent="0.2">
      <c r="A53" t="s">
        <v>310</v>
      </c>
      <c r="B53" t="s">
        <v>534</v>
      </c>
      <c r="C53" t="s">
        <v>52</v>
      </c>
      <c r="D53" t="s">
        <v>42</v>
      </c>
      <c r="E53" t="s">
        <v>72</v>
      </c>
      <c r="F53" t="s">
        <v>74</v>
      </c>
      <c r="G53" t="s">
        <v>289</v>
      </c>
      <c r="H53" t="s">
        <v>432</v>
      </c>
      <c r="I53" t="s">
        <v>21</v>
      </c>
      <c r="J53" t="s">
        <v>309</v>
      </c>
      <c r="K53" t="s">
        <v>288</v>
      </c>
    </row>
    <row r="54" spans="1:11" x14ac:dyDescent="0.2">
      <c r="A54" t="s">
        <v>310</v>
      </c>
      <c r="B54" t="s">
        <v>534</v>
      </c>
      <c r="C54" t="s">
        <v>52</v>
      </c>
      <c r="D54" t="s">
        <v>43</v>
      </c>
      <c r="E54" t="s">
        <v>75</v>
      </c>
      <c r="F54" t="s">
        <v>76</v>
      </c>
      <c r="G54" t="s">
        <v>289</v>
      </c>
      <c r="H54" t="s">
        <v>432</v>
      </c>
      <c r="I54" t="s">
        <v>21</v>
      </c>
      <c r="J54" t="s">
        <v>309</v>
      </c>
      <c r="K54" t="s">
        <v>288</v>
      </c>
    </row>
    <row r="55" spans="1:11" x14ac:dyDescent="0.2">
      <c r="A55" t="s">
        <v>310</v>
      </c>
      <c r="B55" t="s">
        <v>534</v>
      </c>
      <c r="C55" t="s">
        <v>56</v>
      </c>
      <c r="D55" t="s">
        <v>38</v>
      </c>
      <c r="E55" t="s">
        <v>162</v>
      </c>
      <c r="F55" t="s">
        <v>163</v>
      </c>
      <c r="G55" t="s">
        <v>289</v>
      </c>
      <c r="H55" t="s">
        <v>432</v>
      </c>
      <c r="I55" t="s">
        <v>21</v>
      </c>
      <c r="J55" t="s">
        <v>309</v>
      </c>
      <c r="K55" t="s">
        <v>288</v>
      </c>
    </row>
    <row r="56" spans="1:11" x14ac:dyDescent="0.2">
      <c r="A56" t="s">
        <v>310</v>
      </c>
      <c r="B56" t="s">
        <v>534</v>
      </c>
      <c r="C56" t="s">
        <v>56</v>
      </c>
      <c r="D56" t="s">
        <v>40</v>
      </c>
      <c r="E56" t="s">
        <v>66</v>
      </c>
      <c r="F56" t="s">
        <v>67</v>
      </c>
      <c r="G56" t="s">
        <v>289</v>
      </c>
      <c r="H56" t="s">
        <v>432</v>
      </c>
      <c r="I56" t="s">
        <v>21</v>
      </c>
      <c r="J56" t="s">
        <v>309</v>
      </c>
      <c r="K56" t="s">
        <v>288</v>
      </c>
    </row>
    <row r="57" spans="1:11" x14ac:dyDescent="0.2">
      <c r="A57" t="s">
        <v>319</v>
      </c>
      <c r="B57" t="s">
        <v>535</v>
      </c>
      <c r="C57" t="s">
        <v>52</v>
      </c>
      <c r="D57" t="s">
        <v>38</v>
      </c>
      <c r="E57" t="s">
        <v>114</v>
      </c>
      <c r="F57" t="s">
        <v>115</v>
      </c>
      <c r="G57" t="s">
        <v>448</v>
      </c>
      <c r="H57" t="s">
        <v>432</v>
      </c>
      <c r="I57" t="s">
        <v>21</v>
      </c>
      <c r="J57" t="s">
        <v>309</v>
      </c>
      <c r="K57" t="s">
        <v>449</v>
      </c>
    </row>
    <row r="58" spans="1:11" x14ac:dyDescent="0.2">
      <c r="A58" t="s">
        <v>319</v>
      </c>
      <c r="B58" t="s">
        <v>535</v>
      </c>
      <c r="C58" t="s">
        <v>52</v>
      </c>
      <c r="D58" t="s">
        <v>38</v>
      </c>
      <c r="E58" t="s">
        <v>114</v>
      </c>
      <c r="F58" t="s">
        <v>116</v>
      </c>
      <c r="G58" t="s">
        <v>448</v>
      </c>
      <c r="H58" t="s">
        <v>432</v>
      </c>
      <c r="I58" t="s">
        <v>21</v>
      </c>
      <c r="J58" t="s">
        <v>309</v>
      </c>
      <c r="K58" t="s">
        <v>449</v>
      </c>
    </row>
    <row r="59" spans="1:11" x14ac:dyDescent="0.2">
      <c r="A59" t="s">
        <v>319</v>
      </c>
      <c r="B59" t="s">
        <v>535</v>
      </c>
      <c r="C59" t="s">
        <v>52</v>
      </c>
      <c r="D59" t="s">
        <v>40</v>
      </c>
      <c r="E59" t="s">
        <v>114</v>
      </c>
      <c r="F59" t="s">
        <v>115</v>
      </c>
      <c r="G59" t="s">
        <v>448</v>
      </c>
      <c r="H59" t="s">
        <v>432</v>
      </c>
      <c r="I59" t="s">
        <v>21</v>
      </c>
      <c r="J59" t="s">
        <v>309</v>
      </c>
      <c r="K59" t="s">
        <v>449</v>
      </c>
    </row>
    <row r="60" spans="1:11" x14ac:dyDescent="0.2">
      <c r="A60" t="s">
        <v>319</v>
      </c>
      <c r="B60" t="s">
        <v>535</v>
      </c>
      <c r="C60" t="s">
        <v>56</v>
      </c>
      <c r="D60" t="s">
        <v>40</v>
      </c>
      <c r="E60" t="s">
        <v>183</v>
      </c>
      <c r="F60" t="s">
        <v>67</v>
      </c>
      <c r="G60" t="s">
        <v>448</v>
      </c>
      <c r="H60" t="s">
        <v>432</v>
      </c>
      <c r="I60" t="s">
        <v>21</v>
      </c>
      <c r="J60" t="s">
        <v>309</v>
      </c>
      <c r="K60" t="s">
        <v>449</v>
      </c>
    </row>
    <row r="61" spans="1:11" x14ac:dyDescent="0.2">
      <c r="A61" t="s">
        <v>319</v>
      </c>
      <c r="B61" t="s">
        <v>535</v>
      </c>
      <c r="C61" t="s">
        <v>56</v>
      </c>
      <c r="D61" t="s">
        <v>40</v>
      </c>
      <c r="E61" t="s">
        <v>183</v>
      </c>
      <c r="F61" t="s">
        <v>184</v>
      </c>
      <c r="G61" t="s">
        <v>448</v>
      </c>
      <c r="H61" t="s">
        <v>432</v>
      </c>
      <c r="I61" t="s">
        <v>21</v>
      </c>
      <c r="J61" t="s">
        <v>309</v>
      </c>
      <c r="K61" t="s">
        <v>449</v>
      </c>
    </row>
    <row r="62" spans="1:11" x14ac:dyDescent="0.2">
      <c r="A62" t="s">
        <v>319</v>
      </c>
      <c r="B62" t="s">
        <v>535</v>
      </c>
      <c r="C62" t="s">
        <v>56</v>
      </c>
      <c r="D62" t="s">
        <v>40</v>
      </c>
      <c r="E62" t="s">
        <v>75</v>
      </c>
      <c r="F62" t="s">
        <v>76</v>
      </c>
      <c r="G62" t="s">
        <v>448</v>
      </c>
      <c r="H62" t="s">
        <v>432</v>
      </c>
      <c r="I62" t="s">
        <v>21</v>
      </c>
      <c r="J62" t="s">
        <v>309</v>
      </c>
      <c r="K62" t="s">
        <v>449</v>
      </c>
    </row>
    <row r="63" spans="1:11" x14ac:dyDescent="0.2">
      <c r="A63" t="s">
        <v>319</v>
      </c>
      <c r="B63" t="s">
        <v>535</v>
      </c>
      <c r="C63" t="s">
        <v>61</v>
      </c>
      <c r="D63" t="s">
        <v>40</v>
      </c>
      <c r="E63" t="s">
        <v>117</v>
      </c>
      <c r="F63" t="s">
        <v>396</v>
      </c>
      <c r="G63" t="s">
        <v>448</v>
      </c>
      <c r="H63" t="s">
        <v>432</v>
      </c>
      <c r="I63" t="s">
        <v>21</v>
      </c>
      <c r="J63" t="s">
        <v>309</v>
      </c>
      <c r="K63" t="s">
        <v>449</v>
      </c>
    </row>
    <row r="64" spans="1:11" x14ac:dyDescent="0.2">
      <c r="A64" t="s">
        <v>319</v>
      </c>
      <c r="B64" t="s">
        <v>535</v>
      </c>
      <c r="C64" t="s">
        <v>61</v>
      </c>
      <c r="D64" t="s">
        <v>40</v>
      </c>
      <c r="E64" t="s">
        <v>117</v>
      </c>
      <c r="F64" t="s">
        <v>398</v>
      </c>
      <c r="G64" t="s">
        <v>448</v>
      </c>
      <c r="H64" t="s">
        <v>432</v>
      </c>
      <c r="I64" t="s">
        <v>21</v>
      </c>
      <c r="J64" t="s">
        <v>309</v>
      </c>
      <c r="K64" t="s">
        <v>449</v>
      </c>
    </row>
    <row r="65" spans="1:11" x14ac:dyDescent="0.2">
      <c r="A65" t="s">
        <v>319</v>
      </c>
      <c r="B65" t="s">
        <v>535</v>
      </c>
      <c r="C65" t="s">
        <v>61</v>
      </c>
      <c r="D65" t="s">
        <v>40</v>
      </c>
      <c r="E65" t="s">
        <v>66</v>
      </c>
      <c r="F65" t="s">
        <v>67</v>
      </c>
      <c r="G65" t="s">
        <v>448</v>
      </c>
      <c r="H65" t="s">
        <v>432</v>
      </c>
      <c r="I65" t="s">
        <v>21</v>
      </c>
      <c r="J65" t="s">
        <v>309</v>
      </c>
      <c r="K65" t="s">
        <v>449</v>
      </c>
    </row>
    <row r="66" spans="1:11" x14ac:dyDescent="0.2">
      <c r="A66" t="s">
        <v>319</v>
      </c>
      <c r="B66" t="s">
        <v>535</v>
      </c>
      <c r="C66" t="s">
        <v>62</v>
      </c>
      <c r="D66" t="s">
        <v>40</v>
      </c>
      <c r="E66" t="s">
        <v>253</v>
      </c>
      <c r="G66" t="s">
        <v>448</v>
      </c>
      <c r="H66" t="s">
        <v>432</v>
      </c>
      <c r="I66" t="s">
        <v>21</v>
      </c>
      <c r="J66" t="s">
        <v>309</v>
      </c>
      <c r="K66" t="s">
        <v>449</v>
      </c>
    </row>
    <row r="67" spans="1:11" x14ac:dyDescent="0.2">
      <c r="A67" t="s">
        <v>319</v>
      </c>
      <c r="B67" t="s">
        <v>535</v>
      </c>
      <c r="C67" t="s">
        <v>62</v>
      </c>
      <c r="D67" t="s">
        <v>40</v>
      </c>
      <c r="E67" t="s">
        <v>72</v>
      </c>
      <c r="F67" t="s">
        <v>74</v>
      </c>
      <c r="G67" t="s">
        <v>448</v>
      </c>
      <c r="H67" t="s">
        <v>432</v>
      </c>
      <c r="I67" t="s">
        <v>21</v>
      </c>
      <c r="J67" t="s">
        <v>309</v>
      </c>
      <c r="K67" t="s">
        <v>449</v>
      </c>
    </row>
    <row r="68" spans="1:11" x14ac:dyDescent="0.2">
      <c r="A68" t="s">
        <v>319</v>
      </c>
      <c r="B68" t="s">
        <v>536</v>
      </c>
      <c r="C68" t="s">
        <v>52</v>
      </c>
      <c r="D68" t="s">
        <v>38</v>
      </c>
      <c r="E68" t="s">
        <v>114</v>
      </c>
      <c r="F68" t="s">
        <v>116</v>
      </c>
      <c r="G68" t="s">
        <v>451</v>
      </c>
      <c r="H68" t="s">
        <v>432</v>
      </c>
      <c r="I68" t="s">
        <v>21</v>
      </c>
      <c r="J68" t="s">
        <v>309</v>
      </c>
      <c r="K68" t="s">
        <v>452</v>
      </c>
    </row>
    <row r="69" spans="1:11" x14ac:dyDescent="0.2">
      <c r="A69" t="s">
        <v>319</v>
      </c>
      <c r="B69" t="s">
        <v>536</v>
      </c>
      <c r="C69" t="s">
        <v>52</v>
      </c>
      <c r="D69" t="s">
        <v>38</v>
      </c>
      <c r="E69" t="s">
        <v>114</v>
      </c>
      <c r="F69" t="s">
        <v>216</v>
      </c>
      <c r="G69" t="s">
        <v>451</v>
      </c>
      <c r="H69" t="s">
        <v>432</v>
      </c>
      <c r="I69" t="s">
        <v>21</v>
      </c>
      <c r="J69" t="s">
        <v>309</v>
      </c>
      <c r="K69" t="s">
        <v>452</v>
      </c>
    </row>
    <row r="70" spans="1:11" x14ac:dyDescent="0.2">
      <c r="A70" t="s">
        <v>319</v>
      </c>
      <c r="B70" t="s">
        <v>536</v>
      </c>
      <c r="C70" t="s">
        <v>52</v>
      </c>
      <c r="D70" t="s">
        <v>40</v>
      </c>
      <c r="E70" t="s">
        <v>183</v>
      </c>
      <c r="F70" t="s">
        <v>217</v>
      </c>
      <c r="G70" t="s">
        <v>451</v>
      </c>
      <c r="H70" t="s">
        <v>432</v>
      </c>
      <c r="I70" t="s">
        <v>21</v>
      </c>
      <c r="J70" t="s">
        <v>309</v>
      </c>
      <c r="K70" t="s">
        <v>452</v>
      </c>
    </row>
    <row r="71" spans="1:11" x14ac:dyDescent="0.2">
      <c r="A71" t="s">
        <v>319</v>
      </c>
      <c r="B71" t="s">
        <v>536</v>
      </c>
      <c r="C71" t="s">
        <v>52</v>
      </c>
      <c r="D71" t="s">
        <v>40</v>
      </c>
      <c r="E71" t="s">
        <v>117</v>
      </c>
      <c r="F71" t="s">
        <v>398</v>
      </c>
      <c r="G71" t="s">
        <v>451</v>
      </c>
      <c r="H71" t="s">
        <v>432</v>
      </c>
      <c r="I71" t="s">
        <v>21</v>
      </c>
      <c r="J71" t="s">
        <v>309</v>
      </c>
      <c r="K71" t="s">
        <v>452</v>
      </c>
    </row>
    <row r="72" spans="1:11" x14ac:dyDescent="0.2">
      <c r="A72" t="s">
        <v>319</v>
      </c>
      <c r="B72" t="s">
        <v>536</v>
      </c>
      <c r="C72" t="s">
        <v>52</v>
      </c>
      <c r="D72" t="s">
        <v>40</v>
      </c>
      <c r="E72" t="s">
        <v>66</v>
      </c>
      <c r="F72" t="s">
        <v>218</v>
      </c>
      <c r="G72" t="s">
        <v>451</v>
      </c>
      <c r="H72" t="s">
        <v>432</v>
      </c>
      <c r="I72" t="s">
        <v>21</v>
      </c>
      <c r="J72" t="s">
        <v>309</v>
      </c>
      <c r="K72" t="s">
        <v>452</v>
      </c>
    </row>
    <row r="73" spans="1:11" x14ac:dyDescent="0.2">
      <c r="A73" t="s">
        <v>319</v>
      </c>
      <c r="B73" t="s">
        <v>536</v>
      </c>
      <c r="C73" t="s">
        <v>52</v>
      </c>
      <c r="D73" t="s">
        <v>42</v>
      </c>
      <c r="E73" t="s">
        <v>72</v>
      </c>
      <c r="F73" t="s">
        <v>74</v>
      </c>
      <c r="G73" t="s">
        <v>451</v>
      </c>
      <c r="H73" t="s">
        <v>432</v>
      </c>
      <c r="I73" t="s">
        <v>21</v>
      </c>
      <c r="J73" t="s">
        <v>309</v>
      </c>
      <c r="K73" t="s">
        <v>452</v>
      </c>
    </row>
    <row r="74" spans="1:11" x14ac:dyDescent="0.2">
      <c r="A74" t="s">
        <v>319</v>
      </c>
      <c r="B74" t="s">
        <v>536</v>
      </c>
      <c r="C74" t="s">
        <v>56</v>
      </c>
      <c r="D74" t="s">
        <v>38</v>
      </c>
      <c r="E74" t="s">
        <v>114</v>
      </c>
      <c r="F74" t="s">
        <v>116</v>
      </c>
      <c r="G74" t="s">
        <v>451</v>
      </c>
      <c r="H74" t="s">
        <v>432</v>
      </c>
      <c r="I74" t="s">
        <v>21</v>
      </c>
      <c r="J74" t="s">
        <v>309</v>
      </c>
      <c r="K74" t="s">
        <v>452</v>
      </c>
    </row>
    <row r="75" spans="1:11" x14ac:dyDescent="0.2">
      <c r="A75" t="s">
        <v>319</v>
      </c>
      <c r="B75" t="s">
        <v>536</v>
      </c>
      <c r="C75" t="s">
        <v>56</v>
      </c>
      <c r="D75" t="s">
        <v>40</v>
      </c>
      <c r="E75" t="s">
        <v>114</v>
      </c>
      <c r="F75" t="s">
        <v>116</v>
      </c>
      <c r="G75" t="s">
        <v>451</v>
      </c>
      <c r="H75" t="s">
        <v>432</v>
      </c>
      <c r="I75" t="s">
        <v>21</v>
      </c>
      <c r="J75" t="s">
        <v>309</v>
      </c>
      <c r="K75" t="s">
        <v>452</v>
      </c>
    </row>
    <row r="76" spans="1:11" x14ac:dyDescent="0.2">
      <c r="A76" t="s">
        <v>319</v>
      </c>
      <c r="B76" t="s">
        <v>536</v>
      </c>
      <c r="C76" t="s">
        <v>56</v>
      </c>
      <c r="D76" t="s">
        <v>40</v>
      </c>
      <c r="E76" t="s">
        <v>114</v>
      </c>
      <c r="F76" t="s">
        <v>216</v>
      </c>
      <c r="G76" t="s">
        <v>451</v>
      </c>
      <c r="H76" t="s">
        <v>432</v>
      </c>
      <c r="I76" t="s">
        <v>21</v>
      </c>
      <c r="J76" t="s">
        <v>309</v>
      </c>
      <c r="K76" t="s">
        <v>452</v>
      </c>
    </row>
    <row r="77" spans="1:11" x14ac:dyDescent="0.2">
      <c r="A77" t="s">
        <v>319</v>
      </c>
      <c r="B77" t="s">
        <v>536</v>
      </c>
      <c r="C77" t="s">
        <v>56</v>
      </c>
      <c r="D77" t="s">
        <v>42</v>
      </c>
      <c r="E77" t="s">
        <v>75</v>
      </c>
      <c r="F77" t="s">
        <v>119</v>
      </c>
      <c r="G77" t="s">
        <v>451</v>
      </c>
      <c r="H77" t="s">
        <v>432</v>
      </c>
      <c r="I77" t="s">
        <v>21</v>
      </c>
      <c r="J77" t="s">
        <v>309</v>
      </c>
      <c r="K77" t="s">
        <v>452</v>
      </c>
    </row>
    <row r="78" spans="1:11" x14ac:dyDescent="0.2">
      <c r="A78" t="s">
        <v>319</v>
      </c>
      <c r="B78" t="s">
        <v>537</v>
      </c>
      <c r="C78" t="s">
        <v>52</v>
      </c>
      <c r="D78" t="s">
        <v>38</v>
      </c>
      <c r="E78" t="s">
        <v>114</v>
      </c>
      <c r="F78" t="s">
        <v>115</v>
      </c>
      <c r="G78" t="s">
        <v>455</v>
      </c>
      <c r="H78" t="s">
        <v>432</v>
      </c>
      <c r="I78" t="s">
        <v>21</v>
      </c>
      <c r="J78" t="s">
        <v>309</v>
      </c>
      <c r="K78" t="s">
        <v>456</v>
      </c>
    </row>
    <row r="79" spans="1:11" x14ac:dyDescent="0.2">
      <c r="A79" t="s">
        <v>319</v>
      </c>
      <c r="B79" t="s">
        <v>537</v>
      </c>
      <c r="C79" t="s">
        <v>52</v>
      </c>
      <c r="D79" t="s">
        <v>38</v>
      </c>
      <c r="E79" t="s">
        <v>75</v>
      </c>
      <c r="F79" t="s">
        <v>76</v>
      </c>
      <c r="G79" t="s">
        <v>455</v>
      </c>
      <c r="H79" t="s">
        <v>432</v>
      </c>
      <c r="I79" t="s">
        <v>21</v>
      </c>
      <c r="J79" t="s">
        <v>309</v>
      </c>
      <c r="K79" t="s">
        <v>456</v>
      </c>
    </row>
    <row r="80" spans="1:11" x14ac:dyDescent="0.2">
      <c r="A80" t="s">
        <v>319</v>
      </c>
      <c r="B80" t="s">
        <v>537</v>
      </c>
      <c r="C80" t="s">
        <v>56</v>
      </c>
      <c r="D80" t="s">
        <v>40</v>
      </c>
      <c r="E80" t="s">
        <v>114</v>
      </c>
      <c r="F80" t="s">
        <v>365</v>
      </c>
      <c r="G80" t="s">
        <v>455</v>
      </c>
      <c r="H80" t="s">
        <v>432</v>
      </c>
      <c r="I80" t="s">
        <v>21</v>
      </c>
      <c r="J80" t="s">
        <v>309</v>
      </c>
      <c r="K80" t="s">
        <v>456</v>
      </c>
    </row>
    <row r="81" spans="1:11" x14ac:dyDescent="0.2">
      <c r="A81" t="s">
        <v>319</v>
      </c>
      <c r="B81" t="s">
        <v>537</v>
      </c>
      <c r="C81" t="s">
        <v>56</v>
      </c>
      <c r="D81" t="s">
        <v>40</v>
      </c>
      <c r="E81" t="s">
        <v>66</v>
      </c>
      <c r="F81" t="s">
        <v>68</v>
      </c>
      <c r="G81" t="s">
        <v>455</v>
      </c>
      <c r="H81" t="s">
        <v>432</v>
      </c>
      <c r="I81" t="s">
        <v>21</v>
      </c>
      <c r="J81" t="s">
        <v>309</v>
      </c>
      <c r="K81" t="s">
        <v>456</v>
      </c>
    </row>
    <row r="82" spans="1:11" x14ac:dyDescent="0.2">
      <c r="A82" t="s">
        <v>319</v>
      </c>
      <c r="B82" t="s">
        <v>537</v>
      </c>
      <c r="C82" t="s">
        <v>56</v>
      </c>
      <c r="D82" t="s">
        <v>40</v>
      </c>
      <c r="E82" t="s">
        <v>183</v>
      </c>
      <c r="F82" t="s">
        <v>217</v>
      </c>
      <c r="G82" t="s">
        <v>455</v>
      </c>
      <c r="H82" t="s">
        <v>432</v>
      </c>
      <c r="I82" t="s">
        <v>21</v>
      </c>
      <c r="J82" t="s">
        <v>309</v>
      </c>
      <c r="K82" t="s">
        <v>456</v>
      </c>
    </row>
    <row r="83" spans="1:11" x14ac:dyDescent="0.2">
      <c r="A83" t="s">
        <v>319</v>
      </c>
      <c r="B83" t="s">
        <v>537</v>
      </c>
      <c r="C83" t="s">
        <v>56</v>
      </c>
      <c r="D83" t="s">
        <v>40</v>
      </c>
      <c r="E83" t="s">
        <v>75</v>
      </c>
      <c r="F83" t="s">
        <v>76</v>
      </c>
      <c r="G83" t="s">
        <v>455</v>
      </c>
      <c r="H83" t="s">
        <v>432</v>
      </c>
      <c r="I83" t="s">
        <v>21</v>
      </c>
      <c r="J83" t="s">
        <v>309</v>
      </c>
      <c r="K83" t="s">
        <v>456</v>
      </c>
    </row>
    <row r="84" spans="1:11" x14ac:dyDescent="0.2">
      <c r="A84" t="s">
        <v>319</v>
      </c>
      <c r="B84" t="s">
        <v>537</v>
      </c>
      <c r="C84" t="s">
        <v>56</v>
      </c>
      <c r="D84" t="s">
        <v>40</v>
      </c>
      <c r="E84" t="s">
        <v>253</v>
      </c>
      <c r="F84" t="s">
        <v>412</v>
      </c>
      <c r="G84" t="s">
        <v>455</v>
      </c>
      <c r="H84" t="s">
        <v>432</v>
      </c>
      <c r="I84" t="s">
        <v>21</v>
      </c>
      <c r="J84" t="s">
        <v>309</v>
      </c>
      <c r="K84" t="s">
        <v>456</v>
      </c>
    </row>
    <row r="85" spans="1:11" x14ac:dyDescent="0.2">
      <c r="A85" t="s">
        <v>319</v>
      </c>
      <c r="B85" t="s">
        <v>537</v>
      </c>
      <c r="C85" t="s">
        <v>56</v>
      </c>
      <c r="D85" t="s">
        <v>40</v>
      </c>
      <c r="E85" t="s">
        <v>253</v>
      </c>
      <c r="F85" t="s">
        <v>409</v>
      </c>
      <c r="G85" t="s">
        <v>455</v>
      </c>
      <c r="H85" t="s">
        <v>432</v>
      </c>
      <c r="I85" t="s">
        <v>21</v>
      </c>
      <c r="J85" t="s">
        <v>309</v>
      </c>
      <c r="K85" t="s">
        <v>456</v>
      </c>
    </row>
    <row r="86" spans="1:11" x14ac:dyDescent="0.2">
      <c r="A86" t="s">
        <v>319</v>
      </c>
      <c r="B86" t="s">
        <v>537</v>
      </c>
      <c r="C86" t="s">
        <v>56</v>
      </c>
      <c r="D86" t="s">
        <v>40</v>
      </c>
      <c r="E86" t="s">
        <v>253</v>
      </c>
      <c r="F86" t="s">
        <v>254</v>
      </c>
      <c r="G86" t="s">
        <v>455</v>
      </c>
      <c r="H86" t="s">
        <v>432</v>
      </c>
      <c r="I86" t="s">
        <v>21</v>
      </c>
      <c r="J86" t="s">
        <v>309</v>
      </c>
      <c r="K86" t="s">
        <v>456</v>
      </c>
    </row>
    <row r="87" spans="1:11" x14ac:dyDescent="0.2">
      <c r="A87" t="s">
        <v>319</v>
      </c>
      <c r="B87" t="s">
        <v>537</v>
      </c>
      <c r="C87" t="s">
        <v>56</v>
      </c>
      <c r="D87" t="s">
        <v>40</v>
      </c>
      <c r="E87" t="s">
        <v>253</v>
      </c>
      <c r="F87" t="s">
        <v>413</v>
      </c>
      <c r="G87" t="s">
        <v>455</v>
      </c>
      <c r="H87" t="s">
        <v>432</v>
      </c>
      <c r="I87" t="s">
        <v>21</v>
      </c>
      <c r="J87" t="s">
        <v>309</v>
      </c>
      <c r="K87" t="s">
        <v>456</v>
      </c>
    </row>
    <row r="88" spans="1:11" x14ac:dyDescent="0.2">
      <c r="A88" t="s">
        <v>319</v>
      </c>
      <c r="B88" t="s">
        <v>537</v>
      </c>
      <c r="C88" t="s">
        <v>56</v>
      </c>
      <c r="D88" t="s">
        <v>40</v>
      </c>
      <c r="E88" t="s">
        <v>162</v>
      </c>
      <c r="F88" t="s">
        <v>408</v>
      </c>
      <c r="G88" t="s">
        <v>455</v>
      </c>
      <c r="H88" t="s">
        <v>432</v>
      </c>
      <c r="I88" t="s">
        <v>21</v>
      </c>
      <c r="J88" t="s">
        <v>309</v>
      </c>
      <c r="K88" t="s">
        <v>456</v>
      </c>
    </row>
    <row r="89" spans="1:11" x14ac:dyDescent="0.2">
      <c r="A89" t="s">
        <v>319</v>
      </c>
      <c r="B89" t="s">
        <v>537</v>
      </c>
      <c r="C89" t="s">
        <v>56</v>
      </c>
      <c r="D89" t="s">
        <v>42</v>
      </c>
      <c r="E89" t="s">
        <v>114</v>
      </c>
      <c r="F89" t="s">
        <v>365</v>
      </c>
      <c r="G89" t="s">
        <v>455</v>
      </c>
      <c r="H89" t="s">
        <v>432</v>
      </c>
      <c r="I89" t="s">
        <v>21</v>
      </c>
      <c r="J89" t="s">
        <v>309</v>
      </c>
      <c r="K89" t="s">
        <v>456</v>
      </c>
    </row>
    <row r="90" spans="1:11" x14ac:dyDescent="0.2">
      <c r="A90" t="s">
        <v>319</v>
      </c>
      <c r="B90" t="s">
        <v>537</v>
      </c>
      <c r="C90" t="s">
        <v>56</v>
      </c>
      <c r="D90" t="s">
        <v>42</v>
      </c>
      <c r="E90" t="s">
        <v>66</v>
      </c>
      <c r="F90" t="s">
        <v>68</v>
      </c>
      <c r="G90" t="s">
        <v>455</v>
      </c>
      <c r="H90" t="s">
        <v>432</v>
      </c>
      <c r="I90" t="s">
        <v>21</v>
      </c>
      <c r="J90" t="s">
        <v>309</v>
      </c>
      <c r="K90" t="s">
        <v>456</v>
      </c>
    </row>
    <row r="91" spans="1:11" x14ac:dyDescent="0.2">
      <c r="A91" t="s">
        <v>319</v>
      </c>
      <c r="B91" t="s">
        <v>537</v>
      </c>
      <c r="C91" t="s">
        <v>56</v>
      </c>
      <c r="D91" t="s">
        <v>42</v>
      </c>
      <c r="E91" t="s">
        <v>183</v>
      </c>
      <c r="F91" t="s">
        <v>217</v>
      </c>
      <c r="G91" t="s">
        <v>455</v>
      </c>
      <c r="H91" t="s">
        <v>432</v>
      </c>
      <c r="I91" t="s">
        <v>21</v>
      </c>
      <c r="J91" t="s">
        <v>309</v>
      </c>
      <c r="K91" t="s">
        <v>456</v>
      </c>
    </row>
    <row r="92" spans="1:11" x14ac:dyDescent="0.2">
      <c r="A92" t="s">
        <v>319</v>
      </c>
      <c r="B92" t="s">
        <v>537</v>
      </c>
      <c r="C92" t="s">
        <v>56</v>
      </c>
      <c r="D92" t="s">
        <v>42</v>
      </c>
      <c r="E92" t="s">
        <v>75</v>
      </c>
      <c r="F92" t="s">
        <v>76</v>
      </c>
      <c r="G92" t="s">
        <v>455</v>
      </c>
      <c r="H92" t="s">
        <v>432</v>
      </c>
      <c r="I92" t="s">
        <v>21</v>
      </c>
      <c r="J92" t="s">
        <v>309</v>
      </c>
      <c r="K92" t="s">
        <v>456</v>
      </c>
    </row>
    <row r="93" spans="1:11" x14ac:dyDescent="0.2">
      <c r="A93" t="s">
        <v>319</v>
      </c>
      <c r="B93" t="s">
        <v>537</v>
      </c>
      <c r="C93" t="s">
        <v>56</v>
      </c>
      <c r="D93" t="s">
        <v>42</v>
      </c>
      <c r="E93" t="s">
        <v>253</v>
      </c>
      <c r="F93" t="s">
        <v>412</v>
      </c>
      <c r="G93" t="s">
        <v>455</v>
      </c>
      <c r="H93" t="s">
        <v>432</v>
      </c>
      <c r="I93" t="s">
        <v>21</v>
      </c>
      <c r="J93" t="s">
        <v>309</v>
      </c>
      <c r="K93" t="s">
        <v>456</v>
      </c>
    </row>
    <row r="94" spans="1:11" x14ac:dyDescent="0.2">
      <c r="A94" t="s">
        <v>319</v>
      </c>
      <c r="B94" t="s">
        <v>537</v>
      </c>
      <c r="C94" t="s">
        <v>56</v>
      </c>
      <c r="D94" t="s">
        <v>42</v>
      </c>
      <c r="E94" t="s">
        <v>253</v>
      </c>
      <c r="F94" t="s">
        <v>409</v>
      </c>
      <c r="G94" t="s">
        <v>455</v>
      </c>
      <c r="H94" t="s">
        <v>432</v>
      </c>
      <c r="I94" t="s">
        <v>21</v>
      </c>
      <c r="J94" t="s">
        <v>309</v>
      </c>
      <c r="K94" t="s">
        <v>456</v>
      </c>
    </row>
    <row r="95" spans="1:11" x14ac:dyDescent="0.2">
      <c r="A95" t="s">
        <v>319</v>
      </c>
      <c r="B95" t="s">
        <v>537</v>
      </c>
      <c r="C95" t="s">
        <v>56</v>
      </c>
      <c r="D95" t="s">
        <v>42</v>
      </c>
      <c r="E95" t="s">
        <v>253</v>
      </c>
      <c r="F95" t="s">
        <v>254</v>
      </c>
      <c r="G95" t="s">
        <v>455</v>
      </c>
      <c r="H95" t="s">
        <v>432</v>
      </c>
      <c r="I95" t="s">
        <v>21</v>
      </c>
      <c r="J95" t="s">
        <v>309</v>
      </c>
      <c r="K95" t="s">
        <v>456</v>
      </c>
    </row>
    <row r="96" spans="1:11" x14ac:dyDescent="0.2">
      <c r="A96" t="s">
        <v>319</v>
      </c>
      <c r="B96" t="s">
        <v>537</v>
      </c>
      <c r="C96" t="s">
        <v>56</v>
      </c>
      <c r="D96" t="s">
        <v>42</v>
      </c>
      <c r="E96" t="s">
        <v>253</v>
      </c>
      <c r="F96" t="s">
        <v>413</v>
      </c>
      <c r="G96" t="s">
        <v>455</v>
      </c>
      <c r="H96" t="s">
        <v>432</v>
      </c>
      <c r="I96" t="s">
        <v>21</v>
      </c>
      <c r="J96" t="s">
        <v>309</v>
      </c>
      <c r="K96" t="s">
        <v>456</v>
      </c>
    </row>
    <row r="97" spans="1:11" x14ac:dyDescent="0.2">
      <c r="A97" t="s">
        <v>319</v>
      </c>
      <c r="B97" t="s">
        <v>537</v>
      </c>
      <c r="C97" t="s">
        <v>56</v>
      </c>
      <c r="D97" t="s">
        <v>42</v>
      </c>
      <c r="E97" t="s">
        <v>162</v>
      </c>
      <c r="F97" t="s">
        <v>408</v>
      </c>
      <c r="G97" t="s">
        <v>455</v>
      </c>
      <c r="H97" t="s">
        <v>432</v>
      </c>
      <c r="I97" t="s">
        <v>21</v>
      </c>
      <c r="J97" t="s">
        <v>309</v>
      </c>
      <c r="K97" t="s">
        <v>456</v>
      </c>
    </row>
    <row r="98" spans="1:11" x14ac:dyDescent="0.2">
      <c r="A98" t="s">
        <v>319</v>
      </c>
      <c r="B98" t="s">
        <v>538</v>
      </c>
      <c r="C98" t="s">
        <v>52</v>
      </c>
      <c r="D98" t="s">
        <v>38</v>
      </c>
      <c r="E98" t="s">
        <v>114</v>
      </c>
      <c r="F98" t="s">
        <v>115</v>
      </c>
      <c r="G98" t="s">
        <v>459</v>
      </c>
      <c r="H98" t="s">
        <v>432</v>
      </c>
      <c r="I98" t="s">
        <v>21</v>
      </c>
      <c r="J98" t="s">
        <v>309</v>
      </c>
      <c r="K98" t="s">
        <v>460</v>
      </c>
    </row>
    <row r="99" spans="1:11" x14ac:dyDescent="0.2">
      <c r="A99" t="s">
        <v>319</v>
      </c>
      <c r="B99" t="s">
        <v>538</v>
      </c>
      <c r="C99" t="s">
        <v>52</v>
      </c>
      <c r="D99" t="s">
        <v>38</v>
      </c>
      <c r="E99" t="s">
        <v>114</v>
      </c>
      <c r="F99" t="s">
        <v>116</v>
      </c>
      <c r="G99" t="s">
        <v>459</v>
      </c>
      <c r="H99" t="s">
        <v>432</v>
      </c>
      <c r="I99" t="s">
        <v>21</v>
      </c>
      <c r="J99" t="s">
        <v>309</v>
      </c>
      <c r="K99" t="s">
        <v>460</v>
      </c>
    </row>
    <row r="100" spans="1:11" x14ac:dyDescent="0.2">
      <c r="A100" t="s">
        <v>319</v>
      </c>
      <c r="B100" t="s">
        <v>538</v>
      </c>
      <c r="C100" t="s">
        <v>52</v>
      </c>
      <c r="D100" t="s">
        <v>38</v>
      </c>
      <c r="E100" t="s">
        <v>75</v>
      </c>
      <c r="F100" t="s">
        <v>182</v>
      </c>
      <c r="G100" t="s">
        <v>459</v>
      </c>
      <c r="H100" t="s">
        <v>432</v>
      </c>
      <c r="I100" t="s">
        <v>21</v>
      </c>
      <c r="J100" t="s">
        <v>309</v>
      </c>
      <c r="K100" t="s">
        <v>460</v>
      </c>
    </row>
    <row r="101" spans="1:11" x14ac:dyDescent="0.2">
      <c r="A101" t="s">
        <v>319</v>
      </c>
      <c r="B101" t="s">
        <v>538</v>
      </c>
      <c r="C101" t="s">
        <v>52</v>
      </c>
      <c r="D101" t="s">
        <v>40</v>
      </c>
      <c r="E101" t="s">
        <v>66</v>
      </c>
      <c r="F101" t="s">
        <v>67</v>
      </c>
      <c r="G101" t="s">
        <v>459</v>
      </c>
      <c r="H101" t="s">
        <v>432</v>
      </c>
      <c r="I101" t="s">
        <v>21</v>
      </c>
      <c r="J101" t="s">
        <v>309</v>
      </c>
      <c r="K101" t="s">
        <v>460</v>
      </c>
    </row>
    <row r="102" spans="1:11" x14ac:dyDescent="0.2">
      <c r="A102" t="s">
        <v>319</v>
      </c>
      <c r="B102" t="s">
        <v>538</v>
      </c>
      <c r="C102" t="s">
        <v>52</v>
      </c>
      <c r="D102" t="s">
        <v>40</v>
      </c>
      <c r="E102" t="s">
        <v>183</v>
      </c>
      <c r="F102" t="s">
        <v>184</v>
      </c>
      <c r="G102" t="s">
        <v>459</v>
      </c>
      <c r="H102" t="s">
        <v>432</v>
      </c>
      <c r="I102" t="s">
        <v>21</v>
      </c>
      <c r="J102" t="s">
        <v>309</v>
      </c>
      <c r="K102" t="s">
        <v>460</v>
      </c>
    </row>
    <row r="103" spans="1:11" x14ac:dyDescent="0.2">
      <c r="A103" t="s">
        <v>319</v>
      </c>
      <c r="B103" t="s">
        <v>538</v>
      </c>
      <c r="C103" t="s">
        <v>52</v>
      </c>
      <c r="D103" t="s">
        <v>42</v>
      </c>
      <c r="E103" t="s">
        <v>117</v>
      </c>
      <c r="F103" t="s">
        <v>398</v>
      </c>
      <c r="G103" t="s">
        <v>459</v>
      </c>
      <c r="H103" t="s">
        <v>432</v>
      </c>
      <c r="I103" t="s">
        <v>21</v>
      </c>
      <c r="J103" t="s">
        <v>309</v>
      </c>
      <c r="K103" t="s">
        <v>460</v>
      </c>
    </row>
    <row r="104" spans="1:11" x14ac:dyDescent="0.2">
      <c r="A104" t="s">
        <v>319</v>
      </c>
      <c r="B104" t="s">
        <v>538</v>
      </c>
      <c r="C104" t="s">
        <v>56</v>
      </c>
      <c r="D104" t="s">
        <v>40</v>
      </c>
      <c r="E104" t="s">
        <v>114</v>
      </c>
      <c r="F104" t="s">
        <v>116</v>
      </c>
      <c r="G104" t="s">
        <v>459</v>
      </c>
      <c r="H104" t="s">
        <v>432</v>
      </c>
      <c r="I104" t="s">
        <v>21</v>
      </c>
      <c r="J104" t="s">
        <v>309</v>
      </c>
      <c r="K104" t="s">
        <v>460</v>
      </c>
    </row>
    <row r="105" spans="1:11" x14ac:dyDescent="0.2">
      <c r="A105" t="s">
        <v>319</v>
      </c>
      <c r="B105" t="s">
        <v>538</v>
      </c>
      <c r="C105" t="s">
        <v>56</v>
      </c>
      <c r="D105" t="s">
        <v>40</v>
      </c>
      <c r="E105" t="s">
        <v>75</v>
      </c>
      <c r="F105" t="s">
        <v>182</v>
      </c>
      <c r="G105" t="s">
        <v>459</v>
      </c>
      <c r="H105" t="s">
        <v>432</v>
      </c>
      <c r="I105" t="s">
        <v>21</v>
      </c>
      <c r="J105" t="s">
        <v>309</v>
      </c>
      <c r="K105" t="s">
        <v>460</v>
      </c>
    </row>
    <row r="106" spans="1:11" x14ac:dyDescent="0.2">
      <c r="A106" t="s">
        <v>319</v>
      </c>
      <c r="B106" t="s">
        <v>538</v>
      </c>
      <c r="C106" t="s">
        <v>56</v>
      </c>
      <c r="D106" t="s">
        <v>42</v>
      </c>
      <c r="E106" t="s">
        <v>117</v>
      </c>
      <c r="F106" t="s">
        <v>396</v>
      </c>
      <c r="G106" t="s">
        <v>459</v>
      </c>
      <c r="H106" t="s">
        <v>432</v>
      </c>
      <c r="I106" t="s">
        <v>21</v>
      </c>
      <c r="J106" t="s">
        <v>309</v>
      </c>
      <c r="K106" t="s">
        <v>460</v>
      </c>
    </row>
    <row r="107" spans="1:11" x14ac:dyDescent="0.2">
      <c r="A107" t="s">
        <v>319</v>
      </c>
      <c r="B107" t="s">
        <v>538</v>
      </c>
      <c r="C107" t="s">
        <v>56</v>
      </c>
      <c r="D107" t="s">
        <v>42</v>
      </c>
      <c r="E107" t="s">
        <v>66</v>
      </c>
      <c r="F107" t="s">
        <v>404</v>
      </c>
      <c r="G107" t="s">
        <v>459</v>
      </c>
      <c r="H107" t="s">
        <v>432</v>
      </c>
      <c r="I107" t="s">
        <v>21</v>
      </c>
      <c r="J107" t="s">
        <v>309</v>
      </c>
      <c r="K107" t="s">
        <v>460</v>
      </c>
    </row>
    <row r="108" spans="1:11" x14ac:dyDescent="0.2">
      <c r="A108" t="s">
        <v>319</v>
      </c>
      <c r="B108" t="s">
        <v>539</v>
      </c>
      <c r="C108" t="s">
        <v>52</v>
      </c>
      <c r="D108" t="s">
        <v>38</v>
      </c>
      <c r="E108" t="s">
        <v>114</v>
      </c>
      <c r="F108" t="s">
        <v>116</v>
      </c>
      <c r="G108" t="s">
        <v>463</v>
      </c>
      <c r="H108" t="s">
        <v>432</v>
      </c>
      <c r="I108" t="s">
        <v>21</v>
      </c>
      <c r="J108" t="s">
        <v>309</v>
      </c>
      <c r="K108" t="s">
        <v>464</v>
      </c>
    </row>
    <row r="109" spans="1:11" x14ac:dyDescent="0.2">
      <c r="A109" t="s">
        <v>319</v>
      </c>
      <c r="B109" t="s">
        <v>539</v>
      </c>
      <c r="C109" t="s">
        <v>52</v>
      </c>
      <c r="D109" t="s">
        <v>38</v>
      </c>
      <c r="E109" t="s">
        <v>114</v>
      </c>
      <c r="F109" t="s">
        <v>216</v>
      </c>
      <c r="G109" t="s">
        <v>463</v>
      </c>
      <c r="H109" t="s">
        <v>432</v>
      </c>
      <c r="I109" t="s">
        <v>21</v>
      </c>
      <c r="J109" t="s">
        <v>309</v>
      </c>
      <c r="K109" t="s">
        <v>464</v>
      </c>
    </row>
    <row r="110" spans="1:11" x14ac:dyDescent="0.2">
      <c r="A110" t="s">
        <v>319</v>
      </c>
      <c r="B110" t="s">
        <v>539</v>
      </c>
      <c r="C110" t="s">
        <v>52</v>
      </c>
      <c r="D110" t="s">
        <v>38</v>
      </c>
      <c r="E110" t="s">
        <v>183</v>
      </c>
      <c r="F110" t="s">
        <v>198</v>
      </c>
      <c r="G110" t="s">
        <v>463</v>
      </c>
      <c r="H110" t="s">
        <v>432</v>
      </c>
      <c r="I110" t="s">
        <v>21</v>
      </c>
      <c r="J110" t="s">
        <v>309</v>
      </c>
      <c r="K110" t="s">
        <v>464</v>
      </c>
    </row>
    <row r="111" spans="1:11" x14ac:dyDescent="0.2">
      <c r="A111" t="s">
        <v>319</v>
      </c>
      <c r="B111" t="s">
        <v>539</v>
      </c>
      <c r="C111" t="s">
        <v>52</v>
      </c>
      <c r="D111" t="s">
        <v>38</v>
      </c>
      <c r="E111" t="s">
        <v>117</v>
      </c>
      <c r="F111" t="s">
        <v>398</v>
      </c>
      <c r="G111" t="s">
        <v>463</v>
      </c>
      <c r="H111" t="s">
        <v>432</v>
      </c>
      <c r="I111" t="s">
        <v>21</v>
      </c>
      <c r="J111" t="s">
        <v>309</v>
      </c>
      <c r="K111" t="s">
        <v>464</v>
      </c>
    </row>
    <row r="112" spans="1:11" x14ac:dyDescent="0.2">
      <c r="A112" t="s">
        <v>319</v>
      </c>
      <c r="B112" t="s">
        <v>539</v>
      </c>
      <c r="C112" t="s">
        <v>52</v>
      </c>
      <c r="D112" t="s">
        <v>38</v>
      </c>
      <c r="E112" t="s">
        <v>66</v>
      </c>
      <c r="F112" t="s">
        <v>404</v>
      </c>
      <c r="G112" t="s">
        <v>463</v>
      </c>
      <c r="H112" t="s">
        <v>432</v>
      </c>
      <c r="I112" t="s">
        <v>21</v>
      </c>
      <c r="J112" t="s">
        <v>309</v>
      </c>
      <c r="K112" t="s">
        <v>464</v>
      </c>
    </row>
    <row r="113" spans="1:11" x14ac:dyDescent="0.2">
      <c r="A113" t="s">
        <v>319</v>
      </c>
      <c r="B113" t="s">
        <v>539</v>
      </c>
      <c r="C113" t="s">
        <v>56</v>
      </c>
      <c r="D113" t="s">
        <v>40</v>
      </c>
      <c r="E113" t="s">
        <v>114</v>
      </c>
      <c r="F113" t="s">
        <v>369</v>
      </c>
      <c r="G113" t="s">
        <v>463</v>
      </c>
      <c r="H113" t="s">
        <v>432</v>
      </c>
      <c r="I113" t="s">
        <v>21</v>
      </c>
      <c r="J113" t="s">
        <v>309</v>
      </c>
      <c r="K113" t="s">
        <v>464</v>
      </c>
    </row>
    <row r="114" spans="1:11" x14ac:dyDescent="0.2">
      <c r="A114" t="s">
        <v>319</v>
      </c>
      <c r="B114" t="s">
        <v>539</v>
      </c>
      <c r="C114" t="s">
        <v>56</v>
      </c>
      <c r="D114" t="s">
        <v>40</v>
      </c>
      <c r="E114" t="s">
        <v>66</v>
      </c>
      <c r="F114" t="s">
        <v>67</v>
      </c>
      <c r="G114" t="s">
        <v>463</v>
      </c>
      <c r="H114" t="s">
        <v>432</v>
      </c>
      <c r="I114" t="s">
        <v>21</v>
      </c>
      <c r="J114" t="s">
        <v>309</v>
      </c>
      <c r="K114" t="s">
        <v>464</v>
      </c>
    </row>
    <row r="115" spans="1:11" x14ac:dyDescent="0.2">
      <c r="A115" t="s">
        <v>319</v>
      </c>
      <c r="B115" t="s">
        <v>539</v>
      </c>
      <c r="C115" t="s">
        <v>56</v>
      </c>
      <c r="D115" t="s">
        <v>40</v>
      </c>
      <c r="E115" t="s">
        <v>66</v>
      </c>
      <c r="F115" t="s">
        <v>403</v>
      </c>
      <c r="G115" t="s">
        <v>463</v>
      </c>
      <c r="H115" t="s">
        <v>432</v>
      </c>
      <c r="I115" t="s">
        <v>21</v>
      </c>
      <c r="J115" t="s">
        <v>309</v>
      </c>
      <c r="K115" t="s">
        <v>464</v>
      </c>
    </row>
    <row r="116" spans="1:11" x14ac:dyDescent="0.2">
      <c r="A116" t="s">
        <v>319</v>
      </c>
      <c r="B116" t="s">
        <v>539</v>
      </c>
      <c r="C116" t="s">
        <v>56</v>
      </c>
      <c r="D116" t="s">
        <v>40</v>
      </c>
      <c r="E116" t="s">
        <v>253</v>
      </c>
      <c r="F116" t="s">
        <v>412</v>
      </c>
      <c r="G116" t="s">
        <v>463</v>
      </c>
      <c r="H116" t="s">
        <v>432</v>
      </c>
      <c r="I116" t="s">
        <v>21</v>
      </c>
      <c r="J116" t="s">
        <v>309</v>
      </c>
      <c r="K116" t="s">
        <v>464</v>
      </c>
    </row>
    <row r="117" spans="1:11" x14ac:dyDescent="0.2">
      <c r="A117" t="s">
        <v>319</v>
      </c>
      <c r="B117" t="s">
        <v>539</v>
      </c>
      <c r="C117" t="s">
        <v>56</v>
      </c>
      <c r="D117" t="s">
        <v>40</v>
      </c>
      <c r="E117" t="s">
        <v>117</v>
      </c>
      <c r="F117" t="s">
        <v>397</v>
      </c>
      <c r="G117" t="s">
        <v>463</v>
      </c>
      <c r="H117" t="s">
        <v>432</v>
      </c>
      <c r="I117" t="s">
        <v>21</v>
      </c>
      <c r="J117" t="s">
        <v>309</v>
      </c>
      <c r="K117" t="s">
        <v>464</v>
      </c>
    </row>
    <row r="118" spans="1:11" x14ac:dyDescent="0.2">
      <c r="A118" t="s">
        <v>319</v>
      </c>
      <c r="B118" t="s">
        <v>540</v>
      </c>
      <c r="C118" t="s">
        <v>52</v>
      </c>
      <c r="D118" t="s">
        <v>38</v>
      </c>
      <c r="G118" t="s">
        <v>467</v>
      </c>
      <c r="H118" t="s">
        <v>432</v>
      </c>
      <c r="I118" t="s">
        <v>21</v>
      </c>
      <c r="J118" t="s">
        <v>309</v>
      </c>
      <c r="K118" t="s">
        <v>468</v>
      </c>
    </row>
    <row r="119" spans="1:11" x14ac:dyDescent="0.2">
      <c r="A119" t="s">
        <v>319</v>
      </c>
      <c r="B119" t="s">
        <v>540</v>
      </c>
      <c r="C119" t="s">
        <v>52</v>
      </c>
      <c r="D119" t="s">
        <v>38</v>
      </c>
      <c r="G119" t="s">
        <v>467</v>
      </c>
      <c r="H119" t="s">
        <v>432</v>
      </c>
      <c r="I119" t="s">
        <v>21</v>
      </c>
      <c r="J119" t="s">
        <v>309</v>
      </c>
      <c r="K119" t="s">
        <v>468</v>
      </c>
    </row>
    <row r="120" spans="1:11" x14ac:dyDescent="0.2">
      <c r="A120" t="s">
        <v>319</v>
      </c>
      <c r="B120" t="s">
        <v>540</v>
      </c>
      <c r="C120" t="s">
        <v>52</v>
      </c>
      <c r="D120" t="s">
        <v>38</v>
      </c>
      <c r="G120" t="s">
        <v>467</v>
      </c>
      <c r="H120" t="s">
        <v>432</v>
      </c>
      <c r="I120" t="s">
        <v>21</v>
      </c>
      <c r="J120" t="s">
        <v>309</v>
      </c>
      <c r="K120" t="s">
        <v>468</v>
      </c>
    </row>
    <row r="121" spans="1:11" x14ac:dyDescent="0.2">
      <c r="A121" t="s">
        <v>319</v>
      </c>
      <c r="B121" t="s">
        <v>540</v>
      </c>
      <c r="C121" t="s">
        <v>56</v>
      </c>
      <c r="D121" t="s">
        <v>40</v>
      </c>
      <c r="G121" t="s">
        <v>467</v>
      </c>
      <c r="H121" t="s">
        <v>432</v>
      </c>
      <c r="I121" t="s">
        <v>21</v>
      </c>
      <c r="J121" t="s">
        <v>309</v>
      </c>
      <c r="K121" t="s">
        <v>468</v>
      </c>
    </row>
    <row r="122" spans="1:11" x14ac:dyDescent="0.2">
      <c r="A122" t="s">
        <v>319</v>
      </c>
      <c r="B122" t="s">
        <v>540</v>
      </c>
      <c r="C122" t="s">
        <v>56</v>
      </c>
      <c r="D122" t="s">
        <v>40</v>
      </c>
      <c r="G122" t="s">
        <v>467</v>
      </c>
      <c r="H122" t="s">
        <v>432</v>
      </c>
      <c r="I122" t="s">
        <v>21</v>
      </c>
      <c r="J122" t="s">
        <v>309</v>
      </c>
      <c r="K122" t="s">
        <v>468</v>
      </c>
    </row>
    <row r="123" spans="1:11" x14ac:dyDescent="0.2">
      <c r="A123" t="s">
        <v>319</v>
      </c>
      <c r="B123" t="s">
        <v>541</v>
      </c>
      <c r="C123" t="s">
        <v>52</v>
      </c>
      <c r="D123" t="s">
        <v>38</v>
      </c>
      <c r="E123" t="s">
        <v>183</v>
      </c>
      <c r="F123" t="s">
        <v>217</v>
      </c>
      <c r="G123" t="s">
        <v>472</v>
      </c>
      <c r="H123" t="s">
        <v>432</v>
      </c>
      <c r="I123" t="s">
        <v>21</v>
      </c>
      <c r="J123" t="s">
        <v>309</v>
      </c>
      <c r="K123" t="s">
        <v>473</v>
      </c>
    </row>
    <row r="124" spans="1:11" x14ac:dyDescent="0.2">
      <c r="A124" t="s">
        <v>319</v>
      </c>
      <c r="B124" t="s">
        <v>541</v>
      </c>
      <c r="C124" t="s">
        <v>52</v>
      </c>
      <c r="D124" t="s">
        <v>38</v>
      </c>
      <c r="E124" t="s">
        <v>183</v>
      </c>
      <c r="F124" t="s">
        <v>384</v>
      </c>
      <c r="G124" t="s">
        <v>472</v>
      </c>
      <c r="H124" t="s">
        <v>432</v>
      </c>
      <c r="I124" t="s">
        <v>21</v>
      </c>
      <c r="J124" t="s">
        <v>309</v>
      </c>
      <c r="K124" t="s">
        <v>473</v>
      </c>
    </row>
    <row r="125" spans="1:11" x14ac:dyDescent="0.2">
      <c r="A125" t="s">
        <v>319</v>
      </c>
      <c r="B125" t="s">
        <v>541</v>
      </c>
      <c r="C125" t="s">
        <v>52</v>
      </c>
      <c r="D125" t="s">
        <v>38</v>
      </c>
      <c r="E125" t="s">
        <v>75</v>
      </c>
      <c r="F125" t="s">
        <v>394</v>
      </c>
      <c r="G125" t="s">
        <v>472</v>
      </c>
      <c r="H125" t="s">
        <v>432</v>
      </c>
      <c r="I125" t="s">
        <v>21</v>
      </c>
      <c r="J125" t="s">
        <v>309</v>
      </c>
      <c r="K125" t="s">
        <v>473</v>
      </c>
    </row>
    <row r="126" spans="1:11" x14ac:dyDescent="0.2">
      <c r="A126" t="s">
        <v>319</v>
      </c>
      <c r="B126" t="s">
        <v>541</v>
      </c>
      <c r="C126" t="s">
        <v>56</v>
      </c>
      <c r="D126" t="s">
        <v>38</v>
      </c>
      <c r="E126" t="s">
        <v>75</v>
      </c>
      <c r="F126" t="s">
        <v>119</v>
      </c>
      <c r="G126" t="s">
        <v>472</v>
      </c>
      <c r="H126" t="s">
        <v>432</v>
      </c>
      <c r="I126" t="s">
        <v>21</v>
      </c>
      <c r="J126" t="s">
        <v>309</v>
      </c>
      <c r="K126" t="s">
        <v>473</v>
      </c>
    </row>
    <row r="127" spans="1:11" x14ac:dyDescent="0.2">
      <c r="A127" t="s">
        <v>319</v>
      </c>
      <c r="B127" t="s">
        <v>541</v>
      </c>
      <c r="C127" t="s">
        <v>56</v>
      </c>
      <c r="D127" t="s">
        <v>40</v>
      </c>
      <c r="E127" t="s">
        <v>114</v>
      </c>
      <c r="F127" t="s">
        <v>116</v>
      </c>
      <c r="G127" t="s">
        <v>472</v>
      </c>
      <c r="H127" t="s">
        <v>432</v>
      </c>
      <c r="I127" t="s">
        <v>21</v>
      </c>
      <c r="J127" t="s">
        <v>309</v>
      </c>
      <c r="K127" t="s">
        <v>473</v>
      </c>
    </row>
    <row r="128" spans="1:11" x14ac:dyDescent="0.2">
      <c r="A128" t="s">
        <v>319</v>
      </c>
      <c r="B128" t="s">
        <v>541</v>
      </c>
      <c r="C128" t="s">
        <v>56</v>
      </c>
      <c r="D128" t="s">
        <v>40</v>
      </c>
      <c r="E128" t="s">
        <v>114</v>
      </c>
      <c r="F128" t="s">
        <v>216</v>
      </c>
      <c r="G128" t="s">
        <v>472</v>
      </c>
      <c r="H128" t="s">
        <v>432</v>
      </c>
      <c r="I128" t="s">
        <v>21</v>
      </c>
      <c r="J128" t="s">
        <v>309</v>
      </c>
      <c r="K128" t="s">
        <v>473</v>
      </c>
    </row>
    <row r="129" spans="1:11" x14ac:dyDescent="0.2">
      <c r="A129" t="s">
        <v>319</v>
      </c>
      <c r="B129" t="s">
        <v>541</v>
      </c>
      <c r="C129" t="s">
        <v>61</v>
      </c>
      <c r="D129" t="s">
        <v>40</v>
      </c>
      <c r="E129" t="s">
        <v>114</v>
      </c>
      <c r="F129" t="s">
        <v>365</v>
      </c>
      <c r="G129" t="s">
        <v>472</v>
      </c>
      <c r="H129" t="s">
        <v>432</v>
      </c>
      <c r="I129" t="s">
        <v>21</v>
      </c>
      <c r="J129" t="s">
        <v>309</v>
      </c>
      <c r="K129" t="s">
        <v>473</v>
      </c>
    </row>
    <row r="130" spans="1:11" x14ac:dyDescent="0.2">
      <c r="A130" t="s">
        <v>319</v>
      </c>
      <c r="B130" t="s">
        <v>541</v>
      </c>
      <c r="C130" t="s">
        <v>61</v>
      </c>
      <c r="D130" t="s">
        <v>40</v>
      </c>
      <c r="E130" t="s">
        <v>66</v>
      </c>
      <c r="F130" t="s">
        <v>404</v>
      </c>
      <c r="G130" t="s">
        <v>472</v>
      </c>
      <c r="H130" t="s">
        <v>432</v>
      </c>
      <c r="I130" t="s">
        <v>21</v>
      </c>
      <c r="J130" t="s">
        <v>309</v>
      </c>
      <c r="K130" t="s">
        <v>473</v>
      </c>
    </row>
    <row r="131" spans="1:11" x14ac:dyDescent="0.2">
      <c r="A131" t="s">
        <v>319</v>
      </c>
      <c r="B131" t="s">
        <v>541</v>
      </c>
      <c r="C131" t="s">
        <v>61</v>
      </c>
      <c r="D131" t="s">
        <v>42</v>
      </c>
      <c r="E131" t="s">
        <v>117</v>
      </c>
      <c r="F131" t="s">
        <v>398</v>
      </c>
      <c r="G131" t="s">
        <v>472</v>
      </c>
      <c r="H131" t="s">
        <v>432</v>
      </c>
      <c r="I131" t="s">
        <v>21</v>
      </c>
      <c r="J131" t="s">
        <v>309</v>
      </c>
      <c r="K131" t="s">
        <v>473</v>
      </c>
    </row>
    <row r="132" spans="1:11" x14ac:dyDescent="0.2">
      <c r="A132" t="s">
        <v>319</v>
      </c>
      <c r="B132" t="s">
        <v>541</v>
      </c>
      <c r="C132" t="s">
        <v>62</v>
      </c>
      <c r="D132" t="s">
        <v>42</v>
      </c>
      <c r="E132" t="s">
        <v>66</v>
      </c>
      <c r="F132" t="s">
        <v>67</v>
      </c>
      <c r="G132" t="s">
        <v>472</v>
      </c>
      <c r="H132" t="s">
        <v>432</v>
      </c>
      <c r="I132" t="s">
        <v>21</v>
      </c>
      <c r="J132" t="s">
        <v>309</v>
      </c>
      <c r="K132" t="s">
        <v>473</v>
      </c>
    </row>
    <row r="133" spans="1:11" x14ac:dyDescent="0.2">
      <c r="A133" t="s">
        <v>319</v>
      </c>
      <c r="B133" t="s">
        <v>541</v>
      </c>
      <c r="C133" t="s">
        <v>62</v>
      </c>
      <c r="D133" t="s">
        <v>42</v>
      </c>
      <c r="E133" t="s">
        <v>253</v>
      </c>
      <c r="F133" t="s">
        <v>412</v>
      </c>
      <c r="G133" t="s">
        <v>472</v>
      </c>
      <c r="H133" t="s">
        <v>432</v>
      </c>
      <c r="I133" t="s">
        <v>21</v>
      </c>
      <c r="J133" t="s">
        <v>309</v>
      </c>
      <c r="K133" t="s">
        <v>473</v>
      </c>
    </row>
    <row r="134" spans="1:11" x14ac:dyDescent="0.2">
      <c r="A134" t="s">
        <v>344</v>
      </c>
      <c r="B134" t="s">
        <v>542</v>
      </c>
      <c r="C134" t="s">
        <v>52</v>
      </c>
      <c r="D134" t="s">
        <v>38</v>
      </c>
      <c r="E134" t="s">
        <v>114</v>
      </c>
      <c r="F134" t="s">
        <v>115</v>
      </c>
      <c r="G134" t="s">
        <v>475</v>
      </c>
      <c r="H134" t="s">
        <v>432</v>
      </c>
      <c r="I134" t="s">
        <v>21</v>
      </c>
      <c r="J134" t="s">
        <v>309</v>
      </c>
      <c r="K134" t="s">
        <v>476</v>
      </c>
    </row>
    <row r="135" spans="1:11" x14ac:dyDescent="0.2">
      <c r="A135" t="s">
        <v>344</v>
      </c>
      <c r="B135" t="s">
        <v>542</v>
      </c>
      <c r="C135" t="s">
        <v>52</v>
      </c>
      <c r="D135" t="s">
        <v>38</v>
      </c>
      <c r="E135" t="s">
        <v>117</v>
      </c>
      <c r="F135" t="s">
        <v>398</v>
      </c>
      <c r="G135" t="s">
        <v>475</v>
      </c>
      <c r="H135" t="s">
        <v>432</v>
      </c>
      <c r="I135" t="s">
        <v>21</v>
      </c>
      <c r="J135" t="s">
        <v>309</v>
      </c>
      <c r="K135" t="s">
        <v>476</v>
      </c>
    </row>
    <row r="136" spans="1:11" x14ac:dyDescent="0.2">
      <c r="A136" t="s">
        <v>344</v>
      </c>
      <c r="B136" t="s">
        <v>542</v>
      </c>
      <c r="C136" t="s">
        <v>56</v>
      </c>
      <c r="D136" t="s">
        <v>40</v>
      </c>
      <c r="E136" t="s">
        <v>114</v>
      </c>
      <c r="F136" t="s">
        <v>115</v>
      </c>
      <c r="G136" t="s">
        <v>475</v>
      </c>
      <c r="H136" t="s">
        <v>432</v>
      </c>
      <c r="I136" t="s">
        <v>21</v>
      </c>
      <c r="J136" t="s">
        <v>309</v>
      </c>
      <c r="K136" t="s">
        <v>476</v>
      </c>
    </row>
    <row r="137" spans="1:11" x14ac:dyDescent="0.2">
      <c r="A137" t="s">
        <v>344</v>
      </c>
      <c r="B137" t="s">
        <v>542</v>
      </c>
      <c r="C137" t="s">
        <v>56</v>
      </c>
      <c r="D137" t="s">
        <v>40</v>
      </c>
      <c r="E137" t="s">
        <v>117</v>
      </c>
      <c r="F137" t="s">
        <v>398</v>
      </c>
      <c r="G137" t="s">
        <v>475</v>
      </c>
      <c r="H137" t="s">
        <v>432</v>
      </c>
      <c r="I137" t="s">
        <v>21</v>
      </c>
      <c r="J137" t="s">
        <v>309</v>
      </c>
      <c r="K137" t="s">
        <v>476</v>
      </c>
    </row>
    <row r="138" spans="1:11" x14ac:dyDescent="0.2">
      <c r="A138" t="s">
        <v>344</v>
      </c>
      <c r="B138" t="s">
        <v>580</v>
      </c>
      <c r="C138" t="s">
        <v>52</v>
      </c>
      <c r="D138" t="s">
        <v>38</v>
      </c>
      <c r="E138" t="s">
        <v>75</v>
      </c>
      <c r="F138" t="s">
        <v>119</v>
      </c>
      <c r="G138" t="s">
        <v>569</v>
      </c>
      <c r="H138" t="s">
        <v>432</v>
      </c>
      <c r="I138" t="s">
        <v>21</v>
      </c>
      <c r="J138" t="s">
        <v>309</v>
      </c>
      <c r="K138" t="s">
        <v>570</v>
      </c>
    </row>
    <row r="139" spans="1:11" x14ac:dyDescent="0.2">
      <c r="A139" t="s">
        <v>344</v>
      </c>
      <c r="B139" t="s">
        <v>580</v>
      </c>
      <c r="C139" t="s">
        <v>52</v>
      </c>
      <c r="D139" t="s">
        <v>38</v>
      </c>
      <c r="E139" t="s">
        <v>162</v>
      </c>
      <c r="F139" t="s">
        <v>163</v>
      </c>
      <c r="G139" t="s">
        <v>569</v>
      </c>
      <c r="H139" t="s">
        <v>432</v>
      </c>
      <c r="I139" t="s">
        <v>21</v>
      </c>
      <c r="J139" t="s">
        <v>309</v>
      </c>
      <c r="K139" t="s">
        <v>570</v>
      </c>
    </row>
    <row r="140" spans="1:11" x14ac:dyDescent="0.2">
      <c r="A140" t="s">
        <v>344</v>
      </c>
      <c r="B140" t="s">
        <v>580</v>
      </c>
      <c r="C140" t="s">
        <v>52</v>
      </c>
      <c r="D140" t="s">
        <v>38</v>
      </c>
      <c r="E140" t="s">
        <v>162</v>
      </c>
      <c r="F140" t="s">
        <v>405</v>
      </c>
      <c r="G140" t="s">
        <v>569</v>
      </c>
      <c r="H140" t="s">
        <v>432</v>
      </c>
      <c r="I140" t="s">
        <v>21</v>
      </c>
      <c r="J140" t="s">
        <v>309</v>
      </c>
      <c r="K140" t="s">
        <v>570</v>
      </c>
    </row>
    <row r="141" spans="1:11" x14ac:dyDescent="0.2">
      <c r="A141" t="s">
        <v>344</v>
      </c>
      <c r="B141" t="s">
        <v>580</v>
      </c>
      <c r="C141" t="s">
        <v>56</v>
      </c>
      <c r="D141" t="s">
        <v>38</v>
      </c>
      <c r="E141" t="s">
        <v>114</v>
      </c>
      <c r="F141" t="s">
        <v>115</v>
      </c>
      <c r="G141" t="s">
        <v>569</v>
      </c>
      <c r="H141" t="s">
        <v>432</v>
      </c>
      <c r="I141" t="s">
        <v>21</v>
      </c>
      <c r="J141" t="s">
        <v>309</v>
      </c>
      <c r="K141" t="s">
        <v>570</v>
      </c>
    </row>
    <row r="142" spans="1:11" x14ac:dyDescent="0.2">
      <c r="A142" t="s">
        <v>344</v>
      </c>
      <c r="B142" t="s">
        <v>580</v>
      </c>
      <c r="C142" t="s">
        <v>56</v>
      </c>
      <c r="D142" t="s">
        <v>38</v>
      </c>
      <c r="E142" t="s">
        <v>114</v>
      </c>
      <c r="F142" t="s">
        <v>369</v>
      </c>
      <c r="G142" t="s">
        <v>569</v>
      </c>
      <c r="H142" t="s">
        <v>432</v>
      </c>
      <c r="I142" t="s">
        <v>21</v>
      </c>
      <c r="J142" t="s">
        <v>309</v>
      </c>
      <c r="K142" t="s">
        <v>570</v>
      </c>
    </row>
    <row r="143" spans="1:11" x14ac:dyDescent="0.2">
      <c r="A143" t="s">
        <v>344</v>
      </c>
      <c r="B143" t="s">
        <v>580</v>
      </c>
      <c r="C143" t="s">
        <v>56</v>
      </c>
      <c r="D143" t="s">
        <v>40</v>
      </c>
      <c r="E143" t="s">
        <v>75</v>
      </c>
      <c r="F143" t="s">
        <v>119</v>
      </c>
      <c r="G143" t="s">
        <v>569</v>
      </c>
      <c r="H143" t="s">
        <v>432</v>
      </c>
      <c r="I143" t="s">
        <v>21</v>
      </c>
      <c r="J143" t="s">
        <v>309</v>
      </c>
      <c r="K143" t="s">
        <v>570</v>
      </c>
    </row>
    <row r="144" spans="1:11" x14ac:dyDescent="0.2">
      <c r="A144" t="s">
        <v>344</v>
      </c>
      <c r="B144" t="s">
        <v>580</v>
      </c>
      <c r="C144" t="s">
        <v>56</v>
      </c>
      <c r="D144" t="s">
        <v>40</v>
      </c>
      <c r="E144" t="s">
        <v>162</v>
      </c>
      <c r="F144" t="s">
        <v>163</v>
      </c>
      <c r="G144" t="s">
        <v>569</v>
      </c>
      <c r="H144" t="s">
        <v>432</v>
      </c>
      <c r="I144" t="s">
        <v>21</v>
      </c>
      <c r="J144" t="s">
        <v>309</v>
      </c>
      <c r="K144" t="s">
        <v>570</v>
      </c>
    </row>
    <row r="145" spans="1:11" x14ac:dyDescent="0.2">
      <c r="A145" t="s">
        <v>344</v>
      </c>
      <c r="B145" t="s">
        <v>580</v>
      </c>
      <c r="C145" t="s">
        <v>56</v>
      </c>
      <c r="D145" t="s">
        <v>40</v>
      </c>
      <c r="E145" t="s">
        <v>162</v>
      </c>
      <c r="F145" t="s">
        <v>405</v>
      </c>
      <c r="G145" t="s">
        <v>569</v>
      </c>
      <c r="H145" t="s">
        <v>432</v>
      </c>
      <c r="I145" t="s">
        <v>21</v>
      </c>
      <c r="J145" t="s">
        <v>309</v>
      </c>
      <c r="K145" t="s">
        <v>570</v>
      </c>
    </row>
    <row r="146" spans="1:11" x14ac:dyDescent="0.2">
      <c r="A146" t="s">
        <v>344</v>
      </c>
      <c r="B146" t="s">
        <v>580</v>
      </c>
      <c r="C146" t="s">
        <v>56</v>
      </c>
      <c r="D146" t="s">
        <v>40</v>
      </c>
      <c r="E146" t="s">
        <v>114</v>
      </c>
      <c r="F146" t="s">
        <v>115</v>
      </c>
      <c r="G146" t="s">
        <v>569</v>
      </c>
      <c r="H146" t="s">
        <v>432</v>
      </c>
      <c r="I146" t="s">
        <v>21</v>
      </c>
      <c r="J146" t="s">
        <v>309</v>
      </c>
      <c r="K146" t="s">
        <v>570</v>
      </c>
    </row>
    <row r="147" spans="1:11" x14ac:dyDescent="0.2">
      <c r="A147" t="s">
        <v>344</v>
      </c>
      <c r="B147" t="s">
        <v>580</v>
      </c>
      <c r="C147" t="s">
        <v>56</v>
      </c>
      <c r="D147" t="s">
        <v>40</v>
      </c>
      <c r="E147" t="s">
        <v>114</v>
      </c>
      <c r="F147" t="s">
        <v>369</v>
      </c>
      <c r="G147" t="s">
        <v>569</v>
      </c>
      <c r="H147" t="s">
        <v>432</v>
      </c>
      <c r="I147" t="s">
        <v>21</v>
      </c>
      <c r="J147" t="s">
        <v>309</v>
      </c>
      <c r="K147" t="s">
        <v>570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BE5B2-55E6-4026-AAA3-152836E6B7BC}">
  <sheetPr codeName="Sheet15"/>
  <dimension ref="A1:O18"/>
  <sheetViews>
    <sheetView workbookViewId="0">
      <selection activeCell="G43" sqref="G43"/>
    </sheetView>
  </sheetViews>
  <sheetFormatPr baseColWidth="10" defaultColWidth="8.83203125" defaultRowHeight="15" x14ac:dyDescent="0.2"/>
  <cols>
    <col min="1" max="1" width="49" bestFit="1" customWidth="1"/>
    <col min="2" max="2" width="13.5" bestFit="1" customWidth="1"/>
    <col min="3" max="3" width="14.83203125" bestFit="1" customWidth="1"/>
    <col min="4" max="4" width="12.6640625" bestFit="1" customWidth="1"/>
    <col min="5" max="5" width="15.5" bestFit="1" customWidth="1"/>
    <col min="6" max="6" width="12.1640625" bestFit="1" customWidth="1"/>
    <col min="7" max="7" width="44.5" bestFit="1" customWidth="1"/>
    <col min="8" max="8" width="15.5" bestFit="1" customWidth="1"/>
    <col min="9" max="9" width="44.5" bestFit="1" customWidth="1"/>
    <col min="10" max="10" width="10" bestFit="1" customWidth="1"/>
    <col min="11" max="11" width="12" bestFit="1" customWidth="1"/>
    <col min="12" max="12" width="8.1640625" bestFit="1" customWidth="1"/>
    <col min="13" max="13" width="19.5" bestFit="1" customWidth="1"/>
    <col min="14" max="14" width="18.5" bestFit="1" customWidth="1"/>
    <col min="15" max="15" width="17.83203125" bestFit="1" customWidth="1"/>
  </cols>
  <sheetData>
    <row r="1" spans="1:15" x14ac:dyDescent="0.2">
      <c r="A1" t="s">
        <v>433</v>
      </c>
      <c r="B1" t="s">
        <v>308</v>
      </c>
      <c r="C1" t="s">
        <v>434</v>
      </c>
      <c r="D1" t="s">
        <v>435</v>
      </c>
      <c r="E1" t="s">
        <v>307</v>
      </c>
      <c r="F1" t="s">
        <v>436</v>
      </c>
      <c r="G1" t="s">
        <v>437</v>
      </c>
      <c r="H1" t="s">
        <v>4</v>
      </c>
      <c r="I1" t="s">
        <v>7</v>
      </c>
      <c r="J1" t="s">
        <v>9</v>
      </c>
      <c r="K1" t="s">
        <v>10</v>
      </c>
      <c r="L1" t="s">
        <v>12</v>
      </c>
      <c r="M1" t="s">
        <v>14</v>
      </c>
      <c r="N1" t="s">
        <v>17</v>
      </c>
      <c r="O1" t="s">
        <v>20</v>
      </c>
    </row>
    <row r="2" spans="1:15" x14ac:dyDescent="0.2">
      <c r="A2" t="s">
        <v>310</v>
      </c>
      <c r="B2" t="s">
        <v>438</v>
      </c>
      <c r="C2" t="s">
        <v>5</v>
      </c>
      <c r="D2" t="s">
        <v>428</v>
      </c>
      <c r="E2" t="s">
        <v>21</v>
      </c>
      <c r="F2" t="s">
        <v>309</v>
      </c>
      <c r="G2" t="s">
        <v>8</v>
      </c>
      <c r="H2" t="s">
        <v>5</v>
      </c>
      <c r="I2" t="s">
        <v>8</v>
      </c>
      <c r="J2">
        <v>20</v>
      </c>
      <c r="K2">
        <v>1</v>
      </c>
      <c r="L2">
        <v>4</v>
      </c>
      <c r="M2" t="s">
        <v>15</v>
      </c>
      <c r="N2" t="s">
        <v>18</v>
      </c>
      <c r="O2" t="s">
        <v>21</v>
      </c>
    </row>
    <row r="3" spans="1:15" x14ac:dyDescent="0.2">
      <c r="A3" t="s">
        <v>310</v>
      </c>
      <c r="B3" t="s">
        <v>439</v>
      </c>
      <c r="C3" t="s">
        <v>96</v>
      </c>
      <c r="D3" t="s">
        <v>428</v>
      </c>
      <c r="E3" t="s">
        <v>21</v>
      </c>
      <c r="F3" t="s">
        <v>309</v>
      </c>
      <c r="G3" t="s">
        <v>98</v>
      </c>
      <c r="H3" t="s">
        <v>96</v>
      </c>
      <c r="I3" t="s">
        <v>98</v>
      </c>
      <c r="J3">
        <v>20</v>
      </c>
      <c r="K3">
        <v>2</v>
      </c>
      <c r="L3">
        <v>4</v>
      </c>
      <c r="M3" t="s">
        <v>101</v>
      </c>
      <c r="N3" t="s">
        <v>18</v>
      </c>
      <c r="O3" t="s">
        <v>21</v>
      </c>
    </row>
    <row r="4" spans="1:15" x14ac:dyDescent="0.2">
      <c r="A4" t="s">
        <v>310</v>
      </c>
      <c r="B4" t="s">
        <v>440</v>
      </c>
      <c r="C4" t="s">
        <v>144</v>
      </c>
      <c r="D4" t="s">
        <v>428</v>
      </c>
      <c r="E4" t="s">
        <v>21</v>
      </c>
      <c r="F4" t="s">
        <v>309</v>
      </c>
      <c r="G4" t="s">
        <v>146</v>
      </c>
      <c r="H4" t="s">
        <v>144</v>
      </c>
      <c r="I4" t="s">
        <v>146</v>
      </c>
      <c r="J4">
        <v>20</v>
      </c>
      <c r="K4">
        <v>1</v>
      </c>
      <c r="L4">
        <v>5</v>
      </c>
      <c r="M4" t="s">
        <v>149</v>
      </c>
      <c r="N4" t="s">
        <v>18</v>
      </c>
      <c r="O4" t="s">
        <v>21</v>
      </c>
    </row>
    <row r="5" spans="1:15" x14ac:dyDescent="0.2">
      <c r="A5" t="s">
        <v>310</v>
      </c>
      <c r="B5" t="s">
        <v>441</v>
      </c>
      <c r="C5" t="s">
        <v>178</v>
      </c>
      <c r="D5" t="s">
        <v>428</v>
      </c>
      <c r="E5" t="s">
        <v>21</v>
      </c>
      <c r="F5" t="s">
        <v>309</v>
      </c>
      <c r="G5" t="s">
        <v>179</v>
      </c>
      <c r="H5" t="s">
        <v>178</v>
      </c>
      <c r="I5" t="s">
        <v>179</v>
      </c>
    </row>
    <row r="6" spans="1:15" x14ac:dyDescent="0.2">
      <c r="A6" t="s">
        <v>310</v>
      </c>
      <c r="B6" t="s">
        <v>442</v>
      </c>
      <c r="C6" t="s">
        <v>200</v>
      </c>
      <c r="D6" t="s">
        <v>428</v>
      </c>
      <c r="E6" t="s">
        <v>21</v>
      </c>
      <c r="F6" t="s">
        <v>309</v>
      </c>
      <c r="G6" t="s">
        <v>202</v>
      </c>
      <c r="H6" t="s">
        <v>200</v>
      </c>
      <c r="I6" t="s">
        <v>202</v>
      </c>
      <c r="J6">
        <v>20</v>
      </c>
      <c r="K6">
        <v>1</v>
      </c>
      <c r="L6">
        <v>6</v>
      </c>
      <c r="M6" t="s">
        <v>205</v>
      </c>
      <c r="N6" t="s">
        <v>18</v>
      </c>
      <c r="O6" t="s">
        <v>21</v>
      </c>
    </row>
    <row r="7" spans="1:15" x14ac:dyDescent="0.2">
      <c r="A7" t="s">
        <v>310</v>
      </c>
      <c r="B7" t="s">
        <v>443</v>
      </c>
      <c r="C7" t="s">
        <v>243</v>
      </c>
      <c r="D7" t="s">
        <v>428</v>
      </c>
      <c r="E7" t="s">
        <v>21</v>
      </c>
      <c r="F7" t="s">
        <v>309</v>
      </c>
      <c r="G7" t="s">
        <v>244</v>
      </c>
      <c r="H7" t="s">
        <v>243</v>
      </c>
      <c r="I7" t="s">
        <v>244</v>
      </c>
      <c r="J7">
        <v>20</v>
      </c>
      <c r="K7">
        <v>2</v>
      </c>
      <c r="L7">
        <v>6</v>
      </c>
      <c r="M7" t="s">
        <v>246</v>
      </c>
      <c r="N7" t="s">
        <v>18</v>
      </c>
      <c r="O7" t="s">
        <v>21</v>
      </c>
    </row>
    <row r="8" spans="1:15" x14ac:dyDescent="0.2">
      <c r="A8" t="s">
        <v>310</v>
      </c>
      <c r="B8" t="s">
        <v>444</v>
      </c>
      <c r="C8" t="s">
        <v>445</v>
      </c>
      <c r="D8" t="s">
        <v>428</v>
      </c>
      <c r="E8" t="s">
        <v>21</v>
      </c>
      <c r="F8" t="s">
        <v>309</v>
      </c>
      <c r="G8" t="s">
        <v>266</v>
      </c>
      <c r="H8">
        <v>6303</v>
      </c>
      <c r="I8" t="s">
        <v>266</v>
      </c>
      <c r="J8">
        <v>20</v>
      </c>
      <c r="K8">
        <v>1</v>
      </c>
      <c r="L8">
        <v>6</v>
      </c>
      <c r="M8" t="s">
        <v>269</v>
      </c>
      <c r="N8" t="s">
        <v>18</v>
      </c>
      <c r="O8" t="s">
        <v>21</v>
      </c>
    </row>
    <row r="9" spans="1:15" x14ac:dyDescent="0.2">
      <c r="A9" t="s">
        <v>310</v>
      </c>
      <c r="B9" t="s">
        <v>446</v>
      </c>
      <c r="C9" t="s">
        <v>289</v>
      </c>
      <c r="D9" t="s">
        <v>428</v>
      </c>
      <c r="E9" t="s">
        <v>21</v>
      </c>
      <c r="F9" t="s">
        <v>309</v>
      </c>
      <c r="G9" t="s">
        <v>288</v>
      </c>
      <c r="H9" t="s">
        <v>289</v>
      </c>
      <c r="I9" t="s">
        <v>288</v>
      </c>
      <c r="J9">
        <v>20</v>
      </c>
      <c r="K9" t="s">
        <v>293</v>
      </c>
      <c r="L9">
        <v>6</v>
      </c>
      <c r="M9" t="s">
        <v>296</v>
      </c>
      <c r="N9" t="s">
        <v>297</v>
      </c>
      <c r="O9" t="s">
        <v>21</v>
      </c>
    </row>
    <row r="10" spans="1:15" x14ac:dyDescent="0.2">
      <c r="A10" t="s">
        <v>344</v>
      </c>
      <c r="B10" t="s">
        <v>474</v>
      </c>
      <c r="C10" t="s">
        <v>475</v>
      </c>
      <c r="D10" t="s">
        <v>428</v>
      </c>
      <c r="E10" t="s">
        <v>21</v>
      </c>
      <c r="F10" t="s">
        <v>309</v>
      </c>
      <c r="G10" t="s">
        <v>476</v>
      </c>
      <c r="H10" t="s">
        <v>475</v>
      </c>
      <c r="I10" t="s">
        <v>476</v>
      </c>
      <c r="J10">
        <v>20</v>
      </c>
      <c r="K10">
        <v>1</v>
      </c>
      <c r="L10">
        <v>4</v>
      </c>
      <c r="M10" t="s">
        <v>477</v>
      </c>
      <c r="N10" t="s">
        <v>18</v>
      </c>
      <c r="O10" t="s">
        <v>393</v>
      </c>
    </row>
    <row r="11" spans="1:15" x14ac:dyDescent="0.2">
      <c r="A11" t="s">
        <v>344</v>
      </c>
      <c r="B11" t="s">
        <v>568</v>
      </c>
      <c r="C11" t="s">
        <v>569</v>
      </c>
      <c r="D11" t="s">
        <v>428</v>
      </c>
      <c r="E11" t="s">
        <v>21</v>
      </c>
      <c r="F11" t="s">
        <v>309</v>
      </c>
      <c r="G11" t="s">
        <v>570</v>
      </c>
      <c r="H11" t="s">
        <v>569</v>
      </c>
      <c r="I11" t="s">
        <v>570</v>
      </c>
      <c r="J11">
        <v>20</v>
      </c>
      <c r="K11">
        <v>2</v>
      </c>
      <c r="L11">
        <v>5</v>
      </c>
      <c r="M11" t="s">
        <v>571</v>
      </c>
      <c r="N11" t="s">
        <v>18</v>
      </c>
      <c r="O11" t="s">
        <v>385</v>
      </c>
    </row>
    <row r="12" spans="1:15" x14ac:dyDescent="0.2">
      <c r="A12" t="s">
        <v>319</v>
      </c>
      <c r="B12" t="s">
        <v>447</v>
      </c>
      <c r="C12" t="s">
        <v>448</v>
      </c>
      <c r="D12" t="s">
        <v>428</v>
      </c>
      <c r="E12" t="s">
        <v>21</v>
      </c>
      <c r="F12" t="s">
        <v>309</v>
      </c>
      <c r="G12" t="s">
        <v>449</v>
      </c>
      <c r="H12" t="s">
        <v>448</v>
      </c>
      <c r="I12" t="s">
        <v>449</v>
      </c>
      <c r="N12" t="s">
        <v>354</v>
      </c>
    </row>
    <row r="13" spans="1:15" x14ac:dyDescent="0.2">
      <c r="A13" t="s">
        <v>319</v>
      </c>
      <c r="B13" t="s">
        <v>450</v>
      </c>
      <c r="C13" t="s">
        <v>451</v>
      </c>
      <c r="D13" t="s">
        <v>428</v>
      </c>
      <c r="E13" t="s">
        <v>21</v>
      </c>
      <c r="F13" t="s">
        <v>309</v>
      </c>
      <c r="G13" t="s">
        <v>452</v>
      </c>
      <c r="H13" t="s">
        <v>451</v>
      </c>
      <c r="I13" t="s">
        <v>585</v>
      </c>
      <c r="J13">
        <v>20</v>
      </c>
      <c r="K13">
        <v>1</v>
      </c>
      <c r="L13">
        <v>4</v>
      </c>
      <c r="M13" t="s">
        <v>453</v>
      </c>
      <c r="N13" t="s">
        <v>18</v>
      </c>
      <c r="O13" t="s">
        <v>385</v>
      </c>
    </row>
    <row r="14" spans="1:15" x14ac:dyDescent="0.2">
      <c r="A14" t="s">
        <v>319</v>
      </c>
      <c r="B14" t="s">
        <v>454</v>
      </c>
      <c r="C14" t="s">
        <v>455</v>
      </c>
      <c r="D14" t="s">
        <v>428</v>
      </c>
      <c r="E14" t="s">
        <v>21</v>
      </c>
      <c r="F14" t="s">
        <v>309</v>
      </c>
      <c r="G14" t="s">
        <v>456</v>
      </c>
      <c r="H14" t="s">
        <v>455</v>
      </c>
      <c r="I14" t="s">
        <v>456</v>
      </c>
      <c r="J14">
        <v>20</v>
      </c>
      <c r="K14">
        <v>2</v>
      </c>
      <c r="L14">
        <v>4</v>
      </c>
      <c r="M14" t="s">
        <v>457</v>
      </c>
      <c r="N14" t="s">
        <v>18</v>
      </c>
      <c r="O14" t="s">
        <v>393</v>
      </c>
    </row>
    <row r="15" spans="1:15" x14ac:dyDescent="0.2">
      <c r="A15" t="s">
        <v>319</v>
      </c>
      <c r="B15" t="s">
        <v>458</v>
      </c>
      <c r="C15" t="s">
        <v>459</v>
      </c>
      <c r="D15" t="s">
        <v>428</v>
      </c>
      <c r="E15" t="s">
        <v>21</v>
      </c>
      <c r="F15" t="s">
        <v>309</v>
      </c>
      <c r="G15" t="s">
        <v>460</v>
      </c>
      <c r="H15" t="s">
        <v>459</v>
      </c>
      <c r="I15" t="s">
        <v>460</v>
      </c>
      <c r="J15">
        <v>20</v>
      </c>
      <c r="K15">
        <v>2</v>
      </c>
      <c r="L15">
        <v>5</v>
      </c>
      <c r="M15" t="s">
        <v>461</v>
      </c>
      <c r="N15" t="s">
        <v>354</v>
      </c>
      <c r="O15" t="s">
        <v>385</v>
      </c>
    </row>
    <row r="16" spans="1:15" x14ac:dyDescent="0.2">
      <c r="A16" t="s">
        <v>319</v>
      </c>
      <c r="B16" t="s">
        <v>462</v>
      </c>
      <c r="C16" t="s">
        <v>463</v>
      </c>
      <c r="D16" t="s">
        <v>428</v>
      </c>
      <c r="E16" t="s">
        <v>21</v>
      </c>
      <c r="F16" t="s">
        <v>309</v>
      </c>
      <c r="G16" t="s">
        <v>464</v>
      </c>
      <c r="H16" t="s">
        <v>463</v>
      </c>
      <c r="I16" t="s">
        <v>464</v>
      </c>
      <c r="J16">
        <v>20</v>
      </c>
      <c r="K16">
        <v>2</v>
      </c>
      <c r="L16">
        <v>5</v>
      </c>
      <c r="M16" t="s">
        <v>465</v>
      </c>
      <c r="N16" t="s">
        <v>18</v>
      </c>
      <c r="O16" t="s">
        <v>393</v>
      </c>
    </row>
    <row r="17" spans="1:15" x14ac:dyDescent="0.2">
      <c r="A17" t="s">
        <v>319</v>
      </c>
      <c r="B17" t="s">
        <v>466</v>
      </c>
      <c r="C17" t="s">
        <v>467</v>
      </c>
      <c r="D17" t="s">
        <v>428</v>
      </c>
      <c r="E17" t="s">
        <v>21</v>
      </c>
      <c r="F17" t="s">
        <v>309</v>
      </c>
      <c r="G17" t="s">
        <v>468</v>
      </c>
      <c r="H17" t="s">
        <v>467</v>
      </c>
      <c r="I17" t="s">
        <v>469</v>
      </c>
      <c r="L17">
        <v>5</v>
      </c>
      <c r="M17" t="s">
        <v>470</v>
      </c>
      <c r="N17" t="s">
        <v>18</v>
      </c>
      <c r="O17" t="s">
        <v>386</v>
      </c>
    </row>
    <row r="18" spans="1:15" x14ac:dyDescent="0.2">
      <c r="A18" t="s">
        <v>319</v>
      </c>
      <c r="B18" t="s">
        <v>471</v>
      </c>
      <c r="C18" t="s">
        <v>472</v>
      </c>
      <c r="D18" t="s">
        <v>428</v>
      </c>
      <c r="E18" t="s">
        <v>21</v>
      </c>
      <c r="F18" t="s">
        <v>309</v>
      </c>
      <c r="G18" t="s">
        <v>473</v>
      </c>
      <c r="H18" t="s">
        <v>472</v>
      </c>
      <c r="I18" t="s">
        <v>473</v>
      </c>
      <c r="J18">
        <v>40</v>
      </c>
      <c r="K18" t="s">
        <v>293</v>
      </c>
      <c r="L18">
        <v>6</v>
      </c>
      <c r="N18" t="s">
        <v>355</v>
      </c>
      <c r="O18" t="s">
        <v>385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B7394-A2C2-49E8-8135-59A5AEADB66E}">
  <sheetPr codeName="Sheet16"/>
  <dimension ref="A1:M18"/>
  <sheetViews>
    <sheetView workbookViewId="0">
      <selection activeCell="G45" sqref="G45"/>
    </sheetView>
  </sheetViews>
  <sheetFormatPr baseColWidth="10" defaultColWidth="8.83203125" defaultRowHeight="15" x14ac:dyDescent="0.2"/>
  <cols>
    <col min="1" max="1" width="49" bestFit="1" customWidth="1"/>
    <col min="2" max="2" width="14.5" bestFit="1" customWidth="1"/>
    <col min="3" max="3" width="14.83203125" bestFit="1" customWidth="1"/>
    <col min="4" max="4" width="12.6640625" bestFit="1" customWidth="1"/>
    <col min="5" max="5" width="15.5" bestFit="1" customWidth="1"/>
    <col min="6" max="6" width="12.1640625" bestFit="1" customWidth="1"/>
    <col min="7" max="7" width="44.5" bestFit="1" customWidth="1"/>
    <col min="8" max="8" width="10.1640625" bestFit="1" customWidth="1"/>
    <col min="9" max="9" width="10.6640625" bestFit="1" customWidth="1"/>
    <col min="10" max="10" width="11" bestFit="1" customWidth="1"/>
    <col min="11" max="11" width="12.5" bestFit="1" customWidth="1"/>
    <col min="12" max="12" width="9.33203125" bestFit="1" customWidth="1"/>
    <col min="13" max="13" width="7.6640625" bestFit="1" customWidth="1"/>
  </cols>
  <sheetData>
    <row r="1" spans="1:13" x14ac:dyDescent="0.2">
      <c r="A1" t="s">
        <v>433</v>
      </c>
      <c r="B1" t="s">
        <v>308</v>
      </c>
      <c r="C1" t="s">
        <v>434</v>
      </c>
      <c r="D1" t="s">
        <v>435</v>
      </c>
      <c r="E1" t="s">
        <v>307</v>
      </c>
      <c r="F1" t="s">
        <v>436</v>
      </c>
      <c r="G1" t="s">
        <v>437</v>
      </c>
      <c r="H1" t="s">
        <v>26</v>
      </c>
      <c r="I1" t="s">
        <v>27</v>
      </c>
      <c r="J1" t="s">
        <v>28</v>
      </c>
      <c r="K1" t="s">
        <v>29</v>
      </c>
      <c r="L1" t="s">
        <v>31</v>
      </c>
      <c r="M1" t="s">
        <v>33</v>
      </c>
    </row>
    <row r="2" spans="1:13" x14ac:dyDescent="0.2">
      <c r="A2" t="s">
        <v>310</v>
      </c>
      <c r="B2" t="s">
        <v>511</v>
      </c>
      <c r="C2" t="s">
        <v>5</v>
      </c>
      <c r="D2" t="s">
        <v>431</v>
      </c>
      <c r="E2" t="s">
        <v>21</v>
      </c>
      <c r="F2" t="s">
        <v>309</v>
      </c>
      <c r="G2" t="s">
        <v>8</v>
      </c>
      <c r="H2">
        <v>24</v>
      </c>
      <c r="I2">
        <v>10</v>
      </c>
      <c r="J2">
        <v>9</v>
      </c>
      <c r="K2">
        <v>6</v>
      </c>
      <c r="L2">
        <v>0</v>
      </c>
      <c r="M2">
        <v>49</v>
      </c>
    </row>
    <row r="3" spans="1:13" x14ac:dyDescent="0.2">
      <c r="A3" t="s">
        <v>310</v>
      </c>
      <c r="B3" t="s">
        <v>512</v>
      </c>
      <c r="C3" t="s">
        <v>96</v>
      </c>
      <c r="D3" t="s">
        <v>431</v>
      </c>
      <c r="E3" t="s">
        <v>21</v>
      </c>
      <c r="F3" t="s">
        <v>309</v>
      </c>
      <c r="G3" t="s">
        <v>98</v>
      </c>
      <c r="H3">
        <v>22</v>
      </c>
      <c r="I3">
        <v>14</v>
      </c>
      <c r="J3">
        <v>4</v>
      </c>
      <c r="K3">
        <v>8</v>
      </c>
      <c r="L3">
        <v>0</v>
      </c>
      <c r="M3">
        <v>48</v>
      </c>
    </row>
    <row r="4" spans="1:13" x14ac:dyDescent="0.2">
      <c r="A4" t="s">
        <v>310</v>
      </c>
      <c r="B4" t="s">
        <v>513</v>
      </c>
      <c r="C4" t="s">
        <v>144</v>
      </c>
      <c r="D4" t="s">
        <v>431</v>
      </c>
      <c r="E4" t="s">
        <v>21</v>
      </c>
      <c r="F4" t="s">
        <v>309</v>
      </c>
      <c r="G4" t="s">
        <v>146</v>
      </c>
      <c r="H4">
        <v>18</v>
      </c>
      <c r="I4">
        <v>14</v>
      </c>
      <c r="J4">
        <v>6</v>
      </c>
      <c r="K4">
        <v>10</v>
      </c>
      <c r="M4">
        <v>48</v>
      </c>
    </row>
    <row r="5" spans="1:13" x14ac:dyDescent="0.2">
      <c r="A5" t="s">
        <v>310</v>
      </c>
      <c r="B5" t="s">
        <v>514</v>
      </c>
      <c r="C5" t="s">
        <v>178</v>
      </c>
      <c r="D5" t="s">
        <v>431</v>
      </c>
      <c r="E5" t="s">
        <v>21</v>
      </c>
      <c r="F5" t="s">
        <v>309</v>
      </c>
      <c r="G5" t="s">
        <v>179</v>
      </c>
      <c r="M5">
        <v>0</v>
      </c>
    </row>
    <row r="6" spans="1:13" x14ac:dyDescent="0.2">
      <c r="A6" t="s">
        <v>310</v>
      </c>
      <c r="B6" t="s">
        <v>515</v>
      </c>
      <c r="C6" t="s">
        <v>200</v>
      </c>
      <c r="D6" t="s">
        <v>431</v>
      </c>
      <c r="E6" t="s">
        <v>21</v>
      </c>
      <c r="F6" t="s">
        <v>309</v>
      </c>
      <c r="G6" t="s">
        <v>202</v>
      </c>
      <c r="H6">
        <v>22</v>
      </c>
      <c r="J6">
        <v>16</v>
      </c>
      <c r="K6">
        <v>8</v>
      </c>
      <c r="M6">
        <v>46</v>
      </c>
    </row>
    <row r="7" spans="1:13" x14ac:dyDescent="0.2">
      <c r="A7" t="s">
        <v>310</v>
      </c>
      <c r="B7" t="s">
        <v>516</v>
      </c>
      <c r="C7" t="s">
        <v>243</v>
      </c>
      <c r="D7" t="s">
        <v>431</v>
      </c>
      <c r="E7" t="s">
        <v>21</v>
      </c>
      <c r="F7" t="s">
        <v>309</v>
      </c>
      <c r="G7" t="s">
        <v>244</v>
      </c>
      <c r="H7">
        <v>8</v>
      </c>
      <c r="J7">
        <v>12</v>
      </c>
      <c r="K7">
        <v>20</v>
      </c>
      <c r="M7">
        <v>40</v>
      </c>
    </row>
    <row r="8" spans="1:13" x14ac:dyDescent="0.2">
      <c r="A8" t="s">
        <v>310</v>
      </c>
      <c r="B8" t="s">
        <v>517</v>
      </c>
      <c r="C8" t="s">
        <v>445</v>
      </c>
      <c r="D8" t="s">
        <v>431</v>
      </c>
      <c r="E8" t="s">
        <v>21</v>
      </c>
      <c r="F8" t="s">
        <v>309</v>
      </c>
      <c r="G8" t="s">
        <v>266</v>
      </c>
      <c r="H8">
        <v>22</v>
      </c>
      <c r="I8">
        <v>18</v>
      </c>
      <c r="M8">
        <v>40</v>
      </c>
    </row>
    <row r="9" spans="1:13" x14ac:dyDescent="0.2">
      <c r="A9" t="s">
        <v>310</v>
      </c>
      <c r="B9" t="s">
        <v>518</v>
      </c>
      <c r="C9" t="s">
        <v>289</v>
      </c>
      <c r="D9" t="s">
        <v>431</v>
      </c>
      <c r="E9" t="s">
        <v>21</v>
      </c>
      <c r="F9" t="s">
        <v>309</v>
      </c>
      <c r="G9" t="s">
        <v>288</v>
      </c>
      <c r="H9">
        <v>10</v>
      </c>
      <c r="I9">
        <v>10</v>
      </c>
      <c r="M9">
        <v>20</v>
      </c>
    </row>
    <row r="10" spans="1:13" x14ac:dyDescent="0.2">
      <c r="A10" t="s">
        <v>344</v>
      </c>
      <c r="B10" t="s">
        <v>526</v>
      </c>
      <c r="C10" t="s">
        <v>475</v>
      </c>
      <c r="D10" t="s">
        <v>431</v>
      </c>
      <c r="E10" t="s">
        <v>21</v>
      </c>
      <c r="F10" t="s">
        <v>309</v>
      </c>
      <c r="G10" t="s">
        <v>476</v>
      </c>
      <c r="H10">
        <v>22</v>
      </c>
      <c r="L10">
        <v>22</v>
      </c>
      <c r="M10">
        <v>44</v>
      </c>
    </row>
    <row r="11" spans="1:13" x14ac:dyDescent="0.2">
      <c r="A11" t="s">
        <v>344</v>
      </c>
      <c r="B11" t="s">
        <v>579</v>
      </c>
      <c r="C11" t="s">
        <v>569</v>
      </c>
      <c r="D11" t="s">
        <v>431</v>
      </c>
      <c r="E11" t="s">
        <v>21</v>
      </c>
      <c r="F11" t="s">
        <v>309</v>
      </c>
      <c r="G11" t="s">
        <v>570</v>
      </c>
      <c r="H11">
        <v>38</v>
      </c>
      <c r="I11">
        <v>6</v>
      </c>
      <c r="J11">
        <v>0</v>
      </c>
      <c r="K11">
        <v>0</v>
      </c>
      <c r="L11">
        <v>0</v>
      </c>
      <c r="M11">
        <v>44</v>
      </c>
    </row>
    <row r="12" spans="1:13" x14ac:dyDescent="0.2">
      <c r="A12" t="s">
        <v>319</v>
      </c>
      <c r="B12" t="s">
        <v>519</v>
      </c>
      <c r="C12" t="s">
        <v>448</v>
      </c>
      <c r="D12" t="s">
        <v>431</v>
      </c>
      <c r="E12" t="s">
        <v>21</v>
      </c>
      <c r="F12" t="s">
        <v>309</v>
      </c>
      <c r="G12" t="s">
        <v>449</v>
      </c>
      <c r="M12">
        <v>0</v>
      </c>
    </row>
    <row r="13" spans="1:13" x14ac:dyDescent="0.2">
      <c r="A13" t="s">
        <v>319</v>
      </c>
      <c r="B13" t="s">
        <v>520</v>
      </c>
      <c r="C13" t="s">
        <v>451</v>
      </c>
      <c r="D13" t="s">
        <v>431</v>
      </c>
      <c r="E13" t="s">
        <v>21</v>
      </c>
      <c r="F13" t="s">
        <v>309</v>
      </c>
      <c r="G13" t="s">
        <v>452</v>
      </c>
      <c r="H13">
        <v>33</v>
      </c>
      <c r="I13">
        <v>1</v>
      </c>
      <c r="J13">
        <v>6</v>
      </c>
      <c r="K13">
        <v>1</v>
      </c>
      <c r="L13">
        <v>3</v>
      </c>
      <c r="M13">
        <v>44</v>
      </c>
    </row>
    <row r="14" spans="1:13" x14ac:dyDescent="0.2">
      <c r="A14" t="s">
        <v>319</v>
      </c>
      <c r="B14" t="s">
        <v>521</v>
      </c>
      <c r="C14" t="s">
        <v>455</v>
      </c>
      <c r="D14" t="s">
        <v>431</v>
      </c>
      <c r="E14" t="s">
        <v>21</v>
      </c>
      <c r="F14" t="s">
        <v>309</v>
      </c>
      <c r="G14" t="s">
        <v>456</v>
      </c>
      <c r="H14">
        <v>11</v>
      </c>
      <c r="J14">
        <v>6</v>
      </c>
      <c r="K14">
        <v>11</v>
      </c>
      <c r="L14">
        <v>11</v>
      </c>
      <c r="M14">
        <v>39</v>
      </c>
    </row>
    <row r="15" spans="1:13" x14ac:dyDescent="0.2">
      <c r="A15" t="s">
        <v>319</v>
      </c>
      <c r="B15" t="s">
        <v>522</v>
      </c>
      <c r="C15" t="s">
        <v>459</v>
      </c>
      <c r="D15" t="s">
        <v>431</v>
      </c>
      <c r="E15" t="s">
        <v>21</v>
      </c>
      <c r="F15" t="s">
        <v>309</v>
      </c>
      <c r="G15" t="s">
        <v>460</v>
      </c>
      <c r="H15">
        <v>34</v>
      </c>
      <c r="I15">
        <v>6</v>
      </c>
      <c r="K15">
        <v>2</v>
      </c>
      <c r="M15">
        <v>42</v>
      </c>
    </row>
    <row r="16" spans="1:13" x14ac:dyDescent="0.2">
      <c r="A16" t="s">
        <v>319</v>
      </c>
      <c r="B16" t="s">
        <v>523</v>
      </c>
      <c r="C16" t="s">
        <v>463</v>
      </c>
      <c r="D16" t="s">
        <v>431</v>
      </c>
      <c r="E16" t="s">
        <v>21</v>
      </c>
      <c r="F16" t="s">
        <v>309</v>
      </c>
      <c r="G16" t="s">
        <v>464</v>
      </c>
      <c r="H16">
        <v>16</v>
      </c>
      <c r="I16">
        <v>5</v>
      </c>
      <c r="J16">
        <v>6</v>
      </c>
      <c r="K16">
        <v>7</v>
      </c>
      <c r="L16">
        <v>6</v>
      </c>
      <c r="M16">
        <v>40</v>
      </c>
    </row>
    <row r="17" spans="1:13" x14ac:dyDescent="0.2">
      <c r="A17" t="s">
        <v>319</v>
      </c>
      <c r="B17" t="s">
        <v>524</v>
      </c>
      <c r="C17" t="s">
        <v>467</v>
      </c>
      <c r="D17" t="s">
        <v>431</v>
      </c>
      <c r="E17" t="s">
        <v>21</v>
      </c>
      <c r="F17" t="s">
        <v>309</v>
      </c>
      <c r="G17" t="s">
        <v>468</v>
      </c>
      <c r="M17">
        <v>0</v>
      </c>
    </row>
    <row r="18" spans="1:13" x14ac:dyDescent="0.2">
      <c r="A18" t="s">
        <v>319</v>
      </c>
      <c r="B18" t="s">
        <v>525</v>
      </c>
      <c r="C18" t="s">
        <v>472</v>
      </c>
      <c r="D18" t="s">
        <v>431</v>
      </c>
      <c r="E18" t="s">
        <v>21</v>
      </c>
      <c r="F18" t="s">
        <v>309</v>
      </c>
      <c r="G18" t="s">
        <v>473</v>
      </c>
      <c r="H18">
        <v>10</v>
      </c>
      <c r="I18">
        <v>26</v>
      </c>
      <c r="M18">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222F8-AEE2-4EDD-92C3-E8E41CE87D0E}">
  <sheetPr codeName="Sheet17"/>
  <dimension ref="A1:I18"/>
  <sheetViews>
    <sheetView workbookViewId="0">
      <selection sqref="A1:I18"/>
    </sheetView>
  </sheetViews>
  <sheetFormatPr baseColWidth="10" defaultColWidth="8.83203125" defaultRowHeight="15" x14ac:dyDescent="0.2"/>
  <cols>
    <col min="1" max="1" width="14.83203125" bestFit="1" customWidth="1"/>
    <col min="2" max="2" width="44.5" bestFit="1" customWidth="1"/>
    <col min="3" max="3" width="8.1640625" bestFit="1" customWidth="1"/>
    <col min="4" max="4" width="12" bestFit="1" customWidth="1"/>
    <col min="5" max="5" width="10" bestFit="1" customWidth="1"/>
    <col min="6" max="6" width="19.5" bestFit="1" customWidth="1"/>
    <col min="7" max="7" width="18.5" bestFit="1" customWidth="1"/>
    <col min="8" max="8" width="21.5" bestFit="1" customWidth="1"/>
    <col min="9" max="9" width="18.5" bestFit="1" customWidth="1"/>
  </cols>
  <sheetData>
    <row r="1" spans="1:9" x14ac:dyDescent="0.2">
      <c r="A1" t="s">
        <v>434</v>
      </c>
      <c r="B1" t="s">
        <v>437</v>
      </c>
      <c r="C1" t="s">
        <v>12</v>
      </c>
      <c r="D1" t="s">
        <v>10</v>
      </c>
      <c r="E1" t="s">
        <v>9</v>
      </c>
      <c r="F1" t="s">
        <v>14</v>
      </c>
      <c r="G1" t="s">
        <v>17</v>
      </c>
      <c r="H1" t="s">
        <v>543</v>
      </c>
      <c r="I1" t="s">
        <v>544</v>
      </c>
    </row>
    <row r="2" spans="1:9" x14ac:dyDescent="0.2">
      <c r="A2" t="s">
        <v>5</v>
      </c>
      <c r="B2" t="s">
        <v>8</v>
      </c>
      <c r="C2">
        <v>4</v>
      </c>
      <c r="D2">
        <v>1</v>
      </c>
      <c r="E2">
        <v>20</v>
      </c>
      <c r="F2" t="s">
        <v>15</v>
      </c>
      <c r="G2" t="s">
        <v>18</v>
      </c>
      <c r="H2">
        <v>49</v>
      </c>
      <c r="I2">
        <v>2.4500000000000002</v>
      </c>
    </row>
    <row r="3" spans="1:9" x14ac:dyDescent="0.2">
      <c r="A3" t="s">
        <v>96</v>
      </c>
      <c r="B3" t="s">
        <v>98</v>
      </c>
      <c r="C3">
        <v>4</v>
      </c>
      <c r="D3">
        <v>2</v>
      </c>
      <c r="E3">
        <v>20</v>
      </c>
      <c r="F3" t="s">
        <v>101</v>
      </c>
      <c r="G3" t="s">
        <v>18</v>
      </c>
      <c r="H3">
        <v>48</v>
      </c>
      <c r="I3">
        <v>2.4</v>
      </c>
    </row>
    <row r="4" spans="1:9" x14ac:dyDescent="0.2">
      <c r="A4" t="s">
        <v>144</v>
      </c>
      <c r="B4" t="s">
        <v>146</v>
      </c>
      <c r="C4">
        <v>5</v>
      </c>
      <c r="D4">
        <v>1</v>
      </c>
      <c r="E4">
        <v>20</v>
      </c>
      <c r="F4" t="s">
        <v>149</v>
      </c>
      <c r="G4" t="s">
        <v>18</v>
      </c>
      <c r="H4">
        <v>48</v>
      </c>
      <c r="I4">
        <v>2.4</v>
      </c>
    </row>
    <row r="5" spans="1:9" x14ac:dyDescent="0.2">
      <c r="A5" t="s">
        <v>178</v>
      </c>
      <c r="B5" t="s">
        <v>179</v>
      </c>
      <c r="H5">
        <v>0</v>
      </c>
    </row>
    <row r="6" spans="1:9" x14ac:dyDescent="0.2">
      <c r="A6" t="s">
        <v>200</v>
      </c>
      <c r="B6" t="s">
        <v>202</v>
      </c>
      <c r="C6">
        <v>6</v>
      </c>
      <c r="D6">
        <v>1</v>
      </c>
      <c r="E6">
        <v>20</v>
      </c>
      <c r="F6" t="s">
        <v>205</v>
      </c>
      <c r="G6" t="s">
        <v>18</v>
      </c>
      <c r="H6">
        <v>46</v>
      </c>
      <c r="I6">
        <v>2.2999999999999998</v>
      </c>
    </row>
    <row r="7" spans="1:9" x14ac:dyDescent="0.2">
      <c r="A7" t="s">
        <v>243</v>
      </c>
      <c r="B7" t="s">
        <v>244</v>
      </c>
      <c r="C7">
        <v>6</v>
      </c>
      <c r="D7">
        <v>2</v>
      </c>
      <c r="E7">
        <v>20</v>
      </c>
      <c r="F7" t="s">
        <v>246</v>
      </c>
      <c r="G7" t="s">
        <v>18</v>
      </c>
      <c r="H7">
        <v>40</v>
      </c>
      <c r="I7">
        <v>2</v>
      </c>
    </row>
    <row r="8" spans="1:9" x14ac:dyDescent="0.2">
      <c r="A8" t="s">
        <v>445</v>
      </c>
      <c r="B8" t="s">
        <v>266</v>
      </c>
      <c r="C8">
        <v>6</v>
      </c>
      <c r="D8">
        <v>1</v>
      </c>
      <c r="E8">
        <v>20</v>
      </c>
      <c r="F8" t="s">
        <v>269</v>
      </c>
      <c r="G8" t="s">
        <v>18</v>
      </c>
      <c r="H8">
        <v>40</v>
      </c>
      <c r="I8">
        <v>2</v>
      </c>
    </row>
    <row r="9" spans="1:9" x14ac:dyDescent="0.2">
      <c r="A9" t="s">
        <v>289</v>
      </c>
      <c r="B9" t="s">
        <v>288</v>
      </c>
      <c r="C9">
        <v>6</v>
      </c>
      <c r="E9">
        <v>20</v>
      </c>
      <c r="F9" t="s">
        <v>296</v>
      </c>
      <c r="G9" t="s">
        <v>297</v>
      </c>
      <c r="H9">
        <v>20</v>
      </c>
      <c r="I9">
        <v>1</v>
      </c>
    </row>
    <row r="10" spans="1:9" x14ac:dyDescent="0.2">
      <c r="A10" t="s">
        <v>475</v>
      </c>
      <c r="B10" t="s">
        <v>476</v>
      </c>
      <c r="C10">
        <v>4</v>
      </c>
      <c r="D10">
        <v>1</v>
      </c>
      <c r="E10">
        <v>20</v>
      </c>
      <c r="F10" t="s">
        <v>477</v>
      </c>
      <c r="G10" t="s">
        <v>18</v>
      </c>
      <c r="H10">
        <v>44</v>
      </c>
      <c r="I10">
        <v>2.2000000000000002</v>
      </c>
    </row>
    <row r="11" spans="1:9" x14ac:dyDescent="0.2">
      <c r="A11" t="s">
        <v>569</v>
      </c>
      <c r="B11" t="s">
        <v>570</v>
      </c>
      <c r="C11">
        <v>5</v>
      </c>
      <c r="D11">
        <v>2</v>
      </c>
      <c r="E11">
        <v>20</v>
      </c>
      <c r="F11" t="s">
        <v>571</v>
      </c>
      <c r="G11" t="s">
        <v>18</v>
      </c>
      <c r="H11">
        <v>44</v>
      </c>
      <c r="I11">
        <v>2.2000000000000002</v>
      </c>
    </row>
    <row r="12" spans="1:9" x14ac:dyDescent="0.2">
      <c r="A12" t="s">
        <v>448</v>
      </c>
      <c r="B12" t="s">
        <v>449</v>
      </c>
      <c r="G12" t="s">
        <v>354</v>
      </c>
      <c r="H12">
        <v>0</v>
      </c>
    </row>
    <row r="13" spans="1:9" x14ac:dyDescent="0.2">
      <c r="A13" t="s">
        <v>451</v>
      </c>
      <c r="B13" t="s">
        <v>452</v>
      </c>
      <c r="C13">
        <v>4</v>
      </c>
      <c r="D13">
        <v>1</v>
      </c>
      <c r="E13">
        <v>20</v>
      </c>
      <c r="F13" t="s">
        <v>453</v>
      </c>
      <c r="G13" t="s">
        <v>18</v>
      </c>
      <c r="H13">
        <v>44</v>
      </c>
      <c r="I13">
        <v>2.2000000000000002</v>
      </c>
    </row>
    <row r="14" spans="1:9" x14ac:dyDescent="0.2">
      <c r="A14" t="s">
        <v>455</v>
      </c>
      <c r="B14" t="s">
        <v>456</v>
      </c>
      <c r="C14">
        <v>4</v>
      </c>
      <c r="D14">
        <v>2</v>
      </c>
      <c r="E14">
        <v>20</v>
      </c>
      <c r="F14" t="s">
        <v>457</v>
      </c>
      <c r="G14" t="s">
        <v>18</v>
      </c>
      <c r="H14">
        <v>39</v>
      </c>
      <c r="I14">
        <v>1.95</v>
      </c>
    </row>
    <row r="15" spans="1:9" x14ac:dyDescent="0.2">
      <c r="A15" t="s">
        <v>459</v>
      </c>
      <c r="B15" t="s">
        <v>460</v>
      </c>
      <c r="C15">
        <v>5</v>
      </c>
      <c r="D15">
        <v>2</v>
      </c>
      <c r="E15">
        <v>20</v>
      </c>
      <c r="F15" t="s">
        <v>461</v>
      </c>
      <c r="G15" t="s">
        <v>354</v>
      </c>
      <c r="H15">
        <v>42</v>
      </c>
      <c r="I15">
        <v>2.1</v>
      </c>
    </row>
    <row r="16" spans="1:9" x14ac:dyDescent="0.2">
      <c r="A16" t="s">
        <v>463</v>
      </c>
      <c r="B16" t="s">
        <v>464</v>
      </c>
      <c r="C16">
        <v>5</v>
      </c>
      <c r="D16">
        <v>2</v>
      </c>
      <c r="E16">
        <v>20</v>
      </c>
      <c r="F16" t="s">
        <v>465</v>
      </c>
      <c r="G16" t="s">
        <v>18</v>
      </c>
      <c r="H16">
        <v>40</v>
      </c>
      <c r="I16">
        <v>2</v>
      </c>
    </row>
    <row r="17" spans="1:9" x14ac:dyDescent="0.2">
      <c r="A17" t="s">
        <v>467</v>
      </c>
      <c r="B17" t="s">
        <v>468</v>
      </c>
      <c r="C17">
        <v>5</v>
      </c>
      <c r="F17" t="s">
        <v>470</v>
      </c>
      <c r="G17" t="s">
        <v>18</v>
      </c>
      <c r="H17">
        <v>0</v>
      </c>
    </row>
    <row r="18" spans="1:9" x14ac:dyDescent="0.2">
      <c r="A18" t="s">
        <v>472</v>
      </c>
      <c r="B18" t="s">
        <v>473</v>
      </c>
      <c r="C18">
        <v>6</v>
      </c>
      <c r="E18">
        <v>40</v>
      </c>
      <c r="G18" t="s">
        <v>355</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EC527-72AF-4900-8E0D-EFA312AFAF0C}">
  <sheetPr codeName="Sheet18"/>
  <dimension ref="A1:E65"/>
  <sheetViews>
    <sheetView topLeftCell="A19" workbookViewId="0">
      <selection activeCell="AA29" sqref="AA29"/>
    </sheetView>
  </sheetViews>
  <sheetFormatPr baseColWidth="10" defaultColWidth="8.83203125" defaultRowHeight="15" x14ac:dyDescent="0.2"/>
  <cols>
    <col min="1" max="1" width="42.5" bestFit="1" customWidth="1"/>
    <col min="2" max="2" width="38" bestFit="1" customWidth="1"/>
    <col min="3" max="3" width="81.1640625" bestFit="1" customWidth="1"/>
    <col min="4" max="4" width="16.1640625" bestFit="1" customWidth="1"/>
    <col min="5" max="5" width="11" bestFit="1" customWidth="1"/>
  </cols>
  <sheetData>
    <row r="1" spans="1:5" x14ac:dyDescent="0.2">
      <c r="A1" t="s">
        <v>356</v>
      </c>
      <c r="B1" t="s">
        <v>357</v>
      </c>
      <c r="C1" t="s">
        <v>545</v>
      </c>
      <c r="D1" t="s">
        <v>546</v>
      </c>
      <c r="E1" t="s">
        <v>547</v>
      </c>
    </row>
    <row r="2" spans="1:5" x14ac:dyDescent="0.2">
      <c r="A2" t="s">
        <v>114</v>
      </c>
      <c r="B2" t="s">
        <v>216</v>
      </c>
      <c r="C2" t="s">
        <v>548</v>
      </c>
      <c r="D2">
        <v>5</v>
      </c>
      <c r="E2" t="b">
        <v>1</v>
      </c>
    </row>
    <row r="3" spans="1:5" x14ac:dyDescent="0.2">
      <c r="A3" t="s">
        <v>66</v>
      </c>
      <c r="B3" t="s">
        <v>67</v>
      </c>
      <c r="C3" t="s">
        <v>549</v>
      </c>
      <c r="D3">
        <v>10</v>
      </c>
      <c r="E3" t="b">
        <v>1</v>
      </c>
    </row>
    <row r="4" spans="1:5" x14ac:dyDescent="0.2">
      <c r="A4" t="s">
        <v>114</v>
      </c>
      <c r="B4" t="s">
        <v>116</v>
      </c>
      <c r="C4" t="s">
        <v>550</v>
      </c>
      <c r="D4">
        <v>10</v>
      </c>
      <c r="E4" t="b">
        <v>1</v>
      </c>
    </row>
    <row r="5" spans="1:5" x14ac:dyDescent="0.2">
      <c r="A5" t="s">
        <v>66</v>
      </c>
      <c r="B5" t="s">
        <v>68</v>
      </c>
      <c r="C5" t="s">
        <v>551</v>
      </c>
      <c r="D5">
        <v>2</v>
      </c>
      <c r="E5" t="b">
        <v>1</v>
      </c>
    </row>
    <row r="6" spans="1:5" x14ac:dyDescent="0.2">
      <c r="A6" t="s">
        <v>114</v>
      </c>
      <c r="B6" t="s">
        <v>115</v>
      </c>
      <c r="C6" t="s">
        <v>581</v>
      </c>
      <c r="D6">
        <v>8</v>
      </c>
      <c r="E6" t="b">
        <v>1</v>
      </c>
    </row>
    <row r="7" spans="1:5" x14ac:dyDescent="0.2">
      <c r="A7" t="s">
        <v>66</v>
      </c>
      <c r="B7" t="s">
        <v>69</v>
      </c>
      <c r="C7" t="s">
        <v>552</v>
      </c>
      <c r="D7">
        <v>2</v>
      </c>
      <c r="E7" t="b">
        <v>1</v>
      </c>
    </row>
    <row r="8" spans="1:5" x14ac:dyDescent="0.2">
      <c r="A8" t="s">
        <v>114</v>
      </c>
      <c r="B8" t="s">
        <v>365</v>
      </c>
      <c r="C8" t="s">
        <v>553</v>
      </c>
      <c r="D8">
        <v>2</v>
      </c>
      <c r="E8" t="b">
        <v>1</v>
      </c>
    </row>
    <row r="9" spans="1:5" x14ac:dyDescent="0.2">
      <c r="A9" t="s">
        <v>114</v>
      </c>
      <c r="B9" t="s">
        <v>181</v>
      </c>
      <c r="C9" t="s">
        <v>554</v>
      </c>
      <c r="D9">
        <v>2</v>
      </c>
      <c r="E9" t="b">
        <v>1</v>
      </c>
    </row>
    <row r="10" spans="1:5" x14ac:dyDescent="0.2">
      <c r="A10" t="s">
        <v>72</v>
      </c>
      <c r="B10" t="s">
        <v>73</v>
      </c>
      <c r="C10" t="s">
        <v>8</v>
      </c>
      <c r="D10">
        <v>1</v>
      </c>
      <c r="E10" t="b">
        <v>1</v>
      </c>
    </row>
    <row r="11" spans="1:5" x14ac:dyDescent="0.2">
      <c r="A11" t="s">
        <v>114</v>
      </c>
      <c r="B11" t="s">
        <v>369</v>
      </c>
      <c r="C11" t="s">
        <v>582</v>
      </c>
      <c r="D11">
        <v>2</v>
      </c>
      <c r="E11" t="b">
        <v>1</v>
      </c>
    </row>
    <row r="12" spans="1:5" x14ac:dyDescent="0.2">
      <c r="A12" t="s">
        <v>72</v>
      </c>
      <c r="B12" t="s">
        <v>74</v>
      </c>
      <c r="C12" t="s">
        <v>555</v>
      </c>
      <c r="D12">
        <v>5</v>
      </c>
      <c r="E12" t="b">
        <v>1</v>
      </c>
    </row>
    <row r="13" spans="1:5" x14ac:dyDescent="0.2">
      <c r="A13" t="s">
        <v>183</v>
      </c>
      <c r="B13" t="s">
        <v>372</v>
      </c>
      <c r="D13">
        <v>0</v>
      </c>
      <c r="E13" t="b">
        <v>0</v>
      </c>
    </row>
    <row r="14" spans="1:5" x14ac:dyDescent="0.2">
      <c r="A14" t="s">
        <v>75</v>
      </c>
      <c r="B14" t="s">
        <v>76</v>
      </c>
      <c r="C14" t="s">
        <v>556</v>
      </c>
      <c r="D14">
        <v>5</v>
      </c>
      <c r="E14" t="b">
        <v>1</v>
      </c>
    </row>
    <row r="15" spans="1:5" x14ac:dyDescent="0.2">
      <c r="A15" t="s">
        <v>183</v>
      </c>
      <c r="B15" t="s">
        <v>217</v>
      </c>
      <c r="C15" t="s">
        <v>557</v>
      </c>
      <c r="D15">
        <v>4</v>
      </c>
      <c r="E15" t="b">
        <v>1</v>
      </c>
    </row>
    <row r="16" spans="1:5" x14ac:dyDescent="0.2">
      <c r="A16" t="s">
        <v>72</v>
      </c>
      <c r="B16" t="s">
        <v>77</v>
      </c>
      <c r="C16" t="s">
        <v>8</v>
      </c>
      <c r="D16">
        <v>1</v>
      </c>
      <c r="E16" t="b">
        <v>1</v>
      </c>
    </row>
    <row r="17" spans="1:5" x14ac:dyDescent="0.2">
      <c r="A17" t="s">
        <v>183</v>
      </c>
      <c r="B17" t="s">
        <v>198</v>
      </c>
      <c r="C17" t="s">
        <v>558</v>
      </c>
      <c r="D17">
        <v>2</v>
      </c>
      <c r="E17" t="b">
        <v>1</v>
      </c>
    </row>
    <row r="18" spans="1:5" x14ac:dyDescent="0.2">
      <c r="A18" t="s">
        <v>183</v>
      </c>
      <c r="B18" t="s">
        <v>379</v>
      </c>
      <c r="D18">
        <v>0</v>
      </c>
      <c r="E18" t="b">
        <v>0</v>
      </c>
    </row>
    <row r="19" spans="1:5" x14ac:dyDescent="0.2">
      <c r="A19" t="s">
        <v>183</v>
      </c>
      <c r="B19" t="s">
        <v>184</v>
      </c>
      <c r="C19" t="s">
        <v>559</v>
      </c>
      <c r="D19">
        <v>6</v>
      </c>
      <c r="E19" t="b">
        <v>1</v>
      </c>
    </row>
    <row r="20" spans="1:5" x14ac:dyDescent="0.2">
      <c r="A20" t="s">
        <v>117</v>
      </c>
      <c r="B20" t="s">
        <v>118</v>
      </c>
      <c r="C20" t="s">
        <v>98</v>
      </c>
      <c r="D20">
        <v>1</v>
      </c>
      <c r="E20" t="b">
        <v>1</v>
      </c>
    </row>
    <row r="21" spans="1:5" x14ac:dyDescent="0.2">
      <c r="A21" t="s">
        <v>183</v>
      </c>
      <c r="B21" t="s">
        <v>384</v>
      </c>
      <c r="C21" t="s">
        <v>473</v>
      </c>
      <c r="D21">
        <v>1</v>
      </c>
      <c r="E21" t="b">
        <v>1</v>
      </c>
    </row>
    <row r="22" spans="1:5" x14ac:dyDescent="0.2">
      <c r="A22" t="s">
        <v>75</v>
      </c>
      <c r="B22" t="s">
        <v>119</v>
      </c>
      <c r="C22" t="s">
        <v>583</v>
      </c>
      <c r="D22">
        <v>5</v>
      </c>
      <c r="E22" t="b">
        <v>1</v>
      </c>
    </row>
    <row r="23" spans="1:5" x14ac:dyDescent="0.2">
      <c r="A23" t="s">
        <v>75</v>
      </c>
      <c r="B23" t="s">
        <v>182</v>
      </c>
      <c r="C23" t="s">
        <v>560</v>
      </c>
      <c r="D23">
        <v>4</v>
      </c>
      <c r="E23" t="b">
        <v>1</v>
      </c>
    </row>
    <row r="24" spans="1:5" x14ac:dyDescent="0.2">
      <c r="A24" t="s">
        <v>117</v>
      </c>
      <c r="B24" t="s">
        <v>120</v>
      </c>
      <c r="C24" t="s">
        <v>561</v>
      </c>
      <c r="D24">
        <v>2</v>
      </c>
      <c r="E24" t="b">
        <v>1</v>
      </c>
    </row>
    <row r="25" spans="1:5" x14ac:dyDescent="0.2">
      <c r="A25" t="s">
        <v>75</v>
      </c>
      <c r="B25" t="s">
        <v>387</v>
      </c>
      <c r="D25">
        <v>0</v>
      </c>
      <c r="E25" t="b">
        <v>0</v>
      </c>
    </row>
    <row r="26" spans="1:5" x14ac:dyDescent="0.2">
      <c r="A26" t="s">
        <v>162</v>
      </c>
      <c r="B26" t="s">
        <v>163</v>
      </c>
      <c r="C26" t="s">
        <v>584</v>
      </c>
      <c r="D26">
        <v>3</v>
      </c>
      <c r="E26" t="b">
        <v>1</v>
      </c>
    </row>
    <row r="27" spans="1:5" x14ac:dyDescent="0.2">
      <c r="A27" t="s">
        <v>75</v>
      </c>
      <c r="B27" t="s">
        <v>391</v>
      </c>
      <c r="D27">
        <v>0</v>
      </c>
      <c r="E27" t="b">
        <v>0</v>
      </c>
    </row>
    <row r="28" spans="1:5" x14ac:dyDescent="0.2">
      <c r="A28" t="s">
        <v>75</v>
      </c>
      <c r="B28" t="s">
        <v>394</v>
      </c>
      <c r="C28" t="s">
        <v>473</v>
      </c>
      <c r="D28">
        <v>1</v>
      </c>
      <c r="E28" t="b">
        <v>1</v>
      </c>
    </row>
    <row r="29" spans="1:5" x14ac:dyDescent="0.2">
      <c r="A29" t="s">
        <v>117</v>
      </c>
      <c r="B29" t="s">
        <v>395</v>
      </c>
      <c r="D29">
        <v>0</v>
      </c>
      <c r="E29" t="b">
        <v>0</v>
      </c>
    </row>
    <row r="30" spans="1:5" x14ac:dyDescent="0.2">
      <c r="A30" t="s">
        <v>117</v>
      </c>
      <c r="B30" t="s">
        <v>396</v>
      </c>
      <c r="C30" t="s">
        <v>562</v>
      </c>
      <c r="D30">
        <v>2</v>
      </c>
      <c r="E30" t="b">
        <v>1</v>
      </c>
    </row>
    <row r="31" spans="1:5" x14ac:dyDescent="0.2">
      <c r="A31" t="s">
        <v>117</v>
      </c>
      <c r="B31" t="s">
        <v>397</v>
      </c>
      <c r="C31" t="s">
        <v>464</v>
      </c>
      <c r="D31">
        <v>1</v>
      </c>
      <c r="E31" t="b">
        <v>1</v>
      </c>
    </row>
    <row r="32" spans="1:5" x14ac:dyDescent="0.2">
      <c r="A32" t="s">
        <v>117</v>
      </c>
      <c r="B32" t="s">
        <v>398</v>
      </c>
      <c r="C32" t="s">
        <v>563</v>
      </c>
      <c r="D32">
        <v>6</v>
      </c>
      <c r="E32" t="b">
        <v>1</v>
      </c>
    </row>
    <row r="33" spans="1:5" x14ac:dyDescent="0.2">
      <c r="A33" t="s">
        <v>66</v>
      </c>
      <c r="B33" t="s">
        <v>218</v>
      </c>
      <c r="C33" t="s">
        <v>564</v>
      </c>
      <c r="D33">
        <v>2</v>
      </c>
      <c r="E33" t="b">
        <v>1</v>
      </c>
    </row>
    <row r="34" spans="1:5" x14ac:dyDescent="0.2">
      <c r="A34" t="s">
        <v>162</v>
      </c>
      <c r="B34" t="s">
        <v>252</v>
      </c>
      <c r="C34" t="s">
        <v>244</v>
      </c>
      <c r="D34">
        <v>1</v>
      </c>
      <c r="E34" t="b">
        <v>1</v>
      </c>
    </row>
    <row r="35" spans="1:5" x14ac:dyDescent="0.2">
      <c r="A35" t="s">
        <v>72</v>
      </c>
      <c r="B35" t="s">
        <v>399</v>
      </c>
      <c r="D35">
        <v>0</v>
      </c>
      <c r="E35" t="b">
        <v>0</v>
      </c>
    </row>
    <row r="36" spans="1:5" x14ac:dyDescent="0.2">
      <c r="A36" t="s">
        <v>72</v>
      </c>
      <c r="B36" t="s">
        <v>400</v>
      </c>
      <c r="D36">
        <v>0</v>
      </c>
      <c r="E36" t="b">
        <v>0</v>
      </c>
    </row>
    <row r="37" spans="1:5" x14ac:dyDescent="0.2">
      <c r="A37" t="s">
        <v>72</v>
      </c>
      <c r="B37" t="s">
        <v>401</v>
      </c>
      <c r="D37">
        <v>0</v>
      </c>
      <c r="E37" t="b">
        <v>0</v>
      </c>
    </row>
    <row r="38" spans="1:5" x14ac:dyDescent="0.2">
      <c r="A38" t="s">
        <v>72</v>
      </c>
      <c r="B38" t="s">
        <v>402</v>
      </c>
      <c r="D38">
        <v>0</v>
      </c>
      <c r="E38" t="b">
        <v>0</v>
      </c>
    </row>
    <row r="39" spans="1:5" x14ac:dyDescent="0.2">
      <c r="A39" t="s">
        <v>66</v>
      </c>
      <c r="B39" t="s">
        <v>403</v>
      </c>
      <c r="C39" t="s">
        <v>464</v>
      </c>
      <c r="D39">
        <v>1</v>
      </c>
      <c r="E39" t="b">
        <v>1</v>
      </c>
    </row>
    <row r="40" spans="1:5" x14ac:dyDescent="0.2">
      <c r="A40" t="s">
        <v>66</v>
      </c>
      <c r="B40" t="s">
        <v>404</v>
      </c>
      <c r="C40" t="s">
        <v>565</v>
      </c>
      <c r="D40">
        <v>3</v>
      </c>
      <c r="E40" t="b">
        <v>1</v>
      </c>
    </row>
    <row r="41" spans="1:5" x14ac:dyDescent="0.2">
      <c r="A41" t="s">
        <v>162</v>
      </c>
      <c r="B41" t="s">
        <v>405</v>
      </c>
      <c r="C41" t="s">
        <v>570</v>
      </c>
      <c r="D41">
        <v>1</v>
      </c>
      <c r="E41" t="b">
        <v>1</v>
      </c>
    </row>
    <row r="42" spans="1:5" x14ac:dyDescent="0.2">
      <c r="A42" t="s">
        <v>162</v>
      </c>
      <c r="B42" t="s">
        <v>406</v>
      </c>
      <c r="D42">
        <v>0</v>
      </c>
      <c r="E42" t="b">
        <v>0</v>
      </c>
    </row>
    <row r="43" spans="1:5" x14ac:dyDescent="0.2">
      <c r="A43" t="s">
        <v>162</v>
      </c>
      <c r="B43" t="s">
        <v>407</v>
      </c>
      <c r="D43">
        <v>0</v>
      </c>
      <c r="E43" t="b">
        <v>0</v>
      </c>
    </row>
    <row r="44" spans="1:5" x14ac:dyDescent="0.2">
      <c r="A44" t="s">
        <v>162</v>
      </c>
      <c r="B44" t="s">
        <v>408</v>
      </c>
      <c r="C44" t="s">
        <v>456</v>
      </c>
      <c r="D44">
        <v>1</v>
      </c>
      <c r="E44" t="b">
        <v>1</v>
      </c>
    </row>
    <row r="45" spans="1:5" x14ac:dyDescent="0.2">
      <c r="A45" t="s">
        <v>253</v>
      </c>
      <c r="B45" t="s">
        <v>409</v>
      </c>
      <c r="C45" t="s">
        <v>456</v>
      </c>
      <c r="D45">
        <v>1</v>
      </c>
      <c r="E45" t="b">
        <v>1</v>
      </c>
    </row>
    <row r="46" spans="1:5" x14ac:dyDescent="0.2">
      <c r="A46" t="s">
        <v>253</v>
      </c>
      <c r="B46" t="s">
        <v>410</v>
      </c>
      <c r="D46">
        <v>0</v>
      </c>
      <c r="E46" t="b">
        <v>0</v>
      </c>
    </row>
    <row r="47" spans="1:5" x14ac:dyDescent="0.2">
      <c r="A47" t="s">
        <v>253</v>
      </c>
      <c r="B47" t="s">
        <v>411</v>
      </c>
      <c r="D47">
        <v>0</v>
      </c>
      <c r="E47" t="b">
        <v>0</v>
      </c>
    </row>
    <row r="48" spans="1:5" x14ac:dyDescent="0.2">
      <c r="A48" t="s">
        <v>253</v>
      </c>
      <c r="B48" t="s">
        <v>412</v>
      </c>
      <c r="C48" t="s">
        <v>566</v>
      </c>
      <c r="D48">
        <v>3</v>
      </c>
      <c r="E48" t="b">
        <v>1</v>
      </c>
    </row>
    <row r="49" spans="1:5" x14ac:dyDescent="0.2">
      <c r="A49" t="s">
        <v>253</v>
      </c>
      <c r="B49" t="s">
        <v>254</v>
      </c>
      <c r="C49" t="s">
        <v>567</v>
      </c>
      <c r="D49">
        <v>2</v>
      </c>
      <c r="E49" t="b">
        <v>1</v>
      </c>
    </row>
    <row r="50" spans="1:5" x14ac:dyDescent="0.2">
      <c r="A50" t="s">
        <v>253</v>
      </c>
      <c r="B50" t="s">
        <v>413</v>
      </c>
      <c r="C50" t="s">
        <v>456</v>
      </c>
      <c r="D50">
        <v>1</v>
      </c>
      <c r="E50" t="b">
        <v>1</v>
      </c>
    </row>
    <row r="51" spans="1:5" x14ac:dyDescent="0.2">
      <c r="A51" t="s">
        <v>253</v>
      </c>
      <c r="B51" t="s">
        <v>414</v>
      </c>
      <c r="D51">
        <v>0</v>
      </c>
      <c r="E51" t="b">
        <v>0</v>
      </c>
    </row>
    <row r="52" spans="1:5" x14ac:dyDescent="0.2">
      <c r="A52" t="s">
        <v>253</v>
      </c>
      <c r="B52" t="s">
        <v>415</v>
      </c>
      <c r="D52">
        <v>0</v>
      </c>
      <c r="E52" t="b">
        <v>0</v>
      </c>
    </row>
    <row r="53" spans="1:5" x14ac:dyDescent="0.2">
      <c r="A53" t="s">
        <v>253</v>
      </c>
      <c r="B53" t="s">
        <v>416</v>
      </c>
      <c r="D53">
        <v>0</v>
      </c>
      <c r="E53" t="b">
        <v>0</v>
      </c>
    </row>
    <row r="54" spans="1:5" x14ac:dyDescent="0.2">
      <c r="A54" t="s">
        <v>70</v>
      </c>
      <c r="B54" t="s">
        <v>417</v>
      </c>
      <c r="D54">
        <v>0</v>
      </c>
      <c r="E54" t="b">
        <v>0</v>
      </c>
    </row>
    <row r="55" spans="1:5" x14ac:dyDescent="0.2">
      <c r="A55" t="s">
        <v>70</v>
      </c>
      <c r="B55" t="s">
        <v>418</v>
      </c>
      <c r="D55">
        <v>0</v>
      </c>
      <c r="E55" t="b">
        <v>0</v>
      </c>
    </row>
    <row r="56" spans="1:5" x14ac:dyDescent="0.2">
      <c r="A56" t="s">
        <v>70</v>
      </c>
      <c r="B56" t="s">
        <v>164</v>
      </c>
      <c r="C56" t="s">
        <v>146</v>
      </c>
      <c r="D56">
        <v>1</v>
      </c>
      <c r="E56" t="b">
        <v>1</v>
      </c>
    </row>
    <row r="57" spans="1:5" x14ac:dyDescent="0.2">
      <c r="A57" t="s">
        <v>70</v>
      </c>
      <c r="B57" t="s">
        <v>419</v>
      </c>
      <c r="D57">
        <v>0</v>
      </c>
      <c r="E57" t="b">
        <v>0</v>
      </c>
    </row>
    <row r="58" spans="1:5" x14ac:dyDescent="0.2">
      <c r="A58" t="s">
        <v>70</v>
      </c>
      <c r="B58" t="s">
        <v>71</v>
      </c>
      <c r="C58" t="s">
        <v>552</v>
      </c>
      <c r="D58">
        <v>2</v>
      </c>
      <c r="E58" t="b">
        <v>1</v>
      </c>
    </row>
    <row r="59" spans="1:5" x14ac:dyDescent="0.2">
      <c r="A59" t="s">
        <v>353</v>
      </c>
      <c r="B59" t="s">
        <v>420</v>
      </c>
      <c r="D59">
        <v>0</v>
      </c>
      <c r="E59" t="b">
        <v>0</v>
      </c>
    </row>
    <row r="60" spans="1:5" x14ac:dyDescent="0.2">
      <c r="A60" t="s">
        <v>353</v>
      </c>
      <c r="B60" t="s">
        <v>421</v>
      </c>
      <c r="D60">
        <v>0</v>
      </c>
      <c r="E60" t="b">
        <v>0</v>
      </c>
    </row>
    <row r="61" spans="1:5" x14ac:dyDescent="0.2">
      <c r="A61" t="s">
        <v>353</v>
      </c>
      <c r="B61" t="s">
        <v>422</v>
      </c>
      <c r="D61">
        <v>0</v>
      </c>
      <c r="E61" t="b">
        <v>0</v>
      </c>
    </row>
    <row r="62" spans="1:5" x14ac:dyDescent="0.2">
      <c r="A62" t="s">
        <v>353</v>
      </c>
      <c r="B62" t="s">
        <v>423</v>
      </c>
      <c r="D62">
        <v>0</v>
      </c>
      <c r="E62" t="b">
        <v>0</v>
      </c>
    </row>
    <row r="63" spans="1:5" x14ac:dyDescent="0.2">
      <c r="A63" t="s">
        <v>353</v>
      </c>
      <c r="B63" t="s">
        <v>424</v>
      </c>
      <c r="D63">
        <v>0</v>
      </c>
      <c r="E63" t="b">
        <v>0</v>
      </c>
    </row>
    <row r="64" spans="1:5" x14ac:dyDescent="0.2">
      <c r="A64" t="s">
        <v>353</v>
      </c>
      <c r="B64" t="s">
        <v>425</v>
      </c>
      <c r="D64">
        <v>0</v>
      </c>
      <c r="E64" t="b">
        <v>0</v>
      </c>
    </row>
    <row r="65" spans="1:5" x14ac:dyDescent="0.2">
      <c r="A65" t="s">
        <v>353</v>
      </c>
      <c r="B65" t="s">
        <v>426</v>
      </c>
      <c r="D65">
        <v>0</v>
      </c>
      <c r="E65"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ADF99893-84B7-4DB0-BCCB-1BE3FDF1FFB8}">
  <ds:schemaRefs>
    <ds:schemaRef ds:uri="http://schemas.microsoft.com/office/2006/documentManagement/types"/>
    <ds:schemaRef ds:uri="http://schemas.microsoft.com/office/2006/metadata/properties"/>
    <ds:schemaRef ds:uri="f1436123-e04c-43f8-b7d8-6e3401685a6a"/>
    <ds:schemaRef ds:uri="http://schemas.openxmlformats.org/package/2006/metadata/core-properties"/>
    <ds:schemaRef ds:uri="http://purl.org/dc/elements/1.1/"/>
    <ds:schemaRef ds:uri="http://purl.org/dc/dcmitype/"/>
    <ds:schemaRef ds:uri="http://www.w3.org/XML/1998/namespace"/>
    <ds:schemaRef ds:uri="http://purl.org/dc/terms/"/>
    <ds:schemaRef ds:uri="e2acc87f-978a-4c56-9887-574fe2c7e53e"/>
    <ds:schemaRef ds:uri="http://schemas.microsoft.com/office/infopath/2007/PartnerControls"/>
  </ds:schemaRefs>
</ds:datastoreItem>
</file>

<file path=customXml/itemProps2.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3.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4301SPS</vt:lpstr>
      <vt:lpstr>4303SPS</vt:lpstr>
      <vt:lpstr>5301SPS</vt:lpstr>
      <vt:lpstr>5302SPS</vt:lpstr>
      <vt:lpstr>6301SPS</vt:lpstr>
      <vt:lpstr>6302SPS</vt:lpstr>
      <vt:lpstr>6303SPS</vt:lpstr>
      <vt:lpstr>6304SPS</vt:lpstr>
      <vt:lpstr>LISTS</vt:lpstr>
      <vt:lpstr>FS_Meta</vt:lpstr>
      <vt:lpstr>FS_LO</vt:lpstr>
      <vt:lpstr>FS_Assess</vt:lpstr>
      <vt:lpstr>FS_Hours</vt:lpstr>
      <vt:lpstr>FS_Mapping</vt:lpstr>
      <vt:lpstr>FS_Meta_Wide</vt:lpstr>
      <vt:lpstr>FS_Hours_Wide</vt:lpstr>
      <vt:lpstr>FS_Module_Overview</vt:lpstr>
      <vt:lpstr>FS_SkillsCoverage</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2026-09-30T08:15:05Z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