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queryTables/queryTable1.xml" ContentType="application/vnd.openxmlformats-officedocument.spreadsheetml.queryTable+xml"/>
  <Override PartName="/xl/tables/table132.xml" ContentType="application/vnd.openxmlformats-officedocument.spreadsheetml.table+xml"/>
  <Override PartName="/xl/queryTables/queryTable2.xml" ContentType="application/vnd.openxmlformats-officedocument.spreadsheetml.queryTable+xml"/>
  <Override PartName="/xl/tables/table133.xml" ContentType="application/vnd.openxmlformats-officedocument.spreadsheetml.table+xml"/>
  <Override PartName="/xl/queryTables/queryTable3.xml" ContentType="application/vnd.openxmlformats-officedocument.spreadsheetml.queryTable+xml"/>
  <Override PartName="/xl/tables/table134.xml" ContentType="application/vnd.openxmlformats-officedocument.spreadsheetml.table+xml"/>
  <Override PartName="/xl/queryTables/queryTable4.xml" ContentType="application/vnd.openxmlformats-officedocument.spreadsheetml.queryTable+xml"/>
  <Override PartName="/xl/tables/table135.xml" ContentType="application/vnd.openxmlformats-officedocument.spreadsheetml.table+xml"/>
  <Override PartName="/xl/queryTables/queryTable5.xml" ContentType="application/vnd.openxmlformats-officedocument.spreadsheetml.queryTable+xml"/>
  <Override PartName="/xl/tables/table136.xml" ContentType="application/vnd.openxmlformats-officedocument.spreadsheetml.table+xml"/>
  <Override PartName="/xl/queryTables/queryTable6.xml" ContentType="application/vnd.openxmlformats-officedocument.spreadsheetml.queryTable+xml"/>
  <Override PartName="/xl/tables/table137.xml" ContentType="application/vnd.openxmlformats-officedocument.spreadsheetml.table+xml"/>
  <Override PartName="/xl/queryTables/queryTable7.xml" ContentType="application/vnd.openxmlformats-officedocument.spreadsheetml.queryTable+xml"/>
  <Override PartName="/xl/tables/table138.xml" ContentType="application/vnd.openxmlformats-officedocument.spreadsheetml.table+xml"/>
  <Override PartName="/xl/queryTables/queryTable8.xml" ContentType="application/vnd.openxmlformats-officedocument.spreadsheetml.queryTable+xml"/>
  <Override PartName="/xl/tables/table139.xml" ContentType="application/vnd.openxmlformats-officedocument.spreadsheetml.table+xml"/>
  <Override PartName="/xl/queryTables/queryTable9.xml" ContentType="application/vnd.openxmlformats-officedocument.spreadsheetml.queryTable+xml"/>
  <Override PartName="/xl/tables/table140.xml" ContentType="application/vnd.openxmlformats-officedocument.spreadsheetml.table+xml"/>
  <Override PartName="/xl/tables/table1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marob\Desktop\"/>
    </mc:Choice>
  </mc:AlternateContent>
  <xr:revisionPtr revIDLastSave="0" documentId="8_{8ABB2D69-7F2E-4773-94D4-04EE63F4C0F0}" xr6:coauthVersionLast="47" xr6:coauthVersionMax="47" xr10:uidLastSave="{00000000-0000-0000-0000-000000000000}"/>
  <bookViews>
    <workbookView xWindow="7890" yWindow="3285" windowWidth="27255" windowHeight="20760" xr2:uid="{8D7B9789-0724-4FF2-A9AF-E462B2920CAC}"/>
  </bookViews>
  <sheets>
    <sheet name="4001SPS" sheetId="93" r:id="rId1"/>
    <sheet name="4003SPS" sheetId="75" r:id="rId2"/>
    <sheet name="4004SPS" sheetId="76" r:id="rId3"/>
    <sheet name="4006SPS" sheetId="77" r:id="rId4"/>
    <sheet name="5001SPS" sheetId="78" r:id="rId5"/>
    <sheet name="5014SPS" sheetId="79" r:id="rId6"/>
    <sheet name="5015SPS" sheetId="80" r:id="rId7"/>
    <sheet name="5005SPS" sheetId="81" r:id="rId8"/>
    <sheet name="6003SPS" sheetId="82" r:id="rId9"/>
    <sheet name="6004SPS" sheetId="83" r:id="rId10"/>
    <sheet name="6007SPS" sheetId="84" r:id="rId11"/>
    <sheet name="6008SPS" sheetId="85" r:id="rId12"/>
    <sheet name="6006SPS" sheetId="86" r:id="rId13"/>
    <sheet name="SN_Meta_Wide" sheetId="99" r:id="rId14"/>
    <sheet name="SN_Module_Overview" sheetId="101" r:id="rId15"/>
    <sheet name="SN_Hours_Wide" sheetId="100" r:id="rId16"/>
    <sheet name="SN_SkillsCoverage" sheetId="102" r:id="rId17"/>
    <sheet name="SN_Mapping" sheetId="98" r:id="rId18"/>
    <sheet name="SN_Hours" sheetId="97" r:id="rId19"/>
    <sheet name="SN_Meta" sheetId="94" r:id="rId20"/>
    <sheet name="SN_Assess" sheetId="96" r:id="rId21"/>
    <sheet name="SN_LO" sheetId="95" r:id="rId22"/>
    <sheet name="LISTS" sheetId="4" r:id="rId23"/>
  </sheets>
  <definedNames>
    <definedName name="ApplicationofKnowledge">_xlfn.ANCHORARRAY(LISTS!$O$37)</definedName>
    <definedName name="Communication">_xlfn.ANCHORARRAY(LISTS!$O$62)</definedName>
    <definedName name="DeliveryEnvironment">_xlfn.ANCHORARRAY(LISTS!$O$89)</definedName>
    <definedName name="ExternalData_1" localSheetId="19" hidden="1">SN_Meta!$A$1:$I$137</definedName>
    <definedName name="ExternalData_2" localSheetId="21" hidden="1">SN_LO!$A$1:$I$53</definedName>
    <definedName name="ExternalData_3" localSheetId="20" hidden="1">SN_Assess!$A$1:$M$36</definedName>
    <definedName name="ExternalData_4" localSheetId="18" hidden="1">SN_Hours!$A$1:$I$103</definedName>
    <definedName name="ExternalData_5" localSheetId="17" hidden="1">SN_Mapping!$A$1:$K$209</definedName>
    <definedName name="ExternalData_6" localSheetId="13" hidden="1">SN_Meta_Wide!$A$1:$O$18</definedName>
    <definedName name="ExternalData_7" localSheetId="15" hidden="1">SN_Hours_Wide!$A$1:$N$18</definedName>
    <definedName name="ExternalData_8" localSheetId="14" hidden="1">SN_Module_Overview!$A$1:$I$18</definedName>
    <definedName name="ExternalData_9" localSheetId="16" hidden="1">SN_SkillsCoverage!$A$1:$E$65</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TechnicalSkills">_xlfn.ANCHORARRAY(LISTS!$O$29)</definedName>
    <definedName name="UnderstandingResearch">_xlfn.ANCHORARRAY(LISTS!$O$45)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93" l="1"/>
  <c r="D24" i="93"/>
  <c r="C2" i="93"/>
  <c r="D24" i="86"/>
  <c r="D2" i="86"/>
  <c r="C2" i="86"/>
  <c r="D24" i="85"/>
  <c r="D2" i="85"/>
  <c r="C2" i="85"/>
  <c r="D24" i="84"/>
  <c r="D2" i="84"/>
  <c r="C2" i="84"/>
  <c r="D24" i="83"/>
  <c r="D2" i="83"/>
  <c r="C2" i="83"/>
  <c r="D24" i="82"/>
  <c r="D2" i="82"/>
  <c r="C2" i="82"/>
  <c r="D24" i="81"/>
  <c r="D2" i="81"/>
  <c r="C2" i="81"/>
  <c r="D24" i="80"/>
  <c r="D2" i="80"/>
  <c r="C2" i="80"/>
  <c r="D24" i="79"/>
  <c r="D2" i="79"/>
  <c r="C2" i="79"/>
  <c r="D24" i="78"/>
  <c r="D2" i="78"/>
  <c r="C2" i="78"/>
  <c r="D24" i="77"/>
  <c r="D2" i="77"/>
  <c r="C2" i="77"/>
  <c r="D24" i="76"/>
  <c r="D2" i="76"/>
  <c r="C2" i="76"/>
  <c r="D24" i="75"/>
  <c r="D2" i="75"/>
  <c r="C2" i="75"/>
  <c r="O96" i="4" a="1"/>
  <c r="O89" i="4" a="1"/>
  <c r="O78" i="4" a="1"/>
  <c r="O70" i="4" a="1"/>
  <c r="O62" i="4" a="1"/>
  <c r="O53" i="4" a="1"/>
  <c r="O45" i="4" a="1"/>
  <c r="O37" i="4" a="1"/>
  <c r="O29" i="4" a="1"/>
  <c r="O21" i="4"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9ED035-9922-4D12-B356-A35A504F5001}" keepAlive="1" name="Query - fnItemTable" description="Connection to the 'fnItemTable' query in the workbook." type="5" refreshedVersion="0" background="1">
    <dbPr connection="Provider=Microsoft.Mashup.OleDb.1;Data Source=$Workbook$;Location=fnItemTable;Extended Properties=&quot;&quot;" command="SELECT * FROM [fnItemTable]"/>
  </connection>
  <connection id="2" xr16:uid="{DA29FB4F-39C1-4D10-ADE7-B45AB9DC3F9D}" keepAlive="1" name="Query - fnModuleOverview"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3" xr16:uid="{DBF4C215-A771-4F71-9F13-CE5E450EC9B7}" keepAlive="1" name="Query - fnParseTableName"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4" xr16:uid="{974517FB-0E50-4DBC-ADF8-60894CD66225}" keepAlive="1" name="Query - fnPivotKeyValue" description="Connection to the 'fnPivotKeyValue' query in the workbook." type="5" refreshedVersion="0" background="1">
    <dbPr connection="Provider=Microsoft.Mashup.OleDb.1;Data Source=$Workbook$;Location=fnPivotKeyValue;Extended Properties=&quot;&quot;" command="SELECT * FROM [fnPivotKeyValue]"/>
  </connection>
  <connection id="5" xr16:uid="{C5C1A983-66C2-46C9-B180-AC7B2D041BEF}" keepAlive="1" name="Query - fnSkillsCoverage" description="Connection to the 'fnSkillsCoverage' query in the workbook." type="5" refreshedVersion="0" background="1">
    <dbPr connection="Provider=Microsoft.Mashup.OleDb.1;Data Source=$Workbook$;Location=fnSkillsCoverage;Extended Properties=&quot;&quot;" command="SELECT * FROM [fnSkillsCoverage]"/>
  </connection>
  <connection id="6" xr16:uid="{C4E60B8C-0A9F-4915-A52A-36F894D653C9}" keepAlive="1" name="Query - GetRegisterFileContent"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7" xr16:uid="{D3739B10-D8F6-42A3-880E-2EFC62295361}" keepAlive="1" name="Query - GetWorkbookFiles"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8" xr16:uid="{7208A358-B759-4176-8021-5406D93B92AC}" keepAlive="1" name="Query - GraduateSkillsCatalogue" description="Connection to the 'GraduateSkillsCatalogue' query in the workbook." type="5" refreshedVersion="0" background="1">
    <dbPr connection="Provider=Microsoft.Mashup.OleDb.1;Data Source=$Workbook$;Location=GraduateSkillsCatalogue;Extended Properties=&quot;&quot;" command="SELECT * FROM [GraduateSkillsCatalogue]"/>
  </connection>
  <connection id="9" xr16:uid="{6FC5B657-681C-4FF2-A819-25AB7E416F69}" keepAlive="1" name="Query - ModuleRegister" description="Connection to the 'ModuleRegister' query in the workbook." type="5" refreshedVersion="0" background="1">
    <dbPr connection="Provider=Microsoft.Mashup.OleDb.1;Data Source=$Workbook$;Location=ModuleRegister;Extended Properties=&quot;&quot;" command="SELECT * FROM [ModuleRegister]"/>
  </connection>
  <connection id="10" xr16:uid="{5188DB9F-FB55-4AB9-84E9-CDEAB02CAD94}" keepAlive="1" name="Query - RegisterBlocks" description="Connection to the 'RegisterBlocks' query in the workbook." type="5" refreshedVersion="0" background="1">
    <dbPr connection="Provider=Microsoft.Mashup.OleDb.1;Data Source=$Workbook$;Location=RegisterBlocks;Extended Properties=&quot;&quot;" command="SELECT * FROM [RegisterBlocks]"/>
  </connection>
  <connection id="11" xr16:uid="{D5BC82BC-C688-4EE4-A8AB-753A97635233}" keepAlive="1" name="Query - RelevantItems" description="Connection to the 'RelevantItems' query in the workbook." type="5" refreshedVersion="0" background="1">
    <dbPr connection="Provider=Microsoft.Mashup.OleDb.1;Data Source=$Workbook$;Location=RelevantItems;Extended Properties=&quot;&quot;" command="SELECT * FROM [RelevantItems]"/>
  </connection>
  <connection id="12" xr16:uid="{76368630-0CEF-425A-8738-A2B9A375C376}" keepAlive="1" name="Query - SharePointSiteRoot"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13" xr16:uid="{98073A92-846A-4C98-9EA7-36859EE37DAC}" keepAlive="1" name="Query - SN_Assess" description="Connection to the 'SN_Assess' query in the workbook." type="5" refreshedVersion="8" background="1" saveData="1">
    <dbPr connection="Provider=Microsoft.Mashup.OleDb.1;Data Source=$Workbook$;Location=SN_Assess;Extended Properties=&quot;&quot;" command="SELECT * FROM [SN_Assess]"/>
  </connection>
  <connection id="14" xr16:uid="{B21E6B42-2CC9-4480-9374-6C5AD21A9B81}" keepAlive="1" name="Query - SN_Hours" description="Connection to the 'SN_Hours' query in the workbook." type="5" refreshedVersion="8" background="1" saveData="1">
    <dbPr connection="Provider=Microsoft.Mashup.OleDb.1;Data Source=$Workbook$;Location=SN_Hours;Extended Properties=&quot;&quot;" command="SELECT * FROM [SN_Hours]"/>
  </connection>
  <connection id="15" xr16:uid="{CB98FF25-A993-4B97-BC3E-AACC00C78FF4}" keepAlive="1" name="Query - SN_Hours_Wide" description="Connection to the 'SN_Hours_Wide' query in the workbook." type="5" refreshedVersion="8" background="1" saveData="1">
    <dbPr connection="Provider=Microsoft.Mashup.OleDb.1;Data Source=$Workbook$;Location=SN_Hours_Wide;Extended Properties=&quot;&quot;" command="SELECT * FROM [SN_Hours_Wide]"/>
  </connection>
  <connection id="16" xr16:uid="{19002DC3-3AC5-4E93-888C-94B837CEB486}" keepAlive="1" name="Query - SN_LO" description="Connection to the 'SN_LO' query in the workbook." type="5" refreshedVersion="8" background="1" saveData="1">
    <dbPr connection="Provider=Microsoft.Mashup.OleDb.1;Data Source=$Workbook$;Location=SN_LO;Extended Properties=&quot;&quot;" command="SELECT * FROM [SN_LO]"/>
  </connection>
  <connection id="17" xr16:uid="{D914A453-2030-4844-A89A-F947EC0F6ABC}" keepAlive="1" name="Query - SN_Mapping" description="Connection to the 'SN_Mapping' query in the workbook." type="5" refreshedVersion="8" background="1" saveData="1">
    <dbPr connection="Provider=Microsoft.Mashup.OleDb.1;Data Source=$Workbook$;Location=SN_Mapping;Extended Properties=&quot;&quot;" command="SELECT * FROM [SN_Mapping]"/>
  </connection>
  <connection id="18" xr16:uid="{4F7A69B9-2CAD-4916-B467-DC6DF559777D}" keepAlive="1" name="Query - SN_Meta" description="Connection to the 'SN_Meta' query in the workbook." type="5" refreshedVersion="8" background="1" saveData="1">
    <dbPr connection="Provider=Microsoft.Mashup.OleDb.1;Data Source=$Workbook$;Location=SN_Meta;Extended Properties=&quot;&quot;" command="SELECT * FROM [SN_Meta]"/>
  </connection>
  <connection id="19" xr16:uid="{EBF2E43C-CA14-4E91-AC53-2EB080E8D049}" keepAlive="1" name="Query - SN_Meta_Wide" description="Connection to the 'SN_Meta_Wide' query in the workbook." type="5" refreshedVersion="8" background="1" saveData="1">
    <dbPr connection="Provider=Microsoft.Mashup.OleDb.1;Data Source=$Workbook$;Location=SN_Meta_Wide;Extended Properties=&quot;&quot;" command="SELECT * FROM [SN_Meta_Wide]"/>
  </connection>
  <connection id="20" xr16:uid="{CFCD897A-4249-46BA-B11C-3DF6FF8AE9BE}" keepAlive="1" name="Query - SN_Module_Overview" description="Connection to the 'SN_Module_Overview' query in the workbook." type="5" refreshedVersion="8" background="1" saveData="1">
    <dbPr connection="Provider=Microsoft.Mashup.OleDb.1;Data Source=$Workbook$;Location=SN_Module_Overview;Extended Properties=&quot;&quot;" command="SELECT * FROM [SN_Module_Overview]"/>
  </connection>
  <connection id="21" xr16:uid="{E5FF7E46-F9CF-4F9A-9377-850B6826EEAD}" keepAlive="1" name="Query - SN_SkillsCoverage" description="Connection to the 'SN_SkillsCoverage' query in the workbook." type="5" refreshedVersion="8" background="1" saveData="1">
    <dbPr connection="Provider=Microsoft.Mashup.OleDb.1;Data Source=$Workbook$;Location=SN_SkillsCoverage;Extended Properties=&quot;&quot;" command="SELECT * FROM [SN_SkillsCoverage]"/>
  </connection>
  <connection id="22" xr16:uid="{6D2EA10F-4559-44D5-B610-26DC6D99A709}" keepAlive="1" name="Query - SourceTables" description="Connection to the 'SourceTables' query in the workbook." type="5" refreshedVersion="0" background="1">
    <dbPr connection="Provider=Microsoft.Mashup.OleDb.1;Data Source=$Workbook$;Location=SourceTables;Extended Properties=&quot;&quot;" command="SELECT * FROM [SourceTables]"/>
  </connection>
  <connection id="23" xr16:uid="{81CBC8C1-1719-4766-A6F3-DB32759DB6D8}" keepAlive="1" name="Query - SourceTablesParsed"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<sst xmlns="http://schemas.openxmlformats.org/spreadsheetml/2006/main" count="7770" uniqueCount="1034">
  <si>
    <t>Module Information</t>
  </si>
  <si>
    <t>Module Data</t>
  </si>
  <si>
    <t>Details</t>
  </si>
  <si>
    <t>Aims</t>
  </si>
  <si>
    <t>Module Code</t>
  </si>
  <si>
    <t>4001SPS</t>
  </si>
  <si>
    <t>To establish the foundations of professional practice: the practical toolkit of nutritional assessment, the standards and ethics of a regulated profession, and the beginnings of a practitioner identity that develops through the Professional Practice strand to Level 6.</t>
  </si>
  <si>
    <t>Module Title</t>
  </si>
  <si>
    <t>Professional Practice 1 in Sport Nutrition</t>
  </si>
  <si>
    <t>Credits</t>
  </si>
  <si>
    <t>Semester</t>
  </si>
  <si>
    <t>YL</t>
  </si>
  <si>
    <t>Outline Syllabus</t>
  </si>
  <si>
    <t>Level</t>
  </si>
  <si>
    <r>
      <t>(Apply)</t>
    </r>
    <r>
      <rPr>
        <sz val="11"/>
        <color theme="1"/>
        <rFont val="Arial"/>
        <family val="2"/>
        <charset val="1"/>
      </rPr>
      <t xml:space="preserve"> Select and demonstrate appropriate methods to assess energy intake, energy expenditure and body composition, justifying the method chosen for a given purpose.</t>
    </r>
  </si>
  <si>
    <t>Module Leader</t>
  </si>
  <si>
    <t>Sam Moss</t>
  </si>
  <si>
    <t>Module Type</t>
  </si>
  <si>
    <t>Prof Practice Strand</t>
  </si>
  <si>
    <t>Programme(s)</t>
  </si>
  <si>
    <t>Sport Nutrition</t>
  </si>
  <si>
    <t>Module Overview</t>
  </si>
  <si>
    <t>This module introduces what it means to practise as a nutrition professional. You will build the core practical toolkit for assessing what people eat and how their bodies use energy, while learning the standards, ethics and scope of practice that govern the profession. Through consultation role-play and a Peer Learning Group, you begin to develop and reflect on your own practitioner identity, a thread that continues through Professional Practice 2 and into your final-year work.</t>
  </si>
  <si>
    <t>Contact Hours</t>
  </si>
  <si>
    <t>Component</t>
  </si>
  <si>
    <t>Lecture</t>
  </si>
  <si>
    <t>Seminar</t>
  </si>
  <si>
    <t>Practical</t>
  </si>
  <si>
    <t>Workshop</t>
  </si>
  <si>
    <t>Additional Information/Notes</t>
  </si>
  <si>
    <t>Online</t>
  </si>
  <si>
    <r>
      <t>Golden thread:</t>
    </r>
    <r>
      <rPr>
        <sz val="11"/>
        <color theme="1"/>
        <rFont val="Arial"/>
        <family val="2"/>
        <charset val="1"/>
      </rPr>
      <t xml:space="preserve"> </t>
    </r>
    <r>
      <rPr>
        <i/>
        <sz val="11"/>
        <color theme="1"/>
        <rFont val="Arial"/>
        <family val="2"/>
        <charset val="1"/>
      </rPr>
      <t>“Who am I becoming, and how do I know what I am measuring is true?”</t>
    </r>
    <r>
      <rPr>
        <sz val="11"/>
        <color theme="1"/>
        <rFont val="Arial"/>
        <family val="2"/>
        <charset val="1"/>
      </rPr>
      <t xml:space="preserve"> The module tracks a single developing practitioner identity, with each week adding one tool to the toolkit and one facet of professional conduct, so that by week 12 the student has both a populated portfolio and a defensible account of their own development.</t>
    </r>
  </si>
  <si>
    <t>Total</t>
  </si>
  <si>
    <r>
      <t>Formative</t>
    </r>
    <r>
      <rPr>
        <sz val="11"/>
        <color theme="1"/>
        <rFont val="Arial"/>
        <family val="2"/>
        <charset val="1"/>
      </rPr>
      <t xml:space="preserve"> - structured peer feedback on a task that tests professional practices, week 5, same criteria as AS2.</t>
    </r>
  </si>
  <si>
    <r>
      <t>AI-development touchpoint:</t>
    </r>
    <r>
      <rPr>
        <sz val="11"/>
        <color theme="1"/>
        <rFont val="Arial"/>
        <family val="2"/>
        <charset val="1"/>
      </rPr>
      <t xml:space="preserve"> an AI output audit exercise where students check an AI-generated assessment summary against their own recorded data and against primary sources.</t>
    </r>
  </si>
  <si>
    <r>
      <t>AI design.</t>
    </r>
    <r>
      <rPr>
        <sz val="11"/>
        <color theme="1"/>
        <rFont val="Arial"/>
        <family val="2"/>
        <charset val="1"/>
      </rPr>
      <t xml:space="preserve"> Both summative items are session-anchored and cannot be produced by a tool that did not attend, so security comes from the format, not from surveillance. The developmental AI work sits in the formative task, where the stakes are low and the skill being taught is verification.</t>
    </r>
  </si>
  <si>
    <t>Learning Outcomes</t>
  </si>
  <si>
    <t>After completing the module the student should be able to:</t>
  </si>
  <si>
    <r>
      <t>AfN (2025).</t>
    </r>
    <r>
      <rPr>
        <sz val="11"/>
        <color theme="1"/>
        <rFont val="Arial"/>
        <family val="2"/>
        <charset val="1"/>
      </rPr>
      <t xml:space="preserve"> CC1a (SH), CC1b (SH), CC1c (KH), CC2f (KH), CC2g (SH), CC3g (SH), CC4g (KH).</t>
    </r>
  </si>
  <si>
    <t>LO Number</t>
  </si>
  <si>
    <t>LO Description</t>
  </si>
  <si>
    <r>
      <t>Enhancement.</t>
    </r>
    <r>
      <rPr>
        <sz val="11"/>
        <color theme="1"/>
        <rFont val="Arial"/>
        <family val="2"/>
        <charset val="1"/>
      </rPr>
      <t xml:space="preserve"> Transition and belonging: PLG groups formed week 1 and held stable across the year. Graduate competency: Professional Relationships and Behaviours; Communication; Self-Evaluation.</t>
    </r>
  </si>
  <si>
    <t>LO1</t>
  </si>
  <si>
    <r>
      <t xml:space="preserve">PLG reflection points: weeks 3, 7 and 11. Prompt: Who am I becoming as a practitioner? </t>
    </r>
    <r>
      <rPr>
        <b/>
        <i/>
        <sz val="11"/>
        <color theme="1"/>
        <rFont val="Arial"/>
        <family val="2"/>
        <charset val="1"/>
      </rPr>
      <t>Assessed</t>
    </r>
    <r>
      <rPr>
        <i/>
        <sz val="11"/>
        <color theme="1"/>
        <rFont val="Arial"/>
        <family val="2"/>
        <charset val="1"/>
      </rPr>
      <t xml:space="preserve"> via the reflective log.</t>
    </r>
  </si>
  <si>
    <t>LO2</t>
  </si>
  <si>
    <r>
      <t>(Understand)</t>
    </r>
    <r>
      <rPr>
        <sz val="11"/>
        <color theme="1"/>
        <rFont val="Arial"/>
        <family val="2"/>
        <charset val="1"/>
      </rPr>
      <t xml:space="preserve"> Explain the professional, ethical and legal expectations placed on a nutrition practitioner, including scope of practice and equality, diversity, equity and inclusion.</t>
    </r>
  </si>
  <si>
    <t>LO3</t>
  </si>
  <si>
    <r>
      <t>(Understand)</t>
    </r>
    <r>
      <rPr>
        <sz val="11"/>
        <color theme="1"/>
        <rFont val="Arial"/>
        <family val="2"/>
        <charset val="1"/>
      </rPr>
      <t xml:space="preserve"> Reflect on their own developing professional practice and identify areas for development.</t>
    </r>
  </si>
  <si>
    <t>LO4</t>
  </si>
  <si>
    <t>LO5</t>
  </si>
  <si>
    <t>Assessment</t>
  </si>
  <si>
    <t>Assessment No</t>
  </si>
  <si>
    <t>Assessment Type</t>
  </si>
  <si>
    <t>Assessment Specific</t>
  </si>
  <si>
    <t>Assessment Description</t>
  </si>
  <si>
    <t>Weighting</t>
  </si>
  <si>
    <t>Due Week</t>
  </si>
  <si>
    <t>A1</t>
  </si>
  <si>
    <t>Portfolio</t>
  </si>
  <si>
    <t>Practitioner portfolio</t>
  </si>
  <si>
    <r>
      <t xml:space="preserve">Assessment data collected in-session, with justification and interpretation. Tests MLO1 (Apply) and MLO2 (Understand). </t>
    </r>
    <r>
      <rPr>
        <i/>
        <sz val="11"/>
        <color theme="1"/>
        <rFont val="Arial"/>
        <family val="2"/>
        <charset val="1"/>
      </rPr>
      <t>Thread A and B origin: this is where the consultation and measurement formats are first practised.</t>
    </r>
  </si>
  <si>
    <t>A2</t>
  </si>
  <si>
    <t>PLG reflective log</t>
  </si>
  <si>
    <t>Entries written in-session, referencing named peers and the student’s own recorded consultation. Tests MLO2 and MLO3 (Understand).</t>
  </si>
  <si>
    <t>A3</t>
  </si>
  <si>
    <t>A4</t>
  </si>
  <si>
    <t>Assessment Mapping</t>
  </si>
  <si>
    <t>Graduate Skills Category</t>
  </si>
  <si>
    <t>Graduate Skill</t>
  </si>
  <si>
    <t>Self-evaluation and professional development</t>
  </si>
  <si>
    <t>Reflective practice</t>
  </si>
  <si>
    <t>Application of knowledge and skills</t>
  </si>
  <si>
    <t>Translational practice</t>
  </si>
  <si>
    <t>Communication</t>
  </si>
  <si>
    <t>Interpersonal communication</t>
  </si>
  <si>
    <t>Self-awareness</t>
  </si>
  <si>
    <t>Weekly Content</t>
  </si>
  <si>
    <t xml:space="preserve">Semester </t>
  </si>
  <si>
    <t>Week Number</t>
  </si>
  <si>
    <t>Weekly Content 1</t>
  </si>
  <si>
    <t>Weekly Content 2</t>
  </si>
  <si>
    <t>Weekly Content 3</t>
  </si>
  <si>
    <t>The nutrition professions and practitioner identity</t>
  </si>
  <si>
    <t>Who am I becoming - PLG groups formed</t>
  </si>
  <si>
    <t>PLG formation; professional-body landscape</t>
  </si>
  <si>
    <t>Standards, ethics and scope of practice</t>
  </si>
  <si>
    <t>The rules I will work within</t>
  </si>
  <si>
    <t>UKVRN standards workshop</t>
  </si>
  <si>
    <t>EDEI in nutrition practice</t>
  </si>
  <si>
    <t>Practising fairly</t>
  </si>
  <si>
    <t>Case discussion; belief, culture, access</t>
  </si>
  <si>
    <t>Assessing energy intake: dietary assessment methods</t>
  </si>
  <si>
    <t>First tool in the kit</t>
  </si>
  <si>
    <t>Practical: 24h recall, food diary</t>
  </si>
  <si>
    <t>Dietary analysis software and interpretation</t>
  </si>
  <si>
    <t>Making the measurement mean something</t>
  </si>
  <si>
    <t>Digital Lab: dietary analysis software</t>
  </si>
  <si>
    <t>The nutritional interview (role-play strand)</t>
  </si>
  <si>
    <r>
      <t>Formative checkpoint</t>
    </r>
    <r>
      <rPr>
        <sz val="11"/>
        <color theme="1"/>
        <rFont val="Arial"/>
        <family val="2"/>
        <charset val="1"/>
      </rPr>
      <t>: practice consultation (rung 2)</t>
    </r>
  </si>
  <si>
    <t>Role-play consultation with peer feedback</t>
  </si>
  <si>
    <t>Assessing energy expenditure</t>
  </si>
  <si>
    <t>Second tool in the kit</t>
  </si>
  <si>
    <t>Practical: expenditure estimation</t>
  </si>
  <si>
    <t>Body composition assessment</t>
  </si>
  <si>
    <t>Third tool, and its error</t>
  </si>
  <si>
    <t>Practical: anthropometry</t>
  </si>
  <si>
    <t>Is what I measured true? Verifying against evidence</t>
  </si>
  <si>
    <t>How do I know it is true - AI output audit</t>
  </si>
  <si>
    <t>AI-development session: audit an AI summary against own data</t>
  </si>
  <si>
    <t>Record keeping, data and confidentiality</t>
  </si>
  <si>
    <t>Handling a client’s data responsibly</t>
  </si>
  <si>
    <t>Data-management workshop</t>
  </si>
  <si>
    <t>Reflective practice and professional development</t>
  </si>
  <si>
    <t>Accounting for who I am becoming</t>
  </si>
  <si>
    <t>PLG reflective session</t>
  </si>
  <si>
    <t>Portfolio synthesis and assessment preparation</t>
  </si>
  <si>
    <t>Pulling the thread together</t>
  </si>
  <si>
    <t>Portfolio surgery; PLG log review</t>
  </si>
  <si>
    <t>4003SPS</t>
  </si>
  <si>
    <t>To establish the scientific foundations of human nutrition: what nutrients are, how they function, how requirements are derived, and the consequences of inadequate or excessive intake.</t>
  </si>
  <si>
    <t>Principles of Human Nutrition</t>
  </si>
  <si>
    <t>Nutrition and energy balance; carbohydrate, protein and fat (structure, function, food sources); water- and fat-soluble vitamins; minerals and trace elements; water, hydration and electrolyte balance; deriving Dietary Reference Values and their limitations; consequences of inadequate and excessive intake; introductory nutrition chemistry and the chemistry of food components.</t>
  </si>
  <si>
    <t>Richie Kirwan</t>
  </si>
  <si>
    <t>Core module</t>
  </si>
  <si>
    <t>This module builds the scientific foundations of human nutrition. You will follow each nutrient from the food on the plate to its function in the body and the consequences when intake is too little or too much, learning a method you can apply to any nutrient rather than a list to memorise. You will also learn how dietary reference values are derived and begin to evaluate real diets against them, underpinning the applied and clinical modules across the whole programme.</t>
  </si>
  <si>
    <r>
      <t>Formative</t>
    </r>
    <r>
      <rPr>
        <sz val="11"/>
        <color theme="1"/>
        <rFont val="Arial"/>
        <family val="2"/>
        <charset val="1"/>
      </rPr>
      <t xml:space="preserve"> - weekly low-stakes quizzes with feedback aligned to the exam.</t>
    </r>
  </si>
  <si>
    <r>
      <t>AI-development touchpoint:</t>
    </r>
    <r>
      <rPr>
        <sz val="11"/>
        <color theme="1"/>
        <rFont val="Arial"/>
        <family val="2"/>
        <charset val="1"/>
      </rPr>
      <t xml:space="preserve"> an AI output audit - students verify an AI-generated nutrient summary containing embedded errors against DRV tables and primary sources.</t>
    </r>
  </si>
  <si>
    <r>
      <t>AI design.</t>
    </r>
    <r>
      <rPr>
        <sz val="11"/>
        <color theme="1"/>
        <rFont val="Arial"/>
        <family val="2"/>
        <charset val="1"/>
      </rPr>
      <t xml:space="preserve"> Both summative items are secured, one by role-play anchoring and one by invigilation. The AI literacy work is developmental and formative, teaching verification at the exact point students are most likely to use these tools uncritically.</t>
    </r>
  </si>
  <si>
    <r>
      <t>AfN (2025).</t>
    </r>
    <r>
      <rPr>
        <sz val="11"/>
        <color theme="1"/>
        <rFont val="Arial"/>
        <family val="2"/>
        <charset val="1"/>
      </rPr>
      <t xml:space="preserve"> CC2a (KW), CC2b (KH), CC2c (KH), CC3a (KW), CC3d (KH), CC5a (KH)</t>
    </r>
  </si>
  <si>
    <r>
      <t>Golden thread:</t>
    </r>
    <r>
      <rPr>
        <sz val="11"/>
        <color theme="1"/>
        <rFont val="Arial"/>
        <family val="2"/>
        <charset val="1"/>
      </rPr>
      <t xml:space="preserve"> </t>
    </r>
    <r>
      <rPr>
        <i/>
        <sz val="11"/>
        <color theme="1"/>
        <rFont val="Arial"/>
        <family val="2"/>
        <charset val="1"/>
      </rPr>
      <t>“Follow the nutrient from plate to function to deficiency.”</t>
    </r>
    <r>
      <rPr>
        <sz val="11"/>
        <color theme="1"/>
        <rFont val="Arial"/>
        <family val="2"/>
        <charset val="1"/>
      </rPr>
      <t xml:space="preserve"> Each nutrient group is traced along the same path - what it is, what it does, how much is needed, and what happens when intake is wrong - so students internalise a method they can apply to any nutrient rather than memorising a list.</t>
    </r>
  </si>
  <si>
    <r>
      <t>(Understand)</t>
    </r>
    <r>
      <rPr>
        <sz val="11"/>
        <color theme="1"/>
        <rFont val="Arial"/>
        <family val="2"/>
        <charset val="1"/>
      </rPr>
      <t xml:space="preserve"> Describe the functions, food sources and metabolic roles of the major and minor nutrients and the consequences of inappropriate intakes.</t>
    </r>
  </si>
  <si>
    <r>
      <t>(Apply)</t>
    </r>
    <r>
      <rPr>
        <sz val="11"/>
        <color theme="1"/>
        <rFont val="Arial"/>
        <family val="2"/>
        <charset val="1"/>
      </rPr>
      <t xml:space="preserve"> Apply Dietary Reference Values to evaluate the adequacy of a described diet and explain how those values are derived.</t>
    </r>
  </si>
  <si>
    <r>
      <t>(Understand)</t>
    </r>
    <r>
      <rPr>
        <sz val="11"/>
        <color theme="1"/>
        <rFont val="Arial"/>
        <family val="2"/>
        <charset val="1"/>
      </rPr>
      <t xml:space="preserve"> Explain the chemical properties of nutrients and food components that determine their nutritional behaviour.</t>
    </r>
  </si>
  <si>
    <t>Presentation</t>
  </si>
  <si>
    <t>Dietary history role-play and nutrient case analysis</t>
  </si>
  <si>
    <r>
      <t>Partially secured.</t>
    </r>
    <r>
      <rPr>
        <sz val="11"/>
        <color theme="1"/>
        <rFont val="Arial"/>
        <family val="2"/>
        <charset val="1"/>
      </rPr>
      <t xml:space="preserve"> A short in-session dietary-history role-play (Thread A, foundational) generates the case; students then analyse the described pattern against DRVs and identify likely inadequacies. Tests MLO1 (Understand) and MLO2 (Apply).</t>
    </r>
  </si>
  <si>
    <t>Exam</t>
  </si>
  <si>
    <t>Invigilated examination</t>
  </si>
  <si>
    <t>Scientific knowledge</t>
  </si>
  <si>
    <t>Information retrieval</t>
  </si>
  <si>
    <t>Oral presentation</t>
  </si>
  <si>
    <t>Nutrition, energy and the plate-to-function idea</t>
  </si>
  <si>
    <t>Introducing the thread</t>
  </si>
  <si>
    <t>Lecture; the nutrient’s journey</t>
  </si>
  <si>
    <t>Introductory nutrition chemistry</t>
  </si>
  <si>
    <t>Why structure determines behaviour</t>
  </si>
  <si>
    <t>Chemistry of food components</t>
  </si>
  <si>
    <t>Carbohydrate: structure, function, sources</t>
  </si>
  <si>
    <t>Following carbohydrate</t>
  </si>
  <si>
    <t>Lecture and food-sources workshop</t>
  </si>
  <si>
    <t>Protein and amino acids</t>
  </si>
  <si>
    <t>Following protein</t>
  </si>
  <si>
    <t>Lecture; quality and sources</t>
  </si>
  <si>
    <t>Fat and fatty acids</t>
  </si>
  <si>
    <t>Following fat</t>
  </si>
  <si>
    <t>Lecture; food matrix intro</t>
  </si>
  <si>
    <t>Dietary history role-play (rung 1)</t>
  </si>
  <si>
    <r>
      <t>Formative checkpoint</t>
    </r>
    <r>
      <rPr>
        <sz val="11"/>
        <color theme="1"/>
        <rFont val="Arial"/>
        <family val="2"/>
        <charset val="1"/>
      </rPr>
      <t>: taking a history</t>
    </r>
  </si>
  <si>
    <t>Role-play: dietary-history taking</t>
  </si>
  <si>
    <t>Fat- and water-soluble vitamins</t>
  </si>
  <si>
    <t>Following the micronutrients</t>
  </si>
  <si>
    <t>Lecture; deficiency signs</t>
  </si>
  <si>
    <t>Minerals and trace elements</t>
  </si>
  <si>
    <t>Lecture; bioavailability</t>
  </si>
  <si>
    <t>Water, hydration and electrolytes</t>
  </si>
  <si>
    <t>Following water</t>
  </si>
  <si>
    <t>Lecture and applied examples</t>
  </si>
  <si>
    <t>Deriving Dietary Reference Values</t>
  </si>
  <si>
    <t>How much is enough, and how we know</t>
  </si>
  <si>
    <t>DRV derivation workshop</t>
  </si>
  <si>
    <t>Is this AI summary right? Verifying nutrient claims</t>
  </si>
  <si>
    <t>End of the thread: deficiency and error</t>
  </si>
  <si>
    <t>AI-development session: audit nutrient summary vs DRVs</t>
  </si>
  <si>
    <t>Consolidation and exam preparation</t>
  </si>
  <si>
    <t>Whole journey reviewed</t>
  </si>
  <si>
    <t>Case-analysis practice; exam prep</t>
  </si>
  <si>
    <t>4004SPS</t>
  </si>
  <si>
    <t>To develop understanding of nutrition at the molecular and cellular level, following the journey from intake through digestion, absorption, transport and metabolism to excretion, establishing the biochemical foundations that Level 5 applies and Level 6 examines critically.</t>
  </si>
  <si>
    <t>Nutritional Biochemistry and Metabolism</t>
  </si>
  <si>
    <t>Digestion, absorption and their regulation across the gastrointestinal tract; energy metabolism (glycolysis, glycogenolysis, beta-oxidation, TCA cycle, electron transport chain, gluconeogenesis); lipid transport and synthesis; protein metabolism and nitrogen balance; integration and regulation of metabolism in the fed and fasted states; introductory cell signalling and gene expression; dysregulation and non-communicable disease.</t>
  </si>
  <si>
    <t>Ian Davies</t>
  </si>
  <si>
    <t>This module explores nutrition at the molecular and cellular level by tracing a single meal through the body, from digestion and absorption to metabolism and regulation. Through laboratory work you will generate and interpret your own biochemical data, developing practical skills that build across the programme. The module establishes the biochemical foundations that Level 5 applies to exercise and Level 6 examines critically.</t>
  </si>
  <si>
    <r>
      <t>Formative</t>
    </r>
    <r>
      <rPr>
        <sz val="11"/>
        <color theme="1"/>
        <rFont val="Arial"/>
        <family val="2"/>
        <charset val="1"/>
      </rPr>
      <t xml:space="preserve"> - submission of handwritten lab books for practicals 1 and 2, with feedback feeding the lab exam.</t>
    </r>
  </si>
  <si>
    <r>
      <t>AI design.</t>
    </r>
    <r>
      <rPr>
        <sz val="11"/>
        <color theme="1"/>
        <rFont val="Arial"/>
        <family val="2"/>
        <charset val="1"/>
      </rPr>
      <t xml:space="preserve"> Both items are secured by their live or in-person nature.</t>
    </r>
  </si>
  <si>
    <r>
      <t>AI-development touchpoint:</t>
    </r>
    <r>
      <rPr>
        <sz val="11"/>
        <color theme="1"/>
        <rFont val="Arial"/>
        <family val="2"/>
        <charset val="1"/>
      </rPr>
      <t xml:space="preserve"> in a formative session, students compare their own data interpretation against an AI-generated one and justify where they differ - AI as a foil, not a source.</t>
    </r>
  </si>
  <si>
    <r>
      <t>AfN (2025).</t>
    </r>
    <r>
      <rPr>
        <sz val="11"/>
        <color theme="1"/>
        <rFont val="Arial"/>
        <family val="2"/>
        <charset val="1"/>
      </rPr>
      <t xml:space="preserve"> CC2a (KW), CC2b (KH), CC2c (KH), CC2d (KH), CC2e (KW).</t>
    </r>
  </si>
  <si>
    <r>
      <t>Enhancement.</t>
    </r>
    <r>
      <rPr>
        <sz val="11"/>
        <color theme="1"/>
        <rFont val="Arial"/>
        <family val="2"/>
        <charset val="1"/>
      </rPr>
      <t xml:space="preserve"> Level calibration: cell signalling kept deliberately introductory (basic signalling and ATP generation) and signposted as the foundation for L5 Exercise Biochemistry. Graduate competency: Scientific Knowledge; Technical Skills.</t>
    </r>
  </si>
  <si>
    <t>Syllabus and weekly delivery.</t>
  </si>
  <si>
    <r>
      <t>Understand)</t>
    </r>
    <r>
      <rPr>
        <sz val="11"/>
        <color theme="1"/>
        <rFont val="Arial"/>
        <family val="2"/>
        <charset val="1"/>
      </rPr>
      <t xml:space="preserve"> Explain the principal biochemical pathways and how they are integrated and regulated in the fed and fasted states.</t>
    </r>
  </si>
  <si>
    <r>
      <t>Golden thread:</t>
    </r>
    <r>
      <rPr>
        <sz val="11"/>
        <color theme="1"/>
        <rFont val="Arial"/>
        <family val="2"/>
        <charset val="1"/>
      </rPr>
      <t xml:space="preserve"> </t>
    </r>
    <r>
      <rPr>
        <i/>
        <sz val="11"/>
        <color theme="1"/>
        <rFont val="Arial"/>
        <family val="2"/>
        <charset val="1"/>
      </rPr>
      <t>“Trace one meal through the body.”</t>
    </r>
    <r>
      <rPr>
        <sz val="11"/>
        <color theme="1"/>
        <rFont val="Arial"/>
        <family val="2"/>
        <charset val="1"/>
      </rPr>
      <t xml:space="preserve"> A single mixed meal is followed from mouth to mitochondria and back out, so digestion, absorption, metabolism and regulation are experienced as one continuous story that the lab work then interrogates.</t>
    </r>
  </si>
  <si>
    <r>
      <rPr>
        <b/>
        <sz val="11"/>
        <color rgb="FF000000"/>
        <rFont val="Arial"/>
        <family val="2"/>
      </rPr>
      <t>(Understand)</t>
    </r>
    <r>
      <rPr>
        <sz val="11"/>
        <color rgb="FF000000"/>
        <rFont val="Arial"/>
        <family val="2"/>
      </rPr>
      <t xml:space="preserve"> Describe how metabolic pathways contribute to health and performance.</t>
    </r>
  </si>
  <si>
    <r>
      <rPr>
        <b/>
        <sz val="11"/>
        <color rgb="FF000000"/>
        <rFont val="Arial"/>
        <family val="2"/>
      </rPr>
      <t>Analyse)</t>
    </r>
    <r>
      <rPr>
        <sz val="11"/>
        <color rgb="FF000000"/>
        <rFont val="Arial"/>
        <family val="2"/>
      </rPr>
      <t xml:space="preserve"> Analyse and interpret biochemical and metabolic data to draw supported conclusions.</t>
    </r>
  </si>
  <si>
    <t>In-person practical lab exam</t>
  </si>
  <si>
    <r>
      <t xml:space="preserve">Two practice and training labs across the module, then one final in-person lab exam comprising a completed handwritten proforma and submission of the handwritten lab book. Tests MLO1 (Understand) and MLO3 (Analyse). </t>
    </r>
    <r>
      <rPr>
        <i/>
        <sz val="11"/>
        <color theme="1"/>
        <rFont val="Arial"/>
        <family val="2"/>
        <charset val="1"/>
      </rPr>
      <t>Thread B origin: this is where lab competency and data interpretation are first assessed under secure conditions, maturing at L5 Exercise Biochemistry and L6 Molecular.</t>
    </r>
  </si>
  <si>
    <t>Group mini-teach presentation</t>
  </si>
  <si>
    <t xml:space="preserve">Teach a scientific concept to a targeted group </t>
  </si>
  <si>
    <t>Scientific literacy</t>
  </si>
  <si>
    <t>Decision-making</t>
  </si>
  <si>
    <t>Knowledge synthesis</t>
  </si>
  <si>
    <t>The meal, and the map of where it goes</t>
  </si>
  <si>
    <t>Overview lecture</t>
  </si>
  <si>
    <t>Digestion and absorption across the GI tract</t>
  </si>
  <si>
    <t>The meal enters</t>
  </si>
  <si>
    <t>Lecture; practical lab 1 (formative)</t>
  </si>
  <si>
    <t>Carbohydrate metabolism: glycolysis, glycogen</t>
  </si>
  <si>
    <t>Fuelling from the meal</t>
  </si>
  <si>
    <t>Lecture; pathway mapping</t>
  </si>
  <si>
    <t>The TCA cycle and electron transport</t>
  </si>
  <si>
    <t>Extracting energy</t>
  </si>
  <si>
    <t>Lecture; ATP generation</t>
  </si>
  <si>
    <t>Lipid transport, storage and beta-oxidation</t>
  </si>
  <si>
    <t>Storing and burning fat</t>
  </si>
  <si>
    <t>Lecture; practical lab 2 (formative)</t>
  </si>
  <si>
    <t>Protein metabolism and nitrogen balance</t>
  </si>
  <si>
    <t>Building and turning over</t>
  </si>
  <si>
    <r>
      <t>Formative checkpoint</t>
    </r>
    <r>
      <rPr>
        <sz val="11"/>
        <color theme="1"/>
        <rFont val="Arial"/>
        <family val="2"/>
        <charset val="1"/>
      </rPr>
      <t>: lab books returned</t>
    </r>
  </si>
  <si>
    <t>Gluconeogenesis and the fasted state</t>
  </si>
  <si>
    <t>The meal runs out</t>
  </si>
  <si>
    <t>Lecture; fed-fasted transition</t>
  </si>
  <si>
    <t>Integration and regulation of metabolism</t>
  </si>
  <si>
    <t>The whole map connected</t>
  </si>
  <si>
    <t>Integration workshop</t>
  </si>
  <si>
    <t>Introductory cell signalling and gene expression</t>
  </si>
  <si>
    <t>How the body decides</t>
  </si>
  <si>
    <t>Lecture; signposts L5</t>
  </si>
  <si>
    <t>Data day: comparing my reading with AI’s</t>
  </si>
  <si>
    <t>Interrogating the story</t>
  </si>
  <si>
    <t>AI-development session: own vs AI interpretation</t>
  </si>
  <si>
    <t>Dysregulation and non-communicable disease</t>
  </si>
  <si>
    <t>When the story goes wrong</t>
  </si>
  <si>
    <t>Lecture; applied cases</t>
  </si>
  <si>
    <t>Lab-exam preparation and mini-teach</t>
  </si>
  <si>
    <t>Retelling the whole journey</t>
  </si>
  <si>
    <t>Lab-exam prep; mini-teach rehearsal</t>
  </si>
  <si>
    <t>4006SPS</t>
  </si>
  <si>
    <t>To introduce the principles of performance nutrition, building on Principles of Human Nutrition: how energy availability, macronutrient and micronutrient status and hydration affect performance, and how evidence-based, sport-specific recommendations are produced from position stands and consensus statements.</t>
  </si>
  <si>
    <t>Performance Nutrition</t>
  </si>
  <si>
    <t>The performance nutritionist’s role and scope; energy availability and relative energy deficiency in sport; carbohydrate, protein and fat for training and competition; hydration and electrolyte strategies; micronutrients of concern in athletic populations; periodised nutrition; sport-specific application (endurance, strength and power, team, weight-restricted); critical reading of position stands and consensus statements.</t>
  </si>
  <si>
    <t>Ian Sadler</t>
  </si>
  <si>
    <t>This module introduces the principles of performance nutrition, building on your foundational knowledge of nutrients and metabolism. Working with a single athlete case that develops week by week, you will examine how energy availability, macronutrients, hydration and micronutrient status affect performance, and learn to produce evidence-based, sport-specific recommendations from position stands and consensus statements. You will also begin to read the research critically and to weigh the strengths and limits of the evidence behind a recommendation.</t>
  </si>
  <si>
    <r>
      <t>Formative</t>
    </r>
    <r>
      <rPr>
        <sz val="11"/>
        <color theme="1"/>
        <rFont val="Arial"/>
        <family val="2"/>
        <charset val="1"/>
      </rPr>
      <t xml:space="preserve"> - critical appraisal workshop on a single position stand (Thread C, first outing).</t>
    </r>
  </si>
  <si>
    <r>
      <t>AfN (2025).</t>
    </r>
    <r>
      <rPr>
        <sz val="11"/>
        <color theme="1"/>
        <rFont val="Arial"/>
        <family val="2"/>
        <charset val="1"/>
      </rPr>
      <t xml:space="preserve"> CC2d (KH), CC2g (SH), CC4f (SH), CC5a (KH), CC2h (KH).</t>
    </r>
  </si>
  <si>
    <r>
      <t>Enhancement.</t>
    </r>
    <r>
      <rPr>
        <sz val="11"/>
        <color theme="1"/>
        <rFont val="Arial"/>
        <family val="2"/>
        <charset val="1"/>
      </rPr>
      <t xml:space="preserve"> Thread C begins here: students first appraise position stands formatively at L4, evaluate them summatively at L5, and defend a position at L6. The AI evidence-search appendix is the Level 4 rung of the AI developmental thread (“check the machine’s homework”), preceding generate-and-refine at Level 5 and integrate-and-defend at Level 6. Graduate competency: Application of Knowledge and Skills; Understanding and Use of Research.</t>
    </r>
  </si>
  <si>
    <r>
      <t>Golden thread:</t>
    </r>
    <r>
      <rPr>
        <sz val="11"/>
        <color theme="1"/>
        <rFont val="Arial"/>
        <family val="2"/>
        <charset val="1"/>
      </rPr>
      <t xml:space="preserve"> </t>
    </r>
    <r>
      <rPr>
        <i/>
        <sz val="11"/>
        <color theme="1"/>
        <rFont val="Arial"/>
        <family val="2"/>
        <charset val="1"/>
      </rPr>
      <t>“Build a recommendation for one athlete, one demand at a time.”</t>
    </r>
    <r>
      <rPr>
        <sz val="11"/>
        <color theme="1"/>
        <rFont val="Arial"/>
        <family val="2"/>
        <charset val="1"/>
      </rPr>
      <t xml:space="preserve"> A single athlete case is introduced in week 1 and revisited each week as a new demand (energy, carbohydrate, hydration and so on) is added, so the final recommendation is assembled across the module rather than written at the end.</t>
    </r>
  </si>
  <si>
    <r>
      <t>(Understand)</t>
    </r>
    <r>
      <rPr>
        <sz val="11"/>
        <color theme="1"/>
        <rFont val="Arial"/>
        <family val="2"/>
        <charset val="1"/>
      </rPr>
      <t xml:space="preserve"> Explain how energy availability, macronutrient and micronutrient status and hydration influence exercise performance.</t>
    </r>
  </si>
  <si>
    <r>
      <rPr>
        <b/>
        <sz val="11"/>
        <color rgb="FF000000"/>
        <rFont val="Arial"/>
        <family val="2"/>
      </rPr>
      <t>(Apply)</t>
    </r>
    <r>
      <rPr>
        <sz val="11"/>
        <color rgb="FF000000"/>
        <rFont val="Arial"/>
        <family val="2"/>
      </rPr>
      <t xml:space="preserve"> Apply current position stands and consensus statements to produce evidence-based nutritional recommendations for a specified sport and context.</t>
    </r>
  </si>
  <si>
    <r>
      <rPr>
        <b/>
        <sz val="11"/>
        <color rgb="FF000000"/>
        <rFont val="Arial"/>
        <family val="2"/>
      </rPr>
      <t>(Analyse)</t>
    </r>
    <r>
      <rPr>
        <sz val="11"/>
        <color rgb="FF000000"/>
        <rFont val="Arial"/>
        <family val="2"/>
      </rPr>
      <t xml:space="preserve"> Examine the strengths and limitations of the evidence underpinning a given nutritional recommendation.</t>
    </r>
  </si>
  <si>
    <t>Report</t>
  </si>
  <si>
    <t>Case Study</t>
  </si>
  <si>
    <r>
      <t>Position Stand report, 2,500 words (50%). Open, AI-development.</t>
    </r>
    <r>
      <rPr>
        <sz val="11"/>
        <color theme="1"/>
        <rFont val="Arial"/>
        <family val="2"/>
        <charset val="1"/>
      </rPr>
      <t xml:space="preserve"> Tests MLO3 (Analyse). Supported by a short AI evidence-search appendix: students run an AI-generated evidence search and a structured database search on the same topic, record what AI returned that the database did not and what it missed, misattributed or fabricated, and state which sources were carried into the position stand and why. This adds no new summative item and anchors the report in a process the student performed.</t>
    </r>
  </si>
  <si>
    <t>In Person Exam</t>
  </si>
  <si>
    <t>MCQ and Short Answer Questions, 2-hours (50%)</t>
  </si>
  <si>
    <t>Technical skills</t>
  </si>
  <si>
    <t>Digital literacy</t>
  </si>
  <si>
    <t>Problem solving and impact</t>
  </si>
  <si>
    <t>Evidence-based decision making</t>
  </si>
  <si>
    <t>The performance nutritionist and the case athlete</t>
  </si>
  <si>
    <t>Workshop: Meet the athlete</t>
  </si>
  <si>
    <t>Case introduced</t>
  </si>
  <si>
    <t>Energy availability and RED-S</t>
  </si>
  <si>
    <t>Practical: The athlete’s energy demand</t>
  </si>
  <si>
    <t>Lecture; applied to case</t>
  </si>
  <si>
    <t>Carbohydrate for training and competition</t>
  </si>
  <si>
    <t>Practical: Fuelling the athlete</t>
  </si>
  <si>
    <t>Lecture; case update</t>
  </si>
  <si>
    <t>Protein for training adaptation/Repairing the athlete</t>
  </si>
  <si>
    <t>Fat, and periodised fuelling</t>
  </si>
  <si>
    <t>Reading a position stand (Thread C)</t>
  </si>
  <si>
    <r>
      <t>Formative checkpoint</t>
    </r>
    <r>
      <rPr>
        <sz val="11"/>
        <color theme="1"/>
        <rFont val="Arial"/>
        <family val="2"/>
        <charset val="1"/>
      </rPr>
      <t>: appraisal workshop</t>
    </r>
  </si>
  <si>
    <t>Critical appraisal of one position stand</t>
  </si>
  <si>
    <t>Hydration and electrolyte strategies</t>
  </si>
  <si>
    <t>Workshop: Position Stand</t>
  </si>
  <si>
    <t>Micronutrients of concern in athletes</t>
  </si>
  <si>
    <t>AI search versus database search</t>
  </si>
  <si>
    <t>Evidencing the recommendation</t>
  </si>
  <si>
    <t>AI-development session: compare search methods</t>
  </si>
  <si>
    <t>Sport-specific application</t>
  </si>
  <si>
    <t>Tailoring to the sport</t>
  </si>
  <si>
    <t>Workshop across sport types</t>
  </si>
  <si>
    <t>Assembling the full recommendation</t>
  </si>
  <si>
    <t>The thread pulled together</t>
  </si>
  <si>
    <t>Case-build workshop</t>
  </si>
  <si>
    <t>Whole athlete reviewed</t>
  </si>
  <si>
    <t>Exam prep; case finalisation</t>
  </si>
  <si>
    <t>5001SPS</t>
  </si>
  <si>
    <t>To develop professional practice from foundational skill to applied competence, moving students from performing techniques to responding to real client complexity through behaviour change, communication and ethical reasoning.</t>
  </si>
  <si>
    <t>Professional Practice 2 in Sport Nutrition</t>
  </si>
  <si>
    <t>students move from performing a consultation to exercising professional judgement within one.</t>
  </si>
  <si>
    <r>
      <t>Indicative syllabus.</t>
    </r>
    <r>
      <rPr>
        <sz val="11"/>
        <color theme="1"/>
        <rFont val="Arial"/>
        <family val="2"/>
        <charset val="1"/>
      </rPr>
      <t xml:space="preserve"> Client-centred assessment and needs analysis; behaviour change theory and its application; designing, implementing and evaluating an intervention; communication for specialist and non-specialist audiences; health literacy and social marketing; the consultation with psychosocial complexity; professional judgement, boundaries and referral; evaluating own practice against professional standards; the Peer Learning Group.</t>
    </r>
  </si>
  <si>
    <t>This module develops your professional practice from performing techniques to exercising judgement with real clients. Building on Professional Practice 1, you will apply behaviour change theory, communication skills and ethical reasoning as you design interventions and respond to clients whose circumstances are more complex than any textbook case. Live consultation and continued Peer Learning Group reflection prepare you for the professional accountability expected in your final year.</t>
  </si>
  <si>
    <r>
      <t>AI-development.</t>
    </r>
    <r>
      <rPr>
        <sz val="11"/>
        <color theme="1"/>
        <rFont val="Arial"/>
        <family val="2"/>
        <charset val="1"/>
      </rPr>
      <t xml:space="preserve"> A creative reflective artefact in which students may use AI to draft and are required to annotate their use and reflect on it. Tests MLO3 (Evaluate).</t>
    </r>
  </si>
  <si>
    <r>
      <t>Formative</t>
    </r>
    <r>
      <rPr>
        <sz val="11"/>
        <color theme="1"/>
        <rFont val="Arial"/>
        <family val="2"/>
        <charset val="1"/>
      </rPr>
      <t xml:space="preserve"> - recorded practice consultation with peer and tutor feedback.</t>
    </r>
  </si>
  <si>
    <r>
      <t>AI design.</t>
    </r>
    <r>
      <rPr>
        <sz val="11"/>
        <color theme="1"/>
        <rFont val="Arial"/>
        <family val="2"/>
        <charset val="1"/>
      </rPr>
      <t xml:space="preserve"> AS1 is secured by being live; AS2 is deliberately open, with AI used as a drafting tool and the student’s contribution made visible through annotation and reflection. That pairing - one secured, one open - is the pattern repeated across the programme.</t>
    </r>
  </si>
  <si>
    <r>
      <t>AfN (2025).</t>
    </r>
    <r>
      <rPr>
        <sz val="11"/>
        <color theme="1"/>
        <rFont val="Arial"/>
        <family val="2"/>
        <charset val="1"/>
      </rPr>
      <t xml:space="preserve"> CC1a (SH), CC1b (SH/D), CC1c (SH), CC4d (SH), CC4e (SH), CC4f (SH), CC5d (KH).</t>
    </r>
  </si>
  <si>
    <r>
      <t>Enhancement.</t>
    </r>
    <r>
      <rPr>
        <sz val="11"/>
        <color theme="1"/>
        <rFont val="Arial"/>
        <family val="2"/>
        <charset val="1"/>
      </rPr>
      <t xml:space="preserve"> PLG groups reconstituted with continuity from L4. Graduate competency: Communication; Application of Knowledge and Skills; Management of Self, Others and Practice.</t>
    </r>
  </si>
  <si>
    <r>
      <t>(Create)</t>
    </r>
    <r>
      <rPr>
        <sz val="11"/>
        <color theme="1"/>
        <rFont val="Arial"/>
        <family val="2"/>
        <charset val="1"/>
      </rPr>
      <t xml:space="preserve"> Design an evidence-based nutritional intervention appropriate to a client’s circumstances, values and context, following a needs analysis.</t>
    </r>
  </si>
  <si>
    <r>
      <t>Golden thread:</t>
    </r>
    <r>
      <rPr>
        <sz val="11"/>
        <color theme="1"/>
        <rFont val="Arial"/>
        <family val="2"/>
        <charset val="1"/>
      </rPr>
      <t xml:space="preserve"> </t>
    </r>
    <r>
      <rPr>
        <i/>
        <sz val="11"/>
        <color theme="1"/>
        <rFont val="Arial"/>
        <family val="2"/>
        <charset val="1"/>
      </rPr>
      <t>“From technique to judgement: the same client, growing more complex.”</t>
    </r>
    <r>
      <rPr>
        <sz val="11"/>
        <color theme="1"/>
        <rFont val="Arial"/>
        <family val="2"/>
        <charset val="1"/>
      </rPr>
      <t xml:space="preserve"> The consultation skill practised at Level 4 is deepened week by week as psychosocial complexity is layered onto the client, so students move from performing a consultation to exercising professional judgement within one.</t>
    </r>
  </si>
  <si>
    <r>
      <rPr>
        <b/>
        <sz val="11"/>
        <color rgb="FF000000"/>
        <rFont val="Arial"/>
        <family val="2"/>
      </rPr>
      <t>(Apply)</t>
    </r>
    <r>
      <rPr>
        <sz val="11"/>
        <color rgb="FF000000"/>
        <rFont val="Arial"/>
        <family val="2"/>
      </rPr>
      <t xml:space="preserve"> Communicate nutritional information appropriately to a specified audience, adapting method and message.</t>
    </r>
  </si>
  <si>
    <r>
      <rPr>
        <b/>
        <sz val="11"/>
        <color rgb="FF000000"/>
        <rFont val="Arial"/>
        <family val="2"/>
      </rPr>
      <t>(Evaluate)</t>
    </r>
    <r>
      <rPr>
        <sz val="11"/>
        <color rgb="FF000000"/>
        <rFont val="Arial"/>
        <family val="2"/>
      </rPr>
      <t xml:space="preserve"> Critically appraise their own professional practice against recognised professional standards.</t>
    </r>
  </si>
  <si>
    <t>Individual Presentation</t>
  </si>
  <si>
    <r>
      <t>Live consultation with case report (50%). Secured (live).</t>
    </r>
    <r>
      <rPr>
        <sz val="11"/>
        <color theme="1"/>
        <rFont val="Arial"/>
        <family val="2"/>
        <charset val="1"/>
      </rPr>
      <t xml:space="preserve"> Consultation conducted in-session with a briefed client presenting psychosocial complexity; the report must reference decisions taken in that session. Tests MLO1 (Create) and MLO2 (Apply). </t>
    </r>
    <r>
      <rPr>
        <i/>
        <sz val="11"/>
        <color theme="1"/>
        <rFont val="Arial"/>
        <family val="2"/>
        <charset val="1"/>
      </rPr>
      <t>Thread A matures here: the format practised at L4 now carries complexity and higher weight.</t>
    </r>
  </si>
  <si>
    <t>PLG creative professional-development portfolio</t>
  </si>
  <si>
    <t>Initiative</t>
  </si>
  <si>
    <t>Written communication</t>
  </si>
  <si>
    <t>From L4 technique to L5 judgement</t>
  </si>
  <si>
    <t>Reintroducing the client</t>
  </si>
  <si>
    <t>PLG reconstituted; recap</t>
  </si>
  <si>
    <t>Client-centred assessment and needs analysis</t>
  </si>
  <si>
    <t>Understanding the client</t>
  </si>
  <si>
    <t>Needs-analysis workshop</t>
  </si>
  <si>
    <t>Behaviour change theory</t>
  </si>
  <si>
    <t>Why the client does what they do</t>
  </si>
  <si>
    <t>Lecture; theory to practice</t>
  </si>
  <si>
    <t>Designing a nutritional intervention</t>
  </si>
  <si>
    <t>Planning for the client</t>
  </si>
  <si>
    <t>Intervention-design workshop</t>
  </si>
  <si>
    <t>Communication and health literacy</t>
  </si>
  <si>
    <t>Reaching the client</t>
  </si>
  <si>
    <t>Audience-adaptation practical</t>
  </si>
  <si>
    <t>The consultation with complexity (rung 4)</t>
  </si>
  <si>
    <r>
      <t>Formative checkpoint</t>
    </r>
    <r>
      <rPr>
        <sz val="11"/>
        <color theme="1"/>
        <rFont val="Arial"/>
        <family val="2"/>
        <charset val="1"/>
      </rPr>
      <t>: recorded practice consultation</t>
    </r>
  </si>
  <si>
    <t>Recorded consultation; peer and tutor feedback</t>
  </si>
  <si>
    <t>Professional judgement, boundaries, referral</t>
  </si>
  <si>
    <t>Knowing the limits</t>
  </si>
  <si>
    <t>Case-based decision workshop</t>
  </si>
  <si>
    <t>Implementing and evaluating the intervention</t>
  </si>
  <si>
    <t>Following through</t>
  </si>
  <si>
    <t>Evaluation-methods session</t>
  </si>
  <si>
    <t>Social marketing and public messaging</t>
  </si>
  <si>
    <t>Scaling the message</t>
  </si>
  <si>
    <t>Applied workshop</t>
  </si>
  <si>
    <t>Creative reflective practice and AI</t>
  </si>
  <si>
    <t>Accounting for my own practice</t>
  </si>
  <si>
    <t>AI-development session: creative artefact drafting</t>
  </si>
  <si>
    <t>Evaluating own practice against standards</t>
  </si>
  <si>
    <t>Judging myself</t>
  </si>
  <si>
    <t>Consultation synthesis and assessment preparation</t>
  </si>
  <si>
    <t>Thread pulled together</t>
  </si>
  <si>
    <t>Consultation rehearsal; portfolio surgery</t>
  </si>
  <si>
    <t>5014SPS</t>
  </si>
  <si>
    <t>To develop understanding of how food moves from production to consumer and how that journey shapes nutritional quality, sustainability and health, combining food systems analysis with the applied science of developing a sport nutrition product.</t>
  </si>
  <si>
    <t>Product Development for Sport Nutrition</t>
  </si>
  <si>
    <t>Global food supply chains (production, processing, manufacture, distribution, retail); staple foods, key nutrient sources, novel foods and alternative proteins; how production, processing, preservation, fortification and cooking affect composition and quality; the food matrix; sustainability, environmental impact and sustainable diets; national and international frameworks; political, ethical and economic dimensions of food production; food safety, quality, packaging and labelling; product development (formulation, sensory evaluation, practical work); regulation of nutrition and health claims.</t>
  </si>
  <si>
    <t>Katie Lane</t>
  </si>
  <si>
    <t>This module follows food from field to shelf to athlete, examining how that journey shapes nutritional quality, sustainability and health. You will analyse food supply chains and the environmental and ethical challenges of producing food sustainably, then apply that understanding to develop and defend your own sport nutrition product against a live industry brief. Sustainability is central to the module rather than an add-on, and you will work in the laboratory and kitchen as well as the classroom.</t>
  </si>
  <si>
    <r>
      <t>Formative</t>
    </r>
    <r>
      <rPr>
        <sz val="11"/>
        <color theme="1"/>
        <rFont val="Arial"/>
        <family val="2"/>
        <charset val="1"/>
      </rPr>
      <t xml:space="preserve"> - laboratory and kitchen style practical sessions feeding the brief.</t>
    </r>
  </si>
  <si>
    <r>
      <t>AI design.</t>
    </r>
    <r>
      <rPr>
        <sz val="11"/>
        <color theme="1"/>
        <rFont val="Arial"/>
        <family val="2"/>
        <charset val="1"/>
      </rPr>
      <t xml:space="preserve"> The pitch is secured by live defence; the written analysis is the open, AI-development item. Standard pairing.</t>
    </r>
  </si>
  <si>
    <r>
      <t>AfN (2025).</t>
    </r>
    <r>
      <rPr>
        <sz val="11"/>
        <color theme="1"/>
        <rFont val="Arial"/>
        <family val="2"/>
        <charset val="1"/>
      </rPr>
      <t xml:space="preserve"> CC3a (KH), CC3b (KH), CC3c (SH), CC3f (SH), CC5e (SH). </t>
    </r>
    <r>
      <rPr>
        <i/>
        <sz val="11"/>
        <color theme="1"/>
        <rFont val="Arial"/>
        <family val="2"/>
        <charset val="1"/>
      </rPr>
      <t>CC3e</t>
    </r>
  </si>
  <si>
    <r>
      <t>Enhancement.</t>
    </r>
    <r>
      <rPr>
        <sz val="11"/>
        <color theme="1"/>
        <rFont val="Arial"/>
        <family val="2"/>
        <charset val="1"/>
      </rPr>
      <t xml:space="preserve"> ESD is assessed directly in MLO2, not bolted on.</t>
    </r>
  </si>
  <si>
    <r>
      <t>Golden thread:</t>
    </r>
    <r>
      <rPr>
        <sz val="11"/>
        <color theme="1"/>
        <rFont val="Arial"/>
        <family val="2"/>
        <charset val="1"/>
      </rPr>
      <t xml:space="preserve"> </t>
    </r>
    <r>
      <rPr>
        <i/>
        <sz val="11"/>
        <color theme="1"/>
        <rFont val="Arial"/>
        <family val="2"/>
        <charset val="1"/>
      </rPr>
      <t>“From field to shelf to athlete: develop a product and defend its journey.”</t>
    </r>
    <r>
      <rPr>
        <sz val="11"/>
        <color theme="1"/>
        <rFont val="Arial"/>
        <family val="2"/>
        <charset val="1"/>
      </rPr>
      <t xml:space="preserve"> A live product brief runs the whole module; each week examines one stage of the food journey and feeds a decision into the developing product, so sustainability and formulation are reasoned about together rather than separately.</t>
    </r>
  </si>
  <si>
    <r>
      <t>(Analyse)</t>
    </r>
    <r>
      <rPr>
        <sz val="11"/>
        <color theme="1"/>
        <rFont val="Arial"/>
        <family val="2"/>
        <charset val="1"/>
      </rPr>
      <t xml:space="preserve"> Analyse how food supply chains and methods of production and processing affect the nutritional quality and sustainability of food.</t>
    </r>
  </si>
  <si>
    <r>
      <rPr>
        <b/>
        <sz val="11"/>
        <color rgb="FF000000"/>
        <rFont val="Arial"/>
        <family val="2"/>
      </rPr>
      <t>(Evaluate)</t>
    </r>
    <r>
      <rPr>
        <sz val="11"/>
        <color rgb="FF000000"/>
        <rFont val="Arial"/>
        <family val="2"/>
      </rPr>
      <t xml:space="preserve"> Critically evaluate the environmental, ethical and societal challenges of sustainable food production with reference to recognised frameworks.</t>
    </r>
  </si>
  <si>
    <r>
      <rPr>
        <b/>
        <sz val="11"/>
        <color rgb="FF000000"/>
        <rFont val="Arial"/>
        <family val="2"/>
      </rPr>
      <t>(Create)</t>
    </r>
    <r>
      <rPr>
        <sz val="11"/>
        <color rgb="FF000000"/>
        <rFont val="Arial"/>
        <family val="2"/>
      </rPr>
      <t xml:space="preserve"> Develop and justify a sport nutrition product concept, evidencing formulation decisions and compliance with claims regulation.</t>
    </r>
  </si>
  <si>
    <t>Group Presentation</t>
  </si>
  <si>
    <r>
      <t>Product development brief and pitch (50%). Secured (live defence).</t>
    </r>
    <r>
      <rPr>
        <sz val="11"/>
        <color theme="1"/>
        <rFont val="Arial"/>
        <family val="2"/>
        <charset val="1"/>
      </rPr>
      <t xml:space="preserve"> Live brief with industry input; pitch defended through Q and A. Tests MLO3 (Create) and MLO1 (Analyse) where formulation engages the supply chain. </t>
    </r>
    <r>
      <rPr>
        <i/>
        <sz val="11"/>
        <color theme="1"/>
        <rFont val="Arial"/>
        <family val="2"/>
        <charset val="1"/>
      </rPr>
      <t>Thread D and the create-and-defend format; the live Q and A secures it.</t>
    </r>
  </si>
  <si>
    <t>Lab Report</t>
  </si>
  <si>
    <r>
      <t>Food systems critical analysis (50%). Open, AI-development.</t>
    </r>
    <r>
      <rPr>
        <sz val="11"/>
        <color theme="1"/>
        <rFont val="Arial"/>
        <family val="2"/>
        <charset val="1"/>
      </rPr>
      <t xml:space="preserve"> Tests MLO1 (Analyse) and MLO2 (Evaluate). A synthesis task where AI genuinely helps; students submit an annotated AI-assisted draft or a prompt-and-refine record so their judgement is visible.</t>
    </r>
  </si>
  <si>
    <t>Analytical thinking</t>
  </si>
  <si>
    <t>Contextual application</t>
  </si>
  <si>
    <t>The food journey and the product brief</t>
  </si>
  <si>
    <t>Brief introduced</t>
  </si>
  <si>
    <t>Live brief set with industry input</t>
  </si>
  <si>
    <t>Primary production and supply chains</t>
  </si>
  <si>
    <t>Where food starts</t>
  </si>
  <si>
    <t>Lecture; supply-chain mapping</t>
  </si>
  <si>
    <t>Processing, preservation and the food matrix</t>
  </si>
  <si>
    <t>How processing changes food</t>
  </si>
  <si>
    <t>Lecture; matrix workshop</t>
  </si>
  <si>
    <t>Staple foods, novel foods, alternative proteins</t>
  </si>
  <si>
    <t>Choosing ingredients</t>
  </si>
  <si>
    <t>Ingredient-selection workshop</t>
  </si>
  <si>
    <t>Sustainability and environmental impact</t>
  </si>
  <si>
    <t>The journey’s footprint</t>
  </si>
  <si>
    <t>Lecture; frameworks introduced</t>
  </si>
  <si>
    <t>Sustainable diets and their frameworks</t>
  </si>
  <si>
    <r>
      <t>Formative checkpoint</t>
    </r>
    <r>
      <rPr>
        <sz val="11"/>
        <color theme="1"/>
        <rFont val="Arial"/>
        <family val="2"/>
        <charset val="1"/>
      </rPr>
      <t>: sustainability analysis outline</t>
    </r>
  </si>
  <si>
    <t>Framework application workshop</t>
  </si>
  <si>
    <t>Political, ethical and economic dimensions</t>
  </si>
  <si>
    <t>The contested journey</t>
  </si>
  <si>
    <t>Debate; food systems</t>
  </si>
  <si>
    <t>Formulation and sensory evaluation</t>
  </si>
  <si>
    <t>Building the product</t>
  </si>
  <si>
    <t>Kitchen/lab practical</t>
  </si>
  <si>
    <t>Food safety, quality, packaging</t>
  </si>
  <si>
    <t>Making it safe and sellable</t>
  </si>
  <si>
    <t>Practical; labelling</t>
  </si>
  <si>
    <t>Regulation of nutrition and health claims</t>
  </si>
  <si>
    <t>What I am allowed to say</t>
  </si>
  <si>
    <t>Claims-regulation workshop</t>
  </si>
  <si>
    <t>Refining the product and AI-assisted synthesis</t>
  </si>
  <si>
    <t>Drafting the analysis</t>
  </si>
  <si>
    <t>AI-development session: annotated draft</t>
  </si>
  <si>
    <t>Pitch rehearsal and assessment preparation</t>
  </si>
  <si>
    <t>Defending the journey</t>
  </si>
  <si>
    <t>Pitch practice with Q and A</t>
  </si>
  <si>
    <t>5015SPS</t>
  </si>
  <si>
    <t>To develop mechanistic understanding of how nutrition and exercise interact at the molecular and cellular level - nutrient sensing, signalling, appetite and energy-balance regulation, and training adaptation. Omics, nutrigenetics and precision nutrition are signposted here as a bridge and developed critically at Level 6 Molecular, so this module stays focused on applied exercise mechanism.</t>
  </si>
  <si>
    <t>Exercise Biochemistry</t>
  </si>
  <si>
    <t>Substrate utilisation and metabolic flexibility during exercise; nutrient sensing and signalling (mTOR, AMPK, PGC-1 alpha); the molecular basis of training adaptation, train-low and nutrient-exercise interactions; muscle protein synthesis and breakdown; mitochondrial biogenesis; endocrine and regulatory control; hormonal and neural control of appetite and satiety; the gut-brain axis and the gut microbiome; omics, nutrigenetics and precision nutrition signposted as a bridge to Level 6.</t>
  </si>
  <si>
    <t>Keslie Johnson</t>
  </si>
  <si>
    <t>This module explains why the body responds as it does to training and feeding, working from an applied question down to the underlying mechanism each week. You will study substrate use, nutrient signalling, training adaptation, appetite regulation and the gut microbiome, always in service of a performance or health question rather than as abstract biochemistry. The module bridges your Level 4 biochemistry to the gene-level and precision material you will meet in Molecular Nutrition and Genetics at Level 6.</t>
  </si>
  <si>
    <r>
      <t>Formative</t>
    </r>
    <r>
      <rPr>
        <sz val="11"/>
        <color theme="1"/>
        <rFont val="Arial"/>
        <family val="2"/>
        <charset val="1"/>
      </rPr>
      <t xml:space="preserve"> - data interpretation workshop.</t>
    </r>
  </si>
  <si>
    <r>
      <t>AI-development touchpoint:</t>
    </r>
    <r>
      <rPr>
        <sz val="11"/>
        <color theme="1"/>
        <rFont val="Arial"/>
        <family val="2"/>
        <charset val="1"/>
      </rPr>
      <t xml:space="preserve"> appraise AI-generated marketing copy for a sport nutrition product, checking claims against evidence. (The direct-to-consumer </t>
    </r>
    <r>
      <rPr>
        <i/>
        <sz val="11"/>
        <color theme="1"/>
        <rFont val="Arial"/>
        <family val="2"/>
        <charset val="1"/>
      </rPr>
      <t>genetic</t>
    </r>
    <r>
      <rPr>
        <sz val="11"/>
        <color theme="1"/>
        <rFont val="Arial"/>
        <family val="2"/>
        <charset val="1"/>
      </rPr>
      <t xml:space="preserve"> test critique moves up to L6 Molecular, where the nutrigenetics content now sits.)</t>
    </r>
  </si>
  <si>
    <r>
      <t>AI design.</t>
    </r>
    <r>
      <rPr>
        <sz val="11"/>
        <color theme="1"/>
        <rFont val="Arial"/>
        <family val="2"/>
        <charset val="1"/>
      </rPr>
      <t xml:space="preserve"> Both summative items are secured (own data, live explanation); the developmental AI work sits formatively.</t>
    </r>
  </si>
  <si>
    <r>
      <t>AfN (2025).</t>
    </r>
    <r>
      <rPr>
        <sz val="11"/>
        <color theme="1"/>
        <rFont val="Arial"/>
        <family val="2"/>
        <charset val="1"/>
      </rPr>
      <t xml:space="preserve"> CC2b (KH), CC2c (KH), CC2d (SH), CC2e (KH), CC5c (KH).</t>
    </r>
  </si>
  <si>
    <r>
      <t>Enhancement.</t>
    </r>
    <r>
      <rPr>
        <sz val="11"/>
        <color theme="1"/>
        <rFont val="Arial"/>
        <family val="2"/>
        <charset val="1"/>
      </rPr>
      <t xml:space="preserve"> Endocrine and regulatory-control content added for 5005, the appetite-regulation mechanism and gut microbiome. Nutrigenetics, nutrigenomics, omics and precision nutrition have been consolidated up at L6 Molecular rather than split across both modules, which removes the duplication and sharpens the level logic: applied exercise mechanism here, gene-level regulation and precision there. Graduate competency: Scientific Knowledge; Technical Skills; Understanding and Use of Research.</t>
    </r>
  </si>
  <si>
    <r>
      <t>(Understand)</t>
    </r>
    <r>
      <rPr>
        <sz val="11"/>
        <color theme="1"/>
        <rFont val="Arial"/>
        <family val="2"/>
        <charset val="1"/>
      </rPr>
      <t xml:space="preserve"> Explain the molecular and physiological mechanisms through which nutrient availability, exercise and appetite regulation interact to control metabolic and adaptive responses.</t>
    </r>
  </si>
  <si>
    <r>
      <t>Golden thread:</t>
    </r>
    <r>
      <rPr>
        <sz val="11"/>
        <color theme="1"/>
        <rFont val="Arial"/>
        <family val="2"/>
        <charset val="1"/>
      </rPr>
      <t xml:space="preserve"> </t>
    </r>
    <r>
      <rPr>
        <i/>
        <sz val="11"/>
        <color theme="1"/>
        <rFont val="Arial"/>
        <family val="2"/>
        <charset val="1"/>
      </rPr>
      <t>“Why does the body respond to this exercise session and because of this meal/food?”</t>
    </r>
    <r>
      <rPr>
        <sz val="11"/>
        <color theme="1"/>
        <rFont val="Arial"/>
        <family val="2"/>
        <charset val="1"/>
      </rPr>
      <t xml:space="preserve"> Each week takes a training or feeding scenario and works down to the mechanism, so the molecular detail is always in service of an applied question rather than taught as abstract biochemistry.</t>
    </r>
  </si>
  <si>
    <r>
      <rPr>
        <b/>
        <sz val="11"/>
        <color rgb="FF000000"/>
        <rFont val="Arial"/>
        <family val="2"/>
      </rPr>
      <t>(Analyse)</t>
    </r>
    <r>
      <rPr>
        <sz val="11"/>
        <color rgb="FF000000"/>
        <rFont val="Arial"/>
        <family val="2"/>
      </rPr>
      <t xml:space="preserve"> Analyse and interpret molecular and biochemical data to draw supported conclusions about nutritional and training interventions.</t>
    </r>
  </si>
  <si>
    <r>
      <rPr>
        <b/>
        <sz val="11"/>
        <color rgb="FF000000"/>
        <rFont val="Arial"/>
        <family val="2"/>
      </rPr>
      <t>(Apply)</t>
    </r>
    <r>
      <rPr>
        <sz val="11"/>
        <color rgb="FF000000"/>
        <rFont val="Arial"/>
        <family val="2"/>
      </rPr>
      <t xml:space="preserve"> Communicate applied exercise and nutrition evidence for performance and health outcomes to a specified audience.</t>
    </r>
  </si>
  <si>
    <r>
      <t>Laboratory report on a nutrient-exercise dataset (50%). Secured (own data).</t>
    </r>
    <r>
      <rPr>
        <sz val="11"/>
        <color theme="1"/>
        <rFont val="Arial"/>
        <family val="2"/>
        <charset val="1"/>
      </rPr>
      <t xml:space="preserve"> Tests MLO1 (Understand) and MLO2 (Analyse). </t>
    </r>
    <r>
      <rPr>
        <i/>
        <sz val="11"/>
        <color theme="1"/>
        <rFont val="Arial"/>
        <family val="2"/>
        <charset val="1"/>
      </rPr>
      <t>Thread B matures: more complex data than L4, less than L6 Molecular.</t>
    </r>
  </si>
  <si>
    <r>
      <t>Client explanation of biochemical rationale (rung 3) (50%). Secured (live).</t>
    </r>
    <r>
      <rPr>
        <sz val="11"/>
        <color theme="1"/>
        <rFont val="Arial"/>
        <family val="2"/>
        <charset val="1"/>
      </rPr>
      <t xml:space="preserve"> A face-to-face explanation to a client (role-play, building toward the health-scenario “dummies” idea) of why, biochemically, certain recommendations follow. Tests MLO3 (Apply).</t>
    </r>
  </si>
  <si>
    <t>Scientific writing</t>
  </si>
  <si>
    <t>Professional judgement</t>
  </si>
  <si>
    <t>The applied question and the mechanism map</t>
  </si>
  <si>
    <t>Overview; scenario bank</t>
  </si>
  <si>
    <t>Substrate use and metabolic flexibility</t>
  </si>
  <si>
    <t>Why fuel use shifts in a session</t>
  </si>
  <si>
    <t>Lecture; data intro</t>
  </si>
  <si>
    <t>Nutrient sensing: mTOR, AMPK, PGC-1 alpha</t>
  </si>
  <si>
    <t>How the cell reads the session</t>
  </si>
  <si>
    <t>Lecture; signalling</t>
  </si>
  <si>
    <t>Molecular basis of training adaptation</t>
  </si>
  <si>
    <t>Why training changes the muscle</t>
  </si>
  <si>
    <t>Lecture; train-low</t>
  </si>
  <si>
    <t>Muscle protein synthesis and breakdown</t>
  </si>
  <si>
    <t>Why protein timing matters</t>
  </si>
  <si>
    <t>Lecture; data workshop</t>
  </si>
  <si>
    <t>Data interpretation workshop</t>
  </si>
  <si>
    <r>
      <t>Formative checkpoint</t>
    </r>
    <r>
      <rPr>
        <sz val="11"/>
        <color theme="1"/>
        <rFont val="Arial"/>
        <family val="2"/>
        <charset val="1"/>
      </rPr>
      <t>: reading the dataset</t>
    </r>
  </si>
  <si>
    <t>Nutrient-exercise data practical</t>
  </si>
  <si>
    <t>Mitochondrial biogenesis</t>
  </si>
  <si>
    <t>Why endurance training works</t>
  </si>
  <si>
    <t>Lecture; applied</t>
  </si>
  <si>
    <t>Endocrine and regulatory control</t>
  </si>
  <si>
    <t>The hormonal layer</t>
  </si>
  <si>
    <t>Appetite and satiety: hormonal and neural control</t>
  </si>
  <si>
    <t>Why the athlete feels hungry</t>
  </si>
  <si>
    <t>Lecture; gut-brain axis</t>
  </si>
  <si>
    <t>The gut microbiome and energy balance</t>
  </si>
  <si>
    <t>The microbial layer</t>
  </si>
  <si>
    <t>Lecture; current evidence</t>
  </si>
  <si>
    <t>Can I trust this product’s claims?</t>
  </si>
  <si>
    <t>Applying mechanism to marketing</t>
  </si>
  <si>
    <t>AI-development session: appraise AI marketing copy</t>
  </si>
  <si>
    <t>Precision nutrition signpost; assessment preparation</t>
  </si>
  <si>
    <t>Bridge to L6; thread reviewed</t>
  </si>
  <si>
    <t>Lab-report surgery; client-explanation rehearsal</t>
  </si>
  <si>
    <t>5005SPS</t>
  </si>
  <si>
    <t>To examine nutritional requirements and eating behaviour across the life course, integrating biological, psychological and social perspectives, including sport and performance contexts across the lifespan and some consideration of special populations.</t>
  </si>
  <si>
    <t>Lifespan Nutrition and Eating Behaviour</t>
  </si>
  <si>
    <t>Nutrition across the life course (maternal and infant, childhood and adolescence, adulthood, older age); foetal programming and the developmental origins of health and disease; sport and performance contexts across the lifespan; psychosocial models of eating (restraint, disinhibition, intuitive and mindful eating); the food environment; socio-economic, cultural and religious determinants of intake; disordered eating and eating disorders (recognition, scope, referral); weight stigma and its effect on health outcomes; population-level dietary data; science communication.</t>
  </si>
  <si>
    <t xml:space="preserve">Lucy Richardson </t>
  </si>
  <si>
    <t>This module follows nutritional need and eating behaviour across the whole life course, from conception to older age, returning at each stage to the psychological, social and environmental pressures that shape what people actually eat. You will examine the determinants of intake, weight stigma and the food environment, and consider how practitioners work with individuals and populations whose relationship with food is shaped by far more than nutritional knowledge. Some content is sensitive, and the module is delivered with appropriate care and signposting.</t>
  </si>
  <si>
    <r>
      <t>Formative</t>
    </r>
    <r>
      <rPr>
        <sz val="11"/>
        <color theme="1"/>
        <rFont val="Arial"/>
        <family val="2"/>
        <charset val="1"/>
      </rPr>
      <t xml:space="preserve"> - peer review of a draft communication element.</t>
    </r>
  </si>
  <si>
    <r>
      <t>AI design.</t>
    </r>
    <r>
      <rPr>
        <sz val="11"/>
        <color theme="1"/>
        <rFont val="Arial"/>
        <family val="2"/>
        <charset val="1"/>
      </rPr>
      <t xml:space="preserve"> The role-play is secured live; the case analysis is the open, AI-development item.</t>
    </r>
  </si>
  <si>
    <r>
      <t>AfN (2025).</t>
    </r>
    <r>
      <rPr>
        <sz val="11"/>
        <color theme="1"/>
        <rFont val="Arial"/>
        <family val="2"/>
        <charset val="1"/>
      </rPr>
      <t xml:space="preserve"> CC2e (SH), CC4a (SH), CC4b (KH), CC4c (KH), CC5c (SH), CC5f (SH), CC3g (SH).</t>
    </r>
  </si>
  <si>
    <r>
      <t>Enhancement</t>
    </r>
    <r>
      <rPr>
        <sz val="11"/>
        <color theme="1"/>
        <rFont val="Arial"/>
        <family val="2"/>
        <charset val="1"/>
      </rPr>
      <t xml:space="preserve">. </t>
    </r>
    <r>
      <rPr>
        <b/>
        <sz val="11"/>
        <color theme="1"/>
        <rFont val="Arial"/>
        <family val="2"/>
        <charset val="1"/>
      </rPr>
      <t>EDEI:</t>
    </r>
    <r>
      <rPr>
        <sz val="11"/>
        <color theme="1"/>
        <rFont val="Arial"/>
        <family val="2"/>
        <charset val="1"/>
      </rPr>
      <t xml:space="preserve"> heaviest EDEI load in the programme - weight stigma, socio-economic and cultural determinants are integral to MLO2, satisfying PLO 12. </t>
    </r>
    <r>
      <rPr>
        <b/>
        <sz val="11"/>
        <color theme="1"/>
        <rFont val="Arial"/>
        <family val="2"/>
        <charset val="1"/>
      </rPr>
      <t>Wellbeing:</t>
    </r>
    <r>
      <rPr>
        <sz val="11"/>
        <color theme="1"/>
        <rFont val="Arial"/>
        <family val="2"/>
        <charset val="1"/>
      </rPr>
      <t xml:space="preserve"> disordered-eating content needs content warnings, signposting and a clear clinical-versus-lived-experience framing. Graduate competency: Communication; Understanding of the Delivery Environment; Professional Relationships and Behaviours.</t>
    </r>
  </si>
  <si>
    <r>
      <t>Golden thread:</t>
    </r>
    <r>
      <rPr>
        <sz val="11"/>
        <color theme="1"/>
        <rFont val="Arial"/>
        <family val="2"/>
        <charset val="1"/>
      </rPr>
      <t xml:space="preserve"> </t>
    </r>
    <r>
      <rPr>
        <i/>
        <sz val="11"/>
        <color theme="1"/>
        <rFont val="Arial"/>
        <family val="2"/>
        <charset val="1"/>
      </rPr>
      <t>“The same person, across a lifetime and its pressures.”</t>
    </r>
    <r>
      <rPr>
        <sz val="11"/>
        <color theme="1"/>
        <rFont val="Arial"/>
        <family val="2"/>
        <charset val="1"/>
      </rPr>
      <t xml:space="preserve"> The module follows nutritional need and eating behaviour from conception to older age, returning at each stage to the psychosocial and environmental pressures that shape what a person actually eats, so biology and behaviour are always held together.</t>
    </r>
  </si>
  <si>
    <r>
      <t>(Evaluate)</t>
    </r>
    <r>
      <rPr>
        <sz val="11"/>
        <color theme="1"/>
        <rFont val="Arial"/>
        <family val="2"/>
        <charset val="1"/>
      </rPr>
      <t xml:space="preserve"> Critically evaluate how nutritional requirements and dietary patterns change across the life course and the psychological, social and environmental factors that shape them.</t>
    </r>
  </si>
  <si>
    <r>
      <rPr>
        <b/>
        <sz val="11"/>
        <color rgb="FF000000"/>
        <rFont val="Arial"/>
        <family val="2"/>
      </rPr>
      <t>(Analyse)</t>
    </r>
    <r>
      <rPr>
        <sz val="11"/>
        <color rgb="FF000000"/>
        <rFont val="Arial"/>
        <family val="2"/>
      </rPr>
      <t xml:space="preserve"> Analyse the psychosocial and environmental determinants of eating behaviour and their implications for practice with individuals and population groups.</t>
    </r>
  </si>
  <si>
    <r>
      <rPr>
        <b/>
        <sz val="11"/>
        <color rgb="FF000000"/>
        <rFont val="Arial"/>
        <family val="2"/>
      </rPr>
      <t>(Apply)</t>
    </r>
    <r>
      <rPr>
        <sz val="11"/>
        <color rgb="FF000000"/>
        <rFont val="Arial"/>
        <family val="2"/>
      </rPr>
      <t xml:space="preserve"> Conduct a life-stage-appropriate consultation, adapting communication and dietary advice to the individual’s circumstances.</t>
    </r>
  </si>
  <si>
    <r>
      <t>Life-stage role-play consultation (50%). Secured (live).</t>
    </r>
    <r>
      <rPr>
        <sz val="11"/>
        <color theme="1"/>
        <rFont val="Arial"/>
        <family val="2"/>
        <charset val="1"/>
      </rPr>
      <t xml:space="preserve"> A briefed client at a specified life stage (Thread A, specialist-population outing). Tests MLO3 (Apply).</t>
    </r>
  </si>
  <si>
    <r>
      <t>Life course case analysis (50%). Open, AI-development.</t>
    </r>
    <r>
      <rPr>
        <sz val="11"/>
        <color theme="1"/>
        <rFont val="Arial"/>
        <family val="2"/>
        <charset val="1"/>
      </rPr>
      <t xml:space="preserve"> Following the role-play, a named individual with defined social, cultural and economic circumstances. Tests MLO1 (Evaluate) and MLO2 (Analyse). AI permitted for drafting public-facing elements, with annotation.</t>
    </r>
  </si>
  <si>
    <t>Understanding and use of research</t>
  </si>
  <si>
    <t>Evidence-based practice</t>
  </si>
  <si>
    <t>Active listening</t>
  </si>
  <si>
    <t>problem identification</t>
  </si>
  <si>
    <t>The life course and the person we will follow</t>
  </si>
  <si>
    <t>Overview; life-course framing</t>
  </si>
  <si>
    <t>Maternal, infant nutrition and foetal programming</t>
  </si>
  <si>
    <t>The start of the life</t>
  </si>
  <si>
    <t>Lecture; Developmental Origins of Health and Disease</t>
  </si>
  <si>
    <t>Childhood and adolescence</t>
  </si>
  <si>
    <t>Growing up</t>
  </si>
  <si>
    <t>Lecture; sport contexts</t>
  </si>
  <si>
    <t>Adulthood and older age</t>
  </si>
  <si>
    <t>The later life</t>
  </si>
  <si>
    <t>Lecture; special populations</t>
  </si>
  <si>
    <t>Psychosocial models of eating behaviour</t>
  </si>
  <si>
    <t>Why the person eats as they do</t>
  </si>
  <si>
    <t>Lecture; restraint and disinhibition</t>
  </si>
  <si>
    <t>The food environment and determinants of intake</t>
  </si>
  <si>
    <t>The pressures around the person</t>
  </si>
  <si>
    <r>
      <t>Formative checkpoint</t>
    </r>
    <r>
      <rPr>
        <sz val="11"/>
        <color theme="1"/>
        <rFont val="Arial"/>
        <family val="2"/>
        <charset val="1"/>
      </rPr>
      <t>: communication draft review</t>
    </r>
  </si>
  <si>
    <t>Socio-economic, cultural and religious determinants</t>
  </si>
  <si>
    <t>Fairness across a lifetime (EDEI)</t>
  </si>
  <si>
    <t>Case discussion</t>
  </si>
  <si>
    <r>
      <t xml:space="preserve">Weight stigma and health outcomes </t>
    </r>
    <r>
      <rPr>
        <i/>
        <sz val="11"/>
        <color theme="1"/>
        <rFont val="Arial"/>
        <family val="2"/>
        <charset val="1"/>
      </rPr>
      <t>(wellbeing-sensitive)</t>
    </r>
  </si>
  <si>
    <t>The cost of stigma</t>
  </si>
  <si>
    <t>Lecture; signposting built in</t>
  </si>
  <si>
    <r>
      <t xml:space="preserve">Disordered eating: recognition, scope, referral </t>
    </r>
    <r>
      <rPr>
        <i/>
        <sz val="11"/>
        <color theme="1"/>
        <rFont val="Arial"/>
        <family val="2"/>
        <charset val="1"/>
      </rPr>
      <t>(wellbeing-sensitive)</t>
    </r>
  </si>
  <si>
    <t>Knowing the limits of practice</t>
  </si>
  <si>
    <t>Lecture; content warning and support</t>
  </si>
  <si>
    <t>Life-stage consultation (rung 5)</t>
  </si>
  <si>
    <t>Meeting the person</t>
  </si>
  <si>
    <t>Role-play consultation practice</t>
  </si>
  <si>
    <t>Population data and science communication</t>
  </si>
  <si>
    <t>Speaking to the public</t>
  </si>
  <si>
    <t>AI-development session: drafting public-facing content</t>
  </si>
  <si>
    <t>Case synthesis and assessment preparation</t>
  </si>
  <si>
    <t>Case-analysis surgery; role-play rehearsal</t>
  </si>
  <si>
    <t>6003SPS</t>
  </si>
  <si>
    <t>To provide an in-depth, critical exploration of molecular nutrition: how dietary bioactive compounds modulate biochemical systems and gene expression, how energy balance and appetite are regulated at the level of the gene, and how omics technologies support precision and personalised nutrition, using sport performance and health examples.</t>
  </si>
  <si>
    <t>Molecular Nutrition and Genetics</t>
  </si>
  <si>
    <t>Molecular mechanisms of nutrient action and gene expression; nutrient-mediated transcriptional and post-transcriptional regulation; molecular actions of fatty acids and bioactive compounds; genetic variation and interindividual response; SNPs in sport and exercise nutrition; gene-level regulation of appetite and energy balance; nutrigenetics and nutrigenomics; omics and multi-omics; precision and personalised nutrition; critical appraisal of direct-to-consumer genetic testing; molecular laboratory techniques (ELISA, gel electrophoresis).</t>
  </si>
  <si>
    <t>This module offers an in-depth, critical exploration of molecular nutrition and genetics, asking how precise nutrition can really be. You will examine how nutrients modulate biochemical systems and gene expression, how genetic variation shapes individual response, and how omics technologies and direct-to-consumer testing support, or overstate, precision and personalised nutrition. Advanced laboratory work and critical appraisal draw together the molecular thread that runs from Level 4 biochemistry through Level 5.</t>
  </si>
  <si>
    <r>
      <t>Formative</t>
    </r>
    <r>
      <rPr>
        <sz val="11"/>
        <color theme="1"/>
        <rFont val="Arial"/>
        <family val="2"/>
        <charset val="1"/>
      </rPr>
      <t xml:space="preserve"> - laboratory logbook documenting procedures, data and reflective evaluation, in preparation for AS1.</t>
    </r>
  </si>
  <si>
    <r>
      <t>AI design.</t>
    </r>
    <r>
      <rPr>
        <sz val="11"/>
        <color theme="1"/>
        <rFont val="Arial"/>
        <family val="2"/>
        <charset val="1"/>
      </rPr>
      <t xml:space="preserve"> AS1 secured by own data; AS2 openly and deliberately AI-integrated, with critique the point of the task. This is the clearest expression in the programme of AI as a development tool.</t>
    </r>
  </si>
  <si>
    <r>
      <t>AfN (2025).</t>
    </r>
    <r>
      <rPr>
        <sz val="11"/>
        <color theme="1"/>
        <rFont val="Arial"/>
        <family val="2"/>
        <charset val="1"/>
      </rPr>
      <t xml:space="preserve"> CC2b (KH), CC2c (KH), CC2d (SH), CC2e (SH), CC2h (SH), CC2j (SH), CC5b (KH), CC5c (KH).</t>
    </r>
  </si>
  <si>
    <r>
      <t>Enhancement.</t>
    </r>
    <r>
      <rPr>
        <sz val="11"/>
        <color theme="1"/>
        <rFont val="Arial"/>
        <family val="2"/>
        <charset val="1"/>
      </rPr>
      <t xml:space="preserve"> Completes the biochemistry-to-molecular progression across L4 to L6 and consolidates laboratory competency. Graduate competency: Scientific Knowledge; Technical Skills; Understanding and Use of Research.</t>
    </r>
  </si>
  <si>
    <r>
      <t>Golden thread:</t>
    </r>
    <r>
      <rPr>
        <sz val="11"/>
        <color theme="1"/>
        <rFont val="Arial"/>
        <family val="2"/>
        <charset val="1"/>
      </rPr>
      <t xml:space="preserve"> </t>
    </r>
    <r>
      <rPr>
        <i/>
        <sz val="11"/>
        <color theme="1"/>
        <rFont val="Arial"/>
        <family val="2"/>
        <charset val="1"/>
      </rPr>
      <t>“From gene to plate to person: how precise can nutrition really be?”</t>
    </r>
    <r>
      <rPr>
        <sz val="11"/>
        <color theme="1"/>
        <rFont val="Arial"/>
        <family val="2"/>
        <charset val="1"/>
      </rPr>
      <t xml:space="preserve"> A running interrogation of the precision-nutrition promise threads the module: each mechanism is examined for what it genuinely supports and where the evidence and the commercial claims part company.</t>
    </r>
  </si>
  <si>
    <r>
      <t>(Evaluate)</t>
    </r>
    <r>
      <rPr>
        <sz val="11"/>
        <color theme="1"/>
        <rFont val="Arial"/>
        <family val="2"/>
        <charset val="1"/>
      </rPr>
      <t xml:space="preserve"> Critically evaluate the molecular mechanisms through which nutrients modulate exercise, adaptation, performance and health.</t>
    </r>
  </si>
  <si>
    <r>
      <rPr>
        <b/>
        <sz val="11"/>
        <color rgb="FF000000"/>
        <rFont val="Arial"/>
        <family val="2"/>
      </rPr>
      <t>(Analyse)</t>
    </r>
    <r>
      <rPr>
        <sz val="11"/>
        <color rgb="FF000000"/>
        <rFont val="Arial"/>
        <family val="2"/>
      </rPr>
      <t xml:space="preserve"> Analyse and interpret molecular nutrition data to develop evidence-based arguments and make scientifically informed judgements.</t>
    </r>
  </si>
  <si>
    <r>
      <rPr>
        <b/>
        <sz val="11"/>
        <color rgb="FF000000"/>
        <rFont val="Arial"/>
        <family val="2"/>
      </rPr>
      <t>(Evaluate)</t>
    </r>
    <r>
      <rPr>
        <sz val="11"/>
        <color rgb="FF000000"/>
        <rFont val="Arial"/>
        <family val="2"/>
      </rPr>
      <t xml:space="preserve"> Critically evaluate the application of nutrigenetics and nutrigenomics to precision nutrition in sport and exercise contexts.</t>
    </r>
  </si>
  <si>
    <t>Group presentation on biomechanical principles in weightlifting</t>
  </si>
  <si>
    <t>Research literacy</t>
  </si>
  <si>
    <t>Critical appraisal</t>
  </si>
  <si>
    <t>Critical thinking</t>
  </si>
  <si>
    <t>The precision-nutrition promise, and the thread</t>
  </si>
  <si>
    <t>Framing the interrogation</t>
  </si>
  <si>
    <t>Overview; the claim to test</t>
  </si>
  <si>
    <t>Molecular mechanisms of nutrient action</t>
  </si>
  <si>
    <t>How nutrients reach the gene</t>
  </si>
  <si>
    <t>Nutrient-mediated gene expression</t>
  </si>
  <si>
    <t>Turning genes up and down</t>
  </si>
  <si>
    <t>Lecture; transcriptional control</t>
  </si>
  <si>
    <t>Molecular actions of fatty acids and bioactives</t>
  </si>
  <si>
    <t>Specific molecular examples</t>
  </si>
  <si>
    <t>Laboratory techniques: ELISA, electrophoresis</t>
  </si>
  <si>
    <t>Generating the evidence</t>
  </si>
  <si>
    <t>Lab practical; logbook begins</t>
  </si>
  <si>
    <t>Genetic variation and interindividual response</t>
  </si>
  <si>
    <t>Why people differ</t>
  </si>
  <si>
    <r>
      <t>Formative checkpoint</t>
    </r>
    <r>
      <rPr>
        <sz val="11"/>
        <color theme="1"/>
        <rFont val="Arial"/>
        <family val="2"/>
        <charset val="1"/>
      </rPr>
      <t>: logbook review</t>
    </r>
  </si>
  <si>
    <t>SNPs in sport and exercise nutrition</t>
  </si>
  <si>
    <t>The genetics of performance</t>
  </si>
  <si>
    <t>Lecture; case examples</t>
  </si>
  <si>
    <t>Gene-level appetite and energy-balance regulation</t>
  </si>
  <si>
    <t>The genetic layer of intake</t>
  </si>
  <si>
    <t>Lecture; builds on L5</t>
  </si>
  <si>
    <t>Nutrigenetics, nutrigenomics and omics</t>
  </si>
  <si>
    <t>The precision toolkit</t>
  </si>
  <si>
    <t>Lecture; multi-omics</t>
  </si>
  <si>
    <t>Direct-to-consumer testing under scrutiny</t>
  </si>
  <si>
    <t>Where claims outrun evidence</t>
  </si>
  <si>
    <t>Critical-appraisal workshop</t>
  </si>
  <si>
    <t>AI-integrated molecular case study</t>
  </si>
  <si>
    <t>Testing the promise with, and on, AI</t>
  </si>
  <si>
    <t>AI-development session: generate, challenge, refine</t>
  </si>
  <si>
    <t>Synthesis and assessment preparation</t>
  </si>
  <si>
    <t>Verdict on the promise</t>
  </si>
  <si>
    <t>Lab-report and case surgery</t>
  </si>
  <si>
    <t>6004SPS</t>
  </si>
  <si>
    <t>To develop critical and professional judgement about supplement use in sport and to engage students with contemporary, unresolved issues, evaluating efficacy, mechanism, safety and regulation, and examining the practitioner’s anti-doping responsibilities.</t>
  </si>
  <si>
    <t>Sport Supplements and Contemporary Issues</t>
  </si>
  <si>
    <t>Evidence for ergogenic aids across strength, high-intensity, endurance and cognitive domains; molecular mechanisms of supplement action; supplement regulation, quality assurance, batch testing and contamination; regulation of nutrition and health claims for supplements; doping, inadvertent doping and anti-doping procedures; the practitioner’s role and liability; contemporary and unresolved issues; conflicts of interest, sponsorship and influencer activity.</t>
  </si>
  <si>
    <t xml:space="preserve">Neil Chester </t>
  </si>
  <si>
    <t>This module develops the critical and professional judgement needed to advise on supplement use in sport. You will evaluate the efficacy, mechanism, safety and regulation of ergogenic aids, examine anti-doping responsibilities and the risk of inadvertent doping, and engage with contemporary issues where the evidence has not yet settled. Throughout, you will work toward positions you can construct, justify and defend as an accountable practitioner.</t>
  </si>
  <si>
    <r>
      <t>Formative</t>
    </r>
    <r>
      <rPr>
        <sz val="11"/>
        <color theme="1"/>
        <rFont val="Arial"/>
        <family val="2"/>
        <charset val="1"/>
      </rPr>
      <t xml:space="preserve"> - structured debate on a contested supplement.</t>
    </r>
  </si>
  <si>
    <r>
      <t>AI design.</t>
    </r>
    <r>
      <rPr>
        <sz val="11"/>
        <color theme="1"/>
        <rFont val="Arial"/>
        <family val="2"/>
        <charset val="1"/>
      </rPr>
      <t xml:space="preserve"> The viva is the securing mechanism and mirrors the professional reality of defending advice verbally to athletes, coaches and medical staff.</t>
    </r>
  </si>
  <si>
    <r>
      <t>AI-development touchpoint:</t>
    </r>
    <r>
      <rPr>
        <sz val="11"/>
        <color theme="1"/>
        <rFont val="Arial"/>
        <family val="2"/>
        <charset val="1"/>
      </rPr>
      <t xml:space="preserve"> students may use AI to prepare the written statement provided they can defend every claim in the viva, which is itself a lesson in not over-trusting AI output.</t>
    </r>
  </si>
  <si>
    <r>
      <t>AfN (2025).</t>
    </r>
    <r>
      <rPr>
        <sz val="11"/>
        <color theme="1"/>
        <rFont val="Arial"/>
        <family val="2"/>
        <charset val="1"/>
      </rPr>
      <t xml:space="preserve"> CC1a (D), CC2h (SH), CC3e (SH), CC5b (SH), CC5c (KH). </t>
    </r>
    <r>
      <rPr>
        <i/>
        <sz val="11"/>
        <color theme="1"/>
        <rFont val="Arial"/>
        <family val="2"/>
        <charset val="1"/>
      </rPr>
      <t>CC3e lands here from Product Development, giving that competency a second home.</t>
    </r>
  </si>
  <si>
    <r>
      <t>Enhancement.</t>
    </r>
    <r>
      <rPr>
        <sz val="11"/>
        <color theme="1"/>
        <rFont val="Arial"/>
        <family val="2"/>
        <charset val="1"/>
      </rPr>
      <t xml:space="preserve"> Graduate competency: Problem Solving and Impact; Professional Relationships and Behaviours; Communication.</t>
    </r>
  </si>
  <si>
    <r>
      <t>(Evaluate)</t>
    </r>
    <r>
      <rPr>
        <sz val="11"/>
        <color theme="1"/>
        <rFont val="Arial"/>
        <family val="2"/>
        <charset val="1"/>
      </rPr>
      <t xml:space="preserve"> Critically evaluate the efficacy, mechanism and safety of ergogenic aids for specified exercise contexts.</t>
    </r>
  </si>
  <si>
    <r>
      <t>Golden thread:</t>
    </r>
    <r>
      <rPr>
        <sz val="11"/>
        <color theme="1"/>
        <rFont val="Arial"/>
        <family val="2"/>
        <charset val="1"/>
      </rPr>
      <t xml:space="preserve"> </t>
    </r>
    <r>
      <rPr>
        <i/>
        <sz val="11"/>
        <color theme="1"/>
        <rFont val="Arial"/>
        <family val="2"/>
        <charset val="1"/>
      </rPr>
      <t>“Would you put your name to this recommendation?”</t>
    </r>
    <r>
      <rPr>
        <sz val="11"/>
        <color theme="1"/>
        <rFont val="Arial"/>
        <family val="2"/>
        <charset val="1"/>
      </rPr>
      <t xml:space="preserve"> Every supplement and every contemporary issue is examined through the lens of professional accountability, so the module builds toward a position the student can defend rather than a set of facts they can recall.</t>
    </r>
  </si>
  <si>
    <r>
      <rPr>
        <b/>
        <sz val="11"/>
        <color rgb="FF000000"/>
        <rFont val="Arial"/>
        <family val="2"/>
      </rPr>
      <t>(Evaluate)</t>
    </r>
    <r>
      <rPr>
        <sz val="11"/>
        <color rgb="FF000000"/>
        <rFont val="Arial"/>
        <family val="2"/>
      </rPr>
      <t xml:space="preserve"> Critically analyse the risk of inadvertent doping and evaluate the practitioner’s professional and ethical responsibilities within anti-doping frameworks.</t>
    </r>
  </si>
  <si>
    <r>
      <rPr>
        <b/>
        <sz val="11"/>
        <color rgb="FF000000"/>
        <rFont val="Arial"/>
        <family val="2"/>
      </rPr>
      <t>(Create)</t>
    </r>
    <r>
      <rPr>
        <sz val="11"/>
        <color rgb="FF000000"/>
        <rFont val="Arial"/>
        <family val="2"/>
      </rPr>
      <t xml:space="preserve"> Construct and defend an evidence-based professional position on a contemporary issue where consensus is absent.</t>
    </r>
  </si>
  <si>
    <t>MLO1 and MLO2</t>
  </si>
  <si>
    <r>
      <t>Professional position statement with viva defence (50%). Secured (viva).</t>
    </r>
    <r>
      <rPr>
        <sz val="11"/>
        <color theme="1"/>
        <rFont val="Arial"/>
        <family val="2"/>
        <charset val="1"/>
      </rPr>
      <t xml:space="preserve"> Written statement on a contemporary issue, defended through structured questioning on the specific claims made. Tests MLO1 and MLO3 (Create). </t>
    </r>
    <r>
      <rPr>
        <i/>
        <sz val="11"/>
        <color theme="1"/>
        <rFont val="Arial"/>
        <family val="2"/>
        <charset val="1"/>
      </rPr>
      <t>Thread C destination: the appraise-and-defend skill first practised at L4 and evaluated at L5 now reaches full viva defence.</t>
    </r>
  </si>
  <si>
    <t>Research communication</t>
  </si>
  <si>
    <t>Accountability and the practitioner’s name</t>
  </si>
  <si>
    <t>Framing the thread</t>
  </si>
  <si>
    <t>Overview; the accountability test</t>
  </si>
  <si>
    <t>Evidence for ergogenic aids: strength and power</t>
  </si>
  <si>
    <t>Would I recommend this?</t>
  </si>
  <si>
    <t>Evidence-appraisal lecture</t>
  </si>
  <si>
    <t>Ergogenic aids: endurance and high-intensity</t>
  </si>
  <si>
    <t>Ergogenic aids: cognitive and emerging</t>
  </si>
  <si>
    <t>Molecular mechanisms of supplement action</t>
  </si>
  <si>
    <t>Why it works, if it works</t>
  </si>
  <si>
    <t>Lecture; mechanism</t>
  </si>
  <si>
    <t>Contested supplement debate</t>
  </si>
  <si>
    <r>
      <t>Formative checkpoint</t>
    </r>
    <r>
      <rPr>
        <sz val="11"/>
        <color theme="1"/>
        <rFont val="Arial"/>
        <family val="2"/>
        <charset val="1"/>
      </rPr>
      <t>: structured debate</t>
    </r>
  </si>
  <si>
    <t>Debate with peer challenge</t>
  </si>
  <si>
    <t>Supplement regulation and quality assurance</t>
  </si>
  <si>
    <t>Can I trust the product?</t>
  </si>
  <si>
    <t>Lecture; batch testing</t>
  </si>
  <si>
    <t>Claims regulation for supplements (CC3e)</t>
  </si>
  <si>
    <t>What I am allowed to claim</t>
  </si>
  <si>
    <t>Doping and inadvertent doping</t>
  </si>
  <si>
    <t>The gravest accountability</t>
  </si>
  <si>
    <t>Lecture; anti-doping procedures</t>
  </si>
  <si>
    <t>The practitioner’s role, liability, conflicts</t>
  </si>
  <si>
    <t>Whose interest do I serve?</t>
  </si>
  <si>
    <t>Case workshop; sponsorship</t>
  </si>
  <si>
    <t>Contemporary issues without consensus</t>
  </si>
  <si>
    <t>Taking a defensible position</t>
  </si>
  <si>
    <t>Position-building workshop</t>
  </si>
  <si>
    <t>Position statement and viva preparation</t>
  </si>
  <si>
    <t>Putting my name to it</t>
  </si>
  <si>
    <t>Viva rehearsal; exam prep</t>
  </si>
  <si>
    <t>6007SPS</t>
  </si>
  <si>
    <t>To examine critically the role of nutrition in supporting adaptation, recovery and long-term athlete health - recovery, immune function, injury, energy availability and the health consequences of sustained athletic demand - with authentic science communication to athlete populations.</t>
  </si>
  <si>
    <t>Sport Nutrition for Health, Adaptation and Recovery</t>
  </si>
  <si>
    <t>Nutritional support for training adaptation, nutrient timing and periodisation; recovery (glycogen resynthesis, protein for repair, rehydration, sleep); nutrition, immune function and illness risk; injury (nutritional support for healing, immobilisation, return to play); relative energy deficiency in sport (mechanisms, identification, management, referral); bone, endocrine and cardiovascular consequences of low energy availability; precision and personalised approaches to adaptation and recovery; long-term athlete health and duty of care; science communication.</t>
  </si>
  <si>
    <t>Liz Mahon</t>
  </si>
  <si>
    <t>This module looks beyond performance to the athlete who is also recovering, healing and staying well over the long term. You will critically examine nutrition for adaptation, recovery, immune function, injury and energy availability, and the health consequences of sustained athletic demand. Working with a real client group, you will produce evidence-based communication resources and reflect on what it means to support athlete health responsibly. Some content is sensitive and is delivered with appropriate care and signposting.</t>
  </si>
  <si>
    <r>
      <t>Formative</t>
    </r>
    <r>
      <rPr>
        <sz val="11"/>
        <color theme="1"/>
        <rFont val="Arial"/>
        <family val="2"/>
        <charset val="1"/>
      </rPr>
      <t xml:space="preserve"> - case-conference session presenting initial reasoning for challenge.</t>
    </r>
  </si>
  <si>
    <r>
      <t>AI design.</t>
    </r>
    <r>
      <rPr>
        <sz val="11"/>
        <color theme="1"/>
        <rFont val="Arial"/>
        <family val="2"/>
        <charset val="1"/>
      </rPr>
      <t xml:space="preserve"> The group project is the open AI-development item; the individual reflection is secured by being personal and experiential. The reflection also requires students to account for their own AI use, closing the Thread E loop.</t>
    </r>
  </si>
  <si>
    <r>
      <t>AfN (2025).</t>
    </r>
    <r>
      <rPr>
        <sz val="11"/>
        <color theme="1"/>
        <rFont val="Arial"/>
        <family val="2"/>
        <charset val="1"/>
      </rPr>
      <t xml:space="preserve"> CC2d (SH), CC2e (SH), CC5c (SH), CC5e (SH), CC1a (D).</t>
    </r>
  </si>
  <si>
    <r>
      <t>Enhancement.</t>
    </r>
    <r>
      <rPr>
        <sz val="11"/>
        <color theme="1"/>
        <rFont val="Arial"/>
        <family val="2"/>
        <charset val="1"/>
      </rPr>
      <t xml:space="preserve"> </t>
    </r>
    <r>
      <rPr>
        <b/>
        <sz val="11"/>
        <color theme="1"/>
        <rFont val="Arial"/>
        <family val="2"/>
        <charset val="1"/>
      </rPr>
      <t>Wellbeing:</t>
    </r>
    <r>
      <rPr>
        <sz val="11"/>
        <color theme="1"/>
        <rFont val="Arial"/>
        <family val="2"/>
        <charset val="1"/>
      </rPr>
      <t xml:space="preserve"> RED-S and low-energy-availability content requires careful framing and signposting, as in Lifespan. Graduate competency: Application of Knowledge and Skills; Professional Relationships and Behaviours; Communication.</t>
    </r>
  </si>
  <si>
    <r>
      <t>Golden thread:</t>
    </r>
    <r>
      <rPr>
        <sz val="11"/>
        <color theme="1"/>
        <rFont val="Arial"/>
        <family val="2"/>
        <charset val="1"/>
      </rPr>
      <t xml:space="preserve"> </t>
    </r>
    <r>
      <rPr>
        <i/>
        <sz val="11"/>
        <color theme="1"/>
        <rFont val="Arial"/>
        <family val="2"/>
        <charset val="1"/>
      </rPr>
      <t>“Supporting the athlete who is not only performing but recovering, healing and staying well.”</t>
    </r>
    <r>
      <rPr>
        <sz val="11"/>
        <color theme="1"/>
        <rFont val="Arial"/>
        <family val="2"/>
        <charset val="1"/>
      </rPr>
      <t xml:space="preserve"> The module follows the athlete beyond performance into adaptation, recovery and long-term health, culminating in real communication resources co-produced with the physio clinic.</t>
    </r>
  </si>
  <si>
    <r>
      <t>(Evaluate)</t>
    </r>
    <r>
      <rPr>
        <sz val="11"/>
        <color theme="1"/>
        <rFont val="Arial"/>
        <family val="2"/>
        <charset val="1"/>
      </rPr>
      <t xml:space="preserve"> Critically evaluate the mechanisms by which nutritional strategies support adaptation, recovery and immune function.</t>
    </r>
  </si>
  <si>
    <r>
      <rPr>
        <b/>
        <sz val="11"/>
        <color rgb="FF000000"/>
        <rFont val="Arial"/>
        <family val="2"/>
      </rPr>
      <t>Evaluate)</t>
    </r>
    <r>
      <rPr>
        <sz val="11"/>
        <color rgb="FF000000"/>
        <rFont val="Arial"/>
        <family val="2"/>
      </rPr>
      <t xml:space="preserve"> Critically appraise the evidence underpinning contemporary recovery and personalised nutrition practices, including their limitations.</t>
    </r>
  </si>
  <si>
    <r>
      <rPr>
        <b/>
        <sz val="11"/>
        <color rgb="FF000000"/>
        <rFont val="Arial"/>
        <family val="2"/>
      </rPr>
      <t>(Create)</t>
    </r>
    <r>
      <rPr>
        <sz val="11"/>
        <color rgb="FF000000"/>
        <rFont val="Arial"/>
        <family val="2"/>
      </rPr>
      <t xml:space="preserve"> Produce evidence-based science communication resources for a specified athlete or specialist audience.</t>
    </r>
  </si>
  <si>
    <r>
      <t>Science communication group project (50%). Open, AI-development.</t>
    </r>
    <r>
      <rPr>
        <sz val="11"/>
        <color theme="1"/>
        <rFont val="Arial"/>
        <family val="2"/>
        <charset val="1"/>
      </rPr>
      <t xml:space="preserve"> Working with the physio clinic for example, create resources supporting athlete rehabilitation. Tests MLO1 (Evaluate) and MLO3 (Create). </t>
    </r>
    <r>
      <rPr>
        <i/>
        <sz val="11"/>
        <color theme="1"/>
        <rFont val="Arial"/>
        <family val="2"/>
        <charset val="1"/>
      </rPr>
      <t>Thread D destination: authentic, real-client communication; AI permitted for resource drafting with the process documented.</t>
    </r>
  </si>
  <si>
    <t>Essay</t>
  </si>
  <si>
    <r>
      <t>Individual critical reflection on the group project (50%). Secured (personal).</t>
    </r>
    <r>
      <rPr>
        <sz val="11"/>
        <color theme="1"/>
        <rFont val="Arial"/>
        <family val="2"/>
        <charset val="1"/>
      </rPr>
      <t xml:space="preserve"> Evaluation of process, AI use, and critical appraisal of the chosen recovery strategies and communication tools. Tests MLO2 (Evaluate). </t>
    </r>
    <r>
      <rPr>
        <i/>
        <sz val="11"/>
        <color theme="1"/>
        <rFont val="Arial"/>
        <family val="2"/>
        <charset val="1"/>
      </rPr>
      <t>Anchored to the student’s own project experience, which AI cannot supply, and where accounting for AI use is part of the task.</t>
    </r>
  </si>
  <si>
    <t>Digital communication</t>
  </si>
  <si>
    <t>Beyond performance: the recovering athlete</t>
  </si>
  <si>
    <t xml:space="preserve">Lecture Overview (2hr); physio-clinic brief set (workshop 2hr) </t>
  </si>
  <si>
    <t>Nutritional support for training adaptation</t>
  </si>
  <si>
    <t>Adapting well</t>
  </si>
  <si>
    <t xml:space="preserve">Lecture (2hr); timing and periodisation 
Online (1 hr) </t>
  </si>
  <si>
    <t>Recovery: glycogen, protein, rehydration, sleep</t>
  </si>
  <si>
    <t>Recovering well</t>
  </si>
  <si>
    <t xml:space="preserve">Lecture (2hr); applied 
+ 
Science communication workshop (2hr) </t>
  </si>
  <si>
    <t>Nutrition, immune function and illness risk</t>
  </si>
  <si>
    <t>Staying well</t>
  </si>
  <si>
    <t xml:space="preserve">Lecture (2 hr) 
Online (1 hr) </t>
  </si>
  <si>
    <t>Injury: healing, immobilisation, return to play</t>
  </si>
  <si>
    <t>Healing well</t>
  </si>
  <si>
    <t xml:space="preserve">Lecture (2hr); applied cases (workshop 2hr) </t>
  </si>
  <si>
    <t>Case conference</t>
  </si>
  <si>
    <r>
      <t>Formative checkpoint</t>
    </r>
    <r>
      <rPr>
        <sz val="11"/>
        <color theme="1"/>
        <rFont val="Arial"/>
        <family val="2"/>
        <charset val="1"/>
      </rPr>
      <t>: reasoning presented for challenge</t>
    </r>
  </si>
  <si>
    <t>Case-conference session</t>
  </si>
  <si>
    <r>
      <t xml:space="preserve">RED-S: mechanisms and identification </t>
    </r>
    <r>
      <rPr>
        <i/>
        <sz val="11"/>
        <color theme="1"/>
        <rFont val="Arial"/>
        <family val="2"/>
        <charset val="1"/>
      </rPr>
      <t>(wellbeing-sensitive)</t>
    </r>
  </si>
  <si>
    <t>When health is at risk</t>
  </si>
  <si>
    <t xml:space="preserve">Lecture; signposting built in (2hr) 
+ 
Science communication workshop (2hr) </t>
  </si>
  <si>
    <r>
      <t xml:space="preserve">Consequences of low energy availability </t>
    </r>
    <r>
      <rPr>
        <i/>
        <sz val="11"/>
        <color theme="1"/>
        <rFont val="Arial"/>
        <family val="2"/>
        <charset val="1"/>
      </rPr>
      <t>(wellbeing-sensitive)</t>
    </r>
  </si>
  <si>
    <t>The long-term cost</t>
  </si>
  <si>
    <t xml:space="preserve">Lecture (2hr); bone, endocrine, cardiovascular 
Online (1hr) </t>
  </si>
  <si>
    <t>Precision approaches to recovery</t>
  </si>
  <si>
    <t>Personalising recovery</t>
  </si>
  <si>
    <t xml:space="preserve">Lecture; (2hr) 
+  
Working with athletes workshop (2hr) </t>
  </si>
  <si>
    <t>Long-term athlete health and duty of care</t>
  </si>
  <si>
    <t>The practitioner’s responsibility</t>
  </si>
  <si>
    <t xml:space="preserve">Lecture; referral (2hr) 
Online (1 hr) </t>
  </si>
  <si>
    <t>Co-producing communication resources with AI</t>
  </si>
  <si>
    <t>Speaking to the athlete</t>
  </si>
  <si>
    <t xml:space="preserve">AI-development session: resource drafting with physio clinic (workshop 4hr) </t>
  </si>
  <si>
    <t>Project synthesis and reflection preparation</t>
  </si>
  <si>
    <t xml:space="preserve">Group-project surgery; reflection prep 
(workshop 4hr) </t>
  </si>
  <si>
    <t>6008SPS</t>
  </si>
  <si>
    <t xml:space="preserve">Capstone Placement Project </t>
  </si>
  <si>
    <t>Wendy Johnston</t>
  </si>
  <si>
    <t>Equipment and technology utilisation</t>
  </si>
  <si>
    <t>6006SPS</t>
  </si>
  <si>
    <t xml:space="preserve">Applied Placement </t>
  </si>
  <si>
    <t xml:space="preserve">Wendy Johnston </t>
  </si>
  <si>
    <t>Introduction to biomechanics</t>
  </si>
  <si>
    <t>Linear kinematics</t>
  </si>
  <si>
    <t>2D motion analysis practical</t>
  </si>
  <si>
    <t>Angular kinematics</t>
  </si>
  <si>
    <t>Forces and Newton’s laws</t>
  </si>
  <si>
    <t>Force platform practical</t>
  </si>
  <si>
    <t>Work, energy, and power</t>
  </si>
  <si>
    <t>Momentum and impulse</t>
  </si>
  <si>
    <t>Fluid mechanics</t>
  </si>
  <si>
    <t>Tissue mechanics</t>
  </si>
  <si>
    <t>Biomechanical modelling</t>
  </si>
  <si>
    <t>Measurement techniques</t>
  </si>
  <si>
    <t xml:space="preserve">Markerless practical </t>
  </si>
  <si>
    <t>Data analysis</t>
  </si>
  <si>
    <t>Revision / assessment preparation</t>
  </si>
  <si>
    <t>Table 1</t>
  </si>
  <si>
    <t>Table 3</t>
  </si>
  <si>
    <t>Table 5</t>
  </si>
  <si>
    <t>Management of self and others</t>
  </si>
  <si>
    <t>Understanding the delivery environment</t>
  </si>
  <si>
    <t>Viva</t>
  </si>
  <si>
    <t>Professional relationships and behaviours</t>
  </si>
  <si>
    <t>Dissertation</t>
  </si>
  <si>
    <t>Research Strand</t>
  </si>
  <si>
    <t>Research Project</t>
  </si>
  <si>
    <t>Category</t>
  </si>
  <si>
    <t>Skill</t>
  </si>
  <si>
    <t>Placement</t>
  </si>
  <si>
    <t>Scientific Knowledge</t>
  </si>
  <si>
    <t>Category text shown to user</t>
  </si>
  <si>
    <t>Defined Name</t>
  </si>
  <si>
    <t>Option module</t>
  </si>
  <si>
    <t>ScientificKnowledge</t>
  </si>
  <si>
    <t>Data Analysis</t>
  </si>
  <si>
    <t>TechnicalSkills</t>
  </si>
  <si>
    <t>Video</t>
  </si>
  <si>
    <t>ApplicationofKnowledge</t>
  </si>
  <si>
    <t>Infographic</t>
  </si>
  <si>
    <t>Domain-specific analytical skills</t>
  </si>
  <si>
    <t>UnderstandingResearch</t>
  </si>
  <si>
    <t>Reflection</t>
  </si>
  <si>
    <t>Evidence evaluation</t>
  </si>
  <si>
    <t>SelfEvaluation</t>
  </si>
  <si>
    <t>Football Science</t>
  </si>
  <si>
    <t>Journal</t>
  </si>
  <si>
    <t>Laboratory/clinical techniques</t>
  </si>
  <si>
    <t>Physical Education</t>
  </si>
  <si>
    <t>MCQ Online Test</t>
  </si>
  <si>
    <t>Data collection</t>
  </si>
  <si>
    <t>ProblemSolving</t>
  </si>
  <si>
    <t>Sport and Exercise Science</t>
  </si>
  <si>
    <t>Technical Skills</t>
  </si>
  <si>
    <t>MgmtSelf</t>
  </si>
  <si>
    <t>Sport Coaching</t>
  </si>
  <si>
    <t>DeliveryEnvironment</t>
  </si>
  <si>
    <t>ProfRelationships</t>
  </si>
  <si>
    <t>Sport Psychology</t>
  </si>
  <si>
    <t>Technical proficiency</t>
  </si>
  <si>
    <t>All Programmes</t>
  </si>
  <si>
    <t>SES and FS</t>
  </si>
  <si>
    <t>SES, SC, PE</t>
  </si>
  <si>
    <t>SES and SN</t>
  </si>
  <si>
    <t>SC and PE</t>
  </si>
  <si>
    <t>Adaptability</t>
  </si>
  <si>
    <t>Application of Knowledge &amp; Skills</t>
  </si>
  <si>
    <t>Other combination</t>
  </si>
  <si>
    <t>Risk assessment</t>
  </si>
  <si>
    <t>Literature searching</t>
  </si>
  <si>
    <t>Data interpretation</t>
  </si>
  <si>
    <t>Lifelong learning</t>
  </si>
  <si>
    <t>Personal development planning</t>
  </si>
  <si>
    <t>Resilience</t>
  </si>
  <si>
    <t>Accountability</t>
  </si>
  <si>
    <t>Creative thinking</t>
  </si>
  <si>
    <t>Innovation</t>
  </si>
  <si>
    <t>Evaluation of outcomes</t>
  </si>
  <si>
    <t>Leadership</t>
  </si>
  <si>
    <t>Coaching and mentoring</t>
  </si>
  <si>
    <t>Time management</t>
  </si>
  <si>
    <t>Organisation</t>
  </si>
  <si>
    <t>Delegation</t>
  </si>
  <si>
    <t>Conflict resolution</t>
  </si>
  <si>
    <t>Empathy</t>
  </si>
  <si>
    <t>Multi-tasking</t>
  </si>
  <si>
    <t>Resource management</t>
  </si>
  <si>
    <t>Organisational awareness</t>
  </si>
  <si>
    <t>Policy interpretation</t>
  </si>
  <si>
    <t>Stakeholder awareness</t>
  </si>
  <si>
    <t>Service delivery</t>
  </si>
  <si>
    <t>Professional awareness</t>
  </si>
  <si>
    <t>Teamwork</t>
  </si>
  <si>
    <t>Collaboration/multi-disciplinary working</t>
  </si>
  <si>
    <t>Ethical practice</t>
  </si>
  <si>
    <t>Professionalism</t>
  </si>
  <si>
    <t>Cultural awareness and competence</t>
  </si>
  <si>
    <t>Integrity</t>
  </si>
  <si>
    <t>Respect</t>
  </si>
  <si>
    <t>Professional relationships &amp; behaviours</t>
  </si>
  <si>
    <t>SourceWorkbook</t>
  </si>
  <si>
    <t>TableName</t>
  </si>
  <si>
    <t>ModuleCode</t>
  </si>
  <si>
    <t>ItemSuffix</t>
  </si>
  <si>
    <t>Programme</t>
  </si>
  <si>
    <t>ProgCode</t>
  </si>
  <si>
    <t>ModuleTitle</t>
  </si>
  <si>
    <t>Sport and Exercise Science - AllModuleProformas.xlsx</t>
  </si>
  <si>
    <t>4091SPS_Meta</t>
  </si>
  <si>
    <t>4091SPS</t>
  </si>
  <si>
    <t>Meta</t>
  </si>
  <si>
    <t>NUTR</t>
  </si>
  <si>
    <t>Research Methods 1</t>
  </si>
  <si>
    <t>Theodoors Bampouras</t>
  </si>
  <si>
    <t>4092SPS_Meta</t>
  </si>
  <si>
    <t>4092SPS</t>
  </si>
  <si>
    <t>Exercise Phys L4</t>
  </si>
  <si>
    <t>5091SPS_Meta</t>
  </si>
  <si>
    <t>5091SPS</t>
  </si>
  <si>
    <t>Research Methods 2</t>
  </si>
  <si>
    <t>Jonathan Foulkes</t>
  </si>
  <si>
    <t>5092SPS_Meta</t>
  </si>
  <si>
    <t>5092SPS</t>
  </si>
  <si>
    <t>Physiological adaptations to exercise</t>
  </si>
  <si>
    <t>Pascale Kippelen</t>
  </si>
  <si>
    <t>6091SPS_Meta</t>
  </si>
  <si>
    <t>6091SPS</t>
  </si>
  <si>
    <t>Major Project</t>
  </si>
  <si>
    <t>Dave Low</t>
  </si>
  <si>
    <t>4091SPS_LO</t>
  </si>
  <si>
    <t>Identify characteristics of different research designs</t>
  </si>
  <si>
    <t>LO</t>
  </si>
  <si>
    <t>Apply, interpret and report quantitative and qualitative techniques</t>
  </si>
  <si>
    <t>4092SPS_LO</t>
  </si>
  <si>
    <t>Describe the basic structure and function of key physiological systems and metabolic processes.</t>
  </si>
  <si>
    <t>Describe and explain how key physiological systems and metabolic processes respond to acute exercise.</t>
  </si>
  <si>
    <t>Collect, present and interpret physiological data using appropriate scientific methods and conventions.</t>
  </si>
  <si>
    <t>5091SPS_LO</t>
  </si>
  <si>
    <t>Deploy accurately established techniques of analysis and enquiry within a discipline</t>
  </si>
  <si>
    <t>Describe and comment upon aspects of current research, or equivalent advanced scholarship, in the discipline</t>
  </si>
  <si>
    <t>Manage their own learning, and to make use of scholarly reviews and primary sources (for example, refereed research articles and/or original materials appropriate to the discipline).</t>
  </si>
  <si>
    <t>5092SPS_LO</t>
  </si>
  <si>
    <t>Analyse and critically evaluate the physiological effects of sport and exercise interventions in diverse populations.</t>
  </si>
  <si>
    <t>Critically assess the impact of environmental factors, nutritional interventions, and disease states on physiological responses and adaptations to exercise training,</t>
  </si>
  <si>
    <t>6091SPS_LO</t>
  </si>
  <si>
    <t>Apply skills and competencies to conduct research in an area relevant to their programme of study</t>
  </si>
  <si>
    <t>Critically appraise the research in a written format as specified by the major project guidelines</t>
  </si>
  <si>
    <t>Present and defend the progress and summary of the project and its findings in a scientific manner</t>
  </si>
  <si>
    <t>4091SPS_Assess</t>
  </si>
  <si>
    <t>Online test with multiple-choice, fill in the gap or true/false questions. The questions are based around the content of the first 4 weeks. Practice questions will be available on Canvas.</t>
  </si>
  <si>
    <t>Assess</t>
  </si>
  <si>
    <t>Assessment period</t>
  </si>
  <si>
    <t>4092SPS_Assess</t>
  </si>
  <si>
    <t>Lab Report Portfolio: Lab Report 1 Submission + Peer Review Activity + Reflection + Lab Report 2 Submission</t>
  </si>
  <si>
    <t>5091SPS_Assess</t>
  </si>
  <si>
    <t>5092SPS_Assess</t>
  </si>
  <si>
    <t>Pro/con debate: working in groups, students will research, prepare, and participate in a structured debate on a controversial topic related to sport and exercise physiology</t>
  </si>
  <si>
    <t>Assessment week</t>
  </si>
  <si>
    <t>6091SPS_Assess</t>
  </si>
  <si>
    <t xml:space="preserve">Students are required to manage their own project throughout the year and produce, present and defend their major project </t>
  </si>
  <si>
    <t>4091SPS_Hours</t>
  </si>
  <si>
    <t>Hours</t>
  </si>
  <si>
    <t>4092SPS_Hours</t>
  </si>
  <si>
    <t>5091SPS_Hours</t>
  </si>
  <si>
    <t>5092SPS_Hours</t>
  </si>
  <si>
    <t>6091SPS_Hours</t>
  </si>
  <si>
    <t>4091SPS_Mapping</t>
  </si>
  <si>
    <t>Mapping</t>
  </si>
  <si>
    <t>4092SPS_Mapping</t>
  </si>
  <si>
    <t>5091SPS_Mapping</t>
  </si>
  <si>
    <t>5092SPS_Mapping</t>
  </si>
  <si>
    <t>6091SPS_Mapping</t>
  </si>
  <si>
    <t>Modules Covering</t>
  </si>
  <si>
    <t>Module Count</t>
  </si>
  <si>
    <t>Covered</t>
  </si>
  <si>
    <t>Total Contact Hours</t>
  </si>
  <si>
    <t>Hours per Credit</t>
  </si>
  <si>
    <t>Sport Nutrition - AllModuleProformas.xlsx</t>
  </si>
  <si>
    <t>_4001SPS_Hours</t>
  </si>
  <si>
    <t>_4003SPS_Hours</t>
  </si>
  <si>
    <t>_4004SPS_Hours</t>
  </si>
  <si>
    <t>_4006SPS_Hours</t>
  </si>
  <si>
    <t>_5001SPS_Hours</t>
  </si>
  <si>
    <t>_5014SPS_Hours</t>
  </si>
  <si>
    <t>_5015SPS_Hours</t>
  </si>
  <si>
    <t>_5005SPS_Hours</t>
  </si>
  <si>
    <t>_6003SPS_Hours</t>
  </si>
  <si>
    <t>_6004SPS_Hours</t>
  </si>
  <si>
    <t>_6007SPS_Hours</t>
  </si>
  <si>
    <t>_6008SPS_Hours</t>
  </si>
  <si>
    <t>Capstone Placment Project</t>
  </si>
  <si>
    <t>_4001SPS_Mapping</t>
  </si>
  <si>
    <t>_4003SPS_Mapping</t>
  </si>
  <si>
    <t>_4004SPS_Mapping</t>
  </si>
  <si>
    <t>_4006SPS_Mapping</t>
  </si>
  <si>
    <t>_5001SPS_Mapping</t>
  </si>
  <si>
    <t>_5014SPS_Mapping</t>
  </si>
  <si>
    <t>_5015SPS_Mapping</t>
  </si>
  <si>
    <t>_5005SPS_Mapping</t>
  </si>
  <si>
    <t>_6003SPS_Mapping</t>
  </si>
  <si>
    <t>_6004SPS_Mapping</t>
  </si>
  <si>
    <t>_6007SPS_Mapping</t>
  </si>
  <si>
    <t>_6008SPS_Mapping</t>
  </si>
  <si>
    <t>_4001SPS_Meta</t>
  </si>
  <si>
    <t>_4003SPS_Meta</t>
  </si>
  <si>
    <t>_4004SPS_Meta</t>
  </si>
  <si>
    <t>_4006SPS_Meta</t>
  </si>
  <si>
    <t>_5001SPS_Meta</t>
  </si>
  <si>
    <t>_5014SPS_Meta</t>
  </si>
  <si>
    <t>_5015SPS_Meta</t>
  </si>
  <si>
    <t>_5005SPS_Meta</t>
  </si>
  <si>
    <t>_6003SPS_Meta</t>
  </si>
  <si>
    <t>_6004SPS_Meta</t>
  </si>
  <si>
    <t>_6007SPS_Meta</t>
  </si>
  <si>
    <t>_6008SPS_Meta</t>
  </si>
  <si>
    <t>_4001SPS_Assess</t>
  </si>
  <si>
    <t>Assessment data collected in-session, with justification and interpretation. Tests MLO1 (Apply) and MLO2 (Understand). Thread A and B origin: this is where the consultation and measurement formats are first practised.</t>
  </si>
  <si>
    <t>_4003SPS_Assess</t>
  </si>
  <si>
    <t>_4004SPS_Assess</t>
  </si>
  <si>
    <t>Two practice and training labs across the module, then one final in-person lab exam comprising a completed handwritten proforma and submission of the handwritten lab book. Tests MLO1 (Understand) and MLO3 (Analyse). Thread B origin: this is where lab competency and data interpretation are first assessed under secure conditions, maturing at L5 Exercise Biochemistry and L6 Molecular.</t>
  </si>
  <si>
    <t>_4006SPS_Assess</t>
  </si>
  <si>
    <t>_5001SPS_Assess</t>
  </si>
  <si>
    <t>_5014SPS_Assess</t>
  </si>
  <si>
    <t>_5015SPS_Assess</t>
  </si>
  <si>
    <t>_5005SPS_Assess</t>
  </si>
  <si>
    <t>Life-stage role-play consultation (50%). Secured (live). A briefed client at a specified life stage (Thread A, specialist-population outing). Tests MLO3 (Apply).</t>
  </si>
  <si>
    <t>Life course case analysis (50%). Open, AI-development. Following the role-play, a named individual with defined social, cultural and economic circumstances. Tests MLO1 (Evaluate) and MLO2 (Analyse). AI permitted for drafting public-facing elements, with annotation.</t>
  </si>
  <si>
    <t>_6003SPS_Assess</t>
  </si>
  <si>
    <t>_6004SPS_Assess</t>
  </si>
  <si>
    <t>_6007SPS_Assess</t>
  </si>
  <si>
    <t>Science communication group project (50%). Open, AI-development. Working with the physio clinic for example, create resources supporting athlete rehabilitation. Tests MLO1 (Evaluate) and MLO3 (Create). Thread D destination: authentic, real-client communication; AI permitted for resource drafting with the process documented.</t>
  </si>
  <si>
    <t>_4001SPS_LO</t>
  </si>
  <si>
    <t>(Apply) Select and demonstrate appropriate methods to assess energy intake, energy expenditure and body composition, justifying the method chosen for a given purpose.</t>
  </si>
  <si>
    <t>(Understand) Explain the professional, ethical and legal expectations placed on a nutrition practitioner, including scope of practice and equality, diversity, equity and inclusion.</t>
  </si>
  <si>
    <t>(Understand) Reflect on their own developing professional practice and identify areas for development.</t>
  </si>
  <si>
    <t>_4003SPS_LO</t>
  </si>
  <si>
    <t>(Understand) Describe the functions, food sources and metabolic roles of the major and minor nutrients and the consequences of inappropriate intakes.</t>
  </si>
  <si>
    <t>(Apply) Apply Dietary Reference Values to evaluate the adequacy of a described diet and explain how those values are derived.</t>
  </si>
  <si>
    <t>(Understand) Explain the chemical properties of nutrients and food components that determine their nutritional behaviour.</t>
  </si>
  <si>
    <t>_4004SPS_LO</t>
  </si>
  <si>
    <t>_4006SPS_LO</t>
  </si>
  <si>
    <t>(Understand) Explain how energy availability, macronutrient and micronutrient status and hydration influence exercise performance.</t>
  </si>
  <si>
    <t>(Apply) Apply current position stands and consensus statements to produce evidence-based nutritional recommendations for a specified sport and context.</t>
  </si>
  <si>
    <t>(Analyse) Examine the strengths and limitations of the evidence underpinning a given nutritional recommendation.</t>
  </si>
  <si>
    <t>_5001SPS_LO</t>
  </si>
  <si>
    <t>(Create) Design an evidence-based nutritional intervention appropriate to a client’s circumstances, values and context, following a needs analysis.</t>
  </si>
  <si>
    <t>(Apply) Communicate nutritional information appropriately to a specified audience, adapting method and message.</t>
  </si>
  <si>
    <t>(Evaluate) Critically appraise their own professional practice against recognised professional standards.</t>
  </si>
  <si>
    <t>_5014SPS_LO</t>
  </si>
  <si>
    <t>(Analyse) Analyse how food supply chains and methods of production and processing affect the nutritional quality and sustainability of food.</t>
  </si>
  <si>
    <t>(Evaluate) Critically evaluate the environmental, ethical and societal challenges of sustainable food production with reference to recognised frameworks.</t>
  </si>
  <si>
    <t>(Create) Develop and justify a sport nutrition product concept, evidencing formulation decisions and compliance with claims regulation.</t>
  </si>
  <si>
    <t>_5015SPS_LO</t>
  </si>
  <si>
    <t>(Understand) Explain the molecular and physiological mechanisms through which nutrient availability, exercise and appetite regulation interact to control metabolic and adaptive responses.</t>
  </si>
  <si>
    <t>(Analyse) Analyse and interpret molecular and biochemical data to draw supported conclusions about nutritional and training interventions.</t>
  </si>
  <si>
    <t>(Apply) Communicate applied exercise and nutrition evidence for performance and health outcomes to a specified audience.</t>
  </si>
  <si>
    <t>_5005SPS_LO</t>
  </si>
  <si>
    <t>(Evaluate) Critically evaluate how nutritional requirements and dietary patterns change across the life course and the psychological, social and environmental factors that shape them.</t>
  </si>
  <si>
    <t>(Analyse) Analyse the psychosocial and environmental determinants of eating behaviour and their implications for practice with individuals and population groups.</t>
  </si>
  <si>
    <t>(Apply) Conduct a life-stage-appropriate consultation, adapting communication and dietary advice to the individual’s circumstances.</t>
  </si>
  <si>
    <t>_6003SPS_LO</t>
  </si>
  <si>
    <t>_6004SPS_LO</t>
  </si>
  <si>
    <t>_6007SPS_LO</t>
  </si>
  <si>
    <t>(Evaluate) Critically evaluate the mechanisms by which nutritional strategies support adaptation, recovery and immune function.</t>
  </si>
  <si>
    <t>Evaluate) Critically appraise the evidence underpinning contemporary recovery and personalised nutrition practices, including their limitations.</t>
  </si>
  <si>
    <t>(Create) Produce evidence-based science communication resources for a specified athlete or specialist audience.</t>
  </si>
  <si>
    <t>Exercise Phys L4; Physiological adaptations to exercise; Major Project; Molecular Nutrition and Genetics</t>
  </si>
  <si>
    <t>Major Project; Nutritional Biochemistry and Metabolism; Product Development for Sport Nutrition; Exercise Biochemistry; Molecular Nutrition and Genetics; Sport Supplements and Contemporary Issues</t>
  </si>
  <si>
    <t>Exercise Phys L4; Professional Practice 2 in Sport Nutrition</t>
  </si>
  <si>
    <t>Professional Practice 1 in Sport Nutrition; Principles of Human Nutrition; Professional Practice 2 in Sport Nutrition; Lifespan Nutrition and Eating Behaviour; Sport Nutrition for Health, Adaptation and Recovery</t>
  </si>
  <si>
    <t>Research Methods 2; Physiological adaptations to exercise; Major Project; Exercise Biochemistry; Molecular Nutrition and Genetics</t>
  </si>
  <si>
    <t>Professional Practice 2 in Sport Nutrition; Lifespan Nutrition and Eating Behaviour</t>
  </si>
  <si>
    <t>Lifespan Nutrition and Eating Behaviour; Sport Nutrition for Health, Adaptation and Recovery</t>
  </si>
  <si>
    <t>Professional Practice 1 in Sport Nutrition; Principles of Human Nutrition</t>
  </si>
  <si>
    <t>Online - synchronous</t>
  </si>
  <si>
    <t>Numeracy</t>
  </si>
  <si>
    <t>Fundamentals of Exercise Physiology</t>
  </si>
  <si>
    <t xml:space="preserve">Gemma Miller </t>
  </si>
  <si>
    <t>Sport Nutrition/Human Biology</t>
  </si>
  <si>
    <t>Applied Nutrition and Exercise Biochemistry</t>
  </si>
  <si>
    <t>Kelsie Johnson</t>
  </si>
  <si>
    <t>Lucy Richardson</t>
  </si>
  <si>
    <t>Neil Chester</t>
  </si>
  <si>
    <t>TBC</t>
  </si>
  <si>
    <t>Extended Placement and Applied Research in Sport Nutrition (working title)</t>
  </si>
  <si>
    <t>Capstone: Professional Practice and Research Strands</t>
  </si>
  <si>
    <t>Online exam, in-person and on campus, invigilated. Multiple-choice, fill in the gap or true/false questions. The questions are based around the remaining content (after 4 weeks) of the module. Practice questions will be available on Canvas.</t>
  </si>
  <si>
    <t>1 hour Online MCQ Exam</t>
  </si>
  <si>
    <t>16-17</t>
  </si>
  <si>
    <t>Group presentation demonstrating their analysis of a mixed-methods data set i.e. both qualitative and quantitative data</t>
  </si>
  <si>
    <t>Research Proposal outlining the design and methodology of a feasible study the student could undertake at L6 i.e. Dissertation Major Project</t>
  </si>
  <si>
    <t>Assessment Period</t>
  </si>
  <si>
    <t>Using an experimental dataset provided and an AI-generated draft report, students will produce a scientific laboratory report that analyses and evaluates the physiological effects of exercise training in a specific population group</t>
  </si>
  <si>
    <t>Students are required to submit a thesis that describes and reports the major project that they conducted using the scientific method, e.g., Introduction, Methods, Results and Discussion. This could be in the format of an Empirical type project or a Systeamtic Review type project. AI use will be allowed and will be assessed.</t>
  </si>
  <si>
    <t>Dietary history role-play and dietary analysis report</t>
  </si>
  <si>
    <t>UNDER DISCUSSION: A1 design to be confirmed with the module leader (whether Human Biology students take part in the role-play, and the AI-developmental element). Partially secured. A short in-session dietary-history role-play (Thread A, foundational) generates the data; students then analyse the described dietary data against DRVs and identify likely inadequacies. Tests MLO1 (Understand) and MLO2 (Apply).</t>
  </si>
  <si>
    <t>Invigilated computer examination</t>
  </si>
  <si>
    <t>An invigilated, computer-based exam covering multiple topics related to the scientific content covered throughout the module. Tests MLO1, MLO2 and MLO3. Action: check with IT whether AI can be blocked for the Canvas exam (no phones, bags etc.).</t>
  </si>
  <si>
    <t>Teach a scientific concept to a targeted group testing (Understand) MLO1 and MLO2.</t>
  </si>
  <si>
    <t>Position Stand report, 2,500 words (50%). Open, AI-development. Tests MLO2&amp;3 (Apply and Analyse).</t>
  </si>
  <si>
    <t>MCQ and Short answer question exam, 2h (50%).  Test MLO1 (Understand).</t>
  </si>
  <si>
    <t>Live consultation with case report (50%). Secured (live). Consultation conducted in-session with students provided with a client presenting psychosocial complexity prior to the consultation; the report must reference decisions taken in that session. Tests MLO1 (Create) and MLO2 (Apply). Thread A matures here: the format practised at L4 now carries complexity and higher weight.</t>
  </si>
  <si>
    <t>Product development brief and pitch (50%). Secured (live defence). Live brief input; pitch defended through Q and A. Tests MLO3 (Create) and MLO1 (Analyse) where formulation engages the supply chain. Thread D and the create-and-defend format; the live Q and A secures it.</t>
  </si>
  <si>
    <t>Students will write a report based on the lab practical session. Food systems critical analysis (50%). Open, AI-development. Tests MLO1 (Analyse) and MLO2 (Evaluate). A synthesis task where AI genuinely helps; students submit an annotated AI-assisted draft or a prompt-and-refine record so their judgement is visible.</t>
  </si>
  <si>
    <t>Client Report</t>
  </si>
  <si>
    <t>Individual client-facing case report based on physiological data collected during a fasted versus fed exercise-nutrition laboratory investigation (50%). Students will analyse and interpret metabolic responses, explain the underlying biochemical mechanisms, and critically evaluate AI-generated nutrition advice using scientific literature. Secured through student-collected data and standardised AI appraisal. Assesses MLO1 (Understand) and MLO2 (Analyse), developing applied data interpretation and mechanistic reasoning appropriate to Level 5.</t>
  </si>
  <si>
    <t>Client explanation of biochemical rationale (rung 3) (50%). Secured (live). Students will deliver an individual, 15-minute face-to-face presentation, explaining the biochemical and physiological mechanisms underpinning an evidence-based exercise or nutrition recommendation for a specified client scenario. Students must translate complex scientific concepts into accessible, client-appropriate language and justify their recommendations using relevant scientific literature. The assessment is secured through live, individual delivery and assesses MLO3 (Apply).</t>
  </si>
  <si>
    <t>Advanced molecular laboratory report and laboratory logbook (50%). Secured assessment using students’ own experimental data. The logbook records laboratory procedures, observations and results; the report analyses and interprets findings from molecular, protein and genetic investigations, critically evaluating their significance and limitations. Assesses MLO1 (Evaluate) and MLO2 (Analyse). Thread B destination: integrates laboratory skills and scientific reasoning developed through three years of progressively more complex practical experience.</t>
  </si>
  <si>
    <t>AI-integrated molecular case study (50%). Open, AI-development. A critically evaluated, evidence-based case applying molecular, nutrigenetic and nutrigenomic concepts to sport, performance and health, incorporating transparent and critical use of generative AI - generate, fact-check, challenge and refine outputs. Tests MLO1, MLO2 and MLO3 (Analyse/Evaluate). Thread E destination: AI is used to a professional standard, with the student’s critical judgement forming the assessed element. Students analyse and interpret supplied biochemical and genetic case data to support their case analysis, distinguishing measured findings from proposed mechanisms and justified conclusions.</t>
  </si>
  <si>
    <t>In Person 2h Exam</t>
  </si>
  <si>
    <t>The written exam will assess MLO1 and MLO2. Eight mid-length answers will be required to establish knowledge and understanding in terms of the efficacy and underpinning mechanisms of action of various supplements as well as risks and safeguards around the safety of supplements and role and responsibilities surrounding anti-doping.</t>
  </si>
  <si>
    <t>Individual Presentation with viva defence</t>
  </si>
  <si>
    <t>A professional position statement with viva defence will assess MLO3. Students will present a statement on a contemporary issue, defended through structured arguments of specific claims made. Thread C destination: the appraise-and-defend skill first practised at L4 and evaluated at L5 now reaches full viva defence.</t>
  </si>
  <si>
    <t>Individual critical reflection on the group project (50%). Secured (personal). Evaluation of process, AI use, and critical appraisal of the chosen recovery strategies and communication tools. Tests MLO2 and MLO4 (Evaluate). Anchored to the student’s own project experience, which AI cannot supply, and where accounting for AI use is part of the task. Also includes the Level 6 PLG learning log (ten in-session entries across 6003SPS and 6007SPS), a 600-word integrative synthesis and the completed AfN and SENr competency portfolio.</t>
  </si>
  <si>
    <t>_6008SPS_Assess</t>
  </si>
  <si>
    <t>Applied research report</t>
  </si>
  <si>
    <t>An academic report of the provider-commissioned research project, covering rationale, design, ethical conduct, findings and critical appraisal of limitations. Secured by construction: the dataset is generated by the student within a specific partner setting. Tests MLO3 and MLO4 (Create, Evaluate).</t>
  </si>
  <si>
    <t>Practice portfolio, provider output</t>
  </si>
  <si>
    <t>A practice portfolio built from the student's own supervised work across the placement (practice records, supervisor feedback, a critical account of the delivery environment, structured reflection, and the provider-facing research output with an audit of declared AI use). Tests MLO1, MLO2, MLO4 and MLO5 (Evaluate, Create).</t>
  </si>
  <si>
    <t>Viva defence</t>
  </si>
  <si>
    <t>A 45-minute viva defence supported by the practice portfolio, opening with delivery of the provider-facing output. Secured (live). Tests MLO1, MLO2, MLO4 and MLO5 (Evaluate, Create). CHECK: this makes three summative items; the school framework allows a maximum of two.</t>
  </si>
  <si>
    <t>(Understand) Explain the principal biochemical pathways and how they are integrated and regulated in the fed and fasted states.</t>
  </si>
  <si>
    <t>(Understand) Describe how metabolic pathways contribute to performance and health.</t>
  </si>
  <si>
    <t>(Analyse) Analyse and interpret biochemical and metabolic data to draw supported conclusions.</t>
  </si>
  <si>
    <t>(Evaluate) Critically evaluate how nutrients influence metabolism, molecular signalling and gene expression, and the implications for exercise adaptation, sporting performance and health.</t>
  </si>
  <si>
    <t>(Analyse) Analyse and interpret biochemical and genetic data to develop evidence-based arguments and scientifically informed judgements in molecular nutrition.</t>
  </si>
  <si>
    <t>(Evaluate) Critically evaluate the opportunities and limitations of nutrigenetics, nutrigenomics and omics technologies in advancing precision and personalised nutrition for sporting performance and health.</t>
  </si>
  <si>
    <t>(Evaluate) Critically evaluate the efficacy, mechanisms of action and safety of ergogenic aids for specified exercise contexts.</t>
  </si>
  <si>
    <t>(Evaluate) Critically analyse the risks of inadvertent doping and evaluate the practitioner’s professional and ethical responsibilities within anti-doping frameworks.</t>
  </si>
  <si>
    <t>(Create) Construct and defend an evidence-based professional position on a contemporary issue where consensus is inconclusive.</t>
  </si>
  <si>
    <t>(Evaluate) Critically reflect on their development as a practitioner and their readiness to practise, evidenced through the Peer Learning Group learning log and the completed competency portfolio.</t>
  </si>
  <si>
    <t>_6008SPS_LO</t>
  </si>
  <si>
    <t>(Evaluate) Critically evaluate their own developing professional practice within an extended applied placement, justifying decisions taken in response to the demands of the setting.</t>
  </si>
  <si>
    <t>(Evaluate) Critically appraise the delivery environment of the placement provider, including its stakeholders, constraints and governance, and the implications for nutrition practice within it.</t>
  </si>
  <si>
    <t>(Create) Design and conduct a piece of applied research addressing a question agreed with the placement provider, undertaken responsibly, safely and ethically.</t>
  </si>
  <si>
    <t>(Evaluate) Critically appraise the research findings and their limitations, justifying the methodological decisions taken within the constraints of an applied setting.</t>
  </si>
  <si>
    <t>(Create) Produce and defend a professional portfolio and a provider-facing output, that together evidence readiness to practise and communicate research findings to organisational audiences.</t>
  </si>
  <si>
    <t>Research Methods 1; Research Methods 2; Principles of Human Nutrition; Nutritional Biochemistry and Metabolism; Performance Nutrition</t>
  </si>
  <si>
    <t>Research Methods 1; Exercise Phys L4; Research Methods 2; Physiological adaptations to exercise; Major Project; Nutritional Biochemistry and Metabolism; Performance Nutrition; Professional Practice 2 in Sport Nutrition; Product Development for Sport Nutrition; Exercise Biochemistry; Lifespan Nutrition and Eating Behaviour; Molecular Nutrition and Genetics; Sport Supplements and Contemporary Issues; Sport Nutrition for Health, Adaptation and Recovery</t>
  </si>
  <si>
    <t>Research Methods 1; Research Methods 2; Professional Practice 1 in Sport Nutrition</t>
  </si>
  <si>
    <t>Research Methods 1; Performance Nutrition; Product Development for Sport Nutrition; Sport Supplements and Contemporary Issues</t>
  </si>
  <si>
    <t>Research Methods 1; Exercise Phys L4; Research Methods 2; Physiological adaptations to exercise; Major Project; Nutritional Biochemistry and Metabolism; Exercise Biochemistry</t>
  </si>
  <si>
    <t>Physiological adaptations to exercise; Sport Supplements and Contemporary Issues; Capstone Placment Project</t>
  </si>
  <si>
    <t>Research Methods 1; Exercise Phys L4; Professional Practice 1 in Sport Nutrition; Professional Practice 2 in Sport Nutrition; Sport Nutrition for Health, Adaptation and Recovery; Capstone Placment Project</t>
  </si>
  <si>
    <t>Nutritional Biochemistry and Metabolism; Exercise Biochemistry; Molecular Nutrition and Genetics</t>
  </si>
  <si>
    <t>Exercise Phys L4; Major Project; Professional Practice 1 in Sport Nutrition; Capstone Placment Project</t>
  </si>
  <si>
    <t>Physiological adaptations to exercise; Nutritional Biochemistry and Metabolism; Exercise Biochemistry; Molecular Nutrition and Genetics; Capstone Placment Project</t>
  </si>
  <si>
    <t>Performance Nutrition; Molecular Nutrition and Genetics</t>
  </si>
  <si>
    <t>Exercise Phys L4; Major Project; Exercise Biochemistry; Capstone Placment Project</t>
  </si>
  <si>
    <t>Research Methods 2; Nutritional Biochemistry and Metabolism</t>
  </si>
  <si>
    <t>Major Project; Product Development for Sport Nutrition</t>
  </si>
  <si>
    <t>Research Methods 2; Physiological adaptations to exercise; Major Project; Principles of Human Nutrition; Nutritional Biochemistry and Metabolism; Product Development for Sport Nutrition; Sport Supplements and Contemporary Issues; Capstone Placment Project</t>
  </si>
  <si>
    <t>Research Methods 2; Performance Nutrition</t>
  </si>
  <si>
    <t>Physiological adaptations to exercise; Professional Practice 2 in Sport Nutrition; Lifespan Nutrition and Eating Behaviour</t>
  </si>
  <si>
    <t>Major Project; Product Development for Sport Nutrition; Sport Supplements and Contemporary Issues</t>
  </si>
  <si>
    <t>Physiological adaptations to exercise; Major Project; Professional Practice 2 in Sport Nutrition</t>
  </si>
  <si>
    <t>Principles of Human Nutrition; Molecular Nutrition and Genetics; Capstone Placment Project</t>
  </si>
  <si>
    <t>Physiological adaptations to exercise; Performance Nutrition; Molecular Nutrition and Genetics; Sport Nutrition for Health, Adaptation and Recovery; Capstone Placment Project</t>
  </si>
  <si>
    <t>Principles of Human Nutrition; Lifespan Nutrition and Eating Behaviour</t>
  </si>
  <si>
    <t>Molecular Nutrition and Genetics; Sport Supplements and Contemporary Issues; Capstone Placment Project</t>
  </si>
  <si>
    <t>Professional Practice 1 in Sport Nutrition; Professional Practice 2 in Sport Nutrition; Sport Nutrition for Health, Adaptation and Recovery; Capstone Placment Project</t>
  </si>
  <si>
    <t>Professional Practice 1 in Sport Nutrition; Lifespan Nutrition and Eating Behaviour; Sport Supplements and Contemporary Issues</t>
  </si>
  <si>
    <t>Sport Nutrition for Health, Adaptation and Recovery; Capstone Placment Project</t>
  </si>
  <si>
    <t>Professional Practice 1 in Sport Nutrition; Lifespan Nutrition and Eating Behaviour</t>
  </si>
  <si>
    <t>Professional Practice 2 in Sport Nutrition; Sport Nutrition for Health, Adaptation and Recovery</t>
  </si>
  <si>
    <t>Professional Practice 1 in Sport Nutrition; Professional Practice 2 in Sport Nutrition; Lifespan Nutrition and Eating Behaviour</t>
  </si>
  <si>
    <t>Sport Supplements and Contemporary Issues; Sport Nutrition for Health, Adaptation and Recovery; Capstone Placment Project</t>
  </si>
  <si>
    <t>Professional Practice 1 in Sport Nutrition; Sport Supplements and Contemporary Issues</t>
  </si>
  <si>
    <t>Principles of Human Nutrition; Nutritional Biochemistry and Metabolism; Professional Practice 2 in Sport Nutrition</t>
  </si>
  <si>
    <t>Principles of Human Nutrition; Lifespan Nutrition and Eating Behaviour; Sport Nutrition for Health, Adaptation and Recovery</t>
  </si>
  <si>
    <t>Principles of Human Nutrition; Performance Nutrition; Sport Supplements and Contemporary Issues</t>
  </si>
  <si>
    <t>Nutritional Biochemistry and Metabolism; Professional Practice 2 in Sport Nutrition</t>
  </si>
  <si>
    <t>Nutritional Biochemistry and Metabolism; Product Development for Sport Nutrition; Sport Nutrition for Health, Adaptation and Recovery</t>
  </si>
  <si>
    <t>Performance Nutrition; Product Development for Sport Nutrition; Sport Supplements and Contemporary Issues</t>
  </si>
  <si>
    <t>Product Development for Sport Nutrition; Sport Nutrition for Health, Adaptation and Recovery; Capstone Placment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</si>
</sst>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
      <b/>
      <sz val="11"/>
      <color theme="0"/>
      <name val="Aptos Narrow"/>
      <family val="2"/>
      <scheme val="minor"/>
    </font>
    <font>
      <i/>
      <sz val="12"/>
      <color theme="1"/>
      <name val="Aptos Narrow"/>
      <family val="2"/>
    </font>
    <font>
      <sz val="11"/>
      <color theme="1"/>
      <name val="Arial"/>
      <family val="2"/>
      <charset val="1"/>
    </font>
    <font>
      <b/>
      <sz val="11"/>
      <color theme="1"/>
      <name val="Arial"/>
      <family val="2"/>
    </font>
    <font>
      <b/>
      <sz val="11"/>
      <color theme="1"/>
      <name val="Arial"/>
      <family val="2"/>
      <charset val="1"/>
    </font>
    <font>
      <i/>
      <sz val="11"/>
      <color theme="1"/>
      <name val="Arial"/>
      <family val="2"/>
      <charset val="1"/>
    </font>
    <font>
      <b/>
      <sz val="11"/>
      <color rgb="FF000000"/>
      <name val="Arial"/>
      <family val="2"/>
    </font>
    <font>
      <sz val="11"/>
      <color rgb="FF000000"/>
      <name val="Arial"/>
      <family val="2"/>
    </font>
    <font>
      <b/>
      <i/>
      <sz val="11"/>
      <color theme="1"/>
      <name val="Arial"/>
      <family val="2"/>
      <charset val="1"/>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s>
  <borders count="18">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808080"/>
      </left>
      <right style="thin">
        <color rgb="FF808080"/>
      </right>
      <top style="thin">
        <color rgb="FF808080"/>
      </top>
      <bottom style="thin">
        <color rgb="FF808080"/>
      </bottom>
      <diagonal/>
    </border>
    <border>
      <left style="thin">
        <color rgb="FF808080"/>
      </left>
      <right style="thin">
        <color rgb="FFBFBFBF"/>
      </right>
      <top style="thin">
        <color rgb="FF808080"/>
      </top>
      <bottom style="thin">
        <color rgb="FF808080"/>
      </bottom>
      <diagonal/>
    </border>
    <border>
      <left style="thin">
        <color rgb="FFBFBFBF"/>
      </left>
      <right style="thin">
        <color rgb="FFBFBFBF"/>
      </right>
      <top style="thin">
        <color rgb="FF808080"/>
      </top>
      <bottom style="thin">
        <color rgb="FF808080"/>
      </bottom>
      <diagonal/>
    </border>
    <border>
      <left style="thin">
        <color rgb="FFBFBFBF"/>
      </left>
      <right style="thin">
        <color rgb="FF808080"/>
      </right>
      <top style="thin">
        <color rgb="FF808080"/>
      </top>
      <bottom style="thin">
        <color rgb="FF808080"/>
      </bottom>
      <diagonal/>
    </border>
    <border>
      <left style="thin">
        <color rgb="FF808080"/>
      </left>
      <right style="thin">
        <color rgb="FFBFBFBF"/>
      </right>
      <top style="thin">
        <color rgb="FF808080"/>
      </top>
      <bottom style="thin">
        <color indexed="64"/>
      </bottom>
      <diagonal/>
    </border>
    <border>
      <left style="thin">
        <color rgb="FFBFBFBF"/>
      </left>
      <right style="thin">
        <color rgb="FFBFBFBF"/>
      </right>
      <top style="thin">
        <color rgb="FF808080"/>
      </top>
      <bottom style="thin">
        <color indexed="64"/>
      </bottom>
      <diagonal/>
    </border>
    <border>
      <left style="thin">
        <color rgb="FFBFBFBF"/>
      </left>
      <right style="thin">
        <color rgb="FF808080"/>
      </right>
      <top style="thin">
        <color rgb="FF808080"/>
      </top>
      <bottom style="thin">
        <color indexed="64"/>
      </bottom>
      <diagonal/>
    </border>
    <border>
      <left style="thin">
        <color rgb="FF808080"/>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808080"/>
      </right>
      <top style="thin">
        <color rgb="FFBFBFBF"/>
      </top>
      <bottom style="thin">
        <color rgb="FFBFBFBF"/>
      </bottom>
      <diagonal/>
    </border>
    <border>
      <left style="thin">
        <color rgb="FF808080"/>
      </left>
      <right style="thin">
        <color rgb="FFBFBFBF"/>
      </right>
      <top style="thin">
        <color rgb="FFBFBFBF"/>
      </top>
      <bottom style="thin">
        <color rgb="FF808080"/>
      </bottom>
      <diagonal/>
    </border>
    <border>
      <left style="thin">
        <color rgb="FFBFBFBF"/>
      </left>
      <right style="thin">
        <color rgb="FFBFBFBF"/>
      </right>
      <top style="thin">
        <color rgb="FFBFBFBF"/>
      </top>
      <bottom style="thin">
        <color rgb="FF808080"/>
      </bottom>
      <diagonal/>
    </border>
    <border>
      <left style="thin">
        <color rgb="FFBFBFBF"/>
      </left>
      <right style="thin">
        <color rgb="FF808080"/>
      </right>
      <top style="thin">
        <color rgb="FFBFBFBF"/>
      </top>
      <bottom style="thin">
        <color rgb="FF808080"/>
      </bottom>
      <diagonal/>
    </border>
  </borders>
  <cellStyleXfs count="1">
    <xf numFmtId="0" fontId="0" fillId="0" borderId="0"/>
  </cellStyleXfs>
  <cellXfs count="51">
    <xf numFmtId="0" fontId="0" fillId="0" borderId="0" xfId="0"/>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9" fontId="0" fillId="0" borderId="0" xfId="0" applyNumberFormat="1" applyAlignment="1" applyProtection="1">
      <alignment horizontal="left" vertical="center" wrapText="1"/>
      <protection locked="0"/>
    </xf>
    <xf numFmtId="0" fontId="0" fillId="0" borderId="0" xfId="0" applyProtection="1">
      <protection locked="0"/>
    </xf>
    <xf numFmtId="0" fontId="1" fillId="0" borderId="0" xfId="0" applyFont="1" applyProtection="1">
      <protection locked="0"/>
    </xf>
    <xf numFmtId="0" fontId="7" fillId="0" borderId="0" xfId="0" applyFont="1" applyProtection="1">
      <protection locked="0"/>
    </xf>
    <xf numFmtId="0" fontId="8" fillId="0" borderId="0" xfId="0" applyFont="1" applyProtection="1">
      <protection locked="0"/>
    </xf>
    <xf numFmtId="0" fontId="9" fillId="0" borderId="0" xfId="0" applyFont="1" applyProtection="1">
      <protection locked="0"/>
    </xf>
    <xf numFmtId="0" fontId="11" fillId="0" borderId="0" xfId="0" applyFont="1" applyProtection="1">
      <protection locked="0"/>
    </xf>
    <xf numFmtId="0" fontId="10" fillId="0" borderId="0" xfId="0" applyFont="1" applyProtection="1">
      <protection locked="0"/>
    </xf>
    <xf numFmtId="0" fontId="7" fillId="0" borderId="5" xfId="0" applyFont="1" applyBorder="1" applyProtection="1">
      <protection locked="0"/>
    </xf>
    <xf numFmtId="0" fontId="7" fillId="0" borderId="6" xfId="0" applyFont="1" applyBorder="1" applyProtection="1">
      <protection locked="0"/>
    </xf>
    <xf numFmtId="0" fontId="7" fillId="0" borderId="7" xfId="0" applyFont="1" applyBorder="1" applyProtection="1">
      <protection locked="0"/>
    </xf>
    <xf numFmtId="0" fontId="7" fillId="0" borderId="8" xfId="0" applyFont="1" applyBorder="1" applyProtection="1">
      <protection locked="0"/>
    </xf>
    <xf numFmtId="0" fontId="7" fillId="0" borderId="9" xfId="0" applyFont="1" applyBorder="1" applyProtection="1">
      <protection locked="0"/>
    </xf>
    <xf numFmtId="0" fontId="7" fillId="0" borderId="10" xfId="0" applyFont="1" applyBorder="1" applyProtection="1">
      <protection locked="0"/>
    </xf>
    <xf numFmtId="0" fontId="7" fillId="0" borderId="11" xfId="0" applyFont="1" applyBorder="1" applyProtection="1">
      <protection locked="0"/>
    </xf>
    <xf numFmtId="0" fontId="7" fillId="0" borderId="12" xfId="0" applyFont="1" applyBorder="1" applyProtection="1">
      <protection locked="0"/>
    </xf>
    <xf numFmtId="0" fontId="7" fillId="0" borderId="13" xfId="0" applyFont="1" applyBorder="1" applyProtection="1">
      <protection locked="0"/>
    </xf>
    <xf numFmtId="0" fontId="7" fillId="0" borderId="14" xfId="0" applyFont="1" applyBorder="1" applyProtection="1">
      <protection locked="0"/>
    </xf>
    <xf numFmtId="0" fontId="10" fillId="0" borderId="13" xfId="0" applyFont="1" applyBorder="1" applyProtection="1">
      <protection locked="0"/>
    </xf>
    <xf numFmtId="0" fontId="7" fillId="0" borderId="15" xfId="0" applyFont="1" applyBorder="1" applyProtection="1">
      <protection locked="0"/>
    </xf>
    <xf numFmtId="0" fontId="7" fillId="0" borderId="16" xfId="0" applyFont="1" applyBorder="1" applyProtection="1">
      <protection locked="0"/>
    </xf>
    <xf numFmtId="0" fontId="7" fillId="0" borderId="17" xfId="0" applyFont="1" applyBorder="1" applyProtection="1">
      <protection locked="0"/>
    </xf>
    <xf numFmtId="0" fontId="12" fillId="0" borderId="0" xfId="0" applyFont="1" applyProtection="1">
      <protection locked="0"/>
    </xf>
    <xf numFmtId="0" fontId="10" fillId="0" borderId="14" xfId="0" applyFont="1" applyBorder="1" applyProtection="1">
      <protection locked="0"/>
    </xf>
    <xf numFmtId="0" fontId="4" fillId="4"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6" fillId="0" borderId="0" xfId="0" applyFont="1"/>
    <xf numFmtId="0" fontId="1" fillId="0" borderId="0" xfId="0" applyFont="1"/>
    <xf numFmtId="0" fontId="0" fillId="0" borderId="0" xfId="0" applyAlignment="1">
      <alignment horizontal="center"/>
    </xf>
    <xf numFmtId="0" fontId="1" fillId="0" borderId="0" xfId="0" applyFont="1" applyAlignment="1" applyProtection="1">
      <alignment horizontal="left" vertical="center" wrapText="1"/>
      <protection locked="0"/>
    </xf>
    <xf numFmtId="0" fontId="0" fillId="0" borderId="0" xfId="0" applyAlignment="1" applyProtection="1">
      <alignment horizontal="center"/>
      <protection locked="0"/>
    </xf>
    <xf numFmtId="0" fontId="1" fillId="0" borderId="0" xfId="0" applyFont="1" applyAlignment="1" applyProtection="1">
      <alignment horizontal="center" vertical="center" wrapText="1"/>
      <protection locked="0"/>
    </xf>
    <xf numFmtId="0" fontId="1" fillId="2" borderId="1" xfId="0" applyFont="1" applyFill="1" applyBorder="1"/>
    <xf numFmtId="0" fontId="5" fillId="3" borderId="3" xfId="0" applyFont="1" applyFill="1" applyBorder="1"/>
    <xf numFmtId="0" fontId="5"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2" borderId="1" xfId="0" applyFill="1" applyBorder="1"/>
    <xf numFmtId="0" fontId="1" fillId="0" borderId="1" xfId="0" applyFont="1" applyBorder="1"/>
    <xf numFmtId="0" fontId="0" fillId="0" borderId="0" xfId="0" applyNumberFormat="1"/>
  </cellXfs>
  <cellStyles count="1">
    <cellStyle name="Normal" xfId="0" builtinId="0"/>
  </cellStyles>
  <dxfs count="608">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9" xr16:uid="{916DEAE3-AAEC-4370-89D4-2FE2ACD175E8}" autoFormatId="16" applyNumberFormats="0" applyBorderFormats="0" applyFontFormats="0" applyPatternFormats="0" applyAlignmentFormats="0" applyWidthHeightFormats="0">
  <queryTableRefresh nextId="16">
    <queryTableFields count="15">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Module Code" tableColumnId="8"/>
      <queryTableField id="9" name="Module Title" tableColumnId="9"/>
      <queryTableField id="10" name="Credits" tableColumnId="10"/>
      <queryTableField id="11" name="Semester" tableColumnId="11"/>
      <queryTableField id="12" name="Level" tableColumnId="12"/>
      <queryTableField id="13" name="Module Leader" tableColumnId="13"/>
      <queryTableField id="14" name="Module Type" tableColumnId="14"/>
      <queryTableField id="15" name="Programme(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20" xr16:uid="{96849767-AECF-435C-A6E7-7570FB20FC20}" autoFormatId="16" applyNumberFormats="0" applyBorderFormats="0" applyFontFormats="0" applyPatternFormats="0" applyAlignmentFormats="0" applyWidthHeightFormats="0">
  <queryTableRefresh nextId="10">
    <queryTableFields count="9">
      <queryTableField id="1" name="ModuleCode" tableColumnId="1"/>
      <queryTableField id="2" name="ModuleTitle" tableColumnId="2"/>
      <queryTableField id="3" name="Level" tableColumnId="3"/>
      <queryTableField id="4" name="Semester" tableColumnId="4"/>
      <queryTableField id="5" name="Credits" tableColumnId="5"/>
      <queryTableField id="6" name="Module Leader" tableColumnId="6"/>
      <queryTableField id="7" name="Module Type" tableColumnId="7"/>
      <queryTableField id="8" name="Total Contact Hours" tableColumnId="8"/>
      <queryTableField id="9" name="Hours per Credit"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15" xr16:uid="{0F73619B-4FF7-4012-B940-790FDD4F4B4C}" autoFormatId="16" applyNumberFormats="0" applyBorderFormats="0" applyFontFormats="0" applyPatternFormats="0" applyAlignmentFormats="0" applyWidthHeightFormats="0">
  <queryTableRefresh nextId="15">
    <queryTableFields count="14">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Lecture" tableColumnId="8"/>
      <queryTableField id="9" name="Seminar" tableColumnId="9"/>
      <queryTableField id="10" name="Practical" tableColumnId="10"/>
      <queryTableField id="11" name="Workshop" tableColumnId="11"/>
      <queryTableField id="12" name="Online" tableColumnId="12"/>
      <queryTableField id="13" name="Total" tableColumnId="13"/>
      <queryTableField id="14" name="Online - synchronous"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21" xr16:uid="{1570BD5C-B538-4127-B793-44D261610559}" autoFormatId="16" applyNumberFormats="0" applyBorderFormats="0" applyFontFormats="0" applyPatternFormats="0" applyAlignmentFormats="0" applyWidthHeightFormats="0">
  <queryTableRefresh nextId="6">
    <queryTableFields count="5">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7" xr16:uid="{045D08CE-44ED-47CA-8598-9E38F28A719D}"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4" xr16:uid="{EC183800-48D8-4C4D-B648-36369D233520}"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Component" tableColumnId="3"/>
      <queryTableField id="4" name="Contact Hour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8" xr16:uid="{B6C2DCF2-8797-45F8-9F98-FF34A7BCD214}"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3" xr16:uid="{79C16526-1E7A-4102-8CBD-8443F4A11A28}"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Assessment No" tableColumnId="3"/>
      <queryTableField id="4" name="Assessment Type" tableColumnId="4"/>
      <queryTableField id="5" name="Assessment Specific" tableColumnId="5"/>
      <queryTableField id="6" name="Assessment Description" tableColumnId="6"/>
      <queryTableField id="7" name="Weighting" tableColumnId="7"/>
      <queryTableField id="8" name="Due Week" tableColumnId="8"/>
      <queryTableField id="9" name="ModuleCode" tableColumnId="9"/>
      <queryTableField id="10" name="ItemSuffix" tableColumnId="10"/>
      <queryTableField id="11" name="Programme" tableColumnId="11"/>
      <queryTableField id="12" name="ProgCode" tableColumnId="12"/>
      <queryTableField id="13" name="ModuleTitle"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6" xr16:uid="{2699240A-D0BF-43CF-A14C-6B1A7C54F244}"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LO Number" tableColumnId="3"/>
      <queryTableField id="4" name="LO Description"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tables/_rels/table13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3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3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3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3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3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3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1414709A-4675-4471-85EE-DA0D00B4BFD4}" name="_4001SPS_Meta" displayName="_4001SPS_Meta" ref="C6:D14" totalsRowShown="0" headerRowDxfId="607" dataDxfId="606">
  <autoFilter ref="C6:D14" xr:uid="{CD75D2A7-14B1-4ABD-B64D-6E875F9BC652}">
    <filterColumn colId="0" hiddenButton="1"/>
    <filterColumn colId="1" hiddenButton="1"/>
  </autoFilter>
  <tableColumns count="2">
    <tableColumn id="1" xr3:uid="{8F10F388-99AB-4D28-B816-601553218F24}" name="Module Data" dataDxfId="605"/>
    <tableColumn id="2" xr3:uid="{AE7AA7A8-FBD0-4010-AD14-259A290F3DBF}" name="Details" dataDxfId="60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19D7E4CA-6D4B-4290-ADC9-EBD889ED7090}" name="_4001SPS_LO" displayName="_4001SPS_LO" ref="C28:D33" totalsRowShown="0" headerRowDxfId="603" dataDxfId="602">
  <autoFilter ref="C28:D33" xr:uid="{22316987-6BEB-4FAF-9619-BF9BE9909CFA}">
    <filterColumn colId="0" hiddenButton="1"/>
    <filterColumn colId="1" hiddenButton="1"/>
  </autoFilter>
  <tableColumns count="2">
    <tableColumn id="1" xr3:uid="{65874036-7B81-4E0E-AD1F-388C30468A0C}" name="LO Number" dataDxfId="601"/>
    <tableColumn id="2" xr3:uid="{AB5F4256-8EBE-42B2-864C-6175401C4B94}" name="LO Description" dataDxfId="60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94DF75FA-7885-457B-A760-4C33470CB4F2}" name="_4001SPS_Assess" displayName="_4001SPS_Assess" ref="C37:H41" totalsRowShown="0" headerRowDxfId="599" dataDxfId="59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F1C107EB-6EF5-4321-A9D3-7F0F473733A9}" name="Assessment No" dataDxfId="597"/>
    <tableColumn id="2" xr3:uid="{A7D8377D-26A9-4C0C-89E5-2BBF15A2C53A}" name="Assessment Type" dataDxfId="596"/>
    <tableColumn id="7" xr3:uid="{902CD105-3E65-4D48-9EBC-28A512F14EA4}" name="Assessment Specific" dataDxfId="595"/>
    <tableColumn id="3" xr3:uid="{F0188AEF-B58B-42EE-B788-6BDBEC8A2666}" name="Assessment Description" dataDxfId="594"/>
    <tableColumn id="4" xr3:uid="{463AE76C-D818-4D0D-9C85-14C568E969CF}" name="Weighting" dataDxfId="593"/>
    <tableColumn id="5" xr3:uid="{F3A74D3A-9891-4785-8514-2F35F953399C}" name="Due Week" dataDxfId="59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134F8FF6-FA26-4083-80C6-B1D636160277}" name="_4001SPS_Weekly" displayName="_4001SPS_Weekly" ref="B70:F94" totalsRowShown="0" headerRowDxfId="591" dataDxfId="59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1B3410E0-1738-4226-A94C-CA8EF9997135}" name="Semester " dataDxfId="589"/>
    <tableColumn id="2" xr3:uid="{779570F9-536A-4051-99E1-6CF566D7A0D1}" name="Week Number" dataDxfId="588"/>
    <tableColumn id="3" xr3:uid="{B34499F2-A07D-444A-9F9C-30E044383158}" name="Weekly Content 1" dataDxfId="587"/>
    <tableColumn id="4" xr3:uid="{F39D2B5F-C444-4352-91E8-C0744DF26B06}" name="Weekly Content 2" dataDxfId="586"/>
    <tableColumn id="5" xr3:uid="{694E2C5F-AF9A-4034-8744-D2347A9BD5B9}" name="Weekly Content 3" dataDxfId="58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8667F49A-5642-4195-9AEF-E5818E9EAE7C}" name="_4001SPS_Hours" displayName="_4001SPS_Hours" ref="C18:D24" totalsRowShown="0" headerRowDxfId="584" dataDxfId="583">
  <autoFilter ref="C18:D24" xr:uid="{B71A3569-AA65-4A4E-98A2-885F5C38B46D}">
    <filterColumn colId="0" hiddenButton="1"/>
    <filterColumn colId="1" hiddenButton="1"/>
  </autoFilter>
  <tableColumns count="2">
    <tableColumn id="1" xr3:uid="{AACE1E36-CD18-4943-8A94-8FD55C616649}" name="Component" dataDxfId="582"/>
    <tableColumn id="2" xr3:uid="{B1979956-177B-4D66-BF9C-2582ABBB4BF9}" name="Contact Hours" dataDxfId="58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6BC11C12-EA0A-40E7-AEE3-4C9A37EEC326}" name="_4001SPS_Mapping" displayName="_4001SPS_Mapping" ref="C45:F66" totalsRowShown="0" headerRowDxfId="580" dataDxfId="579">
  <autoFilter ref="C45:F66" xr:uid="{E0A841BB-B6D5-4048-B5F2-18CF9F502EBA}">
    <filterColumn colId="0" hiddenButton="1"/>
    <filterColumn colId="1" hiddenButton="1"/>
    <filterColumn colId="2" hiddenButton="1"/>
    <filterColumn colId="3" hiddenButton="1"/>
  </autoFilter>
  <tableColumns count="4">
    <tableColumn id="1" xr3:uid="{DF7309A3-37E0-4C87-875E-A6B27799A75B}" name="Assessment No" dataDxfId="578"/>
    <tableColumn id="2" xr3:uid="{BBF5102E-4D62-467D-89A8-6878CBB973B5}" name="LO Number" dataDxfId="577"/>
    <tableColumn id="3" xr3:uid="{19F9550F-E174-446A-8CD8-FB222F828FA2}" name="Graduate Skills Category" dataDxfId="576"/>
    <tableColumn id="4" xr3:uid="{22926E4B-AB40-45D5-A07C-199AB2307121}" name="Graduate Skill" dataDxfId="575"/>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B1B8FE6F-CFA3-45B4-9B48-293E0069DBF8}" name="_4001SPS_Aims" displayName="_4001SPS_Aims" ref="F6:F8" totalsRowShown="0" headerRowDxfId="574" dataDxfId="573">
  <autoFilter ref="F6:F8" xr:uid="{9552138F-2332-4BC4-A585-0E13162881A5}"/>
  <tableColumns count="1">
    <tableColumn id="1" xr3:uid="{75179496-A8E3-4C17-A2D2-8AF29C0BD18A}" name="Aims" dataDxfId="572"/>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50E39927-606F-4D55-95D1-99519B04C2BA}" name="_4001SPS_Syllabus" displayName="_4001SPS_Syllabus" ref="F10:F13" totalsRowShown="0" headerRowDxfId="571" dataDxfId="570">
  <autoFilter ref="F10:F13" xr:uid="{94F18F67-3F10-4F6E-A953-4FE3399B07F2}"/>
  <tableColumns count="1">
    <tableColumn id="1" xr3:uid="{C11B339B-A121-4F67-998C-0EB7843C79D2}" name="Outline Syllabus" dataDxfId="569"/>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7E5EA307-5AA4-450B-8B5B-62AEA252D8BA}" name="_4001SPS_Overview" displayName="_4001SPS_Overview" ref="F15:F20" totalsRowShown="0" headerRowDxfId="568" dataDxfId="567">
  <autoFilter ref="F15:F20" xr:uid="{1B2BCD7B-6C15-4B1C-86BC-48FF83D8F225}"/>
  <tableColumns count="1">
    <tableColumn id="1" xr3:uid="{B644A5C6-F53D-4CAC-B23F-A22EE05D52F7}" name="Module Overview" dataDxfId="566"/>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65D3AED5-41D6-4638-A570-DE51FA0102F6}" name="_4001SPS_Notes" displayName="_4001SPS_Notes" ref="F22:F33" totalsRowShown="0" headerRowDxfId="565" dataDxfId="564">
  <autoFilter ref="F22:F33" xr:uid="{D5968C0A-6D7E-4221-87EE-78A85A4039B3}"/>
  <tableColumns count="1">
    <tableColumn id="1" xr3:uid="{17E3BB4C-BB7C-4827-AAED-6C9AECAD47FE}" name="Additional Information/Notes" dataDxfId="563"/>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8365005-B598-4738-B9AF-07D1E238BC9C}" name="_4003SPS_Meta" displayName="_4003SPS_Meta" ref="C6:D14" totalsRowShown="0" headerRowDxfId="562" dataDxfId="561">
  <autoFilter ref="C6:D14" xr:uid="{CD75D2A7-14B1-4ABD-B64D-6E875F9BC652}">
    <filterColumn colId="0" hiddenButton="1"/>
    <filterColumn colId="1" hiddenButton="1"/>
  </autoFilter>
  <tableColumns count="2">
    <tableColumn id="1" xr3:uid="{7B568BCE-928C-447D-BD05-0832B97C0D72}" name="Module Data" dataDxfId="560"/>
    <tableColumn id="2" xr3:uid="{706D7CC6-0EB1-4219-8291-567821A0A5B8}" name="Details" dataDxfId="559"/>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7A07E87-B596-4463-9B78-6555D43A4B3D}" name="_4003SPS_LO" displayName="_4003SPS_LO" ref="C28:D33" totalsRowShown="0" headerRowDxfId="558" dataDxfId="557">
  <autoFilter ref="C28:D33" xr:uid="{22316987-6BEB-4FAF-9619-BF9BE9909CFA}">
    <filterColumn colId="0" hiddenButton="1"/>
    <filterColumn colId="1" hiddenButton="1"/>
  </autoFilter>
  <tableColumns count="2">
    <tableColumn id="1" xr3:uid="{C19B4674-B83E-4A42-A7E5-5468C8752F20}" name="LO Number" dataDxfId="556"/>
    <tableColumn id="2" xr3:uid="{78F135DA-0213-417E-88FD-2F76325B6D58}" name="LO Description" dataDxfId="55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8F69EEF1-22B4-4163-8A76-0105B5FDEC70}" name="_4003SPS_Assess" displayName="_4003SPS_Assess" ref="C37:H41" totalsRowShown="0" headerRowDxfId="554" dataDxfId="55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892EAF8-7C5D-41E6-A727-FB21DB64B28D}" name="Assessment No" dataDxfId="552"/>
    <tableColumn id="2" xr3:uid="{43E55016-0B24-4AE6-8341-2CF6FE45EFE0}" name="Assessment Type" dataDxfId="551"/>
    <tableColumn id="7" xr3:uid="{74FB69C4-57FE-4D4F-92C7-425CCB32340D}" name="Assessment Specific" dataDxfId="550"/>
    <tableColumn id="3" xr3:uid="{F392CA10-65BB-49CE-8FEA-065DB3B1250A}" name="Assessment Description" dataDxfId="549"/>
    <tableColumn id="4" xr3:uid="{63105FFB-71CB-4889-BE3D-BA168F2B1D15}" name="Weighting" dataDxfId="548"/>
    <tableColumn id="5" xr3:uid="{942301B1-78DA-47AC-B487-4A82010FBC22}" name="Due Week" dataDxfId="547"/>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89A5C6D-23F5-46A1-94E8-CF627C641E3E}" name="_4003SPS_Weekly" displayName="_4003SPS_Weekly" ref="B70:F94" totalsRowShown="0" headerRowDxfId="546" dataDxfId="54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1345FE91-A274-4410-84E7-94ACC245A1B0}" name="Semester " dataDxfId="544"/>
    <tableColumn id="2" xr3:uid="{D37085D6-4B13-4E18-BF1D-72E1D211C5E2}" name="Week Number" dataDxfId="543"/>
    <tableColumn id="3" xr3:uid="{E63B3791-EF8C-42D0-9D20-9E40C6780395}" name="Weekly Content 1" dataDxfId="542"/>
    <tableColumn id="4" xr3:uid="{B1BA8E95-AF48-472D-8022-4FFD3C39E6FD}" name="Weekly Content 2" dataDxfId="541"/>
    <tableColumn id="5" xr3:uid="{77ED77D2-DF2D-4913-862F-82B54D142645}" name="Weekly Content 3" dataDxfId="540"/>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13D81E92-9BBD-40B0-B885-F022CB13A68D}" name="_4003SPS_Hours" displayName="_4003SPS_Hours" ref="C18:D24" totalsRowShown="0" headerRowDxfId="539" dataDxfId="538">
  <autoFilter ref="C18:D24" xr:uid="{B71A3569-AA65-4A4E-98A2-885F5C38B46D}">
    <filterColumn colId="0" hiddenButton="1"/>
    <filterColumn colId="1" hiddenButton="1"/>
  </autoFilter>
  <tableColumns count="2">
    <tableColumn id="1" xr3:uid="{A4027C00-55EA-4E91-A17F-FC7D936AA12D}" name="Component" dataDxfId="537"/>
    <tableColumn id="2" xr3:uid="{2B461470-C937-400F-A861-E1EF437460FC}" name="Contact Hours" dataDxfId="53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3DE5F36-B6B6-48CA-B033-B6C2A61B46F8}" name="_4003SPS_Mapping" displayName="_4003SPS_Mapping" ref="C45:F66" totalsRowShown="0" headerRowDxfId="535" dataDxfId="534">
  <autoFilter ref="C45:F66" xr:uid="{E0A841BB-B6D5-4048-B5F2-18CF9F502EBA}">
    <filterColumn colId="0" hiddenButton="1"/>
    <filterColumn colId="1" hiddenButton="1"/>
    <filterColumn colId="2" hiddenButton="1"/>
    <filterColumn colId="3" hiddenButton="1"/>
  </autoFilter>
  <tableColumns count="4">
    <tableColumn id="1" xr3:uid="{318F8255-76AC-4F17-ABBB-6A771AD200A7}" name="Assessment No" dataDxfId="533"/>
    <tableColumn id="2" xr3:uid="{01ED9B44-AD4B-499E-8D3C-3B9247E57323}" name="LO Number" dataDxfId="532"/>
    <tableColumn id="3" xr3:uid="{D52384A9-63E3-4ABE-86FB-4619A06E02AF}" name="Graduate Skills Category" dataDxfId="531"/>
    <tableColumn id="4" xr3:uid="{B45DCF04-04F9-4B36-A81D-CEBACC18D2E8}" name="Graduate Skill" dataDxfId="530"/>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046BD9A-2B11-4104-9334-CBD68741AB03}" name="_4003SPS_Aims" displayName="_4003SPS_Aims" ref="F6:F8" totalsRowShown="0" headerRowDxfId="529" dataDxfId="528">
  <autoFilter ref="F6:F8" xr:uid="{9552138F-2332-4BC4-A585-0E13162881A5}"/>
  <tableColumns count="1">
    <tableColumn id="1" xr3:uid="{00C11AD8-5667-494A-85B4-23C210D1B918}" name="Aims" dataDxfId="527"/>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6B305FF-72A4-4559-8E2D-B9A63503D4FA}" name="_4003SPS_Syllabus" displayName="_4003SPS_Syllabus" ref="F10:F13" totalsRowShown="0" headerRowDxfId="526" dataDxfId="525">
  <autoFilter ref="F10:F13" xr:uid="{94F18F67-3F10-4F6E-A953-4FE3399B07F2}"/>
  <tableColumns count="1">
    <tableColumn id="1" xr3:uid="{8917F32D-2D78-4B3C-93BA-03E82057EA4B}" name="Outline Syllabus" dataDxfId="524"/>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A8B96ED-8A76-44E9-8A2C-4B9FD261E59C}" name="_4003SPS_Overview" displayName="_4003SPS_Overview" ref="F15:F20" totalsRowShown="0" headerRowDxfId="523" dataDxfId="522">
  <autoFilter ref="F15:F20" xr:uid="{1B2BCD7B-6C15-4B1C-86BC-48FF83D8F225}"/>
  <tableColumns count="1">
    <tableColumn id="1" xr3:uid="{B53F9EDB-3125-4C5C-A219-EFA16F274EFC}" name="Module Overview" dataDxfId="521"/>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B219707-18B1-442D-9B23-49B95E064644}" name="_4003SPS_Notes" displayName="_4003SPS_Notes" ref="F22:F33" totalsRowShown="0" headerRowDxfId="520" dataDxfId="519">
  <autoFilter ref="F22:F33" xr:uid="{D5968C0A-6D7E-4221-87EE-78A85A4039B3}"/>
  <tableColumns count="1">
    <tableColumn id="1" xr3:uid="{2E1C0BC3-8EFB-4AA5-A23B-DEAB35C7DEA7}" name="Additional Information/Notes" dataDxfId="518"/>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9FA17F3-8510-4713-9EFA-F81B9896C75F}" name="_4004SPS_Meta" displayName="_4004SPS_Meta" ref="C6:D14" totalsRowShown="0" headerRowDxfId="517" dataDxfId="516">
  <autoFilter ref="C6:D14" xr:uid="{CD75D2A7-14B1-4ABD-B64D-6E875F9BC652}">
    <filterColumn colId="0" hiddenButton="1"/>
    <filterColumn colId="1" hiddenButton="1"/>
  </autoFilter>
  <tableColumns count="2">
    <tableColumn id="1" xr3:uid="{644E4444-F68A-4E74-BD5D-8748CD05A7D2}" name="Module Data" dataDxfId="515"/>
    <tableColumn id="2" xr3:uid="{AF6CCCE6-633B-4669-B570-EB4F893B50C4}" name="Details" dataDxfId="514"/>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4EE75AE-77CE-4A68-A718-983DED4FF7A1}" name="_4004SPS_LO" displayName="_4004SPS_LO" ref="C28:D33" totalsRowShown="0" headerRowDxfId="513" dataDxfId="512">
  <autoFilter ref="C28:D33" xr:uid="{22316987-6BEB-4FAF-9619-BF9BE9909CFA}">
    <filterColumn colId="0" hiddenButton="1"/>
    <filterColumn colId="1" hiddenButton="1"/>
  </autoFilter>
  <tableColumns count="2">
    <tableColumn id="1" xr3:uid="{589112ED-5C99-4CD7-912A-F216AEC245F3}" name="LO Number" dataDxfId="511"/>
    <tableColumn id="2" xr3:uid="{D42319CA-BEAF-49C8-8EC7-B45F24386E7A}" name="LO Description" dataDxfId="5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AE2B91-6BD8-4529-8B59-5DB7121B1D24}" name="_4004SPS_Assess" displayName="_4004SPS_Assess" ref="C37:H41" totalsRowShown="0" headerRowDxfId="509" dataDxfId="50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FED30EF-9DFC-4FCF-9A98-B1395296BD26}" name="Assessment No" dataDxfId="507"/>
    <tableColumn id="2" xr3:uid="{0C168E40-BC62-40F7-8494-D9D585BBF5DD}" name="Assessment Type" dataDxfId="506"/>
    <tableColumn id="7" xr3:uid="{03042C7C-BE5A-4EDB-B18A-F162688CAFDA}" name="Assessment Specific" dataDxfId="505"/>
    <tableColumn id="3" xr3:uid="{B536E57C-91CB-491F-8850-5E1F4FFB6EC2}" name="Assessment Description" dataDxfId="504"/>
    <tableColumn id="4" xr3:uid="{CFEF4DCA-7026-4AB8-9930-965F672B21EC}" name="Weighting" dataDxfId="503"/>
    <tableColumn id="5" xr3:uid="{268A91DF-58B1-43BF-A340-0E1D33705BAA}" name="Due Week" dataDxfId="502"/>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AFDD563-D76D-4667-B964-69DE19A2F370}" name="_4004SPS_Weekly" displayName="_4004SPS_Weekly" ref="B70:F94" totalsRowShown="0" headerRowDxfId="501" dataDxfId="50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EC0DE77-F537-4352-B465-CD91C72B6257}" name="Semester " dataDxfId="499"/>
    <tableColumn id="2" xr3:uid="{916AD303-2708-4E40-8E0C-DE9D347BA8EA}" name="Week Number" dataDxfId="498"/>
    <tableColumn id="3" xr3:uid="{66580F8A-FF82-4503-9EBF-1B44DD45F9F5}" name="Weekly Content 1" dataDxfId="497"/>
    <tableColumn id="4" xr3:uid="{5E6D35EA-634F-45B1-8A96-068CB99E3BA7}" name="Weekly Content 2" dataDxfId="496"/>
    <tableColumn id="5" xr3:uid="{25F8B45E-A68A-40F6-AADD-D3228D0F228B}" name="Weekly Content 3" dataDxfId="495"/>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02355DE-CDC7-4C13-A897-B84D0D96A8FC}" name="_4004SPS_Hours" displayName="_4004SPS_Hours" ref="C18:D24" totalsRowShown="0" headerRowDxfId="494" dataDxfId="493">
  <autoFilter ref="C18:D24" xr:uid="{B71A3569-AA65-4A4E-98A2-885F5C38B46D}">
    <filterColumn colId="0" hiddenButton="1"/>
    <filterColumn colId="1" hiddenButton="1"/>
  </autoFilter>
  <tableColumns count="2">
    <tableColumn id="1" xr3:uid="{E6DA5AB3-0374-477C-BB37-91CD5B04A8A7}" name="Component" dataDxfId="492"/>
    <tableColumn id="2" xr3:uid="{25171EA2-F360-4480-9A69-30F0637E5E19}" name="Contact Hours" dataDxfId="49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0E05B93-0CDB-4250-BCA8-9C03D039B5AA}" name="_4004SPS_Mapping" displayName="_4004SPS_Mapping" ref="C45:F66" totalsRowShown="0" headerRowDxfId="490" dataDxfId="489">
  <autoFilter ref="C45:F66" xr:uid="{E0A841BB-B6D5-4048-B5F2-18CF9F502EBA}">
    <filterColumn colId="0" hiddenButton="1"/>
    <filterColumn colId="1" hiddenButton="1"/>
    <filterColumn colId="2" hiddenButton="1"/>
    <filterColumn colId="3" hiddenButton="1"/>
  </autoFilter>
  <tableColumns count="4">
    <tableColumn id="1" xr3:uid="{5D5BD11A-55EF-4A54-875D-6C3259B55C2B}" name="Assessment No" dataDxfId="488"/>
    <tableColumn id="2" xr3:uid="{220CCF7F-D01D-41B9-83FA-AB3772B56C47}" name="LO Number" dataDxfId="487"/>
    <tableColumn id="3" xr3:uid="{35876AFA-8C5D-4EB6-A40B-8013521A5A47}" name="Graduate Skills Category" dataDxfId="486"/>
    <tableColumn id="4" xr3:uid="{8CC8B0ED-B11D-43C6-AB11-C69764FE383C}" name="Graduate Skill" dataDxfId="485"/>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D421795-C657-4B23-85A2-74B0174B165C}" name="_4004SPS_Aims" displayName="_4004SPS_Aims" ref="F6:F8" totalsRowShown="0" headerRowDxfId="484" dataDxfId="483">
  <autoFilter ref="F6:F8" xr:uid="{9552138F-2332-4BC4-A585-0E13162881A5}"/>
  <tableColumns count="1">
    <tableColumn id="1" xr3:uid="{17C9A3A3-D0C1-421C-8D52-32617D054C2E}" name="Aims" dataDxfId="482"/>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4C708692-CFFF-4D84-88A9-BCE4B09138E0}" name="_4004SPS_Syllabus" displayName="_4004SPS_Syllabus" ref="F10:F13" totalsRowShown="0" headerRowDxfId="481" dataDxfId="480">
  <autoFilter ref="F10:F13" xr:uid="{94F18F67-3F10-4F6E-A953-4FE3399B07F2}"/>
  <tableColumns count="1">
    <tableColumn id="1" xr3:uid="{D7FF23A0-D568-4D96-9868-A6319DCE887A}" name="Outline Syllabus" dataDxfId="479"/>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CADD0E-07B9-4D59-8E61-01F39F116463}" name="_4004SPS_Overview" displayName="_4004SPS_Overview" ref="F15:F20" totalsRowShown="0" headerRowDxfId="478" dataDxfId="477">
  <autoFilter ref="F15:F20" xr:uid="{1B2BCD7B-6C15-4B1C-86BC-48FF83D8F225}"/>
  <tableColumns count="1">
    <tableColumn id="1" xr3:uid="{E558D902-00D8-4FEB-8431-38F38D3FD8C5}" name="Module Overview" dataDxfId="476"/>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F1F5DED-CF26-4C92-A936-AD81E729AA08}" name="_4004SPS_Notes" displayName="_4004SPS_Notes" ref="F22:F33" totalsRowShown="0" headerRowDxfId="475" dataDxfId="474">
  <autoFilter ref="F22:F33" xr:uid="{D5968C0A-6D7E-4221-87EE-78A85A4039B3}"/>
  <tableColumns count="1">
    <tableColumn id="1" xr3:uid="{C6EF2F48-EFDC-40BF-8A10-F2C80BC78705}" name="Additional Information/Notes" dataDxfId="473"/>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C1815BC-3D96-4CE2-A3C0-E524ED84C584}" name="_4006SPS_Meta" displayName="_4006SPS_Meta" ref="C6:D14" totalsRowShown="0" headerRowDxfId="472" dataDxfId="471">
  <autoFilter ref="C6:D14" xr:uid="{CD75D2A7-14B1-4ABD-B64D-6E875F9BC652}">
    <filterColumn colId="0" hiddenButton="1"/>
    <filterColumn colId="1" hiddenButton="1"/>
  </autoFilter>
  <tableColumns count="2">
    <tableColumn id="1" xr3:uid="{5D38FCD1-7A3F-4025-AC69-E6A90C68A79E}" name="Module Data" dataDxfId="470"/>
    <tableColumn id="2" xr3:uid="{ACE861FD-0C1D-4D19-A0A8-AC83427FA81A}" name="Details" dataDxfId="469"/>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D5D2633F-A72A-4EBD-BB0D-2D2560E496A6}" name="_4006SPS_LO" displayName="_4006SPS_LO" ref="C28:D33" totalsRowShown="0" headerRowDxfId="468" dataDxfId="467">
  <autoFilter ref="C28:D33" xr:uid="{22316987-6BEB-4FAF-9619-BF9BE9909CFA}">
    <filterColumn colId="0" hiddenButton="1"/>
    <filterColumn colId="1" hiddenButton="1"/>
  </autoFilter>
  <tableColumns count="2">
    <tableColumn id="1" xr3:uid="{92FDE3DF-EAC0-4CA6-A5B4-E15BAAC4A01D}" name="LO Number" dataDxfId="466"/>
    <tableColumn id="2" xr3:uid="{A384CFCB-55B0-46B7-AF9A-FAAC6022096A}" name="LO Description" dataDxfId="46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820147B-082B-4FA1-97BA-0F1A0D69376D}" name="_4006SPS_Assess" displayName="_4006SPS_Assess" ref="C37:H41" totalsRowShown="0" headerRowDxfId="464" dataDxfId="46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063B804-9290-4363-A24F-BA34F88A89EF}" name="Assessment No" dataDxfId="462"/>
    <tableColumn id="2" xr3:uid="{390EF809-FA62-405F-B84C-B2AD571CEBAA}" name="Assessment Type" dataDxfId="461"/>
    <tableColumn id="7" xr3:uid="{2B1618E6-AA98-4A15-AE0C-79993F1BAFB7}" name="Assessment Specific" dataDxfId="460"/>
    <tableColumn id="3" xr3:uid="{138C3352-0967-40A6-A5BE-4B32DEC01ACB}" name="Assessment Description" dataDxfId="459"/>
    <tableColumn id="4" xr3:uid="{F4B4B6BF-3460-42E3-849C-1BBE242E83C3}" name="Weighting" dataDxfId="458"/>
    <tableColumn id="5" xr3:uid="{E52307F9-F56A-42FC-9A76-6A630F2C5B71}" name="Due Week" dataDxfId="457"/>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36DF56C-F5DF-42FA-9C3E-466BEB6A9B25}" name="_4006SPS_Weekly" displayName="_4006SPS_Weekly" ref="B70:F94" totalsRowShown="0" headerRowDxfId="456" dataDxfId="45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5D23D0B-4E1E-44F9-A154-416BAE9F0E6A}" name="Semester " dataDxfId="454"/>
    <tableColumn id="2" xr3:uid="{1B7B234D-0DD9-4913-9C62-18CC4E0FD5D6}" name="Week Number" dataDxfId="453"/>
    <tableColumn id="3" xr3:uid="{FDA6287D-7D09-41DC-96F1-E9BCD4B11D2E}" name="Weekly Content 1" dataDxfId="452"/>
    <tableColumn id="4" xr3:uid="{C104D628-2E09-432B-BC7A-B7E29838D1BD}" name="Weekly Content 2" dataDxfId="451"/>
    <tableColumn id="5" xr3:uid="{6CD950CC-83A5-4FD3-93FC-B284F6F6350E}" name="Weekly Content 3" dataDxfId="450"/>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92B2FE4A-AD2A-4354-81FF-92DECA27A716}" name="_4006SPS_Hours" displayName="_4006SPS_Hours" ref="C18:D24" totalsRowShown="0" headerRowDxfId="449" dataDxfId="448">
  <autoFilter ref="C18:D24" xr:uid="{B71A3569-AA65-4A4E-98A2-885F5C38B46D}">
    <filterColumn colId="0" hiddenButton="1"/>
    <filterColumn colId="1" hiddenButton="1"/>
  </autoFilter>
  <tableColumns count="2">
    <tableColumn id="1" xr3:uid="{27F817B7-6395-4976-9120-60D5C9775BA5}" name="Component" dataDxfId="447"/>
    <tableColumn id="2" xr3:uid="{D9B68E50-AFDD-4B94-80F2-BAB157C2FF40}" name="Contact Hours" dataDxfId="44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D4F23-19CD-490A-863B-D357A075F62D}" name="_4006SPS_Mapping" displayName="_4006SPS_Mapping" ref="C45:F66" totalsRowShown="0" headerRowDxfId="445" dataDxfId="444">
  <autoFilter ref="C45:F66" xr:uid="{E0A841BB-B6D5-4048-B5F2-18CF9F502EBA}">
    <filterColumn colId="0" hiddenButton="1"/>
    <filterColumn colId="1" hiddenButton="1"/>
    <filterColumn colId="2" hiddenButton="1"/>
    <filterColumn colId="3" hiddenButton="1"/>
  </autoFilter>
  <tableColumns count="4">
    <tableColumn id="1" xr3:uid="{4320F17F-7532-4CD6-9873-A1CBAAFA9F7C}" name="Assessment No" dataDxfId="443"/>
    <tableColumn id="2" xr3:uid="{CF29F699-8C1A-4AC4-A563-FCBB128AC8F3}" name="LO Number" dataDxfId="442"/>
    <tableColumn id="3" xr3:uid="{B1082C18-E8C1-42F9-B74D-584EBA4A0A39}" name="Graduate Skills Category" dataDxfId="441"/>
    <tableColumn id="4" xr3:uid="{BD6D6488-ABFD-45B6-B06F-748690280986}" name="Graduate Skill" dataDxfId="440"/>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BD2BE49-9025-454E-A9D0-BE88D8AF0F0B}" name="_4006SPS_Aims" displayName="_4006SPS_Aims" ref="F6:F8" totalsRowShown="0" headerRowDxfId="439" dataDxfId="438">
  <autoFilter ref="F6:F8" xr:uid="{9552138F-2332-4BC4-A585-0E13162881A5}"/>
  <tableColumns count="1">
    <tableColumn id="1" xr3:uid="{E2B338AF-53C9-469A-B45D-DF4BE4CCBDD0}" name="Aims" dataDxfId="437"/>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963A62B5-6BD6-4FF7-AC53-AE2CCA7AF0AD}" name="_4006SPS_Syllabus" displayName="_4006SPS_Syllabus" ref="F10:F13" totalsRowShown="0" headerRowDxfId="436" dataDxfId="435">
  <autoFilter ref="F10:F13" xr:uid="{94F18F67-3F10-4F6E-A953-4FE3399B07F2}"/>
  <tableColumns count="1">
    <tableColumn id="1" xr3:uid="{0B585185-EFA9-44AB-A953-91DF09E1C8F4}" name="Outline Syllabus" dataDxfId="434"/>
  </tableColumns>
  <tableStyleInfo name="TableStyleMedium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9D78F64-BBE3-4F16-BBE6-34802F612A15}" name="_4006SPS_Overview" displayName="_4006SPS_Overview" ref="F15:F20" totalsRowShown="0" headerRowDxfId="433" dataDxfId="432">
  <autoFilter ref="F15:F20" xr:uid="{1B2BCD7B-6C15-4B1C-86BC-48FF83D8F225}"/>
  <tableColumns count="1">
    <tableColumn id="1" xr3:uid="{8DA5C005-FC9F-4CBE-A281-B2B92A53526A}" name="Module Overview" dataDxfId="431"/>
  </tableColumns>
  <tableStyleInfo name="TableStyleMedium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E2516B-A7EA-432E-92EE-6643A09A6407}" name="_4006SPS_Notes" displayName="_4006SPS_Notes" ref="F22:F33" totalsRowShown="0" headerRowDxfId="430" dataDxfId="429">
  <autoFilter ref="F22:F33" xr:uid="{D5968C0A-6D7E-4221-87EE-78A85A4039B3}"/>
  <tableColumns count="1">
    <tableColumn id="1" xr3:uid="{D67854B5-D179-408B-A477-7F6E3033D84B}" name="Additional Information/Notes" dataDxfId="428"/>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3D9C059-9C0F-4D85-8B52-4BE4E2F3A820}" name="_5001SPS_Meta" displayName="_5001SPS_Meta" ref="C6:D14" totalsRowShown="0" headerRowDxfId="427" dataDxfId="426">
  <autoFilter ref="C6:D14" xr:uid="{CD75D2A7-14B1-4ABD-B64D-6E875F9BC652}">
    <filterColumn colId="0" hiddenButton="1"/>
    <filterColumn colId="1" hiddenButton="1"/>
  </autoFilter>
  <tableColumns count="2">
    <tableColumn id="1" xr3:uid="{294825A0-B000-4273-A73D-4BDF1B0EEF00}" name="Module Data" dataDxfId="425"/>
    <tableColumn id="2" xr3:uid="{BFFFACD7-D0A7-40F6-BF15-469686406C3F}" name="Details" dataDxfId="424"/>
  </tableColumns>
  <tableStyleInfo name="TableStyleMedium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0C48BE-F6F8-4E15-8EEF-3079EE79AB53}" name="_5001SPS_LO" displayName="_5001SPS_LO" ref="C28:D33" totalsRowShown="0" headerRowDxfId="423" dataDxfId="422">
  <autoFilter ref="C28:D33" xr:uid="{22316987-6BEB-4FAF-9619-BF9BE9909CFA}">
    <filterColumn colId="0" hiddenButton="1"/>
    <filterColumn colId="1" hiddenButton="1"/>
  </autoFilter>
  <tableColumns count="2">
    <tableColumn id="1" xr3:uid="{EB0958A2-9E66-44D9-A8DF-610B48FE0AC6}" name="LO Number" dataDxfId="421"/>
    <tableColumn id="2" xr3:uid="{0F368925-4523-471B-A68D-184E05AABCF7}" name="LO Description" dataDxfId="420"/>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BE7F226-F525-4AEE-9051-8E8C19804E49}" name="_5001SPS_Assess" displayName="_5001SPS_Assess" ref="C37:H41" totalsRowShown="0" headerRowDxfId="419" dataDxfId="41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623195A-EACB-49C4-931F-4FDDF41A020A}" name="Assessment No" dataDxfId="417"/>
    <tableColumn id="2" xr3:uid="{1FA5C130-1C0E-45D6-8735-EA79A0166F2D}" name="Assessment Type" dataDxfId="416"/>
    <tableColumn id="7" xr3:uid="{34024CC2-5A32-45FD-95BD-978953E7F41B}" name="Assessment Specific" dataDxfId="415"/>
    <tableColumn id="3" xr3:uid="{5DA2B338-CCFE-4568-ACFD-CC8F0B883170}" name="Assessment Description" dataDxfId="414"/>
    <tableColumn id="4" xr3:uid="{597ADF95-B9B9-411B-8079-7F615E89550C}" name="Weighting" dataDxfId="413"/>
    <tableColumn id="5" xr3:uid="{A0D1FD19-8DF8-4595-ADE8-675937B4A7F4}" name="Due Week" dataDxfId="412"/>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F94D071-7B51-4AEF-B4B4-033ED66B10D3}" name="_5001SPS_Weekly" displayName="_5001SPS_Weekly" ref="B70:F94" totalsRowShown="0" headerRowDxfId="411" dataDxfId="41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57BA6DA9-286D-48FA-A29C-33DB01958BBC}" name="Semester " dataDxfId="409"/>
    <tableColumn id="2" xr3:uid="{633971FF-9E7F-4A44-865E-D409908313D1}" name="Week Number" dataDxfId="408"/>
    <tableColumn id="3" xr3:uid="{77413702-BFB9-4DEA-BF99-C2A188E22509}" name="Weekly Content 1" dataDxfId="407"/>
    <tableColumn id="4" xr3:uid="{DD1B7D42-32B3-4CC2-9308-AD66B052F8DB}" name="Weekly Content 2" dataDxfId="406"/>
    <tableColumn id="5" xr3:uid="{504E9A1A-C43C-49D3-BB42-E4DD5A49EFCE}" name="Weekly Content 3" dataDxfId="405"/>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658A09-6752-4A08-B64F-A2B57CA717E6}" name="_5001SPS_Hours" displayName="_5001SPS_Hours" ref="C18:D24" totalsRowShown="0" headerRowDxfId="404" dataDxfId="403">
  <autoFilter ref="C18:D24" xr:uid="{B71A3569-AA65-4A4E-98A2-885F5C38B46D}">
    <filterColumn colId="0" hiddenButton="1"/>
    <filterColumn colId="1" hiddenButton="1"/>
  </autoFilter>
  <tableColumns count="2">
    <tableColumn id="1" xr3:uid="{5D165BDB-09FC-4AAA-91DB-E67A247DFF72}" name="Component" dataDxfId="402"/>
    <tableColumn id="2" xr3:uid="{E28A3B10-E692-47D9-A3AD-18128B6A4794}" name="Contact Hours" dataDxfId="401"/>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74EC906-9B9F-48BF-8818-9671FFE04486}" name="_5001SPS_Mapping" displayName="_5001SPS_Mapping" ref="C45:F66" totalsRowShown="0" headerRowDxfId="400" dataDxfId="399">
  <autoFilter ref="C45:F66" xr:uid="{E0A841BB-B6D5-4048-B5F2-18CF9F502EBA}">
    <filterColumn colId="0" hiddenButton="1"/>
    <filterColumn colId="1" hiddenButton="1"/>
    <filterColumn colId="2" hiddenButton="1"/>
    <filterColumn colId="3" hiddenButton="1"/>
  </autoFilter>
  <tableColumns count="4">
    <tableColumn id="1" xr3:uid="{BF66E6C2-D388-4188-90AD-9408AE3ED7DA}" name="Assessment No" dataDxfId="398"/>
    <tableColumn id="2" xr3:uid="{A7D6827C-7020-4950-BD3E-00625169C68E}" name="LO Number" dataDxfId="397"/>
    <tableColumn id="3" xr3:uid="{1F68EB03-6C47-4955-9791-229A42D1A45A}" name="Graduate Skills Category" dataDxfId="396"/>
    <tableColumn id="4" xr3:uid="{1FD832D4-8E97-4B72-9B09-606CF407E6C7}" name="Graduate Skill" dataDxfId="395"/>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9817139-EB2F-4EEA-A5A5-14E06D17B2BD}" name="_5001SPS_Aims" displayName="_5001SPS_Aims" ref="F6:F8" totalsRowShown="0" headerRowDxfId="394" dataDxfId="393">
  <autoFilter ref="F6:F8" xr:uid="{9552138F-2332-4BC4-A585-0E13162881A5}"/>
  <tableColumns count="1">
    <tableColumn id="1" xr3:uid="{2EE5D059-BB6B-4406-AF24-CB56C5C24856}" name="Aims" dataDxfId="392"/>
  </tableColumns>
  <tableStyleInfo name="TableStyleMedium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2FF468F-C8D3-4B79-9797-F22B3B7B3D03}" name="_5001SPS_Syllabus" displayName="_5001SPS_Syllabus" ref="F10:F13" totalsRowShown="0" headerRowDxfId="391" dataDxfId="390">
  <autoFilter ref="F10:F13" xr:uid="{94F18F67-3F10-4F6E-A953-4FE3399B07F2}"/>
  <tableColumns count="1">
    <tableColumn id="1" xr3:uid="{CF8ACDF4-0E48-466C-AF99-EC810B28E6AF}" name="Outline Syllabus" dataDxfId="389"/>
  </tableColumns>
  <tableStyleInfo name="TableStyleMedium6"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8871805-3392-4A3F-AFF8-B6F3E2CBA152}" name="_5001SPS_Overview" displayName="_5001SPS_Overview" ref="F15:F20" totalsRowShown="0" headerRowDxfId="388" dataDxfId="387">
  <autoFilter ref="F15:F20" xr:uid="{1B2BCD7B-6C15-4B1C-86BC-48FF83D8F225}"/>
  <tableColumns count="1">
    <tableColumn id="1" xr3:uid="{C16E0E90-DC44-4185-AB55-C39332B32B2D}" name="Module Overview" dataDxfId="386"/>
  </tableColumns>
  <tableStyleInfo name="TableStyleMedium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641172B8-C240-400A-88D4-1BDB4D30A1C9}" name="_5001SPS_Notes" displayName="_5001SPS_Notes" ref="F22:F33" totalsRowShown="0" headerRowDxfId="385" dataDxfId="384">
  <autoFilter ref="F22:F33" xr:uid="{D5968C0A-6D7E-4221-87EE-78A85A4039B3}"/>
  <tableColumns count="1">
    <tableColumn id="1" xr3:uid="{719B4DA9-E67A-4094-A58E-921C645096BE}" name="Additional Information/Notes" dataDxfId="383"/>
  </tableColumns>
  <tableStyleInfo name="TableStyleMedium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86E48D9-F82B-402B-A44C-BC8F8F7303D0}" name="_5014SPS_Meta" displayName="_5014SPS_Meta" ref="C6:D14" totalsRowShown="0" headerRowDxfId="382" dataDxfId="381">
  <autoFilter ref="C6:D14" xr:uid="{CD75D2A7-14B1-4ABD-B64D-6E875F9BC652}">
    <filterColumn colId="0" hiddenButton="1"/>
    <filterColumn colId="1" hiddenButton="1"/>
  </autoFilter>
  <tableColumns count="2">
    <tableColumn id="1" xr3:uid="{7833E623-ED87-40CE-93D2-B78B6A7D7E94}" name="Module Data" dataDxfId="380"/>
    <tableColumn id="2" xr3:uid="{0659839B-A1DA-4204-9267-1A4CC295A6EF}" name="Details" dataDxfId="379"/>
  </tableColumns>
  <tableStyleInfo name="TableStyleMedium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32A9936-076B-4BC2-B13B-069BFBBB1804}" name="_5014SPS_LO" displayName="_5014SPS_LO" ref="C28:D33" totalsRowShown="0" headerRowDxfId="378" dataDxfId="377">
  <autoFilter ref="C28:D33" xr:uid="{22316987-6BEB-4FAF-9619-BF9BE9909CFA}">
    <filterColumn colId="0" hiddenButton="1"/>
    <filterColumn colId="1" hiddenButton="1"/>
  </autoFilter>
  <tableColumns count="2">
    <tableColumn id="1" xr3:uid="{FEDC5FCD-23F6-4532-A565-C979DFEE6452}" name="LO Number" dataDxfId="376"/>
    <tableColumn id="2" xr3:uid="{1F64A8B9-B360-490C-BD12-64A29F9CF82F}" name="LO Description" dataDxfId="37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A199E17E-33E1-438A-8DFD-E5E7B9D9B6AD}" name="_5014SPS_Assess" displayName="_5014SPS_Assess" ref="C37:H41" totalsRowShown="0" headerRowDxfId="374" dataDxfId="37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257FCD3-320E-4A09-882E-104641C1FD58}" name="Assessment No" dataDxfId="372"/>
    <tableColumn id="2" xr3:uid="{0FE47FA8-B999-4405-B49D-E106E82A7509}" name="Assessment Type" dataDxfId="371"/>
    <tableColumn id="7" xr3:uid="{61D6D411-EDDD-4962-A754-A4B5EEB96263}" name="Assessment Specific" dataDxfId="370"/>
    <tableColumn id="3" xr3:uid="{1A288D47-FFDF-4BA0-94F1-9B647BE04DCC}" name="Assessment Description" dataDxfId="369"/>
    <tableColumn id="4" xr3:uid="{ED08857B-A938-490D-9B30-962DE64252AB}" name="Weighting" dataDxfId="368"/>
    <tableColumn id="5" xr3:uid="{581E13F4-4545-426B-8995-08E09758F5CB}" name="Due Week" dataDxfId="367"/>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BF4AD49-2241-4DE3-B6F1-0E1C2F3DE17D}" name="_5014SPS_Weekly" displayName="_5014SPS_Weekly" ref="B70:F94" totalsRowShown="0" headerRowDxfId="366" dataDxfId="36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1DA16D2-1087-49A1-9BB0-8496A2968E4A}" name="Semester " dataDxfId="364"/>
    <tableColumn id="2" xr3:uid="{BED16F5A-D8C5-4300-A763-C0065F48E598}" name="Week Number" dataDxfId="363"/>
    <tableColumn id="3" xr3:uid="{1C3278D5-9F89-43C0-84A5-ACE6AE3BF8C8}" name="Weekly Content 1" dataDxfId="362"/>
    <tableColumn id="4" xr3:uid="{8ADEF497-35DC-4945-B42C-DCA4C8DB67C9}" name="Weekly Content 2" dataDxfId="361"/>
    <tableColumn id="5" xr3:uid="{E6B69E39-A78E-4994-8E8F-40C76F0002A1}" name="Weekly Content 3" dataDxfId="360"/>
  </tableColumns>
  <tableStyleInfo name="TableStyleMedium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E7FD2E5-9819-4DDA-9192-9962A61B1C4E}" name="_5014SPS_Hours" displayName="_5014SPS_Hours" ref="C18:D24" totalsRowShown="0" headerRowDxfId="359" dataDxfId="358">
  <autoFilter ref="C18:D24" xr:uid="{B71A3569-AA65-4A4E-98A2-885F5C38B46D}">
    <filterColumn colId="0" hiddenButton="1"/>
    <filterColumn colId="1" hiddenButton="1"/>
  </autoFilter>
  <tableColumns count="2">
    <tableColumn id="1" xr3:uid="{2FFE33E1-E3D8-499A-B70C-70494FCFC11F}" name="Component" dataDxfId="357"/>
    <tableColumn id="2" xr3:uid="{D8D74B7C-DED1-4107-9D9B-A69709137AF1}" name="Contact Hours" dataDxfId="35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568775CE-CA9A-402A-A796-7C84FDD56B4E}" name="_5014SPS_Mapping" displayName="_5014SPS_Mapping" ref="C45:F66" totalsRowShown="0" headerRowDxfId="355" dataDxfId="354">
  <autoFilter ref="C45:F66" xr:uid="{E0A841BB-B6D5-4048-B5F2-18CF9F502EBA}">
    <filterColumn colId="0" hiddenButton="1"/>
    <filterColumn colId="1" hiddenButton="1"/>
    <filterColumn colId="2" hiddenButton="1"/>
    <filterColumn colId="3" hiddenButton="1"/>
  </autoFilter>
  <tableColumns count="4">
    <tableColumn id="1" xr3:uid="{1EFBBED1-A4EE-4381-813E-E578917BA7ED}" name="Assessment No" dataDxfId="353"/>
    <tableColumn id="2" xr3:uid="{3DE98FE2-3138-46D6-BD99-F2FB47042775}" name="LO Number" dataDxfId="352"/>
    <tableColumn id="3" xr3:uid="{810A03D8-C153-4962-9C3C-D761D27C4A3F}" name="Graduate Skills Category" dataDxfId="351"/>
    <tableColumn id="4" xr3:uid="{C3B0D1F6-1274-4ED1-9705-01F40BB1E2F2}" name="Graduate Skill" dataDxfId="350"/>
  </tableColumns>
  <tableStyleInfo name="TableStyleMedium3"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F6D575A-6B50-40E0-9195-2B0B7EBAA31D}" name="_5014SPS_Aims" displayName="_5014SPS_Aims" ref="F6:F8" totalsRowShown="0" headerRowDxfId="349" dataDxfId="348">
  <autoFilter ref="F6:F8" xr:uid="{9552138F-2332-4BC4-A585-0E13162881A5}"/>
  <tableColumns count="1">
    <tableColumn id="1" xr3:uid="{C445F0C7-61B3-46CB-A56F-67D79AE54D5C}" name="Aims" dataDxfId="347"/>
  </tableColumns>
  <tableStyleInfo name="TableStyleMedium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4737D9A0-1182-4F4B-8A02-69208479CE71}" name="_5014SPS_Syllabus" displayName="_5014SPS_Syllabus" ref="F10:F13" totalsRowShown="0" headerRowDxfId="346" dataDxfId="345">
  <autoFilter ref="F10:F13" xr:uid="{94F18F67-3F10-4F6E-A953-4FE3399B07F2}"/>
  <tableColumns count="1">
    <tableColumn id="1" xr3:uid="{CAABEA9D-6FBF-459A-AD97-585A17318A01}" name="Outline Syllabus" dataDxfId="344"/>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35D63BF-CDCE-4B35-AC53-8391B5EC5408}" name="_5014SPS_Overview" displayName="_5014SPS_Overview" ref="F15:F20" totalsRowShown="0" headerRowDxfId="343" dataDxfId="342">
  <autoFilter ref="F15:F20" xr:uid="{1B2BCD7B-6C15-4B1C-86BC-48FF83D8F225}"/>
  <tableColumns count="1">
    <tableColumn id="1" xr3:uid="{A14625FC-0807-41B3-BEF3-09E7E979EFED}" name="Module Overview" dataDxfId="341"/>
  </tableColumns>
  <tableStyleInfo name="TableStyleMedium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9E4EB89-A002-43BB-BD42-A6CBE09A1C1C}" name="_5014SPS_Notes" displayName="_5014SPS_Notes" ref="F22:F33" totalsRowShown="0" headerRowDxfId="340" dataDxfId="339">
  <autoFilter ref="F22:F33" xr:uid="{D5968C0A-6D7E-4221-87EE-78A85A4039B3}"/>
  <tableColumns count="1">
    <tableColumn id="1" xr3:uid="{0F69CA79-BA33-4E25-8FA9-233F7FC95036}" name="Additional Information/Notes" dataDxfId="338"/>
  </tableColumns>
  <tableStyleInfo name="TableStyleMedium6"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17E94F5D-87D3-4DF8-986C-B28A1AFAD773}" name="_5015SPS_Meta" displayName="_5015SPS_Meta" ref="C6:D14" totalsRowShown="0" headerRowDxfId="337" dataDxfId="336">
  <autoFilter ref="C6:D14" xr:uid="{CD75D2A7-14B1-4ABD-B64D-6E875F9BC652}">
    <filterColumn colId="0" hiddenButton="1"/>
    <filterColumn colId="1" hiddenButton="1"/>
  </autoFilter>
  <tableColumns count="2">
    <tableColumn id="1" xr3:uid="{DC5E8FB2-F1EF-4C76-ADAD-8DF1D4236058}" name="Module Data" dataDxfId="335"/>
    <tableColumn id="2" xr3:uid="{3CEC4644-C90E-484A-BB04-BC7E2522484B}" name="Details" dataDxfId="334"/>
  </tableColumns>
  <tableStyleInfo name="TableStyleMedium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9E236EF1-A2F6-44EA-9CD3-686F2C6247E0}" name="_5015SPS_LO" displayName="_5015SPS_LO" ref="C28:D33" totalsRowShown="0" headerRowDxfId="333" dataDxfId="332">
  <autoFilter ref="C28:D33" xr:uid="{22316987-6BEB-4FAF-9619-BF9BE9909CFA}">
    <filterColumn colId="0" hiddenButton="1"/>
    <filterColumn colId="1" hiddenButton="1"/>
  </autoFilter>
  <tableColumns count="2">
    <tableColumn id="1" xr3:uid="{96E1C0A4-F310-4104-877A-16C95A9DF8F8}" name="LO Number" dataDxfId="331"/>
    <tableColumn id="2" xr3:uid="{5193B932-1BB4-4665-BB60-1094CB27D2FB}" name="LO Description" dataDxfId="330"/>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8FFE59E6-A839-4DF2-B28B-BA390FAAC7FF}" name="_5015SPS_Assess" displayName="_5015SPS_Assess" ref="C37:H41" totalsRowShown="0" headerRowDxfId="329" dataDxfId="32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0154566D-F16C-483F-9906-53214A1163EC}" name="Assessment No" dataDxfId="327"/>
    <tableColumn id="2" xr3:uid="{F6CC8F23-24C9-49E1-A7E1-F0C42C5E4062}" name="Assessment Type" dataDxfId="326"/>
    <tableColumn id="7" xr3:uid="{23445359-B102-481A-9626-644EC1147971}" name="Assessment Specific" dataDxfId="325"/>
    <tableColumn id="3" xr3:uid="{09F68760-DB1D-47DA-9C3B-991E85819122}" name="Assessment Description" dataDxfId="324"/>
    <tableColumn id="4" xr3:uid="{9C4EFAF0-0549-4906-AB40-C8046612A4D0}" name="Weighting" dataDxfId="323"/>
    <tableColumn id="5" xr3:uid="{6867F2EF-8B96-4C7F-A3F0-4AD115D6B611}" name="Due Week" dataDxfId="322"/>
  </tableColumns>
  <tableStyleInfo name="TableStyleMedium3"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63A272D-E3F6-4799-9E67-4B36BC407350}" name="_5015SPS_Weekly" displayName="_5015SPS_Weekly" ref="B70:F94" totalsRowShown="0" headerRowDxfId="321" dataDxfId="32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B0408B6-1C06-4309-B9B2-E387A6531EBC}" name="Semester " dataDxfId="319"/>
    <tableColumn id="2" xr3:uid="{3DC0D0B8-ED93-4FAA-ACD1-6A257B8D7D8B}" name="Week Number" dataDxfId="318"/>
    <tableColumn id="3" xr3:uid="{396A1CD9-0EA8-4576-AC19-41A37C40C78C}" name="Weekly Content 1" dataDxfId="317"/>
    <tableColumn id="4" xr3:uid="{27E6FFD2-4BB2-4380-B643-929F8059E10C}" name="Weekly Content 2" dataDxfId="316"/>
    <tableColumn id="5" xr3:uid="{5D410880-EC3B-476E-B727-61773B3F1720}" name="Weekly Content 3" dataDxfId="315"/>
  </tableColumns>
  <tableStyleInfo name="TableStyleMedium4"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034533F-3C96-4BBB-B91F-96B2BF107FF6}" name="_5015SPS_Hours" displayName="_5015SPS_Hours" ref="C18:D24" totalsRowShown="0" headerRowDxfId="314" dataDxfId="313">
  <autoFilter ref="C18:D24" xr:uid="{B71A3569-AA65-4A4E-98A2-885F5C38B46D}">
    <filterColumn colId="0" hiddenButton="1"/>
    <filterColumn colId="1" hiddenButton="1"/>
  </autoFilter>
  <tableColumns count="2">
    <tableColumn id="1" xr3:uid="{50ADF208-83C1-48D5-9F5C-65E697F266B7}" name="Component" dataDxfId="312"/>
    <tableColumn id="2" xr3:uid="{1EADC3A3-1557-4323-A40A-C84AEA0F188A}" name="Contact Hours" dataDxfId="311"/>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BB88119-4CEC-4B9F-9734-616397E661D4}" name="_5015SPS_Mapping" displayName="_5015SPS_Mapping" ref="C45:F66" totalsRowShown="0" headerRowDxfId="310" dataDxfId="309">
  <autoFilter ref="C45:F66" xr:uid="{E0A841BB-B6D5-4048-B5F2-18CF9F502EBA}">
    <filterColumn colId="0" hiddenButton="1"/>
    <filterColumn colId="1" hiddenButton="1"/>
    <filterColumn colId="2" hiddenButton="1"/>
    <filterColumn colId="3" hiddenButton="1"/>
  </autoFilter>
  <tableColumns count="4">
    <tableColumn id="1" xr3:uid="{4F176BC0-31BF-4358-B856-EFBB6BB7AAB0}" name="Assessment No" dataDxfId="308"/>
    <tableColumn id="2" xr3:uid="{162D175A-F572-46B3-8399-9FF334864C28}" name="LO Number" dataDxfId="307"/>
    <tableColumn id="3" xr3:uid="{4B8F87D6-8076-4256-870F-FFB0D542729A}" name="Graduate Skills Category" dataDxfId="306"/>
    <tableColumn id="4" xr3:uid="{3DB5254F-E5B1-45EA-B3FC-772579673F08}" name="Graduate Skill" dataDxfId="305"/>
  </tableColumns>
  <tableStyleInfo name="TableStyleMedium3"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D0C022-EFBE-4464-91FC-F436D7DFB43A}" name="_5015SPS_Aims" displayName="_5015SPS_Aims" ref="F6:F8" totalsRowShown="0" headerRowDxfId="304" dataDxfId="303">
  <autoFilter ref="F6:F8" xr:uid="{9552138F-2332-4BC4-A585-0E13162881A5}"/>
  <tableColumns count="1">
    <tableColumn id="1" xr3:uid="{D5911F00-3A12-4884-94FA-2461F2E6A773}" name="Aims" dataDxfId="302"/>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F89D8F4-40FF-4A85-91D9-660D46503FEA}" name="_5015SPS_Syllabus" displayName="_5015SPS_Syllabus" ref="F10:F13" totalsRowShown="0" headerRowDxfId="301" dataDxfId="300">
  <autoFilter ref="F10:F13" xr:uid="{94F18F67-3F10-4F6E-A953-4FE3399B07F2}"/>
  <tableColumns count="1">
    <tableColumn id="1" xr3:uid="{1984609B-7A7C-44AA-A114-5466EF451351}" name="Outline Syllabus" dataDxfId="299"/>
  </tableColumns>
  <tableStyleInfo name="TableStyleMedium6"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CE8D45C-F32D-403F-87CE-50D315C2F149}" name="_5015SPS_Overview" displayName="_5015SPS_Overview" ref="F15:F20" totalsRowShown="0" headerRowDxfId="298" dataDxfId="297">
  <autoFilter ref="F15:F20" xr:uid="{1B2BCD7B-6C15-4B1C-86BC-48FF83D8F225}"/>
  <tableColumns count="1">
    <tableColumn id="1" xr3:uid="{19A46962-3EFC-4EE2-ACCE-5363E30EDC4F}" name="Module Overview" dataDxfId="296"/>
  </tableColumns>
  <tableStyleInfo name="TableStyleMedium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A33D543-C10F-446B-A3DE-E3B66E260D5A}" name="_5015SPS_Notes" displayName="_5015SPS_Notes" ref="F22:F33" totalsRowShown="0" headerRowDxfId="295" dataDxfId="294">
  <autoFilter ref="F22:F33" xr:uid="{D5968C0A-6D7E-4221-87EE-78A85A4039B3}"/>
  <tableColumns count="1">
    <tableColumn id="1" xr3:uid="{EEDA3204-13C4-4B95-A550-B650C09B689D}" name="Additional Information/Notes" dataDxfId="293"/>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74B2B836-FEE3-4D8C-A583-FCE8AD37DA97}" name="_5005SPS_Meta" displayName="_5005SPS_Meta" ref="C6:D14" totalsRowShown="0" headerRowDxfId="292" dataDxfId="291">
  <autoFilter ref="C6:D14" xr:uid="{CD75D2A7-14B1-4ABD-B64D-6E875F9BC652}">
    <filterColumn colId="0" hiddenButton="1"/>
    <filterColumn colId="1" hiddenButton="1"/>
  </autoFilter>
  <tableColumns count="2">
    <tableColumn id="1" xr3:uid="{4312B193-D095-44A4-B0FA-8864AE0BCBEF}" name="Module Data" dataDxfId="290"/>
    <tableColumn id="2" xr3:uid="{4F08D2F7-88F2-4061-857B-CBAD6623F570}" name="Details" dataDxfId="289"/>
  </tableColumns>
  <tableStyleInfo name="TableStyleMedium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6B4EAB99-124D-42E9-8E49-DC0D3280A770}" name="_5005SPS_LO" displayName="_5005SPS_LO" ref="C28:D33" totalsRowShown="0" headerRowDxfId="288" dataDxfId="287">
  <autoFilter ref="C28:D33" xr:uid="{22316987-6BEB-4FAF-9619-BF9BE9909CFA}">
    <filterColumn colId="0" hiddenButton="1"/>
    <filterColumn colId="1" hiddenButton="1"/>
  </autoFilter>
  <tableColumns count="2">
    <tableColumn id="1" xr3:uid="{87282965-A2DA-4B4E-8D06-98090F28BEEF}" name="LO Number" dataDxfId="286"/>
    <tableColumn id="2" xr3:uid="{5860F21B-133F-4A88-A61B-07CF39BC7E21}" name="LO Description" dataDxfId="285"/>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3B225F4-04B9-42E5-AA5E-0B231BCFA0EF}" name="_5005SPS_Assess" displayName="_5005SPS_Assess" ref="C37:H41" totalsRowShown="0" headerRowDxfId="284" dataDxfId="28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8DF47951-A7BD-47A8-B1ED-B6F5AF65DA1D}" name="Assessment No" dataDxfId="282"/>
    <tableColumn id="2" xr3:uid="{02E86080-DD71-4108-821B-E566F188DEA2}" name="Assessment Type" dataDxfId="281"/>
    <tableColumn id="7" xr3:uid="{47CA01EB-2FAC-4F47-BB5B-4ACF9B64B490}" name="Assessment Specific" dataDxfId="280"/>
    <tableColumn id="3" xr3:uid="{FBD48AF8-7B7F-4162-9266-C7CCFD60F0E7}" name="Assessment Description" dataDxfId="279"/>
    <tableColumn id="4" xr3:uid="{B1C6A884-1B35-475C-8890-451E2B62B45B}" name="Weighting" dataDxfId="278"/>
    <tableColumn id="5" xr3:uid="{52275FFC-C744-424D-9DA8-F4384F058801}" name="Due Week" dataDxfId="277"/>
  </tableColumns>
  <tableStyleInfo name="TableStyleMedium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11C1444-7D9D-41F0-B07B-761DA8B67262}" name="_5005SPS_Weekly" displayName="_5005SPS_Weekly" ref="B70:F94" totalsRowShown="0" headerRowDxfId="276" dataDxfId="27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A171258-098F-40B4-886F-EAA2D59C0870}" name="Semester " dataDxfId="274"/>
    <tableColumn id="2" xr3:uid="{F2C231FA-6829-4DDE-AADC-3E8FA43A1138}" name="Week Number" dataDxfId="273"/>
    <tableColumn id="3" xr3:uid="{BF2905C5-0007-47A2-850C-6A3A59009B1B}" name="Weekly Content 1" dataDxfId="272"/>
    <tableColumn id="4" xr3:uid="{87E349A9-C7DB-4B62-AE2D-73DF6FE87FF2}" name="Weekly Content 2" dataDxfId="271"/>
    <tableColumn id="5" xr3:uid="{9335E186-D4FA-4BC9-96F6-48CA2E66C8B8}" name="Weekly Content 3" dataDxfId="270"/>
  </tableColumns>
  <tableStyleInfo name="TableStyleMedium4"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93C3D93-C0B3-4DC1-A2AD-C094B48CCC3E}" name="_5005SPS_Hours" displayName="_5005SPS_Hours" ref="C18:D24" totalsRowShown="0" headerRowDxfId="269" dataDxfId="268">
  <autoFilter ref="C18:D24" xr:uid="{B71A3569-AA65-4A4E-98A2-885F5C38B46D}">
    <filterColumn colId="0" hiddenButton="1"/>
    <filterColumn colId="1" hiddenButton="1"/>
  </autoFilter>
  <tableColumns count="2">
    <tableColumn id="1" xr3:uid="{9CDDC04F-6E44-4B1D-B2F7-BCFB91288FF8}" name="Component" dataDxfId="267"/>
    <tableColumn id="2" xr3:uid="{0A78BA71-0A43-4908-AD5D-EAD433A8F0CB}" name="Contact Hours" dataDxfId="266"/>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74D72A6-497B-41F6-AEDC-764E0477FB4D}" name="_5005SPS_Mapping" displayName="_5005SPS_Mapping" ref="C45:F66" totalsRowShown="0" headerRowDxfId="265" dataDxfId="264">
  <autoFilter ref="C45:F66" xr:uid="{E0A841BB-B6D5-4048-B5F2-18CF9F502EBA}">
    <filterColumn colId="0" hiddenButton="1"/>
    <filterColumn colId="1" hiddenButton="1"/>
    <filterColumn colId="2" hiddenButton="1"/>
    <filterColumn colId="3" hiddenButton="1"/>
  </autoFilter>
  <tableColumns count="4">
    <tableColumn id="1" xr3:uid="{EACDE5D0-DCC0-4C25-9632-DAE8298C79C4}" name="Assessment No" dataDxfId="263"/>
    <tableColumn id="2" xr3:uid="{38F835BE-5EB1-4FFA-8259-BEB6E39C8FA1}" name="LO Number" dataDxfId="262"/>
    <tableColumn id="3" xr3:uid="{C6B979A3-0E5A-464F-B5CD-CBA3047E98BE}" name="Graduate Skills Category" dataDxfId="261"/>
    <tableColumn id="4" xr3:uid="{2D7AD4B8-14A9-4533-A3C6-5E7125BAACC7}" name="Graduate Skill" dataDxfId="260"/>
  </tableColumns>
  <tableStyleInfo name="TableStyleMedium3"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3DFB63D-58AB-47FF-9208-A470E9348B6F}" name="_5005SPS_Aims" displayName="_5005SPS_Aims" ref="F6:F8" totalsRowShown="0" headerRowDxfId="259" dataDxfId="258">
  <autoFilter ref="F6:F8" xr:uid="{9552138F-2332-4BC4-A585-0E13162881A5}"/>
  <tableColumns count="1">
    <tableColumn id="1" xr3:uid="{9E1F2909-CE11-40D2-90E4-0F2548AB10B2}" name="Aims" dataDxfId="257"/>
  </tableColumns>
  <tableStyleInfo name="TableStyleMedium6"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5CFA8ECE-8F57-4ECA-B2A5-317B767EA53F}" name="_5005SPS_Syllabus" displayName="_5005SPS_Syllabus" ref="F10:F13" totalsRowShown="0" headerRowDxfId="256" dataDxfId="255">
  <autoFilter ref="F10:F13" xr:uid="{94F18F67-3F10-4F6E-A953-4FE3399B07F2}"/>
  <tableColumns count="1">
    <tableColumn id="1" xr3:uid="{454BC257-77E7-4C9C-B231-D65E8EE20325}" name="Outline Syllabus" dataDxfId="254"/>
  </tableColumns>
  <tableStyleInfo name="TableStyleMedium6"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CDE255B-3A1A-451C-A13C-91436E9FCF71}" name="_5005SPS_Overview" displayName="_5005SPS_Overview" ref="F15:F20" totalsRowShown="0" headerRowDxfId="253" dataDxfId="252">
  <autoFilter ref="F15:F20" xr:uid="{1B2BCD7B-6C15-4B1C-86BC-48FF83D8F225}"/>
  <tableColumns count="1">
    <tableColumn id="1" xr3:uid="{D37E1C0D-C9AF-4C78-BCFF-8B2CE993F50A}" name="Module Overview" dataDxfId="251"/>
  </tableColumns>
  <tableStyleInfo name="TableStyleMedium6"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1D041108-8D42-47AB-9472-C648C6F01A1B}" name="_5005SPS_Notes" displayName="_5005SPS_Notes" ref="F22:F33" totalsRowShown="0" headerRowDxfId="250" dataDxfId="249">
  <autoFilter ref="F22:F33" xr:uid="{D5968C0A-6D7E-4221-87EE-78A85A4039B3}"/>
  <tableColumns count="1">
    <tableColumn id="1" xr3:uid="{E8342C1A-2B62-4E1C-B80B-B12917066000}" name="Additional Information/Notes" dataDxfId="248"/>
  </tableColumns>
  <tableStyleInfo name="TableStyleMedium6"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5DC69C9-BE42-468F-B2BB-4E80EFAA9DB8}" name="_6003SPS_Meta" displayName="_6003SPS_Meta" ref="C6:D14" totalsRowShown="0" headerRowDxfId="247" dataDxfId="246">
  <autoFilter ref="C6:D14" xr:uid="{CD75D2A7-14B1-4ABD-B64D-6E875F9BC652}">
    <filterColumn colId="0" hiddenButton="1"/>
    <filterColumn colId="1" hiddenButton="1"/>
  </autoFilter>
  <tableColumns count="2">
    <tableColumn id="1" xr3:uid="{EB65BA05-1DE9-4FD7-BDBD-BDE47DF298A4}" name="Module Data" dataDxfId="245"/>
    <tableColumn id="2" xr3:uid="{310F2A93-D88D-4CC8-AC0C-C016B97380F6}" name="Details" dataDxfId="244"/>
  </tableColumns>
  <tableStyleInfo name="TableStyleMedium6"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0EF7517-CDCA-4E4C-9047-154277CCFA43}" name="_6003SPS_LO" displayName="_6003SPS_LO" ref="C28:D33" totalsRowShown="0" headerRowDxfId="243" dataDxfId="242">
  <autoFilter ref="C28:D33" xr:uid="{22316987-6BEB-4FAF-9619-BF9BE9909CFA}">
    <filterColumn colId="0" hiddenButton="1"/>
    <filterColumn colId="1" hiddenButton="1"/>
  </autoFilter>
  <tableColumns count="2">
    <tableColumn id="1" xr3:uid="{2DA2E0DF-8487-4F48-AD57-6C8EF1F6A824}" name="LO Number" dataDxfId="241"/>
    <tableColumn id="2" xr3:uid="{5F671E3D-DB5F-4A86-A8E8-215D497F640F}" name="LO Description" dataDxfId="240"/>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1BB2DB77-32B9-47E3-B172-5236610AB17A}" name="_6003SPS_Assess" displayName="_6003SPS_Assess" ref="C37:H41" totalsRowShown="0" headerRowDxfId="239" dataDxfId="23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786E370-A6E2-472B-A06D-0B294D362273}" name="Assessment No" dataDxfId="237"/>
    <tableColumn id="2" xr3:uid="{99037CEE-E227-4DE7-AC0C-42C69784F090}" name="Assessment Type" dataDxfId="236"/>
    <tableColumn id="7" xr3:uid="{EE90A0B1-86AF-42EC-AB37-5E98D709E3E4}" name="Assessment Specific" dataDxfId="235"/>
    <tableColumn id="3" xr3:uid="{8B0C1721-2FDC-4C1A-AECE-975C6F1434A1}" name="Assessment Description" dataDxfId="234"/>
    <tableColumn id="4" xr3:uid="{876D72EC-520F-497B-8AC7-6AF0A5409783}" name="Weighting" dataDxfId="233"/>
    <tableColumn id="5" xr3:uid="{31A1A910-0DF5-428E-806F-6E026C606C3B}" name="Due Week" dataDxfId="232"/>
  </tableColumns>
  <tableStyleInfo name="TableStyleMedium3"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407C2B80-44A8-4EFD-ACE8-01F8593CF4E1}" name="_6003SPS_Weekly" displayName="_6003SPS_Weekly" ref="B70:F94" totalsRowShown="0" headerRowDxfId="231" dataDxfId="23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F8C77D5A-A698-44A7-A4E3-08630D8FD36A}" name="Semester " dataDxfId="229"/>
    <tableColumn id="2" xr3:uid="{8C49AFEC-B460-42E3-B373-FC0AB260F379}" name="Week Number" dataDxfId="228"/>
    <tableColumn id="3" xr3:uid="{A81B53B3-7EE2-4FDF-9110-0A8C17CA27E0}" name="Weekly Content 1" dataDxfId="227"/>
    <tableColumn id="4" xr3:uid="{362C63E5-C442-416C-9DB4-4F34D3EDDEF3}" name="Weekly Content 2" dataDxfId="226"/>
    <tableColumn id="5" xr3:uid="{E3C14089-4743-4CA8-9480-E777866BAF64}" name="Weekly Content 3" dataDxfId="225"/>
  </tableColumns>
  <tableStyleInfo name="TableStyleMedium4"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6A30B449-6643-4D56-A6EF-AE96296A3D03}" name="_6003SPS_Hours" displayName="_6003SPS_Hours" ref="C18:D24" totalsRowShown="0" headerRowDxfId="224" dataDxfId="223">
  <autoFilter ref="C18:D24" xr:uid="{B71A3569-AA65-4A4E-98A2-885F5C38B46D}">
    <filterColumn colId="0" hiddenButton="1"/>
    <filterColumn colId="1" hiddenButton="1"/>
  </autoFilter>
  <tableColumns count="2">
    <tableColumn id="1" xr3:uid="{7C918E81-2521-4CC2-B784-37E43EEC3CDD}" name="Component" dataDxfId="222"/>
    <tableColumn id="2" xr3:uid="{0D2A69D7-E2F7-4C5C-8E4D-714C66054E76}" name="Contact Hours" dataDxfId="221"/>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723641A-ADF0-4C69-969E-9516C86FC569}" name="_6003SPS_Mapping" displayName="_6003SPS_Mapping" ref="C45:F66" totalsRowShown="0" headerRowDxfId="220" dataDxfId="219">
  <autoFilter ref="C45:F66" xr:uid="{E0A841BB-B6D5-4048-B5F2-18CF9F502EBA}">
    <filterColumn colId="0" hiddenButton="1"/>
    <filterColumn colId="1" hiddenButton="1"/>
    <filterColumn colId="2" hiddenButton="1"/>
    <filterColumn colId="3" hiddenButton="1"/>
  </autoFilter>
  <tableColumns count="4">
    <tableColumn id="1" xr3:uid="{B6420078-6983-409A-AD6E-9EAEEF45A138}" name="Assessment No" dataDxfId="218"/>
    <tableColumn id="2" xr3:uid="{8D3D6147-F8A2-4D54-BC97-772B8CE44EA3}" name="LO Number" dataDxfId="217"/>
    <tableColumn id="3" xr3:uid="{C41D8ED0-797F-45E8-B847-5F5796F9B51E}" name="Graduate Skills Category" dataDxfId="216"/>
    <tableColumn id="4" xr3:uid="{28997C86-0364-497D-A258-1C7BA682BCAA}" name="Graduate Skill" dataDxfId="215"/>
  </tableColumns>
  <tableStyleInfo name="TableStyleMedium3"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7BE3C87-0560-4F04-B07A-C606EE2CC56D}" name="_6003SPS_Aims" displayName="_6003SPS_Aims" ref="F6:F8" totalsRowShown="0" headerRowDxfId="214" dataDxfId="213">
  <autoFilter ref="F6:F8" xr:uid="{9552138F-2332-4BC4-A585-0E13162881A5}"/>
  <tableColumns count="1">
    <tableColumn id="1" xr3:uid="{3E728AAA-21E1-43D6-98EC-781D610D5B5C}" name="Aims" dataDxfId="212"/>
  </tableColumns>
  <tableStyleInfo name="TableStyleMedium6"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24DBD723-9435-4154-9659-24C8E488A767}" name="_6003SPS_Syllabus" displayName="_6003SPS_Syllabus" ref="F10:F13" totalsRowShown="0" headerRowDxfId="211" dataDxfId="210">
  <autoFilter ref="F10:F13" xr:uid="{94F18F67-3F10-4F6E-A953-4FE3399B07F2}"/>
  <tableColumns count="1">
    <tableColumn id="1" xr3:uid="{CAFF733E-EEBF-4C10-ACD1-A6DDCD33C63A}" name="Outline Syllabus" dataDxfId="209"/>
  </tableColumns>
  <tableStyleInfo name="TableStyleMedium6"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C47F6AB6-EF50-4395-B0F7-E6C315358556}" name="_6003SPS_Overview" displayName="_6003SPS_Overview" ref="F15:F20" totalsRowShown="0" headerRowDxfId="208" dataDxfId="207">
  <autoFilter ref="F15:F20" xr:uid="{1B2BCD7B-6C15-4B1C-86BC-48FF83D8F225}"/>
  <tableColumns count="1">
    <tableColumn id="1" xr3:uid="{3D131B43-1A6C-42C4-B635-F81D00AEF103}" name="Module Overview" dataDxfId="206"/>
  </tableColumns>
  <tableStyleInfo name="TableStyleMedium6"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759B136A-3D50-4F87-9E82-4E8BACD02961}" name="_6003SPS_Notes" displayName="_6003SPS_Notes" ref="F22:F33" totalsRowShown="0" headerRowDxfId="205" dataDxfId="204">
  <autoFilter ref="F22:F33" xr:uid="{D5968C0A-6D7E-4221-87EE-78A85A4039B3}"/>
  <tableColumns count="1">
    <tableColumn id="1" xr3:uid="{DBD01D3B-64A5-4A59-96FF-8858AB682507}" name="Additional Information/Notes" dataDxfId="203"/>
  </tableColumns>
  <tableStyleInfo name="TableStyleMedium6"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270F11D-EB2D-4D37-A0C7-A548812199C3}" name="_6004SPS_Meta" displayName="_6004SPS_Meta" ref="C6:D14" totalsRowShown="0" headerRowDxfId="202" dataDxfId="201">
  <autoFilter ref="C6:D14" xr:uid="{CD75D2A7-14B1-4ABD-B64D-6E875F9BC652}">
    <filterColumn colId="0" hiddenButton="1"/>
    <filterColumn colId="1" hiddenButton="1"/>
  </autoFilter>
  <tableColumns count="2">
    <tableColumn id="1" xr3:uid="{29D4E0BE-5C0F-4EF3-BF95-85E95BCEF890}" name="Module Data" dataDxfId="200"/>
    <tableColumn id="2" xr3:uid="{8CF62EB8-FFB4-436A-9EE3-575FDB15387F}" name="Details" dataDxfId="199"/>
  </tableColumns>
  <tableStyleInfo name="TableStyleMedium6"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237020EB-E434-4CF8-BA7F-AAE80EFFA7DE}" name="_6004SPS_LO" displayName="_6004SPS_LO" ref="C28:D33" totalsRowShown="0" headerRowDxfId="198" dataDxfId="197">
  <autoFilter ref="C28:D33" xr:uid="{22316987-6BEB-4FAF-9619-BF9BE9909CFA}">
    <filterColumn colId="0" hiddenButton="1"/>
    <filterColumn colId="1" hiddenButton="1"/>
  </autoFilter>
  <tableColumns count="2">
    <tableColumn id="1" xr3:uid="{ABACB5F8-1C23-4668-B7BA-EF2517F6F237}" name="LO Number" dataDxfId="196"/>
    <tableColumn id="2" xr3:uid="{16EFEC94-FB26-48E6-A1CD-F272E329A036}" name="LO Description" dataDxfId="195"/>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D1E80F96-254A-4374-9350-7B1F947FEA77}" name="_6004SPS_Assess" displayName="_6004SPS_Assess" ref="C37:H41" totalsRowShown="0" headerRowDxfId="194" dataDxfId="19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0550122-E287-466F-A05A-EEEF3BC2A7B1}" name="Assessment No" dataDxfId="192"/>
    <tableColumn id="2" xr3:uid="{2BC12B11-B6CF-4E7C-B492-9E71A2A4DCFC}" name="Assessment Type" dataDxfId="191"/>
    <tableColumn id="7" xr3:uid="{F22466C0-E91B-4130-82AB-931BDD5DAFD5}" name="Assessment Specific" dataDxfId="190"/>
    <tableColumn id="3" xr3:uid="{A2D2688F-0CD2-442B-B2C4-399FA320B460}" name="Assessment Description" dataDxfId="189"/>
    <tableColumn id="4" xr3:uid="{9C3172F4-207C-490E-A1A4-3782CCE0F62E}" name="Weighting" dataDxfId="188"/>
    <tableColumn id="5" xr3:uid="{5D552087-F8C1-4DC6-AB58-461CAA57A675}" name="Due Week" dataDxfId="187"/>
  </tableColumns>
  <tableStyleInfo name="TableStyleMedium3"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A4E79B66-A399-44F9-AC05-30A8D8E4EFFC}" name="_6004SPS_Weekly" displayName="_6004SPS_Weekly" ref="B70:F94" totalsRowShown="0" headerRowDxfId="186" dataDxfId="18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761211FD-07C5-4C60-8E49-B011DF71603B}" name="Semester " dataDxfId="184"/>
    <tableColumn id="2" xr3:uid="{C3767A97-7DDC-4C9C-BAA0-36AD5C496EEE}" name="Week Number" dataDxfId="183"/>
    <tableColumn id="3" xr3:uid="{ECEBB099-0848-4BF9-A0F1-A91B05144BDE}" name="Weekly Content 1" dataDxfId="182"/>
    <tableColumn id="4" xr3:uid="{C2073020-3A29-4533-9629-7F40A8DD2B8B}" name="Weekly Content 2" dataDxfId="181"/>
    <tableColumn id="5" xr3:uid="{6345D17D-CE7F-4BE7-9354-5B3222EE1FDE}" name="Weekly Content 3" dataDxfId="180"/>
  </tableColumns>
  <tableStyleInfo name="TableStyleMedium4"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BDFBF6B0-B509-44BE-828C-EF93C1923EC6}" name="_6004SPS_Hours" displayName="_6004SPS_Hours" ref="C18:D24" totalsRowShown="0" headerRowDxfId="179" dataDxfId="178">
  <autoFilter ref="C18:D24" xr:uid="{B71A3569-AA65-4A4E-98A2-885F5C38B46D}">
    <filterColumn colId="0" hiddenButton="1"/>
    <filterColumn colId="1" hiddenButton="1"/>
  </autoFilter>
  <tableColumns count="2">
    <tableColumn id="1" xr3:uid="{B46B0870-C95C-4D4E-B01A-05CA40485288}" name="Component" dataDxfId="177"/>
    <tableColumn id="2" xr3:uid="{A34E191B-0F4D-40A9-98C4-DFC5C0ED5B03}" name="Contact Hours" dataDxfId="176"/>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F74075A1-DA58-473A-9E54-24D876995322}" name="_6004SPS_Mapping" displayName="_6004SPS_Mapping" ref="C45:F66" totalsRowShown="0" headerRowDxfId="175" dataDxfId="174">
  <autoFilter ref="C45:F66" xr:uid="{E0A841BB-B6D5-4048-B5F2-18CF9F502EBA}">
    <filterColumn colId="0" hiddenButton="1"/>
    <filterColumn colId="1" hiddenButton="1"/>
    <filterColumn colId="2" hiddenButton="1"/>
    <filterColumn colId="3" hiddenButton="1"/>
  </autoFilter>
  <tableColumns count="4">
    <tableColumn id="1" xr3:uid="{33F03CAC-37A3-4CB5-BBBE-230DBDFC5B6B}" name="Assessment No" dataDxfId="173"/>
    <tableColumn id="2" xr3:uid="{D948967E-B1D8-422E-BC05-E5DE64BFE116}" name="LO Number" dataDxfId="172"/>
    <tableColumn id="3" xr3:uid="{41BBFD1D-FBB9-4518-8884-EB40901F4694}" name="Graduate Skills Category" dataDxfId="171"/>
    <tableColumn id="4" xr3:uid="{913662D7-6EF1-491B-A990-50699C27238F}" name="Graduate Skill" dataDxfId="170"/>
  </tableColumns>
  <tableStyleInfo name="TableStyleMedium3"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5AE026F8-16C4-406D-B110-7288CB09E506}" name="_6004SPS_Aims" displayName="_6004SPS_Aims" ref="F6:F8" totalsRowShown="0" headerRowDxfId="169" dataDxfId="168">
  <autoFilter ref="F6:F8" xr:uid="{9552138F-2332-4BC4-A585-0E13162881A5}"/>
  <tableColumns count="1">
    <tableColumn id="1" xr3:uid="{2CF6523F-40A9-456F-8FAA-4363371E379D}" name="Aims" dataDxfId="167"/>
  </tableColumns>
  <tableStyleInfo name="TableStyleMedium6"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E8C1BBC-E995-4B58-8CC6-9D5E3880A081}" name="_6004SPS_Syllabus" displayName="_6004SPS_Syllabus" ref="F10:F13" totalsRowShown="0" headerRowDxfId="166" dataDxfId="165">
  <autoFilter ref="F10:F13" xr:uid="{94F18F67-3F10-4F6E-A953-4FE3399B07F2}"/>
  <tableColumns count="1">
    <tableColumn id="1" xr3:uid="{5BDD719A-56F8-4CFB-8C2B-B09D9EFEEBC9}" name="Outline Syllabus" dataDxfId="164"/>
  </tableColumns>
  <tableStyleInfo name="TableStyleMedium6"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3B6B7C2B-C63A-4C91-BFC7-FEAD7D7A4AAB}" name="_6004SPS_Overview" displayName="_6004SPS_Overview" ref="F15:F20" totalsRowShown="0" headerRowDxfId="163" dataDxfId="162">
  <autoFilter ref="F15:F20" xr:uid="{1B2BCD7B-6C15-4B1C-86BC-48FF83D8F225}"/>
  <tableColumns count="1">
    <tableColumn id="1" xr3:uid="{6FA2E212-5F86-4DAE-AF6E-5A52409DCB13}" name="Module Overview" dataDxfId="161"/>
  </tableColumns>
  <tableStyleInfo name="TableStyleMedium6"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8EDE4E8-58B3-4823-B749-470799FC0595}" name="_6004SPS_Notes" displayName="_6004SPS_Notes" ref="F22:F33" totalsRowShown="0" headerRowDxfId="160" dataDxfId="159">
  <autoFilter ref="F22:F33" xr:uid="{D5968C0A-6D7E-4221-87EE-78A85A4039B3}"/>
  <tableColumns count="1">
    <tableColumn id="1" xr3:uid="{8FE8F154-AB86-4DDE-9840-555725F99393}" name="Additional Information/Notes" dataDxfId="158"/>
  </tableColumns>
  <tableStyleInfo name="TableStyleMedium6"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B3195DA-61BF-4DC3-AA26-8375196AC911}" name="_6007SPS_Meta" displayName="_6007SPS_Meta" ref="C6:D14" totalsRowShown="0" headerRowDxfId="157" dataDxfId="156">
  <autoFilter ref="C6:D14" xr:uid="{CD75D2A7-14B1-4ABD-B64D-6E875F9BC652}">
    <filterColumn colId="0" hiddenButton="1"/>
    <filterColumn colId="1" hiddenButton="1"/>
  </autoFilter>
  <tableColumns count="2">
    <tableColumn id="1" xr3:uid="{259296C2-F94D-4D8E-8A48-375C8B32976A}" name="Module Data" dataDxfId="155"/>
    <tableColumn id="2" xr3:uid="{FBE26AB7-C871-483E-8BF5-3102A6CBA6A9}" name="Details" dataDxfId="154"/>
  </tableColumns>
  <tableStyleInfo name="TableStyleMedium6"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B0C6758-C764-42DF-8334-275486F59160}" name="_6007SPS_LO" displayName="_6007SPS_LO" ref="C28:D33" totalsRowShown="0" headerRowDxfId="153" dataDxfId="152">
  <autoFilter ref="C28:D33" xr:uid="{22316987-6BEB-4FAF-9619-BF9BE9909CFA}">
    <filterColumn colId="0" hiddenButton="1"/>
    <filterColumn colId="1" hiddenButton="1"/>
  </autoFilter>
  <tableColumns count="2">
    <tableColumn id="1" xr3:uid="{A4A042E5-B73A-4E95-83BE-374230EAEF75}" name="LO Number" dataDxfId="151"/>
    <tableColumn id="2" xr3:uid="{4CC50DE2-34DC-4FAA-BB54-72EB81C5A918}" name="LO Description" dataDxfId="150"/>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3825F8F9-FE98-45C9-AC62-4DE90913B2D5}" name="_6007SPS_Assess" displayName="_6007SPS_Assess" ref="C37:H41" totalsRowShown="0" headerRowDxfId="149" dataDxfId="14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B86A69A5-1E61-43A0-B8A8-D409B7E2AEA6}" name="Assessment No" dataDxfId="147"/>
    <tableColumn id="2" xr3:uid="{846FFE48-B8E8-4A55-98C3-5451769A8EB5}" name="Assessment Type" dataDxfId="146"/>
    <tableColumn id="7" xr3:uid="{82AE06D6-F94C-441D-B6C3-297200BD5794}" name="Assessment Specific" dataDxfId="145"/>
    <tableColumn id="3" xr3:uid="{FEAAD1E7-46DD-4E01-9EEE-AB9037A04A09}" name="Assessment Description" dataDxfId="144"/>
    <tableColumn id="4" xr3:uid="{C4BFD846-DFE3-41AB-966C-3EFB00B2A790}" name="Weighting" dataDxfId="143"/>
    <tableColumn id="5" xr3:uid="{476F5563-CB55-4B33-88F8-D363824819FD}" name="Due Week" dataDxfId="142"/>
  </tableColumns>
  <tableStyleInfo name="TableStyleMedium3"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D46EDFDA-9AB0-4331-B17D-30F807C2D6D5}" name="_6007SPS_Weekly" displayName="_6007SPS_Weekly" ref="B70:F94" totalsRowShown="0" headerRowDxfId="141" dataDxfId="14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68B6C85-E233-4451-9163-94A920B533E6}" name="Semester " dataDxfId="139"/>
    <tableColumn id="2" xr3:uid="{B9620A06-7C82-4FF4-995F-02655A14B62E}" name="Week Number" dataDxfId="138"/>
    <tableColumn id="3" xr3:uid="{90BEA63A-0B10-4F26-B07B-76B2D9A73B94}" name="Weekly Content 1" dataDxfId="137"/>
    <tableColumn id="4" xr3:uid="{BA0A787E-3BAF-4419-9436-D40693419273}" name="Weekly Content 2" dataDxfId="136"/>
    <tableColumn id="5" xr3:uid="{3E95C25D-5EE2-483B-B9C6-B69D6222BD63}" name="Weekly Content 3" dataDxfId="135"/>
  </tableColumns>
  <tableStyleInfo name="TableStyleMedium4"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7F0130C-63E7-417A-B41E-9C3A0D03AD17}" name="_6007SPS_Hours" displayName="_6007SPS_Hours" ref="C18:D24" totalsRowShown="0" headerRowDxfId="134" dataDxfId="133">
  <autoFilter ref="C18:D24" xr:uid="{B71A3569-AA65-4A4E-98A2-885F5C38B46D}">
    <filterColumn colId="0" hiddenButton="1"/>
    <filterColumn colId="1" hiddenButton="1"/>
  </autoFilter>
  <tableColumns count="2">
    <tableColumn id="1" xr3:uid="{17D1F957-8C58-47BC-9BD8-09011C101FC1}" name="Component" dataDxfId="132"/>
    <tableColumn id="2" xr3:uid="{F76831A8-1692-44D6-9D6D-3D5E7EBE7CB7}" name="Contact Hours" dataDxfId="131"/>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6E2263C1-7862-4289-A529-F692C072B024}" name="_6007SPS_Mapping" displayName="_6007SPS_Mapping" ref="C45:F66" totalsRowShown="0" headerRowDxfId="130" dataDxfId="129">
  <autoFilter ref="C45:F66" xr:uid="{E0A841BB-B6D5-4048-B5F2-18CF9F502EBA}">
    <filterColumn colId="0" hiddenButton="1"/>
    <filterColumn colId="1" hiddenButton="1"/>
    <filterColumn colId="2" hiddenButton="1"/>
    <filterColumn colId="3" hiddenButton="1"/>
  </autoFilter>
  <tableColumns count="4">
    <tableColumn id="1" xr3:uid="{5FF07F7A-0B59-4A66-94E8-2AA6F3FABE01}" name="Assessment No" dataDxfId="128"/>
    <tableColumn id="2" xr3:uid="{AFA09957-495C-47A6-9409-B82CF20C9FEE}" name="LO Number" dataDxfId="127"/>
    <tableColumn id="3" xr3:uid="{4A6EF506-39E0-4A77-AB9A-A419A13B11BA}" name="Graduate Skills Category" dataDxfId="126"/>
    <tableColumn id="4" xr3:uid="{1CC8553E-650D-4CC9-BCBD-8A5C77CF26BC}" name="Graduate Skill" dataDxfId="125"/>
  </tableColumns>
  <tableStyleInfo name="TableStyleMedium3"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F218F218-BF90-416D-B952-D9393923801D}" name="_6007SPS_Aims" displayName="_6007SPS_Aims" ref="F6:F8" totalsRowShown="0" headerRowDxfId="124" dataDxfId="123">
  <autoFilter ref="F6:F8" xr:uid="{9552138F-2332-4BC4-A585-0E13162881A5}"/>
  <tableColumns count="1">
    <tableColumn id="1" xr3:uid="{8B84DA76-C73A-484B-AB85-93CE53A85FF5}" name="Aims" dataDxfId="122"/>
  </tableColumns>
  <tableStyleInfo name="TableStyleMedium6"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405DABE-6D82-46AB-84E5-8BBBD87BD0BB}" name="_6007SPS_Syllabus" displayName="_6007SPS_Syllabus" ref="F10:F13" totalsRowShown="0" headerRowDxfId="121" dataDxfId="120">
  <autoFilter ref="F10:F13" xr:uid="{94F18F67-3F10-4F6E-A953-4FE3399B07F2}"/>
  <tableColumns count="1">
    <tableColumn id="1" xr3:uid="{7BB23C35-AB5C-4E42-B2E9-C41B68F5AF1F}" name="Outline Syllabus" dataDxfId="119"/>
  </tableColumns>
  <tableStyleInfo name="TableStyleMedium6"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7AFB107C-53D3-4975-A4F4-CAB65BC99D03}" name="_6007SPS_Overview" displayName="_6007SPS_Overview" ref="F15:F20" totalsRowShown="0" headerRowDxfId="118" dataDxfId="117">
  <autoFilter ref="F15:F20" xr:uid="{1B2BCD7B-6C15-4B1C-86BC-48FF83D8F225}"/>
  <tableColumns count="1">
    <tableColumn id="1" xr3:uid="{A7EAB096-E6DB-40BE-B37B-256679A7DD5C}" name="Module Overview" dataDxfId="116"/>
  </tableColumns>
  <tableStyleInfo name="TableStyleMedium6"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D37E2A52-3152-415A-95CE-C4D6FD7B7CAC}" name="_6007SPS_Notes" displayName="_6007SPS_Notes" ref="F22:F33" totalsRowShown="0" headerRowDxfId="115" dataDxfId="114">
  <autoFilter ref="F22:F33" xr:uid="{D5968C0A-6D7E-4221-87EE-78A85A4039B3}"/>
  <tableColumns count="1">
    <tableColumn id="1" xr3:uid="{C72ADE2C-BCB8-499B-B1B7-EDB3A3B2FE5B}" name="Additional Information/Notes" dataDxfId="113"/>
  </tableColumns>
  <tableStyleInfo name="TableStyleMedium6"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40940089-4244-43F1-B97C-810AAAE444CF}" name="_6008SPS_Meta" displayName="_6008SPS_Meta" ref="C6:D14" totalsRowShown="0" headerRowDxfId="112" dataDxfId="111">
  <autoFilter ref="C6:D14" xr:uid="{CD75D2A7-14B1-4ABD-B64D-6E875F9BC652}">
    <filterColumn colId="0" hiddenButton="1"/>
    <filterColumn colId="1" hiddenButton="1"/>
  </autoFilter>
  <tableColumns count="2">
    <tableColumn id="1" xr3:uid="{070BBF13-BA41-4DE1-A713-FB0E8630711C}" name="Module Data" dataDxfId="110"/>
    <tableColumn id="2" xr3:uid="{0E3F0926-B28A-4EA7-AAE9-E35BEC0A4DF5}" name="Details" dataDxfId="109"/>
  </tableColumns>
  <tableStyleInfo name="TableStyleMedium6"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696BD3D-C247-4096-9138-5992AFD94B43}" name="_6008SPS_LO" displayName="_6008SPS_LO" ref="C28:D33" totalsRowShown="0" headerRowDxfId="108" dataDxfId="107">
  <autoFilter ref="C28:D33" xr:uid="{22316987-6BEB-4FAF-9619-BF9BE9909CFA}">
    <filterColumn colId="0" hiddenButton="1"/>
    <filterColumn colId="1" hiddenButton="1"/>
  </autoFilter>
  <tableColumns count="2">
    <tableColumn id="1" xr3:uid="{6088F306-C9B4-4ED7-9EEC-A674129ECCC9}" name="LO Number" dataDxfId="106"/>
    <tableColumn id="2" xr3:uid="{43834854-BE01-444E-8E1C-AE64963B358A}" name="LO Description" dataDxfId="105"/>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F396ADA4-3F6E-4C44-8B94-249567CBD6BD}" name="_6008SPS_Assess" displayName="_6008SPS_Assess" ref="C37:H41" totalsRowShown="0" headerRowDxfId="104" dataDxfId="10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2E1276A-52B5-424B-9BBA-9CC123ECC641}" name="Assessment No" dataDxfId="102"/>
    <tableColumn id="2" xr3:uid="{E2407AF6-3C98-4FD1-B31B-CB85A955F2E3}" name="Assessment Type" dataDxfId="101"/>
    <tableColumn id="7" xr3:uid="{803004E8-4057-430E-BD7F-E6A122487416}" name="Assessment Specific" dataDxfId="100"/>
    <tableColumn id="3" xr3:uid="{E82EABFF-0858-4F25-A741-AD63FC636934}" name="Assessment Description" dataDxfId="99"/>
    <tableColumn id="4" xr3:uid="{C435B8B1-D65F-4F43-8C3B-45550CBDD4FC}" name="Weighting" dataDxfId="98"/>
    <tableColumn id="5" xr3:uid="{03FBD12C-63B3-45F3-8CCB-172C1C96BB7E}" name="Due Week" dataDxfId="97"/>
  </tableColumns>
  <tableStyleInfo name="TableStyleMedium3"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8359A26-B512-45F8-8655-ACB9669F3576}" name="_6008SPS_Weekly" displayName="_6008SPS_Weekly" ref="B70:F94" totalsRowShown="0" headerRowDxfId="96" dataDxfId="9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92701B6C-B731-4332-A2BC-EDB90DA0F8C9}" name="Semester " dataDxfId="94"/>
    <tableColumn id="2" xr3:uid="{0DEEBD8D-895D-4DB2-9CAB-767B56867428}" name="Week Number" dataDxfId="93"/>
    <tableColumn id="3" xr3:uid="{7E2D8092-2899-4612-BA2F-D50BF49F0F02}" name="Weekly Content 1" dataDxfId="92"/>
    <tableColumn id="4" xr3:uid="{543E0828-8F90-405C-8DC4-A27DEA150475}" name="Weekly Content 2" dataDxfId="91"/>
    <tableColumn id="5" xr3:uid="{CFCB0F41-D4BE-4456-B805-D7551BF9E83C}" name="Weekly Content 3" dataDxfId="90"/>
  </tableColumns>
  <tableStyleInfo name="TableStyleMedium4"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AE8A534E-D29F-4551-AB97-6D70C45149F5}" name="_6008SPS_Hours" displayName="_6008SPS_Hours" ref="C18:D24" totalsRowShown="0" headerRowDxfId="89" dataDxfId="88">
  <autoFilter ref="C18:D24" xr:uid="{B71A3569-AA65-4A4E-98A2-885F5C38B46D}">
    <filterColumn colId="0" hiddenButton="1"/>
    <filterColumn colId="1" hiddenButton="1"/>
  </autoFilter>
  <tableColumns count="2">
    <tableColumn id="1" xr3:uid="{A95790DB-8258-4803-8284-4A4A89FC1A81}" name="Component" dataDxfId="87"/>
    <tableColumn id="2" xr3:uid="{F8CDBB8B-28A2-40B8-8AB1-6707537C499B}" name="Contact Hours" dataDxfId="86"/>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6D173C9-B42C-49E7-9D87-A5745A22D1C2}" name="_6008SPS_Mapping" displayName="_6008SPS_Mapping" ref="C45:F66" totalsRowShown="0" headerRowDxfId="85" dataDxfId="84">
  <autoFilter ref="C45:F66" xr:uid="{E0A841BB-B6D5-4048-B5F2-18CF9F502EBA}">
    <filterColumn colId="0" hiddenButton="1"/>
    <filterColumn colId="1" hiddenButton="1"/>
    <filterColumn colId="2" hiddenButton="1"/>
    <filterColumn colId="3" hiddenButton="1"/>
  </autoFilter>
  <tableColumns count="4">
    <tableColumn id="1" xr3:uid="{01E2F7EB-60A0-4C13-A872-0336F07EDF9F}" name="Assessment No" dataDxfId="83"/>
    <tableColumn id="2" xr3:uid="{0A9CFE48-B3C3-4D3C-9F56-3062488E96D8}" name="LO Number" dataDxfId="82"/>
    <tableColumn id="3" xr3:uid="{F14AC592-27AF-4E15-B730-92515D2D5861}" name="Graduate Skills Category" dataDxfId="81"/>
    <tableColumn id="4" xr3:uid="{33BA90E8-AAD8-435C-9AC1-A549EDBF7228}" name="Graduate Skill" dataDxfId="80"/>
  </tableColumns>
  <tableStyleInfo name="TableStyleMedium3"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059C37A-58BE-4D59-894C-B91B91BF8452}" name="_6008SPS_Aims" displayName="_6008SPS_Aims" ref="F6:F8" totalsRowShown="0" headerRowDxfId="79" dataDxfId="78">
  <autoFilter ref="F6:F8" xr:uid="{9552138F-2332-4BC4-A585-0E13162881A5}"/>
  <tableColumns count="1">
    <tableColumn id="1" xr3:uid="{95B55738-9EA9-42EF-9542-C1E475114357}" name="Aims" dataDxfId="77"/>
  </tableColumns>
  <tableStyleInfo name="TableStyleMedium6"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D10F85BC-1345-43FC-B85A-FF83FDB98376}" name="_6008SPS_Syllabus" displayName="_6008SPS_Syllabus" ref="F10:F13" totalsRowShown="0" headerRowDxfId="76" dataDxfId="75">
  <autoFilter ref="F10:F13" xr:uid="{94F18F67-3F10-4F6E-A953-4FE3399B07F2}"/>
  <tableColumns count="1">
    <tableColumn id="1" xr3:uid="{773F3BC1-153C-4CA9-9626-F7014E9C09FC}" name="Outline Syllabus" dataDxfId="74"/>
  </tableColumns>
  <tableStyleInfo name="TableStyleMedium6"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9361160D-E085-4AC4-8943-5386B5E8545C}" name="_6008SPS_Overview" displayName="_6008SPS_Overview" ref="F15:F20" totalsRowShown="0" headerRowDxfId="73" dataDxfId="72">
  <autoFilter ref="F15:F20" xr:uid="{1B2BCD7B-6C15-4B1C-86BC-48FF83D8F225}"/>
  <tableColumns count="1">
    <tableColumn id="1" xr3:uid="{5AB497BE-0287-4B15-828E-068ECF632096}" name="Module Overview" dataDxfId="71"/>
  </tableColumns>
  <tableStyleInfo name="TableStyleMedium6"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2BD2469B-FE6E-4B79-8C1A-DBD7F029C0E0}" name="_6008SPS_Notes" displayName="_6008SPS_Notes" ref="F22:F33" totalsRowShown="0" headerRowDxfId="70" dataDxfId="69">
  <autoFilter ref="F22:F33" xr:uid="{D5968C0A-6D7E-4221-87EE-78A85A4039B3}"/>
  <tableColumns count="1">
    <tableColumn id="1" xr3:uid="{050403C8-321F-4DA4-B6C6-73EFBF9C2B3A}" name="Additional Information/Notes" dataDxfId="68"/>
  </tableColumns>
  <tableStyleInfo name="TableStyleMedium6"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624550D8-3246-406D-9203-C76D3E1169A8}" name="_6006SPS_Meta" displayName="_6006SPS_Meta" ref="C6:D14" totalsRowShown="0" headerRowDxfId="67" dataDxfId="66">
  <autoFilter ref="C6:D14" xr:uid="{CD75D2A7-14B1-4ABD-B64D-6E875F9BC652}">
    <filterColumn colId="0" hiddenButton="1"/>
    <filterColumn colId="1" hiddenButton="1"/>
  </autoFilter>
  <tableColumns count="2">
    <tableColumn id="1" xr3:uid="{F75C39EB-FA62-46B2-BBD7-C15273288588}" name="Module Data" dataDxfId="65"/>
    <tableColumn id="2" xr3:uid="{AFAD978E-7AB7-41A9-B9E1-ABF4834D59E6}" name="Details" dataDxfId="64"/>
  </tableColumns>
  <tableStyleInfo name="TableStyleMedium6"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B3A0DF70-76CC-43CC-B01A-C5B9F6018DA1}" name="_6006SPS_LO" displayName="_6006SPS_LO" ref="C28:D33" totalsRowShown="0" headerRowDxfId="63" dataDxfId="62">
  <autoFilter ref="C28:D33" xr:uid="{22316987-6BEB-4FAF-9619-BF9BE9909CFA}">
    <filterColumn colId="0" hiddenButton="1"/>
    <filterColumn colId="1" hiddenButton="1"/>
  </autoFilter>
  <tableColumns count="2">
    <tableColumn id="1" xr3:uid="{03889838-3692-4CDB-B3C9-843AC2EB8510}" name="LO Number" dataDxfId="61"/>
    <tableColumn id="2" xr3:uid="{EBF4F997-F685-4171-8E33-10C81A9AA6BD}" name="LO Description" dataDxfId="60"/>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D5DD12BE-6599-42D1-AC02-0B9161A223C5}" name="_6006SPS_Assess" displayName="_6006SPS_Assess" ref="C37:H41" totalsRowShown="0" headerRowDxfId="59" dataDxfId="5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4894FCF-0035-4C97-A904-AD8F7449DA67}" name="Assessment No" dataDxfId="57"/>
    <tableColumn id="2" xr3:uid="{154AA898-EB51-423F-971E-2D54E7AE168D}" name="Assessment Type" dataDxfId="56"/>
    <tableColumn id="7" xr3:uid="{9983984E-B1DF-4F0D-9268-C2C69B7257DE}" name="Assessment Specific" dataDxfId="55"/>
    <tableColumn id="3" xr3:uid="{7393D08E-D15D-482F-94F5-3955E2087F8B}" name="Assessment Description" dataDxfId="54"/>
    <tableColumn id="4" xr3:uid="{A7B8D88B-748B-437A-9A1C-F9ED211ABF56}" name="Weighting" dataDxfId="53"/>
    <tableColumn id="5" xr3:uid="{79ED1616-9922-40C9-8AED-68B6819817F9}" name="Due Week" dataDxfId="52"/>
  </tableColumns>
  <tableStyleInfo name="TableStyleMedium3"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549275A-166A-4CD3-9308-81EDEF3B26DB}" name="_6006SPS_Weekly" displayName="_6006SPS_Weekly" ref="B70:F94" totalsRowShown="0" headerRowDxfId="51" dataDxfId="5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B7FA3159-D6A2-414C-94D8-A2E8568CD41C}" name="Semester " dataDxfId="49"/>
    <tableColumn id="2" xr3:uid="{FFEC1971-8BF4-44B8-BD5C-805779F987C9}" name="Week Number" dataDxfId="48"/>
    <tableColumn id="3" xr3:uid="{A9F5297B-ACA7-4D9D-842B-9A24FD16BA05}" name="Weekly Content 1" dataDxfId="47"/>
    <tableColumn id="4" xr3:uid="{B96BEEEA-7F39-4C28-9F20-2E7BAC5D76C4}" name="Weekly Content 2" dataDxfId="46"/>
    <tableColumn id="5" xr3:uid="{6D853DE2-8A0D-4998-B49D-5DECC81696CA}" name="Weekly Content 3" dataDxfId="45"/>
  </tableColumns>
  <tableStyleInfo name="TableStyleMedium4"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C3DF0F01-A9D0-4761-8965-A2F4863E2A4E}" name="_6006SPS_Hours" displayName="_6006SPS_Hours" ref="C18:D24" totalsRowShown="0" headerRowDxfId="44" dataDxfId="43">
  <autoFilter ref="C18:D24" xr:uid="{B71A3569-AA65-4A4E-98A2-885F5C38B46D}">
    <filterColumn colId="0" hiddenButton="1"/>
    <filterColumn colId="1" hiddenButton="1"/>
  </autoFilter>
  <tableColumns count="2">
    <tableColumn id="1" xr3:uid="{E1F6A0CE-A0D1-484E-806D-5F1EE294F6C5}" name="Component" dataDxfId="42"/>
    <tableColumn id="2" xr3:uid="{C29C0E16-5D02-4470-B9A3-F33C24B509D3}" name="Contact Hours" dataDxfId="41"/>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D55D786C-9F3A-48CE-8767-1DD44ED57855}" name="_6006SPS_Mapping" displayName="_6006SPS_Mapping" ref="C45:F66" totalsRowShown="0" headerRowDxfId="40" dataDxfId="39">
  <autoFilter ref="C45:F66" xr:uid="{E0A841BB-B6D5-4048-B5F2-18CF9F502EBA}">
    <filterColumn colId="0" hiddenButton="1"/>
    <filterColumn colId="1" hiddenButton="1"/>
    <filterColumn colId="2" hiddenButton="1"/>
    <filterColumn colId="3" hiddenButton="1"/>
  </autoFilter>
  <tableColumns count="4">
    <tableColumn id="1" xr3:uid="{351B8FDB-16CD-4D24-AF2C-C5AD529DF595}" name="Assessment No" dataDxfId="38"/>
    <tableColumn id="2" xr3:uid="{9CB0238A-1328-4A0D-AAE2-50C376C7235C}" name="LO Number" dataDxfId="37"/>
    <tableColumn id="3" xr3:uid="{96B6D864-B246-4570-9A1C-3387C1ABD880}" name="Graduate Skills Category" dataDxfId="36"/>
    <tableColumn id="4" xr3:uid="{D00C4D9A-F418-40FC-AB6A-A84F0B2A9E4C}" name="Graduate Skill" dataDxfId="35"/>
  </tableColumns>
  <tableStyleInfo name="TableStyleMedium3"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0ABE8A2B-4753-418C-8174-04E8DA313A71}" name="_6006SPS_Aims" displayName="_6006SPS_Aims" ref="F6:F8" totalsRowShown="0" headerRowDxfId="34" dataDxfId="33">
  <autoFilter ref="F6:F8" xr:uid="{9552138F-2332-4BC4-A585-0E13162881A5}"/>
  <tableColumns count="1">
    <tableColumn id="1" xr3:uid="{31A9816E-6125-4BB1-B024-023BC57E4CF3}" name="Aims" dataDxfId="32"/>
  </tableColumns>
  <tableStyleInfo name="TableStyleMedium6"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1747F9EA-8662-4F26-A01D-803EAD3C1FD5}" name="_6006SPS_Syllabus" displayName="_6006SPS_Syllabus" ref="F10:F13" totalsRowShown="0" headerRowDxfId="31" dataDxfId="30">
  <autoFilter ref="F10:F13" xr:uid="{94F18F67-3F10-4F6E-A953-4FE3399B07F2}"/>
  <tableColumns count="1">
    <tableColumn id="1" xr3:uid="{6A2A3EA9-0D72-4A0E-A2B5-FF641EDBA034}" name="Outline Syllabus" dataDxfId="29"/>
  </tableColumns>
  <tableStyleInfo name="TableStyleMedium6"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26F3C05B-4EDF-47A0-9FA6-60C5FAD6ECCD}" name="_6006SPS_Overview" displayName="_6006SPS_Overview" ref="F15:F20" totalsRowShown="0" headerRowDxfId="28" dataDxfId="27">
  <autoFilter ref="F15:F20" xr:uid="{1B2BCD7B-6C15-4B1C-86BC-48FF83D8F225}"/>
  <tableColumns count="1">
    <tableColumn id="1" xr3:uid="{3ECD395E-FA33-4C57-93BB-6A0232B1FB84}" name="Module Overview" dataDxfId="26"/>
  </tableColumns>
  <tableStyleInfo name="TableStyleMedium6"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3B1F6B96-9B9D-4196-A72D-C9C91B0E85E6}" name="_6006SPS_Notes" displayName="_6006SPS_Notes" ref="F22:F33" totalsRowShown="0" headerRowDxfId="25" dataDxfId="24">
  <autoFilter ref="F22:F33" xr:uid="{D5968C0A-6D7E-4221-87EE-78A85A4039B3}"/>
  <tableColumns count="1">
    <tableColumn id="1" xr3:uid="{7082D249-848A-49C3-8DF4-B67EE67DF58C}" name="Additional Information/Notes" dataDxfId="23"/>
  </tableColumns>
  <tableStyleInfo name="TableStyleMedium6"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83EF05-D6CD-40F3-A3B0-B42FA58AE706}" name="SN_Meta_Wide" displayName="SN_Meta_Wide" ref="A1:O18" tableType="queryTable" totalsRowShown="0">
  <autoFilter ref="A1:O18" xr:uid="{9D83EF05-D6CD-40F3-A3B0-B42FA58AE706}"/>
  <tableColumns count="15">
    <tableColumn id="1" xr3:uid="{1D6F2E5D-907D-454A-BC2A-AA20F3AE8738}" uniqueName="1" name="SourceWorkbook" queryTableFieldId="1" dataDxfId="22"/>
    <tableColumn id="2" xr3:uid="{056A59DD-9EE6-4C2A-ACAA-89B6E46C910E}" uniqueName="2" name="TableName" queryTableFieldId="2"/>
    <tableColumn id="3" xr3:uid="{8DF6802B-D410-45AE-9D15-C50E9117609F}" uniqueName="3" name="ModuleCode" queryTableFieldId="3"/>
    <tableColumn id="4" xr3:uid="{E0C4B368-BA73-4CCE-A9F5-8922F5861C9B}" uniqueName="4" name="ItemSuffix" queryTableFieldId="4"/>
    <tableColumn id="5" xr3:uid="{2797B127-D16F-454E-84C7-272E31B7482A}" uniqueName="5" name="Programme" queryTableFieldId="5"/>
    <tableColumn id="6" xr3:uid="{D6F8079E-6D5C-4C36-BABE-28EB36E4012F}" uniqueName="6" name="ProgCode" queryTableFieldId="6"/>
    <tableColumn id="7" xr3:uid="{8D14C48D-CBC3-400E-81E9-6F0681692934}" uniqueName="7" name="ModuleTitle" queryTableFieldId="7" dataDxfId="21"/>
    <tableColumn id="8" xr3:uid="{DF7DA70B-93A0-40DD-98AA-4C08124C70BA}" uniqueName="8" name="Module Code" queryTableFieldId="8"/>
    <tableColumn id="9" xr3:uid="{FAAE5880-C92F-481C-8097-8F8322253A9B}" uniqueName="9" name="Module Title" queryTableFieldId="9"/>
    <tableColumn id="10" xr3:uid="{E6AE5C3B-DF30-49E7-8765-50C4DB804E41}" uniqueName="10" name="Credits" queryTableFieldId="10"/>
    <tableColumn id="11" xr3:uid="{A57425FF-B3CB-45A6-995C-75A6F4B8C891}" uniqueName="11" name="Semester" queryTableFieldId="11"/>
    <tableColumn id="12" xr3:uid="{6CD989A4-11EA-4B0A-A48A-1EE8E37FAC22}" uniqueName="12" name="Level" queryTableFieldId="12"/>
    <tableColumn id="13" xr3:uid="{CF4BAA35-2ABF-4C79-9029-1716BC66177D}" uniqueName="13" name="Module Leader" queryTableFieldId="13"/>
    <tableColumn id="14" xr3:uid="{3535CA93-28B3-4CB5-8CA6-08960EF98B3C}" uniqueName="14" name="Module Type" queryTableFieldId="14"/>
    <tableColumn id="15" xr3:uid="{76DCAC03-903D-4828-9953-4251AEB1E9C8}" uniqueName="15" name="Programme(s)" queryTableFieldId="15"/>
  </tableColumns>
  <tableStyleInfo name="TableStyleMedium7"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F247321-C0E5-47F4-B08E-A84840CA9014}" name="SN_Module_Overview" displayName="SN_Module_Overview" ref="A1:I18" tableType="queryTable" totalsRowShown="0">
  <autoFilter ref="A1:I18" xr:uid="{0F247321-C0E5-47F4-B08E-A84840CA9014}"/>
  <tableColumns count="9">
    <tableColumn id="1" xr3:uid="{2AE1AA27-4E85-47A3-9B7D-64188709B2DC}" uniqueName="1" name="ModuleCode" queryTableFieldId="1"/>
    <tableColumn id="2" xr3:uid="{1FF69297-C8D7-43FE-BF7D-AD7F344C8A27}" uniqueName="2" name="ModuleTitle" queryTableFieldId="2" dataDxfId="20"/>
    <tableColumn id="3" xr3:uid="{6CF8F607-91ED-4067-82DD-CD2F50CFE063}" uniqueName="3" name="Level" queryTableFieldId="3"/>
    <tableColumn id="4" xr3:uid="{5C58CFE9-D357-4AE1-82E4-2332113240F9}" uniqueName="4" name="Semester" queryTableFieldId="4"/>
    <tableColumn id="5" xr3:uid="{960521E9-3C40-4061-96F5-CC49E6D374A2}" uniqueName="5" name="Credits" queryTableFieldId="5"/>
    <tableColumn id="6" xr3:uid="{4ECF8367-0AC8-4675-BDBE-97286FC526B9}" uniqueName="6" name="Module Leader" queryTableFieldId="6"/>
    <tableColumn id="7" xr3:uid="{70E8F0DF-346E-41B7-AB81-B5F8A7FBFA39}" uniqueName="7" name="Module Type" queryTableFieldId="7"/>
    <tableColumn id="8" xr3:uid="{525342BE-D77D-44B6-B21C-02CD9DC7383E}" uniqueName="8" name="Total Contact Hours" queryTableFieldId="8"/>
    <tableColumn id="9" xr3:uid="{E44A9F5F-5C8F-49E8-A973-89885A6FE04C}" uniqueName="9" name="Hours per Credit" queryTableFieldId="9"/>
  </tableColumns>
  <tableStyleInfo name="TableStyleMedium7"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E72646-0645-4A95-8C10-1DF55F132F8D}" name="SN_Hours_Wide" displayName="SN_Hours_Wide" ref="A1:N18" tableType="queryTable" totalsRowShown="0">
  <autoFilter ref="A1:N18" xr:uid="{92E72646-0645-4A95-8C10-1DF55F132F8D}"/>
  <tableColumns count="14">
    <tableColumn id="1" xr3:uid="{45B061DB-2DBB-4587-80A9-CD720342BD3F}" uniqueName="1" name="SourceWorkbook" queryTableFieldId="1" dataDxfId="19"/>
    <tableColumn id="2" xr3:uid="{1AD63889-1B3A-420A-A87F-5D153750BAA9}" uniqueName="2" name="TableName" queryTableFieldId="2"/>
    <tableColumn id="3" xr3:uid="{C02F5651-616C-4020-9A72-79AFE0DDCA0F}" uniqueName="3" name="ModuleCode" queryTableFieldId="3"/>
    <tableColumn id="4" xr3:uid="{3A667AEA-B302-45F7-ADF3-31315E680696}" uniqueName="4" name="ItemSuffix" queryTableFieldId="4"/>
    <tableColumn id="5" xr3:uid="{ABBFD919-0B4C-4CD6-982B-65F959951A67}" uniqueName="5" name="Programme" queryTableFieldId="5"/>
    <tableColumn id="6" xr3:uid="{1CE32898-254A-4828-8A2B-2761FB94361B}" uniqueName="6" name="ProgCode" queryTableFieldId="6"/>
    <tableColumn id="7" xr3:uid="{2DE5BB6A-EBA2-45F9-AE25-D299B13B1FE5}" uniqueName="7" name="ModuleTitle" queryTableFieldId="7" dataDxfId="18"/>
    <tableColumn id="8" xr3:uid="{C69C4945-9E46-45C5-8B2D-AA67FA114C8D}" uniqueName="8" name="Lecture" queryTableFieldId="8"/>
    <tableColumn id="9" xr3:uid="{D9C41D27-9B1D-420D-9C0F-46B281096372}" uniqueName="9" name="Seminar" queryTableFieldId="9"/>
    <tableColumn id="10" xr3:uid="{7439345E-72B5-4348-896D-D3A77582CB3B}" uniqueName="10" name="Practical" queryTableFieldId="10"/>
    <tableColumn id="11" xr3:uid="{B696B92F-8FAB-49E4-B391-5EA37D5C95EB}" uniqueName="11" name="Workshop" queryTableFieldId="11"/>
    <tableColumn id="12" xr3:uid="{4DABCD70-15B2-44FE-A5B2-D9E41B73B5FF}" uniqueName="12" name="Online" queryTableFieldId="12"/>
    <tableColumn id="13" xr3:uid="{86A4E1D7-7249-408A-A00F-98A7F4AE80F9}" uniqueName="13" name="Total" queryTableFieldId="13"/>
    <tableColumn id="14" xr3:uid="{C9ADD5F4-BFE6-4E3F-9BD9-39EFB03047C4}" uniqueName="14" name="Online - synchronous" queryTableFieldId="14"/>
  </tableColumns>
  <tableStyleInfo name="TableStyleMedium7"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23B270-D800-42FF-B90C-0DC728DA4A31}" name="SN_SkillsCoverage" displayName="SN_SkillsCoverage" ref="A1:E65" tableType="queryTable" totalsRowShown="0">
  <autoFilter ref="A1:E65" xr:uid="{AB23B270-D800-42FF-B90C-0DC728DA4A31}"/>
  <tableColumns count="5">
    <tableColumn id="1" xr3:uid="{0726BA83-813F-45BA-B8A2-A202273E5C44}" uniqueName="1" name="Category" queryTableFieldId="1"/>
    <tableColumn id="2" xr3:uid="{FCA4B703-8D79-47EE-9AB0-B94BCAAE9804}" uniqueName="2" name="Skill" queryTableFieldId="2"/>
    <tableColumn id="3" xr3:uid="{231610F0-9DCE-4501-9308-DF8082FA7C22}" uniqueName="3" name="Modules Covering" queryTableFieldId="3" dataDxfId="17"/>
    <tableColumn id="4" xr3:uid="{7954AE73-89F2-4A97-B6A1-0B7ECD98F8B7}" uniqueName="4" name="Module Count" queryTableFieldId="4"/>
    <tableColumn id="5" xr3:uid="{13B0DAB1-7AE5-4991-B376-5A9938206F3F}" uniqueName="5" name="Covered" queryTableFieldId="5"/>
  </tableColumns>
  <tableStyleInfo name="TableStyleMedium7"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CD3492-99A2-440E-BCAB-D2B33A1A8D4D}" name="SN_Mapping" displayName="SN_Mapping" ref="A1:K209" tableType="queryTable" totalsRowShown="0">
  <autoFilter ref="A1:K209" xr:uid="{3DCD3492-99A2-440E-BCAB-D2B33A1A8D4D}"/>
  <tableColumns count="11">
    <tableColumn id="1" xr3:uid="{63B3E9FE-E530-45A9-93D7-2084EECF9193}" uniqueName="1" name="SourceWorkbook" queryTableFieldId="1" dataDxfId="5"/>
    <tableColumn id="2" xr3:uid="{D29DB0FF-09BA-433C-9CD6-DE794CDB4A8A}" uniqueName="2" name="TableName" queryTableFieldId="2"/>
    <tableColumn id="3" xr3:uid="{EC82B133-03A9-4857-A571-316889038AA8}" uniqueName="3" name="Assessment No" queryTableFieldId="3"/>
    <tableColumn id="4" xr3:uid="{D30D702C-EAC1-4714-AB70-362CBAC85F02}" uniqueName="4" name="LO Number" queryTableFieldId="4"/>
    <tableColumn id="5" xr3:uid="{AF96062E-6D0C-44ED-A85E-84BDA494A7EB}" uniqueName="5" name="Graduate Skills Category" queryTableFieldId="5"/>
    <tableColumn id="6" xr3:uid="{2A0D1BC8-C295-498D-A17C-700D12D5E303}" uniqueName="6" name="Graduate Skill" queryTableFieldId="6"/>
    <tableColumn id="7" xr3:uid="{6496B0F4-B06B-4DF8-8CA6-48000FA680AC}" uniqueName="7" name="ModuleCode" queryTableFieldId="7"/>
    <tableColumn id="8" xr3:uid="{2A72939B-1DB8-46A1-AFC8-45FEAE7F0D76}" uniqueName="8" name="ItemSuffix" queryTableFieldId="8"/>
    <tableColumn id="9" xr3:uid="{BF737CF9-A5B7-4E29-BB1E-E98F4C206F40}" uniqueName="9" name="Programme" queryTableFieldId="9"/>
    <tableColumn id="10" xr3:uid="{1CFFD257-0CB4-45DB-97CE-92F4D64CC47B}" uniqueName="10" name="ProgCode" queryTableFieldId="10"/>
    <tableColumn id="11" xr3:uid="{C8B7C1F6-45A6-47DE-B74E-2485B0B79CFF}" uniqueName="11" name="ModuleTitle" queryTableFieldId="11" dataDxfId="4"/>
  </tableColumns>
  <tableStyleInfo name="TableStyleMedium7"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A7AE2D-D9D0-4454-B1FA-F5FC924BBDCC}" name="SN_Hours" displayName="SN_Hours" ref="A1:I103" tableType="queryTable" totalsRowShown="0">
  <autoFilter ref="A1:I103" xr:uid="{63A7AE2D-D9D0-4454-B1FA-F5FC924BBDCC}"/>
  <tableColumns count="9">
    <tableColumn id="1" xr3:uid="{5E351629-EDCE-44CD-A0A9-6E7B36157926}" uniqueName="1" name="SourceWorkbook" queryTableFieldId="1" dataDxfId="16"/>
    <tableColumn id="2" xr3:uid="{146E6BCB-8E6E-45FB-B5BA-3564BE03A492}" uniqueName="2" name="TableName" queryTableFieldId="2"/>
    <tableColumn id="3" xr3:uid="{29DE99D7-FFA7-42A3-AB2B-3154BE18453B}" uniqueName="3" name="Component" queryTableFieldId="3"/>
    <tableColumn id="4" xr3:uid="{CCB8E40C-D156-4A8C-A556-34061AD326AD}" uniqueName="4" name="Contact Hours" queryTableFieldId="4"/>
    <tableColumn id="5" xr3:uid="{F0A325DB-B05F-484C-8494-EF81BD719F79}" uniqueName="5" name="ModuleCode" queryTableFieldId="5"/>
    <tableColumn id="6" xr3:uid="{F0901E72-C308-43B7-9FC5-48DC1F112DBB}" uniqueName="6" name="ItemSuffix" queryTableFieldId="6"/>
    <tableColumn id="7" xr3:uid="{2A45F51D-4BF9-4376-985B-3E517B3ADBDB}" uniqueName="7" name="Programme" queryTableFieldId="7"/>
    <tableColumn id="8" xr3:uid="{5FD535F5-FECB-4F43-B026-5AABCC82800F}" uniqueName="8" name="ProgCode" queryTableFieldId="8"/>
    <tableColumn id="9" xr3:uid="{E7E7126F-6AE3-4DDE-8DE8-9A8CB662C03E}" uniqueName="9" name="ModuleTitle" queryTableFieldId="9" dataDxfId="15"/>
  </tableColumns>
  <tableStyleInfo name="TableStyleMedium7"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EB8243-7495-4293-B333-D2DE792E9920}" name="SN_Meta" displayName="SN_Meta" ref="A1:I137" tableType="queryTable" totalsRowShown="0">
  <autoFilter ref="A1:I137" xr:uid="{DEEB8243-7495-4293-B333-D2DE792E9920}"/>
  <tableColumns count="9">
    <tableColumn id="1" xr3:uid="{8C508E04-57D2-4ADE-BBE9-4DE4CE466831}" uniqueName="1" name="SourceWorkbook" queryTableFieldId="1" dataDxfId="14"/>
    <tableColumn id="2" xr3:uid="{1C041896-A821-496B-8468-70AA31685BB1}" uniqueName="2" name="TableName" queryTableFieldId="2"/>
    <tableColumn id="3" xr3:uid="{B017B42B-57BB-4145-8C29-0D0AA8E85BF0}" uniqueName="3" name="Module Data" queryTableFieldId="3"/>
    <tableColumn id="4" xr3:uid="{B61898EC-6D2D-4E85-A4D1-5FB59562CE30}" uniqueName="4" name="Details" queryTableFieldId="4"/>
    <tableColumn id="5" xr3:uid="{3AD7DD78-94C4-4E4C-8770-2BE9F146AE6D}" uniqueName="5" name="ModuleCode" queryTableFieldId="5"/>
    <tableColumn id="6" xr3:uid="{A8FD403E-7849-4887-82CC-ACB874B92E09}" uniqueName="6" name="ItemSuffix" queryTableFieldId="6"/>
    <tableColumn id="7" xr3:uid="{397A0391-D978-408F-B933-D1CFD8A4A01F}" uniqueName="7" name="Programme" queryTableFieldId="7"/>
    <tableColumn id="8" xr3:uid="{461FA777-9679-4AF8-AB5B-FFC5161FF49E}" uniqueName="8" name="ProgCode" queryTableFieldId="8"/>
    <tableColumn id="9" xr3:uid="{F53740A3-9CDB-4750-8C9E-BD923DCED77E}" uniqueName="9" name="ModuleTitle" queryTableFieldId="9" dataDxfId="13"/>
  </tableColumns>
  <tableStyleInfo name="TableStyleMedium7"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0048A8-A97E-437D-8B7C-2BE0C21D311A}" name="SN_Assess" displayName="SN_Assess" ref="A1:M36" tableType="queryTable" totalsRowShown="0">
  <autoFilter ref="A1:M36" xr:uid="{150048A8-A97E-437D-8B7C-2BE0C21D311A}"/>
  <tableColumns count="13">
    <tableColumn id="1" xr3:uid="{CDFB70A2-8E7E-43AC-B91D-025A3D5EF8F7}" uniqueName="1" name="SourceWorkbook" queryTableFieldId="1" dataDxfId="3"/>
    <tableColumn id="2" xr3:uid="{1B5D4028-3A23-45B0-9FCC-CF6FBCA5442D}" uniqueName="2" name="TableName" queryTableFieldId="2"/>
    <tableColumn id="3" xr3:uid="{D3FA7983-D23C-4C4F-8982-E4DDC914B625}" uniqueName="3" name="Assessment No" queryTableFieldId="3"/>
    <tableColumn id="4" xr3:uid="{2987CC06-0895-4EEE-800E-9028AB75840B}" uniqueName="4" name="Assessment Type" queryTableFieldId="4"/>
    <tableColumn id="5" xr3:uid="{4A1EDF53-9B66-493A-81FD-1D1361BE1025}" uniqueName="5" name="Assessment Specific" queryTableFieldId="5"/>
    <tableColumn id="6" xr3:uid="{7DBF2004-5DCA-46FC-B2A3-383178924505}" uniqueName="6" name="Assessment Description" queryTableFieldId="6"/>
    <tableColumn id="7" xr3:uid="{CD7A5A84-AD13-405B-B314-8A3ABB555AAD}" uniqueName="7" name="Weighting" queryTableFieldId="7"/>
    <tableColumn id="8" xr3:uid="{D59EB96C-2AC2-46D7-9469-7CFC544BF737}" uniqueName="8" name="Due Week" queryTableFieldId="8"/>
    <tableColumn id="9" xr3:uid="{B8076B52-F69E-478E-A25E-F90F9A0703FC}" uniqueName="9" name="ModuleCode" queryTableFieldId="9"/>
    <tableColumn id="10" xr3:uid="{5EE78A53-9DAF-48B6-9E0A-C500B745CBF2}" uniqueName="10" name="ItemSuffix" queryTableFieldId="10"/>
    <tableColumn id="11" xr3:uid="{73FBAC3E-EB1E-4CE3-8F61-EDD9929A6FDD}" uniqueName="11" name="Programme" queryTableFieldId="11"/>
    <tableColumn id="12" xr3:uid="{4B6F8765-2B3C-4AEB-BF2A-9CF1D4CAE986}" uniqueName="12" name="ProgCode" queryTableFieldId="12"/>
    <tableColumn id="13" xr3:uid="{5376C6A3-FB25-4B6B-B186-0D2A2E42FDD3}" uniqueName="13" name="ModuleTitle" queryTableFieldId="13" dataDxfId="2"/>
  </tableColumns>
  <tableStyleInfo name="TableStyleMedium7"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8454E5-7924-45F1-8F14-3F8A9BB1AD72}" name="SN_LO" displayName="SN_LO" ref="A1:I53" tableType="queryTable" totalsRowShown="0">
  <autoFilter ref="A1:I53" xr:uid="{DD8454E5-7924-45F1-8F14-3F8A9BB1AD72}"/>
  <tableColumns count="9">
    <tableColumn id="1" xr3:uid="{A6C0823E-8693-4936-9A6A-489E8BF10D94}" uniqueName="1" name="SourceWorkbook" queryTableFieldId="1" dataDxfId="1"/>
    <tableColumn id="2" xr3:uid="{88F774CD-B677-40FB-AAB0-3E32CC1166D6}" uniqueName="2" name="TableName" queryTableFieldId="2"/>
    <tableColumn id="3" xr3:uid="{E273EAF0-F943-4B64-AB90-DB451ADC9E5D}" uniqueName="3" name="LO Number" queryTableFieldId="3"/>
    <tableColumn id="4" xr3:uid="{9997DBAA-4E76-433D-B405-FD6FF85B159C}" uniqueName="4" name="LO Description" queryTableFieldId="4"/>
    <tableColumn id="5" xr3:uid="{19E3E733-DA2C-46C9-BE7F-BAA5D7DF96B2}" uniqueName="5" name="ModuleCode" queryTableFieldId="5"/>
    <tableColumn id="6" xr3:uid="{7C8BA71F-A8CC-405F-9B40-6FB3004F8CDD}" uniqueName="6" name="ItemSuffix" queryTableFieldId="6"/>
    <tableColumn id="7" xr3:uid="{EF976653-1D9E-479D-A56F-7EB28AA8D3AF}" uniqueName="7" name="Programme" queryTableFieldId="7"/>
    <tableColumn id="8" xr3:uid="{026EB71A-D490-453A-8F09-65509F50FFE8}" uniqueName="8" name="ProgCode" queryTableFieldId="8"/>
    <tableColumn id="9" xr3:uid="{8326C0FD-8413-4002-A891-305E78409160}" uniqueName="9" name="ModuleTitle" queryTableFieldId="9" dataDxfId="0"/>
  </tableColumns>
  <tableStyleInfo name="TableStyleMedium7"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headerRowDxfId="12" dataDxfId="11">
  <autoFilter ref="G14:G28" xr:uid="{A28D849E-6EFC-4A5A-932B-B6AE93050561}"/>
  <tableColumns count="1">
    <tableColumn id="1" xr3:uid="{F9243E19-CFCD-47CF-90F4-B3457FC6A715}" name="Assessment Specific" dataDxfId="10"/>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headerRowDxfId="9" dataDxfId="8">
  <autoFilter ref="J19:K83" xr:uid="{EBD39377-1E4D-4F11-AC33-A85FBA00A712}"/>
  <tableColumns count="2">
    <tableColumn id="1" xr3:uid="{88D4BEFB-0FE7-43D9-9144-A385F91AD367}" name="Category" dataDxfId="7"/>
    <tableColumn id="2" xr3:uid="{F16DBD3E-74AC-4DBC-9629-934DF2FB76A6}" name="Skill"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7.xml"/><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printerSettings" Target="../printerSettings/printerSettings4.bin"/><Relationship Id="rId6" Type="http://schemas.openxmlformats.org/officeDocument/2006/relationships/table" Target="../tables/table35.xml"/><Relationship Id="rId11" Type="http://schemas.openxmlformats.org/officeDocument/2006/relationships/table" Target="../tables/table40.xml"/><Relationship Id="rId5" Type="http://schemas.openxmlformats.org/officeDocument/2006/relationships/table" Target="../tables/table34.xml"/><Relationship Id="rId10" Type="http://schemas.openxmlformats.org/officeDocument/2006/relationships/table" Target="../tables/table39.xml"/><Relationship Id="rId4" Type="http://schemas.openxmlformats.org/officeDocument/2006/relationships/table" Target="../tables/table33.xml"/><Relationship Id="rId9" Type="http://schemas.openxmlformats.org/officeDocument/2006/relationships/table" Target="../tables/table3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printerSettings" Target="../printerSettings/printerSettings5.bin"/><Relationship Id="rId6" Type="http://schemas.openxmlformats.org/officeDocument/2006/relationships/table" Target="../tables/table45.xml"/><Relationship Id="rId11" Type="http://schemas.openxmlformats.org/officeDocument/2006/relationships/table" Target="../tables/table50.xml"/><Relationship Id="rId5" Type="http://schemas.openxmlformats.org/officeDocument/2006/relationships/table" Target="../tables/table44.xml"/><Relationship Id="rId10" Type="http://schemas.openxmlformats.org/officeDocument/2006/relationships/table" Target="../tables/table49.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6.bin"/><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7.bin"/><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7.xml"/><Relationship Id="rId3" Type="http://schemas.openxmlformats.org/officeDocument/2006/relationships/table" Target="../tables/table72.xml"/><Relationship Id="rId7" Type="http://schemas.openxmlformats.org/officeDocument/2006/relationships/table" Target="../tables/table76.xml"/><Relationship Id="rId2" Type="http://schemas.openxmlformats.org/officeDocument/2006/relationships/table" Target="../tables/table71.xml"/><Relationship Id="rId1" Type="http://schemas.openxmlformats.org/officeDocument/2006/relationships/printerSettings" Target="../printerSettings/printerSettings8.bin"/><Relationship Id="rId6" Type="http://schemas.openxmlformats.org/officeDocument/2006/relationships/table" Target="../tables/table75.xml"/><Relationship Id="rId11" Type="http://schemas.openxmlformats.org/officeDocument/2006/relationships/table" Target="../tables/table80.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7.xml"/><Relationship Id="rId3" Type="http://schemas.openxmlformats.org/officeDocument/2006/relationships/table" Target="../tables/table82.xml"/><Relationship Id="rId7" Type="http://schemas.openxmlformats.org/officeDocument/2006/relationships/table" Target="../tables/table86.xml"/><Relationship Id="rId2" Type="http://schemas.openxmlformats.org/officeDocument/2006/relationships/table" Target="../tables/table81.xml"/><Relationship Id="rId1" Type="http://schemas.openxmlformats.org/officeDocument/2006/relationships/printerSettings" Target="../printerSettings/printerSettings9.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97.xml"/><Relationship Id="rId3" Type="http://schemas.openxmlformats.org/officeDocument/2006/relationships/table" Target="../tables/table92.xml"/><Relationship Id="rId7" Type="http://schemas.openxmlformats.org/officeDocument/2006/relationships/table" Target="../tables/table96.xml"/><Relationship Id="rId2" Type="http://schemas.openxmlformats.org/officeDocument/2006/relationships/table" Target="../tables/table91.xml"/><Relationship Id="rId1" Type="http://schemas.openxmlformats.org/officeDocument/2006/relationships/printerSettings" Target="../printerSettings/printerSettings10.bin"/><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07.xml"/><Relationship Id="rId3" Type="http://schemas.openxmlformats.org/officeDocument/2006/relationships/table" Target="../tables/table102.xml"/><Relationship Id="rId7" Type="http://schemas.openxmlformats.org/officeDocument/2006/relationships/table" Target="../tables/table106.xml"/><Relationship Id="rId2" Type="http://schemas.openxmlformats.org/officeDocument/2006/relationships/table" Target="../tables/table101.xml"/><Relationship Id="rId1" Type="http://schemas.openxmlformats.org/officeDocument/2006/relationships/printerSettings" Target="../printerSettings/printerSettings11.bin"/><Relationship Id="rId6" Type="http://schemas.openxmlformats.org/officeDocument/2006/relationships/table" Target="../tables/table105.xml"/><Relationship Id="rId11" Type="http://schemas.openxmlformats.org/officeDocument/2006/relationships/table" Target="../tables/table110.xml"/><Relationship Id="rId5" Type="http://schemas.openxmlformats.org/officeDocument/2006/relationships/table" Target="../tables/table104.xml"/><Relationship Id="rId10" Type="http://schemas.openxmlformats.org/officeDocument/2006/relationships/table" Target="../tables/table109.xml"/><Relationship Id="rId4" Type="http://schemas.openxmlformats.org/officeDocument/2006/relationships/table" Target="../tables/table103.xml"/><Relationship Id="rId9" Type="http://schemas.openxmlformats.org/officeDocument/2006/relationships/table" Target="../tables/table10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17.xml"/><Relationship Id="rId3" Type="http://schemas.openxmlformats.org/officeDocument/2006/relationships/table" Target="../tables/table112.xml"/><Relationship Id="rId7" Type="http://schemas.openxmlformats.org/officeDocument/2006/relationships/table" Target="../tables/table116.xml"/><Relationship Id="rId2" Type="http://schemas.openxmlformats.org/officeDocument/2006/relationships/table" Target="../tables/table111.xml"/><Relationship Id="rId1" Type="http://schemas.openxmlformats.org/officeDocument/2006/relationships/printerSettings" Target="../printerSettings/printerSettings12.bin"/><Relationship Id="rId6" Type="http://schemas.openxmlformats.org/officeDocument/2006/relationships/table" Target="../tables/table115.xml"/><Relationship Id="rId11" Type="http://schemas.openxmlformats.org/officeDocument/2006/relationships/table" Target="../tables/table120.xml"/><Relationship Id="rId5" Type="http://schemas.openxmlformats.org/officeDocument/2006/relationships/table" Target="../tables/table114.xml"/><Relationship Id="rId10" Type="http://schemas.openxmlformats.org/officeDocument/2006/relationships/table" Target="../tables/table119.xml"/><Relationship Id="rId4" Type="http://schemas.openxmlformats.org/officeDocument/2006/relationships/table" Target="../tables/table113.xml"/><Relationship Id="rId9" Type="http://schemas.openxmlformats.org/officeDocument/2006/relationships/table" Target="../tables/table11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7.xml"/><Relationship Id="rId3" Type="http://schemas.openxmlformats.org/officeDocument/2006/relationships/table" Target="../tables/table122.xml"/><Relationship Id="rId7" Type="http://schemas.openxmlformats.org/officeDocument/2006/relationships/table" Target="../tables/table126.xml"/><Relationship Id="rId2" Type="http://schemas.openxmlformats.org/officeDocument/2006/relationships/table" Target="../tables/table121.xml"/><Relationship Id="rId1" Type="http://schemas.openxmlformats.org/officeDocument/2006/relationships/printerSettings" Target="../printerSettings/printerSettings13.bin"/><Relationship Id="rId6" Type="http://schemas.openxmlformats.org/officeDocument/2006/relationships/table" Target="../tables/table125.xml"/><Relationship Id="rId11" Type="http://schemas.openxmlformats.org/officeDocument/2006/relationships/table" Target="../tables/table130.xml"/><Relationship Id="rId5" Type="http://schemas.openxmlformats.org/officeDocument/2006/relationships/table" Target="../tables/table124.xml"/><Relationship Id="rId10" Type="http://schemas.openxmlformats.org/officeDocument/2006/relationships/table" Target="../tables/table129.xml"/><Relationship Id="rId4" Type="http://schemas.openxmlformats.org/officeDocument/2006/relationships/table" Target="../tables/table123.xml"/><Relationship Id="rId9" Type="http://schemas.openxmlformats.org/officeDocument/2006/relationships/table" Target="../tables/table12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3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3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39.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41.xml"/><Relationship Id="rId1" Type="http://schemas.openxmlformats.org/officeDocument/2006/relationships/table" Target="../tables/table1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9C83-4B63-438B-8ADB-C2BAECC10A91}">
  <sheetPr codeName="Sheet1"/>
  <dimension ref="B2:H94"/>
  <sheetViews>
    <sheetView showGridLines="0" tabSelected="1" zoomScale="85" zoomScaleNormal="85" workbookViewId="0">
      <selection activeCell="C23" sqref="C23"/>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4001SPS</v>
      </c>
      <c r="D2" s="27" t="str">
        <f>D8</f>
        <v>Professional Practice 1 in Sport Nutrition</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5</v>
      </c>
      <c r="E7" s="32"/>
      <c r="F7" s="6" t="s">
        <v>6</v>
      </c>
    </row>
    <row r="8" spans="2:6" x14ac:dyDescent="0.25">
      <c r="B8" s="29"/>
      <c r="C8" s="36" t="s">
        <v>7</v>
      </c>
      <c r="D8" s="6" t="s">
        <v>8</v>
      </c>
      <c r="E8" s="32"/>
      <c r="F8" s="4"/>
    </row>
    <row r="9" spans="2:6" x14ac:dyDescent="0.25">
      <c r="C9" s="36" t="s">
        <v>9</v>
      </c>
      <c r="D9" s="1">
        <v>20</v>
      </c>
      <c r="E9" s="32"/>
    </row>
    <row r="10" spans="2:6" x14ac:dyDescent="0.25">
      <c r="C10" s="36" t="s">
        <v>10</v>
      </c>
      <c r="D10" s="1" t="s">
        <v>11</v>
      </c>
      <c r="E10" s="32"/>
      <c r="F10" t="s">
        <v>12</v>
      </c>
    </row>
    <row r="11" spans="2:6" x14ac:dyDescent="0.25">
      <c r="C11" s="36" t="s">
        <v>13</v>
      </c>
      <c r="D11" s="1">
        <v>4</v>
      </c>
      <c r="E11" s="32"/>
      <c r="F11" s="7" t="s">
        <v>14</v>
      </c>
    </row>
    <row r="12" spans="2:6" x14ac:dyDescent="0.25">
      <c r="C12" s="36" t="s">
        <v>15</v>
      </c>
      <c r="D12" s="1" t="s">
        <v>16</v>
      </c>
      <c r="E12" s="32"/>
      <c r="F12" s="4"/>
    </row>
    <row r="13" spans="2:6" x14ac:dyDescent="0.25">
      <c r="C13" s="36" t="s">
        <v>17</v>
      </c>
      <c r="D13" s="1" t="s">
        <v>18</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22</v>
      </c>
    </row>
    <row r="17" spans="3:6" ht="18.75" x14ac:dyDescent="0.25">
      <c r="C17" s="30" t="s">
        <v>23</v>
      </c>
      <c r="D17" s="32"/>
      <c r="E17" s="32"/>
      <c r="F17" s="4"/>
    </row>
    <row r="18" spans="3:6" x14ac:dyDescent="0.25">
      <c r="C18" s="31" t="s">
        <v>24</v>
      </c>
      <c r="D18" s="28" t="s">
        <v>23</v>
      </c>
      <c r="E18" s="32"/>
      <c r="F18" s="9"/>
    </row>
    <row r="19" spans="3:6" x14ac:dyDescent="0.25">
      <c r="C19" s="36" t="s">
        <v>25</v>
      </c>
      <c r="D19" s="2">
        <v>20</v>
      </c>
      <c r="E19" s="32"/>
      <c r="F19" s="4"/>
    </row>
    <row r="20" spans="3:6" x14ac:dyDescent="0.25">
      <c r="C20" s="36" t="s">
        <v>26</v>
      </c>
      <c r="D20" s="2"/>
      <c r="E20" s="32"/>
      <c r="F20" s="4"/>
    </row>
    <row r="21" spans="3:6" x14ac:dyDescent="0.25">
      <c r="C21" s="36" t="s">
        <v>27</v>
      </c>
      <c r="D21" s="2"/>
      <c r="E21" s="32"/>
    </row>
    <row r="22" spans="3:6" x14ac:dyDescent="0.25">
      <c r="C22" s="36" t="s">
        <v>28</v>
      </c>
      <c r="D22" s="2">
        <v>20</v>
      </c>
      <c r="E22" s="32"/>
      <c r="F22" t="s">
        <v>29</v>
      </c>
    </row>
    <row r="23" spans="3:6" x14ac:dyDescent="0.25">
      <c r="C23" s="36" t="s">
        <v>30</v>
      </c>
      <c r="D23" s="2"/>
      <c r="E23" s="32"/>
      <c r="F23" s="8" t="s">
        <v>31</v>
      </c>
    </row>
    <row r="24" spans="3:6" x14ac:dyDescent="0.25">
      <c r="C24" s="36" t="s">
        <v>32</v>
      </c>
      <c r="D24" s="28">
        <f>SUM(D19:D23)</f>
        <v>40</v>
      </c>
      <c r="E24" s="32"/>
      <c r="F24" s="8" t="s">
        <v>33</v>
      </c>
    </row>
    <row r="25" spans="3:6" x14ac:dyDescent="0.25">
      <c r="F25" s="8" t="s">
        <v>34</v>
      </c>
    </row>
    <row r="26" spans="3:6" x14ac:dyDescent="0.25">
      <c r="F26" s="8" t="s">
        <v>35</v>
      </c>
    </row>
    <row r="27" spans="3:6" ht="18.75" x14ac:dyDescent="0.25">
      <c r="C27" s="30" t="s">
        <v>36</v>
      </c>
      <c r="D27" s="33" t="s">
        <v>37</v>
      </c>
      <c r="F27" s="8" t="s">
        <v>38</v>
      </c>
    </row>
    <row r="28" spans="3:6" x14ac:dyDescent="0.25">
      <c r="C28" s="31" t="s">
        <v>39</v>
      </c>
      <c r="D28" s="31" t="s">
        <v>40</v>
      </c>
      <c r="E28" s="31"/>
      <c r="F28" s="8" t="s">
        <v>41</v>
      </c>
    </row>
    <row r="29" spans="3:6" x14ac:dyDescent="0.25">
      <c r="C29" s="36" t="s">
        <v>42</v>
      </c>
      <c r="D29" s="8" t="s">
        <v>14</v>
      </c>
      <c r="E29" s="32"/>
      <c r="F29" s="10" t="s">
        <v>43</v>
      </c>
    </row>
    <row r="30" spans="3:6" x14ac:dyDescent="0.25">
      <c r="C30" s="36" t="s">
        <v>44</v>
      </c>
      <c r="D30" s="8" t="s">
        <v>45</v>
      </c>
      <c r="E30" s="32"/>
      <c r="F30" s="4"/>
    </row>
    <row r="31" spans="3:6" x14ac:dyDescent="0.25">
      <c r="C31" s="36" t="s">
        <v>46</v>
      </c>
      <c r="D31" s="8" t="s">
        <v>47</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58</v>
      </c>
      <c r="E38" s="8" t="s">
        <v>59</v>
      </c>
      <c r="F38" s="6" t="s">
        <v>60</v>
      </c>
      <c r="G38" s="3">
        <v>0.5</v>
      </c>
      <c r="H38" s="1">
        <v>12</v>
      </c>
    </row>
    <row r="39" spans="3:8" x14ac:dyDescent="0.25">
      <c r="C39" s="36" t="s">
        <v>61</v>
      </c>
      <c r="D39" s="1" t="s">
        <v>58</v>
      </c>
      <c r="E39" s="8" t="s">
        <v>62</v>
      </c>
      <c r="F39" s="6" t="s">
        <v>63</v>
      </c>
      <c r="G39" s="3">
        <v>0.5</v>
      </c>
      <c r="H39" s="1">
        <v>32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69</v>
      </c>
      <c r="F46" s="4" t="s">
        <v>70</v>
      </c>
    </row>
    <row r="47" spans="3:8" x14ac:dyDescent="0.25">
      <c r="C47" s="5" t="s">
        <v>57</v>
      </c>
      <c r="D47" s="4" t="s">
        <v>44</v>
      </c>
      <c r="E47" s="4" t="s">
        <v>71</v>
      </c>
      <c r="F47" s="4" t="s">
        <v>72</v>
      </c>
    </row>
    <row r="48" spans="3:8" x14ac:dyDescent="0.25">
      <c r="C48" s="5" t="s">
        <v>57</v>
      </c>
      <c r="D48" s="4" t="s">
        <v>44</v>
      </c>
      <c r="E48" s="4" t="s">
        <v>73</v>
      </c>
      <c r="F48" s="4" t="s">
        <v>74</v>
      </c>
    </row>
    <row r="49" spans="3:6" x14ac:dyDescent="0.25">
      <c r="C49" s="5" t="s">
        <v>61</v>
      </c>
      <c r="D49" s="4" t="s">
        <v>44</v>
      </c>
      <c r="E49" s="4" t="s">
        <v>69</v>
      </c>
      <c r="F49" s="4" t="s">
        <v>75</v>
      </c>
    </row>
    <row r="50" spans="3:6" x14ac:dyDescent="0.25">
      <c r="C50" s="5" t="s">
        <v>61</v>
      </c>
      <c r="D50" s="4" t="s">
        <v>46</v>
      </c>
      <c r="E50" s="4" t="s">
        <v>73</v>
      </c>
      <c r="F50" s="4" t="s">
        <v>74</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1" t="s">
        <v>82</v>
      </c>
      <c r="E71" s="6" t="s">
        <v>83</v>
      </c>
      <c r="F71" s="6" t="s">
        <v>84</v>
      </c>
    </row>
    <row r="72" spans="2:6" x14ac:dyDescent="0.25">
      <c r="B72" s="37">
        <v>1</v>
      </c>
      <c r="C72" s="38">
        <v>2</v>
      </c>
      <c r="D72" s="6" t="s">
        <v>85</v>
      </c>
      <c r="E72" s="11" t="s">
        <v>86</v>
      </c>
      <c r="F72" s="6" t="s">
        <v>87</v>
      </c>
    </row>
    <row r="73" spans="2:6" x14ac:dyDescent="0.25">
      <c r="B73" s="37">
        <v>1</v>
      </c>
      <c r="C73" s="38">
        <v>3</v>
      </c>
      <c r="D73" s="6" t="s">
        <v>88</v>
      </c>
      <c r="E73" s="6" t="s">
        <v>89</v>
      </c>
      <c r="F73" s="11" t="s">
        <v>90</v>
      </c>
    </row>
    <row r="74" spans="2:6" x14ac:dyDescent="0.25">
      <c r="B74" s="37">
        <v>1</v>
      </c>
      <c r="C74" s="38">
        <v>4</v>
      </c>
      <c r="D74" s="11" t="s">
        <v>91</v>
      </c>
      <c r="E74" s="6" t="s">
        <v>92</v>
      </c>
      <c r="F74" s="6" t="s">
        <v>93</v>
      </c>
    </row>
    <row r="75" spans="2:6" x14ac:dyDescent="0.25">
      <c r="B75" s="37">
        <v>1</v>
      </c>
      <c r="C75" s="38">
        <v>5</v>
      </c>
      <c r="D75" s="6" t="s">
        <v>94</v>
      </c>
      <c r="E75" s="11" t="s">
        <v>95</v>
      </c>
      <c r="F75" s="6" t="s">
        <v>96</v>
      </c>
    </row>
    <row r="76" spans="2:6" x14ac:dyDescent="0.25">
      <c r="B76" s="37">
        <v>1</v>
      </c>
      <c r="C76" s="38">
        <v>6</v>
      </c>
      <c r="D76" s="6" t="s">
        <v>97</v>
      </c>
      <c r="E76" s="10" t="s">
        <v>98</v>
      </c>
      <c r="F76" s="6" t="s">
        <v>99</v>
      </c>
    </row>
    <row r="77" spans="2:6" x14ac:dyDescent="0.25">
      <c r="B77" s="37">
        <v>1</v>
      </c>
      <c r="C77" s="38">
        <v>7</v>
      </c>
      <c r="D77" s="6" t="s">
        <v>100</v>
      </c>
      <c r="E77" s="11" t="s">
        <v>101</v>
      </c>
      <c r="F77" s="6" t="s">
        <v>102</v>
      </c>
    </row>
    <row r="78" spans="2:6" x14ac:dyDescent="0.25">
      <c r="B78" s="37">
        <v>1</v>
      </c>
      <c r="C78" s="38">
        <v>8</v>
      </c>
      <c r="D78" s="6" t="s">
        <v>103</v>
      </c>
      <c r="E78" s="6" t="s">
        <v>104</v>
      </c>
      <c r="F78" s="6" t="s">
        <v>105</v>
      </c>
    </row>
    <row r="79" spans="2:6" x14ac:dyDescent="0.25">
      <c r="B79" s="37">
        <v>1</v>
      </c>
      <c r="C79" s="38">
        <v>9</v>
      </c>
      <c r="D79" s="11" t="s">
        <v>106</v>
      </c>
      <c r="E79" s="6" t="s">
        <v>107</v>
      </c>
      <c r="F79" s="6" t="s">
        <v>108</v>
      </c>
    </row>
    <row r="80" spans="2:6" x14ac:dyDescent="0.25">
      <c r="B80" s="37">
        <v>1</v>
      </c>
      <c r="C80" s="38">
        <v>10</v>
      </c>
      <c r="D80" s="12" t="s">
        <v>109</v>
      </c>
      <c r="E80" s="13" t="s">
        <v>110</v>
      </c>
      <c r="F80" s="14" t="s">
        <v>111</v>
      </c>
    </row>
    <row r="81" spans="2:6" x14ac:dyDescent="0.25">
      <c r="B81" s="37">
        <v>1</v>
      </c>
      <c r="C81" s="38">
        <v>11</v>
      </c>
      <c r="D81" s="12" t="s">
        <v>112</v>
      </c>
      <c r="E81" s="13" t="s">
        <v>113</v>
      </c>
      <c r="F81" s="14" t="s">
        <v>114</v>
      </c>
    </row>
    <row r="82" spans="2:6" x14ac:dyDescent="0.25">
      <c r="B82" s="37">
        <v>1</v>
      </c>
      <c r="C82" s="38">
        <v>12</v>
      </c>
      <c r="D82" s="12" t="s">
        <v>115</v>
      </c>
      <c r="E82" s="13" t="s">
        <v>116</v>
      </c>
      <c r="F82" s="14" t="s">
        <v>117</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list" allowBlank="1" showInputMessage="1" showErrorMessage="1" sqref="F46:F66" xr:uid="{E384A8D8-2515-4FB4-9A11-39224E1C065B}">
      <formula1>INDIRECT(VLOOKUP($E46, SkillNameMap, 2, FALSE))</formula1>
    </dataValidation>
    <dataValidation type="list" allowBlank="1" showInputMessage="1" showErrorMessage="1" sqref="E40:E41" xr:uid="{42DE33D6-5230-4EAD-911F-BB5BD54277F2}">
      <formula1>INDIRECT("LISTAssess[Assessment Specific]")</formula1>
    </dataValidation>
    <dataValidation type="whole" showInputMessage="1" showErrorMessage="1" error="This is not a realistic number of contact hours please change" sqref="D19" xr:uid="{10DA0BDB-6881-4DE2-8527-3C1CEEABB2A7}">
      <formula1>0</formula1>
      <formula2>80</formula2>
    </dataValidation>
    <dataValidation type="whole" showInputMessage="1" showErrorMessage="1" error="This is not a realistic number of contact hours please reduce" sqref="D20:D23" xr:uid="{E48C1905-2C10-4874-A717-610D2C32F199}">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49E86CF4-8108-4F51-B073-02276940F342}">
          <x14:formula1>
            <xm:f>LISTS!$J$7:$J$16</xm:f>
          </x14:formula1>
          <xm:sqref>E46:E66</xm:sqref>
        </x14:dataValidation>
        <x14:dataValidation type="list" allowBlank="1" showInputMessage="1" showErrorMessage="1" xr:uid="{06465257-54DA-440C-A18F-A20A74E289A8}">
          <x14:formula1>
            <xm:f>LISTS!$E$7:$E$11</xm:f>
          </x14:formula1>
          <xm:sqref>D46:D66</xm:sqref>
        </x14:dataValidation>
        <x14:dataValidation type="list" allowBlank="1" showInputMessage="1" showErrorMessage="1" xr:uid="{92190BF3-9D32-4DB4-A8BA-763515453B32}">
          <x14:formula1>
            <xm:f>LISTS!$G$7:$G$11</xm:f>
          </x14:formula1>
          <xm:sqref>D38:D42</xm:sqref>
        </x14:dataValidation>
        <x14:dataValidation type="list" allowBlank="1" showInputMessage="1" showErrorMessage="1" xr:uid="{9C410528-EEF6-42C6-92FD-9BC401213F1A}">
          <x14:formula1>
            <xm:f>LISTS!$C$11:$C$15</xm:f>
          </x14:formula1>
          <xm:sqref>D11</xm:sqref>
        </x14:dataValidation>
        <x14:dataValidation type="list" allowBlank="1" showInputMessage="1" showErrorMessage="1" xr:uid="{5F355864-A09D-4BF0-A234-3B9D71AC5817}">
          <x14:formula1>
            <xm:f>LISTS!$C$7:$C$9</xm:f>
          </x14:formula1>
          <xm:sqref>D10</xm:sqref>
        </x14:dataValidation>
        <x14:dataValidation type="list" allowBlank="1" showInputMessage="1" showErrorMessage="1" xr:uid="{3E88FD4F-65B0-4FA6-855E-DADD7E372352}">
          <x14:formula1>
            <xm:f>LISTS!$C$17:$C$22</xm:f>
          </x14:formula1>
          <xm:sqref>D13</xm:sqref>
        </x14:dataValidation>
        <x14:dataValidation type="list" allowBlank="1" showInputMessage="1" showErrorMessage="1" xr:uid="{D7C64E59-53DD-4059-A4BB-E06393A734C2}">
          <x14:formula1>
            <xm:f>LISTS!$C$26:$C$37</xm:f>
          </x14:formula1>
          <xm:sqref>D14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7B7A-D282-4FA8-AE69-A4F29B437E85}">
  <sheetPr codeName="Sheet2"/>
  <dimension ref="B2:H94"/>
  <sheetViews>
    <sheetView showGridLines="0" topLeftCell="A2"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4003SPS</v>
      </c>
      <c r="D2" s="27" t="str">
        <f>D8</f>
        <v>Principles of Human Nutrition</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118</v>
      </c>
      <c r="E7" s="32"/>
      <c r="F7" s="6" t="s">
        <v>119</v>
      </c>
    </row>
    <row r="8" spans="2:6" x14ac:dyDescent="0.25">
      <c r="B8" s="29"/>
      <c r="C8" s="36" t="s">
        <v>7</v>
      </c>
      <c r="D8" s="6" t="s">
        <v>120</v>
      </c>
      <c r="E8" s="32"/>
      <c r="F8" s="4"/>
    </row>
    <row r="9" spans="2:6" x14ac:dyDescent="0.25">
      <c r="C9" s="36" t="s">
        <v>9</v>
      </c>
      <c r="D9" s="1">
        <v>20</v>
      </c>
      <c r="E9" s="32"/>
    </row>
    <row r="10" spans="2:6" x14ac:dyDescent="0.25">
      <c r="C10" s="36" t="s">
        <v>10</v>
      </c>
      <c r="D10" s="1">
        <v>1</v>
      </c>
      <c r="E10" s="32"/>
      <c r="F10" t="s">
        <v>12</v>
      </c>
    </row>
    <row r="11" spans="2:6" x14ac:dyDescent="0.25">
      <c r="C11" s="36" t="s">
        <v>13</v>
      </c>
      <c r="D11" s="1">
        <v>4</v>
      </c>
      <c r="E11" s="32"/>
      <c r="F11" s="6" t="s">
        <v>121</v>
      </c>
    </row>
    <row r="12" spans="2:6" x14ac:dyDescent="0.25">
      <c r="C12" s="36" t="s">
        <v>15</v>
      </c>
      <c r="D12" s="1" t="s">
        <v>122</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124</v>
      </c>
    </row>
    <row r="17" spans="3:6" ht="18.75" x14ac:dyDescent="0.25">
      <c r="C17" s="30" t="s">
        <v>23</v>
      </c>
      <c r="D17" s="32"/>
      <c r="E17" s="32"/>
      <c r="F17" s="4"/>
    </row>
    <row r="18" spans="3:6" x14ac:dyDescent="0.25">
      <c r="C18" s="31" t="s">
        <v>24</v>
      </c>
      <c r="D18" s="28" t="s">
        <v>23</v>
      </c>
      <c r="E18" s="32"/>
      <c r="F18" s="4"/>
    </row>
    <row r="19" spans="3:6" x14ac:dyDescent="0.25">
      <c r="C19" s="36" t="s">
        <v>25</v>
      </c>
      <c r="D19" s="2">
        <v>20</v>
      </c>
      <c r="E19" s="32"/>
      <c r="F19" s="4"/>
    </row>
    <row r="20" spans="3:6" x14ac:dyDescent="0.25">
      <c r="C20" s="36" t="s">
        <v>26</v>
      </c>
      <c r="D20" s="2">
        <v>15</v>
      </c>
      <c r="E20" s="32"/>
      <c r="F20" s="4"/>
    </row>
    <row r="21" spans="3:6" x14ac:dyDescent="0.25">
      <c r="C21" s="36" t="s">
        <v>27</v>
      </c>
      <c r="D21" s="2">
        <v>9</v>
      </c>
      <c r="E21" s="32"/>
    </row>
    <row r="22" spans="3:6" x14ac:dyDescent="0.25">
      <c r="C22" s="36" t="s">
        <v>28</v>
      </c>
      <c r="D22" s="2">
        <v>3</v>
      </c>
      <c r="E22" s="32"/>
      <c r="F22" t="s">
        <v>29</v>
      </c>
    </row>
    <row r="23" spans="3:6" x14ac:dyDescent="0.25">
      <c r="C23" s="36" t="s">
        <v>30</v>
      </c>
      <c r="D23" s="2"/>
      <c r="E23" s="32"/>
      <c r="F23" s="8" t="s">
        <v>125</v>
      </c>
    </row>
    <row r="24" spans="3:6" x14ac:dyDescent="0.25">
      <c r="C24" s="36" t="s">
        <v>32</v>
      </c>
      <c r="D24" s="28">
        <f>SUM(D19:D23)</f>
        <v>47</v>
      </c>
      <c r="E24" s="32"/>
      <c r="F24" s="8" t="s">
        <v>126</v>
      </c>
    </row>
    <row r="25" spans="3:6" x14ac:dyDescent="0.25">
      <c r="F25" s="8" t="s">
        <v>127</v>
      </c>
    </row>
    <row r="26" spans="3:6" x14ac:dyDescent="0.25">
      <c r="F26" s="8" t="s">
        <v>128</v>
      </c>
    </row>
    <row r="27" spans="3:6" ht="18.75" x14ac:dyDescent="0.25">
      <c r="C27" s="30" t="s">
        <v>36</v>
      </c>
      <c r="D27" s="33" t="s">
        <v>37</v>
      </c>
      <c r="F27" s="8" t="s">
        <v>129</v>
      </c>
    </row>
    <row r="28" spans="3:6" x14ac:dyDescent="0.25">
      <c r="C28" s="31" t="s">
        <v>39</v>
      </c>
      <c r="D28" s="31" t="s">
        <v>40</v>
      </c>
      <c r="E28" s="31"/>
      <c r="F28" s="4"/>
    </row>
    <row r="29" spans="3:6" x14ac:dyDescent="0.25">
      <c r="C29" s="36" t="s">
        <v>42</v>
      </c>
      <c r="D29" s="8" t="s">
        <v>130</v>
      </c>
      <c r="E29" s="32"/>
      <c r="F29" s="4"/>
    </row>
    <row r="30" spans="3:6" x14ac:dyDescent="0.25">
      <c r="C30" s="36" t="s">
        <v>44</v>
      </c>
      <c r="D30" s="8" t="s">
        <v>131</v>
      </c>
      <c r="E30" s="32"/>
      <c r="F30" s="4"/>
    </row>
    <row r="31" spans="3:6" x14ac:dyDescent="0.25">
      <c r="C31" s="36" t="s">
        <v>46</v>
      </c>
      <c r="D31" s="8" t="s">
        <v>132</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8" t="s">
        <v>134</v>
      </c>
      <c r="F38" s="8" t="s">
        <v>135</v>
      </c>
      <c r="G38" s="3">
        <v>0.5</v>
      </c>
      <c r="H38" s="1">
        <v>8</v>
      </c>
    </row>
    <row r="39" spans="3:8" x14ac:dyDescent="0.25">
      <c r="C39" s="36" t="s">
        <v>61</v>
      </c>
      <c r="D39" s="1" t="s">
        <v>136</v>
      </c>
      <c r="E39" s="8" t="s">
        <v>137</v>
      </c>
      <c r="F39" s="1"/>
      <c r="G39" s="3">
        <v>0.5</v>
      </c>
      <c r="H39" s="1">
        <v>17</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139</v>
      </c>
    </row>
    <row r="47" spans="3:8" x14ac:dyDescent="0.25">
      <c r="C47" s="5" t="s">
        <v>57</v>
      </c>
      <c r="D47" s="4" t="s">
        <v>42</v>
      </c>
      <c r="E47" s="4" t="s">
        <v>73</v>
      </c>
      <c r="F47" s="4" t="s">
        <v>140</v>
      </c>
    </row>
    <row r="48" spans="3:8" x14ac:dyDescent="0.25">
      <c r="C48" s="5" t="s">
        <v>57</v>
      </c>
      <c r="D48" s="4" t="s">
        <v>44</v>
      </c>
      <c r="E48" s="4" t="s">
        <v>73</v>
      </c>
      <c r="F48" s="4" t="s">
        <v>74</v>
      </c>
    </row>
    <row r="49" spans="3:6" x14ac:dyDescent="0.25">
      <c r="C49" s="5" t="s">
        <v>61</v>
      </c>
      <c r="D49" s="4" t="s">
        <v>44</v>
      </c>
      <c r="E49" s="4" t="s">
        <v>138</v>
      </c>
      <c r="F49" s="4" t="s">
        <v>139</v>
      </c>
    </row>
    <row r="50" spans="3:6" x14ac:dyDescent="0.25">
      <c r="C50" s="5" t="s">
        <v>61</v>
      </c>
      <c r="D50" s="4" t="s">
        <v>44</v>
      </c>
      <c r="E50" s="4" t="s">
        <v>71</v>
      </c>
      <c r="F50" s="4" t="s">
        <v>72</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2" t="s">
        <v>141</v>
      </c>
      <c r="E71" s="13" t="s">
        <v>142</v>
      </c>
      <c r="F71" s="14" t="s">
        <v>143</v>
      </c>
    </row>
    <row r="72" spans="2:6" x14ac:dyDescent="0.25">
      <c r="B72" s="37">
        <v>1</v>
      </c>
      <c r="C72" s="38">
        <v>2</v>
      </c>
      <c r="D72" s="15" t="s">
        <v>144</v>
      </c>
      <c r="E72" s="16" t="s">
        <v>145</v>
      </c>
      <c r="F72" s="17" t="s">
        <v>146</v>
      </c>
    </row>
    <row r="73" spans="2:6" x14ac:dyDescent="0.25">
      <c r="B73" s="37">
        <v>1</v>
      </c>
      <c r="C73" s="38">
        <v>3</v>
      </c>
      <c r="D73" s="18" t="s">
        <v>147</v>
      </c>
      <c r="E73" s="19" t="s">
        <v>148</v>
      </c>
      <c r="F73" s="20" t="s">
        <v>149</v>
      </c>
    </row>
    <row r="74" spans="2:6" x14ac:dyDescent="0.25">
      <c r="B74" s="37">
        <v>1</v>
      </c>
      <c r="C74" s="38">
        <v>4</v>
      </c>
      <c r="D74" s="18" t="s">
        <v>150</v>
      </c>
      <c r="E74" s="19" t="s">
        <v>151</v>
      </c>
      <c r="F74" s="20" t="s">
        <v>152</v>
      </c>
    </row>
    <row r="75" spans="2:6" x14ac:dyDescent="0.25">
      <c r="B75" s="37">
        <v>1</v>
      </c>
      <c r="C75" s="38">
        <v>5</v>
      </c>
      <c r="D75" s="18" t="s">
        <v>153</v>
      </c>
      <c r="E75" s="19" t="s">
        <v>154</v>
      </c>
      <c r="F75" s="20" t="s">
        <v>155</v>
      </c>
    </row>
    <row r="76" spans="2:6" x14ac:dyDescent="0.25">
      <c r="B76" s="37">
        <v>1</v>
      </c>
      <c r="C76" s="38">
        <v>6</v>
      </c>
      <c r="D76" s="18" t="s">
        <v>156</v>
      </c>
      <c r="E76" s="21" t="s">
        <v>157</v>
      </c>
      <c r="F76" s="20" t="s">
        <v>158</v>
      </c>
    </row>
    <row r="77" spans="2:6" x14ac:dyDescent="0.25">
      <c r="B77" s="37">
        <v>1</v>
      </c>
      <c r="C77" s="38">
        <v>7</v>
      </c>
      <c r="D77" s="18" t="s">
        <v>159</v>
      </c>
      <c r="E77" s="19" t="s">
        <v>160</v>
      </c>
      <c r="F77" s="20" t="s">
        <v>161</v>
      </c>
    </row>
    <row r="78" spans="2:6" x14ac:dyDescent="0.25">
      <c r="B78" s="37">
        <v>1</v>
      </c>
      <c r="C78" s="38">
        <v>8</v>
      </c>
      <c r="D78" s="18" t="s">
        <v>162</v>
      </c>
      <c r="E78" s="19" t="s">
        <v>160</v>
      </c>
      <c r="F78" s="20" t="s">
        <v>163</v>
      </c>
    </row>
    <row r="79" spans="2:6" x14ac:dyDescent="0.25">
      <c r="B79" s="37">
        <v>1</v>
      </c>
      <c r="C79" s="38">
        <v>9</v>
      </c>
      <c r="D79" s="18" t="s">
        <v>164</v>
      </c>
      <c r="E79" s="19" t="s">
        <v>165</v>
      </c>
      <c r="F79" s="20" t="s">
        <v>166</v>
      </c>
    </row>
    <row r="80" spans="2:6" x14ac:dyDescent="0.25">
      <c r="B80" s="37">
        <v>1</v>
      </c>
      <c r="C80" s="38">
        <v>10</v>
      </c>
      <c r="D80" s="18" t="s">
        <v>167</v>
      </c>
      <c r="E80" s="19" t="s">
        <v>168</v>
      </c>
      <c r="F80" s="20" t="s">
        <v>169</v>
      </c>
    </row>
    <row r="81" spans="2:6" x14ac:dyDescent="0.25">
      <c r="B81" s="37">
        <v>1</v>
      </c>
      <c r="C81" s="38">
        <v>11</v>
      </c>
      <c r="D81" s="18" t="s">
        <v>170</v>
      </c>
      <c r="E81" s="19" t="s">
        <v>171</v>
      </c>
      <c r="F81" s="20" t="s">
        <v>172</v>
      </c>
    </row>
    <row r="82" spans="2:6" x14ac:dyDescent="0.25">
      <c r="B82" s="37">
        <v>1</v>
      </c>
      <c r="C82" s="38">
        <v>12</v>
      </c>
      <c r="D82" s="22" t="s">
        <v>173</v>
      </c>
      <c r="E82" s="23" t="s">
        <v>174</v>
      </c>
      <c r="F82" s="24" t="s">
        <v>175</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list" allowBlank="1" showInputMessage="1" showErrorMessage="1" sqref="F46:F66" xr:uid="{199417CD-50E7-40D5-ADCF-61994B27264E}">
      <formula1>INDIRECT(VLOOKUP($E46, SkillNameMap, 2, FALSE))</formula1>
    </dataValidation>
    <dataValidation type="list" allowBlank="1" showInputMessage="1" showErrorMessage="1" sqref="E40:E41" xr:uid="{9A8779B4-6AB6-45B5-A32C-6D89EAF36C8E}">
      <formula1>INDIRECT("LISTAssess[Assessment Specific]")</formula1>
    </dataValidation>
    <dataValidation type="whole" showInputMessage="1" showErrorMessage="1" error="This is not a realistic number of contact hours please change" sqref="D19" xr:uid="{DA3D6AB5-532B-4E6E-B5DD-7DD3330DB48F}">
      <formula1>0</formula1>
      <formula2>80</formula2>
    </dataValidation>
    <dataValidation type="whole" showInputMessage="1" showErrorMessage="1" error="This is not a realistic number of contact hours please reduce" sqref="D20:D23" xr:uid="{3732E239-C09D-43A7-9D17-84966769CD9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5C65280C-5249-4CA6-9640-3CC5D292F59A}">
          <x14:formula1>
            <xm:f>LISTS!$J$7:$J$16</xm:f>
          </x14:formula1>
          <xm:sqref>E46:E66</xm:sqref>
        </x14:dataValidation>
        <x14:dataValidation type="list" allowBlank="1" showInputMessage="1" showErrorMessage="1" xr:uid="{009B3F76-CBC5-41A8-84DE-D4AD00A25980}">
          <x14:formula1>
            <xm:f>LISTS!$E$7:$E$11</xm:f>
          </x14:formula1>
          <xm:sqref>D46:D66</xm:sqref>
        </x14:dataValidation>
        <x14:dataValidation type="list" allowBlank="1" showInputMessage="1" showErrorMessage="1" xr:uid="{E4C466FC-4B20-43FE-83BB-6DB372D1E2AF}">
          <x14:formula1>
            <xm:f>LISTS!$G$7:$G$11</xm:f>
          </x14:formula1>
          <xm:sqref>D38:D42</xm:sqref>
        </x14:dataValidation>
        <x14:dataValidation type="list" allowBlank="1" showInputMessage="1" showErrorMessage="1" xr:uid="{FDF99DCE-273A-4E69-9925-00724A3BE75B}">
          <x14:formula1>
            <xm:f>LISTS!$C$11:$C$15</xm:f>
          </x14:formula1>
          <xm:sqref>D11</xm:sqref>
        </x14:dataValidation>
        <x14:dataValidation type="list" allowBlank="1" showInputMessage="1" showErrorMessage="1" xr:uid="{B71F4674-23DF-4DB6-881E-607B855CE61E}">
          <x14:formula1>
            <xm:f>LISTS!$C$7:$C$9</xm:f>
          </x14:formula1>
          <xm:sqref>D10</xm:sqref>
        </x14:dataValidation>
        <x14:dataValidation type="list" allowBlank="1" showInputMessage="1" showErrorMessage="1" xr:uid="{13441B70-6771-46A0-B42D-7619C487A66C}">
          <x14:formula1>
            <xm:f>LISTS!$C$17:$C$22</xm:f>
          </x14:formula1>
          <xm:sqref>D13</xm:sqref>
        </x14:dataValidation>
        <x14:dataValidation type="list" allowBlank="1" showInputMessage="1" showErrorMessage="1" xr:uid="{27FAA946-26BF-4A0D-A78A-94B40A846A90}">
          <x14:formula1>
            <xm:f>LISTS!$C$26:$C$37</xm:f>
          </x14:formula1>
          <xm:sqref>D14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5F39-4768-4BDC-BBAF-EDA933F6EC41}">
  <sheetPr codeName="Sheet3"/>
  <dimension ref="B2:H94"/>
  <sheetViews>
    <sheetView showGridLines="0" topLeftCell="B1"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4004SPS</v>
      </c>
      <c r="D2" s="27" t="str">
        <f>D8</f>
        <v>Nutritional Biochemistry and Metabolism</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176</v>
      </c>
      <c r="E7" s="32"/>
      <c r="F7" s="6" t="s">
        <v>177</v>
      </c>
    </row>
    <row r="8" spans="2:6" x14ac:dyDescent="0.25">
      <c r="B8" s="29"/>
      <c r="C8" s="36" t="s">
        <v>7</v>
      </c>
      <c r="D8" s="6" t="s">
        <v>178</v>
      </c>
      <c r="E8" s="32"/>
      <c r="F8" s="4"/>
    </row>
    <row r="9" spans="2:6" x14ac:dyDescent="0.25">
      <c r="C9" s="36" t="s">
        <v>9</v>
      </c>
      <c r="D9" s="1">
        <v>20</v>
      </c>
      <c r="E9" s="32"/>
    </row>
    <row r="10" spans="2:6" x14ac:dyDescent="0.25">
      <c r="C10" s="36" t="s">
        <v>10</v>
      </c>
      <c r="D10" s="1">
        <v>2</v>
      </c>
      <c r="E10" s="32"/>
      <c r="F10" t="s">
        <v>12</v>
      </c>
    </row>
    <row r="11" spans="2:6" x14ac:dyDescent="0.25">
      <c r="C11" s="36" t="s">
        <v>13</v>
      </c>
      <c r="D11" s="1">
        <v>4</v>
      </c>
      <c r="E11" s="32"/>
      <c r="F11" s="6" t="s">
        <v>179</v>
      </c>
    </row>
    <row r="12" spans="2:6" x14ac:dyDescent="0.25">
      <c r="C12" s="36" t="s">
        <v>15</v>
      </c>
      <c r="D12" s="1" t="s">
        <v>180</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181</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182</v>
      </c>
    </row>
    <row r="24" spans="3:6" x14ac:dyDescent="0.25">
      <c r="C24" s="36" t="s">
        <v>32</v>
      </c>
      <c r="D24" s="28">
        <f>SUM(D19:D23)</f>
        <v>0</v>
      </c>
      <c r="E24" s="32"/>
      <c r="F24" s="8" t="s">
        <v>183</v>
      </c>
    </row>
    <row r="25" spans="3:6" x14ac:dyDescent="0.25">
      <c r="F25" s="8" t="s">
        <v>184</v>
      </c>
    </row>
    <row r="26" spans="3:6" x14ac:dyDescent="0.25">
      <c r="F26" s="8" t="s">
        <v>185</v>
      </c>
    </row>
    <row r="27" spans="3:6" ht="18.75" x14ac:dyDescent="0.25">
      <c r="C27" s="30" t="s">
        <v>36</v>
      </c>
      <c r="D27" s="33" t="s">
        <v>37</v>
      </c>
      <c r="F27" s="8" t="s">
        <v>186</v>
      </c>
    </row>
    <row r="28" spans="3:6" x14ac:dyDescent="0.25">
      <c r="C28" s="31" t="s">
        <v>39</v>
      </c>
      <c r="D28" s="31" t="s">
        <v>40</v>
      </c>
      <c r="E28" s="31"/>
      <c r="F28" s="8" t="s">
        <v>187</v>
      </c>
    </row>
    <row r="29" spans="3:6" x14ac:dyDescent="0.25">
      <c r="C29" s="36" t="s">
        <v>42</v>
      </c>
      <c r="D29" s="8" t="s">
        <v>188</v>
      </c>
      <c r="E29" s="32"/>
      <c r="F29" s="8" t="s">
        <v>189</v>
      </c>
    </row>
    <row r="30" spans="3:6" x14ac:dyDescent="0.25">
      <c r="C30" s="36" t="s">
        <v>44</v>
      </c>
      <c r="D30" s="25" t="s">
        <v>190</v>
      </c>
      <c r="E30" s="32"/>
      <c r="F30" s="4"/>
    </row>
    <row r="31" spans="3:6" x14ac:dyDescent="0.25">
      <c r="C31" s="36" t="s">
        <v>46</v>
      </c>
      <c r="D31" s="25" t="s">
        <v>191</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136</v>
      </c>
      <c r="E38" s="8" t="s">
        <v>192</v>
      </c>
      <c r="F38" s="6" t="s">
        <v>193</v>
      </c>
      <c r="G38" s="3">
        <v>0.5</v>
      </c>
      <c r="H38" s="1">
        <v>25</v>
      </c>
    </row>
    <row r="39" spans="3:8" x14ac:dyDescent="0.25">
      <c r="C39" s="36" t="s">
        <v>61</v>
      </c>
      <c r="D39" s="1" t="s">
        <v>133</v>
      </c>
      <c r="E39" s="8" t="s">
        <v>194</v>
      </c>
      <c r="F39" s="1" t="s">
        <v>195</v>
      </c>
      <c r="G39" s="3">
        <v>0.5</v>
      </c>
      <c r="H39" s="1">
        <v>32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139</v>
      </c>
    </row>
    <row r="47" spans="3:8" x14ac:dyDescent="0.25">
      <c r="C47" s="5" t="s">
        <v>57</v>
      </c>
      <c r="D47" s="4" t="s">
        <v>42</v>
      </c>
      <c r="E47" s="4" t="s">
        <v>138</v>
      </c>
      <c r="F47" s="4" t="s">
        <v>196</v>
      </c>
    </row>
    <row r="48" spans="3:8" x14ac:dyDescent="0.25">
      <c r="C48" s="5" t="s">
        <v>57</v>
      </c>
      <c r="D48" s="4" t="s">
        <v>46</v>
      </c>
      <c r="E48" s="4" t="s">
        <v>71</v>
      </c>
      <c r="F48" s="4" t="s">
        <v>197</v>
      </c>
    </row>
    <row r="49" spans="3:6" x14ac:dyDescent="0.25">
      <c r="C49" s="5" t="s">
        <v>61</v>
      </c>
      <c r="D49" s="4" t="s">
        <v>42</v>
      </c>
      <c r="E49" s="4" t="s">
        <v>73</v>
      </c>
      <c r="F49" s="4" t="s">
        <v>140</v>
      </c>
    </row>
    <row r="50" spans="3:6" x14ac:dyDescent="0.25">
      <c r="C50" s="5" t="s">
        <v>61</v>
      </c>
      <c r="D50" s="4" t="s">
        <v>44</v>
      </c>
      <c r="E50" s="4" t="s">
        <v>138</v>
      </c>
      <c r="F50" s="4" t="s">
        <v>198</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c r="E71" s="1"/>
      <c r="F71" s="1"/>
    </row>
    <row r="72" spans="2:6" x14ac:dyDescent="0.25">
      <c r="B72" s="37">
        <v>1</v>
      </c>
      <c r="C72" s="38">
        <v>2</v>
      </c>
      <c r="D72" s="1"/>
      <c r="E72" s="1"/>
      <c r="F72" s="1"/>
    </row>
    <row r="73" spans="2:6" x14ac:dyDescent="0.25">
      <c r="B73" s="37">
        <v>1</v>
      </c>
      <c r="C73" s="38">
        <v>3</v>
      </c>
      <c r="D73" s="1"/>
      <c r="E73" s="1"/>
      <c r="F73" s="1"/>
    </row>
    <row r="74" spans="2:6" x14ac:dyDescent="0.25">
      <c r="B74" s="37">
        <v>1</v>
      </c>
      <c r="C74" s="38">
        <v>4</v>
      </c>
      <c r="D74" s="1"/>
      <c r="E74" s="1"/>
      <c r="F74" s="1"/>
    </row>
    <row r="75" spans="2:6" x14ac:dyDescent="0.25">
      <c r="B75" s="37">
        <v>1</v>
      </c>
      <c r="C75" s="38">
        <v>5</v>
      </c>
      <c r="D75" s="1"/>
      <c r="E75" s="1"/>
      <c r="F75" s="1"/>
    </row>
    <row r="76" spans="2:6" x14ac:dyDescent="0.25">
      <c r="B76" s="37">
        <v>1</v>
      </c>
      <c r="C76" s="38">
        <v>6</v>
      </c>
      <c r="D76" s="1"/>
      <c r="E76" s="1"/>
      <c r="F76" s="1"/>
    </row>
    <row r="77" spans="2:6" x14ac:dyDescent="0.25">
      <c r="B77" s="37">
        <v>1</v>
      </c>
      <c r="C77" s="38">
        <v>7</v>
      </c>
      <c r="D77" s="1"/>
      <c r="E77" s="1"/>
      <c r="F77" s="1"/>
    </row>
    <row r="78" spans="2:6" x14ac:dyDescent="0.25">
      <c r="B78" s="37">
        <v>1</v>
      </c>
      <c r="C78" s="38">
        <v>8</v>
      </c>
      <c r="D78" s="1"/>
      <c r="E78" s="1"/>
      <c r="F78" s="1"/>
    </row>
    <row r="79" spans="2:6" x14ac:dyDescent="0.25">
      <c r="B79" s="37">
        <v>1</v>
      </c>
      <c r="C79" s="38">
        <v>9</v>
      </c>
      <c r="D79" s="1"/>
      <c r="E79" s="1"/>
      <c r="F79" s="1"/>
    </row>
    <row r="80" spans="2:6" x14ac:dyDescent="0.25">
      <c r="B80" s="37">
        <v>1</v>
      </c>
      <c r="C80" s="38">
        <v>10</v>
      </c>
      <c r="D80" s="1"/>
      <c r="E80" s="1"/>
      <c r="F80" s="1"/>
    </row>
    <row r="81" spans="2:6" x14ac:dyDescent="0.25">
      <c r="B81" s="37">
        <v>1</v>
      </c>
      <c r="C81" s="38">
        <v>11</v>
      </c>
      <c r="D81" s="1"/>
      <c r="E81" s="1"/>
      <c r="F81" s="1"/>
    </row>
    <row r="82" spans="2:6" x14ac:dyDescent="0.25">
      <c r="B82" s="37">
        <v>1</v>
      </c>
      <c r="C82" s="38">
        <v>12</v>
      </c>
      <c r="D82" s="1"/>
      <c r="E82" s="1"/>
      <c r="F82" s="1"/>
    </row>
    <row r="83" spans="2:6" x14ac:dyDescent="0.25">
      <c r="B83" s="37">
        <v>2</v>
      </c>
      <c r="C83" s="38">
        <v>1</v>
      </c>
      <c r="D83" s="15" t="s">
        <v>199</v>
      </c>
      <c r="E83" s="16" t="s">
        <v>142</v>
      </c>
      <c r="F83" s="17" t="s">
        <v>200</v>
      </c>
    </row>
    <row r="84" spans="2:6" x14ac:dyDescent="0.25">
      <c r="B84" s="37">
        <v>2</v>
      </c>
      <c r="C84" s="38">
        <v>2</v>
      </c>
      <c r="D84" s="18" t="s">
        <v>201</v>
      </c>
      <c r="E84" s="19" t="s">
        <v>202</v>
      </c>
      <c r="F84" s="20" t="s">
        <v>203</v>
      </c>
    </row>
    <row r="85" spans="2:6" x14ac:dyDescent="0.25">
      <c r="B85" s="37">
        <v>2</v>
      </c>
      <c r="C85" s="38">
        <v>3</v>
      </c>
      <c r="D85" s="18" t="s">
        <v>204</v>
      </c>
      <c r="E85" s="19" t="s">
        <v>205</v>
      </c>
      <c r="F85" s="20" t="s">
        <v>206</v>
      </c>
    </row>
    <row r="86" spans="2:6" x14ac:dyDescent="0.25">
      <c r="B86" s="37">
        <v>2</v>
      </c>
      <c r="C86" s="38">
        <v>4</v>
      </c>
      <c r="D86" s="18" t="s">
        <v>207</v>
      </c>
      <c r="E86" s="19" t="s">
        <v>208</v>
      </c>
      <c r="F86" s="20" t="s">
        <v>209</v>
      </c>
    </row>
    <row r="87" spans="2:6" x14ac:dyDescent="0.25">
      <c r="B87" s="37">
        <v>2</v>
      </c>
      <c r="C87" s="38">
        <v>5</v>
      </c>
      <c r="D87" s="18" t="s">
        <v>210</v>
      </c>
      <c r="E87" s="19" t="s">
        <v>211</v>
      </c>
      <c r="F87" s="20" t="s">
        <v>212</v>
      </c>
    </row>
    <row r="88" spans="2:6" x14ac:dyDescent="0.25">
      <c r="B88" s="37">
        <v>2</v>
      </c>
      <c r="C88" s="38">
        <v>6</v>
      </c>
      <c r="D88" s="18" t="s">
        <v>213</v>
      </c>
      <c r="E88" s="19" t="s">
        <v>214</v>
      </c>
      <c r="F88" s="26" t="s">
        <v>215</v>
      </c>
    </row>
    <row r="89" spans="2:6" x14ac:dyDescent="0.25">
      <c r="B89" s="37">
        <v>2</v>
      </c>
      <c r="C89" s="38">
        <v>7</v>
      </c>
      <c r="D89" s="18" t="s">
        <v>216</v>
      </c>
      <c r="E89" s="19" t="s">
        <v>217</v>
      </c>
      <c r="F89" s="20" t="s">
        <v>218</v>
      </c>
    </row>
    <row r="90" spans="2:6" x14ac:dyDescent="0.25">
      <c r="B90" s="37">
        <v>2</v>
      </c>
      <c r="C90" s="38">
        <v>8</v>
      </c>
      <c r="D90" s="18" t="s">
        <v>219</v>
      </c>
      <c r="E90" s="19" t="s">
        <v>220</v>
      </c>
      <c r="F90" s="20" t="s">
        <v>221</v>
      </c>
    </row>
    <row r="91" spans="2:6" x14ac:dyDescent="0.25">
      <c r="B91" s="37">
        <v>2</v>
      </c>
      <c r="C91" s="38">
        <v>9</v>
      </c>
      <c r="D91" s="18" t="s">
        <v>222</v>
      </c>
      <c r="E91" s="19" t="s">
        <v>223</v>
      </c>
      <c r="F91" s="20" t="s">
        <v>224</v>
      </c>
    </row>
    <row r="92" spans="2:6" x14ac:dyDescent="0.25">
      <c r="B92" s="37">
        <v>2</v>
      </c>
      <c r="C92" s="38">
        <v>10</v>
      </c>
      <c r="D92" s="18" t="s">
        <v>225</v>
      </c>
      <c r="E92" s="19" t="s">
        <v>226</v>
      </c>
      <c r="F92" s="20" t="s">
        <v>227</v>
      </c>
    </row>
    <row r="93" spans="2:6" x14ac:dyDescent="0.25">
      <c r="B93" s="37">
        <v>2</v>
      </c>
      <c r="C93" s="38">
        <v>11</v>
      </c>
      <c r="D93" s="18" t="s">
        <v>228</v>
      </c>
      <c r="E93" s="19" t="s">
        <v>229</v>
      </c>
      <c r="F93" s="20" t="s">
        <v>230</v>
      </c>
    </row>
    <row r="94" spans="2:6" x14ac:dyDescent="0.25">
      <c r="B94" s="37">
        <v>2</v>
      </c>
      <c r="C94" s="38">
        <v>12</v>
      </c>
      <c r="D94" s="22" t="s">
        <v>231</v>
      </c>
      <c r="E94" s="23" t="s">
        <v>232</v>
      </c>
      <c r="F94" s="24" t="s">
        <v>233</v>
      </c>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06524273-2360-4C43-9154-4A480587EC5E}">
      <formula1>0</formula1>
      <formula2>80</formula2>
    </dataValidation>
    <dataValidation type="whole" showInputMessage="1" showErrorMessage="1" error="This is not a realistic number of contact hours please change" sqref="D19" xr:uid="{7B949394-BE34-4CC9-A9D6-7A75315A2DBB}">
      <formula1>0</formula1>
      <formula2>80</formula2>
    </dataValidation>
    <dataValidation type="list" allowBlank="1" showInputMessage="1" showErrorMessage="1" sqref="E40:E41" xr:uid="{B9D0113D-C789-41AE-B9C8-690F6C7A67B0}">
      <formula1>INDIRECT("LISTAssess[Assessment Specific]")</formula1>
    </dataValidation>
    <dataValidation type="list" allowBlank="1" showInputMessage="1" showErrorMessage="1" sqref="F46:F66" xr:uid="{3D662EF6-94E1-4350-B3D5-9F339CA0FD80}">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D03A4CC7-9A30-452E-97E5-E03FCC9419A4}">
          <x14:formula1>
            <xm:f>LISTS!$C$26:$C$37</xm:f>
          </x14:formula1>
          <xm:sqref>D14</xm:sqref>
        </x14:dataValidation>
        <x14:dataValidation type="list" allowBlank="1" showInputMessage="1" showErrorMessage="1" xr:uid="{B7DB85EB-DFB5-437F-BA0C-32D4D2070C4D}">
          <x14:formula1>
            <xm:f>LISTS!$C$17:$C$22</xm:f>
          </x14:formula1>
          <xm:sqref>D13</xm:sqref>
        </x14:dataValidation>
        <x14:dataValidation type="list" allowBlank="1" showInputMessage="1" showErrorMessage="1" xr:uid="{82DFBB4E-D28E-4403-815A-4704BBB7702D}">
          <x14:formula1>
            <xm:f>LISTS!$C$7:$C$9</xm:f>
          </x14:formula1>
          <xm:sqref>D10</xm:sqref>
        </x14:dataValidation>
        <x14:dataValidation type="list" allowBlank="1" showInputMessage="1" showErrorMessage="1" xr:uid="{D8278727-60ED-4240-AED9-43FB98158BAE}">
          <x14:formula1>
            <xm:f>LISTS!$C$11:$C$15</xm:f>
          </x14:formula1>
          <xm:sqref>D11</xm:sqref>
        </x14:dataValidation>
        <x14:dataValidation type="list" allowBlank="1" showInputMessage="1" showErrorMessage="1" xr:uid="{7F080A95-6299-4905-8FCE-548941111CEB}">
          <x14:formula1>
            <xm:f>LISTS!$G$7:$G$11</xm:f>
          </x14:formula1>
          <xm:sqref>D38:D42</xm:sqref>
        </x14:dataValidation>
        <x14:dataValidation type="list" allowBlank="1" showInputMessage="1" showErrorMessage="1" xr:uid="{DD24076C-D431-4B83-8FB6-3800945C7C90}">
          <x14:formula1>
            <xm:f>LISTS!$E$7:$E$11</xm:f>
          </x14:formula1>
          <xm:sqref>D46:D66</xm:sqref>
        </x14:dataValidation>
        <x14:dataValidation type="list" allowBlank="1" showInputMessage="1" showErrorMessage="1" xr:uid="{C1ACB768-367A-4765-AEE3-B6D50718CC09}">
          <x14:formula1>
            <xm:f>LISTS!$J$7:$J$16</xm:f>
          </x14:formula1>
          <xm:sqref>E46:E66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FE9-F6DD-4E3D-9B0A-EE0E4450ED7C}">
  <sheetPr codeName="Sheet4"/>
  <dimension ref="B2:H94"/>
  <sheetViews>
    <sheetView showGridLines="0" zoomScale="85" zoomScaleNormal="85" workbookViewId="0">
      <selection activeCell="F46" sqref="F46"/>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4006SPS</v>
      </c>
      <c r="D2" s="27" t="str">
        <f>D8</f>
        <v>Performance Nutrition</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234</v>
      </c>
      <c r="E7" s="32"/>
      <c r="F7" s="6" t="s">
        <v>235</v>
      </c>
    </row>
    <row r="8" spans="2:6" x14ac:dyDescent="0.25">
      <c r="B8" s="29"/>
      <c r="C8" s="36" t="s">
        <v>7</v>
      </c>
      <c r="D8" s="6" t="s">
        <v>236</v>
      </c>
      <c r="E8" s="32"/>
      <c r="F8" s="4"/>
    </row>
    <row r="9" spans="2:6" x14ac:dyDescent="0.25">
      <c r="C9" s="36" t="s">
        <v>9</v>
      </c>
      <c r="D9" s="1">
        <v>20</v>
      </c>
      <c r="E9" s="32"/>
    </row>
    <row r="10" spans="2:6" x14ac:dyDescent="0.25">
      <c r="C10" s="36" t="s">
        <v>10</v>
      </c>
      <c r="D10" s="1">
        <v>2</v>
      </c>
      <c r="E10" s="32"/>
      <c r="F10" t="s">
        <v>12</v>
      </c>
    </row>
    <row r="11" spans="2:6" x14ac:dyDescent="0.25">
      <c r="C11" s="36" t="s">
        <v>13</v>
      </c>
      <c r="D11" s="1">
        <v>4</v>
      </c>
      <c r="E11" s="32"/>
      <c r="F11" s="6" t="s">
        <v>237</v>
      </c>
    </row>
    <row r="12" spans="2:6" x14ac:dyDescent="0.25">
      <c r="C12" s="36" t="s">
        <v>15</v>
      </c>
      <c r="D12" s="1" t="s">
        <v>238</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239</v>
      </c>
    </row>
    <row r="17" spans="3:6" ht="18.75" x14ac:dyDescent="0.25">
      <c r="C17" s="30" t="s">
        <v>23</v>
      </c>
      <c r="D17" s="32"/>
      <c r="E17" s="32"/>
      <c r="F17" s="4"/>
    </row>
    <row r="18" spans="3:6" x14ac:dyDescent="0.25">
      <c r="C18" s="31" t="s">
        <v>24</v>
      </c>
      <c r="D18" s="28" t="s">
        <v>23</v>
      </c>
      <c r="E18" s="32"/>
      <c r="F18" s="4"/>
    </row>
    <row r="19" spans="3:6" x14ac:dyDescent="0.25">
      <c r="C19" s="36" t="s">
        <v>25</v>
      </c>
      <c r="D19" s="2">
        <v>22</v>
      </c>
      <c r="E19" s="32"/>
      <c r="F19" s="4"/>
    </row>
    <row r="20" spans="3:6" x14ac:dyDescent="0.25">
      <c r="C20" s="36" t="s">
        <v>26</v>
      </c>
      <c r="D20" s="2"/>
      <c r="E20" s="32"/>
      <c r="F20" s="4"/>
    </row>
    <row r="21" spans="3:6" x14ac:dyDescent="0.25">
      <c r="C21" s="36" t="s">
        <v>27</v>
      </c>
      <c r="D21" s="2">
        <v>8</v>
      </c>
      <c r="E21" s="32"/>
    </row>
    <row r="22" spans="3:6" x14ac:dyDescent="0.25">
      <c r="C22" s="36" t="s">
        <v>28</v>
      </c>
      <c r="D22" s="2">
        <v>14</v>
      </c>
      <c r="E22" s="32"/>
      <c r="F22" t="s">
        <v>29</v>
      </c>
    </row>
    <row r="23" spans="3:6" x14ac:dyDescent="0.25">
      <c r="C23" s="36" t="s">
        <v>30</v>
      </c>
      <c r="D23" s="2"/>
      <c r="E23" s="32"/>
      <c r="F23" s="8" t="s">
        <v>240</v>
      </c>
    </row>
    <row r="24" spans="3:6" x14ac:dyDescent="0.25">
      <c r="C24" s="36" t="s">
        <v>32</v>
      </c>
      <c r="D24" s="28">
        <f>SUM(D19:D23)</f>
        <v>44</v>
      </c>
      <c r="E24" s="32"/>
      <c r="F24" s="8" t="s">
        <v>241</v>
      </c>
    </row>
    <row r="25" spans="3:6" x14ac:dyDescent="0.25">
      <c r="F25" s="8" t="s">
        <v>242</v>
      </c>
    </row>
    <row r="26" spans="3:6" x14ac:dyDescent="0.25">
      <c r="F26" s="8" t="s">
        <v>187</v>
      </c>
    </row>
    <row r="27" spans="3:6" ht="18.75" x14ac:dyDescent="0.25">
      <c r="C27" s="30" t="s">
        <v>36</v>
      </c>
      <c r="D27" s="33" t="s">
        <v>37</v>
      </c>
      <c r="F27" s="8" t="s">
        <v>243</v>
      </c>
    </row>
    <row r="28" spans="3:6" x14ac:dyDescent="0.25">
      <c r="C28" s="31" t="s">
        <v>39</v>
      </c>
      <c r="D28" s="31" t="s">
        <v>40</v>
      </c>
      <c r="E28" s="31"/>
      <c r="F28" s="4"/>
    </row>
    <row r="29" spans="3:6" x14ac:dyDescent="0.25">
      <c r="C29" s="36" t="s">
        <v>42</v>
      </c>
      <c r="D29" s="8" t="s">
        <v>244</v>
      </c>
      <c r="E29" s="32"/>
      <c r="F29" s="4"/>
    </row>
    <row r="30" spans="3:6" x14ac:dyDescent="0.25">
      <c r="C30" s="36" t="s">
        <v>44</v>
      </c>
      <c r="D30" s="25" t="s">
        <v>245</v>
      </c>
      <c r="E30" s="32"/>
      <c r="F30" s="4"/>
    </row>
    <row r="31" spans="3:6" x14ac:dyDescent="0.25">
      <c r="C31" s="36" t="s">
        <v>46</v>
      </c>
      <c r="D31" s="25" t="s">
        <v>246</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247</v>
      </c>
      <c r="E38" s="1" t="s">
        <v>248</v>
      </c>
      <c r="F38" s="8" t="s">
        <v>249</v>
      </c>
      <c r="G38" s="3">
        <v>0.5</v>
      </c>
      <c r="H38" s="1">
        <v>32</v>
      </c>
    </row>
    <row r="39" spans="3:8" x14ac:dyDescent="0.25">
      <c r="C39" s="36" t="s">
        <v>61</v>
      </c>
      <c r="D39" s="1" t="s">
        <v>136</v>
      </c>
      <c r="E39" s="1" t="s">
        <v>250</v>
      </c>
      <c r="F39" s="1" t="s">
        <v>251</v>
      </c>
      <c r="G39" s="3">
        <v>0.5</v>
      </c>
      <c r="H39" s="1">
        <v>33</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46</v>
      </c>
      <c r="E46" s="4" t="s">
        <v>138</v>
      </c>
      <c r="F46" s="4" t="s">
        <v>139</v>
      </c>
    </row>
    <row r="47" spans="3:8" x14ac:dyDescent="0.25">
      <c r="C47" s="5" t="s">
        <v>57</v>
      </c>
      <c r="D47" s="4" t="s">
        <v>46</v>
      </c>
      <c r="E47" s="4" t="s">
        <v>252</v>
      </c>
      <c r="F47" s="4" t="s">
        <v>253</v>
      </c>
    </row>
    <row r="48" spans="3:8" x14ac:dyDescent="0.25">
      <c r="C48" s="5" t="s">
        <v>57</v>
      </c>
      <c r="D48" s="4" t="s">
        <v>44</v>
      </c>
      <c r="E48" s="4" t="s">
        <v>254</v>
      </c>
      <c r="F48" s="4" t="s">
        <v>255</v>
      </c>
    </row>
    <row r="49" spans="3:6" x14ac:dyDescent="0.25">
      <c r="C49" s="5" t="s">
        <v>61</v>
      </c>
      <c r="D49" s="4" t="s">
        <v>42</v>
      </c>
      <c r="E49" s="4" t="s">
        <v>138</v>
      </c>
      <c r="F49" s="4" t="s">
        <v>196</v>
      </c>
    </row>
    <row r="50" spans="3:6" x14ac:dyDescent="0.25">
      <c r="C50" s="5" t="s">
        <v>61</v>
      </c>
      <c r="D50" s="4"/>
      <c r="E50" s="4"/>
      <c r="F50" s="4"/>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c r="E71" s="1"/>
      <c r="F71" s="1"/>
    </row>
    <row r="72" spans="2:6" x14ac:dyDescent="0.25">
      <c r="B72" s="37">
        <v>1</v>
      </c>
      <c r="C72" s="38">
        <v>2</v>
      </c>
      <c r="D72" s="1"/>
      <c r="E72" s="1"/>
      <c r="F72" s="1"/>
    </row>
    <row r="73" spans="2:6" x14ac:dyDescent="0.25">
      <c r="B73" s="37">
        <v>1</v>
      </c>
      <c r="C73" s="38">
        <v>3</v>
      </c>
      <c r="D73" s="1"/>
      <c r="E73" s="1"/>
      <c r="F73" s="1"/>
    </row>
    <row r="74" spans="2:6" x14ac:dyDescent="0.25">
      <c r="B74" s="37">
        <v>1</v>
      </c>
      <c r="C74" s="38">
        <v>4</v>
      </c>
      <c r="D74" s="1"/>
      <c r="E74" s="1"/>
      <c r="F74" s="1"/>
    </row>
    <row r="75" spans="2:6" x14ac:dyDescent="0.25">
      <c r="B75" s="37">
        <v>1</v>
      </c>
      <c r="C75" s="38">
        <v>5</v>
      </c>
      <c r="D75" s="1"/>
      <c r="E75" s="1"/>
      <c r="F75" s="1"/>
    </row>
    <row r="76" spans="2:6" x14ac:dyDescent="0.25">
      <c r="B76" s="37">
        <v>1</v>
      </c>
      <c r="C76" s="38">
        <v>6</v>
      </c>
      <c r="D76" s="1"/>
      <c r="E76" s="1"/>
      <c r="F76" s="1"/>
    </row>
    <row r="77" spans="2:6" x14ac:dyDescent="0.25">
      <c r="B77" s="37">
        <v>1</v>
      </c>
      <c r="C77" s="38">
        <v>7</v>
      </c>
      <c r="D77" s="1"/>
      <c r="E77" s="1"/>
      <c r="F77" s="1"/>
    </row>
    <row r="78" spans="2:6" x14ac:dyDescent="0.25">
      <c r="B78" s="37">
        <v>1</v>
      </c>
      <c r="C78" s="38">
        <v>8</v>
      </c>
      <c r="D78" s="1"/>
      <c r="E78" s="1"/>
      <c r="F78" s="1"/>
    </row>
    <row r="79" spans="2:6" x14ac:dyDescent="0.25">
      <c r="B79" s="37">
        <v>1</v>
      </c>
      <c r="C79" s="38">
        <v>9</v>
      </c>
      <c r="D79" s="1"/>
      <c r="E79" s="1"/>
      <c r="F79" s="1"/>
    </row>
    <row r="80" spans="2:6" x14ac:dyDescent="0.25">
      <c r="B80" s="37">
        <v>1</v>
      </c>
      <c r="C80" s="38">
        <v>10</v>
      </c>
      <c r="D80" s="1"/>
      <c r="E80" s="1"/>
      <c r="F80" s="1"/>
    </row>
    <row r="81" spans="2:6" x14ac:dyDescent="0.25">
      <c r="B81" s="37">
        <v>1</v>
      </c>
      <c r="C81" s="38">
        <v>11</v>
      </c>
      <c r="D81" s="1"/>
      <c r="E81" s="1"/>
      <c r="F81" s="1"/>
    </row>
    <row r="82" spans="2:6" x14ac:dyDescent="0.25">
      <c r="B82" s="37">
        <v>1</v>
      </c>
      <c r="C82" s="38">
        <v>12</v>
      </c>
      <c r="D82" s="1"/>
      <c r="E82" s="1"/>
      <c r="F82" s="1"/>
    </row>
    <row r="83" spans="2:6" x14ac:dyDescent="0.25">
      <c r="B83" s="37">
        <v>2</v>
      </c>
      <c r="C83" s="38">
        <v>1</v>
      </c>
      <c r="D83" s="15" t="s">
        <v>256</v>
      </c>
      <c r="E83" s="16" t="s">
        <v>257</v>
      </c>
      <c r="F83" s="17" t="s">
        <v>258</v>
      </c>
    </row>
    <row r="84" spans="2:6" x14ac:dyDescent="0.25">
      <c r="B84" s="37">
        <v>2</v>
      </c>
      <c r="C84" s="38">
        <v>2</v>
      </c>
      <c r="D84" s="18" t="s">
        <v>259</v>
      </c>
      <c r="E84" s="19" t="s">
        <v>260</v>
      </c>
      <c r="F84" s="20" t="s">
        <v>261</v>
      </c>
    </row>
    <row r="85" spans="2:6" x14ac:dyDescent="0.25">
      <c r="B85" s="37">
        <v>2</v>
      </c>
      <c r="C85" s="38">
        <v>3</v>
      </c>
      <c r="D85" s="18" t="s">
        <v>262</v>
      </c>
      <c r="E85" s="19" t="s">
        <v>263</v>
      </c>
      <c r="F85" s="20" t="s">
        <v>264</v>
      </c>
    </row>
    <row r="86" spans="2:6" x14ac:dyDescent="0.25">
      <c r="B86" s="37">
        <v>2</v>
      </c>
      <c r="C86" s="38">
        <v>4</v>
      </c>
      <c r="D86" s="18" t="s">
        <v>265</v>
      </c>
      <c r="E86" s="19" t="s">
        <v>263</v>
      </c>
      <c r="F86" s="20" t="s">
        <v>264</v>
      </c>
    </row>
    <row r="87" spans="2:6" x14ac:dyDescent="0.25">
      <c r="B87" s="37">
        <v>2</v>
      </c>
      <c r="C87" s="38">
        <v>5</v>
      </c>
      <c r="D87" s="18" t="s">
        <v>266</v>
      </c>
      <c r="E87" s="19" t="s">
        <v>263</v>
      </c>
      <c r="F87" s="20" t="s">
        <v>264</v>
      </c>
    </row>
    <row r="88" spans="2:6" x14ac:dyDescent="0.25">
      <c r="B88" s="37">
        <v>2</v>
      </c>
      <c r="C88" s="38">
        <v>6</v>
      </c>
      <c r="D88" s="18" t="s">
        <v>267</v>
      </c>
      <c r="E88" s="21" t="s">
        <v>268</v>
      </c>
      <c r="F88" s="20" t="s">
        <v>269</v>
      </c>
    </row>
    <row r="89" spans="2:6" x14ac:dyDescent="0.25">
      <c r="B89" s="37">
        <v>2</v>
      </c>
      <c r="C89" s="38">
        <v>7</v>
      </c>
      <c r="D89" s="18" t="s">
        <v>270</v>
      </c>
      <c r="E89" s="19" t="s">
        <v>271</v>
      </c>
      <c r="F89" s="20" t="s">
        <v>264</v>
      </c>
    </row>
    <row r="90" spans="2:6" x14ac:dyDescent="0.25">
      <c r="B90" s="37">
        <v>2</v>
      </c>
      <c r="C90" s="38">
        <v>8</v>
      </c>
      <c r="D90" s="18" t="s">
        <v>272</v>
      </c>
      <c r="E90" s="19" t="s">
        <v>271</v>
      </c>
      <c r="F90" s="20" t="s">
        <v>264</v>
      </c>
    </row>
    <row r="91" spans="2:6" x14ac:dyDescent="0.25">
      <c r="B91" s="37">
        <v>2</v>
      </c>
      <c r="C91" s="38">
        <v>9</v>
      </c>
      <c r="D91" s="18" t="s">
        <v>273</v>
      </c>
      <c r="E91" s="19" t="s">
        <v>274</v>
      </c>
      <c r="F91" s="20" t="s">
        <v>275</v>
      </c>
    </row>
    <row r="92" spans="2:6" x14ac:dyDescent="0.25">
      <c r="B92" s="37">
        <v>2</v>
      </c>
      <c r="C92" s="38">
        <v>10</v>
      </c>
      <c r="D92" s="18" t="s">
        <v>276</v>
      </c>
      <c r="E92" s="19" t="s">
        <v>277</v>
      </c>
      <c r="F92" s="20" t="s">
        <v>278</v>
      </c>
    </row>
    <row r="93" spans="2:6" x14ac:dyDescent="0.25">
      <c r="B93" s="37">
        <v>2</v>
      </c>
      <c r="C93" s="38">
        <v>11</v>
      </c>
      <c r="D93" s="18" t="s">
        <v>279</v>
      </c>
      <c r="E93" s="19" t="s">
        <v>280</v>
      </c>
      <c r="F93" s="20" t="s">
        <v>281</v>
      </c>
    </row>
    <row r="94" spans="2:6" x14ac:dyDescent="0.25">
      <c r="B94" s="37">
        <v>2</v>
      </c>
      <c r="C94" s="38">
        <v>12</v>
      </c>
      <c r="D94" s="22" t="s">
        <v>173</v>
      </c>
      <c r="E94" s="23" t="s">
        <v>282</v>
      </c>
      <c r="F94" s="24" t="s">
        <v>283</v>
      </c>
    </row>
  </sheetData>
  <sheetProtection sheet="1" objects="1" scenarios="1" formatCells="0" formatColumns="0" formatRows="0" insertHyperlinks="0"/>
  <dataValidations count="4">
    <dataValidation type="list" allowBlank="1" showInputMessage="1" showErrorMessage="1" sqref="E38:E41" xr:uid="{30ED3A3D-A6E5-45DA-A072-4863AA8C1558}">
      <formula1>INDIRECT("LISTAssess[Assessment Specific]")</formula1>
    </dataValidation>
    <dataValidation type="whole" showInputMessage="1" showErrorMessage="1" error="This is not a realistic number of contact hours please change" sqref="D19" xr:uid="{ED7F7914-6C28-4D8E-B268-3CD5BA4E3144}">
      <formula1>0</formula1>
      <formula2>80</formula2>
    </dataValidation>
    <dataValidation type="whole" showInputMessage="1" showErrorMessage="1" error="This is not a realistic number of contact hours please reduce" sqref="D20:D23" xr:uid="{7D2F483B-63CE-4110-AF1C-80CF6D50C7FA}">
      <formula1>0</formula1>
      <formula2>80</formula2>
    </dataValidation>
    <dataValidation type="list" allowBlank="1" showInputMessage="1" showErrorMessage="1" sqref="F46:F66" xr:uid="{9437D9A6-E43C-4167-888C-72EAD0F96263}">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BD1D28E8-E44D-43D6-AB31-6906AFB76CC7}">
          <x14:formula1>
            <xm:f>LISTS!$G$7:$G$11</xm:f>
          </x14:formula1>
          <xm:sqref>D38:D42</xm:sqref>
        </x14:dataValidation>
        <x14:dataValidation type="list" allowBlank="1" showInputMessage="1" showErrorMessage="1" xr:uid="{4307F0DB-5179-49DE-9F56-B0D376451B8E}">
          <x14:formula1>
            <xm:f>LISTS!$C$11:$C$15</xm:f>
          </x14:formula1>
          <xm:sqref>D11</xm:sqref>
        </x14:dataValidation>
        <x14:dataValidation type="list" allowBlank="1" showInputMessage="1" showErrorMessage="1" xr:uid="{881415EC-E12E-4E20-BF7A-6A7CDB9E721E}">
          <x14:formula1>
            <xm:f>LISTS!$C$7:$C$9</xm:f>
          </x14:formula1>
          <xm:sqref>D10</xm:sqref>
        </x14:dataValidation>
        <x14:dataValidation type="list" allowBlank="1" showInputMessage="1" showErrorMessage="1" xr:uid="{264E4697-DBBE-457A-A30D-C8272EF12344}">
          <x14:formula1>
            <xm:f>LISTS!$C$17:$C$22</xm:f>
          </x14:formula1>
          <xm:sqref>D13</xm:sqref>
        </x14:dataValidation>
        <x14:dataValidation type="list" allowBlank="1" showInputMessage="1" showErrorMessage="1" xr:uid="{849644AB-3E82-4044-91E7-7C031EBB1D3B}">
          <x14:formula1>
            <xm:f>LISTS!$C$26:$C$37</xm:f>
          </x14:formula1>
          <xm:sqref>D14</xm:sqref>
        </x14:dataValidation>
        <x14:dataValidation type="list" allowBlank="1" showInputMessage="1" showErrorMessage="1" xr:uid="{8A1593AF-AF33-44A4-BD5D-F2DC41EAA86E}">
          <x14:formula1>
            <xm:f>LISTS!$J$7:$J$16</xm:f>
          </x14:formula1>
          <xm:sqref>E46:E66</xm:sqref>
        </x14:dataValidation>
        <x14:dataValidation type="list" allowBlank="1" showInputMessage="1" showErrorMessage="1" xr:uid="{13524674-6569-4444-A927-B70E751D7616}">
          <x14:formula1>
            <xm:f>LISTS!$E$7:$E$11</xm:f>
          </x14:formula1>
          <xm:sqref>D46:D49 D51:D66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D139-4EE0-4CD6-B60A-E51D5ED74DE8}">
  <sheetPr codeName="Sheet5"/>
  <dimension ref="B2:H94"/>
  <sheetViews>
    <sheetView showGridLines="0" topLeftCell="B1"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5001SPS</v>
      </c>
      <c r="D2" s="27" t="str">
        <f>D8</f>
        <v>Professional Practice 2 in Sport Nutrition</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284</v>
      </c>
      <c r="E7" s="32"/>
      <c r="F7" s="6" t="s">
        <v>285</v>
      </c>
    </row>
    <row r="8" spans="2:6" x14ac:dyDescent="0.25">
      <c r="B8" s="29"/>
      <c r="C8" s="36" t="s">
        <v>7</v>
      </c>
      <c r="D8" s="6" t="s">
        <v>286</v>
      </c>
      <c r="E8" s="32"/>
      <c r="F8" s="4"/>
    </row>
    <row r="9" spans="2:6" x14ac:dyDescent="0.25">
      <c r="C9" s="36" t="s">
        <v>9</v>
      </c>
      <c r="D9" s="1">
        <v>20</v>
      </c>
      <c r="E9" s="32"/>
    </row>
    <row r="10" spans="2:6" x14ac:dyDescent="0.25">
      <c r="C10" s="36" t="s">
        <v>10</v>
      </c>
      <c r="D10" s="1" t="s">
        <v>11</v>
      </c>
      <c r="E10" s="32"/>
      <c r="F10" t="s">
        <v>12</v>
      </c>
    </row>
    <row r="11" spans="2:6" x14ac:dyDescent="0.25">
      <c r="C11" s="36" t="s">
        <v>13</v>
      </c>
      <c r="D11" s="1">
        <v>5</v>
      </c>
      <c r="E11" s="32"/>
      <c r="F11" s="6" t="s">
        <v>287</v>
      </c>
    </row>
    <row r="12" spans="2:6" x14ac:dyDescent="0.25">
      <c r="C12" s="36" t="s">
        <v>15</v>
      </c>
      <c r="D12" s="1" t="s">
        <v>16</v>
      </c>
      <c r="E12" s="32"/>
      <c r="F12" s="8" t="s">
        <v>288</v>
      </c>
    </row>
    <row r="13" spans="2:6" x14ac:dyDescent="0.25">
      <c r="C13" s="36" t="s">
        <v>17</v>
      </c>
      <c r="D13" s="1" t="s">
        <v>18</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289</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290</v>
      </c>
    </row>
    <row r="24" spans="3:6" x14ac:dyDescent="0.25">
      <c r="C24" s="36" t="s">
        <v>32</v>
      </c>
      <c r="D24" s="28">
        <f>SUM(D19:D23)</f>
        <v>0</v>
      </c>
      <c r="E24" s="32"/>
      <c r="F24" s="8" t="s">
        <v>291</v>
      </c>
    </row>
    <row r="25" spans="3:6" x14ac:dyDescent="0.25">
      <c r="F25" s="8" t="s">
        <v>292</v>
      </c>
    </row>
    <row r="26" spans="3:6" x14ac:dyDescent="0.25">
      <c r="F26" s="8" t="s">
        <v>293</v>
      </c>
    </row>
    <row r="27" spans="3:6" ht="18.75" x14ac:dyDescent="0.25">
      <c r="C27" s="30" t="s">
        <v>36</v>
      </c>
      <c r="D27" s="33" t="s">
        <v>37</v>
      </c>
      <c r="F27" s="8" t="s">
        <v>294</v>
      </c>
    </row>
    <row r="28" spans="3:6" x14ac:dyDescent="0.25">
      <c r="C28" s="31" t="s">
        <v>39</v>
      </c>
      <c r="D28" s="31" t="s">
        <v>40</v>
      </c>
      <c r="E28" s="31"/>
      <c r="F28" s="8"/>
    </row>
    <row r="29" spans="3:6" x14ac:dyDescent="0.25">
      <c r="C29" s="36" t="s">
        <v>42</v>
      </c>
      <c r="D29" s="8" t="s">
        <v>295</v>
      </c>
      <c r="E29" s="32"/>
      <c r="F29" s="8" t="s">
        <v>296</v>
      </c>
    </row>
    <row r="30" spans="3:6" x14ac:dyDescent="0.25">
      <c r="C30" s="36" t="s">
        <v>44</v>
      </c>
      <c r="D30" s="25" t="s">
        <v>297</v>
      </c>
      <c r="E30" s="32"/>
      <c r="F30" s="4"/>
    </row>
    <row r="31" spans="3:6" x14ac:dyDescent="0.25">
      <c r="C31" s="36" t="s">
        <v>46</v>
      </c>
      <c r="D31" s="25" t="s">
        <v>298</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1" t="s">
        <v>299</v>
      </c>
      <c r="F38" s="8" t="s">
        <v>300</v>
      </c>
      <c r="G38" s="3">
        <v>0.5</v>
      </c>
      <c r="H38" s="1">
        <v>8</v>
      </c>
    </row>
    <row r="39" spans="3:8" x14ac:dyDescent="0.25">
      <c r="C39" s="36" t="s">
        <v>61</v>
      </c>
      <c r="D39" s="1" t="s">
        <v>58</v>
      </c>
      <c r="E39" s="1" t="s">
        <v>299</v>
      </c>
      <c r="F39" s="8" t="s">
        <v>301</v>
      </c>
      <c r="G39" s="3">
        <v>0.5</v>
      </c>
      <c r="H39" s="1">
        <v>32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71</v>
      </c>
      <c r="F46" s="4" t="s">
        <v>72</v>
      </c>
    </row>
    <row r="47" spans="3:8" x14ac:dyDescent="0.25">
      <c r="C47" s="5" t="s">
        <v>57</v>
      </c>
      <c r="D47" s="4" t="s">
        <v>42</v>
      </c>
      <c r="E47" s="4" t="s">
        <v>69</v>
      </c>
      <c r="F47" s="4" t="s">
        <v>302</v>
      </c>
    </row>
    <row r="48" spans="3:8" x14ac:dyDescent="0.25">
      <c r="C48" s="5" t="s">
        <v>57</v>
      </c>
      <c r="D48" s="4" t="s">
        <v>44</v>
      </c>
      <c r="E48" s="4" t="s">
        <v>138</v>
      </c>
      <c r="F48" s="4" t="s">
        <v>196</v>
      </c>
    </row>
    <row r="49" spans="3:6" x14ac:dyDescent="0.25">
      <c r="C49" s="5" t="s">
        <v>61</v>
      </c>
      <c r="D49" s="4" t="s">
        <v>46</v>
      </c>
      <c r="E49" s="4" t="s">
        <v>73</v>
      </c>
      <c r="F49" s="4" t="s">
        <v>303</v>
      </c>
    </row>
    <row r="50" spans="3:6" x14ac:dyDescent="0.25">
      <c r="C50" s="5" t="s">
        <v>61</v>
      </c>
      <c r="D50" s="4" t="s">
        <v>46</v>
      </c>
      <c r="E50" s="4" t="s">
        <v>69</v>
      </c>
      <c r="F50" s="4" t="s">
        <v>70</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5" t="s">
        <v>304</v>
      </c>
      <c r="E71" s="16" t="s">
        <v>305</v>
      </c>
      <c r="F71" s="17" t="s">
        <v>306</v>
      </c>
    </row>
    <row r="72" spans="2:6" x14ac:dyDescent="0.25">
      <c r="B72" s="37">
        <v>1</v>
      </c>
      <c r="C72" s="38">
        <v>2</v>
      </c>
      <c r="D72" s="18" t="s">
        <v>307</v>
      </c>
      <c r="E72" s="19" t="s">
        <v>308</v>
      </c>
      <c r="F72" s="20" t="s">
        <v>309</v>
      </c>
    </row>
    <row r="73" spans="2:6" x14ac:dyDescent="0.25">
      <c r="B73" s="37">
        <v>1</v>
      </c>
      <c r="C73" s="38">
        <v>3</v>
      </c>
      <c r="D73" s="18" t="s">
        <v>310</v>
      </c>
      <c r="E73" s="19" t="s">
        <v>311</v>
      </c>
      <c r="F73" s="20" t="s">
        <v>312</v>
      </c>
    </row>
    <row r="74" spans="2:6" x14ac:dyDescent="0.25">
      <c r="B74" s="37">
        <v>1</v>
      </c>
      <c r="C74" s="38">
        <v>4</v>
      </c>
      <c r="D74" s="18" t="s">
        <v>313</v>
      </c>
      <c r="E74" s="19" t="s">
        <v>314</v>
      </c>
      <c r="F74" s="20" t="s">
        <v>315</v>
      </c>
    </row>
    <row r="75" spans="2:6" x14ac:dyDescent="0.25">
      <c r="B75" s="37">
        <v>1</v>
      </c>
      <c r="C75" s="38">
        <v>5</v>
      </c>
      <c r="D75" s="18" t="s">
        <v>316</v>
      </c>
      <c r="E75" s="19" t="s">
        <v>317</v>
      </c>
      <c r="F75" s="20" t="s">
        <v>318</v>
      </c>
    </row>
    <row r="76" spans="2:6" x14ac:dyDescent="0.25">
      <c r="B76" s="37">
        <v>1</v>
      </c>
      <c r="C76" s="38">
        <v>6</v>
      </c>
      <c r="D76" s="18" t="s">
        <v>319</v>
      </c>
      <c r="E76" s="21" t="s">
        <v>320</v>
      </c>
      <c r="F76" s="20" t="s">
        <v>321</v>
      </c>
    </row>
    <row r="77" spans="2:6" x14ac:dyDescent="0.25">
      <c r="B77" s="37">
        <v>1</v>
      </c>
      <c r="C77" s="38">
        <v>7</v>
      </c>
      <c r="D77" s="18" t="s">
        <v>322</v>
      </c>
      <c r="E77" s="19" t="s">
        <v>323</v>
      </c>
      <c r="F77" s="20" t="s">
        <v>324</v>
      </c>
    </row>
    <row r="78" spans="2:6" x14ac:dyDescent="0.25">
      <c r="B78" s="37">
        <v>1</v>
      </c>
      <c r="C78" s="38">
        <v>8</v>
      </c>
      <c r="D78" s="18" t="s">
        <v>325</v>
      </c>
      <c r="E78" s="19" t="s">
        <v>326</v>
      </c>
      <c r="F78" s="20" t="s">
        <v>327</v>
      </c>
    </row>
    <row r="79" spans="2:6" x14ac:dyDescent="0.25">
      <c r="B79" s="37">
        <v>1</v>
      </c>
      <c r="C79" s="38">
        <v>9</v>
      </c>
      <c r="D79" s="18" t="s">
        <v>328</v>
      </c>
      <c r="E79" s="19" t="s">
        <v>329</v>
      </c>
      <c r="F79" s="20" t="s">
        <v>330</v>
      </c>
    </row>
    <row r="80" spans="2:6" x14ac:dyDescent="0.25">
      <c r="B80" s="37">
        <v>1</v>
      </c>
      <c r="C80" s="38">
        <v>10</v>
      </c>
      <c r="D80" s="18" t="s">
        <v>331</v>
      </c>
      <c r="E80" s="19" t="s">
        <v>332</v>
      </c>
      <c r="F80" s="20" t="s">
        <v>333</v>
      </c>
    </row>
    <row r="81" spans="2:6" x14ac:dyDescent="0.25">
      <c r="B81" s="37">
        <v>1</v>
      </c>
      <c r="C81" s="38">
        <v>11</v>
      </c>
      <c r="D81" s="18" t="s">
        <v>334</v>
      </c>
      <c r="E81" s="19" t="s">
        <v>335</v>
      </c>
      <c r="F81" s="20" t="s">
        <v>114</v>
      </c>
    </row>
    <row r="82" spans="2:6" x14ac:dyDescent="0.25">
      <c r="B82" s="37">
        <v>1</v>
      </c>
      <c r="C82" s="38">
        <v>12</v>
      </c>
      <c r="D82" s="22" t="s">
        <v>336</v>
      </c>
      <c r="E82" s="23" t="s">
        <v>337</v>
      </c>
      <c r="F82" s="24" t="s">
        <v>338</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4CD06D9F-B01B-4457-970D-A06930C54E93}">
      <formula1>0</formula1>
      <formula2>80</formula2>
    </dataValidation>
    <dataValidation type="whole" showInputMessage="1" showErrorMessage="1" error="This is not a realistic number of contact hours please change" sqref="D19" xr:uid="{63F672F2-9C2D-49E0-B21F-66A62EA27310}">
      <formula1>0</formula1>
      <formula2>80</formula2>
    </dataValidation>
    <dataValidation type="list" allowBlank="1" showInputMessage="1" showErrorMessage="1" sqref="E38:E41" xr:uid="{DFA2EEE3-AB9D-4F7C-8E30-3C3C00872C8A}">
      <formula1>INDIRECT("LISTAssess[Assessment Specific]")</formula1>
    </dataValidation>
    <dataValidation type="list" allowBlank="1" showInputMessage="1" showErrorMessage="1" sqref="F46:F66" xr:uid="{BD0B3AD5-4A05-466E-9EAF-E466604786A1}">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9735843-EE1A-45FF-B467-A90D5F8EC861}">
          <x14:formula1>
            <xm:f>LISTS!$C$26:$C$37</xm:f>
          </x14:formula1>
          <xm:sqref>D14</xm:sqref>
        </x14:dataValidation>
        <x14:dataValidation type="list" allowBlank="1" showInputMessage="1" showErrorMessage="1" xr:uid="{681495C4-F231-4E60-A408-2A29AE659913}">
          <x14:formula1>
            <xm:f>LISTS!$C$17:$C$22</xm:f>
          </x14:formula1>
          <xm:sqref>D13</xm:sqref>
        </x14:dataValidation>
        <x14:dataValidation type="list" allowBlank="1" showInputMessage="1" showErrorMessage="1" xr:uid="{F64EA1C2-314E-47D2-98EB-EB9128A71684}">
          <x14:formula1>
            <xm:f>LISTS!$C$7:$C$9</xm:f>
          </x14:formula1>
          <xm:sqref>D10</xm:sqref>
        </x14:dataValidation>
        <x14:dataValidation type="list" allowBlank="1" showInputMessage="1" showErrorMessage="1" xr:uid="{983858DF-F117-4ABC-BB76-AC82A216171D}">
          <x14:formula1>
            <xm:f>LISTS!$C$11:$C$15</xm:f>
          </x14:formula1>
          <xm:sqref>D11</xm:sqref>
        </x14:dataValidation>
        <x14:dataValidation type="list" allowBlank="1" showInputMessage="1" showErrorMessage="1" xr:uid="{20095D0C-07FE-4EE7-BFEC-317D253839B4}">
          <x14:formula1>
            <xm:f>LISTS!$G$7:$G$11</xm:f>
          </x14:formula1>
          <xm:sqref>D38:D42</xm:sqref>
        </x14:dataValidation>
        <x14:dataValidation type="list" allowBlank="1" showInputMessage="1" showErrorMessage="1" xr:uid="{1AB77DFB-5427-40D4-BAEB-24C786FA7A86}">
          <x14:formula1>
            <xm:f>LISTS!$E$7:$E$11</xm:f>
          </x14:formula1>
          <xm:sqref>D46:D66</xm:sqref>
        </x14:dataValidation>
        <x14:dataValidation type="list" allowBlank="1" showInputMessage="1" showErrorMessage="1" xr:uid="{EB948922-0A22-4BD6-8094-4C6953146F85}">
          <x14:formula1>
            <xm:f>LISTS!$J$7:$J$16</xm:f>
          </x14:formula1>
          <xm:sqref>E46:E66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D3E-176C-4A98-919A-BC8974D66F1E}">
  <sheetPr codeName="Sheet6"/>
  <dimension ref="B2:H94"/>
  <sheetViews>
    <sheetView showGridLines="0"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5014SPS</v>
      </c>
      <c r="D2" s="27" t="str">
        <f>D8</f>
        <v>Product Development for Sport Nutrition</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339</v>
      </c>
      <c r="E7" s="32"/>
      <c r="F7" s="6" t="s">
        <v>340</v>
      </c>
    </row>
    <row r="8" spans="2:6" x14ac:dyDescent="0.25">
      <c r="B8" s="29"/>
      <c r="C8" s="36" t="s">
        <v>7</v>
      </c>
      <c r="D8" s="6" t="s">
        <v>341</v>
      </c>
      <c r="E8" s="32"/>
      <c r="F8" s="4"/>
    </row>
    <row r="9" spans="2:6" x14ac:dyDescent="0.25">
      <c r="C9" s="36" t="s">
        <v>9</v>
      </c>
      <c r="D9" s="1">
        <v>20</v>
      </c>
      <c r="E9" s="32"/>
    </row>
    <row r="10" spans="2:6" x14ac:dyDescent="0.25">
      <c r="C10" s="36" t="s">
        <v>10</v>
      </c>
      <c r="D10" s="1">
        <v>1</v>
      </c>
      <c r="E10" s="32"/>
      <c r="F10" t="s">
        <v>12</v>
      </c>
    </row>
    <row r="11" spans="2:6" x14ac:dyDescent="0.25">
      <c r="C11" s="36" t="s">
        <v>13</v>
      </c>
      <c r="D11" s="1">
        <v>5</v>
      </c>
      <c r="E11" s="32"/>
      <c r="F11" s="6" t="s">
        <v>342</v>
      </c>
    </row>
    <row r="12" spans="2:6" x14ac:dyDescent="0.25">
      <c r="C12" s="36" t="s">
        <v>15</v>
      </c>
      <c r="D12" s="1" t="s">
        <v>343</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344</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345</v>
      </c>
    </row>
    <row r="24" spans="3:6" x14ac:dyDescent="0.25">
      <c r="C24" s="36" t="s">
        <v>32</v>
      </c>
      <c r="D24" s="28">
        <f>SUM(D19:D23)</f>
        <v>0</v>
      </c>
      <c r="E24" s="32"/>
      <c r="F24" s="8" t="s">
        <v>346</v>
      </c>
    </row>
    <row r="25" spans="3:6" x14ac:dyDescent="0.25">
      <c r="F25" s="8" t="s">
        <v>347</v>
      </c>
    </row>
    <row r="26" spans="3:6" x14ac:dyDescent="0.25">
      <c r="F26" s="8" t="s">
        <v>348</v>
      </c>
    </row>
    <row r="27" spans="3:6" ht="18.75" x14ac:dyDescent="0.25">
      <c r="C27" s="30" t="s">
        <v>36</v>
      </c>
      <c r="D27" s="33" t="s">
        <v>37</v>
      </c>
      <c r="F27" s="8"/>
    </row>
    <row r="28" spans="3:6" x14ac:dyDescent="0.25">
      <c r="C28" s="31" t="s">
        <v>39</v>
      </c>
      <c r="D28" s="31" t="s">
        <v>40</v>
      </c>
      <c r="E28" s="31"/>
      <c r="F28" s="8" t="s">
        <v>349</v>
      </c>
    </row>
    <row r="29" spans="3:6" x14ac:dyDescent="0.25">
      <c r="C29" s="36" t="s">
        <v>42</v>
      </c>
      <c r="D29" s="8" t="s">
        <v>350</v>
      </c>
      <c r="E29" s="32"/>
      <c r="F29" s="4"/>
    </row>
    <row r="30" spans="3:6" x14ac:dyDescent="0.25">
      <c r="C30" s="36" t="s">
        <v>44</v>
      </c>
      <c r="D30" s="25" t="s">
        <v>351</v>
      </c>
      <c r="E30" s="32"/>
      <c r="F30" s="4"/>
    </row>
    <row r="31" spans="3:6" x14ac:dyDescent="0.25">
      <c r="C31" s="36" t="s">
        <v>46</v>
      </c>
      <c r="D31" s="25" t="s">
        <v>352</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1" t="s">
        <v>353</v>
      </c>
      <c r="F38" s="8" t="s">
        <v>354</v>
      </c>
      <c r="G38" s="3">
        <v>0.5</v>
      </c>
      <c r="H38" s="1">
        <v>8</v>
      </c>
    </row>
    <row r="39" spans="3:8" x14ac:dyDescent="0.25">
      <c r="C39" s="36" t="s">
        <v>61</v>
      </c>
      <c r="D39" s="1" t="s">
        <v>247</v>
      </c>
      <c r="E39" s="1" t="s">
        <v>355</v>
      </c>
      <c r="F39" s="8" t="s">
        <v>356</v>
      </c>
      <c r="G39" s="3">
        <v>0.5</v>
      </c>
      <c r="H39" s="1">
        <v>17</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73</v>
      </c>
      <c r="F46" s="4" t="s">
        <v>140</v>
      </c>
    </row>
    <row r="47" spans="3:8" x14ac:dyDescent="0.25">
      <c r="C47" s="5" t="s">
        <v>57</v>
      </c>
      <c r="D47" s="4" t="s">
        <v>42</v>
      </c>
      <c r="E47" s="4" t="s">
        <v>138</v>
      </c>
      <c r="F47" s="4" t="s">
        <v>198</v>
      </c>
    </row>
    <row r="48" spans="3:8" x14ac:dyDescent="0.25">
      <c r="C48" s="5" t="s">
        <v>57</v>
      </c>
      <c r="D48" s="4" t="s">
        <v>46</v>
      </c>
      <c r="E48" s="4" t="s">
        <v>254</v>
      </c>
      <c r="F48" s="4" t="s">
        <v>357</v>
      </c>
    </row>
    <row r="49" spans="3:6" x14ac:dyDescent="0.25">
      <c r="C49" s="5" t="s">
        <v>61</v>
      </c>
      <c r="D49" s="4" t="s">
        <v>42</v>
      </c>
      <c r="E49" s="4" t="s">
        <v>138</v>
      </c>
      <c r="F49" s="4" t="s">
        <v>196</v>
      </c>
    </row>
    <row r="50" spans="3:6" x14ac:dyDescent="0.25">
      <c r="C50" s="5" t="s">
        <v>61</v>
      </c>
      <c r="D50" s="4" t="s">
        <v>44</v>
      </c>
      <c r="E50" s="4" t="s">
        <v>71</v>
      </c>
      <c r="F50" s="4" t="s">
        <v>358</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5" t="s">
        <v>359</v>
      </c>
      <c r="E71" s="16" t="s">
        <v>360</v>
      </c>
      <c r="F71" s="17" t="s">
        <v>361</v>
      </c>
    </row>
    <row r="72" spans="2:6" x14ac:dyDescent="0.25">
      <c r="B72" s="37">
        <v>1</v>
      </c>
      <c r="C72" s="38">
        <v>2</v>
      </c>
      <c r="D72" s="18" t="s">
        <v>362</v>
      </c>
      <c r="E72" s="19" t="s">
        <v>363</v>
      </c>
      <c r="F72" s="20" t="s">
        <v>364</v>
      </c>
    </row>
    <row r="73" spans="2:6" x14ac:dyDescent="0.25">
      <c r="B73" s="37">
        <v>1</v>
      </c>
      <c r="C73" s="38">
        <v>3</v>
      </c>
      <c r="D73" s="18" t="s">
        <v>365</v>
      </c>
      <c r="E73" s="19" t="s">
        <v>366</v>
      </c>
      <c r="F73" s="20" t="s">
        <v>367</v>
      </c>
    </row>
    <row r="74" spans="2:6" x14ac:dyDescent="0.25">
      <c r="B74" s="37">
        <v>1</v>
      </c>
      <c r="C74" s="38">
        <v>4</v>
      </c>
      <c r="D74" s="18" t="s">
        <v>368</v>
      </c>
      <c r="E74" s="19" t="s">
        <v>369</v>
      </c>
      <c r="F74" s="20" t="s">
        <v>370</v>
      </c>
    </row>
    <row r="75" spans="2:6" x14ac:dyDescent="0.25">
      <c r="B75" s="37">
        <v>1</v>
      </c>
      <c r="C75" s="38">
        <v>5</v>
      </c>
      <c r="D75" s="18" t="s">
        <v>371</v>
      </c>
      <c r="E75" s="19" t="s">
        <v>372</v>
      </c>
      <c r="F75" s="20" t="s">
        <v>373</v>
      </c>
    </row>
    <row r="76" spans="2:6" x14ac:dyDescent="0.25">
      <c r="B76" s="37">
        <v>1</v>
      </c>
      <c r="C76" s="38">
        <v>6</v>
      </c>
      <c r="D76" s="18" t="s">
        <v>374</v>
      </c>
      <c r="E76" s="21" t="s">
        <v>375</v>
      </c>
      <c r="F76" s="20" t="s">
        <v>376</v>
      </c>
    </row>
    <row r="77" spans="2:6" x14ac:dyDescent="0.25">
      <c r="B77" s="37">
        <v>1</v>
      </c>
      <c r="C77" s="38">
        <v>7</v>
      </c>
      <c r="D77" s="18" t="s">
        <v>377</v>
      </c>
      <c r="E77" s="19" t="s">
        <v>378</v>
      </c>
      <c r="F77" s="20" t="s">
        <v>379</v>
      </c>
    </row>
    <row r="78" spans="2:6" x14ac:dyDescent="0.25">
      <c r="B78" s="37">
        <v>1</v>
      </c>
      <c r="C78" s="38">
        <v>8</v>
      </c>
      <c r="D78" s="18" t="s">
        <v>380</v>
      </c>
      <c r="E78" s="19" t="s">
        <v>381</v>
      </c>
      <c r="F78" s="20" t="s">
        <v>382</v>
      </c>
    </row>
    <row r="79" spans="2:6" x14ac:dyDescent="0.25">
      <c r="B79" s="37">
        <v>1</v>
      </c>
      <c r="C79" s="38">
        <v>9</v>
      </c>
      <c r="D79" s="18" t="s">
        <v>383</v>
      </c>
      <c r="E79" s="19" t="s">
        <v>384</v>
      </c>
      <c r="F79" s="20" t="s">
        <v>385</v>
      </c>
    </row>
    <row r="80" spans="2:6" x14ac:dyDescent="0.25">
      <c r="B80" s="37">
        <v>1</v>
      </c>
      <c r="C80" s="38">
        <v>10</v>
      </c>
      <c r="D80" s="18" t="s">
        <v>386</v>
      </c>
      <c r="E80" s="19" t="s">
        <v>387</v>
      </c>
      <c r="F80" s="20" t="s">
        <v>388</v>
      </c>
    </row>
    <row r="81" spans="2:6" x14ac:dyDescent="0.25">
      <c r="B81" s="37">
        <v>1</v>
      </c>
      <c r="C81" s="38">
        <v>11</v>
      </c>
      <c r="D81" s="18" t="s">
        <v>389</v>
      </c>
      <c r="E81" s="19" t="s">
        <v>390</v>
      </c>
      <c r="F81" s="20" t="s">
        <v>391</v>
      </c>
    </row>
    <row r="82" spans="2:6" x14ac:dyDescent="0.25">
      <c r="B82" s="37">
        <v>1</v>
      </c>
      <c r="C82" s="38">
        <v>12</v>
      </c>
      <c r="D82" s="22" t="s">
        <v>392</v>
      </c>
      <c r="E82" s="23" t="s">
        <v>393</v>
      </c>
      <c r="F82" s="24" t="s">
        <v>394</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list" allowBlank="1" showInputMessage="1" showErrorMessage="1" sqref="F46:F66" xr:uid="{A6F5F47F-6866-478E-9880-CF9E3CF9BFDA}">
      <formula1>INDIRECT(VLOOKUP($E46, SkillNameMap, 2, FALSE))</formula1>
    </dataValidation>
    <dataValidation type="list" allowBlank="1" showInputMessage="1" showErrorMessage="1" sqref="E38:E41" xr:uid="{6B033663-DA4C-4E1E-ACA3-197C23B3DA27}">
      <formula1>INDIRECT("LISTAssess[Assessment Specific]")</formula1>
    </dataValidation>
    <dataValidation type="whole" showInputMessage="1" showErrorMessage="1" error="This is not a realistic number of contact hours please change" sqref="D19" xr:uid="{002B1BD8-24F6-46FD-A0E4-8333C78B8357}">
      <formula1>0</formula1>
      <formula2>80</formula2>
    </dataValidation>
    <dataValidation type="whole" showInputMessage="1" showErrorMessage="1" error="This is not a realistic number of contact hours please reduce" sqref="D20:D23" xr:uid="{E4839EC2-0B62-4F96-A8C1-2B68B106BEF1}">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8A31BEF-5E3B-417C-9E73-D27481A5C886}">
          <x14:formula1>
            <xm:f>LISTS!$J$7:$J$16</xm:f>
          </x14:formula1>
          <xm:sqref>E46:E66</xm:sqref>
        </x14:dataValidation>
        <x14:dataValidation type="list" allowBlank="1" showInputMessage="1" showErrorMessage="1" xr:uid="{4A234C3A-C5D8-4DCE-A391-988FDC67A9B9}">
          <x14:formula1>
            <xm:f>LISTS!$E$7:$E$11</xm:f>
          </x14:formula1>
          <xm:sqref>D46:D66</xm:sqref>
        </x14:dataValidation>
        <x14:dataValidation type="list" allowBlank="1" showInputMessage="1" showErrorMessage="1" xr:uid="{3192E7A5-766C-4AB3-9259-83B852E400AB}">
          <x14:formula1>
            <xm:f>LISTS!$G$7:$G$11</xm:f>
          </x14:formula1>
          <xm:sqref>D38:D42</xm:sqref>
        </x14:dataValidation>
        <x14:dataValidation type="list" allowBlank="1" showInputMessage="1" showErrorMessage="1" xr:uid="{71464BA5-EA7B-4280-8E21-FEA97DF76E39}">
          <x14:formula1>
            <xm:f>LISTS!$C$11:$C$15</xm:f>
          </x14:formula1>
          <xm:sqref>D11</xm:sqref>
        </x14:dataValidation>
        <x14:dataValidation type="list" allowBlank="1" showInputMessage="1" showErrorMessage="1" xr:uid="{ED74EE7F-E73A-4E7D-BB1B-77B834D943C7}">
          <x14:formula1>
            <xm:f>LISTS!$C$7:$C$9</xm:f>
          </x14:formula1>
          <xm:sqref>D10</xm:sqref>
        </x14:dataValidation>
        <x14:dataValidation type="list" allowBlank="1" showInputMessage="1" showErrorMessage="1" xr:uid="{F88D41F7-E6D7-4EA0-ABD2-42A925615DAA}">
          <x14:formula1>
            <xm:f>LISTS!$C$17:$C$22</xm:f>
          </x14:formula1>
          <xm:sqref>D13</xm:sqref>
        </x14:dataValidation>
        <x14:dataValidation type="list" allowBlank="1" showInputMessage="1" showErrorMessage="1" xr:uid="{799447E1-E0B9-422D-8078-3D88555E8F5B}">
          <x14:formula1>
            <xm:f>LISTS!$C$26:$C$37</xm:f>
          </x14:formula1>
          <xm:sqref>D14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3168-6B81-47CF-B045-12BB97D9E5BE}">
  <sheetPr codeName="Sheet7"/>
  <dimension ref="B2:H94"/>
  <sheetViews>
    <sheetView showGridLines="0" zoomScale="85" zoomScaleNormal="85" workbookViewId="0">
      <selection activeCell="F18" sqref="F1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5015SPS</v>
      </c>
      <c r="D2" s="27" t="str">
        <f>D8</f>
        <v>Exercise Biochemistry</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395</v>
      </c>
      <c r="E7" s="32"/>
      <c r="F7" s="6" t="s">
        <v>396</v>
      </c>
    </row>
    <row r="8" spans="2:6" x14ac:dyDescent="0.25">
      <c r="B8" s="29"/>
      <c r="C8" s="36" t="s">
        <v>7</v>
      </c>
      <c r="D8" s="6" t="s">
        <v>397</v>
      </c>
      <c r="E8" s="32"/>
      <c r="F8" s="4"/>
    </row>
    <row r="9" spans="2:6" x14ac:dyDescent="0.25">
      <c r="C9" s="36" t="s">
        <v>9</v>
      </c>
      <c r="D9" s="1">
        <v>20</v>
      </c>
      <c r="E9" s="32"/>
    </row>
    <row r="10" spans="2:6" x14ac:dyDescent="0.25">
      <c r="C10" s="36" t="s">
        <v>10</v>
      </c>
      <c r="D10" s="1">
        <v>2</v>
      </c>
      <c r="E10" s="32"/>
      <c r="F10" t="s">
        <v>12</v>
      </c>
    </row>
    <row r="11" spans="2:6" x14ac:dyDescent="0.25">
      <c r="C11" s="36" t="s">
        <v>13</v>
      </c>
      <c r="D11" s="1">
        <v>5</v>
      </c>
      <c r="E11" s="32"/>
      <c r="F11" s="6" t="s">
        <v>398</v>
      </c>
    </row>
    <row r="12" spans="2:6" x14ac:dyDescent="0.25">
      <c r="C12" s="36" t="s">
        <v>15</v>
      </c>
      <c r="D12" s="1" t="s">
        <v>399</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400</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401</v>
      </c>
    </row>
    <row r="24" spans="3:6" x14ac:dyDescent="0.25">
      <c r="C24" s="36" t="s">
        <v>32</v>
      </c>
      <c r="D24" s="28">
        <f>SUM(D19:D23)</f>
        <v>0</v>
      </c>
      <c r="E24" s="32"/>
      <c r="F24" s="8" t="s">
        <v>402</v>
      </c>
    </row>
    <row r="25" spans="3:6" x14ac:dyDescent="0.25">
      <c r="F25" s="8" t="s">
        <v>403</v>
      </c>
    </row>
    <row r="26" spans="3:6" x14ac:dyDescent="0.25">
      <c r="F26" s="8" t="s">
        <v>404</v>
      </c>
    </row>
    <row r="27" spans="3:6" ht="18.75" x14ac:dyDescent="0.25">
      <c r="C27" s="30" t="s">
        <v>36</v>
      </c>
      <c r="D27" s="33" t="s">
        <v>37</v>
      </c>
      <c r="F27" s="8" t="s">
        <v>405</v>
      </c>
    </row>
    <row r="28" spans="3:6" x14ac:dyDescent="0.25">
      <c r="C28" s="31" t="s">
        <v>39</v>
      </c>
      <c r="D28" s="31" t="s">
        <v>40</v>
      </c>
      <c r="E28" s="31"/>
      <c r="F28" s="8"/>
    </row>
    <row r="29" spans="3:6" x14ac:dyDescent="0.25">
      <c r="C29" s="36" t="s">
        <v>42</v>
      </c>
      <c r="D29" s="8" t="s">
        <v>406</v>
      </c>
      <c r="E29" s="32"/>
      <c r="F29" s="8" t="s">
        <v>407</v>
      </c>
    </row>
    <row r="30" spans="3:6" x14ac:dyDescent="0.25">
      <c r="C30" s="36" t="s">
        <v>44</v>
      </c>
      <c r="D30" s="25" t="s">
        <v>408</v>
      </c>
      <c r="E30" s="32"/>
      <c r="F30" s="4"/>
    </row>
    <row r="31" spans="3:6" x14ac:dyDescent="0.25">
      <c r="C31" s="36" t="s">
        <v>46</v>
      </c>
      <c r="D31" s="25" t="s">
        <v>409</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247</v>
      </c>
      <c r="E38" s="1" t="s">
        <v>355</v>
      </c>
      <c r="F38" s="8" t="s">
        <v>410</v>
      </c>
      <c r="G38" s="3">
        <v>0.5</v>
      </c>
      <c r="H38" s="1">
        <v>8</v>
      </c>
    </row>
    <row r="39" spans="3:8" x14ac:dyDescent="0.25">
      <c r="C39" s="36" t="s">
        <v>61</v>
      </c>
      <c r="D39" s="1" t="s">
        <v>133</v>
      </c>
      <c r="E39" s="1" t="s">
        <v>299</v>
      </c>
      <c r="F39" s="8" t="s">
        <v>411</v>
      </c>
      <c r="G39" s="3">
        <v>0.5</v>
      </c>
      <c r="H39" s="1">
        <v>12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196</v>
      </c>
    </row>
    <row r="47" spans="3:8" x14ac:dyDescent="0.25">
      <c r="C47" s="5" t="s">
        <v>57</v>
      </c>
      <c r="D47" s="4" t="s">
        <v>44</v>
      </c>
      <c r="E47" s="4" t="s">
        <v>73</v>
      </c>
      <c r="F47" s="4" t="s">
        <v>412</v>
      </c>
    </row>
    <row r="48" spans="3:8" x14ac:dyDescent="0.25">
      <c r="C48" s="5" t="s">
        <v>61</v>
      </c>
      <c r="D48" s="4" t="s">
        <v>46</v>
      </c>
      <c r="E48" s="4" t="s">
        <v>138</v>
      </c>
      <c r="F48" s="4" t="s">
        <v>198</v>
      </c>
    </row>
    <row r="49" spans="3:6" x14ac:dyDescent="0.25">
      <c r="C49" s="5" t="s">
        <v>61</v>
      </c>
      <c r="D49" s="4" t="s">
        <v>46</v>
      </c>
      <c r="E49" s="4" t="s">
        <v>71</v>
      </c>
      <c r="F49" s="4" t="s">
        <v>413</v>
      </c>
    </row>
    <row r="50" spans="3:6" x14ac:dyDescent="0.25">
      <c r="C50" s="5" t="s">
        <v>61</v>
      </c>
      <c r="D50" s="4"/>
      <c r="E50" s="4"/>
      <c r="F50" s="4"/>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c r="E71" s="1"/>
      <c r="F71" s="1"/>
    </row>
    <row r="72" spans="2:6" x14ac:dyDescent="0.25">
      <c r="B72" s="37">
        <v>1</v>
      </c>
      <c r="C72" s="38">
        <v>2</v>
      </c>
      <c r="D72" s="1"/>
      <c r="E72" s="1"/>
      <c r="F72" s="1"/>
    </row>
    <row r="73" spans="2:6" x14ac:dyDescent="0.25">
      <c r="B73" s="37">
        <v>1</v>
      </c>
      <c r="C73" s="38">
        <v>3</v>
      </c>
      <c r="D73" s="1"/>
      <c r="E73" s="1"/>
      <c r="F73" s="1"/>
    </row>
    <row r="74" spans="2:6" x14ac:dyDescent="0.25">
      <c r="B74" s="37">
        <v>1</v>
      </c>
      <c r="C74" s="38">
        <v>4</v>
      </c>
      <c r="D74" s="1"/>
      <c r="E74" s="1"/>
      <c r="F74" s="1"/>
    </row>
    <row r="75" spans="2:6" x14ac:dyDescent="0.25">
      <c r="B75" s="37">
        <v>1</v>
      </c>
      <c r="C75" s="38">
        <v>5</v>
      </c>
      <c r="D75" s="1"/>
      <c r="E75" s="1"/>
      <c r="F75" s="1"/>
    </row>
    <row r="76" spans="2:6" x14ac:dyDescent="0.25">
      <c r="B76" s="37">
        <v>1</v>
      </c>
      <c r="C76" s="38">
        <v>6</v>
      </c>
      <c r="D76" s="1"/>
      <c r="E76" s="1"/>
      <c r="F76" s="1"/>
    </row>
    <row r="77" spans="2:6" x14ac:dyDescent="0.25">
      <c r="B77" s="37">
        <v>1</v>
      </c>
      <c r="C77" s="38">
        <v>7</v>
      </c>
      <c r="D77" s="1"/>
      <c r="E77" s="1"/>
      <c r="F77" s="1"/>
    </row>
    <row r="78" spans="2:6" x14ac:dyDescent="0.25">
      <c r="B78" s="37">
        <v>1</v>
      </c>
      <c r="C78" s="38">
        <v>8</v>
      </c>
      <c r="D78" s="1"/>
      <c r="E78" s="1"/>
      <c r="F78" s="1"/>
    </row>
    <row r="79" spans="2:6" x14ac:dyDescent="0.25">
      <c r="B79" s="37">
        <v>1</v>
      </c>
      <c r="C79" s="38">
        <v>9</v>
      </c>
      <c r="D79" s="1"/>
      <c r="E79" s="1"/>
      <c r="F79" s="1"/>
    </row>
    <row r="80" spans="2:6" x14ac:dyDescent="0.25">
      <c r="B80" s="37">
        <v>1</v>
      </c>
      <c r="C80" s="38">
        <v>10</v>
      </c>
      <c r="D80" s="1"/>
      <c r="E80" s="1"/>
      <c r="F80" s="1"/>
    </row>
    <row r="81" spans="2:6" x14ac:dyDescent="0.25">
      <c r="B81" s="37">
        <v>1</v>
      </c>
      <c r="C81" s="38">
        <v>11</v>
      </c>
      <c r="D81" s="1"/>
      <c r="E81" s="1"/>
      <c r="F81" s="1"/>
    </row>
    <row r="82" spans="2:6" x14ac:dyDescent="0.25">
      <c r="B82" s="37">
        <v>1</v>
      </c>
      <c r="C82" s="38">
        <v>12</v>
      </c>
      <c r="D82" s="1"/>
      <c r="E82" s="1"/>
      <c r="F82" s="1"/>
    </row>
    <row r="83" spans="2:6" x14ac:dyDescent="0.25">
      <c r="B83" s="37">
        <v>2</v>
      </c>
      <c r="C83" s="38">
        <v>1</v>
      </c>
      <c r="D83" s="15" t="s">
        <v>414</v>
      </c>
      <c r="E83" s="16" t="s">
        <v>142</v>
      </c>
      <c r="F83" s="17" t="s">
        <v>415</v>
      </c>
    </row>
    <row r="84" spans="2:6" x14ac:dyDescent="0.25">
      <c r="B84" s="37">
        <v>2</v>
      </c>
      <c r="C84" s="38">
        <v>2</v>
      </c>
      <c r="D84" s="18" t="s">
        <v>416</v>
      </c>
      <c r="E84" s="19" t="s">
        <v>417</v>
      </c>
      <c r="F84" s="20" t="s">
        <v>418</v>
      </c>
    </row>
    <row r="85" spans="2:6" x14ac:dyDescent="0.25">
      <c r="B85" s="37">
        <v>2</v>
      </c>
      <c r="C85" s="38">
        <v>3</v>
      </c>
      <c r="D85" s="18" t="s">
        <v>419</v>
      </c>
      <c r="E85" s="19" t="s">
        <v>420</v>
      </c>
      <c r="F85" s="20" t="s">
        <v>421</v>
      </c>
    </row>
    <row r="86" spans="2:6" x14ac:dyDescent="0.25">
      <c r="B86" s="37">
        <v>2</v>
      </c>
      <c r="C86" s="38">
        <v>4</v>
      </c>
      <c r="D86" s="18" t="s">
        <v>422</v>
      </c>
      <c r="E86" s="19" t="s">
        <v>423</v>
      </c>
      <c r="F86" s="20" t="s">
        <v>424</v>
      </c>
    </row>
    <row r="87" spans="2:6" x14ac:dyDescent="0.25">
      <c r="B87" s="37">
        <v>2</v>
      </c>
      <c r="C87" s="38">
        <v>5</v>
      </c>
      <c r="D87" s="18" t="s">
        <v>425</v>
      </c>
      <c r="E87" s="19" t="s">
        <v>426</v>
      </c>
      <c r="F87" s="20" t="s">
        <v>427</v>
      </c>
    </row>
    <row r="88" spans="2:6" x14ac:dyDescent="0.25">
      <c r="B88" s="37">
        <v>2</v>
      </c>
      <c r="C88" s="38">
        <v>6</v>
      </c>
      <c r="D88" s="18" t="s">
        <v>428</v>
      </c>
      <c r="E88" s="21" t="s">
        <v>429</v>
      </c>
      <c r="F88" s="20" t="s">
        <v>430</v>
      </c>
    </row>
    <row r="89" spans="2:6" x14ac:dyDescent="0.25">
      <c r="B89" s="37">
        <v>2</v>
      </c>
      <c r="C89" s="38">
        <v>7</v>
      </c>
      <c r="D89" s="18" t="s">
        <v>431</v>
      </c>
      <c r="E89" s="19" t="s">
        <v>432</v>
      </c>
      <c r="F89" s="20" t="s">
        <v>433</v>
      </c>
    </row>
    <row r="90" spans="2:6" x14ac:dyDescent="0.25">
      <c r="B90" s="37">
        <v>2</v>
      </c>
      <c r="C90" s="38">
        <v>8</v>
      </c>
      <c r="D90" s="18" t="s">
        <v>434</v>
      </c>
      <c r="E90" s="19" t="s">
        <v>435</v>
      </c>
      <c r="F90" s="20" t="s">
        <v>25</v>
      </c>
    </row>
    <row r="91" spans="2:6" x14ac:dyDescent="0.25">
      <c r="B91" s="37">
        <v>2</v>
      </c>
      <c r="C91" s="38">
        <v>9</v>
      </c>
      <c r="D91" s="18" t="s">
        <v>436</v>
      </c>
      <c r="E91" s="19" t="s">
        <v>437</v>
      </c>
      <c r="F91" s="20" t="s">
        <v>438</v>
      </c>
    </row>
    <row r="92" spans="2:6" x14ac:dyDescent="0.25">
      <c r="B92" s="37">
        <v>2</v>
      </c>
      <c r="C92" s="38">
        <v>10</v>
      </c>
      <c r="D92" s="18" t="s">
        <v>439</v>
      </c>
      <c r="E92" s="19" t="s">
        <v>440</v>
      </c>
      <c r="F92" s="20" t="s">
        <v>441</v>
      </c>
    </row>
    <row r="93" spans="2:6" x14ac:dyDescent="0.25">
      <c r="B93" s="37">
        <v>2</v>
      </c>
      <c r="C93" s="38">
        <v>11</v>
      </c>
      <c r="D93" s="18" t="s">
        <v>442</v>
      </c>
      <c r="E93" s="19" t="s">
        <v>443</v>
      </c>
      <c r="F93" s="20" t="s">
        <v>444</v>
      </c>
    </row>
    <row r="94" spans="2:6" x14ac:dyDescent="0.25">
      <c r="B94" s="37">
        <v>2</v>
      </c>
      <c r="C94" s="38">
        <v>12</v>
      </c>
      <c r="D94" s="22" t="s">
        <v>445</v>
      </c>
      <c r="E94" s="23" t="s">
        <v>446</v>
      </c>
      <c r="F94" s="24" t="s">
        <v>447</v>
      </c>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CF1D4CF-AD13-4549-94DF-DAD7372507FF}">
      <formula1>0</formula1>
      <formula2>80</formula2>
    </dataValidation>
    <dataValidation type="whole" showInputMessage="1" showErrorMessage="1" error="This is not a realistic number of contact hours please change" sqref="D19" xr:uid="{2EFE7054-9BF0-4E34-9260-CE2CA4E53AC1}">
      <formula1>0</formula1>
      <formula2>80</formula2>
    </dataValidation>
    <dataValidation type="list" allowBlank="1" showInputMessage="1" showErrorMessage="1" sqref="E38:E41" xr:uid="{8FAAA275-BBC0-49B8-8FE4-71328DF55B6F}">
      <formula1>INDIRECT("LISTAssess[Assessment Specific]")</formula1>
    </dataValidation>
    <dataValidation type="list" allowBlank="1" showInputMessage="1" showErrorMessage="1" sqref="F46:F66" xr:uid="{E1682273-6EEC-4437-BA8D-462547C84EF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D8F5AA3-C895-4B95-9912-EF67DA280821}">
          <x14:formula1>
            <xm:f>LISTS!$C$26:$C$37</xm:f>
          </x14:formula1>
          <xm:sqref>D14</xm:sqref>
        </x14:dataValidation>
        <x14:dataValidation type="list" allowBlank="1" showInputMessage="1" showErrorMessage="1" xr:uid="{703F0AA5-3DD9-4205-B10E-84D20D77F5DF}">
          <x14:formula1>
            <xm:f>LISTS!$C$17:$C$22</xm:f>
          </x14:formula1>
          <xm:sqref>D13</xm:sqref>
        </x14:dataValidation>
        <x14:dataValidation type="list" allowBlank="1" showInputMessage="1" showErrorMessage="1" xr:uid="{204C63EF-139E-4DCF-87C5-C1413D76F08F}">
          <x14:formula1>
            <xm:f>LISTS!$C$7:$C$9</xm:f>
          </x14:formula1>
          <xm:sqref>D10</xm:sqref>
        </x14:dataValidation>
        <x14:dataValidation type="list" allowBlank="1" showInputMessage="1" showErrorMessage="1" xr:uid="{02A4F4B2-CA44-4C0F-951D-7C349BD7AFEB}">
          <x14:formula1>
            <xm:f>LISTS!$C$11:$C$15</xm:f>
          </x14:formula1>
          <xm:sqref>D11</xm:sqref>
        </x14:dataValidation>
        <x14:dataValidation type="list" allowBlank="1" showInputMessage="1" showErrorMessage="1" xr:uid="{D6C3DA59-44C9-4E4B-8893-5EEB7E17375D}">
          <x14:formula1>
            <xm:f>LISTS!$G$7:$G$11</xm:f>
          </x14:formula1>
          <xm:sqref>D38:D42</xm:sqref>
        </x14:dataValidation>
        <x14:dataValidation type="list" allowBlank="1" showInputMessage="1" showErrorMessage="1" xr:uid="{1A267CA5-0348-4F32-BF79-432FCFC02438}">
          <x14:formula1>
            <xm:f>LISTS!$E$7:$E$11</xm:f>
          </x14:formula1>
          <xm:sqref>D46:D66</xm:sqref>
        </x14:dataValidation>
        <x14:dataValidation type="list" allowBlank="1" showInputMessage="1" showErrorMessage="1" xr:uid="{BE7A30BD-1760-4896-BACE-8BCA87088F96}">
          <x14:formula1>
            <xm:f>LISTS!$J$7:$J$16</xm:f>
          </x14:formula1>
          <xm:sqref>E46:E66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4455-5C9F-407B-9192-42F597732675}">
  <sheetPr codeName="Sheet8"/>
  <dimension ref="B2:H94"/>
  <sheetViews>
    <sheetView showGridLines="0"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5005SPS</v>
      </c>
      <c r="D2" s="27" t="str">
        <f>D8</f>
        <v>Lifespan Nutrition and Eating Behaviour</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448</v>
      </c>
      <c r="E7" s="32"/>
      <c r="F7" s="6" t="s">
        <v>449</v>
      </c>
    </row>
    <row r="8" spans="2:6" x14ac:dyDescent="0.25">
      <c r="B8" s="29"/>
      <c r="C8" s="36" t="s">
        <v>7</v>
      </c>
      <c r="D8" s="6" t="s">
        <v>450</v>
      </c>
      <c r="E8" s="32"/>
      <c r="F8" s="4"/>
    </row>
    <row r="9" spans="2:6" x14ac:dyDescent="0.25">
      <c r="C9" s="36" t="s">
        <v>9</v>
      </c>
      <c r="D9" s="1">
        <v>20</v>
      </c>
      <c r="E9" s="32"/>
    </row>
    <row r="10" spans="2:6" x14ac:dyDescent="0.25">
      <c r="C10" s="36" t="s">
        <v>10</v>
      </c>
      <c r="D10" s="1">
        <v>2</v>
      </c>
      <c r="E10" s="32"/>
      <c r="F10" t="s">
        <v>12</v>
      </c>
    </row>
    <row r="11" spans="2:6" x14ac:dyDescent="0.25">
      <c r="C11" s="36" t="s">
        <v>13</v>
      </c>
      <c r="D11" s="1">
        <v>5</v>
      </c>
      <c r="E11" s="32"/>
      <c r="F11" s="6" t="s">
        <v>451</v>
      </c>
    </row>
    <row r="12" spans="2:6" x14ac:dyDescent="0.25">
      <c r="C12" s="36" t="s">
        <v>15</v>
      </c>
      <c r="D12" s="1" t="s">
        <v>452</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453</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454</v>
      </c>
    </row>
    <row r="24" spans="3:6" x14ac:dyDescent="0.25">
      <c r="C24" s="36" t="s">
        <v>32</v>
      </c>
      <c r="D24" s="28">
        <f>SUM(D19:D23)</f>
        <v>0</v>
      </c>
      <c r="E24" s="32"/>
      <c r="F24" s="8" t="s">
        <v>455</v>
      </c>
    </row>
    <row r="25" spans="3:6" x14ac:dyDescent="0.25">
      <c r="F25" s="8" t="s">
        <v>456</v>
      </c>
    </row>
    <row r="26" spans="3:6" x14ac:dyDescent="0.25">
      <c r="F26" s="8" t="s">
        <v>457</v>
      </c>
    </row>
    <row r="27" spans="3:6" ht="18.75" x14ac:dyDescent="0.25">
      <c r="C27" s="30" t="s">
        <v>36</v>
      </c>
      <c r="D27" s="33" t="s">
        <v>37</v>
      </c>
      <c r="F27" s="8"/>
    </row>
    <row r="28" spans="3:6" x14ac:dyDescent="0.25">
      <c r="C28" s="31" t="s">
        <v>39</v>
      </c>
      <c r="D28" s="31" t="s">
        <v>40</v>
      </c>
      <c r="E28" s="31"/>
      <c r="F28" s="8" t="s">
        <v>458</v>
      </c>
    </row>
    <row r="29" spans="3:6" x14ac:dyDescent="0.25">
      <c r="C29" s="36" t="s">
        <v>42</v>
      </c>
      <c r="D29" s="8" t="s">
        <v>459</v>
      </c>
      <c r="E29" s="32"/>
      <c r="F29" s="4"/>
    </row>
    <row r="30" spans="3:6" x14ac:dyDescent="0.25">
      <c r="C30" s="36" t="s">
        <v>44</v>
      </c>
      <c r="D30" s="25" t="s">
        <v>460</v>
      </c>
      <c r="E30" s="32"/>
      <c r="F30" s="4"/>
    </row>
    <row r="31" spans="3:6" x14ac:dyDescent="0.25">
      <c r="C31" s="36" t="s">
        <v>46</v>
      </c>
      <c r="D31" s="25" t="s">
        <v>461</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1" t="s">
        <v>299</v>
      </c>
      <c r="F38" s="8" t="s">
        <v>462</v>
      </c>
      <c r="G38" s="3">
        <v>0.5</v>
      </c>
      <c r="H38" s="1">
        <v>25</v>
      </c>
    </row>
    <row r="39" spans="3:8" x14ac:dyDescent="0.25">
      <c r="C39" s="36" t="s">
        <v>61</v>
      </c>
      <c r="D39" s="1" t="s">
        <v>247</v>
      </c>
      <c r="E39" s="1" t="s">
        <v>248</v>
      </c>
      <c r="F39" s="8" t="s">
        <v>463</v>
      </c>
      <c r="G39" s="3">
        <v>0.5</v>
      </c>
      <c r="H39" s="1">
        <v>32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46</v>
      </c>
      <c r="E46" s="4" t="s">
        <v>71</v>
      </c>
      <c r="F46" s="4" t="s">
        <v>72</v>
      </c>
    </row>
    <row r="47" spans="3:8" x14ac:dyDescent="0.25">
      <c r="C47" s="5" t="s">
        <v>57</v>
      </c>
      <c r="D47" s="4" t="s">
        <v>46</v>
      </c>
      <c r="E47" s="4" t="s">
        <v>464</v>
      </c>
      <c r="F47" s="4" t="s">
        <v>465</v>
      </c>
    </row>
    <row r="48" spans="3:8" x14ac:dyDescent="0.25">
      <c r="C48" s="5" t="s">
        <v>57</v>
      </c>
      <c r="D48" s="4" t="s">
        <v>46</v>
      </c>
      <c r="E48" s="4" t="s">
        <v>73</v>
      </c>
      <c r="F48" s="4" t="s">
        <v>466</v>
      </c>
    </row>
    <row r="49" spans="3:6" x14ac:dyDescent="0.25">
      <c r="C49" s="5" t="s">
        <v>61</v>
      </c>
      <c r="D49" s="4" t="s">
        <v>42</v>
      </c>
      <c r="E49" s="4" t="s">
        <v>254</v>
      </c>
      <c r="F49" s="4" t="s">
        <v>467</v>
      </c>
    </row>
    <row r="50" spans="3:6" x14ac:dyDescent="0.25">
      <c r="C50" s="5" t="s">
        <v>61</v>
      </c>
      <c r="D50" s="4" t="s">
        <v>42</v>
      </c>
      <c r="E50" s="4" t="s">
        <v>69</v>
      </c>
      <c r="F50" s="4" t="s">
        <v>302</v>
      </c>
    </row>
    <row r="51" spans="3:6" x14ac:dyDescent="0.25">
      <c r="C51" s="5" t="s">
        <v>61</v>
      </c>
      <c r="D51" s="4" t="s">
        <v>44</v>
      </c>
      <c r="E51" s="4" t="s">
        <v>138</v>
      </c>
      <c r="F51" s="4" t="s">
        <v>196</v>
      </c>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c r="E71" s="1"/>
      <c r="F71" s="1"/>
    </row>
    <row r="72" spans="2:6" x14ac:dyDescent="0.25">
      <c r="B72" s="37">
        <v>1</v>
      </c>
      <c r="C72" s="38">
        <v>2</v>
      </c>
      <c r="D72" s="1"/>
      <c r="E72" s="1"/>
      <c r="F72" s="1"/>
    </row>
    <row r="73" spans="2:6" x14ac:dyDescent="0.25">
      <c r="B73" s="37">
        <v>1</v>
      </c>
      <c r="C73" s="38">
        <v>3</v>
      </c>
      <c r="D73" s="1"/>
      <c r="E73" s="1"/>
      <c r="F73" s="1"/>
    </row>
    <row r="74" spans="2:6" x14ac:dyDescent="0.25">
      <c r="B74" s="37">
        <v>1</v>
      </c>
      <c r="C74" s="38">
        <v>4</v>
      </c>
      <c r="D74" s="1"/>
      <c r="E74" s="1"/>
      <c r="F74" s="1"/>
    </row>
    <row r="75" spans="2:6" x14ac:dyDescent="0.25">
      <c r="B75" s="37">
        <v>1</v>
      </c>
      <c r="C75" s="38">
        <v>5</v>
      </c>
      <c r="D75" s="1"/>
      <c r="E75" s="1"/>
      <c r="F75" s="1"/>
    </row>
    <row r="76" spans="2:6" x14ac:dyDescent="0.25">
      <c r="B76" s="37">
        <v>1</v>
      </c>
      <c r="C76" s="38">
        <v>6</v>
      </c>
      <c r="D76" s="1"/>
      <c r="E76" s="1"/>
      <c r="F76" s="1"/>
    </row>
    <row r="77" spans="2:6" x14ac:dyDescent="0.25">
      <c r="B77" s="37">
        <v>1</v>
      </c>
      <c r="C77" s="38">
        <v>7</v>
      </c>
      <c r="D77" s="1"/>
      <c r="E77" s="1"/>
      <c r="F77" s="1"/>
    </row>
    <row r="78" spans="2:6" x14ac:dyDescent="0.25">
      <c r="B78" s="37">
        <v>1</v>
      </c>
      <c r="C78" s="38">
        <v>8</v>
      </c>
      <c r="D78" s="1"/>
      <c r="E78" s="1"/>
      <c r="F78" s="1"/>
    </row>
    <row r="79" spans="2:6" x14ac:dyDescent="0.25">
      <c r="B79" s="37">
        <v>1</v>
      </c>
      <c r="C79" s="38">
        <v>9</v>
      </c>
      <c r="D79" s="1"/>
      <c r="E79" s="1"/>
      <c r="F79" s="1"/>
    </row>
    <row r="80" spans="2:6" x14ac:dyDescent="0.25">
      <c r="B80" s="37">
        <v>1</v>
      </c>
      <c r="C80" s="38">
        <v>10</v>
      </c>
      <c r="D80" s="1"/>
      <c r="E80" s="1"/>
      <c r="F80" s="1"/>
    </row>
    <row r="81" spans="2:6" x14ac:dyDescent="0.25">
      <c r="B81" s="37">
        <v>1</v>
      </c>
      <c r="C81" s="38">
        <v>11</v>
      </c>
      <c r="D81" s="1"/>
      <c r="E81" s="1"/>
      <c r="F81" s="1"/>
    </row>
    <row r="82" spans="2:6" x14ac:dyDescent="0.25">
      <c r="B82" s="37">
        <v>1</v>
      </c>
      <c r="C82" s="38">
        <v>12</v>
      </c>
      <c r="D82" s="1"/>
      <c r="E82" s="1"/>
      <c r="F82" s="1"/>
    </row>
    <row r="83" spans="2:6" x14ac:dyDescent="0.25">
      <c r="B83" s="37">
        <v>2</v>
      </c>
      <c r="C83" s="38">
        <v>1</v>
      </c>
      <c r="D83" s="15" t="s">
        <v>468</v>
      </c>
      <c r="E83" s="16" t="s">
        <v>142</v>
      </c>
      <c r="F83" s="17" t="s">
        <v>469</v>
      </c>
    </row>
    <row r="84" spans="2:6" x14ac:dyDescent="0.25">
      <c r="B84" s="37">
        <v>2</v>
      </c>
      <c r="C84" s="38">
        <v>2</v>
      </c>
      <c r="D84" s="18" t="s">
        <v>470</v>
      </c>
      <c r="E84" s="19" t="s">
        <v>471</v>
      </c>
      <c r="F84" s="20" t="s">
        <v>472</v>
      </c>
    </row>
    <row r="85" spans="2:6" x14ac:dyDescent="0.25">
      <c r="B85" s="37">
        <v>2</v>
      </c>
      <c r="C85" s="38">
        <v>3</v>
      </c>
      <c r="D85" s="18" t="s">
        <v>473</v>
      </c>
      <c r="E85" s="19" t="s">
        <v>474</v>
      </c>
      <c r="F85" s="20" t="s">
        <v>475</v>
      </c>
    </row>
    <row r="86" spans="2:6" x14ac:dyDescent="0.25">
      <c r="B86" s="37">
        <v>2</v>
      </c>
      <c r="C86" s="38">
        <v>4</v>
      </c>
      <c r="D86" s="18" t="s">
        <v>476</v>
      </c>
      <c r="E86" s="19" t="s">
        <v>477</v>
      </c>
      <c r="F86" s="20" t="s">
        <v>478</v>
      </c>
    </row>
    <row r="87" spans="2:6" x14ac:dyDescent="0.25">
      <c r="B87" s="37">
        <v>2</v>
      </c>
      <c r="C87" s="38">
        <v>5</v>
      </c>
      <c r="D87" s="18" t="s">
        <v>479</v>
      </c>
      <c r="E87" s="19" t="s">
        <v>480</v>
      </c>
      <c r="F87" s="20" t="s">
        <v>481</v>
      </c>
    </row>
    <row r="88" spans="2:6" x14ac:dyDescent="0.25">
      <c r="B88" s="37">
        <v>2</v>
      </c>
      <c r="C88" s="38">
        <v>6</v>
      </c>
      <c r="D88" s="18" t="s">
        <v>482</v>
      </c>
      <c r="E88" s="19" t="s">
        <v>483</v>
      </c>
      <c r="F88" s="26" t="s">
        <v>484</v>
      </c>
    </row>
    <row r="89" spans="2:6" x14ac:dyDescent="0.25">
      <c r="B89" s="37">
        <v>2</v>
      </c>
      <c r="C89" s="38">
        <v>7</v>
      </c>
      <c r="D89" s="18" t="s">
        <v>485</v>
      </c>
      <c r="E89" s="19" t="s">
        <v>486</v>
      </c>
      <c r="F89" s="20" t="s">
        <v>487</v>
      </c>
    </row>
    <row r="90" spans="2:6" x14ac:dyDescent="0.25">
      <c r="B90" s="37">
        <v>2</v>
      </c>
      <c r="C90" s="38">
        <v>8</v>
      </c>
      <c r="D90" s="18" t="s">
        <v>488</v>
      </c>
      <c r="E90" s="19" t="s">
        <v>489</v>
      </c>
      <c r="F90" s="20" t="s">
        <v>490</v>
      </c>
    </row>
    <row r="91" spans="2:6" x14ac:dyDescent="0.25">
      <c r="B91" s="37">
        <v>2</v>
      </c>
      <c r="C91" s="38">
        <v>9</v>
      </c>
      <c r="D91" s="18" t="s">
        <v>491</v>
      </c>
      <c r="E91" s="19" t="s">
        <v>492</v>
      </c>
      <c r="F91" s="20" t="s">
        <v>493</v>
      </c>
    </row>
    <row r="92" spans="2:6" x14ac:dyDescent="0.25">
      <c r="B92" s="37">
        <v>2</v>
      </c>
      <c r="C92" s="38">
        <v>10</v>
      </c>
      <c r="D92" s="18" t="s">
        <v>494</v>
      </c>
      <c r="E92" s="19" t="s">
        <v>495</v>
      </c>
      <c r="F92" s="20" t="s">
        <v>496</v>
      </c>
    </row>
    <row r="93" spans="2:6" x14ac:dyDescent="0.25">
      <c r="B93" s="37">
        <v>2</v>
      </c>
      <c r="C93" s="38">
        <v>11</v>
      </c>
      <c r="D93" s="18" t="s">
        <v>497</v>
      </c>
      <c r="E93" s="19" t="s">
        <v>498</v>
      </c>
      <c r="F93" s="20" t="s">
        <v>499</v>
      </c>
    </row>
    <row r="94" spans="2:6" x14ac:dyDescent="0.25">
      <c r="B94" s="37">
        <v>2</v>
      </c>
      <c r="C94" s="38">
        <v>12</v>
      </c>
      <c r="D94" s="22" t="s">
        <v>500</v>
      </c>
      <c r="E94" s="23" t="s">
        <v>337</v>
      </c>
      <c r="F94" s="24" t="s">
        <v>501</v>
      </c>
    </row>
  </sheetData>
  <sheetProtection sheet="1" objects="1" scenarios="1" formatCells="0" formatColumns="0" formatRows="0" insertHyperlinks="0"/>
  <dataValidations count="4">
    <dataValidation type="list" allowBlank="1" showInputMessage="1" showErrorMessage="1" sqref="F46:F66" xr:uid="{6DEBE8EC-2B57-4380-910E-0A2154580682}">
      <formula1>INDIRECT(VLOOKUP($E46, SkillNameMap, 2, FALSE))</formula1>
    </dataValidation>
    <dataValidation type="list" allowBlank="1" showInputMessage="1" showErrorMessage="1" sqref="E38:E41" xr:uid="{6274686E-0972-4BC0-8A91-115628F0C35E}">
      <formula1>INDIRECT("LISTAssess[Assessment Specific]")</formula1>
    </dataValidation>
    <dataValidation type="whole" showInputMessage="1" showErrorMessage="1" error="This is not a realistic number of contact hours please change" sqref="D19" xr:uid="{D71B7080-AED5-4BD2-BC61-46D1FB03F689}">
      <formula1>0</formula1>
      <formula2>80</formula2>
    </dataValidation>
    <dataValidation type="whole" showInputMessage="1" showErrorMessage="1" error="This is not a realistic number of contact hours please reduce" sqref="D20:D23" xr:uid="{50629AB0-717B-48FC-8FF1-8B4D77B3991E}">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6DA8F40-9192-4741-B2FE-57A9C46482DF}">
          <x14:formula1>
            <xm:f>LISTS!$J$7:$J$16</xm:f>
          </x14:formula1>
          <xm:sqref>E46:E66</xm:sqref>
        </x14:dataValidation>
        <x14:dataValidation type="list" allowBlank="1" showInputMessage="1" showErrorMessage="1" xr:uid="{A4EF2000-8BB6-4BFE-B91D-91E943534494}">
          <x14:formula1>
            <xm:f>LISTS!$E$7:$E$11</xm:f>
          </x14:formula1>
          <xm:sqref>D46:D66</xm:sqref>
        </x14:dataValidation>
        <x14:dataValidation type="list" allowBlank="1" showInputMessage="1" showErrorMessage="1" xr:uid="{C6D73155-D6B3-465B-BEF7-0FA25E168DED}">
          <x14:formula1>
            <xm:f>LISTS!$G$7:$G$11</xm:f>
          </x14:formula1>
          <xm:sqref>D38:D42</xm:sqref>
        </x14:dataValidation>
        <x14:dataValidation type="list" allowBlank="1" showInputMessage="1" showErrorMessage="1" xr:uid="{B0028DB5-73A5-49CC-9F11-A5A6090C114A}">
          <x14:formula1>
            <xm:f>LISTS!$C$11:$C$15</xm:f>
          </x14:formula1>
          <xm:sqref>D11</xm:sqref>
        </x14:dataValidation>
        <x14:dataValidation type="list" allowBlank="1" showInputMessage="1" showErrorMessage="1" xr:uid="{B42E3CF9-1ABB-4684-872B-EC2BAFBA300F}">
          <x14:formula1>
            <xm:f>LISTS!$C$7:$C$9</xm:f>
          </x14:formula1>
          <xm:sqref>D10</xm:sqref>
        </x14:dataValidation>
        <x14:dataValidation type="list" allowBlank="1" showInputMessage="1" showErrorMessage="1" xr:uid="{A8C95E66-AD61-4BFC-ABB4-381106E7EE30}">
          <x14:formula1>
            <xm:f>LISTS!$C$17:$C$22</xm:f>
          </x14:formula1>
          <xm:sqref>D13</xm:sqref>
        </x14:dataValidation>
        <x14:dataValidation type="list" allowBlank="1" showInputMessage="1" showErrorMessage="1" xr:uid="{6D716C63-5AE4-4FD1-B40D-675960865ED5}">
          <x14:formula1>
            <xm:f>LISTS!$C$26:$C$37</xm:f>
          </x14:formula1>
          <xm:sqref>D14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3CBE-AC61-4382-834C-8132B542CACA}">
  <sheetPr codeName="Sheet9"/>
  <dimension ref="B2:H94"/>
  <sheetViews>
    <sheetView showGridLines="0" topLeftCell="B1"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6003SPS</v>
      </c>
      <c r="D2" s="27" t="str">
        <f>D8</f>
        <v>Molecular Nutrition and Genetics</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502</v>
      </c>
      <c r="E7" s="32"/>
      <c r="F7" s="6" t="s">
        <v>503</v>
      </c>
    </row>
    <row r="8" spans="2:6" x14ac:dyDescent="0.25">
      <c r="B8" s="29"/>
      <c r="C8" s="36" t="s">
        <v>7</v>
      </c>
      <c r="D8" s="6" t="s">
        <v>504</v>
      </c>
      <c r="E8" s="32"/>
      <c r="F8" s="4"/>
    </row>
    <row r="9" spans="2:6" x14ac:dyDescent="0.25">
      <c r="C9" s="36" t="s">
        <v>9</v>
      </c>
      <c r="D9" s="1">
        <v>20</v>
      </c>
      <c r="E9" s="32"/>
    </row>
    <row r="10" spans="2:6" x14ac:dyDescent="0.25">
      <c r="C10" s="36" t="s">
        <v>10</v>
      </c>
      <c r="D10" s="1">
        <v>1</v>
      </c>
      <c r="E10" s="32"/>
      <c r="F10" t="s">
        <v>12</v>
      </c>
    </row>
    <row r="11" spans="2:6" x14ac:dyDescent="0.25">
      <c r="C11" s="36" t="s">
        <v>13</v>
      </c>
      <c r="D11" s="1">
        <v>6</v>
      </c>
      <c r="E11" s="32"/>
      <c r="F11" s="6" t="s">
        <v>505</v>
      </c>
    </row>
    <row r="12" spans="2:6" x14ac:dyDescent="0.25">
      <c r="C12" s="36" t="s">
        <v>15</v>
      </c>
      <c r="D12" s="1" t="s">
        <v>180</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506</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507</v>
      </c>
    </row>
    <row r="24" spans="3:6" x14ac:dyDescent="0.25">
      <c r="C24" s="36" t="s">
        <v>32</v>
      </c>
      <c r="D24" s="28">
        <f>SUM(D19:D23)</f>
        <v>0</v>
      </c>
      <c r="E24" s="32"/>
      <c r="F24" s="8" t="s">
        <v>508</v>
      </c>
    </row>
    <row r="25" spans="3:6" x14ac:dyDescent="0.25">
      <c r="F25" s="8" t="s">
        <v>509</v>
      </c>
    </row>
    <row r="26" spans="3:6" x14ac:dyDescent="0.25">
      <c r="F26" s="8" t="s">
        <v>510</v>
      </c>
    </row>
    <row r="27" spans="3:6" ht="18.75" x14ac:dyDescent="0.25">
      <c r="C27" s="30" t="s">
        <v>36</v>
      </c>
      <c r="D27" s="33" t="s">
        <v>37</v>
      </c>
      <c r="F27" s="8"/>
    </row>
    <row r="28" spans="3:6" x14ac:dyDescent="0.25">
      <c r="C28" s="31" t="s">
        <v>39</v>
      </c>
      <c r="D28" s="31" t="s">
        <v>40</v>
      </c>
      <c r="E28" s="31"/>
      <c r="F28" s="8" t="s">
        <v>511</v>
      </c>
    </row>
    <row r="29" spans="3:6" x14ac:dyDescent="0.25">
      <c r="C29" s="36" t="s">
        <v>42</v>
      </c>
      <c r="D29" s="8" t="s">
        <v>512</v>
      </c>
      <c r="E29" s="32"/>
      <c r="F29" s="4"/>
    </row>
    <row r="30" spans="3:6" x14ac:dyDescent="0.25">
      <c r="C30" s="36" t="s">
        <v>44</v>
      </c>
      <c r="D30" s="25" t="s">
        <v>513</v>
      </c>
      <c r="E30" s="32"/>
      <c r="F30" s="4"/>
    </row>
    <row r="31" spans="3:6" x14ac:dyDescent="0.25">
      <c r="C31" s="36" t="s">
        <v>46</v>
      </c>
      <c r="D31" s="25" t="s">
        <v>514</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1" t="s">
        <v>353</v>
      </c>
      <c r="F38" s="1" t="s">
        <v>515</v>
      </c>
      <c r="G38" s="3">
        <v>0.5</v>
      </c>
      <c r="H38" s="1">
        <v>6</v>
      </c>
    </row>
    <row r="39" spans="3:8" x14ac:dyDescent="0.25">
      <c r="C39" s="36" t="s">
        <v>61</v>
      </c>
      <c r="D39" s="1"/>
      <c r="E39" s="1"/>
      <c r="F39" s="1"/>
      <c r="G39" s="3">
        <v>0.5</v>
      </c>
      <c r="H39" s="1">
        <v>12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196</v>
      </c>
    </row>
    <row r="47" spans="3:8" x14ac:dyDescent="0.25">
      <c r="C47" s="5" t="s">
        <v>57</v>
      </c>
      <c r="D47" s="4" t="s">
        <v>42</v>
      </c>
      <c r="E47" s="4" t="s">
        <v>464</v>
      </c>
      <c r="F47" s="4" t="s">
        <v>516</v>
      </c>
    </row>
    <row r="48" spans="3:8" x14ac:dyDescent="0.25">
      <c r="C48" s="5" t="s">
        <v>57</v>
      </c>
      <c r="D48" s="4" t="s">
        <v>44</v>
      </c>
      <c r="E48" s="4" t="s">
        <v>138</v>
      </c>
      <c r="F48" s="4" t="s">
        <v>198</v>
      </c>
    </row>
    <row r="49" spans="3:6" x14ac:dyDescent="0.25">
      <c r="C49" s="5" t="s">
        <v>61</v>
      </c>
      <c r="D49" s="4" t="s">
        <v>42</v>
      </c>
      <c r="E49" s="4" t="s">
        <v>73</v>
      </c>
      <c r="F49" s="4" t="s">
        <v>412</v>
      </c>
    </row>
    <row r="50" spans="3:6" x14ac:dyDescent="0.25">
      <c r="C50" s="5" t="s">
        <v>61</v>
      </c>
      <c r="D50" s="4" t="s">
        <v>44</v>
      </c>
      <c r="E50" s="4" t="s">
        <v>464</v>
      </c>
      <c r="F50" s="4" t="s">
        <v>517</v>
      </c>
    </row>
    <row r="51" spans="3:6" x14ac:dyDescent="0.25">
      <c r="C51" s="5" t="s">
        <v>61</v>
      </c>
      <c r="D51" s="4" t="s">
        <v>46</v>
      </c>
      <c r="E51" s="4" t="s">
        <v>138</v>
      </c>
      <c r="F51" s="4" t="s">
        <v>518</v>
      </c>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5" t="s">
        <v>519</v>
      </c>
      <c r="E71" s="16" t="s">
        <v>520</v>
      </c>
      <c r="F71" s="17" t="s">
        <v>521</v>
      </c>
    </row>
    <row r="72" spans="2:6" x14ac:dyDescent="0.25">
      <c r="B72" s="37">
        <v>1</v>
      </c>
      <c r="C72" s="38">
        <v>2</v>
      </c>
      <c r="D72" s="18" t="s">
        <v>522</v>
      </c>
      <c r="E72" s="19" t="s">
        <v>523</v>
      </c>
      <c r="F72" s="20" t="s">
        <v>25</v>
      </c>
    </row>
    <row r="73" spans="2:6" x14ac:dyDescent="0.25">
      <c r="B73" s="37">
        <v>1</v>
      </c>
      <c r="C73" s="38">
        <v>3</v>
      </c>
      <c r="D73" s="18" t="s">
        <v>524</v>
      </c>
      <c r="E73" s="19" t="s">
        <v>525</v>
      </c>
      <c r="F73" s="20" t="s">
        <v>526</v>
      </c>
    </row>
    <row r="74" spans="2:6" x14ac:dyDescent="0.25">
      <c r="B74" s="37">
        <v>1</v>
      </c>
      <c r="C74" s="38">
        <v>4</v>
      </c>
      <c r="D74" s="18" t="s">
        <v>527</v>
      </c>
      <c r="E74" s="19" t="s">
        <v>528</v>
      </c>
      <c r="F74" s="20" t="s">
        <v>25</v>
      </c>
    </row>
    <row r="75" spans="2:6" x14ac:dyDescent="0.25">
      <c r="B75" s="37">
        <v>1</v>
      </c>
      <c r="C75" s="38">
        <v>5</v>
      </c>
      <c r="D75" s="18" t="s">
        <v>529</v>
      </c>
      <c r="E75" s="19" t="s">
        <v>530</v>
      </c>
      <c r="F75" s="20" t="s">
        <v>531</v>
      </c>
    </row>
    <row r="76" spans="2:6" x14ac:dyDescent="0.25">
      <c r="B76" s="37">
        <v>1</v>
      </c>
      <c r="C76" s="38">
        <v>6</v>
      </c>
      <c r="D76" s="18" t="s">
        <v>532</v>
      </c>
      <c r="E76" s="19" t="s">
        <v>533</v>
      </c>
      <c r="F76" s="26" t="s">
        <v>534</v>
      </c>
    </row>
    <row r="77" spans="2:6" x14ac:dyDescent="0.25">
      <c r="B77" s="37">
        <v>1</v>
      </c>
      <c r="C77" s="38">
        <v>7</v>
      </c>
      <c r="D77" s="18" t="s">
        <v>535</v>
      </c>
      <c r="E77" s="19" t="s">
        <v>536</v>
      </c>
      <c r="F77" s="20" t="s">
        <v>537</v>
      </c>
    </row>
    <row r="78" spans="2:6" x14ac:dyDescent="0.25">
      <c r="B78" s="37">
        <v>1</v>
      </c>
      <c r="C78" s="38">
        <v>8</v>
      </c>
      <c r="D78" s="18" t="s">
        <v>538</v>
      </c>
      <c r="E78" s="19" t="s">
        <v>539</v>
      </c>
      <c r="F78" s="20" t="s">
        <v>540</v>
      </c>
    </row>
    <row r="79" spans="2:6" x14ac:dyDescent="0.25">
      <c r="B79" s="37">
        <v>1</v>
      </c>
      <c r="C79" s="38">
        <v>9</v>
      </c>
      <c r="D79" s="18" t="s">
        <v>541</v>
      </c>
      <c r="E79" s="19" t="s">
        <v>542</v>
      </c>
      <c r="F79" s="20" t="s">
        <v>543</v>
      </c>
    </row>
    <row r="80" spans="2:6" x14ac:dyDescent="0.25">
      <c r="B80" s="37">
        <v>1</v>
      </c>
      <c r="C80" s="38">
        <v>10</v>
      </c>
      <c r="D80" s="18" t="s">
        <v>544</v>
      </c>
      <c r="E80" s="19" t="s">
        <v>545</v>
      </c>
      <c r="F80" s="20" t="s">
        <v>546</v>
      </c>
    </row>
    <row r="81" spans="2:6" x14ac:dyDescent="0.25">
      <c r="B81" s="37">
        <v>1</v>
      </c>
      <c r="C81" s="38">
        <v>11</v>
      </c>
      <c r="D81" s="18" t="s">
        <v>547</v>
      </c>
      <c r="E81" s="19" t="s">
        <v>548</v>
      </c>
      <c r="F81" s="20" t="s">
        <v>549</v>
      </c>
    </row>
    <row r="82" spans="2:6" x14ac:dyDescent="0.25">
      <c r="B82" s="37">
        <v>1</v>
      </c>
      <c r="C82" s="38">
        <v>12</v>
      </c>
      <c r="D82" s="22" t="s">
        <v>550</v>
      </c>
      <c r="E82" s="23" t="s">
        <v>551</v>
      </c>
      <c r="F82" s="24" t="s">
        <v>552</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739D2576-B862-4853-8753-8DF65DD1B8E0}">
      <formula1>0</formula1>
      <formula2>80</formula2>
    </dataValidation>
    <dataValidation type="whole" showInputMessage="1" showErrorMessage="1" error="This is not a realistic number of contact hours please change" sqref="D19" xr:uid="{FBECA4FB-7A34-4FDD-80A9-474CB8B74418}">
      <formula1>0</formula1>
      <formula2>80</formula2>
    </dataValidation>
    <dataValidation type="list" allowBlank="1" showInputMessage="1" showErrorMessage="1" sqref="E38:E41" xr:uid="{A62A3AA1-D3B0-45A3-A998-2D56857427B0}">
      <formula1>INDIRECT("LISTAssess[Assessment Specific]")</formula1>
    </dataValidation>
    <dataValidation type="list" allowBlank="1" showInputMessage="1" showErrorMessage="1" sqref="F46:F66" xr:uid="{18E884D7-F12C-48DC-A53D-24BA4F0CF85C}">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A52E779B-E821-4CC1-9128-54996FA802EC}">
          <x14:formula1>
            <xm:f>LISTS!$C$26:$C$37</xm:f>
          </x14:formula1>
          <xm:sqref>D14</xm:sqref>
        </x14:dataValidation>
        <x14:dataValidation type="list" allowBlank="1" showInputMessage="1" showErrorMessage="1" xr:uid="{A5CAE7BB-8764-4881-8FF8-F1033AED8BE0}">
          <x14:formula1>
            <xm:f>LISTS!$C$17:$C$22</xm:f>
          </x14:formula1>
          <xm:sqref>D13</xm:sqref>
        </x14:dataValidation>
        <x14:dataValidation type="list" allowBlank="1" showInputMessage="1" showErrorMessage="1" xr:uid="{07FDBC41-34BD-47AA-9E59-E456FC441771}">
          <x14:formula1>
            <xm:f>LISTS!$C$7:$C$9</xm:f>
          </x14:formula1>
          <xm:sqref>D10</xm:sqref>
        </x14:dataValidation>
        <x14:dataValidation type="list" allowBlank="1" showInputMessage="1" showErrorMessage="1" xr:uid="{35EAF739-973D-4E61-84C4-4B4FF2170971}">
          <x14:formula1>
            <xm:f>LISTS!$C$11:$C$15</xm:f>
          </x14:formula1>
          <xm:sqref>D11</xm:sqref>
        </x14:dataValidation>
        <x14:dataValidation type="list" allowBlank="1" showInputMessage="1" showErrorMessage="1" xr:uid="{90A7C72D-3610-4C02-9AF7-59AF8571FA64}">
          <x14:formula1>
            <xm:f>LISTS!$G$7:$G$11</xm:f>
          </x14:formula1>
          <xm:sqref>D38:D42</xm:sqref>
        </x14:dataValidation>
        <x14:dataValidation type="list" allowBlank="1" showInputMessage="1" showErrorMessage="1" xr:uid="{1DC85910-ED19-4EA2-94B1-66EC223ACFC1}">
          <x14:formula1>
            <xm:f>LISTS!$E$7:$E$11</xm:f>
          </x14:formula1>
          <xm:sqref>D46:D66</xm:sqref>
        </x14:dataValidation>
        <x14:dataValidation type="list" allowBlank="1" showInputMessage="1" showErrorMessage="1" xr:uid="{2751552D-9CB1-43E7-81A0-A1705BDEC705}">
          <x14:formula1>
            <xm:f>LISTS!$J$7:$J$16</xm:f>
          </x14:formula1>
          <xm:sqref>E46:E66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08AE-A3E7-4649-AF94-9902578E541A}">
  <sheetPr codeName="Sheet10"/>
  <dimension ref="B2:H94"/>
  <sheetViews>
    <sheetView showGridLines="0" topLeftCell="B1" zoomScale="85" zoomScaleNormal="85" workbookViewId="0">
      <selection activeCell="D8" sqref="D8"/>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6004SPS</v>
      </c>
      <c r="D2" s="27" t="str">
        <f>D8</f>
        <v>Sport Supplements and Contemporary Issues</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553</v>
      </c>
      <c r="E7" s="32"/>
      <c r="F7" s="6" t="s">
        <v>554</v>
      </c>
    </row>
    <row r="8" spans="2:6" x14ac:dyDescent="0.25">
      <c r="B8" s="29"/>
      <c r="C8" s="36" t="s">
        <v>7</v>
      </c>
      <c r="D8" s="6" t="s">
        <v>555</v>
      </c>
      <c r="E8" s="32"/>
      <c r="F8" s="4"/>
    </row>
    <row r="9" spans="2:6" x14ac:dyDescent="0.25">
      <c r="C9" s="36" t="s">
        <v>9</v>
      </c>
      <c r="D9" s="1">
        <v>20</v>
      </c>
      <c r="E9" s="32"/>
    </row>
    <row r="10" spans="2:6" x14ac:dyDescent="0.25">
      <c r="C10" s="36" t="s">
        <v>10</v>
      </c>
      <c r="D10" s="1">
        <v>1</v>
      </c>
      <c r="E10" s="32"/>
      <c r="F10" t="s">
        <v>12</v>
      </c>
    </row>
    <row r="11" spans="2:6" x14ac:dyDescent="0.25">
      <c r="C11" s="36" t="s">
        <v>13</v>
      </c>
      <c r="D11" s="1">
        <v>6</v>
      </c>
      <c r="E11" s="32"/>
      <c r="F11" s="6" t="s">
        <v>556</v>
      </c>
    </row>
    <row r="12" spans="2:6" x14ac:dyDescent="0.25">
      <c r="C12" s="36" t="s">
        <v>15</v>
      </c>
      <c r="D12" s="1" t="s">
        <v>557</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558</v>
      </c>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8" t="s">
        <v>559</v>
      </c>
    </row>
    <row r="24" spans="3:6" x14ac:dyDescent="0.25">
      <c r="C24" s="36" t="s">
        <v>32</v>
      </c>
      <c r="D24" s="28">
        <f>SUM(D19:D23)</f>
        <v>0</v>
      </c>
      <c r="E24" s="32"/>
      <c r="F24" s="8" t="s">
        <v>560</v>
      </c>
    </row>
    <row r="25" spans="3:6" x14ac:dyDescent="0.25">
      <c r="F25" s="8" t="s">
        <v>561</v>
      </c>
    </row>
    <row r="26" spans="3:6" x14ac:dyDescent="0.25">
      <c r="F26" s="8" t="s">
        <v>562</v>
      </c>
    </row>
    <row r="27" spans="3:6" ht="18.75" x14ac:dyDescent="0.25">
      <c r="C27" s="30" t="s">
        <v>36</v>
      </c>
      <c r="D27" s="33" t="s">
        <v>37</v>
      </c>
      <c r="F27" s="8" t="s">
        <v>563</v>
      </c>
    </row>
    <row r="28" spans="3:6" x14ac:dyDescent="0.25">
      <c r="C28" s="31" t="s">
        <v>39</v>
      </c>
      <c r="D28" s="31" t="s">
        <v>40</v>
      </c>
      <c r="E28" s="31"/>
      <c r="F28" s="8"/>
    </row>
    <row r="29" spans="3:6" x14ac:dyDescent="0.25">
      <c r="C29" s="36" t="s">
        <v>42</v>
      </c>
      <c r="D29" s="8" t="s">
        <v>564</v>
      </c>
      <c r="E29" s="32"/>
      <c r="F29" s="8" t="s">
        <v>565</v>
      </c>
    </row>
    <row r="30" spans="3:6" x14ac:dyDescent="0.25">
      <c r="C30" s="36" t="s">
        <v>44</v>
      </c>
      <c r="D30" s="25" t="s">
        <v>566</v>
      </c>
      <c r="E30" s="32"/>
      <c r="F30" s="4"/>
    </row>
    <row r="31" spans="3:6" x14ac:dyDescent="0.25">
      <c r="C31" s="36" t="s">
        <v>46</v>
      </c>
      <c r="D31" s="25" t="s">
        <v>567</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136</v>
      </c>
      <c r="E38" s="1" t="s">
        <v>250</v>
      </c>
      <c r="F38" s="6" t="s">
        <v>568</v>
      </c>
      <c r="G38" s="3">
        <v>0.5</v>
      </c>
      <c r="H38" s="1">
        <v>17</v>
      </c>
    </row>
    <row r="39" spans="3:8" x14ac:dyDescent="0.25">
      <c r="C39" s="36" t="s">
        <v>61</v>
      </c>
      <c r="D39" s="1" t="s">
        <v>133</v>
      </c>
      <c r="E39" s="1" t="s">
        <v>299</v>
      </c>
      <c r="F39" s="8" t="s">
        <v>569</v>
      </c>
      <c r="G39" s="3">
        <v>0.5</v>
      </c>
      <c r="H39" s="1">
        <v>12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196</v>
      </c>
    </row>
    <row r="47" spans="3:8" x14ac:dyDescent="0.25">
      <c r="C47" s="5" t="s">
        <v>57</v>
      </c>
      <c r="D47" s="4" t="s">
        <v>44</v>
      </c>
      <c r="E47" s="4" t="s">
        <v>138</v>
      </c>
      <c r="F47" s="4" t="s">
        <v>198</v>
      </c>
    </row>
    <row r="48" spans="3:8" x14ac:dyDescent="0.25">
      <c r="C48" s="5" t="s">
        <v>57</v>
      </c>
      <c r="D48" s="4" t="s">
        <v>44</v>
      </c>
      <c r="E48" s="4" t="s">
        <v>464</v>
      </c>
      <c r="F48" s="4" t="s">
        <v>570</v>
      </c>
    </row>
    <row r="49" spans="3:6" x14ac:dyDescent="0.25">
      <c r="C49" s="5" t="s">
        <v>61</v>
      </c>
      <c r="D49" s="4" t="s">
        <v>42</v>
      </c>
      <c r="E49" s="4" t="s">
        <v>71</v>
      </c>
      <c r="F49" s="4" t="s">
        <v>358</v>
      </c>
    </row>
    <row r="50" spans="3:6" x14ac:dyDescent="0.25">
      <c r="C50" s="5" t="s">
        <v>61</v>
      </c>
      <c r="D50" s="4" t="s">
        <v>46</v>
      </c>
      <c r="E50" s="4" t="s">
        <v>73</v>
      </c>
      <c r="F50" s="4" t="s">
        <v>140</v>
      </c>
    </row>
    <row r="51" spans="3:6" x14ac:dyDescent="0.25">
      <c r="C51" s="5" t="s">
        <v>61</v>
      </c>
      <c r="D51" s="4" t="s">
        <v>46</v>
      </c>
      <c r="E51" s="4" t="s">
        <v>464</v>
      </c>
      <c r="F51" s="4" t="s">
        <v>570</v>
      </c>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5" t="s">
        <v>571</v>
      </c>
      <c r="E71" s="16" t="s">
        <v>572</v>
      </c>
      <c r="F71" s="17" t="s">
        <v>573</v>
      </c>
    </row>
    <row r="72" spans="2:6" x14ac:dyDescent="0.25">
      <c r="B72" s="37">
        <v>1</v>
      </c>
      <c r="C72" s="38">
        <v>2</v>
      </c>
      <c r="D72" s="18" t="s">
        <v>574</v>
      </c>
      <c r="E72" s="19" t="s">
        <v>575</v>
      </c>
      <c r="F72" s="20" t="s">
        <v>576</v>
      </c>
    </row>
    <row r="73" spans="2:6" x14ac:dyDescent="0.25">
      <c r="B73" s="37">
        <v>1</v>
      </c>
      <c r="C73" s="38">
        <v>3</v>
      </c>
      <c r="D73" s="18" t="s">
        <v>577</v>
      </c>
      <c r="E73" s="19" t="s">
        <v>575</v>
      </c>
      <c r="F73" s="20" t="s">
        <v>576</v>
      </c>
    </row>
    <row r="74" spans="2:6" x14ac:dyDescent="0.25">
      <c r="B74" s="37">
        <v>1</v>
      </c>
      <c r="C74" s="38">
        <v>4</v>
      </c>
      <c r="D74" s="18" t="s">
        <v>578</v>
      </c>
      <c r="E74" s="19" t="s">
        <v>575</v>
      </c>
      <c r="F74" s="20" t="s">
        <v>576</v>
      </c>
    </row>
    <row r="75" spans="2:6" x14ac:dyDescent="0.25">
      <c r="B75" s="37">
        <v>1</v>
      </c>
      <c r="C75" s="38">
        <v>5</v>
      </c>
      <c r="D75" s="18" t="s">
        <v>579</v>
      </c>
      <c r="E75" s="19" t="s">
        <v>580</v>
      </c>
      <c r="F75" s="20" t="s">
        <v>581</v>
      </c>
    </row>
    <row r="76" spans="2:6" x14ac:dyDescent="0.25">
      <c r="B76" s="37">
        <v>1</v>
      </c>
      <c r="C76" s="38">
        <v>6</v>
      </c>
      <c r="D76" s="18" t="s">
        <v>582</v>
      </c>
      <c r="E76" s="21" t="s">
        <v>583</v>
      </c>
      <c r="F76" s="20" t="s">
        <v>584</v>
      </c>
    </row>
    <row r="77" spans="2:6" x14ac:dyDescent="0.25">
      <c r="B77" s="37">
        <v>1</v>
      </c>
      <c r="C77" s="38">
        <v>7</v>
      </c>
      <c r="D77" s="18" t="s">
        <v>585</v>
      </c>
      <c r="E77" s="19" t="s">
        <v>586</v>
      </c>
      <c r="F77" s="20" t="s">
        <v>587</v>
      </c>
    </row>
    <row r="78" spans="2:6" x14ac:dyDescent="0.25">
      <c r="B78" s="37">
        <v>1</v>
      </c>
      <c r="C78" s="38">
        <v>8</v>
      </c>
      <c r="D78" s="18" t="s">
        <v>588</v>
      </c>
      <c r="E78" s="19" t="s">
        <v>589</v>
      </c>
      <c r="F78" s="20" t="s">
        <v>388</v>
      </c>
    </row>
    <row r="79" spans="2:6" x14ac:dyDescent="0.25">
      <c r="B79" s="37">
        <v>1</v>
      </c>
      <c r="C79" s="38">
        <v>9</v>
      </c>
      <c r="D79" s="18" t="s">
        <v>590</v>
      </c>
      <c r="E79" s="19" t="s">
        <v>591</v>
      </c>
      <c r="F79" s="20" t="s">
        <v>592</v>
      </c>
    </row>
    <row r="80" spans="2:6" x14ac:dyDescent="0.25">
      <c r="B80" s="37">
        <v>1</v>
      </c>
      <c r="C80" s="38">
        <v>10</v>
      </c>
      <c r="D80" s="18" t="s">
        <v>593</v>
      </c>
      <c r="E80" s="19" t="s">
        <v>594</v>
      </c>
      <c r="F80" s="20" t="s">
        <v>595</v>
      </c>
    </row>
    <row r="81" spans="2:6" x14ac:dyDescent="0.25">
      <c r="B81" s="37">
        <v>1</v>
      </c>
      <c r="C81" s="38">
        <v>11</v>
      </c>
      <c r="D81" s="18" t="s">
        <v>596</v>
      </c>
      <c r="E81" s="19" t="s">
        <v>597</v>
      </c>
      <c r="F81" s="20" t="s">
        <v>598</v>
      </c>
    </row>
    <row r="82" spans="2:6" x14ac:dyDescent="0.25">
      <c r="B82" s="37">
        <v>1</v>
      </c>
      <c r="C82" s="38">
        <v>12</v>
      </c>
      <c r="D82" s="22" t="s">
        <v>599</v>
      </c>
      <c r="E82" s="23" t="s">
        <v>600</v>
      </c>
      <c r="F82" s="24" t="s">
        <v>601</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list" allowBlank="1" showInputMessage="1" showErrorMessage="1" sqref="F46:F66" xr:uid="{892CDF0E-15A0-43A8-BD6A-62EF4D03C7D2}">
      <formula1>INDIRECT(VLOOKUP($E46, SkillNameMap, 2, FALSE))</formula1>
    </dataValidation>
    <dataValidation type="list" allowBlank="1" showInputMessage="1" showErrorMessage="1" sqref="E38:E41" xr:uid="{7994DC66-9754-47D3-A28B-C0A83A2EAC89}">
      <formula1>INDIRECT("LISTAssess[Assessment Specific]")</formula1>
    </dataValidation>
    <dataValidation type="whole" showInputMessage="1" showErrorMessage="1" error="This is not a realistic number of contact hours please change" sqref="D19" xr:uid="{5229BE75-B0E0-4077-8EF0-412E4F64E78E}">
      <formula1>0</formula1>
      <formula2>80</formula2>
    </dataValidation>
    <dataValidation type="whole" showInputMessage="1" showErrorMessage="1" error="This is not a realistic number of contact hours please reduce" sqref="D20:D23" xr:uid="{9C89F6C0-59B0-40A4-AD9B-FF2ACAB06DA5}">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7B9F6B16-6FF5-4E56-841A-1AD40DF95F22}">
          <x14:formula1>
            <xm:f>LISTS!$J$7:$J$16</xm:f>
          </x14:formula1>
          <xm:sqref>E46:E66</xm:sqref>
        </x14:dataValidation>
        <x14:dataValidation type="list" allowBlank="1" showInputMessage="1" showErrorMessage="1" xr:uid="{4F387FE4-F215-4DCB-AA99-F2CB3B064FA3}">
          <x14:formula1>
            <xm:f>LISTS!$E$7:$E$11</xm:f>
          </x14:formula1>
          <xm:sqref>D46:D66</xm:sqref>
        </x14:dataValidation>
        <x14:dataValidation type="list" allowBlank="1" showInputMessage="1" showErrorMessage="1" xr:uid="{A8E27691-70AC-4099-A10F-63879CDC28C5}">
          <x14:formula1>
            <xm:f>LISTS!$G$7:$G$11</xm:f>
          </x14:formula1>
          <xm:sqref>D38:D42</xm:sqref>
        </x14:dataValidation>
        <x14:dataValidation type="list" allowBlank="1" showInputMessage="1" showErrorMessage="1" xr:uid="{762F8CE2-7D51-4572-9F70-B773F934E29C}">
          <x14:formula1>
            <xm:f>LISTS!$C$11:$C$15</xm:f>
          </x14:formula1>
          <xm:sqref>D11</xm:sqref>
        </x14:dataValidation>
        <x14:dataValidation type="list" allowBlank="1" showInputMessage="1" showErrorMessage="1" xr:uid="{15E0481E-98A1-407D-8DFA-141CA07D0DE7}">
          <x14:formula1>
            <xm:f>LISTS!$C$7:$C$9</xm:f>
          </x14:formula1>
          <xm:sqref>D10</xm:sqref>
        </x14:dataValidation>
        <x14:dataValidation type="list" allowBlank="1" showInputMessage="1" showErrorMessage="1" xr:uid="{B3565A50-A55E-4ECA-ADB3-330480BE2D6B}">
          <x14:formula1>
            <xm:f>LISTS!$C$17:$C$22</xm:f>
          </x14:formula1>
          <xm:sqref>D13</xm:sqref>
        </x14:dataValidation>
        <x14:dataValidation type="list" allowBlank="1" showInputMessage="1" showErrorMessage="1" xr:uid="{37A004BF-BEA8-4BF2-93ED-5C37361A1B7D}">
          <x14:formula1>
            <xm:f>LISTS!$C$26:$C$37</xm:f>
          </x14:formula1>
          <xm:sqref>D14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408C-EE1F-4BE4-988C-DF001F53BEA1}">
  <sheetPr codeName="Sheet11"/>
  <dimension ref="B2:H94"/>
  <sheetViews>
    <sheetView showGridLines="0" zoomScale="85" zoomScaleNormal="85" workbookViewId="0">
      <selection activeCell="F7" sqref="F7"/>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6007SPS</v>
      </c>
      <c r="D2" s="27" t="str">
        <f>D8</f>
        <v>Sport Nutrition for Health, Adaptation and Recovery</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602</v>
      </c>
      <c r="E7" s="32"/>
      <c r="F7" s="6" t="s">
        <v>603</v>
      </c>
    </row>
    <row r="8" spans="2:6" x14ac:dyDescent="0.25">
      <c r="B8" s="29"/>
      <c r="C8" s="36" t="s">
        <v>7</v>
      </c>
      <c r="D8" s="6" t="s">
        <v>604</v>
      </c>
      <c r="E8" s="32"/>
      <c r="F8" s="4"/>
    </row>
    <row r="9" spans="2:6" x14ac:dyDescent="0.25">
      <c r="C9" s="36" t="s">
        <v>9</v>
      </c>
      <c r="D9" s="1">
        <v>20</v>
      </c>
      <c r="E9" s="32"/>
    </row>
    <row r="10" spans="2:6" x14ac:dyDescent="0.25">
      <c r="C10" s="36" t="s">
        <v>10</v>
      </c>
      <c r="D10" s="1">
        <v>2</v>
      </c>
      <c r="E10" s="32"/>
      <c r="F10" t="s">
        <v>12</v>
      </c>
    </row>
    <row r="11" spans="2:6" x14ac:dyDescent="0.25">
      <c r="C11" s="36" t="s">
        <v>13</v>
      </c>
      <c r="D11" s="1">
        <v>6</v>
      </c>
      <c r="E11" s="32"/>
      <c r="F11" s="6" t="s">
        <v>605</v>
      </c>
    </row>
    <row r="12" spans="2:6" x14ac:dyDescent="0.25">
      <c r="C12" s="36" t="s">
        <v>15</v>
      </c>
      <c r="D12" s="1" t="s">
        <v>606</v>
      </c>
      <c r="E12" s="32"/>
      <c r="F12" s="4"/>
    </row>
    <row r="13" spans="2:6" x14ac:dyDescent="0.25">
      <c r="C13" s="36" t="s">
        <v>17</v>
      </c>
      <c r="D13" s="1" t="s">
        <v>123</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6" t="s">
        <v>607</v>
      </c>
    </row>
    <row r="17" spans="3:6" ht="18.75" x14ac:dyDescent="0.25">
      <c r="C17" s="30" t="s">
        <v>23</v>
      </c>
      <c r="D17" s="32"/>
      <c r="E17" s="32"/>
      <c r="F17" s="4"/>
    </row>
    <row r="18" spans="3:6" x14ac:dyDescent="0.25">
      <c r="C18" s="31" t="s">
        <v>24</v>
      </c>
      <c r="D18" s="28" t="s">
        <v>23</v>
      </c>
      <c r="E18" s="32"/>
      <c r="F18" s="4"/>
    </row>
    <row r="19" spans="3:6" x14ac:dyDescent="0.25">
      <c r="C19" s="36" t="s">
        <v>25</v>
      </c>
      <c r="D19" s="2">
        <v>18</v>
      </c>
      <c r="E19" s="32"/>
      <c r="F19" s="4"/>
    </row>
    <row r="20" spans="3:6" x14ac:dyDescent="0.25">
      <c r="C20" s="36" t="s">
        <v>26</v>
      </c>
      <c r="D20" s="2"/>
      <c r="E20" s="32"/>
      <c r="F20" s="4"/>
    </row>
    <row r="21" spans="3:6" x14ac:dyDescent="0.25">
      <c r="C21" s="36" t="s">
        <v>27</v>
      </c>
      <c r="D21" s="2"/>
      <c r="E21" s="32"/>
    </row>
    <row r="22" spans="3:6" x14ac:dyDescent="0.25">
      <c r="C22" s="36" t="s">
        <v>28</v>
      </c>
      <c r="D22" s="2">
        <v>22</v>
      </c>
      <c r="E22" s="32"/>
      <c r="F22" t="s">
        <v>29</v>
      </c>
    </row>
    <row r="23" spans="3:6" x14ac:dyDescent="0.25">
      <c r="C23" s="36" t="s">
        <v>30</v>
      </c>
      <c r="D23" s="2">
        <v>4</v>
      </c>
      <c r="E23" s="32"/>
      <c r="F23" s="8" t="s">
        <v>608</v>
      </c>
    </row>
    <row r="24" spans="3:6" x14ac:dyDescent="0.25">
      <c r="C24" s="36" t="s">
        <v>32</v>
      </c>
      <c r="D24" s="28">
        <f>SUM(D19:D23)</f>
        <v>44</v>
      </c>
      <c r="E24" s="32"/>
      <c r="F24" s="8" t="s">
        <v>609</v>
      </c>
    </row>
    <row r="25" spans="3:6" x14ac:dyDescent="0.25">
      <c r="F25" s="8" t="s">
        <v>610</v>
      </c>
    </row>
    <row r="26" spans="3:6" x14ac:dyDescent="0.25">
      <c r="F26" s="8" t="s">
        <v>611</v>
      </c>
    </row>
    <row r="27" spans="3:6" ht="18.75" x14ac:dyDescent="0.25">
      <c r="C27" s="30" t="s">
        <v>36</v>
      </c>
      <c r="D27" s="33" t="s">
        <v>37</v>
      </c>
      <c r="F27" s="8"/>
    </row>
    <row r="28" spans="3:6" x14ac:dyDescent="0.25">
      <c r="C28" s="31" t="s">
        <v>39</v>
      </c>
      <c r="D28" s="31" t="s">
        <v>40</v>
      </c>
      <c r="E28" s="31"/>
      <c r="F28" s="8" t="s">
        <v>612</v>
      </c>
    </row>
    <row r="29" spans="3:6" x14ac:dyDescent="0.25">
      <c r="C29" s="36" t="s">
        <v>42</v>
      </c>
      <c r="D29" s="8" t="s">
        <v>613</v>
      </c>
      <c r="E29" s="32"/>
      <c r="F29" s="4"/>
    </row>
    <row r="30" spans="3:6" x14ac:dyDescent="0.25">
      <c r="C30" s="36" t="s">
        <v>44</v>
      </c>
      <c r="D30" s="25" t="s">
        <v>614</v>
      </c>
      <c r="E30" s="32"/>
      <c r="F30" s="4"/>
    </row>
    <row r="31" spans="3:6" x14ac:dyDescent="0.25">
      <c r="C31" s="36" t="s">
        <v>46</v>
      </c>
      <c r="D31" s="25" t="s">
        <v>615</v>
      </c>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1" t="s">
        <v>353</v>
      </c>
      <c r="F38" s="8" t="s">
        <v>616</v>
      </c>
      <c r="G38" s="3">
        <v>0.5</v>
      </c>
      <c r="H38" s="1">
        <v>22</v>
      </c>
    </row>
    <row r="39" spans="3:8" x14ac:dyDescent="0.25">
      <c r="C39" s="36" t="s">
        <v>61</v>
      </c>
      <c r="D39" s="1" t="s">
        <v>247</v>
      </c>
      <c r="E39" s="1" t="s">
        <v>617</v>
      </c>
      <c r="F39" s="8" t="s">
        <v>618</v>
      </c>
      <c r="G39" s="3">
        <v>0.5</v>
      </c>
      <c r="H39" s="1">
        <v>32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196</v>
      </c>
    </row>
    <row r="47" spans="3:8" x14ac:dyDescent="0.25">
      <c r="C47" s="5" t="s">
        <v>57</v>
      </c>
      <c r="D47" s="4" t="s">
        <v>46</v>
      </c>
      <c r="E47" s="4" t="s">
        <v>71</v>
      </c>
      <c r="F47" s="4" t="s">
        <v>72</v>
      </c>
    </row>
    <row r="48" spans="3:8" x14ac:dyDescent="0.25">
      <c r="C48" s="5" t="s">
        <v>57</v>
      </c>
      <c r="D48" s="4" t="s">
        <v>46</v>
      </c>
      <c r="E48" s="4" t="s">
        <v>73</v>
      </c>
      <c r="F48" s="4" t="s">
        <v>619</v>
      </c>
    </row>
    <row r="49" spans="3:6" x14ac:dyDescent="0.25">
      <c r="C49" s="5" t="s">
        <v>61</v>
      </c>
      <c r="D49" s="4" t="s">
        <v>44</v>
      </c>
      <c r="E49" s="4" t="s">
        <v>69</v>
      </c>
      <c r="F49" s="4" t="s">
        <v>70</v>
      </c>
    </row>
    <row r="50" spans="3:6" x14ac:dyDescent="0.25">
      <c r="C50" s="5" t="s">
        <v>61</v>
      </c>
      <c r="D50" s="4" t="s">
        <v>44</v>
      </c>
      <c r="E50" s="4" t="s">
        <v>254</v>
      </c>
      <c r="F50" s="4" t="s">
        <v>467</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c r="E71" s="1"/>
      <c r="F71" s="1"/>
    </row>
    <row r="72" spans="2:6" x14ac:dyDescent="0.25">
      <c r="B72" s="37">
        <v>1</v>
      </c>
      <c r="C72" s="38">
        <v>2</v>
      </c>
      <c r="D72" s="1"/>
      <c r="E72" s="1"/>
      <c r="F72" s="1"/>
    </row>
    <row r="73" spans="2:6" x14ac:dyDescent="0.25">
      <c r="B73" s="37">
        <v>1</v>
      </c>
      <c r="C73" s="38">
        <v>3</v>
      </c>
      <c r="D73" s="1"/>
      <c r="E73" s="1"/>
      <c r="F73" s="1"/>
    </row>
    <row r="74" spans="2:6" x14ac:dyDescent="0.25">
      <c r="B74" s="37">
        <v>1</v>
      </c>
      <c r="C74" s="38">
        <v>4</v>
      </c>
      <c r="D74" s="1"/>
      <c r="E74" s="1"/>
      <c r="F74" s="1"/>
    </row>
    <row r="75" spans="2:6" x14ac:dyDescent="0.25">
      <c r="B75" s="37">
        <v>1</v>
      </c>
      <c r="C75" s="38">
        <v>5</v>
      </c>
      <c r="D75" s="1"/>
      <c r="E75" s="1"/>
      <c r="F75" s="1"/>
    </row>
    <row r="76" spans="2:6" x14ac:dyDescent="0.25">
      <c r="B76" s="37">
        <v>1</v>
      </c>
      <c r="C76" s="38">
        <v>6</v>
      </c>
      <c r="D76" s="1"/>
      <c r="E76" s="1"/>
      <c r="F76" s="1"/>
    </row>
    <row r="77" spans="2:6" x14ac:dyDescent="0.25">
      <c r="B77" s="37">
        <v>1</v>
      </c>
      <c r="C77" s="38">
        <v>7</v>
      </c>
      <c r="D77" s="1"/>
      <c r="E77" s="1"/>
      <c r="F77" s="1"/>
    </row>
    <row r="78" spans="2:6" x14ac:dyDescent="0.25">
      <c r="B78" s="37">
        <v>1</v>
      </c>
      <c r="C78" s="38">
        <v>8</v>
      </c>
      <c r="D78" s="1"/>
      <c r="E78" s="1"/>
      <c r="F78" s="1"/>
    </row>
    <row r="79" spans="2:6" x14ac:dyDescent="0.25">
      <c r="B79" s="37">
        <v>1</v>
      </c>
      <c r="C79" s="38">
        <v>9</v>
      </c>
      <c r="D79" s="1"/>
      <c r="E79" s="1"/>
      <c r="F79" s="1"/>
    </row>
    <row r="80" spans="2:6" x14ac:dyDescent="0.25">
      <c r="B80" s="37">
        <v>1</v>
      </c>
      <c r="C80" s="38">
        <v>10</v>
      </c>
      <c r="D80" s="1"/>
      <c r="E80" s="1"/>
      <c r="F80" s="1"/>
    </row>
    <row r="81" spans="2:6" x14ac:dyDescent="0.25">
      <c r="B81" s="37">
        <v>1</v>
      </c>
      <c r="C81" s="38">
        <v>11</v>
      </c>
      <c r="D81" s="1"/>
      <c r="E81" s="1"/>
      <c r="F81" s="1"/>
    </row>
    <row r="82" spans="2:6" x14ac:dyDescent="0.25">
      <c r="B82" s="37">
        <v>1</v>
      </c>
      <c r="C82" s="38">
        <v>12</v>
      </c>
      <c r="D82" s="1"/>
      <c r="E82" s="1"/>
      <c r="F82" s="1"/>
    </row>
    <row r="83" spans="2:6" x14ac:dyDescent="0.25">
      <c r="B83" s="37">
        <v>2</v>
      </c>
      <c r="C83" s="38">
        <v>1</v>
      </c>
      <c r="D83" s="1" t="s">
        <v>620</v>
      </c>
      <c r="E83" s="1" t="s">
        <v>142</v>
      </c>
      <c r="F83" s="1" t="s">
        <v>621</v>
      </c>
    </row>
    <row r="84" spans="2:6" ht="45" x14ac:dyDescent="0.25">
      <c r="B84" s="37">
        <v>2</v>
      </c>
      <c r="C84" s="38">
        <v>2</v>
      </c>
      <c r="D84" s="1" t="s">
        <v>622</v>
      </c>
      <c r="E84" s="1" t="s">
        <v>623</v>
      </c>
      <c r="F84" s="1" t="s">
        <v>624</v>
      </c>
    </row>
    <row r="85" spans="2:6" ht="75" x14ac:dyDescent="0.25">
      <c r="B85" s="37">
        <v>2</v>
      </c>
      <c r="C85" s="38">
        <v>3</v>
      </c>
      <c r="D85" s="1" t="s">
        <v>625</v>
      </c>
      <c r="E85" s="1" t="s">
        <v>626</v>
      </c>
      <c r="F85" s="1" t="s">
        <v>627</v>
      </c>
    </row>
    <row r="86" spans="2:6" ht="45" x14ac:dyDescent="0.25">
      <c r="B86" s="37">
        <v>2</v>
      </c>
      <c r="C86" s="38">
        <v>4</v>
      </c>
      <c r="D86" s="1" t="s">
        <v>628</v>
      </c>
      <c r="E86" s="1" t="s">
        <v>629</v>
      </c>
      <c r="F86" s="1" t="s">
        <v>630</v>
      </c>
    </row>
    <row r="87" spans="2:6" x14ac:dyDescent="0.25">
      <c r="B87" s="37">
        <v>2</v>
      </c>
      <c r="C87" s="38">
        <v>5</v>
      </c>
      <c r="D87" s="1" t="s">
        <v>631</v>
      </c>
      <c r="E87" s="1" t="s">
        <v>632</v>
      </c>
      <c r="F87" s="1" t="s">
        <v>633</v>
      </c>
    </row>
    <row r="88" spans="2:6" x14ac:dyDescent="0.25">
      <c r="B88" s="37">
        <v>2</v>
      </c>
      <c r="C88" s="38">
        <v>6</v>
      </c>
      <c r="D88" s="1" t="s">
        <v>634</v>
      </c>
      <c r="E88" s="1" t="s">
        <v>635</v>
      </c>
      <c r="F88" s="1" t="s">
        <v>636</v>
      </c>
    </row>
    <row r="89" spans="2:6" ht="75" x14ac:dyDescent="0.25">
      <c r="B89" s="37">
        <v>2</v>
      </c>
      <c r="C89" s="38">
        <v>7</v>
      </c>
      <c r="D89" s="1" t="s">
        <v>637</v>
      </c>
      <c r="E89" s="1" t="s">
        <v>638</v>
      </c>
      <c r="F89" s="1" t="s">
        <v>639</v>
      </c>
    </row>
    <row r="90" spans="2:6" ht="75" x14ac:dyDescent="0.25">
      <c r="B90" s="37">
        <v>2</v>
      </c>
      <c r="C90" s="38">
        <v>8</v>
      </c>
      <c r="D90" s="1" t="s">
        <v>640</v>
      </c>
      <c r="E90" s="1" t="s">
        <v>641</v>
      </c>
      <c r="F90" s="1" t="s">
        <v>642</v>
      </c>
    </row>
    <row r="91" spans="2:6" ht="75" x14ac:dyDescent="0.25">
      <c r="B91" s="37">
        <v>2</v>
      </c>
      <c r="C91" s="38">
        <v>9</v>
      </c>
      <c r="D91" s="1" t="s">
        <v>643</v>
      </c>
      <c r="E91" s="1" t="s">
        <v>644</v>
      </c>
      <c r="F91" s="1" t="s">
        <v>645</v>
      </c>
    </row>
    <row r="92" spans="2:6" ht="75" x14ac:dyDescent="0.25">
      <c r="B92" s="37">
        <v>2</v>
      </c>
      <c r="C92" s="38">
        <v>10</v>
      </c>
      <c r="D92" s="1" t="s">
        <v>646</v>
      </c>
      <c r="E92" s="1" t="s">
        <v>647</v>
      </c>
      <c r="F92" s="1" t="s">
        <v>648</v>
      </c>
    </row>
    <row r="93" spans="2:6" ht="30" x14ac:dyDescent="0.25">
      <c r="B93" s="37">
        <v>2</v>
      </c>
      <c r="C93" s="38">
        <v>11</v>
      </c>
      <c r="D93" s="1" t="s">
        <v>649</v>
      </c>
      <c r="E93" s="1" t="s">
        <v>650</v>
      </c>
      <c r="F93" s="1" t="s">
        <v>651</v>
      </c>
    </row>
    <row r="94" spans="2:6" ht="45" x14ac:dyDescent="0.25">
      <c r="B94" s="37">
        <v>2</v>
      </c>
      <c r="C94" s="38">
        <v>12</v>
      </c>
      <c r="D94" s="1" t="s">
        <v>652</v>
      </c>
      <c r="E94" s="1" t="s">
        <v>337</v>
      </c>
      <c r="F94" s="1" t="s">
        <v>653</v>
      </c>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228872C6-6A06-4732-B8A1-E6B94CB81102}">
      <formula1>0</formula1>
      <formula2>80</formula2>
    </dataValidation>
    <dataValidation type="whole" showInputMessage="1" showErrorMessage="1" error="This is not a realistic number of contact hours please change" sqref="D19" xr:uid="{F79CE569-989B-479F-8826-338510A79154}">
      <formula1>0</formula1>
      <formula2>80</formula2>
    </dataValidation>
    <dataValidation type="list" allowBlank="1" showInputMessage="1" showErrorMessage="1" sqref="E38:E41" xr:uid="{6E90B7E5-5035-4F89-B270-578FA2975164}">
      <formula1>INDIRECT("LISTAssess[Assessment Specific]")</formula1>
    </dataValidation>
    <dataValidation type="list" allowBlank="1" showInputMessage="1" showErrorMessage="1" sqref="F46:F66" xr:uid="{0A41CE66-A84F-4E65-BA05-CA863B7746FB}">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261BA6EE-88F7-427A-BCD6-8C9348F9245C}">
          <x14:formula1>
            <xm:f>LISTS!$C$26:$C$37</xm:f>
          </x14:formula1>
          <xm:sqref>D14</xm:sqref>
        </x14:dataValidation>
        <x14:dataValidation type="list" allowBlank="1" showInputMessage="1" showErrorMessage="1" xr:uid="{BE38852D-057D-456A-8583-51979A3F9408}">
          <x14:formula1>
            <xm:f>LISTS!$C$17:$C$22</xm:f>
          </x14:formula1>
          <xm:sqref>D13</xm:sqref>
        </x14:dataValidation>
        <x14:dataValidation type="list" allowBlank="1" showInputMessage="1" showErrorMessage="1" xr:uid="{09331423-59E2-4171-9695-7BE4C02AFE53}">
          <x14:formula1>
            <xm:f>LISTS!$C$7:$C$9</xm:f>
          </x14:formula1>
          <xm:sqref>D10</xm:sqref>
        </x14:dataValidation>
        <x14:dataValidation type="list" allowBlank="1" showInputMessage="1" showErrorMessage="1" xr:uid="{2507034E-37B5-446A-AFCD-F99DE72488BA}">
          <x14:formula1>
            <xm:f>LISTS!$C$11:$C$15</xm:f>
          </x14:formula1>
          <xm:sqref>D11</xm:sqref>
        </x14:dataValidation>
        <x14:dataValidation type="list" allowBlank="1" showInputMessage="1" showErrorMessage="1" xr:uid="{A7BB251E-C289-4AFE-837E-75E3985C6AC4}">
          <x14:formula1>
            <xm:f>LISTS!$G$7:$G$11</xm:f>
          </x14:formula1>
          <xm:sqref>D38:D42</xm:sqref>
        </x14:dataValidation>
        <x14:dataValidation type="list" allowBlank="1" showInputMessage="1" showErrorMessage="1" xr:uid="{91A4DB0E-9988-4C67-88FE-0DC4AE014787}">
          <x14:formula1>
            <xm:f>LISTS!$E$7:$E$11</xm:f>
          </x14:formula1>
          <xm:sqref>D46:D66</xm:sqref>
        </x14:dataValidation>
        <x14:dataValidation type="list" allowBlank="1" showInputMessage="1" showErrorMessage="1" xr:uid="{431E3138-B78E-40DB-8906-C5B6A90BA4A5}">
          <x14:formula1>
            <xm:f>LISTS!$J$7:$J$16</xm:f>
          </x14:formula1>
          <xm:sqref>E46:E66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88F2-57F5-49DF-8E52-0E95DE3CFAC4}">
  <sheetPr codeName="Sheet12"/>
  <dimension ref="B2:H94"/>
  <sheetViews>
    <sheetView showGridLines="0" topLeftCell="A2" zoomScale="85" zoomScaleNormal="85" workbookViewId="0">
      <selection activeCell="F33" sqref="F33"/>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6008SPS</v>
      </c>
      <c r="D2" s="27" t="str">
        <f>D8</f>
        <v xml:space="preserve">Capstone Placement Project </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654</v>
      </c>
      <c r="E7" s="32"/>
      <c r="F7" s="4"/>
    </row>
    <row r="8" spans="2:6" x14ac:dyDescent="0.25">
      <c r="B8" s="29"/>
      <c r="C8" s="36" t="s">
        <v>7</v>
      </c>
      <c r="D8" s="1" t="s">
        <v>655</v>
      </c>
      <c r="E8" s="32"/>
      <c r="F8" s="4"/>
    </row>
    <row r="9" spans="2:6" x14ac:dyDescent="0.25">
      <c r="C9" s="36" t="s">
        <v>9</v>
      </c>
      <c r="D9" s="1">
        <v>60</v>
      </c>
      <c r="E9" s="32"/>
    </row>
    <row r="10" spans="2:6" x14ac:dyDescent="0.25">
      <c r="C10" s="36" t="s">
        <v>10</v>
      </c>
      <c r="D10" s="1" t="s">
        <v>11</v>
      </c>
      <c r="E10" s="32"/>
      <c r="F10" t="s">
        <v>12</v>
      </c>
    </row>
    <row r="11" spans="2:6" x14ac:dyDescent="0.25">
      <c r="C11" s="36" t="s">
        <v>13</v>
      </c>
      <c r="D11" s="1">
        <v>6</v>
      </c>
      <c r="E11" s="32"/>
      <c r="F11" s="4"/>
    </row>
    <row r="12" spans="2:6" x14ac:dyDescent="0.25">
      <c r="C12" s="36" t="s">
        <v>15</v>
      </c>
      <c r="D12" s="1" t="s">
        <v>656</v>
      </c>
      <c r="E12" s="32"/>
      <c r="F12" s="4"/>
    </row>
    <row r="13" spans="2:6" x14ac:dyDescent="0.25">
      <c r="C13" s="36" t="s">
        <v>17</v>
      </c>
      <c r="D13" s="1" t="s">
        <v>18</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4"/>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4"/>
    </row>
    <row r="24" spans="3:6" x14ac:dyDescent="0.25">
      <c r="C24" s="36" t="s">
        <v>32</v>
      </c>
      <c r="D24" s="28">
        <f>SUM(D19:D23)</f>
        <v>0</v>
      </c>
      <c r="E24" s="32"/>
      <c r="F24" s="4"/>
    </row>
    <row r="25" spans="3:6" x14ac:dyDescent="0.25">
      <c r="F25" s="4"/>
    </row>
    <row r="26" spans="3:6" x14ac:dyDescent="0.25">
      <c r="F26" s="4"/>
    </row>
    <row r="27" spans="3:6" ht="18.75" x14ac:dyDescent="0.25">
      <c r="C27" s="30" t="s">
        <v>36</v>
      </c>
      <c r="D27" s="33" t="s">
        <v>37</v>
      </c>
      <c r="F27" s="4"/>
    </row>
    <row r="28" spans="3:6" x14ac:dyDescent="0.25">
      <c r="C28" s="31" t="s">
        <v>39</v>
      </c>
      <c r="D28" s="31" t="s">
        <v>40</v>
      </c>
      <c r="E28" s="31"/>
      <c r="F28" s="4"/>
    </row>
    <row r="29" spans="3:6" x14ac:dyDescent="0.25">
      <c r="C29" s="36" t="s">
        <v>42</v>
      </c>
      <c r="D29" s="1"/>
      <c r="E29" s="32"/>
      <c r="F29" s="4"/>
    </row>
    <row r="30" spans="3:6" x14ac:dyDescent="0.25">
      <c r="C30" s="36" t="s">
        <v>44</v>
      </c>
      <c r="D30" s="1"/>
      <c r="E30" s="32"/>
      <c r="F30" s="4"/>
    </row>
    <row r="31" spans="3:6" x14ac:dyDescent="0.25">
      <c r="C31" s="36" t="s">
        <v>46</v>
      </c>
      <c r="D31" s="1"/>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c r="E38" s="1"/>
      <c r="F38" s="1"/>
      <c r="G38" s="3"/>
      <c r="H38" s="1"/>
    </row>
    <row r="39" spans="3:8" x14ac:dyDescent="0.25">
      <c r="C39" s="36" t="s">
        <v>61</v>
      </c>
      <c r="D39" s="1"/>
      <c r="E39" s="1"/>
      <c r="F39" s="1"/>
      <c r="G39" s="3"/>
      <c r="H39" s="1"/>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139</v>
      </c>
    </row>
    <row r="47" spans="3:8" x14ac:dyDescent="0.25">
      <c r="C47" s="5" t="s">
        <v>57</v>
      </c>
      <c r="D47" s="4" t="s">
        <v>42</v>
      </c>
      <c r="E47" s="4" t="s">
        <v>138</v>
      </c>
      <c r="F47" s="4" t="s">
        <v>196</v>
      </c>
    </row>
    <row r="48" spans="3:8" x14ac:dyDescent="0.25">
      <c r="C48" s="5" t="s">
        <v>57</v>
      </c>
      <c r="D48" s="4" t="s">
        <v>42</v>
      </c>
      <c r="E48" s="4" t="s">
        <v>71</v>
      </c>
      <c r="F48" s="4" t="s">
        <v>197</v>
      </c>
    </row>
    <row r="49" spans="3:6" x14ac:dyDescent="0.25">
      <c r="C49" s="5" t="s">
        <v>61</v>
      </c>
      <c r="D49" s="4" t="s">
        <v>44</v>
      </c>
      <c r="E49" s="4" t="s">
        <v>73</v>
      </c>
      <c r="F49" s="4" t="s">
        <v>140</v>
      </c>
    </row>
    <row r="50" spans="3:6" x14ac:dyDescent="0.25">
      <c r="C50" s="5" t="s">
        <v>61</v>
      </c>
      <c r="D50" s="4" t="s">
        <v>44</v>
      </c>
      <c r="E50" s="4" t="s">
        <v>252</v>
      </c>
      <c r="F50" s="4" t="s">
        <v>657</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c r="E71" s="1"/>
      <c r="F71" s="1"/>
    </row>
    <row r="72" spans="2:6" x14ac:dyDescent="0.25">
      <c r="B72" s="37">
        <v>1</v>
      </c>
      <c r="C72" s="38">
        <v>2</v>
      </c>
      <c r="D72" s="1"/>
      <c r="E72" s="1"/>
      <c r="F72" s="1"/>
    </row>
    <row r="73" spans="2:6" x14ac:dyDescent="0.25">
      <c r="B73" s="37">
        <v>1</v>
      </c>
      <c r="C73" s="38">
        <v>3</v>
      </c>
      <c r="D73" s="1"/>
      <c r="E73" s="1"/>
      <c r="F73" s="1"/>
    </row>
    <row r="74" spans="2:6" x14ac:dyDescent="0.25">
      <c r="B74" s="37">
        <v>1</v>
      </c>
      <c r="C74" s="38">
        <v>4</v>
      </c>
      <c r="D74" s="1"/>
      <c r="E74" s="1"/>
      <c r="F74" s="1"/>
    </row>
    <row r="75" spans="2:6" x14ac:dyDescent="0.25">
      <c r="B75" s="37">
        <v>1</v>
      </c>
      <c r="C75" s="38">
        <v>5</v>
      </c>
      <c r="D75" s="1"/>
      <c r="E75" s="1"/>
      <c r="F75" s="1"/>
    </row>
    <row r="76" spans="2:6" x14ac:dyDescent="0.25">
      <c r="B76" s="37">
        <v>1</v>
      </c>
      <c r="C76" s="38">
        <v>6</v>
      </c>
      <c r="D76" s="1"/>
      <c r="E76" s="1"/>
      <c r="F76" s="1"/>
    </row>
    <row r="77" spans="2:6" x14ac:dyDescent="0.25">
      <c r="B77" s="37">
        <v>1</v>
      </c>
      <c r="C77" s="38">
        <v>7</v>
      </c>
      <c r="D77" s="1"/>
      <c r="E77" s="1"/>
      <c r="F77" s="1"/>
    </row>
    <row r="78" spans="2:6" x14ac:dyDescent="0.25">
      <c r="B78" s="37">
        <v>1</v>
      </c>
      <c r="C78" s="38">
        <v>8</v>
      </c>
      <c r="D78" s="1"/>
      <c r="E78" s="1"/>
      <c r="F78" s="1"/>
    </row>
    <row r="79" spans="2:6" x14ac:dyDescent="0.25">
      <c r="B79" s="37">
        <v>1</v>
      </c>
      <c r="C79" s="38">
        <v>9</v>
      </c>
      <c r="D79" s="1"/>
      <c r="E79" s="1"/>
      <c r="F79" s="1"/>
    </row>
    <row r="80" spans="2:6" x14ac:dyDescent="0.25">
      <c r="B80" s="37">
        <v>1</v>
      </c>
      <c r="C80" s="38">
        <v>10</v>
      </c>
      <c r="D80" s="1"/>
      <c r="E80" s="1"/>
      <c r="F80" s="1"/>
    </row>
    <row r="81" spans="2:6" x14ac:dyDescent="0.25">
      <c r="B81" s="37">
        <v>1</v>
      </c>
      <c r="C81" s="38">
        <v>11</v>
      </c>
      <c r="D81" s="1"/>
      <c r="E81" s="1"/>
      <c r="F81" s="1"/>
    </row>
    <row r="82" spans="2:6" x14ac:dyDescent="0.25">
      <c r="B82" s="37">
        <v>1</v>
      </c>
      <c r="C82" s="38">
        <v>12</v>
      </c>
      <c r="D82" s="1"/>
      <c r="E82" s="1"/>
      <c r="F82" s="1"/>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list" allowBlank="1" showInputMessage="1" showErrorMessage="1" sqref="F46:F66" xr:uid="{FBDDC197-4A14-47FE-ADCC-676A78692ED8}">
      <formula1>INDIRECT(VLOOKUP($E46, SkillNameMap, 2, FALSE))</formula1>
    </dataValidation>
    <dataValidation type="list" allowBlank="1" showInputMessage="1" showErrorMessage="1" sqref="E38:E41" xr:uid="{68DC1710-8FBD-4C96-BEFB-29EEA2B38DF9}">
      <formula1>INDIRECT("LISTAssess[Assessment Specific]")</formula1>
    </dataValidation>
    <dataValidation type="whole" showInputMessage="1" showErrorMessage="1" error="This is not a realistic number of contact hours please change" sqref="D19" xr:uid="{FF705AB8-F0B5-4944-B4DB-BA562CE03F41}">
      <formula1>0</formula1>
      <formula2>80</formula2>
    </dataValidation>
    <dataValidation type="whole" showInputMessage="1" showErrorMessage="1" error="This is not a realistic number of contact hours please reduce" sqref="D20:D23" xr:uid="{B3470EF4-EDE1-4AA2-BF4E-C5217F91B39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82EBEA9-5922-4C07-934E-470BFDA49DA7}">
          <x14:formula1>
            <xm:f>LISTS!$J$7:$J$16</xm:f>
          </x14:formula1>
          <xm:sqref>E46:E66</xm:sqref>
        </x14:dataValidation>
        <x14:dataValidation type="list" allowBlank="1" showInputMessage="1" showErrorMessage="1" xr:uid="{14DAA443-23DD-4C34-A97A-3ECF7C0E8C55}">
          <x14:formula1>
            <xm:f>LISTS!$E$7:$E$11</xm:f>
          </x14:formula1>
          <xm:sqref>D46:D66</xm:sqref>
        </x14:dataValidation>
        <x14:dataValidation type="list" allowBlank="1" showInputMessage="1" showErrorMessage="1" xr:uid="{32C1AEC8-992B-4A37-AC70-FCFCDCEAE5AF}">
          <x14:formula1>
            <xm:f>LISTS!$G$7:$G$11</xm:f>
          </x14:formula1>
          <xm:sqref>D38:D42</xm:sqref>
        </x14:dataValidation>
        <x14:dataValidation type="list" allowBlank="1" showInputMessage="1" showErrorMessage="1" xr:uid="{079859AC-8D6D-42CE-8DCE-FB75C2DF13B7}">
          <x14:formula1>
            <xm:f>LISTS!$C$11:$C$15</xm:f>
          </x14:formula1>
          <xm:sqref>D11</xm:sqref>
        </x14:dataValidation>
        <x14:dataValidation type="list" allowBlank="1" showInputMessage="1" showErrorMessage="1" xr:uid="{95BE0675-0791-40D0-9E9D-AB48C0DB89D4}">
          <x14:formula1>
            <xm:f>LISTS!$C$7:$C$9</xm:f>
          </x14:formula1>
          <xm:sqref>D10</xm:sqref>
        </x14:dataValidation>
        <x14:dataValidation type="list" allowBlank="1" showInputMessage="1" showErrorMessage="1" xr:uid="{6B48D045-2AC6-4AB5-8461-E9008DA71EAB}">
          <x14:formula1>
            <xm:f>LISTS!$C$17:$C$22</xm:f>
          </x14:formula1>
          <xm:sqref>D13</xm:sqref>
        </x14:dataValidation>
        <x14:dataValidation type="list" allowBlank="1" showInputMessage="1" showErrorMessage="1" xr:uid="{A9720BD0-513F-4B9A-9AB4-400D7A5FAEF6}">
          <x14:formula1>
            <xm:f>LISTS!$C$26:$C$37</xm:f>
          </x14:formula1>
          <xm:sqref>D14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1524-9C3B-440D-AEC2-FAF3E738013E}">
  <sheetPr codeName="Sheet13"/>
  <dimension ref="B2:H94"/>
  <sheetViews>
    <sheetView showGridLines="0" zoomScale="85" zoomScaleNormal="85" workbookViewId="0">
      <selection activeCell="F32" sqref="F32"/>
    </sheetView>
  </sheetViews>
  <sheetFormatPr defaultRowHeight="15" x14ac:dyDescent="0.25"/>
  <cols>
    <col min="3" max="3" width="33.28515625" customWidth="1"/>
    <col min="4" max="4" width="51.5703125" customWidth="1"/>
    <col min="5" max="5" width="67.28515625" customWidth="1"/>
    <col min="6" max="6" width="63.140625" customWidth="1"/>
    <col min="7" max="7" width="12.42578125" customWidth="1"/>
    <col min="8" max="8" width="15.5703125" customWidth="1"/>
    <col min="9" max="9" width="14.7109375" customWidth="1"/>
  </cols>
  <sheetData>
    <row r="2" spans="2:6" ht="26.25" x14ac:dyDescent="0.4">
      <c r="C2" s="27" t="str">
        <f>D7</f>
        <v>6006SPS</v>
      </c>
      <c r="D2" s="27" t="str">
        <f>D8</f>
        <v xml:space="preserve">Applied Placement </v>
      </c>
    </row>
    <row r="3" spans="2:6" x14ac:dyDescent="0.25">
      <c r="B3" s="28"/>
      <c r="C3" s="28"/>
    </row>
    <row r="4" spans="2:6" x14ac:dyDescent="0.25">
      <c r="B4" s="29"/>
      <c r="C4" s="29"/>
    </row>
    <row r="5" spans="2:6" ht="18.75" x14ac:dyDescent="0.25">
      <c r="B5" s="29"/>
      <c r="C5" s="30" t="s">
        <v>0</v>
      </c>
    </row>
    <row r="6" spans="2:6" x14ac:dyDescent="0.25">
      <c r="B6" s="29"/>
      <c r="C6" s="31" t="s">
        <v>1</v>
      </c>
      <c r="D6" s="32" t="s">
        <v>2</v>
      </c>
      <c r="E6" s="32"/>
      <c r="F6" t="s">
        <v>3</v>
      </c>
    </row>
    <row r="7" spans="2:6" x14ac:dyDescent="0.25">
      <c r="B7" s="29"/>
      <c r="C7" s="36" t="s">
        <v>4</v>
      </c>
      <c r="D7" s="1" t="s">
        <v>658</v>
      </c>
      <c r="E7" s="32"/>
      <c r="F7" s="4"/>
    </row>
    <row r="8" spans="2:6" x14ac:dyDescent="0.25">
      <c r="B8" s="29"/>
      <c r="C8" s="36" t="s">
        <v>7</v>
      </c>
      <c r="D8" s="1" t="s">
        <v>659</v>
      </c>
      <c r="E8" s="32"/>
      <c r="F8" s="4"/>
    </row>
    <row r="9" spans="2:6" x14ac:dyDescent="0.25">
      <c r="C9" s="36" t="s">
        <v>9</v>
      </c>
      <c r="D9" s="1">
        <v>20</v>
      </c>
      <c r="E9" s="32"/>
    </row>
    <row r="10" spans="2:6" x14ac:dyDescent="0.25">
      <c r="C10" s="36" t="s">
        <v>10</v>
      </c>
      <c r="D10" s="1" t="s">
        <v>11</v>
      </c>
      <c r="E10" s="32"/>
      <c r="F10" t="s">
        <v>12</v>
      </c>
    </row>
    <row r="11" spans="2:6" x14ac:dyDescent="0.25">
      <c r="C11" s="36" t="s">
        <v>13</v>
      </c>
      <c r="D11" s="1">
        <v>6</v>
      </c>
      <c r="E11" s="32"/>
      <c r="F11" s="4"/>
    </row>
    <row r="12" spans="2:6" x14ac:dyDescent="0.25">
      <c r="C12" s="36" t="s">
        <v>15</v>
      </c>
      <c r="D12" s="1" t="s">
        <v>660</v>
      </c>
      <c r="E12" s="32"/>
      <c r="F12" s="4"/>
    </row>
    <row r="13" spans="2:6" x14ac:dyDescent="0.25">
      <c r="C13" s="36" t="s">
        <v>17</v>
      </c>
      <c r="D13" s="1" t="s">
        <v>18</v>
      </c>
      <c r="E13" s="32"/>
      <c r="F13" s="4"/>
    </row>
    <row r="14" spans="2:6" x14ac:dyDescent="0.25">
      <c r="C14" s="36" t="s">
        <v>19</v>
      </c>
      <c r="D14" s="1" t="s">
        <v>20</v>
      </c>
      <c r="E14" s="32"/>
    </row>
    <row r="15" spans="2:6" x14ac:dyDescent="0.25">
      <c r="C15" s="31"/>
      <c r="D15" s="32"/>
      <c r="E15" s="32"/>
      <c r="F15" t="s">
        <v>21</v>
      </c>
    </row>
    <row r="16" spans="2:6" x14ac:dyDescent="0.25">
      <c r="C16" s="31"/>
      <c r="D16" s="32"/>
      <c r="E16" s="32"/>
      <c r="F16" s="4"/>
    </row>
    <row r="17" spans="3:6" ht="18.75" x14ac:dyDescent="0.25">
      <c r="C17" s="30" t="s">
        <v>23</v>
      </c>
      <c r="D17" s="32"/>
      <c r="E17" s="32"/>
      <c r="F17" s="4"/>
    </row>
    <row r="18" spans="3:6" x14ac:dyDescent="0.25">
      <c r="C18" s="31" t="s">
        <v>24</v>
      </c>
      <c r="D18" s="28" t="s">
        <v>23</v>
      </c>
      <c r="E18" s="32"/>
      <c r="F18" s="4"/>
    </row>
    <row r="19" spans="3:6" x14ac:dyDescent="0.25">
      <c r="C19" s="36" t="s">
        <v>25</v>
      </c>
      <c r="D19" s="2"/>
      <c r="E19" s="32"/>
      <c r="F19" s="4"/>
    </row>
    <row r="20" spans="3:6" x14ac:dyDescent="0.25">
      <c r="C20" s="36" t="s">
        <v>26</v>
      </c>
      <c r="D20" s="2"/>
      <c r="E20" s="32"/>
      <c r="F20" s="4"/>
    </row>
    <row r="21" spans="3:6" x14ac:dyDescent="0.25">
      <c r="C21" s="36" t="s">
        <v>27</v>
      </c>
      <c r="D21" s="2"/>
      <c r="E21" s="32"/>
    </row>
    <row r="22" spans="3:6" x14ac:dyDescent="0.25">
      <c r="C22" s="36" t="s">
        <v>28</v>
      </c>
      <c r="D22" s="2"/>
      <c r="E22" s="32"/>
      <c r="F22" t="s">
        <v>29</v>
      </c>
    </row>
    <row r="23" spans="3:6" x14ac:dyDescent="0.25">
      <c r="C23" s="36" t="s">
        <v>30</v>
      </c>
      <c r="D23" s="2"/>
      <c r="E23" s="32"/>
      <c r="F23" s="4"/>
    </row>
    <row r="24" spans="3:6" x14ac:dyDescent="0.25">
      <c r="C24" s="36" t="s">
        <v>32</v>
      </c>
      <c r="D24" s="28">
        <f>SUM(D19:D23)</f>
        <v>0</v>
      </c>
      <c r="E24" s="32"/>
      <c r="F24" s="4"/>
    </row>
    <row r="25" spans="3:6" x14ac:dyDescent="0.25">
      <c r="F25" s="4"/>
    </row>
    <row r="26" spans="3:6" x14ac:dyDescent="0.25">
      <c r="F26" s="4"/>
    </row>
    <row r="27" spans="3:6" ht="18.75" x14ac:dyDescent="0.25">
      <c r="C27" s="30" t="s">
        <v>36</v>
      </c>
      <c r="D27" s="33" t="s">
        <v>37</v>
      </c>
      <c r="F27" s="4"/>
    </row>
    <row r="28" spans="3:6" x14ac:dyDescent="0.25">
      <c r="C28" s="31" t="s">
        <v>39</v>
      </c>
      <c r="D28" s="31" t="s">
        <v>40</v>
      </c>
      <c r="E28" s="31"/>
      <c r="F28" s="4"/>
    </row>
    <row r="29" spans="3:6" x14ac:dyDescent="0.25">
      <c r="C29" s="36" t="s">
        <v>42</v>
      </c>
      <c r="D29" s="1"/>
      <c r="E29" s="32"/>
      <c r="F29" s="4"/>
    </row>
    <row r="30" spans="3:6" x14ac:dyDescent="0.25">
      <c r="C30" s="36" t="s">
        <v>44</v>
      </c>
      <c r="D30" s="1"/>
      <c r="E30" s="32"/>
      <c r="F30" s="4"/>
    </row>
    <row r="31" spans="3:6" x14ac:dyDescent="0.25">
      <c r="C31" s="36" t="s">
        <v>46</v>
      </c>
      <c r="D31" s="1"/>
      <c r="E31" s="32"/>
      <c r="F31" s="4"/>
    </row>
    <row r="32" spans="3:6" x14ac:dyDescent="0.25">
      <c r="C32" s="36" t="s">
        <v>48</v>
      </c>
      <c r="D32" s="1"/>
      <c r="E32" s="32"/>
      <c r="F32" s="4"/>
    </row>
    <row r="33" spans="3:8" x14ac:dyDescent="0.25">
      <c r="C33" s="36" t="s">
        <v>49</v>
      </c>
      <c r="D33" s="1"/>
      <c r="E33" s="32"/>
      <c r="F33" s="4"/>
    </row>
    <row r="36" spans="3:8" ht="18.75" x14ac:dyDescent="0.25">
      <c r="C36" s="30" t="s">
        <v>50</v>
      </c>
    </row>
    <row r="37" spans="3:8" x14ac:dyDescent="0.25">
      <c r="C37" s="31" t="s">
        <v>51</v>
      </c>
      <c r="D37" s="31" t="s">
        <v>52</v>
      </c>
      <c r="E37" s="31" t="s">
        <v>53</v>
      </c>
      <c r="F37" s="31" t="s">
        <v>54</v>
      </c>
      <c r="G37" s="31" t="s">
        <v>55</v>
      </c>
      <c r="H37" s="31" t="s">
        <v>56</v>
      </c>
    </row>
    <row r="38" spans="3:8" x14ac:dyDescent="0.25">
      <c r="C38" s="36" t="s">
        <v>57</v>
      </c>
      <c r="D38" s="1" t="s">
        <v>133</v>
      </c>
      <c r="E38" s="1" t="s">
        <v>353</v>
      </c>
      <c r="F38" s="1" t="s">
        <v>515</v>
      </c>
      <c r="G38" s="3">
        <v>0.5</v>
      </c>
      <c r="H38" s="1">
        <v>6</v>
      </c>
    </row>
    <row r="39" spans="3:8" x14ac:dyDescent="0.25">
      <c r="C39" s="36" t="s">
        <v>61</v>
      </c>
      <c r="D39" s="1"/>
      <c r="E39" s="1"/>
      <c r="F39" s="1"/>
      <c r="G39" s="3">
        <v>0.5</v>
      </c>
      <c r="H39" s="1">
        <v>12</v>
      </c>
    </row>
    <row r="40" spans="3:8" x14ac:dyDescent="0.25">
      <c r="C40" s="36" t="s">
        <v>64</v>
      </c>
      <c r="D40" s="4"/>
      <c r="E40" s="4"/>
      <c r="F40" s="4"/>
      <c r="G40" s="4"/>
      <c r="H40" s="4"/>
    </row>
    <row r="41" spans="3:8" x14ac:dyDescent="0.25">
      <c r="C41" s="36" t="s">
        <v>65</v>
      </c>
      <c r="D41" s="4"/>
      <c r="E41" s="4"/>
      <c r="F41" s="4"/>
      <c r="G41" s="4"/>
      <c r="H41" s="4"/>
    </row>
    <row r="42" spans="3:8" x14ac:dyDescent="0.25">
      <c r="C42" s="31"/>
    </row>
    <row r="44" spans="3:8" ht="18.75" x14ac:dyDescent="0.25">
      <c r="C44" s="30" t="s">
        <v>66</v>
      </c>
      <c r="D44" s="33"/>
    </row>
    <row r="45" spans="3:8" x14ac:dyDescent="0.25">
      <c r="C45" s="28" t="s">
        <v>51</v>
      </c>
      <c r="D45" s="28" t="s">
        <v>39</v>
      </c>
      <c r="E45" s="28" t="s">
        <v>67</v>
      </c>
      <c r="F45" s="28" t="s">
        <v>68</v>
      </c>
    </row>
    <row r="46" spans="3:8" x14ac:dyDescent="0.25">
      <c r="C46" s="5" t="s">
        <v>57</v>
      </c>
      <c r="D46" s="4" t="s">
        <v>42</v>
      </c>
      <c r="E46" s="4" t="s">
        <v>138</v>
      </c>
      <c r="F46" s="4" t="s">
        <v>139</v>
      </c>
    </row>
    <row r="47" spans="3:8" x14ac:dyDescent="0.25">
      <c r="C47" s="5" t="s">
        <v>57</v>
      </c>
      <c r="D47" s="4" t="s">
        <v>42</v>
      </c>
      <c r="E47" s="4" t="s">
        <v>138</v>
      </c>
      <c r="F47" s="4" t="s">
        <v>196</v>
      </c>
    </row>
    <row r="48" spans="3:8" x14ac:dyDescent="0.25">
      <c r="C48" s="5" t="s">
        <v>57</v>
      </c>
      <c r="D48" s="4" t="s">
        <v>42</v>
      </c>
      <c r="E48" s="4" t="s">
        <v>71</v>
      </c>
      <c r="F48" s="4" t="s">
        <v>197</v>
      </c>
    </row>
    <row r="49" spans="3:6" x14ac:dyDescent="0.25">
      <c r="C49" s="5" t="s">
        <v>61</v>
      </c>
      <c r="D49" s="4" t="s">
        <v>44</v>
      </c>
      <c r="E49" s="4" t="s">
        <v>73</v>
      </c>
      <c r="F49" s="4" t="s">
        <v>140</v>
      </c>
    </row>
    <row r="50" spans="3:6" x14ac:dyDescent="0.25">
      <c r="C50" s="5" t="s">
        <v>61</v>
      </c>
      <c r="D50" s="4" t="s">
        <v>44</v>
      </c>
      <c r="E50" s="4" t="s">
        <v>252</v>
      </c>
      <c r="F50" s="4" t="s">
        <v>657</v>
      </c>
    </row>
    <row r="51" spans="3:6" x14ac:dyDescent="0.25">
      <c r="C51" s="5" t="s">
        <v>61</v>
      </c>
      <c r="D51" s="4"/>
      <c r="E51" s="4"/>
      <c r="F51" s="4"/>
    </row>
    <row r="52" spans="3:6" x14ac:dyDescent="0.25">
      <c r="C52" s="5" t="s">
        <v>64</v>
      </c>
      <c r="D52" s="4"/>
      <c r="E52" s="4"/>
      <c r="F52" s="4"/>
    </row>
    <row r="53" spans="3:6" x14ac:dyDescent="0.25">
      <c r="C53" s="5" t="s">
        <v>64</v>
      </c>
      <c r="D53" s="4"/>
      <c r="E53" s="4"/>
      <c r="F53" s="4"/>
    </row>
    <row r="54" spans="3:6" x14ac:dyDescent="0.25">
      <c r="C54" s="5" t="s">
        <v>64</v>
      </c>
      <c r="D54" s="4"/>
      <c r="E54" s="4"/>
      <c r="F54" s="4"/>
    </row>
    <row r="55" spans="3:6" x14ac:dyDescent="0.25">
      <c r="C55" s="5" t="s">
        <v>65</v>
      </c>
      <c r="D55" s="4"/>
      <c r="E55" s="4"/>
      <c r="F55" s="4"/>
    </row>
    <row r="56" spans="3:6" x14ac:dyDescent="0.25">
      <c r="C56" s="5" t="s">
        <v>65</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30" t="s">
        <v>76</v>
      </c>
    </row>
    <row r="70" spans="2:6" x14ac:dyDescent="0.25">
      <c r="B70" t="s">
        <v>77</v>
      </c>
      <c r="C70" s="28" t="s">
        <v>78</v>
      </c>
      <c r="D70" s="28" t="s">
        <v>79</v>
      </c>
      <c r="E70" s="28" t="s">
        <v>80</v>
      </c>
      <c r="F70" s="28" t="s">
        <v>81</v>
      </c>
    </row>
    <row r="71" spans="2:6" x14ac:dyDescent="0.25">
      <c r="B71" s="37">
        <v>1</v>
      </c>
      <c r="C71" s="38">
        <v>1</v>
      </c>
      <c r="D71" s="1" t="s">
        <v>661</v>
      </c>
      <c r="E71" s="1"/>
      <c r="F71" s="1"/>
    </row>
    <row r="72" spans="2:6" x14ac:dyDescent="0.25">
      <c r="B72" s="37">
        <v>1</v>
      </c>
      <c r="C72" s="38">
        <v>2</v>
      </c>
      <c r="D72" s="1" t="s">
        <v>662</v>
      </c>
      <c r="E72" s="1" t="s">
        <v>663</v>
      </c>
      <c r="F72" s="1" t="s">
        <v>26</v>
      </c>
    </row>
    <row r="73" spans="2:6" x14ac:dyDescent="0.25">
      <c r="B73" s="37">
        <v>1</v>
      </c>
      <c r="C73" s="38">
        <v>3</v>
      </c>
      <c r="D73" s="1" t="s">
        <v>664</v>
      </c>
      <c r="E73" s="1"/>
      <c r="F73" s="1"/>
    </row>
    <row r="74" spans="2:6" x14ac:dyDescent="0.25">
      <c r="B74" s="37">
        <v>1</v>
      </c>
      <c r="C74" s="38">
        <v>4</v>
      </c>
      <c r="D74" s="1" t="s">
        <v>665</v>
      </c>
      <c r="E74" s="1" t="s">
        <v>666</v>
      </c>
      <c r="F74" s="1" t="s">
        <v>26</v>
      </c>
    </row>
    <row r="75" spans="2:6" x14ac:dyDescent="0.25">
      <c r="B75" s="37">
        <v>1</v>
      </c>
      <c r="C75" s="38">
        <v>5</v>
      </c>
      <c r="D75" s="1" t="s">
        <v>667</v>
      </c>
      <c r="E75" s="1"/>
      <c r="F75" s="1"/>
    </row>
    <row r="76" spans="2:6" x14ac:dyDescent="0.25">
      <c r="B76" s="37">
        <v>1</v>
      </c>
      <c r="C76" s="38">
        <v>6</v>
      </c>
      <c r="D76" s="1" t="s">
        <v>668</v>
      </c>
      <c r="E76" s="1"/>
      <c r="F76" s="1" t="s">
        <v>26</v>
      </c>
    </row>
    <row r="77" spans="2:6" x14ac:dyDescent="0.25">
      <c r="B77" s="37">
        <v>1</v>
      </c>
      <c r="C77" s="38">
        <v>7</v>
      </c>
      <c r="D77" s="1" t="s">
        <v>669</v>
      </c>
      <c r="E77" s="1"/>
      <c r="F77" s="1"/>
    </row>
    <row r="78" spans="2:6" x14ac:dyDescent="0.25">
      <c r="B78" s="37">
        <v>1</v>
      </c>
      <c r="C78" s="38">
        <v>8</v>
      </c>
      <c r="D78" s="1" t="s">
        <v>670</v>
      </c>
      <c r="E78" s="1"/>
      <c r="F78" s="1" t="s">
        <v>26</v>
      </c>
    </row>
    <row r="79" spans="2:6" x14ac:dyDescent="0.25">
      <c r="B79" s="37">
        <v>1</v>
      </c>
      <c r="C79" s="38">
        <v>9</v>
      </c>
      <c r="D79" s="1" t="s">
        <v>671</v>
      </c>
      <c r="E79" s="1"/>
      <c r="F79" s="1"/>
    </row>
    <row r="80" spans="2:6" x14ac:dyDescent="0.25">
      <c r="B80" s="37">
        <v>1</v>
      </c>
      <c r="C80" s="38">
        <v>10</v>
      </c>
      <c r="D80" s="1" t="s">
        <v>672</v>
      </c>
      <c r="E80" s="1" t="s">
        <v>673</v>
      </c>
      <c r="F80" s="1" t="s">
        <v>26</v>
      </c>
    </row>
    <row r="81" spans="2:6" x14ac:dyDescent="0.25">
      <c r="B81" s="37">
        <v>1</v>
      </c>
      <c r="C81" s="38">
        <v>11</v>
      </c>
      <c r="D81" s="1" t="s">
        <v>674</v>
      </c>
      <c r="E81" s="1"/>
      <c r="F81" s="1"/>
    </row>
    <row r="82" spans="2:6" x14ac:dyDescent="0.25">
      <c r="B82" s="37">
        <v>1</v>
      </c>
      <c r="C82" s="38">
        <v>12</v>
      </c>
      <c r="D82" s="1" t="s">
        <v>675</v>
      </c>
      <c r="E82" s="1"/>
      <c r="F82" s="1" t="s">
        <v>26</v>
      </c>
    </row>
    <row r="83" spans="2:6" x14ac:dyDescent="0.25">
      <c r="B83" s="37">
        <v>2</v>
      </c>
      <c r="C83" s="38">
        <v>1</v>
      </c>
      <c r="D83" s="1"/>
      <c r="E83" s="1"/>
      <c r="F83" s="1"/>
    </row>
    <row r="84" spans="2:6" x14ac:dyDescent="0.25">
      <c r="B84" s="37">
        <v>2</v>
      </c>
      <c r="C84" s="38">
        <v>2</v>
      </c>
      <c r="D84" s="1"/>
      <c r="E84" s="1"/>
      <c r="F84" s="1"/>
    </row>
    <row r="85" spans="2:6" x14ac:dyDescent="0.25">
      <c r="B85" s="37">
        <v>2</v>
      </c>
      <c r="C85" s="38">
        <v>3</v>
      </c>
      <c r="D85" s="1"/>
      <c r="E85" s="1"/>
      <c r="F85" s="1"/>
    </row>
    <row r="86" spans="2:6" x14ac:dyDescent="0.25">
      <c r="B86" s="37">
        <v>2</v>
      </c>
      <c r="C86" s="38">
        <v>4</v>
      </c>
      <c r="D86" s="1"/>
      <c r="E86" s="1"/>
      <c r="F86" s="1"/>
    </row>
    <row r="87" spans="2:6" x14ac:dyDescent="0.25">
      <c r="B87" s="37">
        <v>2</v>
      </c>
      <c r="C87" s="38">
        <v>5</v>
      </c>
      <c r="D87" s="1"/>
      <c r="E87" s="1"/>
      <c r="F87" s="1"/>
    </row>
    <row r="88" spans="2:6" x14ac:dyDescent="0.25">
      <c r="B88" s="37">
        <v>2</v>
      </c>
      <c r="C88" s="38">
        <v>6</v>
      </c>
      <c r="D88" s="1"/>
      <c r="E88" s="1"/>
      <c r="F88" s="1"/>
    </row>
    <row r="89" spans="2:6" x14ac:dyDescent="0.25">
      <c r="B89" s="37">
        <v>2</v>
      </c>
      <c r="C89" s="38">
        <v>7</v>
      </c>
      <c r="D89" s="1"/>
      <c r="E89" s="1"/>
      <c r="F89" s="1"/>
    </row>
    <row r="90" spans="2:6" x14ac:dyDescent="0.25">
      <c r="B90" s="37">
        <v>2</v>
      </c>
      <c r="C90" s="38">
        <v>8</v>
      </c>
      <c r="D90" s="1"/>
      <c r="E90" s="1"/>
      <c r="F90" s="1"/>
    </row>
    <row r="91" spans="2:6" x14ac:dyDescent="0.25">
      <c r="B91" s="37">
        <v>2</v>
      </c>
      <c r="C91" s="38">
        <v>9</v>
      </c>
      <c r="D91" s="1"/>
      <c r="E91" s="1"/>
      <c r="F91" s="1"/>
    </row>
    <row r="92" spans="2:6" x14ac:dyDescent="0.25">
      <c r="B92" s="37">
        <v>2</v>
      </c>
      <c r="C92" s="38">
        <v>10</v>
      </c>
      <c r="D92" s="1"/>
      <c r="E92" s="1"/>
      <c r="F92" s="1"/>
    </row>
    <row r="93" spans="2:6" x14ac:dyDescent="0.25">
      <c r="B93" s="37">
        <v>2</v>
      </c>
      <c r="C93" s="38">
        <v>11</v>
      </c>
      <c r="D93" s="1"/>
      <c r="E93" s="1"/>
      <c r="F93" s="1"/>
    </row>
    <row r="94" spans="2:6" x14ac:dyDescent="0.25">
      <c r="B94" s="37">
        <v>2</v>
      </c>
      <c r="C94" s="38">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3229C256-ABBC-47F3-8625-F41A5BABAC1F}">
      <formula1>0</formula1>
      <formula2>80</formula2>
    </dataValidation>
    <dataValidation type="whole" showInputMessage="1" showErrorMessage="1" error="This is not a realistic number of contact hours please change" sqref="D19" xr:uid="{AD4AC72D-916F-4382-B2A7-05CD7B2226A8}">
      <formula1>0</formula1>
      <formula2>80</formula2>
    </dataValidation>
    <dataValidation type="list" allowBlank="1" showInputMessage="1" showErrorMessage="1" sqref="E38:E41" xr:uid="{FDB67476-1D11-4DC5-B446-B8E66599A2C2}">
      <formula1>INDIRECT("LISTAssess[Assessment Specific]")</formula1>
    </dataValidation>
    <dataValidation type="list" allowBlank="1" showInputMessage="1" showErrorMessage="1" sqref="F46:F66" xr:uid="{1C21621D-7473-4C52-AA89-3A2F9E5BB565}">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B022925A-1C00-4AFA-A060-FE394763B53C}">
          <x14:formula1>
            <xm:f>LISTS!$C$26:$C$37</xm:f>
          </x14:formula1>
          <xm:sqref>D14</xm:sqref>
        </x14:dataValidation>
        <x14:dataValidation type="list" allowBlank="1" showInputMessage="1" showErrorMessage="1" xr:uid="{E147FE3C-0EDB-444D-84A8-E77F42E7C5D8}">
          <x14:formula1>
            <xm:f>LISTS!$C$17:$C$22</xm:f>
          </x14:formula1>
          <xm:sqref>D13</xm:sqref>
        </x14:dataValidation>
        <x14:dataValidation type="list" allowBlank="1" showInputMessage="1" showErrorMessage="1" xr:uid="{C4EDA730-38D3-4AEC-9B1B-4808FDB3AEE6}">
          <x14:formula1>
            <xm:f>LISTS!$C$7:$C$9</xm:f>
          </x14:formula1>
          <xm:sqref>D10</xm:sqref>
        </x14:dataValidation>
        <x14:dataValidation type="list" allowBlank="1" showInputMessage="1" showErrorMessage="1" xr:uid="{71ECC980-EB9A-4145-9F8B-52F5DED821C4}">
          <x14:formula1>
            <xm:f>LISTS!$C$11:$C$15</xm:f>
          </x14:formula1>
          <xm:sqref>D11</xm:sqref>
        </x14:dataValidation>
        <x14:dataValidation type="list" allowBlank="1" showInputMessage="1" showErrorMessage="1" xr:uid="{AC1D00FA-03B3-4BC1-87FD-4FB7D7C0F51E}">
          <x14:formula1>
            <xm:f>LISTS!$G$7:$G$11</xm:f>
          </x14:formula1>
          <xm:sqref>D38:D42</xm:sqref>
        </x14:dataValidation>
        <x14:dataValidation type="list" allowBlank="1" showInputMessage="1" showErrorMessage="1" xr:uid="{96A48C9E-FB8E-44C9-885B-243CD753BD9E}">
          <x14:formula1>
            <xm:f>LISTS!$E$7:$E$11</xm:f>
          </x14:formula1>
          <xm:sqref>D46:D66</xm:sqref>
        </x14:dataValidation>
        <x14:dataValidation type="list" allowBlank="1" showInputMessage="1" showErrorMessage="1" xr:uid="{5036F22C-DC1A-45C2-ACC5-04A85C0867A2}">
          <x14:formula1>
            <xm:f>LISTS!$J$7:$J$16</xm:f>
          </x14:formula1>
          <xm:sqref>E46:E66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DAC1-856D-487D-8AF4-540C0DE3E703}">
  <sheetPr codeName="Sheet14"/>
  <dimension ref="A1:O18"/>
  <sheetViews>
    <sheetView workbookViewId="0"/>
  </sheetViews>
  <sheetFormatPr defaultRowHeight="15" x14ac:dyDescent="0.25"/>
  <cols>
    <col min="1" max="1" width="49" bestFit="1" customWidth="1"/>
    <col min="2" max="2" width="14.28515625" bestFit="1" customWidth="1"/>
    <col min="3" max="3" width="14.85546875" bestFit="1" customWidth="1"/>
    <col min="4" max="4" width="12.7109375" bestFit="1" customWidth="1"/>
    <col min="5" max="5" width="14" bestFit="1" customWidth="1"/>
    <col min="6" max="6" width="12.140625" bestFit="1" customWidth="1"/>
    <col min="7" max="7" width="46.85546875" bestFit="1" customWidth="1"/>
    <col min="8" max="8" width="15.42578125" bestFit="1" customWidth="1"/>
    <col min="9" max="9" width="68.140625" bestFit="1" customWidth="1"/>
    <col min="10" max="10" width="10" bestFit="1" customWidth="1"/>
    <col min="11" max="11" width="12" bestFit="1" customWidth="1"/>
    <col min="12" max="12" width="8.140625" bestFit="1" customWidth="1"/>
    <col min="13" max="13" width="21.5703125" bestFit="1" customWidth="1"/>
    <col min="14" max="14" width="49.85546875" bestFit="1" customWidth="1"/>
    <col min="15" max="15" width="28.42578125" bestFit="1" customWidth="1"/>
  </cols>
  <sheetData>
    <row r="1" spans="1:15" x14ac:dyDescent="0.25">
      <c r="A1" t="s">
        <v>759</v>
      </c>
      <c r="B1" t="s">
        <v>760</v>
      </c>
      <c r="C1" t="s">
        <v>761</v>
      </c>
      <c r="D1" t="s">
        <v>762</v>
      </c>
      <c r="E1" t="s">
        <v>763</v>
      </c>
      <c r="F1" t="s">
        <v>764</v>
      </c>
      <c r="G1" t="s">
        <v>765</v>
      </c>
      <c r="H1" t="s">
        <v>4</v>
      </c>
      <c r="I1" t="s">
        <v>7</v>
      </c>
      <c r="J1" t="s">
        <v>9</v>
      </c>
      <c r="K1" t="s">
        <v>10</v>
      </c>
      <c r="L1" t="s">
        <v>13</v>
      </c>
      <c r="M1" t="s">
        <v>15</v>
      </c>
      <c r="N1" t="s">
        <v>17</v>
      </c>
      <c r="O1" t="s">
        <v>19</v>
      </c>
    </row>
    <row r="2" spans="1:15" x14ac:dyDescent="0.25">
      <c r="A2" t="s">
        <v>836</v>
      </c>
      <c r="B2" t="s">
        <v>862</v>
      </c>
      <c r="C2" t="s">
        <v>5</v>
      </c>
      <c r="D2" t="s">
        <v>769</v>
      </c>
      <c r="E2" t="s">
        <v>20</v>
      </c>
      <c r="F2" t="s">
        <v>770</v>
      </c>
      <c r="G2" t="s">
        <v>8</v>
      </c>
      <c r="H2" t="s">
        <v>5</v>
      </c>
      <c r="I2" t="s">
        <v>8</v>
      </c>
      <c r="J2">
        <v>20</v>
      </c>
      <c r="K2" t="s">
        <v>11</v>
      </c>
      <c r="L2">
        <v>4</v>
      </c>
      <c r="M2" t="s">
        <v>16</v>
      </c>
      <c r="N2" t="s">
        <v>18</v>
      </c>
      <c r="O2" t="s">
        <v>20</v>
      </c>
    </row>
    <row r="3" spans="1:15" x14ac:dyDescent="0.25">
      <c r="A3" t="s">
        <v>836</v>
      </c>
      <c r="B3" t="s">
        <v>863</v>
      </c>
      <c r="C3" t="s">
        <v>118</v>
      </c>
      <c r="D3" t="s">
        <v>769</v>
      </c>
      <c r="E3" t="s">
        <v>20</v>
      </c>
      <c r="F3" t="s">
        <v>770</v>
      </c>
      <c r="G3" t="s">
        <v>120</v>
      </c>
      <c r="H3" t="s">
        <v>118</v>
      </c>
      <c r="I3" t="s">
        <v>120</v>
      </c>
      <c r="J3">
        <v>20</v>
      </c>
      <c r="K3">
        <v>1</v>
      </c>
      <c r="L3">
        <v>4</v>
      </c>
      <c r="M3" t="s">
        <v>122</v>
      </c>
      <c r="N3" t="s">
        <v>123</v>
      </c>
      <c r="O3" t="s">
        <v>937</v>
      </c>
    </row>
    <row r="4" spans="1:15" x14ac:dyDescent="0.25">
      <c r="A4" t="s">
        <v>836</v>
      </c>
      <c r="B4" t="s">
        <v>864</v>
      </c>
      <c r="C4" t="s">
        <v>176</v>
      </c>
      <c r="D4" t="s">
        <v>769</v>
      </c>
      <c r="E4" t="s">
        <v>20</v>
      </c>
      <c r="F4" t="s">
        <v>770</v>
      </c>
      <c r="G4" t="s">
        <v>178</v>
      </c>
      <c r="H4" t="s">
        <v>176</v>
      </c>
      <c r="I4" t="s">
        <v>178</v>
      </c>
      <c r="J4">
        <v>20</v>
      </c>
      <c r="K4">
        <v>2</v>
      </c>
      <c r="L4">
        <v>4</v>
      </c>
      <c r="M4" t="s">
        <v>180</v>
      </c>
      <c r="N4" t="s">
        <v>123</v>
      </c>
      <c r="O4" t="s">
        <v>20</v>
      </c>
    </row>
    <row r="5" spans="1:15" x14ac:dyDescent="0.25">
      <c r="A5" t="s">
        <v>836</v>
      </c>
      <c r="B5" t="s">
        <v>865</v>
      </c>
      <c r="C5" t="s">
        <v>234</v>
      </c>
      <c r="D5" t="s">
        <v>769</v>
      </c>
      <c r="E5" t="s">
        <v>20</v>
      </c>
      <c r="F5" t="s">
        <v>770</v>
      </c>
      <c r="G5" t="s">
        <v>236</v>
      </c>
      <c r="H5" t="s">
        <v>234</v>
      </c>
      <c r="I5" t="s">
        <v>236</v>
      </c>
      <c r="J5">
        <v>20</v>
      </c>
      <c r="K5">
        <v>2</v>
      </c>
      <c r="L5">
        <v>4</v>
      </c>
      <c r="M5" t="s">
        <v>238</v>
      </c>
      <c r="N5" t="s">
        <v>123</v>
      </c>
      <c r="O5" t="s">
        <v>20</v>
      </c>
    </row>
    <row r="6" spans="1:15" x14ac:dyDescent="0.25">
      <c r="A6" t="s">
        <v>836</v>
      </c>
      <c r="B6" t="s">
        <v>866</v>
      </c>
      <c r="C6" t="s">
        <v>284</v>
      </c>
      <c r="D6" t="s">
        <v>769</v>
      </c>
      <c r="E6" t="s">
        <v>20</v>
      </c>
      <c r="F6" t="s">
        <v>770</v>
      </c>
      <c r="G6" t="s">
        <v>286</v>
      </c>
      <c r="H6" t="s">
        <v>284</v>
      </c>
      <c r="I6" t="s">
        <v>286</v>
      </c>
      <c r="J6">
        <v>20</v>
      </c>
      <c r="K6" t="s">
        <v>11</v>
      </c>
      <c r="L6">
        <v>5</v>
      </c>
      <c r="M6" t="s">
        <v>16</v>
      </c>
      <c r="N6" t="s">
        <v>18</v>
      </c>
      <c r="O6" t="s">
        <v>20</v>
      </c>
    </row>
    <row r="7" spans="1:15" x14ac:dyDescent="0.25">
      <c r="A7" t="s">
        <v>836</v>
      </c>
      <c r="B7" t="s">
        <v>869</v>
      </c>
      <c r="C7" t="s">
        <v>448</v>
      </c>
      <c r="D7" t="s">
        <v>769</v>
      </c>
      <c r="E7" t="s">
        <v>20</v>
      </c>
      <c r="F7" t="s">
        <v>770</v>
      </c>
      <c r="G7" t="s">
        <v>450</v>
      </c>
      <c r="H7" t="s">
        <v>448</v>
      </c>
      <c r="I7" t="s">
        <v>450</v>
      </c>
      <c r="J7">
        <v>20</v>
      </c>
      <c r="K7">
        <v>2</v>
      </c>
      <c r="L7">
        <v>5</v>
      </c>
      <c r="M7" t="s">
        <v>940</v>
      </c>
      <c r="N7" t="s">
        <v>123</v>
      </c>
      <c r="O7" t="s">
        <v>20</v>
      </c>
    </row>
    <row r="8" spans="1:15" x14ac:dyDescent="0.25">
      <c r="A8" t="s">
        <v>836</v>
      </c>
      <c r="B8" t="s">
        <v>867</v>
      </c>
      <c r="C8" t="s">
        <v>339</v>
      </c>
      <c r="D8" t="s">
        <v>769</v>
      </c>
      <c r="E8" t="s">
        <v>20</v>
      </c>
      <c r="F8" t="s">
        <v>770</v>
      </c>
      <c r="G8" t="s">
        <v>341</v>
      </c>
      <c r="H8" t="s">
        <v>339</v>
      </c>
      <c r="I8" t="s">
        <v>341</v>
      </c>
      <c r="J8">
        <v>20</v>
      </c>
      <c r="K8">
        <v>1</v>
      </c>
      <c r="L8">
        <v>5</v>
      </c>
      <c r="M8" t="s">
        <v>343</v>
      </c>
      <c r="N8" t="s">
        <v>123</v>
      </c>
      <c r="O8" t="s">
        <v>20</v>
      </c>
    </row>
    <row r="9" spans="1:15" x14ac:dyDescent="0.25">
      <c r="A9" t="s">
        <v>836</v>
      </c>
      <c r="B9" t="s">
        <v>868</v>
      </c>
      <c r="C9" t="s">
        <v>395</v>
      </c>
      <c r="D9" t="s">
        <v>769</v>
      </c>
      <c r="E9" t="s">
        <v>20</v>
      </c>
      <c r="F9" t="s">
        <v>770</v>
      </c>
      <c r="G9" t="s">
        <v>397</v>
      </c>
      <c r="H9" t="s">
        <v>395</v>
      </c>
      <c r="I9" t="s">
        <v>938</v>
      </c>
      <c r="J9">
        <v>20</v>
      </c>
      <c r="K9">
        <v>2</v>
      </c>
      <c r="L9">
        <v>5</v>
      </c>
      <c r="M9" t="s">
        <v>939</v>
      </c>
      <c r="N9" t="s">
        <v>123</v>
      </c>
      <c r="O9" t="s">
        <v>20</v>
      </c>
    </row>
    <row r="10" spans="1:15" x14ac:dyDescent="0.25">
      <c r="A10" t="s">
        <v>836</v>
      </c>
      <c r="B10" t="s">
        <v>870</v>
      </c>
      <c r="C10" t="s">
        <v>502</v>
      </c>
      <c r="D10" t="s">
        <v>769</v>
      </c>
      <c r="E10" t="s">
        <v>20</v>
      </c>
      <c r="F10" t="s">
        <v>770</v>
      </c>
      <c r="G10" t="s">
        <v>504</v>
      </c>
      <c r="H10" t="s">
        <v>502</v>
      </c>
      <c r="I10" t="s">
        <v>504</v>
      </c>
      <c r="J10">
        <v>20</v>
      </c>
      <c r="K10">
        <v>1</v>
      </c>
      <c r="L10">
        <v>6</v>
      </c>
      <c r="M10" t="s">
        <v>180</v>
      </c>
      <c r="N10" t="s">
        <v>123</v>
      </c>
      <c r="O10" t="s">
        <v>20</v>
      </c>
    </row>
    <row r="11" spans="1:15" x14ac:dyDescent="0.25">
      <c r="A11" t="s">
        <v>836</v>
      </c>
      <c r="B11" t="s">
        <v>871</v>
      </c>
      <c r="C11" t="s">
        <v>553</v>
      </c>
      <c r="D11" t="s">
        <v>769</v>
      </c>
      <c r="E11" t="s">
        <v>20</v>
      </c>
      <c r="F11" t="s">
        <v>770</v>
      </c>
      <c r="G11" t="s">
        <v>555</v>
      </c>
      <c r="H11" t="s">
        <v>553</v>
      </c>
      <c r="I11" t="s">
        <v>555</v>
      </c>
      <c r="J11">
        <v>20</v>
      </c>
      <c r="K11">
        <v>1</v>
      </c>
      <c r="L11">
        <v>6</v>
      </c>
      <c r="M11" t="s">
        <v>941</v>
      </c>
      <c r="N11" t="s">
        <v>123</v>
      </c>
      <c r="O11" t="s">
        <v>20</v>
      </c>
    </row>
    <row r="12" spans="1:15" x14ac:dyDescent="0.25">
      <c r="A12" t="s">
        <v>836</v>
      </c>
      <c r="B12" t="s">
        <v>872</v>
      </c>
      <c r="C12" t="s">
        <v>602</v>
      </c>
      <c r="D12" t="s">
        <v>769</v>
      </c>
      <c r="E12" t="s">
        <v>20</v>
      </c>
      <c r="F12" t="s">
        <v>770</v>
      </c>
      <c r="G12" t="s">
        <v>604</v>
      </c>
      <c r="H12" t="s">
        <v>602</v>
      </c>
      <c r="I12" t="s">
        <v>604</v>
      </c>
      <c r="J12">
        <v>20</v>
      </c>
      <c r="K12">
        <v>2</v>
      </c>
      <c r="L12">
        <v>6</v>
      </c>
      <c r="M12" t="s">
        <v>942</v>
      </c>
      <c r="N12" t="s">
        <v>123</v>
      </c>
      <c r="O12" t="s">
        <v>20</v>
      </c>
    </row>
    <row r="13" spans="1:15" x14ac:dyDescent="0.25">
      <c r="A13" t="s">
        <v>836</v>
      </c>
      <c r="B13" t="s">
        <v>873</v>
      </c>
      <c r="C13" t="s">
        <v>654</v>
      </c>
      <c r="D13" t="s">
        <v>769</v>
      </c>
      <c r="E13" t="s">
        <v>20</v>
      </c>
      <c r="F13" t="s">
        <v>770</v>
      </c>
      <c r="G13" t="s">
        <v>849</v>
      </c>
      <c r="H13" t="s">
        <v>654</v>
      </c>
      <c r="I13" t="s">
        <v>943</v>
      </c>
      <c r="J13">
        <v>60</v>
      </c>
      <c r="K13" t="s">
        <v>11</v>
      </c>
      <c r="L13">
        <v>6</v>
      </c>
      <c r="M13" t="s">
        <v>656</v>
      </c>
      <c r="N13" t="s">
        <v>944</v>
      </c>
      <c r="O13" t="s">
        <v>20</v>
      </c>
    </row>
    <row r="14" spans="1:15" x14ac:dyDescent="0.25">
      <c r="A14" t="s">
        <v>766</v>
      </c>
      <c r="B14" t="s">
        <v>767</v>
      </c>
      <c r="C14" t="s">
        <v>768</v>
      </c>
      <c r="D14" t="s">
        <v>769</v>
      </c>
      <c r="E14" t="s">
        <v>20</v>
      </c>
      <c r="F14" t="s">
        <v>770</v>
      </c>
      <c r="G14" t="s">
        <v>771</v>
      </c>
      <c r="H14" t="s">
        <v>768</v>
      </c>
      <c r="I14" t="s">
        <v>771</v>
      </c>
      <c r="J14">
        <v>20</v>
      </c>
      <c r="K14">
        <v>2</v>
      </c>
      <c r="L14">
        <v>4</v>
      </c>
      <c r="M14" t="s">
        <v>772</v>
      </c>
      <c r="N14" t="s">
        <v>684</v>
      </c>
      <c r="O14" t="s">
        <v>719</v>
      </c>
    </row>
    <row r="15" spans="1:15" x14ac:dyDescent="0.25">
      <c r="A15" t="s">
        <v>766</v>
      </c>
      <c r="B15" t="s">
        <v>773</v>
      </c>
      <c r="C15" t="s">
        <v>774</v>
      </c>
      <c r="D15" t="s">
        <v>769</v>
      </c>
      <c r="E15" t="s">
        <v>20</v>
      </c>
      <c r="F15" t="s">
        <v>770</v>
      </c>
      <c r="G15" t="s">
        <v>775</v>
      </c>
      <c r="H15" t="s">
        <v>774</v>
      </c>
      <c r="I15" t="s">
        <v>935</v>
      </c>
      <c r="J15">
        <v>20</v>
      </c>
      <c r="K15">
        <v>1</v>
      </c>
      <c r="L15">
        <v>4</v>
      </c>
      <c r="M15" t="s">
        <v>936</v>
      </c>
      <c r="N15" t="s">
        <v>123</v>
      </c>
      <c r="O15" t="s">
        <v>726</v>
      </c>
    </row>
    <row r="16" spans="1:15" x14ac:dyDescent="0.25">
      <c r="A16" t="s">
        <v>766</v>
      </c>
      <c r="B16" t="s">
        <v>776</v>
      </c>
      <c r="C16" t="s">
        <v>777</v>
      </c>
      <c r="D16" t="s">
        <v>769</v>
      </c>
      <c r="E16" t="s">
        <v>20</v>
      </c>
      <c r="F16" t="s">
        <v>770</v>
      </c>
      <c r="G16" t="s">
        <v>778</v>
      </c>
      <c r="H16" t="s">
        <v>777</v>
      </c>
      <c r="I16" t="s">
        <v>778</v>
      </c>
      <c r="J16">
        <v>20</v>
      </c>
      <c r="K16">
        <v>2</v>
      </c>
      <c r="L16">
        <v>5</v>
      </c>
      <c r="M16" t="s">
        <v>779</v>
      </c>
      <c r="N16" t="s">
        <v>684</v>
      </c>
      <c r="O16" t="s">
        <v>719</v>
      </c>
    </row>
    <row r="17" spans="1:15" x14ac:dyDescent="0.25">
      <c r="A17" t="s">
        <v>766</v>
      </c>
      <c r="B17" t="s">
        <v>780</v>
      </c>
      <c r="C17" t="s">
        <v>781</v>
      </c>
      <c r="D17" t="s">
        <v>769</v>
      </c>
      <c r="E17" t="s">
        <v>20</v>
      </c>
      <c r="F17" t="s">
        <v>770</v>
      </c>
      <c r="G17" t="s">
        <v>782</v>
      </c>
      <c r="H17" t="s">
        <v>781</v>
      </c>
      <c r="I17" t="s">
        <v>782</v>
      </c>
      <c r="J17">
        <v>20</v>
      </c>
      <c r="K17">
        <v>2</v>
      </c>
      <c r="L17">
        <v>5</v>
      </c>
      <c r="M17" t="s">
        <v>783</v>
      </c>
      <c r="N17" t="s">
        <v>123</v>
      </c>
      <c r="O17" t="s">
        <v>719</v>
      </c>
    </row>
    <row r="18" spans="1:15" x14ac:dyDescent="0.25">
      <c r="A18" t="s">
        <v>766</v>
      </c>
      <c r="B18" t="s">
        <v>784</v>
      </c>
      <c r="C18" t="s">
        <v>785</v>
      </c>
      <c r="D18" t="s">
        <v>769</v>
      </c>
      <c r="E18" t="s">
        <v>20</v>
      </c>
      <c r="F18" t="s">
        <v>770</v>
      </c>
      <c r="G18" t="s">
        <v>786</v>
      </c>
      <c r="H18" t="s">
        <v>785</v>
      </c>
      <c r="I18" t="s">
        <v>786</v>
      </c>
      <c r="J18">
        <v>40</v>
      </c>
      <c r="K18" t="s">
        <v>11</v>
      </c>
      <c r="L18">
        <v>6</v>
      </c>
      <c r="M18" t="s">
        <v>787</v>
      </c>
      <c r="N18" t="s">
        <v>685</v>
      </c>
      <c r="O18" t="s">
        <v>719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4AA5-E332-4E5E-9E92-8815AA7EB95C}">
  <sheetPr codeName="Sheet16"/>
  <dimension ref="A1:I18"/>
  <sheetViews>
    <sheetView workbookViewId="0">
      <selection activeCell="O17" sqref="O17"/>
    </sheetView>
  </sheetViews>
  <sheetFormatPr defaultRowHeight="15" x14ac:dyDescent="0.25"/>
  <cols>
    <col min="1" max="1" width="14.85546875" bestFit="1" customWidth="1"/>
    <col min="2" max="2" width="46.85546875" bestFit="1" customWidth="1"/>
    <col min="3" max="3" width="8.140625" bestFit="1" customWidth="1"/>
    <col min="4" max="4" width="12" bestFit="1" customWidth="1"/>
    <col min="5" max="5" width="10" bestFit="1" customWidth="1"/>
    <col min="6" max="6" width="21.5703125" bestFit="1" customWidth="1"/>
    <col min="7" max="7" width="49.85546875" bestFit="1" customWidth="1"/>
    <col min="8" max="8" width="21.42578125" bestFit="1" customWidth="1"/>
    <col min="9" max="9" width="18.42578125" bestFit="1" customWidth="1"/>
  </cols>
  <sheetData>
    <row r="1" spans="1:9" x14ac:dyDescent="0.25">
      <c r="A1" t="s">
        <v>761</v>
      </c>
      <c r="B1" t="s">
        <v>765</v>
      </c>
      <c r="C1" t="s">
        <v>13</v>
      </c>
      <c r="D1" t="s">
        <v>10</v>
      </c>
      <c r="E1" t="s">
        <v>9</v>
      </c>
      <c r="F1" t="s">
        <v>15</v>
      </c>
      <c r="G1" t="s">
        <v>17</v>
      </c>
      <c r="H1" t="s">
        <v>834</v>
      </c>
      <c r="I1" t="s">
        <v>835</v>
      </c>
    </row>
    <row r="2" spans="1:9" x14ac:dyDescent="0.25">
      <c r="A2" t="s">
        <v>5</v>
      </c>
      <c r="B2" t="s">
        <v>8</v>
      </c>
      <c r="C2">
        <v>4</v>
      </c>
      <c r="E2">
        <v>20</v>
      </c>
      <c r="F2" t="s">
        <v>16</v>
      </c>
      <c r="G2" t="s">
        <v>18</v>
      </c>
      <c r="H2">
        <v>50</v>
      </c>
      <c r="I2">
        <v>2.5</v>
      </c>
    </row>
    <row r="3" spans="1:9" x14ac:dyDescent="0.25">
      <c r="A3" t="s">
        <v>118</v>
      </c>
      <c r="B3" t="s">
        <v>120</v>
      </c>
      <c r="C3">
        <v>4</v>
      </c>
      <c r="D3">
        <v>1</v>
      </c>
      <c r="E3">
        <v>20</v>
      </c>
      <c r="F3" t="s">
        <v>122</v>
      </c>
      <c r="G3" t="s">
        <v>123</v>
      </c>
      <c r="H3">
        <v>41</v>
      </c>
      <c r="I3">
        <v>2.0499999999999998</v>
      </c>
    </row>
    <row r="4" spans="1:9" x14ac:dyDescent="0.25">
      <c r="A4" t="s">
        <v>176</v>
      </c>
      <c r="B4" t="s">
        <v>178</v>
      </c>
      <c r="C4">
        <v>4</v>
      </c>
      <c r="D4">
        <v>2</v>
      </c>
      <c r="E4">
        <v>20</v>
      </c>
      <c r="F4" t="s">
        <v>180</v>
      </c>
      <c r="G4" t="s">
        <v>123</v>
      </c>
      <c r="H4">
        <v>40</v>
      </c>
      <c r="I4">
        <v>2</v>
      </c>
    </row>
    <row r="5" spans="1:9" x14ac:dyDescent="0.25">
      <c r="A5" t="s">
        <v>234</v>
      </c>
      <c r="B5" t="s">
        <v>236</v>
      </c>
      <c r="C5">
        <v>4</v>
      </c>
      <c r="D5">
        <v>2</v>
      </c>
      <c r="E5">
        <v>20</v>
      </c>
      <c r="F5" t="s">
        <v>238</v>
      </c>
      <c r="G5" t="s">
        <v>123</v>
      </c>
      <c r="H5">
        <v>44</v>
      </c>
      <c r="I5">
        <v>2.2000000000000002</v>
      </c>
    </row>
    <row r="6" spans="1:9" x14ac:dyDescent="0.25">
      <c r="A6" t="s">
        <v>284</v>
      </c>
      <c r="B6" t="s">
        <v>286</v>
      </c>
      <c r="C6">
        <v>5</v>
      </c>
      <c r="E6">
        <v>20</v>
      </c>
      <c r="F6" t="s">
        <v>16</v>
      </c>
      <c r="G6" t="s">
        <v>18</v>
      </c>
      <c r="H6">
        <v>50</v>
      </c>
      <c r="I6">
        <v>2.5</v>
      </c>
    </row>
    <row r="7" spans="1:9" x14ac:dyDescent="0.25">
      <c r="A7" t="s">
        <v>448</v>
      </c>
      <c r="B7" t="s">
        <v>450</v>
      </c>
      <c r="C7">
        <v>5</v>
      </c>
      <c r="D7">
        <v>2</v>
      </c>
      <c r="E7">
        <v>20</v>
      </c>
      <c r="F7" t="s">
        <v>940</v>
      </c>
      <c r="G7" t="s">
        <v>123</v>
      </c>
      <c r="H7">
        <v>40</v>
      </c>
      <c r="I7">
        <v>2</v>
      </c>
    </row>
    <row r="8" spans="1:9" x14ac:dyDescent="0.25">
      <c r="A8" t="s">
        <v>339</v>
      </c>
      <c r="B8" t="s">
        <v>341</v>
      </c>
      <c r="C8">
        <v>5</v>
      </c>
      <c r="D8">
        <v>1</v>
      </c>
      <c r="E8">
        <v>20</v>
      </c>
      <c r="F8" t="s">
        <v>343</v>
      </c>
      <c r="G8" t="s">
        <v>123</v>
      </c>
      <c r="H8">
        <v>40</v>
      </c>
      <c r="I8">
        <v>2</v>
      </c>
    </row>
    <row r="9" spans="1:9" x14ac:dyDescent="0.25">
      <c r="A9" t="s">
        <v>395</v>
      </c>
      <c r="B9" t="s">
        <v>397</v>
      </c>
      <c r="C9">
        <v>5</v>
      </c>
      <c r="D9">
        <v>2</v>
      </c>
      <c r="E9">
        <v>20</v>
      </c>
      <c r="F9" t="s">
        <v>939</v>
      </c>
      <c r="G9" t="s">
        <v>123</v>
      </c>
      <c r="H9">
        <v>40</v>
      </c>
      <c r="I9">
        <v>2</v>
      </c>
    </row>
    <row r="10" spans="1:9" x14ac:dyDescent="0.25">
      <c r="A10" t="s">
        <v>502</v>
      </c>
      <c r="B10" t="s">
        <v>504</v>
      </c>
      <c r="C10">
        <v>6</v>
      </c>
      <c r="D10">
        <v>1</v>
      </c>
      <c r="E10">
        <v>20</v>
      </c>
      <c r="F10" t="s">
        <v>180</v>
      </c>
      <c r="G10" t="s">
        <v>123</v>
      </c>
      <c r="H10">
        <v>45</v>
      </c>
      <c r="I10">
        <v>2.25</v>
      </c>
    </row>
    <row r="11" spans="1:9" x14ac:dyDescent="0.25">
      <c r="A11" t="s">
        <v>553</v>
      </c>
      <c r="B11" t="s">
        <v>555</v>
      </c>
      <c r="C11">
        <v>6</v>
      </c>
      <c r="D11">
        <v>1</v>
      </c>
      <c r="E11">
        <v>20</v>
      </c>
      <c r="F11" t="s">
        <v>941</v>
      </c>
      <c r="G11" t="s">
        <v>123</v>
      </c>
      <c r="H11">
        <v>40</v>
      </c>
      <c r="I11">
        <v>2</v>
      </c>
    </row>
    <row r="12" spans="1:9" x14ac:dyDescent="0.25">
      <c r="A12" t="s">
        <v>602</v>
      </c>
      <c r="B12" t="s">
        <v>604</v>
      </c>
      <c r="C12">
        <v>6</v>
      </c>
      <c r="D12">
        <v>2</v>
      </c>
      <c r="E12">
        <v>20</v>
      </c>
      <c r="F12" t="s">
        <v>942</v>
      </c>
      <c r="G12" t="s">
        <v>123</v>
      </c>
      <c r="H12">
        <v>49</v>
      </c>
      <c r="I12">
        <v>2.4500000000000002</v>
      </c>
    </row>
    <row r="13" spans="1:9" x14ac:dyDescent="0.25">
      <c r="A13" t="s">
        <v>654</v>
      </c>
      <c r="B13" t="s">
        <v>849</v>
      </c>
      <c r="C13">
        <v>6</v>
      </c>
      <c r="E13">
        <v>60</v>
      </c>
      <c r="F13" t="s">
        <v>656</v>
      </c>
      <c r="G13" t="s">
        <v>944</v>
      </c>
      <c r="H13">
        <v>60</v>
      </c>
      <c r="I13">
        <v>1</v>
      </c>
    </row>
    <row r="14" spans="1:9" x14ac:dyDescent="0.25">
      <c r="A14" t="s">
        <v>768</v>
      </c>
      <c r="B14" t="s">
        <v>771</v>
      </c>
      <c r="C14">
        <v>4</v>
      </c>
      <c r="D14">
        <v>2</v>
      </c>
      <c r="E14">
        <v>20</v>
      </c>
      <c r="F14" t="s">
        <v>772</v>
      </c>
      <c r="G14" t="s">
        <v>684</v>
      </c>
      <c r="H14">
        <v>44</v>
      </c>
      <c r="I14">
        <v>2.2000000000000002</v>
      </c>
    </row>
    <row r="15" spans="1:9" x14ac:dyDescent="0.25">
      <c r="A15" t="s">
        <v>774</v>
      </c>
      <c r="B15" t="s">
        <v>775</v>
      </c>
      <c r="C15">
        <v>4</v>
      </c>
      <c r="D15">
        <v>1</v>
      </c>
      <c r="E15">
        <v>20</v>
      </c>
      <c r="F15" t="s">
        <v>936</v>
      </c>
      <c r="G15" t="s">
        <v>123</v>
      </c>
      <c r="H15">
        <v>44</v>
      </c>
      <c r="I15">
        <v>2.2000000000000002</v>
      </c>
    </row>
    <row r="16" spans="1:9" x14ac:dyDescent="0.25">
      <c r="A16" t="s">
        <v>777</v>
      </c>
      <c r="B16" t="s">
        <v>778</v>
      </c>
      <c r="C16">
        <v>5</v>
      </c>
      <c r="D16">
        <v>2</v>
      </c>
      <c r="E16">
        <v>20</v>
      </c>
      <c r="F16" t="s">
        <v>779</v>
      </c>
      <c r="G16" t="s">
        <v>684</v>
      </c>
      <c r="H16">
        <v>48</v>
      </c>
      <c r="I16">
        <v>2.4</v>
      </c>
    </row>
    <row r="17" spans="1:9" x14ac:dyDescent="0.25">
      <c r="A17" t="s">
        <v>781</v>
      </c>
      <c r="B17" t="s">
        <v>782</v>
      </c>
      <c r="C17">
        <v>5</v>
      </c>
      <c r="D17">
        <v>2</v>
      </c>
      <c r="E17">
        <v>20</v>
      </c>
      <c r="F17" t="s">
        <v>783</v>
      </c>
      <c r="G17" t="s">
        <v>123</v>
      </c>
      <c r="H17">
        <v>40</v>
      </c>
      <c r="I17">
        <v>2</v>
      </c>
    </row>
    <row r="18" spans="1:9" x14ac:dyDescent="0.25">
      <c r="A18" t="s">
        <v>785</v>
      </c>
      <c r="B18" t="s">
        <v>786</v>
      </c>
      <c r="C18">
        <v>6</v>
      </c>
      <c r="E18">
        <v>40</v>
      </c>
      <c r="F18" t="s">
        <v>787</v>
      </c>
      <c r="G18" t="s">
        <v>685</v>
      </c>
      <c r="H18">
        <v>22</v>
      </c>
      <c r="I18">
        <v>0.55000000000000004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E06A-BCB8-4E7C-927E-09E3D4CCC6D2}">
  <sheetPr codeName="Sheet17"/>
  <dimension ref="A1:N18"/>
  <sheetViews>
    <sheetView workbookViewId="0"/>
  </sheetViews>
  <sheetFormatPr defaultRowHeight="15" x14ac:dyDescent="0.25"/>
  <cols>
    <col min="1" max="1" width="49" bestFit="1" customWidth="1"/>
    <col min="2" max="2" width="15.28515625" bestFit="1" customWidth="1"/>
    <col min="3" max="3" width="14.85546875" bestFit="1" customWidth="1"/>
    <col min="4" max="4" width="12.7109375" bestFit="1" customWidth="1"/>
    <col min="5" max="5" width="14" bestFit="1" customWidth="1"/>
    <col min="6" max="6" width="12.140625" bestFit="1" customWidth="1"/>
    <col min="7" max="7" width="46.85546875" bestFit="1" customWidth="1"/>
    <col min="8" max="8" width="10.140625" bestFit="1" customWidth="1"/>
    <col min="9" max="9" width="10.7109375" bestFit="1" customWidth="1"/>
    <col min="10" max="10" width="11" bestFit="1" customWidth="1"/>
    <col min="11" max="11" width="12.42578125" bestFit="1" customWidth="1"/>
    <col min="12" max="12" width="9.28515625" bestFit="1" customWidth="1"/>
    <col min="13" max="13" width="7.7109375" bestFit="1" customWidth="1"/>
    <col min="14" max="14" width="22.7109375" bestFit="1" customWidth="1"/>
  </cols>
  <sheetData>
    <row r="1" spans="1:14" x14ac:dyDescent="0.25">
      <c r="A1" t="s">
        <v>759</v>
      </c>
      <c r="B1" t="s">
        <v>760</v>
      </c>
      <c r="C1" t="s">
        <v>761</v>
      </c>
      <c r="D1" t="s">
        <v>762</v>
      </c>
      <c r="E1" t="s">
        <v>763</v>
      </c>
      <c r="F1" t="s">
        <v>764</v>
      </c>
      <c r="G1" t="s">
        <v>765</v>
      </c>
      <c r="H1" t="s">
        <v>25</v>
      </c>
      <c r="I1" t="s">
        <v>26</v>
      </c>
      <c r="J1" t="s">
        <v>27</v>
      </c>
      <c r="K1" t="s">
        <v>28</v>
      </c>
      <c r="L1" t="s">
        <v>30</v>
      </c>
      <c r="M1" t="s">
        <v>32</v>
      </c>
      <c r="N1" t="s">
        <v>933</v>
      </c>
    </row>
    <row r="2" spans="1:14" x14ac:dyDescent="0.25">
      <c r="A2" t="s">
        <v>836</v>
      </c>
      <c r="B2" t="s">
        <v>837</v>
      </c>
      <c r="C2" t="s">
        <v>5</v>
      </c>
      <c r="D2" t="s">
        <v>820</v>
      </c>
      <c r="E2" t="s">
        <v>20</v>
      </c>
      <c r="F2" t="s">
        <v>770</v>
      </c>
      <c r="G2" t="s">
        <v>8</v>
      </c>
      <c r="H2">
        <v>20</v>
      </c>
      <c r="I2">
        <v>10</v>
      </c>
      <c r="J2">
        <v>6</v>
      </c>
      <c r="K2">
        <v>14</v>
      </c>
      <c r="M2">
        <v>50</v>
      </c>
    </row>
    <row r="3" spans="1:14" x14ac:dyDescent="0.25">
      <c r="A3" t="s">
        <v>836</v>
      </c>
      <c r="B3" t="s">
        <v>838</v>
      </c>
      <c r="C3" t="s">
        <v>118</v>
      </c>
      <c r="D3" t="s">
        <v>820</v>
      </c>
      <c r="E3" t="s">
        <v>20</v>
      </c>
      <c r="F3" t="s">
        <v>770</v>
      </c>
      <c r="G3" t="s">
        <v>120</v>
      </c>
      <c r="H3">
        <v>16</v>
      </c>
      <c r="I3">
        <v>12</v>
      </c>
      <c r="J3">
        <v>9</v>
      </c>
      <c r="K3">
        <v>4</v>
      </c>
      <c r="M3">
        <v>41</v>
      </c>
    </row>
    <row r="4" spans="1:14" x14ac:dyDescent="0.25">
      <c r="A4" t="s">
        <v>836</v>
      </c>
      <c r="B4" t="s">
        <v>839</v>
      </c>
      <c r="C4" t="s">
        <v>176</v>
      </c>
      <c r="D4" t="s">
        <v>820</v>
      </c>
      <c r="E4" t="s">
        <v>20</v>
      </c>
      <c r="F4" t="s">
        <v>770</v>
      </c>
      <c r="G4" t="s">
        <v>178</v>
      </c>
      <c r="H4">
        <v>26</v>
      </c>
      <c r="J4">
        <v>9</v>
      </c>
      <c r="K4">
        <v>5</v>
      </c>
      <c r="M4">
        <v>40</v>
      </c>
    </row>
    <row r="5" spans="1:14" x14ac:dyDescent="0.25">
      <c r="A5" t="s">
        <v>836</v>
      </c>
      <c r="B5" t="s">
        <v>840</v>
      </c>
      <c r="C5" t="s">
        <v>234</v>
      </c>
      <c r="D5" t="s">
        <v>820</v>
      </c>
      <c r="E5" t="s">
        <v>20</v>
      </c>
      <c r="F5" t="s">
        <v>770</v>
      </c>
      <c r="G5" t="s">
        <v>236</v>
      </c>
      <c r="H5">
        <v>22</v>
      </c>
      <c r="J5">
        <v>8</v>
      </c>
      <c r="K5">
        <v>14</v>
      </c>
      <c r="M5">
        <v>44</v>
      </c>
    </row>
    <row r="6" spans="1:14" x14ac:dyDescent="0.25">
      <c r="A6" t="s">
        <v>836</v>
      </c>
      <c r="B6" t="s">
        <v>841</v>
      </c>
      <c r="C6" t="s">
        <v>284</v>
      </c>
      <c r="D6" t="s">
        <v>820</v>
      </c>
      <c r="E6" t="s">
        <v>20</v>
      </c>
      <c r="F6" t="s">
        <v>770</v>
      </c>
      <c r="G6" t="s">
        <v>286</v>
      </c>
      <c r="H6">
        <v>8</v>
      </c>
      <c r="I6">
        <v>10</v>
      </c>
      <c r="K6">
        <v>32</v>
      </c>
      <c r="M6">
        <v>50</v>
      </c>
    </row>
    <row r="7" spans="1:14" x14ac:dyDescent="0.25">
      <c r="A7" t="s">
        <v>836</v>
      </c>
      <c r="B7" t="s">
        <v>844</v>
      </c>
      <c r="C7" t="s">
        <v>448</v>
      </c>
      <c r="D7" t="s">
        <v>820</v>
      </c>
      <c r="E7" t="s">
        <v>20</v>
      </c>
      <c r="F7" t="s">
        <v>770</v>
      </c>
      <c r="G7" t="s">
        <v>450</v>
      </c>
      <c r="H7">
        <v>20</v>
      </c>
      <c r="K7">
        <v>20</v>
      </c>
      <c r="M7">
        <v>40</v>
      </c>
    </row>
    <row r="8" spans="1:14" x14ac:dyDescent="0.25">
      <c r="A8" t="s">
        <v>836</v>
      </c>
      <c r="B8" t="s">
        <v>842</v>
      </c>
      <c r="C8" t="s">
        <v>339</v>
      </c>
      <c r="D8" t="s">
        <v>820</v>
      </c>
      <c r="E8" t="s">
        <v>20</v>
      </c>
      <c r="F8" t="s">
        <v>770</v>
      </c>
      <c r="G8" t="s">
        <v>341</v>
      </c>
      <c r="H8">
        <v>14</v>
      </c>
      <c r="I8">
        <v>14</v>
      </c>
      <c r="J8">
        <v>3</v>
      </c>
      <c r="K8">
        <v>9</v>
      </c>
      <c r="L8">
        <v>0</v>
      </c>
      <c r="M8">
        <v>40</v>
      </c>
    </row>
    <row r="9" spans="1:14" x14ac:dyDescent="0.25">
      <c r="A9" t="s">
        <v>836</v>
      </c>
      <c r="B9" t="s">
        <v>843</v>
      </c>
      <c r="C9" t="s">
        <v>395</v>
      </c>
      <c r="D9" t="s">
        <v>820</v>
      </c>
      <c r="E9" t="s">
        <v>20</v>
      </c>
      <c r="F9" t="s">
        <v>770</v>
      </c>
      <c r="G9" t="s">
        <v>397</v>
      </c>
      <c r="H9">
        <v>26</v>
      </c>
      <c r="I9">
        <v>5</v>
      </c>
      <c r="J9">
        <v>9</v>
      </c>
      <c r="M9">
        <v>40</v>
      </c>
    </row>
    <row r="10" spans="1:14" x14ac:dyDescent="0.25">
      <c r="A10" t="s">
        <v>836</v>
      </c>
      <c r="B10" t="s">
        <v>845</v>
      </c>
      <c r="C10" t="s">
        <v>502</v>
      </c>
      <c r="D10" t="s">
        <v>820</v>
      </c>
      <c r="E10" t="s">
        <v>20</v>
      </c>
      <c r="F10" t="s">
        <v>770</v>
      </c>
      <c r="G10" t="s">
        <v>504</v>
      </c>
      <c r="H10">
        <v>18</v>
      </c>
      <c r="I10">
        <v>11</v>
      </c>
      <c r="J10">
        <v>9</v>
      </c>
      <c r="K10">
        <v>7</v>
      </c>
      <c r="L10">
        <v>0</v>
      </c>
      <c r="M10">
        <v>45</v>
      </c>
    </row>
    <row r="11" spans="1:14" x14ac:dyDescent="0.25">
      <c r="A11" t="s">
        <v>836</v>
      </c>
      <c r="B11" t="s">
        <v>846</v>
      </c>
      <c r="C11" t="s">
        <v>553</v>
      </c>
      <c r="D11" t="s">
        <v>820</v>
      </c>
      <c r="E11" t="s">
        <v>20</v>
      </c>
      <c r="F11" t="s">
        <v>770</v>
      </c>
      <c r="G11" t="s">
        <v>555</v>
      </c>
      <c r="H11">
        <v>22</v>
      </c>
      <c r="J11">
        <v>7</v>
      </c>
      <c r="K11">
        <v>11</v>
      </c>
      <c r="M11">
        <v>40</v>
      </c>
    </row>
    <row r="12" spans="1:14" x14ac:dyDescent="0.25">
      <c r="A12" t="s">
        <v>836</v>
      </c>
      <c r="B12" t="s">
        <v>847</v>
      </c>
      <c r="C12" t="s">
        <v>602</v>
      </c>
      <c r="D12" t="s">
        <v>820</v>
      </c>
      <c r="E12" t="s">
        <v>20</v>
      </c>
      <c r="F12" t="s">
        <v>770</v>
      </c>
      <c r="G12" t="s">
        <v>604</v>
      </c>
      <c r="H12">
        <v>22</v>
      </c>
      <c r="I12">
        <v>5</v>
      </c>
      <c r="K12">
        <v>22</v>
      </c>
      <c r="M12">
        <v>49</v>
      </c>
    </row>
    <row r="13" spans="1:14" x14ac:dyDescent="0.25">
      <c r="A13" t="s">
        <v>836</v>
      </c>
      <c r="B13" t="s">
        <v>848</v>
      </c>
      <c r="C13" t="s">
        <v>654</v>
      </c>
      <c r="D13" t="s">
        <v>820</v>
      </c>
      <c r="E13" t="s">
        <v>20</v>
      </c>
      <c r="F13" t="s">
        <v>770</v>
      </c>
      <c r="G13" t="s">
        <v>849</v>
      </c>
      <c r="H13">
        <v>30</v>
      </c>
      <c r="K13">
        <v>30</v>
      </c>
      <c r="M13">
        <v>60</v>
      </c>
    </row>
    <row r="14" spans="1:14" x14ac:dyDescent="0.25">
      <c r="A14" t="s">
        <v>766</v>
      </c>
      <c r="B14" t="s">
        <v>819</v>
      </c>
      <c r="C14" t="s">
        <v>768</v>
      </c>
      <c r="D14" t="s">
        <v>820</v>
      </c>
      <c r="E14" t="s">
        <v>20</v>
      </c>
      <c r="F14" t="s">
        <v>770</v>
      </c>
      <c r="G14" t="s">
        <v>771</v>
      </c>
      <c r="H14">
        <v>34</v>
      </c>
      <c r="I14">
        <v>6</v>
      </c>
      <c r="K14">
        <v>4</v>
      </c>
      <c r="M14">
        <v>44</v>
      </c>
    </row>
    <row r="15" spans="1:14" x14ac:dyDescent="0.25">
      <c r="A15" t="s">
        <v>766</v>
      </c>
      <c r="B15" t="s">
        <v>821</v>
      </c>
      <c r="C15" t="s">
        <v>774</v>
      </c>
      <c r="D15" t="s">
        <v>820</v>
      </c>
      <c r="E15" t="s">
        <v>20</v>
      </c>
      <c r="F15" t="s">
        <v>770</v>
      </c>
      <c r="G15" t="s">
        <v>775</v>
      </c>
      <c r="H15">
        <v>33</v>
      </c>
      <c r="I15">
        <v>1</v>
      </c>
      <c r="J15">
        <v>6</v>
      </c>
      <c r="K15">
        <v>1</v>
      </c>
      <c r="L15">
        <v>3</v>
      </c>
      <c r="M15">
        <v>44</v>
      </c>
    </row>
    <row r="16" spans="1:14" x14ac:dyDescent="0.25">
      <c r="A16" t="s">
        <v>766</v>
      </c>
      <c r="B16" t="s">
        <v>822</v>
      </c>
      <c r="C16" t="s">
        <v>777</v>
      </c>
      <c r="D16" t="s">
        <v>820</v>
      </c>
      <c r="E16" t="s">
        <v>20</v>
      </c>
      <c r="F16" t="s">
        <v>770</v>
      </c>
      <c r="G16" t="s">
        <v>778</v>
      </c>
      <c r="H16">
        <v>34</v>
      </c>
      <c r="I16">
        <v>12</v>
      </c>
      <c r="K16">
        <v>2</v>
      </c>
      <c r="M16">
        <v>48</v>
      </c>
    </row>
    <row r="17" spans="1:14" x14ac:dyDescent="0.25">
      <c r="A17" t="s">
        <v>766</v>
      </c>
      <c r="B17" t="s">
        <v>823</v>
      </c>
      <c r="C17" t="s">
        <v>781</v>
      </c>
      <c r="D17" t="s">
        <v>820</v>
      </c>
      <c r="E17" t="s">
        <v>20</v>
      </c>
      <c r="F17" t="s">
        <v>770</v>
      </c>
      <c r="G17" t="s">
        <v>782</v>
      </c>
      <c r="H17">
        <v>16</v>
      </c>
      <c r="I17">
        <v>5</v>
      </c>
      <c r="J17">
        <v>6</v>
      </c>
      <c r="K17">
        <v>7</v>
      </c>
      <c r="M17">
        <v>40</v>
      </c>
      <c r="N17">
        <v>6</v>
      </c>
    </row>
    <row r="18" spans="1:14" x14ac:dyDescent="0.25">
      <c r="A18" t="s">
        <v>766</v>
      </c>
      <c r="B18" t="s">
        <v>824</v>
      </c>
      <c r="C18" t="s">
        <v>785</v>
      </c>
      <c r="D18" t="s">
        <v>820</v>
      </c>
      <c r="E18" t="s">
        <v>20</v>
      </c>
      <c r="F18" t="s">
        <v>770</v>
      </c>
      <c r="G18" t="s">
        <v>786</v>
      </c>
      <c r="H18">
        <v>12</v>
      </c>
      <c r="I18">
        <v>10</v>
      </c>
      <c r="M18">
        <v>22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D04D-C04C-4F8F-A5DA-54E51F19428B}">
  <sheetPr codeName="Sheet18"/>
  <dimension ref="A1:E65"/>
  <sheetViews>
    <sheetView workbookViewId="0">
      <selection activeCell="K10" sqref="K10"/>
    </sheetView>
  </sheetViews>
  <sheetFormatPr defaultRowHeight="15" x14ac:dyDescent="0.25"/>
  <cols>
    <col min="1" max="1" width="42.42578125" bestFit="1" customWidth="1"/>
    <col min="2" max="2" width="38" bestFit="1" customWidth="1"/>
    <col min="3" max="3" width="81.140625" bestFit="1" customWidth="1"/>
    <col min="4" max="4" width="16.140625" bestFit="1" customWidth="1"/>
    <col min="5" max="5" width="11" bestFit="1" customWidth="1"/>
  </cols>
  <sheetData>
    <row r="1" spans="1:5" x14ac:dyDescent="0.25">
      <c r="A1" t="s">
        <v>686</v>
      </c>
      <c r="B1" t="s">
        <v>687</v>
      </c>
      <c r="C1" t="s">
        <v>831</v>
      </c>
      <c r="D1" t="s">
        <v>832</v>
      </c>
      <c r="E1" t="s">
        <v>833</v>
      </c>
    </row>
    <row r="2" spans="1:5" x14ac:dyDescent="0.25">
      <c r="A2" t="s">
        <v>138</v>
      </c>
      <c r="B2" t="s">
        <v>518</v>
      </c>
      <c r="C2" t="s">
        <v>925</v>
      </c>
      <c r="D2">
        <v>4</v>
      </c>
      <c r="E2" t="b">
        <v>1</v>
      </c>
    </row>
    <row r="3" spans="1:5" x14ac:dyDescent="0.25">
      <c r="A3" t="s">
        <v>138</v>
      </c>
      <c r="B3" t="s">
        <v>139</v>
      </c>
      <c r="C3" t="s">
        <v>996</v>
      </c>
      <c r="D3">
        <v>5</v>
      </c>
      <c r="E3" t="b">
        <v>1</v>
      </c>
    </row>
    <row r="4" spans="1:5" x14ac:dyDescent="0.25">
      <c r="A4" t="s">
        <v>138</v>
      </c>
      <c r="B4" t="s">
        <v>196</v>
      </c>
      <c r="C4" t="s">
        <v>997</v>
      </c>
      <c r="D4">
        <v>14</v>
      </c>
      <c r="E4" t="b">
        <v>1</v>
      </c>
    </row>
    <row r="5" spans="1:5" x14ac:dyDescent="0.25">
      <c r="A5" t="s">
        <v>252</v>
      </c>
      <c r="B5" t="s">
        <v>657</v>
      </c>
      <c r="C5" t="s">
        <v>998</v>
      </c>
      <c r="D5">
        <v>3</v>
      </c>
      <c r="E5" t="b">
        <v>1</v>
      </c>
    </row>
    <row r="6" spans="1:5" x14ac:dyDescent="0.25">
      <c r="A6" t="s">
        <v>138</v>
      </c>
      <c r="B6" t="s">
        <v>198</v>
      </c>
      <c r="C6" t="s">
        <v>926</v>
      </c>
      <c r="D6">
        <v>6</v>
      </c>
      <c r="E6" t="b">
        <v>1</v>
      </c>
    </row>
    <row r="7" spans="1:5" x14ac:dyDescent="0.25">
      <c r="A7" t="s">
        <v>71</v>
      </c>
      <c r="B7" t="s">
        <v>358</v>
      </c>
      <c r="C7" t="s">
        <v>999</v>
      </c>
      <c r="D7">
        <v>4</v>
      </c>
      <c r="E7" t="b">
        <v>1</v>
      </c>
    </row>
    <row r="8" spans="1:5" x14ac:dyDescent="0.25">
      <c r="A8" t="s">
        <v>138</v>
      </c>
      <c r="B8" t="s">
        <v>699</v>
      </c>
      <c r="C8" t="s">
        <v>120</v>
      </c>
      <c r="D8">
        <v>1</v>
      </c>
      <c r="E8" t="b">
        <v>1</v>
      </c>
    </row>
    <row r="9" spans="1:5" x14ac:dyDescent="0.25">
      <c r="A9" t="s">
        <v>464</v>
      </c>
      <c r="B9" t="s">
        <v>729</v>
      </c>
      <c r="C9" t="s">
        <v>1000</v>
      </c>
      <c r="D9">
        <v>7</v>
      </c>
      <c r="E9" t="b">
        <v>1</v>
      </c>
    </row>
    <row r="10" spans="1:5" x14ac:dyDescent="0.25">
      <c r="A10" t="s">
        <v>138</v>
      </c>
      <c r="B10" t="s">
        <v>702</v>
      </c>
      <c r="C10" t="s">
        <v>1001</v>
      </c>
      <c r="D10">
        <v>3</v>
      </c>
      <c r="E10" t="b">
        <v>1</v>
      </c>
    </row>
    <row r="11" spans="1:5" x14ac:dyDescent="0.25">
      <c r="A11" t="s">
        <v>69</v>
      </c>
      <c r="B11" t="s">
        <v>70</v>
      </c>
      <c r="C11" t="s">
        <v>1002</v>
      </c>
      <c r="D11">
        <v>6</v>
      </c>
      <c r="E11" t="b">
        <v>1</v>
      </c>
    </row>
    <row r="12" spans="1:5" x14ac:dyDescent="0.25">
      <c r="A12" t="s">
        <v>252</v>
      </c>
      <c r="B12" t="s">
        <v>706</v>
      </c>
      <c r="C12" t="s">
        <v>1003</v>
      </c>
      <c r="D12">
        <v>3</v>
      </c>
      <c r="E12" t="b">
        <v>1</v>
      </c>
    </row>
    <row r="13" spans="1:5" x14ac:dyDescent="0.25">
      <c r="A13" t="s">
        <v>252</v>
      </c>
      <c r="B13" t="s">
        <v>709</v>
      </c>
      <c r="C13" t="s">
        <v>1004</v>
      </c>
      <c r="D13">
        <v>4</v>
      </c>
      <c r="E13" t="b">
        <v>1</v>
      </c>
    </row>
    <row r="14" spans="1:5" x14ac:dyDescent="0.25">
      <c r="A14" t="s">
        <v>252</v>
      </c>
      <c r="B14" t="s">
        <v>674</v>
      </c>
      <c r="C14" t="s">
        <v>1005</v>
      </c>
      <c r="D14">
        <v>5</v>
      </c>
      <c r="E14" t="b">
        <v>1</v>
      </c>
    </row>
    <row r="15" spans="1:5" x14ac:dyDescent="0.25">
      <c r="A15" t="s">
        <v>73</v>
      </c>
      <c r="B15" t="s">
        <v>303</v>
      </c>
      <c r="C15" t="s">
        <v>927</v>
      </c>
      <c r="D15">
        <v>2</v>
      </c>
      <c r="E15" t="b">
        <v>1</v>
      </c>
    </row>
    <row r="16" spans="1:5" x14ac:dyDescent="0.25">
      <c r="A16" t="s">
        <v>252</v>
      </c>
      <c r="B16" t="s">
        <v>253</v>
      </c>
      <c r="C16" t="s">
        <v>1006</v>
      </c>
      <c r="D16">
        <v>2</v>
      </c>
      <c r="E16" t="b">
        <v>1</v>
      </c>
    </row>
    <row r="17" spans="1:5" x14ac:dyDescent="0.25">
      <c r="A17" t="s">
        <v>71</v>
      </c>
      <c r="B17" t="s">
        <v>413</v>
      </c>
      <c r="C17" t="s">
        <v>1007</v>
      </c>
      <c r="D17">
        <v>4</v>
      </c>
      <c r="E17" t="b">
        <v>1</v>
      </c>
    </row>
    <row r="18" spans="1:5" x14ac:dyDescent="0.25">
      <c r="A18" t="s">
        <v>71</v>
      </c>
      <c r="B18" t="s">
        <v>197</v>
      </c>
      <c r="C18" t="s">
        <v>1008</v>
      </c>
      <c r="D18">
        <v>2</v>
      </c>
      <c r="E18" t="b">
        <v>1</v>
      </c>
    </row>
    <row r="19" spans="1:5" x14ac:dyDescent="0.25">
      <c r="A19" t="s">
        <v>252</v>
      </c>
      <c r="B19" t="s">
        <v>718</v>
      </c>
      <c r="C19" t="s">
        <v>1009</v>
      </c>
      <c r="D19">
        <v>2</v>
      </c>
      <c r="E19" t="b">
        <v>1</v>
      </c>
    </row>
    <row r="20" spans="1:5" x14ac:dyDescent="0.25">
      <c r="A20" t="s">
        <v>73</v>
      </c>
      <c r="B20" t="s">
        <v>140</v>
      </c>
      <c r="C20" t="s">
        <v>1010</v>
      </c>
      <c r="D20">
        <v>8</v>
      </c>
      <c r="E20" t="b">
        <v>1</v>
      </c>
    </row>
    <row r="21" spans="1:5" x14ac:dyDescent="0.25">
      <c r="A21" t="s">
        <v>464</v>
      </c>
      <c r="B21" t="s">
        <v>728</v>
      </c>
      <c r="C21" t="s">
        <v>1011</v>
      </c>
      <c r="D21">
        <v>2</v>
      </c>
      <c r="E21" t="b">
        <v>1</v>
      </c>
    </row>
    <row r="22" spans="1:5" x14ac:dyDescent="0.25">
      <c r="A22" t="s">
        <v>71</v>
      </c>
      <c r="B22" t="s">
        <v>72</v>
      </c>
      <c r="C22" t="s">
        <v>928</v>
      </c>
      <c r="D22">
        <v>5</v>
      </c>
      <c r="E22" t="b">
        <v>1</v>
      </c>
    </row>
    <row r="23" spans="1:5" x14ac:dyDescent="0.25">
      <c r="A23" t="s">
        <v>73</v>
      </c>
      <c r="B23" t="s">
        <v>412</v>
      </c>
      <c r="C23" t="s">
        <v>929</v>
      </c>
      <c r="D23">
        <v>5</v>
      </c>
      <c r="E23" t="b">
        <v>1</v>
      </c>
    </row>
    <row r="24" spans="1:5" x14ac:dyDescent="0.25">
      <c r="A24" t="s">
        <v>71</v>
      </c>
      <c r="B24" t="s">
        <v>724</v>
      </c>
      <c r="C24" t="s">
        <v>930</v>
      </c>
      <c r="D24">
        <v>2</v>
      </c>
      <c r="E24" t="b">
        <v>1</v>
      </c>
    </row>
    <row r="25" spans="1:5" x14ac:dyDescent="0.25">
      <c r="A25" t="s">
        <v>73</v>
      </c>
      <c r="B25" t="s">
        <v>466</v>
      </c>
      <c r="C25" t="s">
        <v>1012</v>
      </c>
      <c r="D25">
        <v>3</v>
      </c>
      <c r="E25" t="b">
        <v>1</v>
      </c>
    </row>
    <row r="26" spans="1:5" x14ac:dyDescent="0.25">
      <c r="A26" t="s">
        <v>71</v>
      </c>
      <c r="B26" t="s">
        <v>727</v>
      </c>
      <c r="C26" t="s">
        <v>1013</v>
      </c>
      <c r="D26">
        <v>3</v>
      </c>
      <c r="E26" t="b">
        <v>1</v>
      </c>
    </row>
    <row r="27" spans="1:5" x14ac:dyDescent="0.25">
      <c r="A27" t="s">
        <v>679</v>
      </c>
      <c r="B27" t="s">
        <v>740</v>
      </c>
      <c r="C27" t="s">
        <v>1014</v>
      </c>
      <c r="D27">
        <v>3</v>
      </c>
      <c r="E27" t="b">
        <v>1</v>
      </c>
    </row>
    <row r="28" spans="1:5" x14ac:dyDescent="0.25">
      <c r="A28" t="s">
        <v>464</v>
      </c>
      <c r="B28" t="s">
        <v>516</v>
      </c>
      <c r="C28" t="s">
        <v>1015</v>
      </c>
      <c r="D28">
        <v>3</v>
      </c>
      <c r="E28" t="b">
        <v>1</v>
      </c>
    </row>
    <row r="29" spans="1:5" x14ac:dyDescent="0.25">
      <c r="A29" t="s">
        <v>464</v>
      </c>
      <c r="B29" t="s">
        <v>517</v>
      </c>
      <c r="C29" t="s">
        <v>1016</v>
      </c>
      <c r="D29">
        <v>5</v>
      </c>
      <c r="E29" t="b">
        <v>1</v>
      </c>
    </row>
    <row r="30" spans="1:5" x14ac:dyDescent="0.25">
      <c r="A30" t="s">
        <v>464</v>
      </c>
      <c r="B30" t="s">
        <v>465</v>
      </c>
      <c r="C30" t="s">
        <v>1017</v>
      </c>
      <c r="D30">
        <v>2</v>
      </c>
      <c r="E30" t="b">
        <v>1</v>
      </c>
    </row>
    <row r="31" spans="1:5" x14ac:dyDescent="0.25">
      <c r="A31" t="s">
        <v>464</v>
      </c>
      <c r="B31" t="s">
        <v>570</v>
      </c>
      <c r="C31" t="s">
        <v>1018</v>
      </c>
      <c r="D31">
        <v>3</v>
      </c>
      <c r="E31" t="b">
        <v>1</v>
      </c>
    </row>
    <row r="32" spans="1:5" x14ac:dyDescent="0.25">
      <c r="A32" t="s">
        <v>73</v>
      </c>
      <c r="B32" t="s">
        <v>74</v>
      </c>
      <c r="C32" t="s">
        <v>932</v>
      </c>
      <c r="D32">
        <v>2</v>
      </c>
      <c r="E32" t="b">
        <v>1</v>
      </c>
    </row>
    <row r="33" spans="1:5" x14ac:dyDescent="0.25">
      <c r="A33" t="s">
        <v>69</v>
      </c>
      <c r="B33" t="s">
        <v>75</v>
      </c>
      <c r="C33" t="s">
        <v>1019</v>
      </c>
      <c r="D33">
        <v>4</v>
      </c>
      <c r="E33" t="b">
        <v>1</v>
      </c>
    </row>
    <row r="34" spans="1:5" x14ac:dyDescent="0.25">
      <c r="A34" t="s">
        <v>682</v>
      </c>
      <c r="B34" t="s">
        <v>753</v>
      </c>
      <c r="C34" t="s">
        <v>1020</v>
      </c>
      <c r="D34">
        <v>3</v>
      </c>
      <c r="E34" t="b">
        <v>1</v>
      </c>
    </row>
    <row r="35" spans="1:5" x14ac:dyDescent="0.25">
      <c r="A35" t="s">
        <v>69</v>
      </c>
      <c r="B35" t="s">
        <v>730</v>
      </c>
      <c r="C35" t="s">
        <v>1021</v>
      </c>
      <c r="D35">
        <v>2</v>
      </c>
      <c r="E35" t="b">
        <v>1</v>
      </c>
    </row>
    <row r="36" spans="1:5" x14ac:dyDescent="0.25">
      <c r="A36" t="s">
        <v>69</v>
      </c>
      <c r="B36" t="s">
        <v>731</v>
      </c>
      <c r="C36" t="s">
        <v>8</v>
      </c>
      <c r="D36">
        <v>1</v>
      </c>
      <c r="E36" t="b">
        <v>1</v>
      </c>
    </row>
    <row r="37" spans="1:5" x14ac:dyDescent="0.25">
      <c r="A37" t="s">
        <v>682</v>
      </c>
      <c r="B37" t="s">
        <v>755</v>
      </c>
      <c r="C37" t="s">
        <v>1022</v>
      </c>
      <c r="D37">
        <v>2</v>
      </c>
      <c r="E37" t="b">
        <v>1</v>
      </c>
    </row>
    <row r="38" spans="1:5" x14ac:dyDescent="0.25">
      <c r="A38" t="s">
        <v>69</v>
      </c>
      <c r="B38" t="s">
        <v>732</v>
      </c>
      <c r="C38" t="s">
        <v>1023</v>
      </c>
      <c r="D38">
        <v>2</v>
      </c>
      <c r="E38" t="b">
        <v>1</v>
      </c>
    </row>
    <row r="39" spans="1:5" x14ac:dyDescent="0.25">
      <c r="A39" t="s">
        <v>682</v>
      </c>
      <c r="B39" t="s">
        <v>754</v>
      </c>
      <c r="C39" t="s">
        <v>1024</v>
      </c>
      <c r="D39">
        <v>3</v>
      </c>
      <c r="E39" t="b">
        <v>1</v>
      </c>
    </row>
    <row r="40" spans="1:5" x14ac:dyDescent="0.25">
      <c r="A40" t="s">
        <v>69</v>
      </c>
      <c r="B40" t="s">
        <v>302</v>
      </c>
      <c r="C40" t="s">
        <v>930</v>
      </c>
      <c r="D40">
        <v>2</v>
      </c>
      <c r="E40" t="b">
        <v>1</v>
      </c>
    </row>
    <row r="41" spans="1:5" x14ac:dyDescent="0.25">
      <c r="A41" t="s">
        <v>69</v>
      </c>
      <c r="B41" t="s">
        <v>733</v>
      </c>
      <c r="C41" t="s">
        <v>1025</v>
      </c>
      <c r="D41">
        <v>3</v>
      </c>
      <c r="E41" t="b">
        <v>1</v>
      </c>
    </row>
    <row r="42" spans="1:5" x14ac:dyDescent="0.25">
      <c r="A42" t="s">
        <v>680</v>
      </c>
      <c r="B42" t="s">
        <v>750</v>
      </c>
      <c r="C42" t="s">
        <v>1026</v>
      </c>
      <c r="D42">
        <v>2</v>
      </c>
      <c r="E42" t="b">
        <v>1</v>
      </c>
    </row>
    <row r="43" spans="1:5" x14ac:dyDescent="0.25">
      <c r="A43" t="s">
        <v>679</v>
      </c>
      <c r="B43" t="s">
        <v>744</v>
      </c>
      <c r="C43" t="s">
        <v>1027</v>
      </c>
      <c r="D43">
        <v>3</v>
      </c>
      <c r="E43" t="b">
        <v>1</v>
      </c>
    </row>
    <row r="44" spans="1:5" x14ac:dyDescent="0.25">
      <c r="A44" t="s">
        <v>254</v>
      </c>
      <c r="B44" t="s">
        <v>467</v>
      </c>
      <c r="C44" t="s">
        <v>1028</v>
      </c>
      <c r="D44">
        <v>3</v>
      </c>
      <c r="E44" t="b">
        <v>1</v>
      </c>
    </row>
    <row r="45" spans="1:5" x14ac:dyDescent="0.25">
      <c r="A45" t="s">
        <v>73</v>
      </c>
      <c r="B45" t="s">
        <v>619</v>
      </c>
      <c r="C45" t="s">
        <v>931</v>
      </c>
      <c r="D45">
        <v>2</v>
      </c>
      <c r="E45" t="b">
        <v>1</v>
      </c>
    </row>
    <row r="46" spans="1:5" x14ac:dyDescent="0.25">
      <c r="A46" t="s">
        <v>254</v>
      </c>
      <c r="B46" t="s">
        <v>255</v>
      </c>
      <c r="C46" t="s">
        <v>1029</v>
      </c>
      <c r="D46">
        <v>3</v>
      </c>
      <c r="E46" t="b">
        <v>1</v>
      </c>
    </row>
    <row r="47" spans="1:5" x14ac:dyDescent="0.25">
      <c r="A47" t="s">
        <v>254</v>
      </c>
      <c r="B47" t="s">
        <v>357</v>
      </c>
      <c r="C47" t="s">
        <v>341</v>
      </c>
      <c r="D47">
        <v>1</v>
      </c>
      <c r="E47" t="b">
        <v>1</v>
      </c>
    </row>
    <row r="48" spans="1:5" x14ac:dyDescent="0.25">
      <c r="A48" t="s">
        <v>679</v>
      </c>
      <c r="B48" t="s">
        <v>738</v>
      </c>
      <c r="C48" t="s">
        <v>1030</v>
      </c>
      <c r="D48">
        <v>2</v>
      </c>
      <c r="E48" t="b">
        <v>1</v>
      </c>
    </row>
    <row r="49" spans="1:5" x14ac:dyDescent="0.25">
      <c r="A49" t="s">
        <v>254</v>
      </c>
      <c r="B49" t="s">
        <v>734</v>
      </c>
      <c r="C49" t="s">
        <v>341</v>
      </c>
      <c r="D49">
        <v>1</v>
      </c>
      <c r="E49" t="b">
        <v>1</v>
      </c>
    </row>
    <row r="50" spans="1:5" x14ac:dyDescent="0.25">
      <c r="A50" t="s">
        <v>682</v>
      </c>
      <c r="B50" t="s">
        <v>751</v>
      </c>
      <c r="C50" t="s">
        <v>1031</v>
      </c>
      <c r="D50">
        <v>3</v>
      </c>
      <c r="E50" t="b">
        <v>1</v>
      </c>
    </row>
    <row r="51" spans="1:5" x14ac:dyDescent="0.25">
      <c r="A51" t="s">
        <v>254</v>
      </c>
      <c r="B51" t="s">
        <v>735</v>
      </c>
      <c r="C51" t="s">
        <v>341</v>
      </c>
      <c r="D51">
        <v>1</v>
      </c>
      <c r="E51" t="b">
        <v>1</v>
      </c>
    </row>
    <row r="52" spans="1:5" x14ac:dyDescent="0.25">
      <c r="A52" t="s">
        <v>254</v>
      </c>
      <c r="B52" t="s">
        <v>736</v>
      </c>
      <c r="C52" t="s">
        <v>1021</v>
      </c>
      <c r="D52">
        <v>2</v>
      </c>
      <c r="E52" t="b">
        <v>1</v>
      </c>
    </row>
    <row r="53" spans="1:5" x14ac:dyDescent="0.25">
      <c r="A53" t="s">
        <v>680</v>
      </c>
      <c r="B53" t="s">
        <v>747</v>
      </c>
      <c r="C53" t="s">
        <v>1032</v>
      </c>
      <c r="D53">
        <v>3</v>
      </c>
      <c r="E53" t="b">
        <v>1</v>
      </c>
    </row>
    <row r="54" spans="1:5" x14ac:dyDescent="0.25">
      <c r="A54" t="s">
        <v>679</v>
      </c>
      <c r="B54" t="s">
        <v>737</v>
      </c>
      <c r="C54" t="s">
        <v>604</v>
      </c>
      <c r="D54">
        <v>1</v>
      </c>
      <c r="E54" t="b">
        <v>1</v>
      </c>
    </row>
    <row r="55" spans="1:5" x14ac:dyDescent="0.25">
      <c r="A55" t="s">
        <v>679</v>
      </c>
      <c r="B55" t="s">
        <v>743</v>
      </c>
      <c r="C55" t="s">
        <v>930</v>
      </c>
      <c r="D55">
        <v>2</v>
      </c>
      <c r="E55" t="b">
        <v>1</v>
      </c>
    </row>
    <row r="56" spans="1:5" x14ac:dyDescent="0.25">
      <c r="A56" t="s">
        <v>679</v>
      </c>
      <c r="B56" t="s">
        <v>739</v>
      </c>
      <c r="C56" t="s">
        <v>1033</v>
      </c>
      <c r="D56">
        <v>3</v>
      </c>
      <c r="E56" t="b">
        <v>1</v>
      </c>
    </row>
    <row r="57" spans="1:5" x14ac:dyDescent="0.25">
      <c r="A57" t="s">
        <v>679</v>
      </c>
      <c r="B57" t="s">
        <v>741</v>
      </c>
      <c r="C57" t="s">
        <v>604</v>
      </c>
      <c r="D57">
        <v>1</v>
      </c>
      <c r="E57" t="b">
        <v>1</v>
      </c>
    </row>
    <row r="58" spans="1:5" x14ac:dyDescent="0.25">
      <c r="A58" t="s">
        <v>679</v>
      </c>
      <c r="B58" t="s">
        <v>742</v>
      </c>
      <c r="C58" t="s">
        <v>604</v>
      </c>
      <c r="D58">
        <v>1</v>
      </c>
      <c r="E58" t="b">
        <v>1</v>
      </c>
    </row>
    <row r="59" spans="1:5" x14ac:dyDescent="0.25">
      <c r="A59" t="s">
        <v>680</v>
      </c>
      <c r="B59" t="s">
        <v>748</v>
      </c>
      <c r="C59" t="s">
        <v>1033</v>
      </c>
      <c r="D59">
        <v>3</v>
      </c>
      <c r="E59" t="b">
        <v>1</v>
      </c>
    </row>
    <row r="60" spans="1:5" x14ac:dyDescent="0.25">
      <c r="A60" t="s">
        <v>679</v>
      </c>
      <c r="B60" t="s">
        <v>745</v>
      </c>
      <c r="C60" t="s">
        <v>341</v>
      </c>
      <c r="D60">
        <v>1</v>
      </c>
      <c r="E60" t="b">
        <v>1</v>
      </c>
    </row>
    <row r="61" spans="1:5" x14ac:dyDescent="0.25">
      <c r="A61" t="s">
        <v>680</v>
      </c>
      <c r="B61" t="s">
        <v>749</v>
      </c>
      <c r="C61" t="s">
        <v>931</v>
      </c>
      <c r="D61">
        <v>2</v>
      </c>
      <c r="E61" t="b">
        <v>1</v>
      </c>
    </row>
    <row r="62" spans="1:5" x14ac:dyDescent="0.25">
      <c r="A62" t="s">
        <v>682</v>
      </c>
      <c r="B62" t="s">
        <v>757</v>
      </c>
      <c r="C62" t="s">
        <v>450</v>
      </c>
      <c r="D62">
        <v>1</v>
      </c>
      <c r="E62" t="b">
        <v>1</v>
      </c>
    </row>
    <row r="63" spans="1:5" x14ac:dyDescent="0.25">
      <c r="A63" t="s">
        <v>682</v>
      </c>
      <c r="B63" t="s">
        <v>756</v>
      </c>
      <c r="C63" t="s">
        <v>555</v>
      </c>
      <c r="D63">
        <v>1</v>
      </c>
      <c r="E63" t="b">
        <v>1</v>
      </c>
    </row>
    <row r="64" spans="1:5" x14ac:dyDescent="0.25">
      <c r="A64" t="s">
        <v>682</v>
      </c>
      <c r="B64" t="s">
        <v>752</v>
      </c>
      <c r="C64" t="s">
        <v>1021</v>
      </c>
      <c r="D64">
        <v>2</v>
      </c>
      <c r="E64" t="b">
        <v>1</v>
      </c>
    </row>
    <row r="65" spans="1:5" x14ac:dyDescent="0.25">
      <c r="A65" t="s">
        <v>680</v>
      </c>
      <c r="B65" t="s">
        <v>746</v>
      </c>
      <c r="C65" t="s">
        <v>1021</v>
      </c>
      <c r="D65">
        <v>2</v>
      </c>
      <c r="E65" t="b">
        <v>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3076-DD2F-41B4-AA71-B2B790542949}">
  <sheetPr codeName="Sheet19"/>
  <dimension ref="A1:K209"/>
  <sheetViews>
    <sheetView topLeftCell="A151" workbookViewId="0">
      <selection activeCell="E200" sqref="E200"/>
    </sheetView>
  </sheetViews>
  <sheetFormatPr defaultRowHeight="15" x14ac:dyDescent="0.25"/>
  <cols>
    <col min="1" max="1" width="49" bestFit="1" customWidth="1"/>
    <col min="2" max="2" width="17.85546875" bestFit="1" customWidth="1"/>
    <col min="3" max="3" width="17.42578125" bestFit="1" customWidth="1"/>
    <col min="4" max="4" width="13.42578125" bestFit="1" customWidth="1"/>
    <col min="5" max="5" width="42.42578125" bestFit="1" customWidth="1"/>
    <col min="6" max="6" width="38" bestFit="1" customWidth="1"/>
    <col min="7" max="7" width="14.85546875" bestFit="1" customWidth="1"/>
    <col min="8" max="8" width="12.7109375" bestFit="1" customWidth="1"/>
    <col min="9" max="9" width="14" bestFit="1" customWidth="1"/>
    <col min="10" max="10" width="12.140625" bestFit="1" customWidth="1"/>
    <col min="11" max="11" width="46.85546875" bestFit="1" customWidth="1"/>
  </cols>
  <sheetData>
    <row r="1" spans="1:11" x14ac:dyDescent="0.25">
      <c r="A1" t="s">
        <v>759</v>
      </c>
      <c r="B1" t="s">
        <v>760</v>
      </c>
      <c r="C1" t="s">
        <v>51</v>
      </c>
      <c r="D1" t="s">
        <v>39</v>
      </c>
      <c r="E1" t="s">
        <v>67</v>
      </c>
      <c r="F1" t="s">
        <v>68</v>
      </c>
      <c r="G1" t="s">
        <v>761</v>
      </c>
      <c r="H1" t="s">
        <v>762</v>
      </c>
      <c r="I1" t="s">
        <v>763</v>
      </c>
      <c r="J1" t="s">
        <v>764</v>
      </c>
      <c r="K1" t="s">
        <v>765</v>
      </c>
    </row>
    <row r="2" spans="1:11" x14ac:dyDescent="0.25">
      <c r="A2" s="50" t="s">
        <v>766</v>
      </c>
      <c r="B2" t="s">
        <v>825</v>
      </c>
      <c r="C2" t="s">
        <v>57</v>
      </c>
      <c r="D2" t="s">
        <v>42</v>
      </c>
      <c r="E2" t="s">
        <v>138</v>
      </c>
      <c r="F2" t="s">
        <v>139</v>
      </c>
      <c r="G2" t="s">
        <v>768</v>
      </c>
      <c r="H2" t="s">
        <v>826</v>
      </c>
      <c r="I2" t="s">
        <v>20</v>
      </c>
      <c r="J2" t="s">
        <v>770</v>
      </c>
      <c r="K2" s="50" t="s">
        <v>771</v>
      </c>
    </row>
    <row r="3" spans="1:11" x14ac:dyDescent="0.25">
      <c r="A3" s="50" t="s">
        <v>766</v>
      </c>
      <c r="B3" t="s">
        <v>825</v>
      </c>
      <c r="C3" t="s">
        <v>57</v>
      </c>
      <c r="D3" t="s">
        <v>42</v>
      </c>
      <c r="E3" t="s">
        <v>138</v>
      </c>
      <c r="F3" t="s">
        <v>196</v>
      </c>
      <c r="G3" t="s">
        <v>768</v>
      </c>
      <c r="H3" t="s">
        <v>826</v>
      </c>
      <c r="I3" t="s">
        <v>20</v>
      </c>
      <c r="J3" t="s">
        <v>770</v>
      </c>
      <c r="K3" s="50" t="s">
        <v>771</v>
      </c>
    </row>
    <row r="4" spans="1:11" x14ac:dyDescent="0.25">
      <c r="A4" s="50" t="s">
        <v>766</v>
      </c>
      <c r="B4" t="s">
        <v>825</v>
      </c>
      <c r="C4" t="s">
        <v>57</v>
      </c>
      <c r="D4" t="s">
        <v>44</v>
      </c>
      <c r="E4" t="s">
        <v>252</v>
      </c>
      <c r="F4" t="s">
        <v>657</v>
      </c>
      <c r="G4" t="s">
        <v>768</v>
      </c>
      <c r="H4" t="s">
        <v>826</v>
      </c>
      <c r="I4" t="s">
        <v>20</v>
      </c>
      <c r="J4" t="s">
        <v>770</v>
      </c>
      <c r="K4" s="50" t="s">
        <v>771</v>
      </c>
    </row>
    <row r="5" spans="1:11" x14ac:dyDescent="0.25">
      <c r="A5" s="50" t="s">
        <v>766</v>
      </c>
      <c r="B5" t="s">
        <v>825</v>
      </c>
      <c r="C5" t="s">
        <v>57</v>
      </c>
      <c r="D5" t="s">
        <v>44</v>
      </c>
      <c r="E5" t="s">
        <v>71</v>
      </c>
      <c r="F5" t="s">
        <v>358</v>
      </c>
      <c r="G5" t="s">
        <v>768</v>
      </c>
      <c r="H5" t="s">
        <v>826</v>
      </c>
      <c r="I5" t="s">
        <v>20</v>
      </c>
      <c r="J5" t="s">
        <v>770</v>
      </c>
      <c r="K5" s="50" t="s">
        <v>771</v>
      </c>
    </row>
    <row r="6" spans="1:11" x14ac:dyDescent="0.25">
      <c r="A6" s="50" t="s">
        <v>766</v>
      </c>
      <c r="B6" t="s">
        <v>825</v>
      </c>
      <c r="C6" t="s">
        <v>57</v>
      </c>
      <c r="D6" t="s">
        <v>42</v>
      </c>
      <c r="E6" t="s">
        <v>464</v>
      </c>
      <c r="F6" t="s">
        <v>729</v>
      </c>
      <c r="G6" t="s">
        <v>768</v>
      </c>
      <c r="H6" t="s">
        <v>826</v>
      </c>
      <c r="I6" t="s">
        <v>20</v>
      </c>
      <c r="J6" t="s">
        <v>770</v>
      </c>
      <c r="K6" s="50" t="s">
        <v>771</v>
      </c>
    </row>
    <row r="7" spans="1:11" x14ac:dyDescent="0.25">
      <c r="A7" s="50" t="s">
        <v>766</v>
      </c>
      <c r="B7" t="s">
        <v>825</v>
      </c>
      <c r="C7" t="s">
        <v>57</v>
      </c>
      <c r="D7" t="s">
        <v>44</v>
      </c>
      <c r="E7" t="s">
        <v>69</v>
      </c>
      <c r="F7" t="s">
        <v>70</v>
      </c>
      <c r="G7" t="s">
        <v>768</v>
      </c>
      <c r="H7" t="s">
        <v>826</v>
      </c>
      <c r="I7" t="s">
        <v>20</v>
      </c>
      <c r="J7" t="s">
        <v>770</v>
      </c>
      <c r="K7" s="50" t="s">
        <v>771</v>
      </c>
    </row>
    <row r="8" spans="1:11" x14ac:dyDescent="0.25">
      <c r="A8" s="50" t="s">
        <v>766</v>
      </c>
      <c r="B8" t="s">
        <v>825</v>
      </c>
      <c r="C8" t="s">
        <v>61</v>
      </c>
      <c r="D8" t="s">
        <v>42</v>
      </c>
      <c r="E8" t="s">
        <v>138</v>
      </c>
      <c r="F8" t="s">
        <v>139</v>
      </c>
      <c r="G8" t="s">
        <v>768</v>
      </c>
      <c r="H8" t="s">
        <v>826</v>
      </c>
      <c r="I8" t="s">
        <v>20</v>
      </c>
      <c r="J8" t="s">
        <v>770</v>
      </c>
      <c r="K8" s="50" t="s">
        <v>771</v>
      </c>
    </row>
    <row r="9" spans="1:11" x14ac:dyDescent="0.25">
      <c r="A9" s="50" t="s">
        <v>766</v>
      </c>
      <c r="B9" t="s">
        <v>825</v>
      </c>
      <c r="C9" t="s">
        <v>61</v>
      </c>
      <c r="D9" t="s">
        <v>42</v>
      </c>
      <c r="E9" t="s">
        <v>138</v>
      </c>
      <c r="F9" t="s">
        <v>196</v>
      </c>
      <c r="G9" t="s">
        <v>768</v>
      </c>
      <c r="H9" t="s">
        <v>826</v>
      </c>
      <c r="I9" t="s">
        <v>20</v>
      </c>
      <c r="J9" t="s">
        <v>770</v>
      </c>
      <c r="K9" s="50" t="s">
        <v>771</v>
      </c>
    </row>
    <row r="10" spans="1:11" x14ac:dyDescent="0.25">
      <c r="A10" s="50" t="s">
        <v>766</v>
      </c>
      <c r="B10" t="s">
        <v>825</v>
      </c>
      <c r="C10" t="s">
        <v>61</v>
      </c>
      <c r="D10" t="s">
        <v>44</v>
      </c>
      <c r="E10" t="s">
        <v>252</v>
      </c>
      <c r="F10" t="s">
        <v>657</v>
      </c>
      <c r="G10" t="s">
        <v>768</v>
      </c>
      <c r="H10" t="s">
        <v>826</v>
      </c>
      <c r="I10" t="s">
        <v>20</v>
      </c>
      <c r="J10" t="s">
        <v>770</v>
      </c>
      <c r="K10" s="50" t="s">
        <v>771</v>
      </c>
    </row>
    <row r="11" spans="1:11" x14ac:dyDescent="0.25">
      <c r="A11" s="50" t="s">
        <v>766</v>
      </c>
      <c r="B11" t="s">
        <v>825</v>
      </c>
      <c r="C11" t="s">
        <v>61</v>
      </c>
      <c r="D11" t="s">
        <v>44</v>
      </c>
      <c r="E11" t="s">
        <v>71</v>
      </c>
      <c r="F11" t="s">
        <v>358</v>
      </c>
      <c r="G11" t="s">
        <v>768</v>
      </c>
      <c r="H11" t="s">
        <v>826</v>
      </c>
      <c r="I11" t="s">
        <v>20</v>
      </c>
      <c r="J11" t="s">
        <v>770</v>
      </c>
      <c r="K11" s="50" t="s">
        <v>771</v>
      </c>
    </row>
    <row r="12" spans="1:11" x14ac:dyDescent="0.25">
      <c r="A12" s="50" t="s">
        <v>766</v>
      </c>
      <c r="B12" t="s">
        <v>825</v>
      </c>
      <c r="C12" t="s">
        <v>61</v>
      </c>
      <c r="D12" t="s">
        <v>42</v>
      </c>
      <c r="E12" t="s">
        <v>464</v>
      </c>
      <c r="F12" t="s">
        <v>729</v>
      </c>
      <c r="G12" t="s">
        <v>768</v>
      </c>
      <c r="H12" t="s">
        <v>826</v>
      </c>
      <c r="I12" t="s">
        <v>20</v>
      </c>
      <c r="J12" t="s">
        <v>770</v>
      </c>
      <c r="K12" s="50" t="s">
        <v>771</v>
      </c>
    </row>
    <row r="13" spans="1:11" x14ac:dyDescent="0.25">
      <c r="A13" s="50" t="s">
        <v>766</v>
      </c>
      <c r="B13" t="s">
        <v>825</v>
      </c>
      <c r="C13" t="s">
        <v>61</v>
      </c>
      <c r="D13" t="s">
        <v>44</v>
      </c>
      <c r="E13" t="s">
        <v>69</v>
      </c>
      <c r="F13" t="s">
        <v>70</v>
      </c>
      <c r="G13" t="s">
        <v>768</v>
      </c>
      <c r="H13" t="s">
        <v>826</v>
      </c>
      <c r="I13" t="s">
        <v>20</v>
      </c>
      <c r="J13" t="s">
        <v>770</v>
      </c>
      <c r="K13" s="50" t="s">
        <v>771</v>
      </c>
    </row>
    <row r="14" spans="1:11" x14ac:dyDescent="0.25">
      <c r="A14" s="50" t="s">
        <v>766</v>
      </c>
      <c r="B14" t="s">
        <v>827</v>
      </c>
      <c r="C14" t="s">
        <v>57</v>
      </c>
      <c r="D14" t="s">
        <v>42</v>
      </c>
      <c r="E14" t="s">
        <v>138</v>
      </c>
      <c r="F14" t="s">
        <v>196</v>
      </c>
      <c r="G14" t="s">
        <v>774</v>
      </c>
      <c r="H14" t="s">
        <v>826</v>
      </c>
      <c r="I14" t="s">
        <v>20</v>
      </c>
      <c r="J14" t="s">
        <v>770</v>
      </c>
      <c r="K14" s="50" t="s">
        <v>775</v>
      </c>
    </row>
    <row r="15" spans="1:11" x14ac:dyDescent="0.25">
      <c r="A15" s="50" t="s">
        <v>766</v>
      </c>
      <c r="B15" t="s">
        <v>827</v>
      </c>
      <c r="C15" t="s">
        <v>57</v>
      </c>
      <c r="D15" t="s">
        <v>42</v>
      </c>
      <c r="E15" t="s">
        <v>138</v>
      </c>
      <c r="F15" t="s">
        <v>518</v>
      </c>
      <c r="G15" t="s">
        <v>774</v>
      </c>
      <c r="H15" t="s">
        <v>826</v>
      </c>
      <c r="I15" t="s">
        <v>20</v>
      </c>
      <c r="J15" t="s">
        <v>770</v>
      </c>
      <c r="K15" s="50" t="s">
        <v>775</v>
      </c>
    </row>
    <row r="16" spans="1:11" x14ac:dyDescent="0.25">
      <c r="A16" s="50" t="s">
        <v>766</v>
      </c>
      <c r="B16" t="s">
        <v>827</v>
      </c>
      <c r="C16" t="s">
        <v>57</v>
      </c>
      <c r="D16" t="s">
        <v>44</v>
      </c>
      <c r="E16" t="s">
        <v>252</v>
      </c>
      <c r="F16" t="s">
        <v>709</v>
      </c>
      <c r="G16" t="s">
        <v>774</v>
      </c>
      <c r="H16" t="s">
        <v>826</v>
      </c>
      <c r="I16" t="s">
        <v>20</v>
      </c>
      <c r="J16" t="s">
        <v>770</v>
      </c>
      <c r="K16" s="50" t="s">
        <v>775</v>
      </c>
    </row>
    <row r="17" spans="1:11" x14ac:dyDescent="0.25">
      <c r="A17" s="50" t="s">
        <v>766</v>
      </c>
      <c r="B17" t="s">
        <v>827</v>
      </c>
      <c r="C17" t="s">
        <v>57</v>
      </c>
      <c r="D17" t="s">
        <v>44</v>
      </c>
      <c r="E17" t="s">
        <v>464</v>
      </c>
      <c r="F17" t="s">
        <v>729</v>
      </c>
      <c r="G17" t="s">
        <v>774</v>
      </c>
      <c r="H17" t="s">
        <v>826</v>
      </c>
      <c r="I17" t="s">
        <v>20</v>
      </c>
      <c r="J17" t="s">
        <v>770</v>
      </c>
      <c r="K17" s="50" t="s">
        <v>775</v>
      </c>
    </row>
    <row r="18" spans="1:11" x14ac:dyDescent="0.25">
      <c r="A18" s="50" t="s">
        <v>766</v>
      </c>
      <c r="B18" t="s">
        <v>827</v>
      </c>
      <c r="C18" t="s">
        <v>57</v>
      </c>
      <c r="D18" t="s">
        <v>44</v>
      </c>
      <c r="E18" t="s">
        <v>73</v>
      </c>
      <c r="F18" t="s">
        <v>303</v>
      </c>
      <c r="G18" t="s">
        <v>774</v>
      </c>
      <c r="H18" t="s">
        <v>826</v>
      </c>
      <c r="I18" t="s">
        <v>20</v>
      </c>
      <c r="J18" t="s">
        <v>770</v>
      </c>
      <c r="K18" s="50" t="s">
        <v>775</v>
      </c>
    </row>
    <row r="19" spans="1:11" x14ac:dyDescent="0.25">
      <c r="A19" s="50" t="s">
        <v>766</v>
      </c>
      <c r="B19" t="s">
        <v>827</v>
      </c>
      <c r="C19" t="s">
        <v>57</v>
      </c>
      <c r="D19" t="s">
        <v>46</v>
      </c>
      <c r="E19" t="s">
        <v>69</v>
      </c>
      <c r="F19" t="s">
        <v>70</v>
      </c>
      <c r="G19" t="s">
        <v>774</v>
      </c>
      <c r="H19" t="s">
        <v>826</v>
      </c>
      <c r="I19" t="s">
        <v>20</v>
      </c>
      <c r="J19" t="s">
        <v>770</v>
      </c>
      <c r="K19" s="50" t="s">
        <v>775</v>
      </c>
    </row>
    <row r="20" spans="1:11" x14ac:dyDescent="0.25">
      <c r="A20" s="50" t="s">
        <v>766</v>
      </c>
      <c r="B20" t="s">
        <v>827</v>
      </c>
      <c r="C20" t="s">
        <v>61</v>
      </c>
      <c r="D20" t="s">
        <v>42</v>
      </c>
      <c r="E20" t="s">
        <v>138</v>
      </c>
      <c r="F20" t="s">
        <v>196</v>
      </c>
      <c r="G20" t="s">
        <v>774</v>
      </c>
      <c r="H20" t="s">
        <v>826</v>
      </c>
      <c r="I20" t="s">
        <v>20</v>
      </c>
      <c r="J20" t="s">
        <v>770</v>
      </c>
      <c r="K20" s="50" t="s">
        <v>775</v>
      </c>
    </row>
    <row r="21" spans="1:11" x14ac:dyDescent="0.25">
      <c r="A21" s="50" t="s">
        <v>766</v>
      </c>
      <c r="B21" t="s">
        <v>827</v>
      </c>
      <c r="C21" t="s">
        <v>61</v>
      </c>
      <c r="D21" t="s">
        <v>44</v>
      </c>
      <c r="E21" t="s">
        <v>138</v>
      </c>
      <c r="F21" t="s">
        <v>196</v>
      </c>
      <c r="G21" t="s">
        <v>774</v>
      </c>
      <c r="H21" t="s">
        <v>826</v>
      </c>
      <c r="I21" t="s">
        <v>20</v>
      </c>
      <c r="J21" t="s">
        <v>770</v>
      </c>
      <c r="K21" s="50" t="s">
        <v>775</v>
      </c>
    </row>
    <row r="22" spans="1:11" x14ac:dyDescent="0.25">
      <c r="A22" s="50" t="s">
        <v>766</v>
      </c>
      <c r="B22" t="s">
        <v>827</v>
      </c>
      <c r="C22" t="s">
        <v>61</v>
      </c>
      <c r="D22" t="s">
        <v>44</v>
      </c>
      <c r="E22" t="s">
        <v>138</v>
      </c>
      <c r="F22" t="s">
        <v>518</v>
      </c>
      <c r="G22" t="s">
        <v>774</v>
      </c>
      <c r="H22" t="s">
        <v>826</v>
      </c>
      <c r="I22" t="s">
        <v>20</v>
      </c>
      <c r="J22" t="s">
        <v>770</v>
      </c>
      <c r="K22" s="50" t="s">
        <v>775</v>
      </c>
    </row>
    <row r="23" spans="1:11" x14ac:dyDescent="0.25">
      <c r="A23" s="50" t="s">
        <v>766</v>
      </c>
      <c r="B23" t="s">
        <v>827</v>
      </c>
      <c r="C23" t="s">
        <v>61</v>
      </c>
      <c r="D23" t="s">
        <v>46</v>
      </c>
      <c r="E23" t="s">
        <v>71</v>
      </c>
      <c r="F23" t="s">
        <v>413</v>
      </c>
      <c r="G23" t="s">
        <v>774</v>
      </c>
      <c r="H23" t="s">
        <v>826</v>
      </c>
      <c r="I23" t="s">
        <v>20</v>
      </c>
      <c r="J23" t="s">
        <v>770</v>
      </c>
      <c r="K23" s="50" t="s">
        <v>775</v>
      </c>
    </row>
    <row r="24" spans="1:11" x14ac:dyDescent="0.25">
      <c r="A24" s="50" t="s">
        <v>766</v>
      </c>
      <c r="B24" t="s">
        <v>828</v>
      </c>
      <c r="C24" t="s">
        <v>57</v>
      </c>
      <c r="D24" t="s">
        <v>42</v>
      </c>
      <c r="E24" t="s">
        <v>138</v>
      </c>
      <c r="F24" t="s">
        <v>139</v>
      </c>
      <c r="G24" t="s">
        <v>777</v>
      </c>
      <c r="H24" t="s">
        <v>826</v>
      </c>
      <c r="I24" t="s">
        <v>20</v>
      </c>
      <c r="J24" t="s">
        <v>770</v>
      </c>
      <c r="K24" s="50" t="s">
        <v>778</v>
      </c>
    </row>
    <row r="25" spans="1:11" x14ac:dyDescent="0.25">
      <c r="A25" s="50" t="s">
        <v>766</v>
      </c>
      <c r="B25" t="s">
        <v>828</v>
      </c>
      <c r="C25" t="s">
        <v>57</v>
      </c>
      <c r="D25" t="s">
        <v>42</v>
      </c>
      <c r="E25" t="s">
        <v>138</v>
      </c>
      <c r="F25" t="s">
        <v>196</v>
      </c>
      <c r="G25" t="s">
        <v>777</v>
      </c>
      <c r="H25" t="s">
        <v>826</v>
      </c>
      <c r="I25" t="s">
        <v>20</v>
      </c>
      <c r="J25" t="s">
        <v>770</v>
      </c>
      <c r="K25" s="50" t="s">
        <v>778</v>
      </c>
    </row>
    <row r="26" spans="1:11" x14ac:dyDescent="0.25">
      <c r="A26" s="50" t="s">
        <v>766</v>
      </c>
      <c r="B26" t="s">
        <v>828</v>
      </c>
      <c r="C26" t="s">
        <v>57</v>
      </c>
      <c r="D26" t="s">
        <v>42</v>
      </c>
      <c r="E26" t="s">
        <v>71</v>
      </c>
      <c r="F26" t="s">
        <v>197</v>
      </c>
      <c r="G26" t="s">
        <v>777</v>
      </c>
      <c r="H26" t="s">
        <v>826</v>
      </c>
      <c r="I26" t="s">
        <v>20</v>
      </c>
      <c r="J26" t="s">
        <v>770</v>
      </c>
      <c r="K26" s="50" t="s">
        <v>778</v>
      </c>
    </row>
    <row r="27" spans="1:11" x14ac:dyDescent="0.25">
      <c r="A27" s="50" t="s">
        <v>766</v>
      </c>
      <c r="B27" t="s">
        <v>828</v>
      </c>
      <c r="C27" t="s">
        <v>57</v>
      </c>
      <c r="D27" t="s">
        <v>44</v>
      </c>
      <c r="E27" t="s">
        <v>73</v>
      </c>
      <c r="F27" t="s">
        <v>140</v>
      </c>
      <c r="G27" t="s">
        <v>777</v>
      </c>
      <c r="H27" t="s">
        <v>826</v>
      </c>
      <c r="I27" t="s">
        <v>20</v>
      </c>
      <c r="J27" t="s">
        <v>770</v>
      </c>
      <c r="K27" s="50" t="s">
        <v>778</v>
      </c>
    </row>
    <row r="28" spans="1:11" x14ac:dyDescent="0.25">
      <c r="A28" s="50" t="s">
        <v>766</v>
      </c>
      <c r="B28" t="s">
        <v>828</v>
      </c>
      <c r="C28" t="s">
        <v>57</v>
      </c>
      <c r="D28" t="s">
        <v>44</v>
      </c>
      <c r="E28" t="s">
        <v>252</v>
      </c>
      <c r="F28" t="s">
        <v>657</v>
      </c>
      <c r="G28" t="s">
        <v>777</v>
      </c>
      <c r="H28" t="s">
        <v>826</v>
      </c>
      <c r="I28" t="s">
        <v>20</v>
      </c>
      <c r="J28" t="s">
        <v>770</v>
      </c>
      <c r="K28" s="50" t="s">
        <v>778</v>
      </c>
    </row>
    <row r="29" spans="1:11" x14ac:dyDescent="0.25">
      <c r="A29" s="50" t="s">
        <v>766</v>
      </c>
      <c r="B29" t="s">
        <v>828</v>
      </c>
      <c r="C29" t="s">
        <v>57</v>
      </c>
      <c r="D29" t="s">
        <v>46</v>
      </c>
      <c r="E29" t="s">
        <v>464</v>
      </c>
      <c r="F29" t="s">
        <v>729</v>
      </c>
      <c r="G29" t="s">
        <v>777</v>
      </c>
      <c r="H29" t="s">
        <v>826</v>
      </c>
      <c r="I29" t="s">
        <v>20</v>
      </c>
      <c r="J29" t="s">
        <v>770</v>
      </c>
      <c r="K29" s="50" t="s">
        <v>778</v>
      </c>
    </row>
    <row r="30" spans="1:11" x14ac:dyDescent="0.25">
      <c r="A30" s="50" t="s">
        <v>766</v>
      </c>
      <c r="B30" t="s">
        <v>828</v>
      </c>
      <c r="C30" t="s">
        <v>61</v>
      </c>
      <c r="D30" t="s">
        <v>44</v>
      </c>
      <c r="E30" t="s">
        <v>138</v>
      </c>
      <c r="F30" t="s">
        <v>196</v>
      </c>
      <c r="G30" t="s">
        <v>777</v>
      </c>
      <c r="H30" t="s">
        <v>826</v>
      </c>
      <c r="I30" t="s">
        <v>20</v>
      </c>
      <c r="J30" t="s">
        <v>770</v>
      </c>
      <c r="K30" s="50" t="s">
        <v>778</v>
      </c>
    </row>
    <row r="31" spans="1:11" x14ac:dyDescent="0.25">
      <c r="A31" s="50" t="s">
        <v>766</v>
      </c>
      <c r="B31" t="s">
        <v>828</v>
      </c>
      <c r="C31" t="s">
        <v>61</v>
      </c>
      <c r="D31" t="s">
        <v>44</v>
      </c>
      <c r="E31" t="s">
        <v>71</v>
      </c>
      <c r="F31" t="s">
        <v>197</v>
      </c>
      <c r="G31" t="s">
        <v>777</v>
      </c>
      <c r="H31" t="s">
        <v>826</v>
      </c>
      <c r="I31" t="s">
        <v>20</v>
      </c>
      <c r="J31" t="s">
        <v>770</v>
      </c>
      <c r="K31" s="50" t="s">
        <v>778</v>
      </c>
    </row>
    <row r="32" spans="1:11" x14ac:dyDescent="0.25">
      <c r="A32" s="50" t="s">
        <v>766</v>
      </c>
      <c r="B32" t="s">
        <v>828</v>
      </c>
      <c r="C32" t="s">
        <v>61</v>
      </c>
      <c r="D32" t="s">
        <v>46</v>
      </c>
      <c r="E32" t="s">
        <v>464</v>
      </c>
      <c r="F32" t="s">
        <v>728</v>
      </c>
      <c r="G32" t="s">
        <v>777</v>
      </c>
      <c r="H32" t="s">
        <v>826</v>
      </c>
      <c r="I32" t="s">
        <v>20</v>
      </c>
      <c r="J32" t="s">
        <v>770</v>
      </c>
      <c r="K32" s="50" t="s">
        <v>778</v>
      </c>
    </row>
    <row r="33" spans="1:11" x14ac:dyDescent="0.25">
      <c r="A33" s="50" t="s">
        <v>766</v>
      </c>
      <c r="B33" t="s">
        <v>828</v>
      </c>
      <c r="C33" t="s">
        <v>61</v>
      </c>
      <c r="D33" t="s">
        <v>46</v>
      </c>
      <c r="E33" t="s">
        <v>73</v>
      </c>
      <c r="F33" t="s">
        <v>412</v>
      </c>
      <c r="G33" t="s">
        <v>777</v>
      </c>
      <c r="H33" t="s">
        <v>826</v>
      </c>
      <c r="I33" t="s">
        <v>20</v>
      </c>
      <c r="J33" t="s">
        <v>770</v>
      </c>
      <c r="K33" s="50" t="s">
        <v>778</v>
      </c>
    </row>
    <row r="34" spans="1:11" x14ac:dyDescent="0.25">
      <c r="A34" s="50" t="s">
        <v>766</v>
      </c>
      <c r="B34" t="s">
        <v>829</v>
      </c>
      <c r="C34" t="s">
        <v>57</v>
      </c>
      <c r="D34" t="s">
        <v>42</v>
      </c>
      <c r="E34" t="s">
        <v>138</v>
      </c>
      <c r="F34" t="s">
        <v>196</v>
      </c>
      <c r="G34" t="s">
        <v>781</v>
      </c>
      <c r="H34" t="s">
        <v>826</v>
      </c>
      <c r="I34" t="s">
        <v>20</v>
      </c>
      <c r="J34" t="s">
        <v>770</v>
      </c>
      <c r="K34" s="50" t="s">
        <v>782</v>
      </c>
    </row>
    <row r="35" spans="1:11" x14ac:dyDescent="0.25">
      <c r="A35" s="50" t="s">
        <v>766</v>
      </c>
      <c r="B35" t="s">
        <v>829</v>
      </c>
      <c r="C35" t="s">
        <v>57</v>
      </c>
      <c r="D35" t="s">
        <v>42</v>
      </c>
      <c r="E35" t="s">
        <v>138</v>
      </c>
      <c r="F35" t="s">
        <v>518</v>
      </c>
      <c r="G35" t="s">
        <v>781</v>
      </c>
      <c r="H35" t="s">
        <v>826</v>
      </c>
      <c r="I35" t="s">
        <v>20</v>
      </c>
      <c r="J35" t="s">
        <v>770</v>
      </c>
      <c r="K35" s="50" t="s">
        <v>782</v>
      </c>
    </row>
    <row r="36" spans="1:11" x14ac:dyDescent="0.25">
      <c r="A36" s="50" t="s">
        <v>766</v>
      </c>
      <c r="B36" t="s">
        <v>829</v>
      </c>
      <c r="C36" t="s">
        <v>57</v>
      </c>
      <c r="D36" t="s">
        <v>42</v>
      </c>
      <c r="E36" t="s">
        <v>252</v>
      </c>
      <c r="F36" t="s">
        <v>674</v>
      </c>
      <c r="G36" t="s">
        <v>781</v>
      </c>
      <c r="H36" t="s">
        <v>826</v>
      </c>
      <c r="I36" t="s">
        <v>20</v>
      </c>
      <c r="J36" t="s">
        <v>770</v>
      </c>
      <c r="K36" s="50" t="s">
        <v>782</v>
      </c>
    </row>
    <row r="37" spans="1:11" x14ac:dyDescent="0.25">
      <c r="A37" s="50" t="s">
        <v>766</v>
      </c>
      <c r="B37" t="s">
        <v>829</v>
      </c>
      <c r="C37" t="s">
        <v>57</v>
      </c>
      <c r="D37" t="s">
        <v>42</v>
      </c>
      <c r="E37" t="s">
        <v>464</v>
      </c>
      <c r="F37" t="s">
        <v>729</v>
      </c>
      <c r="G37" t="s">
        <v>781</v>
      </c>
      <c r="H37" t="s">
        <v>826</v>
      </c>
      <c r="I37" t="s">
        <v>20</v>
      </c>
      <c r="J37" t="s">
        <v>770</v>
      </c>
      <c r="K37" s="50" t="s">
        <v>782</v>
      </c>
    </row>
    <row r="38" spans="1:11" x14ac:dyDescent="0.25">
      <c r="A38" s="50" t="s">
        <v>766</v>
      </c>
      <c r="B38" t="s">
        <v>829</v>
      </c>
      <c r="C38" t="s">
        <v>57</v>
      </c>
      <c r="D38" t="s">
        <v>42</v>
      </c>
      <c r="E38" t="s">
        <v>73</v>
      </c>
      <c r="F38" t="s">
        <v>412</v>
      </c>
      <c r="G38" t="s">
        <v>781</v>
      </c>
      <c r="H38" t="s">
        <v>826</v>
      </c>
      <c r="I38" t="s">
        <v>20</v>
      </c>
      <c r="J38" t="s">
        <v>770</v>
      </c>
      <c r="K38" s="50" t="s">
        <v>782</v>
      </c>
    </row>
    <row r="39" spans="1:11" x14ac:dyDescent="0.25">
      <c r="A39" s="50" t="s">
        <v>766</v>
      </c>
      <c r="B39" t="s">
        <v>829</v>
      </c>
      <c r="C39" t="s">
        <v>61</v>
      </c>
      <c r="D39" t="s">
        <v>44</v>
      </c>
      <c r="E39" t="s">
        <v>138</v>
      </c>
      <c r="F39" t="s">
        <v>702</v>
      </c>
      <c r="G39" t="s">
        <v>781</v>
      </c>
      <c r="H39" t="s">
        <v>826</v>
      </c>
      <c r="I39" t="s">
        <v>20</v>
      </c>
      <c r="J39" t="s">
        <v>770</v>
      </c>
      <c r="K39" s="50" t="s">
        <v>782</v>
      </c>
    </row>
    <row r="40" spans="1:11" x14ac:dyDescent="0.25">
      <c r="A40" s="50" t="s">
        <v>766</v>
      </c>
      <c r="B40" t="s">
        <v>829</v>
      </c>
      <c r="C40" t="s">
        <v>61</v>
      </c>
      <c r="D40" t="s">
        <v>44</v>
      </c>
      <c r="E40" t="s">
        <v>73</v>
      </c>
      <c r="F40" t="s">
        <v>140</v>
      </c>
      <c r="G40" t="s">
        <v>781</v>
      </c>
      <c r="H40" t="s">
        <v>826</v>
      </c>
      <c r="I40" t="s">
        <v>20</v>
      </c>
      <c r="J40" t="s">
        <v>770</v>
      </c>
      <c r="K40" s="50" t="s">
        <v>782</v>
      </c>
    </row>
    <row r="41" spans="1:11" x14ac:dyDescent="0.25">
      <c r="A41" s="50" t="s">
        <v>766</v>
      </c>
      <c r="B41" t="s">
        <v>829</v>
      </c>
      <c r="C41" t="s">
        <v>61</v>
      </c>
      <c r="D41" t="s">
        <v>44</v>
      </c>
      <c r="E41" t="s">
        <v>73</v>
      </c>
      <c r="F41" t="s">
        <v>466</v>
      </c>
      <c r="G41" t="s">
        <v>781</v>
      </c>
      <c r="H41" t="s">
        <v>826</v>
      </c>
      <c r="I41" t="s">
        <v>20</v>
      </c>
      <c r="J41" t="s">
        <v>770</v>
      </c>
      <c r="K41" s="50" t="s">
        <v>782</v>
      </c>
    </row>
    <row r="42" spans="1:11" x14ac:dyDescent="0.25">
      <c r="A42" s="50" t="s">
        <v>766</v>
      </c>
      <c r="B42" t="s">
        <v>829</v>
      </c>
      <c r="C42" t="s">
        <v>61</v>
      </c>
      <c r="D42" t="s">
        <v>44</v>
      </c>
      <c r="E42" t="s">
        <v>679</v>
      </c>
      <c r="F42" t="s">
        <v>740</v>
      </c>
      <c r="G42" t="s">
        <v>781</v>
      </c>
      <c r="H42" t="s">
        <v>826</v>
      </c>
      <c r="I42" t="s">
        <v>20</v>
      </c>
      <c r="J42" t="s">
        <v>770</v>
      </c>
      <c r="K42" s="50" t="s">
        <v>782</v>
      </c>
    </row>
    <row r="43" spans="1:11" x14ac:dyDescent="0.25">
      <c r="A43" s="50" t="s">
        <v>766</v>
      </c>
      <c r="B43" t="s">
        <v>829</v>
      </c>
      <c r="C43" t="s">
        <v>61</v>
      </c>
      <c r="D43" t="s">
        <v>44</v>
      </c>
      <c r="E43" t="s">
        <v>464</v>
      </c>
      <c r="F43" t="s">
        <v>517</v>
      </c>
      <c r="G43" t="s">
        <v>781</v>
      </c>
      <c r="H43" t="s">
        <v>826</v>
      </c>
      <c r="I43" t="s">
        <v>20</v>
      </c>
      <c r="J43" t="s">
        <v>770</v>
      </c>
      <c r="K43" s="50" t="s">
        <v>782</v>
      </c>
    </row>
    <row r="44" spans="1:11" x14ac:dyDescent="0.25">
      <c r="A44" s="50" t="s">
        <v>766</v>
      </c>
      <c r="B44" t="s">
        <v>829</v>
      </c>
      <c r="C44" t="s">
        <v>65</v>
      </c>
      <c r="G44" t="s">
        <v>781</v>
      </c>
      <c r="H44" t="s">
        <v>826</v>
      </c>
      <c r="I44" t="s">
        <v>20</v>
      </c>
      <c r="J44" t="s">
        <v>770</v>
      </c>
      <c r="K44" s="50" t="s">
        <v>782</v>
      </c>
    </row>
    <row r="45" spans="1:11" x14ac:dyDescent="0.25">
      <c r="A45" s="50" t="s">
        <v>766</v>
      </c>
      <c r="B45" t="s">
        <v>830</v>
      </c>
      <c r="C45" t="s">
        <v>57</v>
      </c>
      <c r="D45" t="s">
        <v>42</v>
      </c>
      <c r="E45" t="s">
        <v>252</v>
      </c>
      <c r="F45" t="s">
        <v>709</v>
      </c>
      <c r="G45" t="s">
        <v>785</v>
      </c>
      <c r="H45" t="s">
        <v>826</v>
      </c>
      <c r="I45" t="s">
        <v>20</v>
      </c>
      <c r="J45" t="s">
        <v>770</v>
      </c>
      <c r="K45" s="50" t="s">
        <v>786</v>
      </c>
    </row>
    <row r="46" spans="1:11" x14ac:dyDescent="0.25">
      <c r="A46" s="50" t="s">
        <v>766</v>
      </c>
      <c r="B46" t="s">
        <v>830</v>
      </c>
      <c r="C46" t="s">
        <v>57</v>
      </c>
      <c r="D46" t="s">
        <v>42</v>
      </c>
      <c r="E46" t="s">
        <v>252</v>
      </c>
      <c r="F46" t="s">
        <v>718</v>
      </c>
      <c r="G46" t="s">
        <v>785</v>
      </c>
      <c r="H46" t="s">
        <v>826</v>
      </c>
      <c r="I46" t="s">
        <v>20</v>
      </c>
      <c r="J46" t="s">
        <v>770</v>
      </c>
      <c r="K46" s="50" t="s">
        <v>786</v>
      </c>
    </row>
    <row r="47" spans="1:11" x14ac:dyDescent="0.25">
      <c r="A47" s="50" t="s">
        <v>766</v>
      </c>
      <c r="B47" t="s">
        <v>830</v>
      </c>
      <c r="C47" t="s">
        <v>57</v>
      </c>
      <c r="D47" t="s">
        <v>42</v>
      </c>
      <c r="E47" t="s">
        <v>71</v>
      </c>
      <c r="F47" t="s">
        <v>727</v>
      </c>
      <c r="G47" t="s">
        <v>785</v>
      </c>
      <c r="H47" t="s">
        <v>826</v>
      </c>
      <c r="I47" t="s">
        <v>20</v>
      </c>
      <c r="J47" t="s">
        <v>770</v>
      </c>
      <c r="K47" s="50" t="s">
        <v>786</v>
      </c>
    </row>
    <row r="48" spans="1:11" x14ac:dyDescent="0.25">
      <c r="A48" s="50" t="s">
        <v>766</v>
      </c>
      <c r="B48" t="s">
        <v>830</v>
      </c>
      <c r="C48" t="s">
        <v>61</v>
      </c>
      <c r="D48" t="s">
        <v>42</v>
      </c>
      <c r="E48" t="s">
        <v>71</v>
      </c>
      <c r="F48" t="s">
        <v>413</v>
      </c>
      <c r="G48" t="s">
        <v>785</v>
      </c>
      <c r="H48" t="s">
        <v>826</v>
      </c>
      <c r="I48" t="s">
        <v>20</v>
      </c>
      <c r="J48" t="s">
        <v>770</v>
      </c>
      <c r="K48" s="50" t="s">
        <v>786</v>
      </c>
    </row>
    <row r="49" spans="1:11" x14ac:dyDescent="0.25">
      <c r="A49" s="50" t="s">
        <v>766</v>
      </c>
      <c r="B49" t="s">
        <v>830</v>
      </c>
      <c r="C49" t="s">
        <v>61</v>
      </c>
      <c r="D49" t="s">
        <v>44</v>
      </c>
      <c r="E49" t="s">
        <v>138</v>
      </c>
      <c r="F49" t="s">
        <v>196</v>
      </c>
      <c r="G49" t="s">
        <v>785</v>
      </c>
      <c r="H49" t="s">
        <v>826</v>
      </c>
      <c r="I49" t="s">
        <v>20</v>
      </c>
      <c r="J49" t="s">
        <v>770</v>
      </c>
      <c r="K49" s="50" t="s">
        <v>786</v>
      </c>
    </row>
    <row r="50" spans="1:11" x14ac:dyDescent="0.25">
      <c r="A50" s="50" t="s">
        <v>766</v>
      </c>
      <c r="B50" t="s">
        <v>830</v>
      </c>
      <c r="C50" t="s">
        <v>61</v>
      </c>
      <c r="D50" t="s">
        <v>44</v>
      </c>
      <c r="E50" t="s">
        <v>138</v>
      </c>
      <c r="F50" t="s">
        <v>518</v>
      </c>
      <c r="G50" t="s">
        <v>785</v>
      </c>
      <c r="H50" t="s">
        <v>826</v>
      </c>
      <c r="I50" t="s">
        <v>20</v>
      </c>
      <c r="J50" t="s">
        <v>770</v>
      </c>
      <c r="K50" s="50" t="s">
        <v>786</v>
      </c>
    </row>
    <row r="51" spans="1:11" x14ac:dyDescent="0.25">
      <c r="A51" s="50" t="s">
        <v>766</v>
      </c>
      <c r="B51" t="s">
        <v>830</v>
      </c>
      <c r="C51" t="s">
        <v>57</v>
      </c>
      <c r="D51" t="s">
        <v>44</v>
      </c>
      <c r="E51" t="s">
        <v>138</v>
      </c>
      <c r="F51" t="s">
        <v>198</v>
      </c>
      <c r="G51" t="s">
        <v>785</v>
      </c>
      <c r="H51" t="s">
        <v>826</v>
      </c>
      <c r="I51" t="s">
        <v>20</v>
      </c>
      <c r="J51" t="s">
        <v>770</v>
      </c>
      <c r="K51" s="50" t="s">
        <v>786</v>
      </c>
    </row>
    <row r="52" spans="1:11" x14ac:dyDescent="0.25">
      <c r="A52" s="50" t="s">
        <v>766</v>
      </c>
      <c r="B52" t="s">
        <v>830</v>
      </c>
      <c r="C52" t="s">
        <v>61</v>
      </c>
      <c r="D52" t="s">
        <v>44</v>
      </c>
      <c r="E52" t="s">
        <v>73</v>
      </c>
      <c r="F52" t="s">
        <v>412</v>
      </c>
      <c r="G52" t="s">
        <v>785</v>
      </c>
      <c r="H52" t="s">
        <v>826</v>
      </c>
      <c r="I52" t="s">
        <v>20</v>
      </c>
      <c r="J52" t="s">
        <v>770</v>
      </c>
      <c r="K52" s="50" t="s">
        <v>786</v>
      </c>
    </row>
    <row r="53" spans="1:11" x14ac:dyDescent="0.25">
      <c r="A53" s="50" t="s">
        <v>766</v>
      </c>
      <c r="B53" t="s">
        <v>830</v>
      </c>
      <c r="C53" t="s">
        <v>61</v>
      </c>
      <c r="D53" t="s">
        <v>46</v>
      </c>
      <c r="E53" t="s">
        <v>464</v>
      </c>
      <c r="F53" t="s">
        <v>729</v>
      </c>
      <c r="G53" t="s">
        <v>785</v>
      </c>
      <c r="H53" t="s">
        <v>826</v>
      </c>
      <c r="I53" t="s">
        <v>20</v>
      </c>
      <c r="J53" t="s">
        <v>770</v>
      </c>
      <c r="K53" s="50" t="s">
        <v>786</v>
      </c>
    </row>
    <row r="54" spans="1:11" x14ac:dyDescent="0.25">
      <c r="A54" s="50" t="s">
        <v>766</v>
      </c>
      <c r="B54" t="s">
        <v>830</v>
      </c>
      <c r="C54" t="s">
        <v>61</v>
      </c>
      <c r="D54" t="s">
        <v>46</v>
      </c>
      <c r="E54" t="s">
        <v>73</v>
      </c>
      <c r="F54" t="s">
        <v>140</v>
      </c>
      <c r="G54" t="s">
        <v>785</v>
      </c>
      <c r="H54" t="s">
        <v>826</v>
      </c>
      <c r="I54" t="s">
        <v>20</v>
      </c>
      <c r="J54" t="s">
        <v>770</v>
      </c>
      <c r="K54" s="50" t="s">
        <v>786</v>
      </c>
    </row>
    <row r="55" spans="1:11" x14ac:dyDescent="0.25">
      <c r="A55" s="50" t="s">
        <v>766</v>
      </c>
      <c r="B55" t="s">
        <v>830</v>
      </c>
      <c r="C55" t="s">
        <v>61</v>
      </c>
      <c r="D55" t="s">
        <v>46</v>
      </c>
      <c r="E55" t="s">
        <v>679</v>
      </c>
      <c r="F55" t="s">
        <v>740</v>
      </c>
      <c r="G55" t="s">
        <v>785</v>
      </c>
      <c r="H55" t="s">
        <v>826</v>
      </c>
      <c r="I55" t="s">
        <v>20</v>
      </c>
      <c r="J55" t="s">
        <v>770</v>
      </c>
      <c r="K55" s="50" t="s">
        <v>786</v>
      </c>
    </row>
    <row r="56" spans="1:11" x14ac:dyDescent="0.25">
      <c r="A56" s="50" t="s">
        <v>836</v>
      </c>
      <c r="B56" t="s">
        <v>850</v>
      </c>
      <c r="C56" t="s">
        <v>57</v>
      </c>
      <c r="D56" t="s">
        <v>42</v>
      </c>
      <c r="E56" t="s">
        <v>69</v>
      </c>
      <c r="F56" t="s">
        <v>70</v>
      </c>
      <c r="G56" t="s">
        <v>5</v>
      </c>
      <c r="H56" t="s">
        <v>826</v>
      </c>
      <c r="I56" t="s">
        <v>20</v>
      </c>
      <c r="J56" t="s">
        <v>770</v>
      </c>
      <c r="K56" s="50" t="s">
        <v>8</v>
      </c>
    </row>
    <row r="57" spans="1:11" x14ac:dyDescent="0.25">
      <c r="A57" s="50" t="s">
        <v>836</v>
      </c>
      <c r="B57" t="s">
        <v>850</v>
      </c>
      <c r="C57" t="s">
        <v>57</v>
      </c>
      <c r="D57" t="s">
        <v>44</v>
      </c>
      <c r="E57" t="s">
        <v>71</v>
      </c>
      <c r="F57" t="s">
        <v>72</v>
      </c>
      <c r="G57" t="s">
        <v>5</v>
      </c>
      <c r="H57" t="s">
        <v>826</v>
      </c>
      <c r="I57" t="s">
        <v>20</v>
      </c>
      <c r="J57" t="s">
        <v>770</v>
      </c>
      <c r="K57" s="50" t="s">
        <v>8</v>
      </c>
    </row>
    <row r="58" spans="1:11" x14ac:dyDescent="0.25">
      <c r="A58" s="50" t="s">
        <v>836</v>
      </c>
      <c r="B58" t="s">
        <v>850</v>
      </c>
      <c r="C58" t="s">
        <v>57</v>
      </c>
      <c r="D58" t="s">
        <v>44</v>
      </c>
      <c r="E58" t="s">
        <v>73</v>
      </c>
      <c r="F58" t="s">
        <v>74</v>
      </c>
      <c r="G58" t="s">
        <v>5</v>
      </c>
      <c r="H58" t="s">
        <v>826</v>
      </c>
      <c r="I58" t="s">
        <v>20</v>
      </c>
      <c r="J58" t="s">
        <v>770</v>
      </c>
      <c r="K58" s="50" t="s">
        <v>8</v>
      </c>
    </row>
    <row r="59" spans="1:11" x14ac:dyDescent="0.25">
      <c r="A59" s="50" t="s">
        <v>836</v>
      </c>
      <c r="B59" t="s">
        <v>850</v>
      </c>
      <c r="C59" t="s">
        <v>57</v>
      </c>
      <c r="D59" t="s">
        <v>42</v>
      </c>
      <c r="E59" t="s">
        <v>252</v>
      </c>
      <c r="F59" t="s">
        <v>709</v>
      </c>
      <c r="G59" t="s">
        <v>5</v>
      </c>
      <c r="H59" t="s">
        <v>826</v>
      </c>
      <c r="I59" t="s">
        <v>20</v>
      </c>
      <c r="J59" t="s">
        <v>770</v>
      </c>
      <c r="K59" s="50" t="s">
        <v>8</v>
      </c>
    </row>
    <row r="60" spans="1:11" x14ac:dyDescent="0.25">
      <c r="A60" s="50" t="s">
        <v>836</v>
      </c>
      <c r="B60" t="s">
        <v>850</v>
      </c>
      <c r="C60" t="s">
        <v>57</v>
      </c>
      <c r="D60" t="s">
        <v>44</v>
      </c>
      <c r="E60" t="s">
        <v>682</v>
      </c>
      <c r="F60" t="s">
        <v>753</v>
      </c>
      <c r="G60" t="s">
        <v>5</v>
      </c>
      <c r="H60" t="s">
        <v>826</v>
      </c>
      <c r="I60" t="s">
        <v>20</v>
      </c>
      <c r="J60" t="s">
        <v>770</v>
      </c>
      <c r="K60" s="50" t="s">
        <v>8</v>
      </c>
    </row>
    <row r="61" spans="1:11" x14ac:dyDescent="0.25">
      <c r="A61" s="50" t="s">
        <v>836</v>
      </c>
      <c r="B61" t="s">
        <v>850</v>
      </c>
      <c r="C61" t="s">
        <v>61</v>
      </c>
      <c r="D61" t="s">
        <v>44</v>
      </c>
      <c r="E61" t="s">
        <v>69</v>
      </c>
      <c r="F61" t="s">
        <v>75</v>
      </c>
      <c r="G61" t="s">
        <v>5</v>
      </c>
      <c r="H61" t="s">
        <v>826</v>
      </c>
      <c r="I61" t="s">
        <v>20</v>
      </c>
      <c r="J61" t="s">
        <v>770</v>
      </c>
      <c r="K61" s="50" t="s">
        <v>8</v>
      </c>
    </row>
    <row r="62" spans="1:11" x14ac:dyDescent="0.25">
      <c r="A62" s="50" t="s">
        <v>836</v>
      </c>
      <c r="B62" t="s">
        <v>850</v>
      </c>
      <c r="C62" t="s">
        <v>61</v>
      </c>
      <c r="D62" t="s">
        <v>46</v>
      </c>
      <c r="E62" t="s">
        <v>73</v>
      </c>
      <c r="F62" t="s">
        <v>74</v>
      </c>
      <c r="G62" t="s">
        <v>5</v>
      </c>
      <c r="H62" t="s">
        <v>826</v>
      </c>
      <c r="I62" t="s">
        <v>20</v>
      </c>
      <c r="J62" t="s">
        <v>770</v>
      </c>
      <c r="K62" s="50" t="s">
        <v>8</v>
      </c>
    </row>
    <row r="63" spans="1:11" x14ac:dyDescent="0.25">
      <c r="A63" s="50" t="s">
        <v>836</v>
      </c>
      <c r="B63" t="s">
        <v>850</v>
      </c>
      <c r="C63" t="s">
        <v>61</v>
      </c>
      <c r="D63" t="s">
        <v>44</v>
      </c>
      <c r="E63" t="s">
        <v>682</v>
      </c>
      <c r="F63" t="s">
        <v>755</v>
      </c>
      <c r="G63" t="s">
        <v>5</v>
      </c>
      <c r="H63" t="s">
        <v>826</v>
      </c>
      <c r="I63" t="s">
        <v>20</v>
      </c>
      <c r="J63" t="s">
        <v>770</v>
      </c>
      <c r="K63" s="50" t="s">
        <v>8</v>
      </c>
    </row>
    <row r="64" spans="1:11" x14ac:dyDescent="0.25">
      <c r="A64" s="50" t="s">
        <v>836</v>
      </c>
      <c r="B64" t="s">
        <v>850</v>
      </c>
      <c r="C64" t="s">
        <v>57</v>
      </c>
      <c r="D64" t="s">
        <v>42</v>
      </c>
      <c r="E64" t="s">
        <v>252</v>
      </c>
      <c r="F64" t="s">
        <v>657</v>
      </c>
      <c r="G64" t="s">
        <v>5</v>
      </c>
      <c r="H64" t="s">
        <v>826</v>
      </c>
      <c r="I64" t="s">
        <v>20</v>
      </c>
      <c r="J64" t="s">
        <v>770</v>
      </c>
      <c r="K64" s="50" t="s">
        <v>8</v>
      </c>
    </row>
    <row r="65" spans="1:11" x14ac:dyDescent="0.25">
      <c r="A65" s="50" t="s">
        <v>836</v>
      </c>
      <c r="B65" t="s">
        <v>850</v>
      </c>
      <c r="C65" t="s">
        <v>57</v>
      </c>
      <c r="D65" t="s">
        <v>44</v>
      </c>
      <c r="E65" t="s">
        <v>682</v>
      </c>
      <c r="F65" t="s">
        <v>754</v>
      </c>
      <c r="G65" t="s">
        <v>5</v>
      </c>
      <c r="H65" t="s">
        <v>826</v>
      </c>
      <c r="I65" t="s">
        <v>20</v>
      </c>
      <c r="J65" t="s">
        <v>770</v>
      </c>
      <c r="K65" s="50" t="s">
        <v>8</v>
      </c>
    </row>
    <row r="66" spans="1:11" x14ac:dyDescent="0.25">
      <c r="A66" s="50" t="s">
        <v>836</v>
      </c>
      <c r="B66" t="s">
        <v>850</v>
      </c>
      <c r="C66" t="s">
        <v>61</v>
      </c>
      <c r="D66" t="s">
        <v>46</v>
      </c>
      <c r="E66" t="s">
        <v>69</v>
      </c>
      <c r="F66" t="s">
        <v>731</v>
      </c>
      <c r="G66" t="s">
        <v>5</v>
      </c>
      <c r="H66" t="s">
        <v>826</v>
      </c>
      <c r="I66" t="s">
        <v>20</v>
      </c>
      <c r="J66" t="s">
        <v>770</v>
      </c>
      <c r="K66" s="50" t="s">
        <v>8</v>
      </c>
    </row>
    <row r="67" spans="1:11" x14ac:dyDescent="0.25">
      <c r="A67" s="50" t="s">
        <v>836</v>
      </c>
      <c r="B67" t="s">
        <v>850</v>
      </c>
      <c r="C67" t="s">
        <v>57</v>
      </c>
      <c r="D67" t="s">
        <v>44</v>
      </c>
      <c r="E67" t="s">
        <v>680</v>
      </c>
      <c r="F67" t="s">
        <v>750</v>
      </c>
      <c r="G67" t="s">
        <v>5</v>
      </c>
      <c r="H67" t="s">
        <v>826</v>
      </c>
      <c r="I67" t="s">
        <v>20</v>
      </c>
      <c r="J67" t="s">
        <v>770</v>
      </c>
      <c r="K67" s="50" t="s">
        <v>8</v>
      </c>
    </row>
    <row r="68" spans="1:11" x14ac:dyDescent="0.25">
      <c r="A68" s="50" t="s">
        <v>836</v>
      </c>
      <c r="B68" t="s">
        <v>851</v>
      </c>
      <c r="C68" t="s">
        <v>57</v>
      </c>
      <c r="D68" t="s">
        <v>42</v>
      </c>
      <c r="E68" t="s">
        <v>138</v>
      </c>
      <c r="F68" t="s">
        <v>139</v>
      </c>
      <c r="G68" t="s">
        <v>118</v>
      </c>
      <c r="H68" t="s">
        <v>826</v>
      </c>
      <c r="I68" t="s">
        <v>20</v>
      </c>
      <c r="J68" t="s">
        <v>770</v>
      </c>
      <c r="K68" s="50" t="s">
        <v>120</v>
      </c>
    </row>
    <row r="69" spans="1:11" x14ac:dyDescent="0.25">
      <c r="A69" s="50" t="s">
        <v>836</v>
      </c>
      <c r="B69" t="s">
        <v>851</v>
      </c>
      <c r="C69" t="s">
        <v>57</v>
      </c>
      <c r="D69" t="s">
        <v>42</v>
      </c>
      <c r="E69" t="s">
        <v>73</v>
      </c>
      <c r="F69" t="s">
        <v>140</v>
      </c>
      <c r="G69" t="s">
        <v>118</v>
      </c>
      <c r="H69" t="s">
        <v>826</v>
      </c>
      <c r="I69" t="s">
        <v>20</v>
      </c>
      <c r="J69" t="s">
        <v>770</v>
      </c>
      <c r="K69" s="50" t="s">
        <v>120</v>
      </c>
    </row>
    <row r="70" spans="1:11" x14ac:dyDescent="0.25">
      <c r="A70" s="50" t="s">
        <v>836</v>
      </c>
      <c r="B70" t="s">
        <v>851</v>
      </c>
      <c r="C70" t="s">
        <v>57</v>
      </c>
      <c r="D70" t="s">
        <v>44</v>
      </c>
      <c r="E70" t="s">
        <v>73</v>
      </c>
      <c r="F70" t="s">
        <v>74</v>
      </c>
      <c r="G70" t="s">
        <v>118</v>
      </c>
      <c r="H70" t="s">
        <v>826</v>
      </c>
      <c r="I70" t="s">
        <v>20</v>
      </c>
      <c r="J70" t="s">
        <v>770</v>
      </c>
      <c r="K70" s="50" t="s">
        <v>120</v>
      </c>
    </row>
    <row r="71" spans="1:11" x14ac:dyDescent="0.25">
      <c r="A71" s="50" t="s">
        <v>836</v>
      </c>
      <c r="B71" t="s">
        <v>851</v>
      </c>
      <c r="C71" t="s">
        <v>57</v>
      </c>
      <c r="D71" t="s">
        <v>44</v>
      </c>
      <c r="E71" t="s">
        <v>464</v>
      </c>
      <c r="F71" t="s">
        <v>465</v>
      </c>
      <c r="G71" t="s">
        <v>118</v>
      </c>
      <c r="H71" t="s">
        <v>826</v>
      </c>
      <c r="I71" t="s">
        <v>20</v>
      </c>
      <c r="J71" t="s">
        <v>770</v>
      </c>
      <c r="K71" s="50" t="s">
        <v>120</v>
      </c>
    </row>
    <row r="72" spans="1:11" x14ac:dyDescent="0.25">
      <c r="A72" s="50" t="s">
        <v>836</v>
      </c>
      <c r="B72" t="s">
        <v>851</v>
      </c>
      <c r="C72" t="s">
        <v>61</v>
      </c>
      <c r="D72" t="s">
        <v>44</v>
      </c>
      <c r="E72" t="s">
        <v>138</v>
      </c>
      <c r="F72" t="s">
        <v>139</v>
      </c>
      <c r="G72" t="s">
        <v>118</v>
      </c>
      <c r="H72" t="s">
        <v>826</v>
      </c>
      <c r="I72" t="s">
        <v>20</v>
      </c>
      <c r="J72" t="s">
        <v>770</v>
      </c>
      <c r="K72" s="50" t="s">
        <v>120</v>
      </c>
    </row>
    <row r="73" spans="1:11" x14ac:dyDescent="0.25">
      <c r="A73" s="50" t="s">
        <v>836</v>
      </c>
      <c r="B73" t="s">
        <v>851</v>
      </c>
      <c r="C73" t="s">
        <v>61</v>
      </c>
      <c r="D73" t="s">
        <v>44</v>
      </c>
      <c r="E73" t="s">
        <v>71</v>
      </c>
      <c r="F73" t="s">
        <v>72</v>
      </c>
      <c r="G73" t="s">
        <v>118</v>
      </c>
      <c r="H73" t="s">
        <v>826</v>
      </c>
      <c r="I73" t="s">
        <v>20</v>
      </c>
      <c r="J73" t="s">
        <v>770</v>
      </c>
      <c r="K73" s="50" t="s">
        <v>120</v>
      </c>
    </row>
    <row r="74" spans="1:11" x14ac:dyDescent="0.25">
      <c r="A74" s="50" t="s">
        <v>836</v>
      </c>
      <c r="B74" t="s">
        <v>851</v>
      </c>
      <c r="C74" t="s">
        <v>61</v>
      </c>
      <c r="D74" t="s">
        <v>42</v>
      </c>
      <c r="E74" t="s">
        <v>464</v>
      </c>
      <c r="F74" t="s">
        <v>516</v>
      </c>
      <c r="G74" t="s">
        <v>118</v>
      </c>
      <c r="H74" t="s">
        <v>826</v>
      </c>
      <c r="I74" t="s">
        <v>20</v>
      </c>
      <c r="J74" t="s">
        <v>770</v>
      </c>
      <c r="K74" s="50" t="s">
        <v>120</v>
      </c>
    </row>
    <row r="75" spans="1:11" x14ac:dyDescent="0.25">
      <c r="A75" s="50" t="s">
        <v>836</v>
      </c>
      <c r="B75" t="s">
        <v>851</v>
      </c>
      <c r="C75" t="s">
        <v>61</v>
      </c>
      <c r="D75" t="s">
        <v>46</v>
      </c>
      <c r="E75" t="s">
        <v>138</v>
      </c>
      <c r="F75" t="s">
        <v>699</v>
      </c>
      <c r="G75" t="s">
        <v>118</v>
      </c>
      <c r="H75" t="s">
        <v>826</v>
      </c>
      <c r="I75" t="s">
        <v>20</v>
      </c>
      <c r="J75" t="s">
        <v>770</v>
      </c>
      <c r="K75" s="50" t="s">
        <v>120</v>
      </c>
    </row>
    <row r="76" spans="1:11" x14ac:dyDescent="0.25">
      <c r="A76" s="50" t="s">
        <v>836</v>
      </c>
      <c r="B76" t="s">
        <v>851</v>
      </c>
      <c r="C76" t="s">
        <v>57</v>
      </c>
      <c r="D76" t="s">
        <v>44</v>
      </c>
      <c r="E76" t="s">
        <v>679</v>
      </c>
      <c r="F76" t="s">
        <v>744</v>
      </c>
      <c r="G76" t="s">
        <v>118</v>
      </c>
      <c r="H76" t="s">
        <v>826</v>
      </c>
      <c r="I76" t="s">
        <v>20</v>
      </c>
      <c r="J76" t="s">
        <v>770</v>
      </c>
      <c r="K76" s="50" t="s">
        <v>120</v>
      </c>
    </row>
    <row r="77" spans="1:11" x14ac:dyDescent="0.25">
      <c r="A77" s="50" t="s">
        <v>836</v>
      </c>
      <c r="B77" t="s">
        <v>851</v>
      </c>
      <c r="C77" t="s">
        <v>57</v>
      </c>
      <c r="D77" t="s">
        <v>44</v>
      </c>
      <c r="E77" t="s">
        <v>254</v>
      </c>
      <c r="F77" t="s">
        <v>467</v>
      </c>
      <c r="G77" t="s">
        <v>118</v>
      </c>
      <c r="H77" t="s">
        <v>826</v>
      </c>
      <c r="I77" t="s">
        <v>20</v>
      </c>
      <c r="J77" t="s">
        <v>770</v>
      </c>
      <c r="K77" s="50" t="s">
        <v>120</v>
      </c>
    </row>
    <row r="78" spans="1:11" x14ac:dyDescent="0.25">
      <c r="A78" s="50" t="s">
        <v>836</v>
      </c>
      <c r="B78" t="s">
        <v>851</v>
      </c>
      <c r="C78" t="s">
        <v>57</v>
      </c>
      <c r="D78" t="s">
        <v>44</v>
      </c>
      <c r="E78" t="s">
        <v>254</v>
      </c>
      <c r="F78" t="s">
        <v>255</v>
      </c>
      <c r="G78" t="s">
        <v>118</v>
      </c>
      <c r="H78" t="s">
        <v>826</v>
      </c>
      <c r="I78" t="s">
        <v>20</v>
      </c>
      <c r="J78" t="s">
        <v>770</v>
      </c>
      <c r="K78" s="50" t="s">
        <v>120</v>
      </c>
    </row>
    <row r="79" spans="1:11" x14ac:dyDescent="0.25">
      <c r="A79" s="50" t="s">
        <v>836</v>
      </c>
      <c r="B79" t="s">
        <v>852</v>
      </c>
      <c r="C79" t="s">
        <v>57</v>
      </c>
      <c r="D79" t="s">
        <v>42</v>
      </c>
      <c r="E79" t="s">
        <v>138</v>
      </c>
      <c r="F79" t="s">
        <v>139</v>
      </c>
      <c r="G79" t="s">
        <v>176</v>
      </c>
      <c r="H79" t="s">
        <v>826</v>
      </c>
      <c r="I79" t="s">
        <v>20</v>
      </c>
      <c r="J79" t="s">
        <v>770</v>
      </c>
      <c r="K79" s="50" t="s">
        <v>178</v>
      </c>
    </row>
    <row r="80" spans="1:11" x14ac:dyDescent="0.25">
      <c r="A80" s="50" t="s">
        <v>836</v>
      </c>
      <c r="B80" t="s">
        <v>852</v>
      </c>
      <c r="C80" t="s">
        <v>57</v>
      </c>
      <c r="D80" t="s">
        <v>42</v>
      </c>
      <c r="E80" t="s">
        <v>138</v>
      </c>
      <c r="F80" t="s">
        <v>196</v>
      </c>
      <c r="G80" t="s">
        <v>176</v>
      </c>
      <c r="H80" t="s">
        <v>826</v>
      </c>
      <c r="I80" t="s">
        <v>20</v>
      </c>
      <c r="J80" t="s">
        <v>770</v>
      </c>
      <c r="K80" s="50" t="s">
        <v>178</v>
      </c>
    </row>
    <row r="81" spans="1:11" x14ac:dyDescent="0.25">
      <c r="A81" s="50" t="s">
        <v>836</v>
      </c>
      <c r="B81" t="s">
        <v>852</v>
      </c>
      <c r="C81" t="s">
        <v>57</v>
      </c>
      <c r="D81" t="s">
        <v>46</v>
      </c>
      <c r="E81" t="s">
        <v>71</v>
      </c>
      <c r="F81" t="s">
        <v>197</v>
      </c>
      <c r="G81" t="s">
        <v>176</v>
      </c>
      <c r="H81" t="s">
        <v>826</v>
      </c>
      <c r="I81" t="s">
        <v>20</v>
      </c>
      <c r="J81" t="s">
        <v>770</v>
      </c>
      <c r="K81" s="50" t="s">
        <v>178</v>
      </c>
    </row>
    <row r="82" spans="1:11" x14ac:dyDescent="0.25">
      <c r="A82" s="50" t="s">
        <v>836</v>
      </c>
      <c r="B82" t="s">
        <v>852</v>
      </c>
      <c r="C82" t="s">
        <v>57</v>
      </c>
      <c r="D82" t="s">
        <v>42</v>
      </c>
      <c r="E82" t="s">
        <v>252</v>
      </c>
      <c r="F82" t="s">
        <v>706</v>
      </c>
      <c r="G82" t="s">
        <v>176</v>
      </c>
      <c r="H82" t="s">
        <v>826</v>
      </c>
      <c r="I82" t="s">
        <v>20</v>
      </c>
      <c r="J82" t="s">
        <v>770</v>
      </c>
      <c r="K82" s="50" t="s">
        <v>178</v>
      </c>
    </row>
    <row r="83" spans="1:11" x14ac:dyDescent="0.25">
      <c r="A83" s="50" t="s">
        <v>836</v>
      </c>
      <c r="B83" t="s">
        <v>852</v>
      </c>
      <c r="C83" t="s">
        <v>57</v>
      </c>
      <c r="D83" t="s">
        <v>46</v>
      </c>
      <c r="E83" t="s">
        <v>252</v>
      </c>
      <c r="F83" t="s">
        <v>674</v>
      </c>
      <c r="G83" t="s">
        <v>176</v>
      </c>
      <c r="H83" t="s">
        <v>826</v>
      </c>
      <c r="I83" t="s">
        <v>20</v>
      </c>
      <c r="J83" t="s">
        <v>770</v>
      </c>
      <c r="K83" s="50" t="s">
        <v>178</v>
      </c>
    </row>
    <row r="84" spans="1:11" x14ac:dyDescent="0.25">
      <c r="A84" s="50" t="s">
        <v>836</v>
      </c>
      <c r="B84" t="s">
        <v>852</v>
      </c>
      <c r="C84" t="s">
        <v>57</v>
      </c>
      <c r="D84" t="s">
        <v>46</v>
      </c>
      <c r="E84" t="s">
        <v>464</v>
      </c>
      <c r="F84" t="s">
        <v>729</v>
      </c>
      <c r="G84" t="s">
        <v>176</v>
      </c>
      <c r="H84" t="s">
        <v>826</v>
      </c>
      <c r="I84" t="s">
        <v>20</v>
      </c>
      <c r="J84" t="s">
        <v>770</v>
      </c>
      <c r="K84" s="50" t="s">
        <v>178</v>
      </c>
    </row>
    <row r="85" spans="1:11" x14ac:dyDescent="0.25">
      <c r="A85" s="50" t="s">
        <v>836</v>
      </c>
      <c r="B85" t="s">
        <v>852</v>
      </c>
      <c r="C85" t="s">
        <v>61</v>
      </c>
      <c r="D85" t="s">
        <v>42</v>
      </c>
      <c r="E85" t="s">
        <v>73</v>
      </c>
      <c r="F85" t="s">
        <v>140</v>
      </c>
      <c r="G85" t="s">
        <v>176</v>
      </c>
      <c r="H85" t="s">
        <v>826</v>
      </c>
      <c r="I85" t="s">
        <v>20</v>
      </c>
      <c r="J85" t="s">
        <v>770</v>
      </c>
      <c r="K85" s="50" t="s">
        <v>178</v>
      </c>
    </row>
    <row r="86" spans="1:11" x14ac:dyDescent="0.25">
      <c r="A86" s="50" t="s">
        <v>836</v>
      </c>
      <c r="B86" t="s">
        <v>852</v>
      </c>
      <c r="C86" t="s">
        <v>61</v>
      </c>
      <c r="D86" t="s">
        <v>44</v>
      </c>
      <c r="E86" t="s">
        <v>138</v>
      </c>
      <c r="F86" t="s">
        <v>198</v>
      </c>
      <c r="G86" t="s">
        <v>176</v>
      </c>
      <c r="H86" t="s">
        <v>826</v>
      </c>
      <c r="I86" t="s">
        <v>20</v>
      </c>
      <c r="J86" t="s">
        <v>770</v>
      </c>
      <c r="K86" s="50" t="s">
        <v>178</v>
      </c>
    </row>
    <row r="87" spans="1:11" x14ac:dyDescent="0.25">
      <c r="A87" s="50" t="s">
        <v>836</v>
      </c>
      <c r="B87" t="s">
        <v>852</v>
      </c>
      <c r="C87" t="s">
        <v>61</v>
      </c>
      <c r="D87" t="s">
        <v>44</v>
      </c>
      <c r="E87" t="s">
        <v>679</v>
      </c>
      <c r="F87" t="s">
        <v>738</v>
      </c>
      <c r="G87" t="s">
        <v>176</v>
      </c>
      <c r="H87" t="s">
        <v>826</v>
      </c>
      <c r="I87" t="s">
        <v>20</v>
      </c>
      <c r="J87" t="s">
        <v>770</v>
      </c>
      <c r="K87" s="50" t="s">
        <v>178</v>
      </c>
    </row>
    <row r="88" spans="1:11" x14ac:dyDescent="0.25">
      <c r="A88" s="50" t="s">
        <v>836</v>
      </c>
      <c r="B88" t="s">
        <v>852</v>
      </c>
      <c r="C88" t="s">
        <v>57</v>
      </c>
      <c r="D88" t="s">
        <v>46</v>
      </c>
      <c r="E88" t="s">
        <v>252</v>
      </c>
      <c r="F88" t="s">
        <v>934</v>
      </c>
      <c r="G88" t="s">
        <v>176</v>
      </c>
      <c r="H88" t="s">
        <v>826</v>
      </c>
      <c r="I88" t="s">
        <v>20</v>
      </c>
      <c r="J88" t="s">
        <v>770</v>
      </c>
      <c r="K88" s="50" t="s">
        <v>178</v>
      </c>
    </row>
    <row r="89" spans="1:11" x14ac:dyDescent="0.25">
      <c r="A89" s="50" t="s">
        <v>836</v>
      </c>
      <c r="B89" t="s">
        <v>852</v>
      </c>
      <c r="C89" t="s">
        <v>57</v>
      </c>
      <c r="D89" t="s">
        <v>46</v>
      </c>
      <c r="E89" t="s">
        <v>679</v>
      </c>
      <c r="F89" t="s">
        <v>744</v>
      </c>
      <c r="G89" t="s">
        <v>176</v>
      </c>
      <c r="H89" t="s">
        <v>826</v>
      </c>
      <c r="I89" t="s">
        <v>20</v>
      </c>
      <c r="J89" t="s">
        <v>770</v>
      </c>
      <c r="K89" s="50" t="s">
        <v>178</v>
      </c>
    </row>
    <row r="90" spans="1:11" x14ac:dyDescent="0.25">
      <c r="A90" s="50" t="s">
        <v>836</v>
      </c>
      <c r="B90" t="s">
        <v>852</v>
      </c>
      <c r="C90" t="s">
        <v>61</v>
      </c>
      <c r="D90" t="s">
        <v>42</v>
      </c>
      <c r="E90" t="s">
        <v>682</v>
      </c>
      <c r="F90" t="s">
        <v>751</v>
      </c>
      <c r="G90" t="s">
        <v>176</v>
      </c>
      <c r="H90" t="s">
        <v>826</v>
      </c>
      <c r="I90" t="s">
        <v>20</v>
      </c>
      <c r="J90" t="s">
        <v>770</v>
      </c>
      <c r="K90" s="50" t="s">
        <v>178</v>
      </c>
    </row>
    <row r="91" spans="1:11" x14ac:dyDescent="0.25">
      <c r="A91" s="50" t="s">
        <v>836</v>
      </c>
      <c r="B91" t="s">
        <v>853</v>
      </c>
      <c r="C91" t="s">
        <v>57</v>
      </c>
      <c r="D91" t="s">
        <v>46</v>
      </c>
      <c r="E91" t="s">
        <v>138</v>
      </c>
      <c r="F91" t="s">
        <v>139</v>
      </c>
      <c r="G91" t="s">
        <v>234</v>
      </c>
      <c r="H91" t="s">
        <v>826</v>
      </c>
      <c r="I91" t="s">
        <v>20</v>
      </c>
      <c r="J91" t="s">
        <v>770</v>
      </c>
      <c r="K91" s="50" t="s">
        <v>236</v>
      </c>
    </row>
    <row r="92" spans="1:11" x14ac:dyDescent="0.25">
      <c r="A92" s="50" t="s">
        <v>836</v>
      </c>
      <c r="B92" t="s">
        <v>853</v>
      </c>
      <c r="C92" t="s">
        <v>57</v>
      </c>
      <c r="D92" t="s">
        <v>46</v>
      </c>
      <c r="E92" t="s">
        <v>252</v>
      </c>
      <c r="F92" t="s">
        <v>253</v>
      </c>
      <c r="G92" t="s">
        <v>234</v>
      </c>
      <c r="H92" t="s">
        <v>826</v>
      </c>
      <c r="I92" t="s">
        <v>20</v>
      </c>
      <c r="J92" t="s">
        <v>770</v>
      </c>
      <c r="K92" s="50" t="s">
        <v>236</v>
      </c>
    </row>
    <row r="93" spans="1:11" x14ac:dyDescent="0.25">
      <c r="A93" s="50" t="s">
        <v>836</v>
      </c>
      <c r="B93" t="s">
        <v>853</v>
      </c>
      <c r="C93" t="s">
        <v>57</v>
      </c>
      <c r="D93" t="s">
        <v>46</v>
      </c>
      <c r="E93" t="s">
        <v>464</v>
      </c>
      <c r="F93" t="s">
        <v>517</v>
      </c>
      <c r="G93" t="s">
        <v>234</v>
      </c>
      <c r="H93" t="s">
        <v>826</v>
      </c>
      <c r="I93" t="s">
        <v>20</v>
      </c>
      <c r="J93" t="s">
        <v>770</v>
      </c>
      <c r="K93" s="50" t="s">
        <v>236</v>
      </c>
    </row>
    <row r="94" spans="1:11" x14ac:dyDescent="0.25">
      <c r="A94" s="50" t="s">
        <v>836</v>
      </c>
      <c r="B94" t="s">
        <v>853</v>
      </c>
      <c r="C94" t="s">
        <v>57</v>
      </c>
      <c r="D94" t="s">
        <v>46</v>
      </c>
      <c r="E94" t="s">
        <v>464</v>
      </c>
      <c r="F94" t="s">
        <v>728</v>
      </c>
      <c r="G94" t="s">
        <v>234</v>
      </c>
      <c r="H94" t="s">
        <v>826</v>
      </c>
      <c r="I94" t="s">
        <v>20</v>
      </c>
      <c r="J94" t="s">
        <v>770</v>
      </c>
      <c r="K94" s="50" t="s">
        <v>236</v>
      </c>
    </row>
    <row r="95" spans="1:11" x14ac:dyDescent="0.25">
      <c r="A95" s="50" t="s">
        <v>836</v>
      </c>
      <c r="B95" t="s">
        <v>853</v>
      </c>
      <c r="C95" t="s">
        <v>61</v>
      </c>
      <c r="D95" t="s">
        <v>42</v>
      </c>
      <c r="E95" t="s">
        <v>138</v>
      </c>
      <c r="F95" t="s">
        <v>196</v>
      </c>
      <c r="G95" t="s">
        <v>234</v>
      </c>
      <c r="H95" t="s">
        <v>826</v>
      </c>
      <c r="I95" t="s">
        <v>20</v>
      </c>
      <c r="J95" t="s">
        <v>770</v>
      </c>
      <c r="K95" s="50" t="s">
        <v>236</v>
      </c>
    </row>
    <row r="96" spans="1:11" x14ac:dyDescent="0.25">
      <c r="A96" s="50" t="s">
        <v>836</v>
      </c>
      <c r="B96" t="s">
        <v>853</v>
      </c>
      <c r="C96" t="s">
        <v>61</v>
      </c>
      <c r="D96" t="s">
        <v>44</v>
      </c>
      <c r="E96" t="s">
        <v>254</v>
      </c>
      <c r="F96" t="s">
        <v>255</v>
      </c>
      <c r="G96" t="s">
        <v>234</v>
      </c>
      <c r="H96" t="s">
        <v>826</v>
      </c>
      <c r="I96" t="s">
        <v>20</v>
      </c>
      <c r="J96" t="s">
        <v>770</v>
      </c>
      <c r="K96" s="50" t="s">
        <v>236</v>
      </c>
    </row>
    <row r="97" spans="1:11" x14ac:dyDescent="0.25">
      <c r="A97" s="50" t="s">
        <v>836</v>
      </c>
      <c r="B97" t="s">
        <v>853</v>
      </c>
      <c r="C97" t="s">
        <v>61</v>
      </c>
      <c r="D97" t="s">
        <v>44</v>
      </c>
      <c r="E97" t="s">
        <v>71</v>
      </c>
      <c r="F97" t="s">
        <v>358</v>
      </c>
      <c r="G97" t="s">
        <v>234</v>
      </c>
      <c r="H97" t="s">
        <v>826</v>
      </c>
      <c r="I97" t="s">
        <v>20</v>
      </c>
      <c r="J97" t="s">
        <v>770</v>
      </c>
      <c r="K97" s="50" t="s">
        <v>236</v>
      </c>
    </row>
    <row r="98" spans="1:11" x14ac:dyDescent="0.25">
      <c r="A98" s="50" t="s">
        <v>836</v>
      </c>
      <c r="B98" t="s">
        <v>853</v>
      </c>
      <c r="C98" t="s">
        <v>57</v>
      </c>
      <c r="D98" t="s">
        <v>44</v>
      </c>
      <c r="E98" t="s">
        <v>680</v>
      </c>
      <c r="F98" t="s">
        <v>747</v>
      </c>
      <c r="G98" t="s">
        <v>234</v>
      </c>
      <c r="H98" t="s">
        <v>826</v>
      </c>
      <c r="I98" t="s">
        <v>20</v>
      </c>
      <c r="J98" t="s">
        <v>770</v>
      </c>
      <c r="K98" s="50" t="s">
        <v>236</v>
      </c>
    </row>
    <row r="99" spans="1:11" x14ac:dyDescent="0.25">
      <c r="A99" s="50" t="s">
        <v>836</v>
      </c>
      <c r="B99" t="s">
        <v>854</v>
      </c>
      <c r="C99" t="s">
        <v>57</v>
      </c>
      <c r="D99" t="s">
        <v>42</v>
      </c>
      <c r="E99" t="s">
        <v>71</v>
      </c>
      <c r="F99" t="s">
        <v>72</v>
      </c>
      <c r="G99" t="s">
        <v>284</v>
      </c>
      <c r="H99" t="s">
        <v>826</v>
      </c>
      <c r="I99" t="s">
        <v>20</v>
      </c>
      <c r="J99" t="s">
        <v>770</v>
      </c>
      <c r="K99" s="50" t="s">
        <v>286</v>
      </c>
    </row>
    <row r="100" spans="1:11" x14ac:dyDescent="0.25">
      <c r="A100" s="50" t="s">
        <v>836</v>
      </c>
      <c r="B100" t="s">
        <v>854</v>
      </c>
      <c r="C100" t="s">
        <v>57</v>
      </c>
      <c r="D100" t="s">
        <v>42</v>
      </c>
      <c r="E100" t="s">
        <v>69</v>
      </c>
      <c r="F100" t="s">
        <v>302</v>
      </c>
      <c r="G100" t="s">
        <v>284</v>
      </c>
      <c r="H100" t="s">
        <v>826</v>
      </c>
      <c r="I100" t="s">
        <v>20</v>
      </c>
      <c r="J100" t="s">
        <v>770</v>
      </c>
      <c r="K100" s="50" t="s">
        <v>286</v>
      </c>
    </row>
    <row r="101" spans="1:11" x14ac:dyDescent="0.25">
      <c r="A101" s="50" t="s">
        <v>836</v>
      </c>
      <c r="B101" t="s">
        <v>854</v>
      </c>
      <c r="C101" t="s">
        <v>57</v>
      </c>
      <c r="D101" t="s">
        <v>44</v>
      </c>
      <c r="E101" t="s">
        <v>138</v>
      </c>
      <c r="F101" t="s">
        <v>196</v>
      </c>
      <c r="G101" t="s">
        <v>284</v>
      </c>
      <c r="H101" t="s">
        <v>826</v>
      </c>
      <c r="I101" t="s">
        <v>20</v>
      </c>
      <c r="J101" t="s">
        <v>770</v>
      </c>
      <c r="K101" s="50" t="s">
        <v>286</v>
      </c>
    </row>
    <row r="102" spans="1:11" x14ac:dyDescent="0.25">
      <c r="A102" s="50" t="s">
        <v>836</v>
      </c>
      <c r="B102" t="s">
        <v>854</v>
      </c>
      <c r="C102" t="s">
        <v>57</v>
      </c>
      <c r="D102" t="s">
        <v>42</v>
      </c>
      <c r="E102" t="s">
        <v>679</v>
      </c>
      <c r="F102" t="s">
        <v>743</v>
      </c>
      <c r="G102" t="s">
        <v>284</v>
      </c>
      <c r="H102" t="s">
        <v>826</v>
      </c>
      <c r="I102" t="s">
        <v>20</v>
      </c>
      <c r="J102" t="s">
        <v>770</v>
      </c>
      <c r="K102" s="50" t="s">
        <v>286</v>
      </c>
    </row>
    <row r="103" spans="1:11" x14ac:dyDescent="0.25">
      <c r="A103" s="50" t="s">
        <v>836</v>
      </c>
      <c r="B103" t="s">
        <v>854</v>
      </c>
      <c r="C103" t="s">
        <v>57</v>
      </c>
      <c r="D103" t="s">
        <v>44</v>
      </c>
      <c r="E103" t="s">
        <v>73</v>
      </c>
      <c r="F103" t="s">
        <v>466</v>
      </c>
      <c r="G103" t="s">
        <v>284</v>
      </c>
      <c r="H103" t="s">
        <v>826</v>
      </c>
      <c r="I103" t="s">
        <v>20</v>
      </c>
      <c r="J103" t="s">
        <v>770</v>
      </c>
      <c r="K103" s="50" t="s">
        <v>286</v>
      </c>
    </row>
    <row r="104" spans="1:11" x14ac:dyDescent="0.25">
      <c r="A104" s="50" t="s">
        <v>836</v>
      </c>
      <c r="B104" t="s">
        <v>854</v>
      </c>
      <c r="C104" t="s">
        <v>61</v>
      </c>
      <c r="D104" t="s">
        <v>46</v>
      </c>
      <c r="E104" t="s">
        <v>73</v>
      </c>
      <c r="F104" t="s">
        <v>303</v>
      </c>
      <c r="G104" t="s">
        <v>284</v>
      </c>
      <c r="H104" t="s">
        <v>826</v>
      </c>
      <c r="I104" t="s">
        <v>20</v>
      </c>
      <c r="J104" t="s">
        <v>770</v>
      </c>
      <c r="K104" s="50" t="s">
        <v>286</v>
      </c>
    </row>
    <row r="105" spans="1:11" x14ac:dyDescent="0.25">
      <c r="A105" s="50" t="s">
        <v>836</v>
      </c>
      <c r="B105" t="s">
        <v>854</v>
      </c>
      <c r="C105" t="s">
        <v>61</v>
      </c>
      <c r="D105" t="s">
        <v>46</v>
      </c>
      <c r="E105" t="s">
        <v>69</v>
      </c>
      <c r="F105" t="s">
        <v>70</v>
      </c>
      <c r="G105" t="s">
        <v>284</v>
      </c>
      <c r="H105" t="s">
        <v>826</v>
      </c>
      <c r="I105" t="s">
        <v>20</v>
      </c>
      <c r="J105" t="s">
        <v>770</v>
      </c>
      <c r="K105" s="50" t="s">
        <v>286</v>
      </c>
    </row>
    <row r="106" spans="1:11" x14ac:dyDescent="0.25">
      <c r="A106" s="50" t="s">
        <v>836</v>
      </c>
      <c r="B106" t="s">
        <v>854</v>
      </c>
      <c r="C106" t="s">
        <v>61</v>
      </c>
      <c r="D106" t="s">
        <v>46</v>
      </c>
      <c r="E106" t="s">
        <v>679</v>
      </c>
      <c r="F106" t="s">
        <v>740</v>
      </c>
      <c r="G106" t="s">
        <v>284</v>
      </c>
      <c r="H106" t="s">
        <v>826</v>
      </c>
      <c r="I106" t="s">
        <v>20</v>
      </c>
      <c r="J106" t="s">
        <v>770</v>
      </c>
      <c r="K106" s="50" t="s">
        <v>286</v>
      </c>
    </row>
    <row r="107" spans="1:11" x14ac:dyDescent="0.25">
      <c r="A107" s="50" t="s">
        <v>836</v>
      </c>
      <c r="B107" t="s">
        <v>854</v>
      </c>
      <c r="C107" t="s">
        <v>57</v>
      </c>
      <c r="D107" t="s">
        <v>44</v>
      </c>
      <c r="E107" t="s">
        <v>71</v>
      </c>
      <c r="F107" t="s">
        <v>724</v>
      </c>
      <c r="G107" t="s">
        <v>284</v>
      </c>
      <c r="H107" t="s">
        <v>826</v>
      </c>
      <c r="I107" t="s">
        <v>20</v>
      </c>
      <c r="J107" t="s">
        <v>770</v>
      </c>
      <c r="K107" s="50" t="s">
        <v>286</v>
      </c>
    </row>
    <row r="108" spans="1:11" x14ac:dyDescent="0.25">
      <c r="A108" s="50" t="s">
        <v>836</v>
      </c>
      <c r="B108" t="s">
        <v>854</v>
      </c>
      <c r="C108" t="s">
        <v>61</v>
      </c>
      <c r="D108" t="s">
        <v>46</v>
      </c>
      <c r="E108" t="s">
        <v>69</v>
      </c>
      <c r="F108" t="s">
        <v>732</v>
      </c>
      <c r="G108" t="s">
        <v>284</v>
      </c>
      <c r="H108" t="s">
        <v>826</v>
      </c>
      <c r="I108" t="s">
        <v>20</v>
      </c>
      <c r="J108" t="s">
        <v>770</v>
      </c>
      <c r="K108" s="50" t="s">
        <v>286</v>
      </c>
    </row>
    <row r="109" spans="1:11" x14ac:dyDescent="0.25">
      <c r="A109" s="50" t="s">
        <v>836</v>
      </c>
      <c r="B109" t="s">
        <v>854</v>
      </c>
      <c r="C109" t="s">
        <v>57</v>
      </c>
      <c r="D109" t="s">
        <v>44</v>
      </c>
      <c r="E109" t="s">
        <v>679</v>
      </c>
      <c r="F109" t="s">
        <v>744</v>
      </c>
      <c r="G109" t="s">
        <v>284</v>
      </c>
      <c r="H109" t="s">
        <v>826</v>
      </c>
      <c r="I109" t="s">
        <v>20</v>
      </c>
      <c r="J109" t="s">
        <v>770</v>
      </c>
      <c r="K109" s="50" t="s">
        <v>286</v>
      </c>
    </row>
    <row r="110" spans="1:11" x14ac:dyDescent="0.25">
      <c r="A110" s="50" t="s">
        <v>836</v>
      </c>
      <c r="B110" t="s">
        <v>854</v>
      </c>
      <c r="C110" t="s">
        <v>57</v>
      </c>
      <c r="D110" t="s">
        <v>44</v>
      </c>
      <c r="E110" t="s">
        <v>682</v>
      </c>
      <c r="F110" t="s">
        <v>754</v>
      </c>
      <c r="G110" t="s">
        <v>284</v>
      </c>
      <c r="H110" t="s">
        <v>826</v>
      </c>
      <c r="I110" t="s">
        <v>20</v>
      </c>
      <c r="J110" t="s">
        <v>770</v>
      </c>
      <c r="K110" s="50" t="s">
        <v>286</v>
      </c>
    </row>
    <row r="111" spans="1:11" x14ac:dyDescent="0.25">
      <c r="A111" s="50" t="s">
        <v>836</v>
      </c>
      <c r="B111" t="s">
        <v>854</v>
      </c>
      <c r="C111" t="s">
        <v>57</v>
      </c>
      <c r="D111" t="s">
        <v>42</v>
      </c>
      <c r="E111" t="s">
        <v>679</v>
      </c>
      <c r="F111" t="s">
        <v>738</v>
      </c>
      <c r="G111" t="s">
        <v>284</v>
      </c>
      <c r="H111" t="s">
        <v>826</v>
      </c>
      <c r="I111" t="s">
        <v>20</v>
      </c>
      <c r="J111" t="s">
        <v>770</v>
      </c>
      <c r="K111" s="50" t="s">
        <v>286</v>
      </c>
    </row>
    <row r="112" spans="1:11" x14ac:dyDescent="0.25">
      <c r="A112" s="50" t="s">
        <v>836</v>
      </c>
      <c r="B112" t="s">
        <v>854</v>
      </c>
      <c r="C112" t="s">
        <v>61</v>
      </c>
      <c r="D112" t="s">
        <v>46</v>
      </c>
      <c r="E112" t="s">
        <v>69</v>
      </c>
      <c r="F112" t="s">
        <v>75</v>
      </c>
      <c r="G112" t="s">
        <v>284</v>
      </c>
      <c r="H112" t="s">
        <v>826</v>
      </c>
      <c r="I112" t="s">
        <v>20</v>
      </c>
      <c r="J112" t="s">
        <v>770</v>
      </c>
      <c r="K112" s="50" t="s">
        <v>286</v>
      </c>
    </row>
    <row r="113" spans="1:11" x14ac:dyDescent="0.25">
      <c r="A113" s="50" t="s">
        <v>836</v>
      </c>
      <c r="B113" t="s">
        <v>855</v>
      </c>
      <c r="C113" t="s">
        <v>57</v>
      </c>
      <c r="D113" t="s">
        <v>42</v>
      </c>
      <c r="E113" t="s">
        <v>73</v>
      </c>
      <c r="F113" t="s">
        <v>140</v>
      </c>
      <c r="G113" t="s">
        <v>339</v>
      </c>
      <c r="H113" t="s">
        <v>826</v>
      </c>
      <c r="I113" t="s">
        <v>20</v>
      </c>
      <c r="J113" t="s">
        <v>770</v>
      </c>
      <c r="K113" s="50" t="s">
        <v>341</v>
      </c>
    </row>
    <row r="114" spans="1:11" x14ac:dyDescent="0.25">
      <c r="A114" s="50" t="s">
        <v>836</v>
      </c>
      <c r="B114" t="s">
        <v>855</v>
      </c>
      <c r="C114" t="s">
        <v>57</v>
      </c>
      <c r="D114" t="s">
        <v>42</v>
      </c>
      <c r="E114" t="s">
        <v>138</v>
      </c>
      <c r="F114" t="s">
        <v>198</v>
      </c>
      <c r="G114" t="s">
        <v>339</v>
      </c>
      <c r="H114" t="s">
        <v>826</v>
      </c>
      <c r="I114" t="s">
        <v>20</v>
      </c>
      <c r="J114" t="s">
        <v>770</v>
      </c>
      <c r="K114" s="50" t="s">
        <v>341</v>
      </c>
    </row>
    <row r="115" spans="1:11" x14ac:dyDescent="0.25">
      <c r="A115" s="50" t="s">
        <v>836</v>
      </c>
      <c r="B115" t="s">
        <v>855</v>
      </c>
      <c r="C115" t="s">
        <v>57</v>
      </c>
      <c r="D115" t="s">
        <v>46</v>
      </c>
      <c r="E115" t="s">
        <v>254</v>
      </c>
      <c r="F115" t="s">
        <v>357</v>
      </c>
      <c r="G115" t="s">
        <v>339</v>
      </c>
      <c r="H115" t="s">
        <v>826</v>
      </c>
      <c r="I115" t="s">
        <v>20</v>
      </c>
      <c r="J115" t="s">
        <v>770</v>
      </c>
      <c r="K115" s="50" t="s">
        <v>341</v>
      </c>
    </row>
    <row r="116" spans="1:11" x14ac:dyDescent="0.25">
      <c r="A116" s="50" t="s">
        <v>836</v>
      </c>
      <c r="B116" t="s">
        <v>855</v>
      </c>
      <c r="C116" t="s">
        <v>57</v>
      </c>
      <c r="D116" t="s">
        <v>46</v>
      </c>
      <c r="E116" t="s">
        <v>252</v>
      </c>
      <c r="F116" t="s">
        <v>718</v>
      </c>
      <c r="G116" t="s">
        <v>339</v>
      </c>
      <c r="H116" t="s">
        <v>826</v>
      </c>
      <c r="I116" t="s">
        <v>20</v>
      </c>
      <c r="J116" t="s">
        <v>770</v>
      </c>
      <c r="K116" s="50" t="s">
        <v>341</v>
      </c>
    </row>
    <row r="117" spans="1:11" x14ac:dyDescent="0.25">
      <c r="A117" s="50" t="s">
        <v>836</v>
      </c>
      <c r="B117" t="s">
        <v>855</v>
      </c>
      <c r="C117" t="s">
        <v>57</v>
      </c>
      <c r="D117" t="s">
        <v>46</v>
      </c>
      <c r="E117" t="s">
        <v>680</v>
      </c>
      <c r="F117" t="s">
        <v>748</v>
      </c>
      <c r="G117" t="s">
        <v>339</v>
      </c>
      <c r="H117" t="s">
        <v>826</v>
      </c>
      <c r="I117" t="s">
        <v>20</v>
      </c>
      <c r="J117" t="s">
        <v>770</v>
      </c>
      <c r="K117" s="50" t="s">
        <v>341</v>
      </c>
    </row>
    <row r="118" spans="1:11" x14ac:dyDescent="0.25">
      <c r="A118" s="50" t="s">
        <v>836</v>
      </c>
      <c r="B118" t="s">
        <v>855</v>
      </c>
      <c r="C118" t="s">
        <v>61</v>
      </c>
      <c r="D118" t="s">
        <v>42</v>
      </c>
      <c r="E118" t="s">
        <v>138</v>
      </c>
      <c r="F118" t="s">
        <v>196</v>
      </c>
      <c r="G118" t="s">
        <v>339</v>
      </c>
      <c r="H118" t="s">
        <v>826</v>
      </c>
      <c r="I118" t="s">
        <v>20</v>
      </c>
      <c r="J118" t="s">
        <v>770</v>
      </c>
      <c r="K118" s="50" t="s">
        <v>341</v>
      </c>
    </row>
    <row r="119" spans="1:11" x14ac:dyDescent="0.25">
      <c r="A119" s="50" t="s">
        <v>836</v>
      </c>
      <c r="B119" t="s">
        <v>855</v>
      </c>
      <c r="C119" t="s">
        <v>61</v>
      </c>
      <c r="D119" t="s">
        <v>44</v>
      </c>
      <c r="E119" t="s">
        <v>71</v>
      </c>
      <c r="F119" t="s">
        <v>358</v>
      </c>
      <c r="G119" t="s">
        <v>339</v>
      </c>
      <c r="H119" t="s">
        <v>826</v>
      </c>
      <c r="I119" t="s">
        <v>20</v>
      </c>
      <c r="J119" t="s">
        <v>770</v>
      </c>
      <c r="K119" s="50" t="s">
        <v>341</v>
      </c>
    </row>
    <row r="120" spans="1:11" x14ac:dyDescent="0.25">
      <c r="A120" s="50" t="s">
        <v>836</v>
      </c>
      <c r="B120" t="s">
        <v>855</v>
      </c>
      <c r="C120" t="s">
        <v>61</v>
      </c>
      <c r="D120" t="s">
        <v>44</v>
      </c>
      <c r="E120" t="s">
        <v>680</v>
      </c>
      <c r="F120" t="s">
        <v>747</v>
      </c>
      <c r="G120" t="s">
        <v>339</v>
      </c>
      <c r="H120" t="s">
        <v>826</v>
      </c>
      <c r="I120" t="s">
        <v>20</v>
      </c>
      <c r="J120" t="s">
        <v>770</v>
      </c>
      <c r="K120" s="50" t="s">
        <v>341</v>
      </c>
    </row>
    <row r="121" spans="1:11" x14ac:dyDescent="0.25">
      <c r="A121" s="50" t="s">
        <v>836</v>
      </c>
      <c r="B121" t="s">
        <v>855</v>
      </c>
      <c r="C121" t="s">
        <v>57</v>
      </c>
      <c r="D121" t="s">
        <v>46</v>
      </c>
      <c r="E121" t="s">
        <v>254</v>
      </c>
      <c r="F121" t="s">
        <v>734</v>
      </c>
      <c r="G121" t="s">
        <v>339</v>
      </c>
      <c r="H121" t="s">
        <v>826</v>
      </c>
      <c r="I121" t="s">
        <v>20</v>
      </c>
      <c r="J121" t="s">
        <v>770</v>
      </c>
      <c r="K121" s="50" t="s">
        <v>341</v>
      </c>
    </row>
    <row r="122" spans="1:11" x14ac:dyDescent="0.25">
      <c r="A122" s="50" t="s">
        <v>836</v>
      </c>
      <c r="B122" t="s">
        <v>855</v>
      </c>
      <c r="C122" t="s">
        <v>57</v>
      </c>
      <c r="D122" t="s">
        <v>46</v>
      </c>
      <c r="E122" t="s">
        <v>254</v>
      </c>
      <c r="F122" t="s">
        <v>735</v>
      </c>
      <c r="G122" t="s">
        <v>339</v>
      </c>
      <c r="H122" t="s">
        <v>826</v>
      </c>
      <c r="I122" t="s">
        <v>20</v>
      </c>
      <c r="J122" t="s">
        <v>770</v>
      </c>
      <c r="K122" s="50" t="s">
        <v>341</v>
      </c>
    </row>
    <row r="123" spans="1:11" x14ac:dyDescent="0.25">
      <c r="A123" s="50" t="s">
        <v>836</v>
      </c>
      <c r="B123" t="s">
        <v>855</v>
      </c>
      <c r="C123" t="s">
        <v>61</v>
      </c>
      <c r="D123" t="s">
        <v>44</v>
      </c>
      <c r="E123" t="s">
        <v>679</v>
      </c>
      <c r="F123" t="s">
        <v>745</v>
      </c>
      <c r="G123" t="s">
        <v>339</v>
      </c>
      <c r="H123" t="s">
        <v>826</v>
      </c>
      <c r="I123" t="s">
        <v>20</v>
      </c>
      <c r="J123" t="s">
        <v>770</v>
      </c>
      <c r="K123" s="50" t="s">
        <v>341</v>
      </c>
    </row>
    <row r="124" spans="1:11" x14ac:dyDescent="0.25">
      <c r="A124" s="50" t="s">
        <v>836</v>
      </c>
      <c r="B124" t="s">
        <v>855</v>
      </c>
      <c r="C124" t="s">
        <v>57</v>
      </c>
      <c r="D124" t="s">
        <v>46</v>
      </c>
      <c r="E124" t="s">
        <v>682</v>
      </c>
      <c r="F124" t="s">
        <v>751</v>
      </c>
      <c r="G124" t="s">
        <v>339</v>
      </c>
      <c r="H124" t="s">
        <v>826</v>
      </c>
      <c r="I124" t="s">
        <v>20</v>
      </c>
      <c r="J124" t="s">
        <v>770</v>
      </c>
      <c r="K124" s="50" t="s">
        <v>341</v>
      </c>
    </row>
    <row r="125" spans="1:11" x14ac:dyDescent="0.25">
      <c r="A125" s="50" t="s">
        <v>836</v>
      </c>
      <c r="B125" t="s">
        <v>855</v>
      </c>
      <c r="C125" t="s">
        <v>57</v>
      </c>
      <c r="D125" t="s">
        <v>46</v>
      </c>
      <c r="E125" t="s">
        <v>679</v>
      </c>
      <c r="F125" t="s">
        <v>739</v>
      </c>
      <c r="G125" t="s">
        <v>339</v>
      </c>
      <c r="H125" t="s">
        <v>826</v>
      </c>
      <c r="I125" t="s">
        <v>20</v>
      </c>
      <c r="J125" t="s">
        <v>770</v>
      </c>
      <c r="K125" s="50" t="s">
        <v>341</v>
      </c>
    </row>
    <row r="126" spans="1:11" x14ac:dyDescent="0.25">
      <c r="A126" s="50" t="s">
        <v>836</v>
      </c>
      <c r="B126" t="s">
        <v>855</v>
      </c>
      <c r="C126" t="s">
        <v>57</v>
      </c>
      <c r="D126" t="s">
        <v>46</v>
      </c>
      <c r="E126" t="s">
        <v>71</v>
      </c>
      <c r="F126" t="s">
        <v>727</v>
      </c>
      <c r="G126" t="s">
        <v>339</v>
      </c>
      <c r="H126" t="s">
        <v>826</v>
      </c>
      <c r="I126" t="s">
        <v>20</v>
      </c>
      <c r="J126" t="s">
        <v>770</v>
      </c>
      <c r="K126" s="50" t="s">
        <v>341</v>
      </c>
    </row>
    <row r="127" spans="1:11" x14ac:dyDescent="0.25">
      <c r="A127" s="50" t="s">
        <v>836</v>
      </c>
      <c r="B127" t="s">
        <v>856</v>
      </c>
      <c r="C127" t="s">
        <v>57</v>
      </c>
      <c r="D127" t="s">
        <v>42</v>
      </c>
      <c r="E127" t="s">
        <v>138</v>
      </c>
      <c r="F127" t="s">
        <v>196</v>
      </c>
      <c r="G127" t="s">
        <v>395</v>
      </c>
      <c r="H127" t="s">
        <v>826</v>
      </c>
      <c r="I127" t="s">
        <v>20</v>
      </c>
      <c r="J127" t="s">
        <v>770</v>
      </c>
      <c r="K127" s="50" t="s">
        <v>397</v>
      </c>
    </row>
    <row r="128" spans="1:11" x14ac:dyDescent="0.25">
      <c r="A128" s="50" t="s">
        <v>836</v>
      </c>
      <c r="B128" t="s">
        <v>856</v>
      </c>
      <c r="C128" t="s">
        <v>57</v>
      </c>
      <c r="D128" t="s">
        <v>44</v>
      </c>
      <c r="E128" t="s">
        <v>73</v>
      </c>
      <c r="F128" t="s">
        <v>412</v>
      </c>
      <c r="G128" t="s">
        <v>395</v>
      </c>
      <c r="H128" t="s">
        <v>826</v>
      </c>
      <c r="I128" t="s">
        <v>20</v>
      </c>
      <c r="J128" t="s">
        <v>770</v>
      </c>
      <c r="K128" s="50" t="s">
        <v>397</v>
      </c>
    </row>
    <row r="129" spans="1:11" x14ac:dyDescent="0.25">
      <c r="A129" s="50" t="s">
        <v>836</v>
      </c>
      <c r="B129" t="s">
        <v>856</v>
      </c>
      <c r="C129" t="s">
        <v>57</v>
      </c>
      <c r="D129" t="s">
        <v>42</v>
      </c>
      <c r="E129" t="s">
        <v>252</v>
      </c>
      <c r="F129" t="s">
        <v>706</v>
      </c>
      <c r="G129" t="s">
        <v>395</v>
      </c>
      <c r="H129" t="s">
        <v>826</v>
      </c>
      <c r="I129" t="s">
        <v>20</v>
      </c>
      <c r="J129" t="s">
        <v>770</v>
      </c>
      <c r="K129" s="50" t="s">
        <v>397</v>
      </c>
    </row>
    <row r="130" spans="1:11" x14ac:dyDescent="0.25">
      <c r="A130" s="50" t="s">
        <v>836</v>
      </c>
      <c r="B130" t="s">
        <v>856</v>
      </c>
      <c r="C130" t="s">
        <v>57</v>
      </c>
      <c r="D130" t="s">
        <v>44</v>
      </c>
      <c r="E130" t="s">
        <v>252</v>
      </c>
      <c r="F130" t="s">
        <v>674</v>
      </c>
      <c r="G130" t="s">
        <v>395</v>
      </c>
      <c r="H130" t="s">
        <v>826</v>
      </c>
      <c r="I130" t="s">
        <v>20</v>
      </c>
      <c r="J130" t="s">
        <v>770</v>
      </c>
      <c r="K130" s="50" t="s">
        <v>397</v>
      </c>
    </row>
    <row r="131" spans="1:11" x14ac:dyDescent="0.25">
      <c r="A131" s="50" t="s">
        <v>836</v>
      </c>
      <c r="B131" t="s">
        <v>856</v>
      </c>
      <c r="C131" t="s">
        <v>57</v>
      </c>
      <c r="D131" t="s">
        <v>44</v>
      </c>
      <c r="E131" t="s">
        <v>464</v>
      </c>
      <c r="F131" t="s">
        <v>729</v>
      </c>
      <c r="G131" t="s">
        <v>395</v>
      </c>
      <c r="H131" t="s">
        <v>826</v>
      </c>
      <c r="I131" t="s">
        <v>20</v>
      </c>
      <c r="J131" t="s">
        <v>770</v>
      </c>
      <c r="K131" s="50" t="s">
        <v>397</v>
      </c>
    </row>
    <row r="132" spans="1:11" x14ac:dyDescent="0.25">
      <c r="A132" s="50" t="s">
        <v>836</v>
      </c>
      <c r="B132" t="s">
        <v>856</v>
      </c>
      <c r="C132" t="s">
        <v>61</v>
      </c>
      <c r="D132" t="s">
        <v>46</v>
      </c>
      <c r="E132" t="s">
        <v>138</v>
      </c>
      <c r="F132" t="s">
        <v>198</v>
      </c>
      <c r="G132" t="s">
        <v>395</v>
      </c>
      <c r="H132" t="s">
        <v>826</v>
      </c>
      <c r="I132" t="s">
        <v>20</v>
      </c>
      <c r="J132" t="s">
        <v>770</v>
      </c>
      <c r="K132" s="50" t="s">
        <v>397</v>
      </c>
    </row>
    <row r="133" spans="1:11" x14ac:dyDescent="0.25">
      <c r="A133" s="50" t="s">
        <v>836</v>
      </c>
      <c r="B133" t="s">
        <v>856</v>
      </c>
      <c r="C133" t="s">
        <v>61</v>
      </c>
      <c r="D133" t="s">
        <v>46</v>
      </c>
      <c r="E133" t="s">
        <v>71</v>
      </c>
      <c r="F133" t="s">
        <v>413</v>
      </c>
      <c r="G133" t="s">
        <v>395</v>
      </c>
      <c r="H133" t="s">
        <v>826</v>
      </c>
      <c r="I133" t="s">
        <v>20</v>
      </c>
      <c r="J133" t="s">
        <v>770</v>
      </c>
      <c r="K133" s="50" t="s">
        <v>397</v>
      </c>
    </row>
    <row r="134" spans="1:11" x14ac:dyDescent="0.25">
      <c r="A134" s="50" t="s">
        <v>836</v>
      </c>
      <c r="B134" t="s">
        <v>857</v>
      </c>
      <c r="C134" t="s">
        <v>57</v>
      </c>
      <c r="D134" t="s">
        <v>46</v>
      </c>
      <c r="E134" t="s">
        <v>71</v>
      </c>
      <c r="F134" t="s">
        <v>72</v>
      </c>
      <c r="G134" t="s">
        <v>448</v>
      </c>
      <c r="H134" t="s">
        <v>826</v>
      </c>
      <c r="I134" t="s">
        <v>20</v>
      </c>
      <c r="J134" t="s">
        <v>770</v>
      </c>
      <c r="K134" s="50" t="s">
        <v>450</v>
      </c>
    </row>
    <row r="135" spans="1:11" x14ac:dyDescent="0.25">
      <c r="A135" s="50" t="s">
        <v>836</v>
      </c>
      <c r="B135" t="s">
        <v>857</v>
      </c>
      <c r="C135" t="s">
        <v>57</v>
      </c>
      <c r="D135" t="s">
        <v>46</v>
      </c>
      <c r="E135" t="s">
        <v>464</v>
      </c>
      <c r="F135" t="s">
        <v>465</v>
      </c>
      <c r="G135" t="s">
        <v>448</v>
      </c>
      <c r="H135" t="s">
        <v>826</v>
      </c>
      <c r="I135" t="s">
        <v>20</v>
      </c>
      <c r="J135" t="s">
        <v>770</v>
      </c>
      <c r="K135" s="50" t="s">
        <v>450</v>
      </c>
    </row>
    <row r="136" spans="1:11" x14ac:dyDescent="0.25">
      <c r="A136" s="50" t="s">
        <v>836</v>
      </c>
      <c r="B136" t="s">
        <v>857</v>
      </c>
      <c r="C136" t="s">
        <v>57</v>
      </c>
      <c r="D136" t="s">
        <v>46</v>
      </c>
      <c r="E136" t="s">
        <v>73</v>
      </c>
      <c r="F136" t="s">
        <v>466</v>
      </c>
      <c r="G136" t="s">
        <v>448</v>
      </c>
      <c r="H136" t="s">
        <v>826</v>
      </c>
      <c r="I136" t="s">
        <v>20</v>
      </c>
      <c r="J136" t="s">
        <v>770</v>
      </c>
      <c r="K136" s="50" t="s">
        <v>450</v>
      </c>
    </row>
    <row r="137" spans="1:11" x14ac:dyDescent="0.25">
      <c r="A137" s="50" t="s">
        <v>836</v>
      </c>
      <c r="B137" t="s">
        <v>857</v>
      </c>
      <c r="C137" t="s">
        <v>57</v>
      </c>
      <c r="D137" t="s">
        <v>46</v>
      </c>
      <c r="E137" t="s">
        <v>682</v>
      </c>
      <c r="F137" t="s">
        <v>755</v>
      </c>
      <c r="G137" t="s">
        <v>448</v>
      </c>
      <c r="H137" t="s">
        <v>826</v>
      </c>
      <c r="I137" t="s">
        <v>20</v>
      </c>
      <c r="J137" t="s">
        <v>770</v>
      </c>
      <c r="K137" s="50" t="s">
        <v>450</v>
      </c>
    </row>
    <row r="138" spans="1:11" x14ac:dyDescent="0.25">
      <c r="A138" s="50" t="s">
        <v>836</v>
      </c>
      <c r="B138" t="s">
        <v>857</v>
      </c>
      <c r="C138" t="s">
        <v>61</v>
      </c>
      <c r="D138" t="s">
        <v>42</v>
      </c>
      <c r="E138" t="s">
        <v>254</v>
      </c>
      <c r="F138" t="s">
        <v>467</v>
      </c>
      <c r="G138" t="s">
        <v>448</v>
      </c>
      <c r="H138" t="s">
        <v>826</v>
      </c>
      <c r="I138" t="s">
        <v>20</v>
      </c>
      <c r="J138" t="s">
        <v>770</v>
      </c>
      <c r="K138" s="50" t="s">
        <v>450</v>
      </c>
    </row>
    <row r="139" spans="1:11" x14ac:dyDescent="0.25">
      <c r="A139" s="50" t="s">
        <v>836</v>
      </c>
      <c r="B139" t="s">
        <v>857</v>
      </c>
      <c r="C139" t="s">
        <v>61</v>
      </c>
      <c r="D139" t="s">
        <v>42</v>
      </c>
      <c r="E139" t="s">
        <v>69</v>
      </c>
      <c r="F139" t="s">
        <v>302</v>
      </c>
      <c r="G139" t="s">
        <v>448</v>
      </c>
      <c r="H139" t="s">
        <v>826</v>
      </c>
      <c r="I139" t="s">
        <v>20</v>
      </c>
      <c r="J139" t="s">
        <v>770</v>
      </c>
      <c r="K139" s="50" t="s">
        <v>450</v>
      </c>
    </row>
    <row r="140" spans="1:11" x14ac:dyDescent="0.25">
      <c r="A140" s="50" t="s">
        <v>836</v>
      </c>
      <c r="B140" t="s">
        <v>857</v>
      </c>
      <c r="C140" t="s">
        <v>61</v>
      </c>
      <c r="D140" t="s">
        <v>44</v>
      </c>
      <c r="E140" t="s">
        <v>138</v>
      </c>
      <c r="F140" t="s">
        <v>196</v>
      </c>
      <c r="G140" t="s">
        <v>448</v>
      </c>
      <c r="H140" t="s">
        <v>826</v>
      </c>
      <c r="I140" t="s">
        <v>20</v>
      </c>
      <c r="J140" t="s">
        <v>770</v>
      </c>
      <c r="K140" s="50" t="s">
        <v>450</v>
      </c>
    </row>
    <row r="141" spans="1:11" x14ac:dyDescent="0.25">
      <c r="A141" s="50" t="s">
        <v>836</v>
      </c>
      <c r="B141" t="s">
        <v>857</v>
      </c>
      <c r="C141" t="s">
        <v>61</v>
      </c>
      <c r="D141" t="s">
        <v>44</v>
      </c>
      <c r="E141" t="s">
        <v>680</v>
      </c>
      <c r="F141" t="s">
        <v>749</v>
      </c>
      <c r="G141" t="s">
        <v>448</v>
      </c>
      <c r="H141" t="s">
        <v>826</v>
      </c>
      <c r="I141" t="s">
        <v>20</v>
      </c>
      <c r="J141" t="s">
        <v>770</v>
      </c>
      <c r="K141" s="50" t="s">
        <v>450</v>
      </c>
    </row>
    <row r="142" spans="1:11" x14ac:dyDescent="0.25">
      <c r="A142" s="50" t="s">
        <v>836</v>
      </c>
      <c r="B142" t="s">
        <v>857</v>
      </c>
      <c r="C142" t="s">
        <v>61</v>
      </c>
      <c r="D142" t="s">
        <v>44</v>
      </c>
      <c r="E142" t="s">
        <v>682</v>
      </c>
      <c r="F142" t="s">
        <v>753</v>
      </c>
      <c r="G142" t="s">
        <v>448</v>
      </c>
      <c r="H142" t="s">
        <v>826</v>
      </c>
      <c r="I142" t="s">
        <v>20</v>
      </c>
      <c r="J142" t="s">
        <v>770</v>
      </c>
      <c r="K142" s="50" t="s">
        <v>450</v>
      </c>
    </row>
    <row r="143" spans="1:11" x14ac:dyDescent="0.25">
      <c r="A143" s="50" t="s">
        <v>836</v>
      </c>
      <c r="B143" t="s">
        <v>857</v>
      </c>
      <c r="C143" t="s">
        <v>57</v>
      </c>
      <c r="D143" t="s">
        <v>46</v>
      </c>
      <c r="E143" t="s">
        <v>682</v>
      </c>
      <c r="F143" t="s">
        <v>757</v>
      </c>
      <c r="G143" t="s">
        <v>448</v>
      </c>
      <c r="H143" t="s">
        <v>826</v>
      </c>
      <c r="I143" t="s">
        <v>20</v>
      </c>
      <c r="J143" t="s">
        <v>770</v>
      </c>
      <c r="K143" s="50" t="s">
        <v>450</v>
      </c>
    </row>
    <row r="144" spans="1:11" x14ac:dyDescent="0.25">
      <c r="A144" s="50" t="s">
        <v>836</v>
      </c>
      <c r="B144" t="s">
        <v>857</v>
      </c>
      <c r="C144" t="s">
        <v>57</v>
      </c>
      <c r="D144" t="s">
        <v>46</v>
      </c>
      <c r="E144" t="s">
        <v>679</v>
      </c>
      <c r="F144" t="s">
        <v>743</v>
      </c>
      <c r="G144" t="s">
        <v>448</v>
      </c>
      <c r="H144" t="s">
        <v>826</v>
      </c>
      <c r="I144" t="s">
        <v>20</v>
      </c>
      <c r="J144" t="s">
        <v>770</v>
      </c>
      <c r="K144" s="50" t="s">
        <v>450</v>
      </c>
    </row>
    <row r="145" spans="1:11" x14ac:dyDescent="0.25">
      <c r="A145" s="50" t="s">
        <v>836</v>
      </c>
      <c r="B145" t="s">
        <v>857</v>
      </c>
      <c r="C145" t="s">
        <v>57</v>
      </c>
      <c r="D145" t="s">
        <v>46</v>
      </c>
      <c r="E145" t="s">
        <v>682</v>
      </c>
      <c r="F145" t="s">
        <v>754</v>
      </c>
      <c r="G145" t="s">
        <v>448</v>
      </c>
      <c r="H145" t="s">
        <v>826</v>
      </c>
      <c r="I145" t="s">
        <v>20</v>
      </c>
      <c r="J145" t="s">
        <v>770</v>
      </c>
      <c r="K145" s="50" t="s">
        <v>450</v>
      </c>
    </row>
    <row r="146" spans="1:11" x14ac:dyDescent="0.25">
      <c r="A146" s="50" t="s">
        <v>836</v>
      </c>
      <c r="B146" t="s">
        <v>857</v>
      </c>
      <c r="C146" t="s">
        <v>57</v>
      </c>
      <c r="D146" t="s">
        <v>46</v>
      </c>
      <c r="E146" t="s">
        <v>71</v>
      </c>
      <c r="F146" t="s">
        <v>724</v>
      </c>
      <c r="G146" t="s">
        <v>448</v>
      </c>
      <c r="H146" t="s">
        <v>826</v>
      </c>
      <c r="I146" t="s">
        <v>20</v>
      </c>
      <c r="J146" t="s">
        <v>770</v>
      </c>
      <c r="K146" s="50" t="s">
        <v>450</v>
      </c>
    </row>
    <row r="147" spans="1:11" x14ac:dyDescent="0.25">
      <c r="A147" s="50" t="s">
        <v>836</v>
      </c>
      <c r="B147" t="s">
        <v>857</v>
      </c>
      <c r="C147" t="s">
        <v>61</v>
      </c>
      <c r="D147" t="s">
        <v>44</v>
      </c>
      <c r="E147" t="s">
        <v>73</v>
      </c>
      <c r="F147" t="s">
        <v>619</v>
      </c>
      <c r="G147" t="s">
        <v>448</v>
      </c>
      <c r="H147" t="s">
        <v>826</v>
      </c>
      <c r="I147" t="s">
        <v>20</v>
      </c>
      <c r="J147" t="s">
        <v>770</v>
      </c>
      <c r="K147" s="50" t="s">
        <v>450</v>
      </c>
    </row>
    <row r="148" spans="1:11" x14ac:dyDescent="0.25">
      <c r="A148" s="50" t="s">
        <v>836</v>
      </c>
      <c r="B148" t="s">
        <v>858</v>
      </c>
      <c r="C148" t="s">
        <v>57</v>
      </c>
      <c r="D148" t="s">
        <v>42</v>
      </c>
      <c r="E148" t="s">
        <v>138</v>
      </c>
      <c r="F148" t="s">
        <v>196</v>
      </c>
      <c r="G148" t="s">
        <v>502</v>
      </c>
      <c r="H148" t="s">
        <v>826</v>
      </c>
      <c r="I148" t="s">
        <v>20</v>
      </c>
      <c r="J148" t="s">
        <v>770</v>
      </c>
      <c r="K148" s="50" t="s">
        <v>504</v>
      </c>
    </row>
    <row r="149" spans="1:11" x14ac:dyDescent="0.25">
      <c r="A149" s="50" t="s">
        <v>836</v>
      </c>
      <c r="B149" t="s">
        <v>858</v>
      </c>
      <c r="C149" t="s">
        <v>57</v>
      </c>
      <c r="D149" t="s">
        <v>42</v>
      </c>
      <c r="E149" t="s">
        <v>464</v>
      </c>
      <c r="F149" t="s">
        <v>516</v>
      </c>
      <c r="G149" t="s">
        <v>502</v>
      </c>
      <c r="H149" t="s">
        <v>826</v>
      </c>
      <c r="I149" t="s">
        <v>20</v>
      </c>
      <c r="J149" t="s">
        <v>770</v>
      </c>
      <c r="K149" s="50" t="s">
        <v>504</v>
      </c>
    </row>
    <row r="150" spans="1:11" x14ac:dyDescent="0.25">
      <c r="A150" s="50" t="s">
        <v>836</v>
      </c>
      <c r="B150" t="s">
        <v>858</v>
      </c>
      <c r="C150" t="s">
        <v>57</v>
      </c>
      <c r="D150" t="s">
        <v>44</v>
      </c>
      <c r="E150" t="s">
        <v>138</v>
      </c>
      <c r="F150" t="s">
        <v>198</v>
      </c>
      <c r="G150" t="s">
        <v>502</v>
      </c>
      <c r="H150" t="s">
        <v>826</v>
      </c>
      <c r="I150" t="s">
        <v>20</v>
      </c>
      <c r="J150" t="s">
        <v>770</v>
      </c>
      <c r="K150" s="50" t="s">
        <v>504</v>
      </c>
    </row>
    <row r="151" spans="1:11" x14ac:dyDescent="0.25">
      <c r="A151" s="50" t="s">
        <v>836</v>
      </c>
      <c r="B151" t="s">
        <v>858</v>
      </c>
      <c r="C151" t="s">
        <v>57</v>
      </c>
      <c r="D151" t="s">
        <v>44</v>
      </c>
      <c r="E151" t="s">
        <v>252</v>
      </c>
      <c r="F151" t="s">
        <v>706</v>
      </c>
      <c r="G151" t="s">
        <v>502</v>
      </c>
      <c r="H151" t="s">
        <v>826</v>
      </c>
      <c r="I151" t="s">
        <v>20</v>
      </c>
      <c r="J151" t="s">
        <v>770</v>
      </c>
      <c r="K151" s="50" t="s">
        <v>504</v>
      </c>
    </row>
    <row r="152" spans="1:11" x14ac:dyDescent="0.25">
      <c r="A152" s="50" t="s">
        <v>836</v>
      </c>
      <c r="B152" t="s">
        <v>858</v>
      </c>
      <c r="C152" t="s">
        <v>57</v>
      </c>
      <c r="D152" t="s">
        <v>44</v>
      </c>
      <c r="E152" t="s">
        <v>252</v>
      </c>
      <c r="F152" t="s">
        <v>674</v>
      </c>
      <c r="G152" t="s">
        <v>502</v>
      </c>
      <c r="H152" t="s">
        <v>826</v>
      </c>
      <c r="I152" t="s">
        <v>20</v>
      </c>
      <c r="J152" t="s">
        <v>770</v>
      </c>
      <c r="K152" s="50" t="s">
        <v>504</v>
      </c>
    </row>
    <row r="153" spans="1:11" x14ac:dyDescent="0.25">
      <c r="A153" s="50" t="s">
        <v>836</v>
      </c>
      <c r="B153" t="s">
        <v>858</v>
      </c>
      <c r="C153" t="s">
        <v>61</v>
      </c>
      <c r="D153" t="s">
        <v>42</v>
      </c>
      <c r="E153" t="s">
        <v>73</v>
      </c>
      <c r="F153" t="s">
        <v>412</v>
      </c>
      <c r="G153" t="s">
        <v>502</v>
      </c>
      <c r="H153" t="s">
        <v>826</v>
      </c>
      <c r="I153" t="s">
        <v>20</v>
      </c>
      <c r="J153" t="s">
        <v>770</v>
      </c>
      <c r="K153" s="50" t="s">
        <v>504</v>
      </c>
    </row>
    <row r="154" spans="1:11" x14ac:dyDescent="0.25">
      <c r="A154" s="50" t="s">
        <v>836</v>
      </c>
      <c r="B154" t="s">
        <v>858</v>
      </c>
      <c r="C154" t="s">
        <v>61</v>
      </c>
      <c r="D154" t="s">
        <v>44</v>
      </c>
      <c r="E154" t="s">
        <v>464</v>
      </c>
      <c r="F154" t="s">
        <v>517</v>
      </c>
      <c r="G154" t="s">
        <v>502</v>
      </c>
      <c r="H154" t="s">
        <v>826</v>
      </c>
      <c r="I154" t="s">
        <v>20</v>
      </c>
      <c r="J154" t="s">
        <v>770</v>
      </c>
      <c r="K154" s="50" t="s">
        <v>504</v>
      </c>
    </row>
    <row r="155" spans="1:11" x14ac:dyDescent="0.25">
      <c r="A155" s="50" t="s">
        <v>836</v>
      </c>
      <c r="B155" t="s">
        <v>858</v>
      </c>
      <c r="C155" t="s">
        <v>61</v>
      </c>
      <c r="D155" t="s">
        <v>46</v>
      </c>
      <c r="E155" t="s">
        <v>138</v>
      </c>
      <c r="F155" t="s">
        <v>518</v>
      </c>
      <c r="G155" t="s">
        <v>502</v>
      </c>
      <c r="H155" t="s">
        <v>826</v>
      </c>
      <c r="I155" t="s">
        <v>20</v>
      </c>
      <c r="J155" t="s">
        <v>770</v>
      </c>
      <c r="K155" s="50" t="s">
        <v>504</v>
      </c>
    </row>
    <row r="156" spans="1:11" x14ac:dyDescent="0.25">
      <c r="A156" s="50" t="s">
        <v>836</v>
      </c>
      <c r="B156" t="s">
        <v>858</v>
      </c>
      <c r="C156" t="s">
        <v>61</v>
      </c>
      <c r="D156" t="s">
        <v>46</v>
      </c>
      <c r="E156" t="s">
        <v>252</v>
      </c>
      <c r="F156" t="s">
        <v>253</v>
      </c>
      <c r="G156" t="s">
        <v>502</v>
      </c>
      <c r="H156" t="s">
        <v>826</v>
      </c>
      <c r="I156" t="s">
        <v>20</v>
      </c>
      <c r="J156" t="s">
        <v>770</v>
      </c>
      <c r="K156" s="50" t="s">
        <v>504</v>
      </c>
    </row>
    <row r="157" spans="1:11" x14ac:dyDescent="0.25">
      <c r="A157" s="50" t="s">
        <v>836</v>
      </c>
      <c r="B157" t="s">
        <v>858</v>
      </c>
      <c r="C157" t="s">
        <v>57</v>
      </c>
      <c r="D157" t="s">
        <v>44</v>
      </c>
      <c r="E157" t="s">
        <v>464</v>
      </c>
      <c r="F157" t="s">
        <v>570</v>
      </c>
      <c r="G157" t="s">
        <v>502</v>
      </c>
      <c r="H157" t="s">
        <v>826</v>
      </c>
      <c r="I157" t="s">
        <v>20</v>
      </c>
      <c r="J157" t="s">
        <v>770</v>
      </c>
      <c r="K157" s="50" t="s">
        <v>504</v>
      </c>
    </row>
    <row r="158" spans="1:11" x14ac:dyDescent="0.25">
      <c r="A158" s="50" t="s">
        <v>836</v>
      </c>
      <c r="B158" t="s">
        <v>859</v>
      </c>
      <c r="C158" t="s">
        <v>57</v>
      </c>
      <c r="D158" t="s">
        <v>42</v>
      </c>
      <c r="E158" t="s">
        <v>138</v>
      </c>
      <c r="F158" t="s">
        <v>196</v>
      </c>
      <c r="G158" t="s">
        <v>553</v>
      </c>
      <c r="H158" t="s">
        <v>826</v>
      </c>
      <c r="I158" t="s">
        <v>20</v>
      </c>
      <c r="J158" t="s">
        <v>770</v>
      </c>
      <c r="K158" s="50" t="s">
        <v>555</v>
      </c>
    </row>
    <row r="159" spans="1:11" x14ac:dyDescent="0.25">
      <c r="A159" s="50" t="s">
        <v>836</v>
      </c>
      <c r="B159" t="s">
        <v>859</v>
      </c>
      <c r="C159" t="s">
        <v>57</v>
      </c>
      <c r="D159" t="s">
        <v>44</v>
      </c>
      <c r="E159" t="s">
        <v>138</v>
      </c>
      <c r="F159" t="s">
        <v>198</v>
      </c>
      <c r="G159" t="s">
        <v>553</v>
      </c>
      <c r="H159" t="s">
        <v>826</v>
      </c>
      <c r="I159" t="s">
        <v>20</v>
      </c>
      <c r="J159" t="s">
        <v>770</v>
      </c>
      <c r="K159" s="50" t="s">
        <v>555</v>
      </c>
    </row>
    <row r="160" spans="1:11" x14ac:dyDescent="0.25">
      <c r="A160" s="50" t="s">
        <v>836</v>
      </c>
      <c r="B160" t="s">
        <v>859</v>
      </c>
      <c r="C160" t="s">
        <v>57</v>
      </c>
      <c r="D160" t="s">
        <v>44</v>
      </c>
      <c r="E160" t="s">
        <v>464</v>
      </c>
      <c r="F160" t="s">
        <v>570</v>
      </c>
      <c r="G160" t="s">
        <v>553</v>
      </c>
      <c r="H160" t="s">
        <v>826</v>
      </c>
      <c r="I160" t="s">
        <v>20</v>
      </c>
      <c r="J160" t="s">
        <v>770</v>
      </c>
      <c r="K160" s="50" t="s">
        <v>555</v>
      </c>
    </row>
    <row r="161" spans="1:11" x14ac:dyDescent="0.25">
      <c r="A161" s="50" t="s">
        <v>836</v>
      </c>
      <c r="B161" t="s">
        <v>859</v>
      </c>
      <c r="C161" t="s">
        <v>57</v>
      </c>
      <c r="D161" t="s">
        <v>44</v>
      </c>
      <c r="E161" t="s">
        <v>682</v>
      </c>
      <c r="F161" t="s">
        <v>753</v>
      </c>
      <c r="G161" t="s">
        <v>553</v>
      </c>
      <c r="H161" t="s">
        <v>826</v>
      </c>
      <c r="I161" t="s">
        <v>20</v>
      </c>
      <c r="J161" t="s">
        <v>770</v>
      </c>
      <c r="K161" s="50" t="s">
        <v>555</v>
      </c>
    </row>
    <row r="162" spans="1:11" x14ac:dyDescent="0.25">
      <c r="A162" s="50" t="s">
        <v>836</v>
      </c>
      <c r="B162" t="s">
        <v>859</v>
      </c>
      <c r="C162" t="s">
        <v>61</v>
      </c>
      <c r="D162" t="s">
        <v>42</v>
      </c>
      <c r="E162" t="s">
        <v>71</v>
      </c>
      <c r="F162" t="s">
        <v>358</v>
      </c>
      <c r="G162" t="s">
        <v>553</v>
      </c>
      <c r="H162" t="s">
        <v>826</v>
      </c>
      <c r="I162" t="s">
        <v>20</v>
      </c>
      <c r="J162" t="s">
        <v>770</v>
      </c>
      <c r="K162" s="50" t="s">
        <v>555</v>
      </c>
    </row>
    <row r="163" spans="1:11" x14ac:dyDescent="0.25">
      <c r="A163" s="50" t="s">
        <v>836</v>
      </c>
      <c r="B163" t="s">
        <v>859</v>
      </c>
      <c r="C163" t="s">
        <v>61</v>
      </c>
      <c r="D163" t="s">
        <v>46</v>
      </c>
      <c r="E163" t="s">
        <v>73</v>
      </c>
      <c r="F163" t="s">
        <v>140</v>
      </c>
      <c r="G163" t="s">
        <v>553</v>
      </c>
      <c r="H163" t="s">
        <v>826</v>
      </c>
      <c r="I163" t="s">
        <v>20</v>
      </c>
      <c r="J163" t="s">
        <v>770</v>
      </c>
      <c r="K163" s="50" t="s">
        <v>555</v>
      </c>
    </row>
    <row r="164" spans="1:11" x14ac:dyDescent="0.25">
      <c r="A164" s="50" t="s">
        <v>836</v>
      </c>
      <c r="B164" t="s">
        <v>859</v>
      </c>
      <c r="C164" t="s">
        <v>61</v>
      </c>
      <c r="D164" t="s">
        <v>46</v>
      </c>
      <c r="E164" t="s">
        <v>464</v>
      </c>
      <c r="F164" t="s">
        <v>570</v>
      </c>
      <c r="G164" t="s">
        <v>553</v>
      </c>
      <c r="H164" t="s">
        <v>826</v>
      </c>
      <c r="I164" t="s">
        <v>20</v>
      </c>
      <c r="J164" t="s">
        <v>770</v>
      </c>
      <c r="K164" s="50" t="s">
        <v>555</v>
      </c>
    </row>
    <row r="165" spans="1:11" x14ac:dyDescent="0.25">
      <c r="A165" s="50" t="s">
        <v>836</v>
      </c>
      <c r="B165" t="s">
        <v>859</v>
      </c>
      <c r="C165" t="s">
        <v>61</v>
      </c>
      <c r="D165" t="s">
        <v>46</v>
      </c>
      <c r="E165" t="s">
        <v>254</v>
      </c>
      <c r="F165" t="s">
        <v>255</v>
      </c>
      <c r="G165" t="s">
        <v>553</v>
      </c>
      <c r="H165" t="s">
        <v>826</v>
      </c>
      <c r="I165" t="s">
        <v>20</v>
      </c>
      <c r="J165" t="s">
        <v>770</v>
      </c>
      <c r="K165" s="50" t="s">
        <v>555</v>
      </c>
    </row>
    <row r="166" spans="1:11" x14ac:dyDescent="0.25">
      <c r="A166" s="50" t="s">
        <v>836</v>
      </c>
      <c r="B166" t="s">
        <v>859</v>
      </c>
      <c r="C166" t="s">
        <v>61</v>
      </c>
      <c r="D166" t="s">
        <v>46</v>
      </c>
      <c r="E166" t="s">
        <v>682</v>
      </c>
      <c r="F166" t="s">
        <v>756</v>
      </c>
      <c r="G166" t="s">
        <v>553</v>
      </c>
      <c r="H166" t="s">
        <v>826</v>
      </c>
      <c r="I166" t="s">
        <v>20</v>
      </c>
      <c r="J166" t="s">
        <v>770</v>
      </c>
      <c r="K166" s="50" t="s">
        <v>555</v>
      </c>
    </row>
    <row r="167" spans="1:11" x14ac:dyDescent="0.25">
      <c r="A167" s="50" t="s">
        <v>836</v>
      </c>
      <c r="B167" t="s">
        <v>859</v>
      </c>
      <c r="C167" t="s">
        <v>57</v>
      </c>
      <c r="D167" t="s">
        <v>42</v>
      </c>
      <c r="E167" t="s">
        <v>138</v>
      </c>
      <c r="F167" t="s">
        <v>702</v>
      </c>
      <c r="G167" t="s">
        <v>553</v>
      </c>
      <c r="H167" t="s">
        <v>826</v>
      </c>
      <c r="I167" t="s">
        <v>20</v>
      </c>
      <c r="J167" t="s">
        <v>770</v>
      </c>
      <c r="K167" s="50" t="s">
        <v>555</v>
      </c>
    </row>
    <row r="168" spans="1:11" x14ac:dyDescent="0.25">
      <c r="A168" s="50" t="s">
        <v>836</v>
      </c>
      <c r="B168" t="s">
        <v>859</v>
      </c>
      <c r="C168" t="s">
        <v>57</v>
      </c>
      <c r="D168" t="s">
        <v>44</v>
      </c>
      <c r="E168" t="s">
        <v>71</v>
      </c>
      <c r="F168" t="s">
        <v>727</v>
      </c>
      <c r="G168" t="s">
        <v>553</v>
      </c>
      <c r="H168" t="s">
        <v>826</v>
      </c>
      <c r="I168" t="s">
        <v>20</v>
      </c>
      <c r="J168" t="s">
        <v>770</v>
      </c>
      <c r="K168" s="50" t="s">
        <v>555</v>
      </c>
    </row>
    <row r="169" spans="1:11" x14ac:dyDescent="0.25">
      <c r="A169" s="50" t="s">
        <v>836</v>
      </c>
      <c r="B169" t="s">
        <v>859</v>
      </c>
      <c r="C169" t="s">
        <v>57</v>
      </c>
      <c r="D169" t="s">
        <v>44</v>
      </c>
      <c r="E169" t="s">
        <v>680</v>
      </c>
      <c r="F169" t="s">
        <v>750</v>
      </c>
      <c r="G169" t="s">
        <v>553</v>
      </c>
      <c r="H169" t="s">
        <v>826</v>
      </c>
      <c r="I169" t="s">
        <v>20</v>
      </c>
      <c r="J169" t="s">
        <v>770</v>
      </c>
      <c r="K169" s="50" t="s">
        <v>555</v>
      </c>
    </row>
    <row r="170" spans="1:11" x14ac:dyDescent="0.25">
      <c r="A170" s="50" t="s">
        <v>836</v>
      </c>
      <c r="B170" t="s">
        <v>859</v>
      </c>
      <c r="C170" t="s">
        <v>57</v>
      </c>
      <c r="D170" t="s">
        <v>44</v>
      </c>
      <c r="E170" t="s">
        <v>680</v>
      </c>
      <c r="F170" t="s">
        <v>747</v>
      </c>
      <c r="G170" t="s">
        <v>553</v>
      </c>
      <c r="H170" t="s">
        <v>826</v>
      </c>
      <c r="I170" t="s">
        <v>20</v>
      </c>
      <c r="J170" t="s">
        <v>770</v>
      </c>
      <c r="K170" s="50" t="s">
        <v>555</v>
      </c>
    </row>
    <row r="171" spans="1:11" x14ac:dyDescent="0.25">
      <c r="A171" s="50" t="s">
        <v>836</v>
      </c>
      <c r="B171" t="s">
        <v>859</v>
      </c>
      <c r="C171" t="s">
        <v>61</v>
      </c>
      <c r="D171" t="s">
        <v>46</v>
      </c>
      <c r="E171" t="s">
        <v>69</v>
      </c>
      <c r="F171" t="s">
        <v>733</v>
      </c>
      <c r="G171" t="s">
        <v>553</v>
      </c>
      <c r="H171" t="s">
        <v>826</v>
      </c>
      <c r="I171" t="s">
        <v>20</v>
      </c>
      <c r="J171" t="s">
        <v>770</v>
      </c>
      <c r="K171" s="50" t="s">
        <v>555</v>
      </c>
    </row>
    <row r="172" spans="1:11" x14ac:dyDescent="0.25">
      <c r="A172" s="50" t="s">
        <v>836</v>
      </c>
      <c r="B172" t="s">
        <v>860</v>
      </c>
      <c r="C172" t="s">
        <v>57</v>
      </c>
      <c r="D172" t="s">
        <v>42</v>
      </c>
      <c r="E172" t="s">
        <v>138</v>
      </c>
      <c r="F172" t="s">
        <v>196</v>
      </c>
      <c r="G172" t="s">
        <v>602</v>
      </c>
      <c r="H172" t="s">
        <v>826</v>
      </c>
      <c r="I172" t="s">
        <v>20</v>
      </c>
      <c r="J172" t="s">
        <v>770</v>
      </c>
      <c r="K172" s="50" t="s">
        <v>604</v>
      </c>
    </row>
    <row r="173" spans="1:11" x14ac:dyDescent="0.25">
      <c r="A173" s="50" t="s">
        <v>836</v>
      </c>
      <c r="B173" t="s">
        <v>860</v>
      </c>
      <c r="C173" t="s">
        <v>57</v>
      </c>
      <c r="D173" t="s">
        <v>46</v>
      </c>
      <c r="E173" t="s">
        <v>71</v>
      </c>
      <c r="F173" t="s">
        <v>72</v>
      </c>
      <c r="G173" t="s">
        <v>602</v>
      </c>
      <c r="H173" t="s">
        <v>826</v>
      </c>
      <c r="I173" t="s">
        <v>20</v>
      </c>
      <c r="J173" t="s">
        <v>770</v>
      </c>
      <c r="K173" s="50" t="s">
        <v>604</v>
      </c>
    </row>
    <row r="174" spans="1:11" x14ac:dyDescent="0.25">
      <c r="A174" s="50" t="s">
        <v>836</v>
      </c>
      <c r="B174" t="s">
        <v>860</v>
      </c>
      <c r="C174" t="s">
        <v>57</v>
      </c>
      <c r="D174" t="s">
        <v>46</v>
      </c>
      <c r="E174" t="s">
        <v>73</v>
      </c>
      <c r="F174" t="s">
        <v>619</v>
      </c>
      <c r="G174" t="s">
        <v>602</v>
      </c>
      <c r="H174" t="s">
        <v>826</v>
      </c>
      <c r="I174" t="s">
        <v>20</v>
      </c>
      <c r="J174" t="s">
        <v>770</v>
      </c>
      <c r="K174" s="50" t="s">
        <v>604</v>
      </c>
    </row>
    <row r="175" spans="1:11" x14ac:dyDescent="0.25">
      <c r="A175" s="50" t="s">
        <v>836</v>
      </c>
      <c r="B175" t="s">
        <v>860</v>
      </c>
      <c r="C175" t="s">
        <v>57</v>
      </c>
      <c r="D175" t="s">
        <v>46</v>
      </c>
      <c r="E175" t="s">
        <v>682</v>
      </c>
      <c r="F175" t="s">
        <v>752</v>
      </c>
      <c r="G175" t="s">
        <v>602</v>
      </c>
      <c r="H175" t="s">
        <v>826</v>
      </c>
      <c r="I175" t="s">
        <v>20</v>
      </c>
      <c r="J175" t="s">
        <v>770</v>
      </c>
      <c r="K175" s="50" t="s">
        <v>604</v>
      </c>
    </row>
    <row r="176" spans="1:11" x14ac:dyDescent="0.25">
      <c r="A176" s="50" t="s">
        <v>836</v>
      </c>
      <c r="B176" t="s">
        <v>860</v>
      </c>
      <c r="C176" t="s">
        <v>57</v>
      </c>
      <c r="D176" t="s">
        <v>46</v>
      </c>
      <c r="E176" t="s">
        <v>682</v>
      </c>
      <c r="F176" t="s">
        <v>751</v>
      </c>
      <c r="G176" t="s">
        <v>602</v>
      </c>
      <c r="H176" t="s">
        <v>826</v>
      </c>
      <c r="I176" t="s">
        <v>20</v>
      </c>
      <c r="J176" t="s">
        <v>770</v>
      </c>
      <c r="K176" s="50" t="s">
        <v>604</v>
      </c>
    </row>
    <row r="177" spans="1:11" x14ac:dyDescent="0.25">
      <c r="A177" s="50" t="s">
        <v>836</v>
      </c>
      <c r="B177" t="s">
        <v>860</v>
      </c>
      <c r="C177" t="s">
        <v>61</v>
      </c>
      <c r="D177" t="s">
        <v>44</v>
      </c>
      <c r="E177" t="s">
        <v>69</v>
      </c>
      <c r="F177" t="s">
        <v>70</v>
      </c>
      <c r="G177" t="s">
        <v>602</v>
      </c>
      <c r="H177" t="s">
        <v>826</v>
      </c>
      <c r="I177" t="s">
        <v>20</v>
      </c>
      <c r="J177" t="s">
        <v>770</v>
      </c>
      <c r="K177" s="50" t="s">
        <v>604</v>
      </c>
    </row>
    <row r="178" spans="1:11" x14ac:dyDescent="0.25">
      <c r="A178" s="50" t="s">
        <v>836</v>
      </c>
      <c r="B178" t="s">
        <v>860</v>
      </c>
      <c r="C178" t="s">
        <v>61</v>
      </c>
      <c r="D178" t="s">
        <v>44</v>
      </c>
      <c r="E178" t="s">
        <v>254</v>
      </c>
      <c r="F178" t="s">
        <v>467</v>
      </c>
      <c r="G178" t="s">
        <v>602</v>
      </c>
      <c r="H178" t="s">
        <v>826</v>
      </c>
      <c r="I178" t="s">
        <v>20</v>
      </c>
      <c r="J178" t="s">
        <v>770</v>
      </c>
      <c r="K178" s="50" t="s">
        <v>604</v>
      </c>
    </row>
    <row r="179" spans="1:11" x14ac:dyDescent="0.25">
      <c r="A179" s="50" t="s">
        <v>836</v>
      </c>
      <c r="B179" t="s">
        <v>860</v>
      </c>
      <c r="C179" t="s">
        <v>61</v>
      </c>
      <c r="D179" t="s">
        <v>44</v>
      </c>
      <c r="E179" t="s">
        <v>464</v>
      </c>
      <c r="F179" t="s">
        <v>517</v>
      </c>
      <c r="G179" t="s">
        <v>602</v>
      </c>
      <c r="H179" t="s">
        <v>826</v>
      </c>
      <c r="I179" t="s">
        <v>20</v>
      </c>
      <c r="J179" t="s">
        <v>770</v>
      </c>
      <c r="K179" s="50" t="s">
        <v>604</v>
      </c>
    </row>
    <row r="180" spans="1:11" x14ac:dyDescent="0.25">
      <c r="A180" s="50" t="s">
        <v>836</v>
      </c>
      <c r="B180" t="s">
        <v>860</v>
      </c>
      <c r="C180" t="s">
        <v>57</v>
      </c>
      <c r="D180" t="s">
        <v>46</v>
      </c>
      <c r="E180" t="s">
        <v>679</v>
      </c>
      <c r="F180" t="s">
        <v>737</v>
      </c>
      <c r="G180" t="s">
        <v>602</v>
      </c>
      <c r="H180" t="s">
        <v>826</v>
      </c>
      <c r="I180" t="s">
        <v>20</v>
      </c>
      <c r="J180" t="s">
        <v>770</v>
      </c>
      <c r="K180" s="50" t="s">
        <v>604</v>
      </c>
    </row>
    <row r="181" spans="1:11" x14ac:dyDescent="0.25">
      <c r="A181" s="50" t="s">
        <v>836</v>
      </c>
      <c r="B181" t="s">
        <v>860</v>
      </c>
      <c r="C181" t="s">
        <v>61</v>
      </c>
      <c r="D181" t="s">
        <v>48</v>
      </c>
      <c r="E181" t="s">
        <v>679</v>
      </c>
      <c r="F181" t="s">
        <v>742</v>
      </c>
      <c r="G181" t="s">
        <v>602</v>
      </c>
      <c r="H181" t="s">
        <v>826</v>
      </c>
      <c r="I181" t="s">
        <v>20</v>
      </c>
      <c r="J181" t="s">
        <v>770</v>
      </c>
      <c r="K181" s="50" t="s">
        <v>604</v>
      </c>
    </row>
    <row r="182" spans="1:11" x14ac:dyDescent="0.25">
      <c r="A182" s="50" t="s">
        <v>836</v>
      </c>
      <c r="B182" t="s">
        <v>860</v>
      </c>
      <c r="C182" t="s">
        <v>61</v>
      </c>
      <c r="D182" t="s">
        <v>48</v>
      </c>
      <c r="E182" t="s">
        <v>679</v>
      </c>
      <c r="F182" t="s">
        <v>741</v>
      </c>
      <c r="G182" t="s">
        <v>602</v>
      </c>
      <c r="H182" t="s">
        <v>826</v>
      </c>
      <c r="I182" t="s">
        <v>20</v>
      </c>
      <c r="J182" t="s">
        <v>770</v>
      </c>
      <c r="K182" s="50" t="s">
        <v>604</v>
      </c>
    </row>
    <row r="183" spans="1:11" x14ac:dyDescent="0.25">
      <c r="A183" s="50" t="s">
        <v>836</v>
      </c>
      <c r="B183" t="s">
        <v>860</v>
      </c>
      <c r="C183" t="s">
        <v>61</v>
      </c>
      <c r="D183" t="s">
        <v>48</v>
      </c>
      <c r="E183" t="s">
        <v>69</v>
      </c>
      <c r="F183" t="s">
        <v>730</v>
      </c>
      <c r="G183" t="s">
        <v>602</v>
      </c>
      <c r="H183" t="s">
        <v>826</v>
      </c>
      <c r="I183" t="s">
        <v>20</v>
      </c>
      <c r="J183" t="s">
        <v>770</v>
      </c>
      <c r="K183" s="50" t="s">
        <v>604</v>
      </c>
    </row>
    <row r="184" spans="1:11" x14ac:dyDescent="0.25">
      <c r="A184" s="50" t="s">
        <v>836</v>
      </c>
      <c r="B184" t="s">
        <v>860</v>
      </c>
      <c r="C184" t="s">
        <v>61</v>
      </c>
      <c r="D184" t="s">
        <v>48</v>
      </c>
      <c r="E184" t="s">
        <v>69</v>
      </c>
      <c r="F184" t="s">
        <v>733</v>
      </c>
      <c r="G184" t="s">
        <v>602</v>
      </c>
      <c r="H184" t="s">
        <v>826</v>
      </c>
      <c r="I184" t="s">
        <v>20</v>
      </c>
      <c r="J184" t="s">
        <v>770</v>
      </c>
      <c r="K184" s="50" t="s">
        <v>604</v>
      </c>
    </row>
    <row r="185" spans="1:11" x14ac:dyDescent="0.25">
      <c r="A185" s="50" t="s">
        <v>836</v>
      </c>
      <c r="B185" t="s">
        <v>860</v>
      </c>
      <c r="C185" t="s">
        <v>61</v>
      </c>
      <c r="D185" t="s">
        <v>48</v>
      </c>
      <c r="E185" t="s">
        <v>679</v>
      </c>
      <c r="F185" t="s">
        <v>739</v>
      </c>
      <c r="G185" t="s">
        <v>602</v>
      </c>
      <c r="H185" t="s">
        <v>826</v>
      </c>
      <c r="I185" t="s">
        <v>20</v>
      </c>
      <c r="J185" t="s">
        <v>770</v>
      </c>
      <c r="K185" s="50" t="s">
        <v>604</v>
      </c>
    </row>
    <row r="186" spans="1:11" x14ac:dyDescent="0.25">
      <c r="A186" s="50" t="s">
        <v>836</v>
      </c>
      <c r="B186" t="s">
        <v>860</v>
      </c>
      <c r="C186" t="s">
        <v>57</v>
      </c>
      <c r="D186" t="s">
        <v>46</v>
      </c>
      <c r="E186" t="s">
        <v>254</v>
      </c>
      <c r="F186" t="s">
        <v>736</v>
      </c>
      <c r="G186" t="s">
        <v>602</v>
      </c>
      <c r="H186" t="s">
        <v>826</v>
      </c>
      <c r="I186" t="s">
        <v>20</v>
      </c>
      <c r="J186" t="s">
        <v>770</v>
      </c>
      <c r="K186" s="50" t="s">
        <v>604</v>
      </c>
    </row>
    <row r="187" spans="1:11" x14ac:dyDescent="0.25">
      <c r="A187" s="50" t="s">
        <v>836</v>
      </c>
      <c r="B187" t="s">
        <v>860</v>
      </c>
      <c r="C187" t="s">
        <v>57</v>
      </c>
      <c r="D187" t="s">
        <v>46</v>
      </c>
      <c r="E187" t="s">
        <v>680</v>
      </c>
      <c r="F187" t="s">
        <v>746</v>
      </c>
      <c r="G187" t="s">
        <v>602</v>
      </c>
      <c r="H187" t="s">
        <v>826</v>
      </c>
      <c r="I187" t="s">
        <v>20</v>
      </c>
      <c r="J187" t="s">
        <v>770</v>
      </c>
      <c r="K187" s="50" t="s">
        <v>604</v>
      </c>
    </row>
    <row r="188" spans="1:11" x14ac:dyDescent="0.25">
      <c r="A188" s="50" t="s">
        <v>836</v>
      </c>
      <c r="B188" t="s">
        <v>860</v>
      </c>
      <c r="C188" t="s">
        <v>57</v>
      </c>
      <c r="D188" t="s">
        <v>46</v>
      </c>
      <c r="E188" t="s">
        <v>680</v>
      </c>
      <c r="F188" t="s">
        <v>748</v>
      </c>
      <c r="G188" t="s">
        <v>602</v>
      </c>
      <c r="H188" t="s">
        <v>826</v>
      </c>
      <c r="I188" t="s">
        <v>20</v>
      </c>
      <c r="J188" t="s">
        <v>770</v>
      </c>
      <c r="K188" s="50" t="s">
        <v>604</v>
      </c>
    </row>
    <row r="189" spans="1:11" x14ac:dyDescent="0.25">
      <c r="A189" s="50" t="s">
        <v>836</v>
      </c>
      <c r="B189" t="s">
        <v>860</v>
      </c>
      <c r="C189" t="s">
        <v>57</v>
      </c>
      <c r="D189" t="s">
        <v>46</v>
      </c>
      <c r="E189" t="s">
        <v>680</v>
      </c>
      <c r="F189" t="s">
        <v>749</v>
      </c>
      <c r="G189" t="s">
        <v>602</v>
      </c>
      <c r="H189" t="s">
        <v>826</v>
      </c>
      <c r="I189" t="s">
        <v>20</v>
      </c>
      <c r="J189" t="s">
        <v>770</v>
      </c>
      <c r="K189" s="50" t="s">
        <v>604</v>
      </c>
    </row>
    <row r="190" spans="1:11" x14ac:dyDescent="0.25">
      <c r="A190" s="50" t="s">
        <v>836</v>
      </c>
      <c r="B190" t="s">
        <v>860</v>
      </c>
      <c r="C190" t="s">
        <v>61</v>
      </c>
      <c r="D190" t="s">
        <v>48</v>
      </c>
      <c r="E190" t="s">
        <v>69</v>
      </c>
      <c r="F190" t="s">
        <v>732</v>
      </c>
      <c r="G190" t="s">
        <v>602</v>
      </c>
      <c r="H190" t="s">
        <v>826</v>
      </c>
      <c r="I190" t="s">
        <v>20</v>
      </c>
      <c r="J190" t="s">
        <v>770</v>
      </c>
      <c r="K190" s="50" t="s">
        <v>604</v>
      </c>
    </row>
    <row r="191" spans="1:11" x14ac:dyDescent="0.25">
      <c r="A191" s="50" t="s">
        <v>836</v>
      </c>
      <c r="B191" t="s">
        <v>860</v>
      </c>
      <c r="C191" t="s">
        <v>61</v>
      </c>
      <c r="D191" t="s">
        <v>48</v>
      </c>
      <c r="E191" t="s">
        <v>69</v>
      </c>
      <c r="F191" t="s">
        <v>75</v>
      </c>
      <c r="G191" t="s">
        <v>602</v>
      </c>
      <c r="H191" t="s">
        <v>826</v>
      </c>
      <c r="I191" t="s">
        <v>20</v>
      </c>
      <c r="J191" t="s">
        <v>770</v>
      </c>
      <c r="K191" s="50" t="s">
        <v>604</v>
      </c>
    </row>
    <row r="192" spans="1:11" x14ac:dyDescent="0.25">
      <c r="A192" s="50" t="s">
        <v>836</v>
      </c>
      <c r="B192" t="s">
        <v>860</v>
      </c>
      <c r="C192" t="s">
        <v>61</v>
      </c>
      <c r="D192" t="s">
        <v>48</v>
      </c>
      <c r="E192" t="s">
        <v>679</v>
      </c>
      <c r="F192" t="s">
        <v>737</v>
      </c>
      <c r="G192" t="s">
        <v>602</v>
      </c>
      <c r="H192" t="s">
        <v>826</v>
      </c>
      <c r="I192" t="s">
        <v>20</v>
      </c>
      <c r="J192" t="s">
        <v>770</v>
      </c>
      <c r="K192" s="50" t="s">
        <v>604</v>
      </c>
    </row>
    <row r="193" spans="1:11" x14ac:dyDescent="0.25">
      <c r="A193" s="50" t="s">
        <v>836</v>
      </c>
      <c r="B193" t="s">
        <v>861</v>
      </c>
      <c r="C193" t="s">
        <v>57</v>
      </c>
      <c r="D193" t="s">
        <v>46</v>
      </c>
      <c r="E193" t="s">
        <v>464</v>
      </c>
      <c r="F193" t="s">
        <v>516</v>
      </c>
      <c r="G193" t="s">
        <v>654</v>
      </c>
      <c r="H193" t="s">
        <v>826</v>
      </c>
      <c r="I193" t="s">
        <v>20</v>
      </c>
      <c r="J193" t="s">
        <v>770</v>
      </c>
      <c r="K193" s="50" t="s">
        <v>849</v>
      </c>
    </row>
    <row r="194" spans="1:11" x14ac:dyDescent="0.25">
      <c r="A194" s="50" t="s">
        <v>836</v>
      </c>
      <c r="B194" t="s">
        <v>861</v>
      </c>
      <c r="C194" t="s">
        <v>57</v>
      </c>
      <c r="D194" t="s">
        <v>46</v>
      </c>
      <c r="E194" t="s">
        <v>252</v>
      </c>
      <c r="F194" t="s">
        <v>709</v>
      </c>
      <c r="G194" t="s">
        <v>654</v>
      </c>
      <c r="H194" t="s">
        <v>826</v>
      </c>
      <c r="I194" t="s">
        <v>20</v>
      </c>
      <c r="J194" t="s">
        <v>770</v>
      </c>
      <c r="K194" s="50" t="s">
        <v>849</v>
      </c>
    </row>
    <row r="195" spans="1:11" x14ac:dyDescent="0.25">
      <c r="A195" s="50" t="s">
        <v>836</v>
      </c>
      <c r="B195" t="s">
        <v>861</v>
      </c>
      <c r="C195" t="s">
        <v>57</v>
      </c>
      <c r="D195" t="s">
        <v>46</v>
      </c>
      <c r="E195" t="s">
        <v>138</v>
      </c>
      <c r="F195" t="s">
        <v>702</v>
      </c>
      <c r="G195" t="s">
        <v>654</v>
      </c>
      <c r="H195" t="s">
        <v>826</v>
      </c>
      <c r="I195" t="s">
        <v>20</v>
      </c>
      <c r="J195" t="s">
        <v>770</v>
      </c>
      <c r="K195" s="50" t="s">
        <v>849</v>
      </c>
    </row>
    <row r="196" spans="1:11" x14ac:dyDescent="0.25">
      <c r="A196" s="50" t="s">
        <v>836</v>
      </c>
      <c r="B196" t="s">
        <v>861</v>
      </c>
      <c r="C196" t="s">
        <v>57</v>
      </c>
      <c r="D196" t="s">
        <v>48</v>
      </c>
      <c r="E196" t="s">
        <v>464</v>
      </c>
      <c r="F196" t="s">
        <v>517</v>
      </c>
      <c r="G196" t="s">
        <v>654</v>
      </c>
      <c r="H196" t="s">
        <v>826</v>
      </c>
      <c r="I196" t="s">
        <v>20</v>
      </c>
      <c r="J196" t="s">
        <v>770</v>
      </c>
      <c r="K196" s="50" t="s">
        <v>849</v>
      </c>
    </row>
    <row r="197" spans="1:11" x14ac:dyDescent="0.25">
      <c r="A197" s="50" t="s">
        <v>836</v>
      </c>
      <c r="B197" t="s">
        <v>861</v>
      </c>
      <c r="C197" t="s">
        <v>57</v>
      </c>
      <c r="D197" t="s">
        <v>48</v>
      </c>
      <c r="E197" t="s">
        <v>252</v>
      </c>
      <c r="F197" t="s">
        <v>674</v>
      </c>
      <c r="G197" t="s">
        <v>654</v>
      </c>
      <c r="H197" t="s">
        <v>826</v>
      </c>
      <c r="I197" t="s">
        <v>20</v>
      </c>
      <c r="J197" t="s">
        <v>770</v>
      </c>
      <c r="K197" s="50" t="s">
        <v>849</v>
      </c>
    </row>
    <row r="198" spans="1:11" x14ac:dyDescent="0.25">
      <c r="A198" s="50" t="s">
        <v>836</v>
      </c>
      <c r="B198" t="s">
        <v>861</v>
      </c>
      <c r="C198" t="s">
        <v>61</v>
      </c>
      <c r="D198" t="s">
        <v>42</v>
      </c>
      <c r="E198" t="s">
        <v>69</v>
      </c>
      <c r="F198" t="s">
        <v>70</v>
      </c>
      <c r="G198" t="s">
        <v>654</v>
      </c>
      <c r="H198" t="s">
        <v>826</v>
      </c>
      <c r="I198" t="s">
        <v>20</v>
      </c>
      <c r="J198" t="s">
        <v>770</v>
      </c>
      <c r="K198" s="50" t="s">
        <v>849</v>
      </c>
    </row>
    <row r="199" spans="1:11" x14ac:dyDescent="0.25">
      <c r="A199" s="50" t="s">
        <v>836</v>
      </c>
      <c r="B199" t="s">
        <v>861</v>
      </c>
      <c r="C199" t="s">
        <v>61</v>
      </c>
      <c r="D199" t="s">
        <v>42</v>
      </c>
      <c r="E199" t="s">
        <v>71</v>
      </c>
      <c r="F199" t="s">
        <v>413</v>
      </c>
      <c r="G199" t="s">
        <v>654</v>
      </c>
      <c r="H199" t="s">
        <v>826</v>
      </c>
      <c r="I199" t="s">
        <v>20</v>
      </c>
      <c r="J199" t="s">
        <v>770</v>
      </c>
      <c r="K199" s="50" t="s">
        <v>849</v>
      </c>
    </row>
    <row r="200" spans="1:11" x14ac:dyDescent="0.25">
      <c r="A200" s="50" t="s">
        <v>836</v>
      </c>
      <c r="B200" t="s">
        <v>861</v>
      </c>
      <c r="C200" t="s">
        <v>61</v>
      </c>
      <c r="D200" t="s">
        <v>42</v>
      </c>
      <c r="E200" t="s">
        <v>679</v>
      </c>
      <c r="F200" t="s">
        <v>739</v>
      </c>
      <c r="G200" t="s">
        <v>654</v>
      </c>
      <c r="H200" t="s">
        <v>826</v>
      </c>
      <c r="I200" t="s">
        <v>20</v>
      </c>
      <c r="J200" t="s">
        <v>770</v>
      </c>
      <c r="K200" s="50" t="s">
        <v>849</v>
      </c>
    </row>
    <row r="201" spans="1:11" x14ac:dyDescent="0.25">
      <c r="A201" s="50" t="s">
        <v>836</v>
      </c>
      <c r="B201" t="s">
        <v>861</v>
      </c>
      <c r="C201" t="s">
        <v>61</v>
      </c>
      <c r="D201" t="s">
        <v>42</v>
      </c>
      <c r="E201" t="s">
        <v>69</v>
      </c>
      <c r="F201" t="s">
        <v>75</v>
      </c>
      <c r="G201" t="s">
        <v>654</v>
      </c>
      <c r="H201" t="s">
        <v>826</v>
      </c>
      <c r="I201" t="s">
        <v>20</v>
      </c>
      <c r="J201" t="s">
        <v>770</v>
      </c>
      <c r="K201" s="50" t="s">
        <v>849</v>
      </c>
    </row>
    <row r="202" spans="1:11" x14ac:dyDescent="0.25">
      <c r="A202" s="50" t="s">
        <v>836</v>
      </c>
      <c r="B202" t="s">
        <v>861</v>
      </c>
      <c r="C202" t="s">
        <v>61</v>
      </c>
      <c r="D202" t="s">
        <v>44</v>
      </c>
      <c r="E202" t="s">
        <v>680</v>
      </c>
      <c r="F202" t="s">
        <v>746</v>
      </c>
      <c r="G202" t="s">
        <v>654</v>
      </c>
      <c r="H202" t="s">
        <v>826</v>
      </c>
      <c r="I202" t="s">
        <v>20</v>
      </c>
      <c r="J202" t="s">
        <v>770</v>
      </c>
      <c r="K202" s="50" t="s">
        <v>849</v>
      </c>
    </row>
    <row r="203" spans="1:11" x14ac:dyDescent="0.25">
      <c r="A203" s="50" t="s">
        <v>836</v>
      </c>
      <c r="B203" t="s">
        <v>861</v>
      </c>
      <c r="C203" t="s">
        <v>61</v>
      </c>
      <c r="D203" t="s">
        <v>44</v>
      </c>
      <c r="E203" t="s">
        <v>680</v>
      </c>
      <c r="F203" t="s">
        <v>748</v>
      </c>
      <c r="G203" t="s">
        <v>654</v>
      </c>
      <c r="H203" t="s">
        <v>826</v>
      </c>
      <c r="I203" t="s">
        <v>20</v>
      </c>
      <c r="J203" t="s">
        <v>770</v>
      </c>
      <c r="K203" s="50" t="s">
        <v>849</v>
      </c>
    </row>
    <row r="204" spans="1:11" x14ac:dyDescent="0.25">
      <c r="A204" s="50" t="s">
        <v>836</v>
      </c>
      <c r="B204" t="s">
        <v>861</v>
      </c>
      <c r="C204" t="s">
        <v>61</v>
      </c>
      <c r="D204" t="s">
        <v>44</v>
      </c>
      <c r="E204" t="s">
        <v>682</v>
      </c>
      <c r="F204" t="s">
        <v>752</v>
      </c>
      <c r="G204" t="s">
        <v>654</v>
      </c>
      <c r="H204" t="s">
        <v>826</v>
      </c>
      <c r="I204" t="s">
        <v>20</v>
      </c>
      <c r="J204" t="s">
        <v>770</v>
      </c>
      <c r="K204" s="50" t="s">
        <v>849</v>
      </c>
    </row>
    <row r="205" spans="1:11" x14ac:dyDescent="0.25">
      <c r="A205" s="50" t="s">
        <v>836</v>
      </c>
      <c r="B205" t="s">
        <v>861</v>
      </c>
      <c r="C205" t="s">
        <v>61</v>
      </c>
      <c r="D205" t="s">
        <v>48</v>
      </c>
      <c r="E205" t="s">
        <v>254</v>
      </c>
      <c r="F205" t="s">
        <v>736</v>
      </c>
      <c r="G205" t="s">
        <v>654</v>
      </c>
      <c r="H205" t="s">
        <v>826</v>
      </c>
      <c r="I205" t="s">
        <v>20</v>
      </c>
      <c r="J205" t="s">
        <v>770</v>
      </c>
      <c r="K205" s="50" t="s">
        <v>849</v>
      </c>
    </row>
    <row r="206" spans="1:11" x14ac:dyDescent="0.25">
      <c r="A206" s="50" t="s">
        <v>836</v>
      </c>
      <c r="B206" t="s">
        <v>861</v>
      </c>
      <c r="C206" t="s">
        <v>61</v>
      </c>
      <c r="D206" t="s">
        <v>49</v>
      </c>
      <c r="E206" t="s">
        <v>464</v>
      </c>
      <c r="F206" t="s">
        <v>570</v>
      </c>
      <c r="G206" t="s">
        <v>654</v>
      </c>
      <c r="H206" t="s">
        <v>826</v>
      </c>
      <c r="I206" t="s">
        <v>20</v>
      </c>
      <c r="J206" t="s">
        <v>770</v>
      </c>
      <c r="K206" s="50" t="s">
        <v>849</v>
      </c>
    </row>
    <row r="207" spans="1:11" x14ac:dyDescent="0.25">
      <c r="A207" s="50" t="s">
        <v>836</v>
      </c>
      <c r="B207" t="s">
        <v>861</v>
      </c>
      <c r="C207" t="s">
        <v>61</v>
      </c>
      <c r="D207" t="s">
        <v>49</v>
      </c>
      <c r="E207" t="s">
        <v>73</v>
      </c>
      <c r="F207" t="s">
        <v>140</v>
      </c>
      <c r="G207" t="s">
        <v>654</v>
      </c>
      <c r="H207" t="s">
        <v>826</v>
      </c>
      <c r="I207" t="s">
        <v>20</v>
      </c>
      <c r="J207" t="s">
        <v>770</v>
      </c>
      <c r="K207" s="50" t="s">
        <v>849</v>
      </c>
    </row>
    <row r="208" spans="1:11" x14ac:dyDescent="0.25">
      <c r="A208" s="50" t="s">
        <v>836</v>
      </c>
      <c r="B208" t="s">
        <v>861</v>
      </c>
      <c r="C208" t="s">
        <v>61</v>
      </c>
      <c r="D208" t="s">
        <v>49</v>
      </c>
      <c r="E208" t="s">
        <v>69</v>
      </c>
      <c r="F208" t="s">
        <v>733</v>
      </c>
      <c r="G208" t="s">
        <v>654</v>
      </c>
      <c r="H208" t="s">
        <v>826</v>
      </c>
      <c r="I208" t="s">
        <v>20</v>
      </c>
      <c r="J208" t="s">
        <v>770</v>
      </c>
      <c r="K208" s="50" t="s">
        <v>849</v>
      </c>
    </row>
    <row r="209" spans="1:11" x14ac:dyDescent="0.25">
      <c r="A209" s="50" t="s">
        <v>836</v>
      </c>
      <c r="B209" t="s">
        <v>861</v>
      </c>
      <c r="C209" t="s">
        <v>61</v>
      </c>
      <c r="D209" t="s">
        <v>49</v>
      </c>
      <c r="E209" t="s">
        <v>69</v>
      </c>
      <c r="F209" t="s">
        <v>730</v>
      </c>
      <c r="G209" t="s">
        <v>654</v>
      </c>
      <c r="H209" t="s">
        <v>826</v>
      </c>
      <c r="I209" t="s">
        <v>20</v>
      </c>
      <c r="J209" t="s">
        <v>770</v>
      </c>
      <c r="K209" s="50" t="s">
        <v>849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CE07-30E3-4221-8EF7-413EB9357392}">
  <sheetPr codeName="Sheet20"/>
  <dimension ref="A1:I103"/>
  <sheetViews>
    <sheetView topLeftCell="A28" workbookViewId="0">
      <selection activeCell="M40" sqref="M40"/>
    </sheetView>
  </sheetViews>
  <sheetFormatPr defaultRowHeight="15" x14ac:dyDescent="0.25"/>
  <cols>
    <col min="1" max="1" width="49" bestFit="1" customWidth="1"/>
    <col min="2" max="2" width="15.28515625" bestFit="1" customWidth="1"/>
    <col min="3" max="3" width="20.140625" bestFit="1" customWidth="1"/>
    <col min="4" max="4" width="16.42578125" bestFit="1" customWidth="1"/>
    <col min="5" max="5" width="14.85546875" bestFit="1" customWidth="1"/>
    <col min="6" max="6" width="12.7109375" bestFit="1" customWidth="1"/>
    <col min="7" max="7" width="14" bestFit="1" customWidth="1"/>
    <col min="8" max="8" width="12.140625" bestFit="1" customWidth="1"/>
    <col min="9" max="9" width="46.85546875" bestFit="1" customWidth="1"/>
  </cols>
  <sheetData>
    <row r="1" spans="1:9" x14ac:dyDescent="0.25">
      <c r="A1" t="s">
        <v>759</v>
      </c>
      <c r="B1" t="s">
        <v>760</v>
      </c>
      <c r="C1" t="s">
        <v>24</v>
      </c>
      <c r="D1" t="s">
        <v>23</v>
      </c>
      <c r="E1" t="s">
        <v>761</v>
      </c>
      <c r="F1" t="s">
        <v>762</v>
      </c>
      <c r="G1" t="s">
        <v>763</v>
      </c>
      <c r="H1" t="s">
        <v>764</v>
      </c>
      <c r="I1" t="s">
        <v>765</v>
      </c>
    </row>
    <row r="2" spans="1:9" x14ac:dyDescent="0.25">
      <c r="A2" t="s">
        <v>766</v>
      </c>
      <c r="B2" t="s">
        <v>819</v>
      </c>
      <c r="C2" t="s">
        <v>25</v>
      </c>
      <c r="D2">
        <v>34</v>
      </c>
      <c r="E2" t="s">
        <v>768</v>
      </c>
      <c r="F2" t="s">
        <v>820</v>
      </c>
      <c r="G2" t="s">
        <v>20</v>
      </c>
      <c r="H2" t="s">
        <v>770</v>
      </c>
      <c r="I2" t="s">
        <v>771</v>
      </c>
    </row>
    <row r="3" spans="1:9" x14ac:dyDescent="0.25">
      <c r="A3" t="s">
        <v>766</v>
      </c>
      <c r="B3" t="s">
        <v>819</v>
      </c>
      <c r="C3" t="s">
        <v>26</v>
      </c>
      <c r="D3">
        <v>6</v>
      </c>
      <c r="E3" t="s">
        <v>768</v>
      </c>
      <c r="F3" t="s">
        <v>820</v>
      </c>
      <c r="G3" t="s">
        <v>20</v>
      </c>
      <c r="H3" t="s">
        <v>770</v>
      </c>
      <c r="I3" t="s">
        <v>771</v>
      </c>
    </row>
    <row r="4" spans="1:9" x14ac:dyDescent="0.25">
      <c r="A4" t="s">
        <v>766</v>
      </c>
      <c r="B4" t="s">
        <v>819</v>
      </c>
      <c r="C4" t="s">
        <v>27</v>
      </c>
      <c r="E4" t="s">
        <v>768</v>
      </c>
      <c r="F4" t="s">
        <v>820</v>
      </c>
      <c r="G4" t="s">
        <v>20</v>
      </c>
      <c r="H4" t="s">
        <v>770</v>
      </c>
      <c r="I4" t="s">
        <v>771</v>
      </c>
    </row>
    <row r="5" spans="1:9" x14ac:dyDescent="0.25">
      <c r="A5" t="s">
        <v>766</v>
      </c>
      <c r="B5" t="s">
        <v>819</v>
      </c>
      <c r="C5" t="s">
        <v>28</v>
      </c>
      <c r="D5">
        <v>4</v>
      </c>
      <c r="E5" t="s">
        <v>768</v>
      </c>
      <c r="F5" t="s">
        <v>820</v>
      </c>
      <c r="G5" t="s">
        <v>20</v>
      </c>
      <c r="H5" t="s">
        <v>770</v>
      </c>
      <c r="I5" t="s">
        <v>771</v>
      </c>
    </row>
    <row r="6" spans="1:9" x14ac:dyDescent="0.25">
      <c r="A6" t="s">
        <v>766</v>
      </c>
      <c r="B6" t="s">
        <v>819</v>
      </c>
      <c r="C6" t="s">
        <v>30</v>
      </c>
      <c r="E6" t="s">
        <v>768</v>
      </c>
      <c r="F6" t="s">
        <v>820</v>
      </c>
      <c r="G6" t="s">
        <v>20</v>
      </c>
      <c r="H6" t="s">
        <v>770</v>
      </c>
      <c r="I6" t="s">
        <v>771</v>
      </c>
    </row>
    <row r="7" spans="1:9" x14ac:dyDescent="0.25">
      <c r="A7" t="s">
        <v>766</v>
      </c>
      <c r="B7" t="s">
        <v>819</v>
      </c>
      <c r="C7" t="s">
        <v>32</v>
      </c>
      <c r="D7">
        <v>44</v>
      </c>
      <c r="E7" t="s">
        <v>768</v>
      </c>
      <c r="F7" t="s">
        <v>820</v>
      </c>
      <c r="G7" t="s">
        <v>20</v>
      </c>
      <c r="H7" t="s">
        <v>770</v>
      </c>
      <c r="I7" t="s">
        <v>771</v>
      </c>
    </row>
    <row r="8" spans="1:9" x14ac:dyDescent="0.25">
      <c r="A8" t="s">
        <v>766</v>
      </c>
      <c r="B8" t="s">
        <v>821</v>
      </c>
      <c r="C8" t="s">
        <v>25</v>
      </c>
      <c r="D8">
        <v>33</v>
      </c>
      <c r="E8" t="s">
        <v>774</v>
      </c>
      <c r="F8" t="s">
        <v>820</v>
      </c>
      <c r="G8" t="s">
        <v>20</v>
      </c>
      <c r="H8" t="s">
        <v>770</v>
      </c>
      <c r="I8" t="s">
        <v>775</v>
      </c>
    </row>
    <row r="9" spans="1:9" x14ac:dyDescent="0.25">
      <c r="A9" t="s">
        <v>766</v>
      </c>
      <c r="B9" t="s">
        <v>821</v>
      </c>
      <c r="C9" t="s">
        <v>26</v>
      </c>
      <c r="D9">
        <v>1</v>
      </c>
      <c r="E9" t="s">
        <v>774</v>
      </c>
      <c r="F9" t="s">
        <v>820</v>
      </c>
      <c r="G9" t="s">
        <v>20</v>
      </c>
      <c r="H9" t="s">
        <v>770</v>
      </c>
      <c r="I9" t="s">
        <v>775</v>
      </c>
    </row>
    <row r="10" spans="1:9" x14ac:dyDescent="0.25">
      <c r="A10" t="s">
        <v>766</v>
      </c>
      <c r="B10" t="s">
        <v>821</v>
      </c>
      <c r="C10" t="s">
        <v>27</v>
      </c>
      <c r="D10">
        <v>6</v>
      </c>
      <c r="E10" t="s">
        <v>774</v>
      </c>
      <c r="F10" t="s">
        <v>820</v>
      </c>
      <c r="G10" t="s">
        <v>20</v>
      </c>
      <c r="H10" t="s">
        <v>770</v>
      </c>
      <c r="I10" t="s">
        <v>775</v>
      </c>
    </row>
    <row r="11" spans="1:9" x14ac:dyDescent="0.25">
      <c r="A11" t="s">
        <v>766</v>
      </c>
      <c r="B11" t="s">
        <v>821</v>
      </c>
      <c r="C11" t="s">
        <v>28</v>
      </c>
      <c r="D11">
        <v>1</v>
      </c>
      <c r="E11" t="s">
        <v>774</v>
      </c>
      <c r="F11" t="s">
        <v>820</v>
      </c>
      <c r="G11" t="s">
        <v>20</v>
      </c>
      <c r="H11" t="s">
        <v>770</v>
      </c>
      <c r="I11" t="s">
        <v>775</v>
      </c>
    </row>
    <row r="12" spans="1:9" x14ac:dyDescent="0.25">
      <c r="A12" t="s">
        <v>766</v>
      </c>
      <c r="B12" t="s">
        <v>821</v>
      </c>
      <c r="C12" t="s">
        <v>30</v>
      </c>
      <c r="D12">
        <v>3</v>
      </c>
      <c r="E12" t="s">
        <v>774</v>
      </c>
      <c r="F12" t="s">
        <v>820</v>
      </c>
      <c r="G12" t="s">
        <v>20</v>
      </c>
      <c r="H12" t="s">
        <v>770</v>
      </c>
      <c r="I12" t="s">
        <v>775</v>
      </c>
    </row>
    <row r="13" spans="1:9" x14ac:dyDescent="0.25">
      <c r="A13" t="s">
        <v>766</v>
      </c>
      <c r="B13" t="s">
        <v>821</v>
      </c>
      <c r="C13" t="s">
        <v>32</v>
      </c>
      <c r="D13">
        <v>44</v>
      </c>
      <c r="E13" t="s">
        <v>774</v>
      </c>
      <c r="F13" t="s">
        <v>820</v>
      </c>
      <c r="G13" t="s">
        <v>20</v>
      </c>
      <c r="H13" t="s">
        <v>770</v>
      </c>
      <c r="I13" t="s">
        <v>775</v>
      </c>
    </row>
    <row r="14" spans="1:9" x14ac:dyDescent="0.25">
      <c r="A14" t="s">
        <v>766</v>
      </c>
      <c r="B14" t="s">
        <v>822</v>
      </c>
      <c r="C14" t="s">
        <v>25</v>
      </c>
      <c r="D14">
        <v>34</v>
      </c>
      <c r="E14" t="s">
        <v>777</v>
      </c>
      <c r="F14" t="s">
        <v>820</v>
      </c>
      <c r="G14" t="s">
        <v>20</v>
      </c>
      <c r="H14" t="s">
        <v>770</v>
      </c>
      <c r="I14" t="s">
        <v>778</v>
      </c>
    </row>
    <row r="15" spans="1:9" x14ac:dyDescent="0.25">
      <c r="A15" t="s">
        <v>766</v>
      </c>
      <c r="B15" t="s">
        <v>822</v>
      </c>
      <c r="C15" t="s">
        <v>26</v>
      </c>
      <c r="D15">
        <v>12</v>
      </c>
      <c r="E15" t="s">
        <v>777</v>
      </c>
      <c r="F15" t="s">
        <v>820</v>
      </c>
      <c r="G15" t="s">
        <v>20</v>
      </c>
      <c r="H15" t="s">
        <v>770</v>
      </c>
      <c r="I15" t="s">
        <v>778</v>
      </c>
    </row>
    <row r="16" spans="1:9" x14ac:dyDescent="0.25">
      <c r="A16" t="s">
        <v>766</v>
      </c>
      <c r="B16" t="s">
        <v>822</v>
      </c>
      <c r="C16" t="s">
        <v>27</v>
      </c>
      <c r="E16" t="s">
        <v>777</v>
      </c>
      <c r="F16" t="s">
        <v>820</v>
      </c>
      <c r="G16" t="s">
        <v>20</v>
      </c>
      <c r="H16" t="s">
        <v>770</v>
      </c>
      <c r="I16" t="s">
        <v>778</v>
      </c>
    </row>
    <row r="17" spans="1:9" x14ac:dyDescent="0.25">
      <c r="A17" t="s">
        <v>766</v>
      </c>
      <c r="B17" t="s">
        <v>822</v>
      </c>
      <c r="C17" t="s">
        <v>28</v>
      </c>
      <c r="D17">
        <v>2</v>
      </c>
      <c r="E17" t="s">
        <v>777</v>
      </c>
      <c r="F17" t="s">
        <v>820</v>
      </c>
      <c r="G17" t="s">
        <v>20</v>
      </c>
      <c r="H17" t="s">
        <v>770</v>
      </c>
      <c r="I17" t="s">
        <v>778</v>
      </c>
    </row>
    <row r="18" spans="1:9" x14ac:dyDescent="0.25">
      <c r="A18" t="s">
        <v>766</v>
      </c>
      <c r="B18" t="s">
        <v>822</v>
      </c>
      <c r="C18" t="s">
        <v>30</v>
      </c>
      <c r="E18" t="s">
        <v>777</v>
      </c>
      <c r="F18" t="s">
        <v>820</v>
      </c>
      <c r="G18" t="s">
        <v>20</v>
      </c>
      <c r="H18" t="s">
        <v>770</v>
      </c>
      <c r="I18" t="s">
        <v>778</v>
      </c>
    </row>
    <row r="19" spans="1:9" x14ac:dyDescent="0.25">
      <c r="A19" t="s">
        <v>766</v>
      </c>
      <c r="B19" t="s">
        <v>822</v>
      </c>
      <c r="C19" t="s">
        <v>32</v>
      </c>
      <c r="D19">
        <v>48</v>
      </c>
      <c r="E19" t="s">
        <v>777</v>
      </c>
      <c r="F19" t="s">
        <v>820</v>
      </c>
      <c r="G19" t="s">
        <v>20</v>
      </c>
      <c r="H19" t="s">
        <v>770</v>
      </c>
      <c r="I19" t="s">
        <v>778</v>
      </c>
    </row>
    <row r="20" spans="1:9" x14ac:dyDescent="0.25">
      <c r="A20" t="s">
        <v>766</v>
      </c>
      <c r="B20" t="s">
        <v>823</v>
      </c>
      <c r="C20" t="s">
        <v>25</v>
      </c>
      <c r="D20">
        <v>16</v>
      </c>
      <c r="E20" t="s">
        <v>781</v>
      </c>
      <c r="F20" t="s">
        <v>820</v>
      </c>
      <c r="G20" t="s">
        <v>20</v>
      </c>
      <c r="H20" t="s">
        <v>770</v>
      </c>
      <c r="I20" t="s">
        <v>782</v>
      </c>
    </row>
    <row r="21" spans="1:9" x14ac:dyDescent="0.25">
      <c r="A21" t="s">
        <v>766</v>
      </c>
      <c r="B21" t="s">
        <v>823</v>
      </c>
      <c r="C21" t="s">
        <v>26</v>
      </c>
      <c r="D21">
        <v>5</v>
      </c>
      <c r="E21" t="s">
        <v>781</v>
      </c>
      <c r="F21" t="s">
        <v>820</v>
      </c>
      <c r="G21" t="s">
        <v>20</v>
      </c>
      <c r="H21" t="s">
        <v>770</v>
      </c>
      <c r="I21" t="s">
        <v>782</v>
      </c>
    </row>
    <row r="22" spans="1:9" x14ac:dyDescent="0.25">
      <c r="A22" t="s">
        <v>766</v>
      </c>
      <c r="B22" t="s">
        <v>823</v>
      </c>
      <c r="C22" t="s">
        <v>27</v>
      </c>
      <c r="D22">
        <v>6</v>
      </c>
      <c r="E22" t="s">
        <v>781</v>
      </c>
      <c r="F22" t="s">
        <v>820</v>
      </c>
      <c r="G22" t="s">
        <v>20</v>
      </c>
      <c r="H22" t="s">
        <v>770</v>
      </c>
      <c r="I22" t="s">
        <v>782</v>
      </c>
    </row>
    <row r="23" spans="1:9" x14ac:dyDescent="0.25">
      <c r="A23" t="s">
        <v>766</v>
      </c>
      <c r="B23" t="s">
        <v>823</v>
      </c>
      <c r="C23" t="s">
        <v>28</v>
      </c>
      <c r="D23">
        <v>7</v>
      </c>
      <c r="E23" t="s">
        <v>781</v>
      </c>
      <c r="F23" t="s">
        <v>820</v>
      </c>
      <c r="G23" t="s">
        <v>20</v>
      </c>
      <c r="H23" t="s">
        <v>770</v>
      </c>
      <c r="I23" t="s">
        <v>782</v>
      </c>
    </row>
    <row r="24" spans="1:9" x14ac:dyDescent="0.25">
      <c r="A24" t="s">
        <v>766</v>
      </c>
      <c r="B24" t="s">
        <v>823</v>
      </c>
      <c r="C24" t="s">
        <v>933</v>
      </c>
      <c r="D24">
        <v>6</v>
      </c>
      <c r="E24" t="s">
        <v>781</v>
      </c>
      <c r="F24" t="s">
        <v>820</v>
      </c>
      <c r="G24" t="s">
        <v>20</v>
      </c>
      <c r="H24" t="s">
        <v>770</v>
      </c>
      <c r="I24" t="s">
        <v>782</v>
      </c>
    </row>
    <row r="25" spans="1:9" x14ac:dyDescent="0.25">
      <c r="A25" t="s">
        <v>766</v>
      </c>
      <c r="B25" t="s">
        <v>823</v>
      </c>
      <c r="C25" t="s">
        <v>32</v>
      </c>
      <c r="D25">
        <v>40</v>
      </c>
      <c r="E25" t="s">
        <v>781</v>
      </c>
      <c r="F25" t="s">
        <v>820</v>
      </c>
      <c r="G25" t="s">
        <v>20</v>
      </c>
      <c r="H25" t="s">
        <v>770</v>
      </c>
      <c r="I25" t="s">
        <v>782</v>
      </c>
    </row>
    <row r="26" spans="1:9" x14ac:dyDescent="0.25">
      <c r="A26" t="s">
        <v>766</v>
      </c>
      <c r="B26" t="s">
        <v>824</v>
      </c>
      <c r="C26" t="s">
        <v>25</v>
      </c>
      <c r="D26">
        <v>12</v>
      </c>
      <c r="E26" t="s">
        <v>785</v>
      </c>
      <c r="F26" t="s">
        <v>820</v>
      </c>
      <c r="G26" t="s">
        <v>20</v>
      </c>
      <c r="H26" t="s">
        <v>770</v>
      </c>
      <c r="I26" t="s">
        <v>786</v>
      </c>
    </row>
    <row r="27" spans="1:9" x14ac:dyDescent="0.25">
      <c r="A27" t="s">
        <v>766</v>
      </c>
      <c r="B27" t="s">
        <v>824</v>
      </c>
      <c r="C27" t="s">
        <v>26</v>
      </c>
      <c r="D27">
        <v>10</v>
      </c>
      <c r="E27" t="s">
        <v>785</v>
      </c>
      <c r="F27" t="s">
        <v>820</v>
      </c>
      <c r="G27" t="s">
        <v>20</v>
      </c>
      <c r="H27" t="s">
        <v>770</v>
      </c>
      <c r="I27" t="s">
        <v>786</v>
      </c>
    </row>
    <row r="28" spans="1:9" x14ac:dyDescent="0.25">
      <c r="A28" t="s">
        <v>766</v>
      </c>
      <c r="B28" t="s">
        <v>824</v>
      </c>
      <c r="C28" t="s">
        <v>27</v>
      </c>
      <c r="E28" t="s">
        <v>785</v>
      </c>
      <c r="F28" t="s">
        <v>820</v>
      </c>
      <c r="G28" t="s">
        <v>20</v>
      </c>
      <c r="H28" t="s">
        <v>770</v>
      </c>
      <c r="I28" t="s">
        <v>786</v>
      </c>
    </row>
    <row r="29" spans="1:9" x14ac:dyDescent="0.25">
      <c r="A29" t="s">
        <v>766</v>
      </c>
      <c r="B29" t="s">
        <v>824</v>
      </c>
      <c r="C29" t="s">
        <v>28</v>
      </c>
      <c r="E29" t="s">
        <v>785</v>
      </c>
      <c r="F29" t="s">
        <v>820</v>
      </c>
      <c r="G29" t="s">
        <v>20</v>
      </c>
      <c r="H29" t="s">
        <v>770</v>
      </c>
      <c r="I29" t="s">
        <v>786</v>
      </c>
    </row>
    <row r="30" spans="1:9" x14ac:dyDescent="0.25">
      <c r="A30" t="s">
        <v>766</v>
      </c>
      <c r="B30" t="s">
        <v>824</v>
      </c>
      <c r="C30" t="s">
        <v>30</v>
      </c>
      <c r="E30" t="s">
        <v>785</v>
      </c>
      <c r="F30" t="s">
        <v>820</v>
      </c>
      <c r="G30" t="s">
        <v>20</v>
      </c>
      <c r="H30" t="s">
        <v>770</v>
      </c>
      <c r="I30" t="s">
        <v>786</v>
      </c>
    </row>
    <row r="31" spans="1:9" x14ac:dyDescent="0.25">
      <c r="A31" t="s">
        <v>766</v>
      </c>
      <c r="B31" t="s">
        <v>824</v>
      </c>
      <c r="C31" t="s">
        <v>32</v>
      </c>
      <c r="D31">
        <v>22</v>
      </c>
      <c r="E31" t="s">
        <v>785</v>
      </c>
      <c r="F31" t="s">
        <v>820</v>
      </c>
      <c r="G31" t="s">
        <v>20</v>
      </c>
      <c r="H31" t="s">
        <v>770</v>
      </c>
      <c r="I31" t="s">
        <v>786</v>
      </c>
    </row>
    <row r="32" spans="1:9" x14ac:dyDescent="0.25">
      <c r="A32" t="s">
        <v>836</v>
      </c>
      <c r="B32" t="s">
        <v>837</v>
      </c>
      <c r="C32" t="s">
        <v>25</v>
      </c>
      <c r="D32">
        <v>20</v>
      </c>
      <c r="E32" t="s">
        <v>5</v>
      </c>
      <c r="F32" t="s">
        <v>820</v>
      </c>
      <c r="G32" t="s">
        <v>20</v>
      </c>
      <c r="H32" t="s">
        <v>770</v>
      </c>
      <c r="I32" t="s">
        <v>8</v>
      </c>
    </row>
    <row r="33" spans="1:9" x14ac:dyDescent="0.25">
      <c r="A33" t="s">
        <v>836</v>
      </c>
      <c r="B33" t="s">
        <v>837</v>
      </c>
      <c r="C33" t="s">
        <v>26</v>
      </c>
      <c r="D33">
        <v>10</v>
      </c>
      <c r="E33" t="s">
        <v>5</v>
      </c>
      <c r="F33" t="s">
        <v>820</v>
      </c>
      <c r="G33" t="s">
        <v>20</v>
      </c>
      <c r="H33" t="s">
        <v>770</v>
      </c>
      <c r="I33" t="s">
        <v>8</v>
      </c>
    </row>
    <row r="34" spans="1:9" x14ac:dyDescent="0.25">
      <c r="A34" t="s">
        <v>836</v>
      </c>
      <c r="B34" t="s">
        <v>837</v>
      </c>
      <c r="C34" t="s">
        <v>27</v>
      </c>
      <c r="D34">
        <v>6</v>
      </c>
      <c r="E34" t="s">
        <v>5</v>
      </c>
      <c r="F34" t="s">
        <v>820</v>
      </c>
      <c r="G34" t="s">
        <v>20</v>
      </c>
      <c r="H34" t="s">
        <v>770</v>
      </c>
      <c r="I34" t="s">
        <v>8</v>
      </c>
    </row>
    <row r="35" spans="1:9" x14ac:dyDescent="0.25">
      <c r="A35" t="s">
        <v>836</v>
      </c>
      <c r="B35" t="s">
        <v>837</v>
      </c>
      <c r="C35" t="s">
        <v>28</v>
      </c>
      <c r="D35">
        <v>14</v>
      </c>
      <c r="E35" t="s">
        <v>5</v>
      </c>
      <c r="F35" t="s">
        <v>820</v>
      </c>
      <c r="G35" t="s">
        <v>20</v>
      </c>
      <c r="H35" t="s">
        <v>770</v>
      </c>
      <c r="I35" t="s">
        <v>8</v>
      </c>
    </row>
    <row r="36" spans="1:9" x14ac:dyDescent="0.25">
      <c r="A36" t="s">
        <v>836</v>
      </c>
      <c r="B36" t="s">
        <v>837</v>
      </c>
      <c r="C36" t="s">
        <v>30</v>
      </c>
      <c r="E36" t="s">
        <v>5</v>
      </c>
      <c r="F36" t="s">
        <v>820</v>
      </c>
      <c r="G36" t="s">
        <v>20</v>
      </c>
      <c r="H36" t="s">
        <v>770</v>
      </c>
      <c r="I36" t="s">
        <v>8</v>
      </c>
    </row>
    <row r="37" spans="1:9" x14ac:dyDescent="0.25">
      <c r="A37" t="s">
        <v>836</v>
      </c>
      <c r="B37" t="s">
        <v>837</v>
      </c>
      <c r="C37" t="s">
        <v>32</v>
      </c>
      <c r="D37">
        <v>50</v>
      </c>
      <c r="E37" t="s">
        <v>5</v>
      </c>
      <c r="F37" t="s">
        <v>820</v>
      </c>
      <c r="G37" t="s">
        <v>20</v>
      </c>
      <c r="H37" t="s">
        <v>770</v>
      </c>
      <c r="I37" t="s">
        <v>8</v>
      </c>
    </row>
    <row r="38" spans="1:9" x14ac:dyDescent="0.25">
      <c r="A38" t="s">
        <v>836</v>
      </c>
      <c r="B38" t="s">
        <v>838</v>
      </c>
      <c r="C38" t="s">
        <v>25</v>
      </c>
      <c r="D38">
        <v>16</v>
      </c>
      <c r="E38" t="s">
        <v>118</v>
      </c>
      <c r="F38" t="s">
        <v>820</v>
      </c>
      <c r="G38" t="s">
        <v>20</v>
      </c>
      <c r="H38" t="s">
        <v>770</v>
      </c>
      <c r="I38" t="s">
        <v>120</v>
      </c>
    </row>
    <row r="39" spans="1:9" x14ac:dyDescent="0.25">
      <c r="A39" t="s">
        <v>836</v>
      </c>
      <c r="B39" t="s">
        <v>838</v>
      </c>
      <c r="C39" t="s">
        <v>26</v>
      </c>
      <c r="D39">
        <v>12</v>
      </c>
      <c r="E39" t="s">
        <v>118</v>
      </c>
      <c r="F39" t="s">
        <v>820</v>
      </c>
      <c r="G39" t="s">
        <v>20</v>
      </c>
      <c r="H39" t="s">
        <v>770</v>
      </c>
      <c r="I39" t="s">
        <v>120</v>
      </c>
    </row>
    <row r="40" spans="1:9" x14ac:dyDescent="0.25">
      <c r="A40" t="s">
        <v>836</v>
      </c>
      <c r="B40" t="s">
        <v>838</v>
      </c>
      <c r="C40" t="s">
        <v>27</v>
      </c>
      <c r="D40">
        <v>9</v>
      </c>
      <c r="E40" t="s">
        <v>118</v>
      </c>
      <c r="F40" t="s">
        <v>820</v>
      </c>
      <c r="G40" t="s">
        <v>20</v>
      </c>
      <c r="H40" t="s">
        <v>770</v>
      </c>
      <c r="I40" t="s">
        <v>120</v>
      </c>
    </row>
    <row r="41" spans="1:9" x14ac:dyDescent="0.25">
      <c r="A41" t="s">
        <v>836</v>
      </c>
      <c r="B41" t="s">
        <v>838</v>
      </c>
      <c r="C41" t="s">
        <v>28</v>
      </c>
      <c r="D41">
        <v>4</v>
      </c>
      <c r="E41" t="s">
        <v>118</v>
      </c>
      <c r="F41" t="s">
        <v>820</v>
      </c>
      <c r="G41" t="s">
        <v>20</v>
      </c>
      <c r="H41" t="s">
        <v>770</v>
      </c>
      <c r="I41" t="s">
        <v>120</v>
      </c>
    </row>
    <row r="42" spans="1:9" x14ac:dyDescent="0.25">
      <c r="A42" t="s">
        <v>836</v>
      </c>
      <c r="B42" t="s">
        <v>838</v>
      </c>
      <c r="C42" t="s">
        <v>30</v>
      </c>
      <c r="E42" t="s">
        <v>118</v>
      </c>
      <c r="F42" t="s">
        <v>820</v>
      </c>
      <c r="G42" t="s">
        <v>20</v>
      </c>
      <c r="H42" t="s">
        <v>770</v>
      </c>
      <c r="I42" t="s">
        <v>120</v>
      </c>
    </row>
    <row r="43" spans="1:9" x14ac:dyDescent="0.25">
      <c r="A43" t="s">
        <v>836</v>
      </c>
      <c r="B43" t="s">
        <v>838</v>
      </c>
      <c r="C43" t="s">
        <v>32</v>
      </c>
      <c r="D43">
        <v>41</v>
      </c>
      <c r="E43" t="s">
        <v>118</v>
      </c>
      <c r="F43" t="s">
        <v>820</v>
      </c>
      <c r="G43" t="s">
        <v>20</v>
      </c>
      <c r="H43" t="s">
        <v>770</v>
      </c>
      <c r="I43" t="s">
        <v>120</v>
      </c>
    </row>
    <row r="44" spans="1:9" x14ac:dyDescent="0.25">
      <c r="A44" t="s">
        <v>836</v>
      </c>
      <c r="B44" t="s">
        <v>839</v>
      </c>
      <c r="C44" t="s">
        <v>25</v>
      </c>
      <c r="D44">
        <v>26</v>
      </c>
      <c r="E44" t="s">
        <v>176</v>
      </c>
      <c r="F44" t="s">
        <v>820</v>
      </c>
      <c r="G44" t="s">
        <v>20</v>
      </c>
      <c r="H44" t="s">
        <v>770</v>
      </c>
      <c r="I44" t="s">
        <v>178</v>
      </c>
    </row>
    <row r="45" spans="1:9" x14ac:dyDescent="0.25">
      <c r="A45" t="s">
        <v>836</v>
      </c>
      <c r="B45" t="s">
        <v>839</v>
      </c>
      <c r="C45" t="s">
        <v>26</v>
      </c>
      <c r="E45" t="s">
        <v>176</v>
      </c>
      <c r="F45" t="s">
        <v>820</v>
      </c>
      <c r="G45" t="s">
        <v>20</v>
      </c>
      <c r="H45" t="s">
        <v>770</v>
      </c>
      <c r="I45" t="s">
        <v>178</v>
      </c>
    </row>
    <row r="46" spans="1:9" x14ac:dyDescent="0.25">
      <c r="A46" t="s">
        <v>836</v>
      </c>
      <c r="B46" t="s">
        <v>839</v>
      </c>
      <c r="C46" t="s">
        <v>27</v>
      </c>
      <c r="D46">
        <v>9</v>
      </c>
      <c r="E46" t="s">
        <v>176</v>
      </c>
      <c r="F46" t="s">
        <v>820</v>
      </c>
      <c r="G46" t="s">
        <v>20</v>
      </c>
      <c r="H46" t="s">
        <v>770</v>
      </c>
      <c r="I46" t="s">
        <v>178</v>
      </c>
    </row>
    <row r="47" spans="1:9" x14ac:dyDescent="0.25">
      <c r="A47" t="s">
        <v>836</v>
      </c>
      <c r="B47" t="s">
        <v>839</v>
      </c>
      <c r="C47" t="s">
        <v>28</v>
      </c>
      <c r="D47">
        <v>5</v>
      </c>
      <c r="E47" t="s">
        <v>176</v>
      </c>
      <c r="F47" t="s">
        <v>820</v>
      </c>
      <c r="G47" t="s">
        <v>20</v>
      </c>
      <c r="H47" t="s">
        <v>770</v>
      </c>
      <c r="I47" t="s">
        <v>178</v>
      </c>
    </row>
    <row r="48" spans="1:9" x14ac:dyDescent="0.25">
      <c r="A48" t="s">
        <v>836</v>
      </c>
      <c r="B48" t="s">
        <v>839</v>
      </c>
      <c r="C48" t="s">
        <v>30</v>
      </c>
      <c r="E48" t="s">
        <v>176</v>
      </c>
      <c r="F48" t="s">
        <v>820</v>
      </c>
      <c r="G48" t="s">
        <v>20</v>
      </c>
      <c r="H48" t="s">
        <v>770</v>
      </c>
      <c r="I48" t="s">
        <v>178</v>
      </c>
    </row>
    <row r="49" spans="1:9" x14ac:dyDescent="0.25">
      <c r="A49" t="s">
        <v>836</v>
      </c>
      <c r="B49" t="s">
        <v>839</v>
      </c>
      <c r="C49" t="s">
        <v>32</v>
      </c>
      <c r="D49">
        <v>40</v>
      </c>
      <c r="E49" t="s">
        <v>176</v>
      </c>
      <c r="F49" t="s">
        <v>820</v>
      </c>
      <c r="G49" t="s">
        <v>20</v>
      </c>
      <c r="H49" t="s">
        <v>770</v>
      </c>
      <c r="I49" t="s">
        <v>178</v>
      </c>
    </row>
    <row r="50" spans="1:9" x14ac:dyDescent="0.25">
      <c r="A50" t="s">
        <v>836</v>
      </c>
      <c r="B50" t="s">
        <v>840</v>
      </c>
      <c r="C50" t="s">
        <v>25</v>
      </c>
      <c r="D50">
        <v>22</v>
      </c>
      <c r="E50" t="s">
        <v>234</v>
      </c>
      <c r="F50" t="s">
        <v>820</v>
      </c>
      <c r="G50" t="s">
        <v>20</v>
      </c>
      <c r="H50" t="s">
        <v>770</v>
      </c>
      <c r="I50" t="s">
        <v>236</v>
      </c>
    </row>
    <row r="51" spans="1:9" x14ac:dyDescent="0.25">
      <c r="A51" t="s">
        <v>836</v>
      </c>
      <c r="B51" t="s">
        <v>840</v>
      </c>
      <c r="C51" t="s">
        <v>26</v>
      </c>
      <c r="E51" t="s">
        <v>234</v>
      </c>
      <c r="F51" t="s">
        <v>820</v>
      </c>
      <c r="G51" t="s">
        <v>20</v>
      </c>
      <c r="H51" t="s">
        <v>770</v>
      </c>
      <c r="I51" t="s">
        <v>236</v>
      </c>
    </row>
    <row r="52" spans="1:9" x14ac:dyDescent="0.25">
      <c r="A52" t="s">
        <v>836</v>
      </c>
      <c r="B52" t="s">
        <v>840</v>
      </c>
      <c r="C52" t="s">
        <v>27</v>
      </c>
      <c r="D52">
        <v>8</v>
      </c>
      <c r="E52" t="s">
        <v>234</v>
      </c>
      <c r="F52" t="s">
        <v>820</v>
      </c>
      <c r="G52" t="s">
        <v>20</v>
      </c>
      <c r="H52" t="s">
        <v>770</v>
      </c>
      <c r="I52" t="s">
        <v>236</v>
      </c>
    </row>
    <row r="53" spans="1:9" x14ac:dyDescent="0.25">
      <c r="A53" t="s">
        <v>836</v>
      </c>
      <c r="B53" t="s">
        <v>840</v>
      </c>
      <c r="C53" t="s">
        <v>28</v>
      </c>
      <c r="D53">
        <v>14</v>
      </c>
      <c r="E53" t="s">
        <v>234</v>
      </c>
      <c r="F53" t="s">
        <v>820</v>
      </c>
      <c r="G53" t="s">
        <v>20</v>
      </c>
      <c r="H53" t="s">
        <v>770</v>
      </c>
      <c r="I53" t="s">
        <v>236</v>
      </c>
    </row>
    <row r="54" spans="1:9" x14ac:dyDescent="0.25">
      <c r="A54" t="s">
        <v>836</v>
      </c>
      <c r="B54" t="s">
        <v>840</v>
      </c>
      <c r="C54" t="s">
        <v>30</v>
      </c>
      <c r="E54" t="s">
        <v>234</v>
      </c>
      <c r="F54" t="s">
        <v>820</v>
      </c>
      <c r="G54" t="s">
        <v>20</v>
      </c>
      <c r="H54" t="s">
        <v>770</v>
      </c>
      <c r="I54" t="s">
        <v>236</v>
      </c>
    </row>
    <row r="55" spans="1:9" x14ac:dyDescent="0.25">
      <c r="A55" t="s">
        <v>836</v>
      </c>
      <c r="B55" t="s">
        <v>840</v>
      </c>
      <c r="C55" t="s">
        <v>32</v>
      </c>
      <c r="D55">
        <v>44</v>
      </c>
      <c r="E55" t="s">
        <v>234</v>
      </c>
      <c r="F55" t="s">
        <v>820</v>
      </c>
      <c r="G55" t="s">
        <v>20</v>
      </c>
      <c r="H55" t="s">
        <v>770</v>
      </c>
      <c r="I55" t="s">
        <v>236</v>
      </c>
    </row>
    <row r="56" spans="1:9" x14ac:dyDescent="0.25">
      <c r="A56" t="s">
        <v>836</v>
      </c>
      <c r="B56" t="s">
        <v>841</v>
      </c>
      <c r="C56" t="s">
        <v>25</v>
      </c>
      <c r="D56">
        <v>8</v>
      </c>
      <c r="E56" t="s">
        <v>284</v>
      </c>
      <c r="F56" t="s">
        <v>820</v>
      </c>
      <c r="G56" t="s">
        <v>20</v>
      </c>
      <c r="H56" t="s">
        <v>770</v>
      </c>
      <c r="I56" t="s">
        <v>286</v>
      </c>
    </row>
    <row r="57" spans="1:9" x14ac:dyDescent="0.25">
      <c r="A57" t="s">
        <v>836</v>
      </c>
      <c r="B57" t="s">
        <v>841</v>
      </c>
      <c r="C57" t="s">
        <v>26</v>
      </c>
      <c r="D57">
        <v>10</v>
      </c>
      <c r="E57" t="s">
        <v>284</v>
      </c>
      <c r="F57" t="s">
        <v>820</v>
      </c>
      <c r="G57" t="s">
        <v>20</v>
      </c>
      <c r="H57" t="s">
        <v>770</v>
      </c>
      <c r="I57" t="s">
        <v>286</v>
      </c>
    </row>
    <row r="58" spans="1:9" x14ac:dyDescent="0.25">
      <c r="A58" t="s">
        <v>836</v>
      </c>
      <c r="B58" t="s">
        <v>841</v>
      </c>
      <c r="C58" t="s">
        <v>27</v>
      </c>
      <c r="E58" t="s">
        <v>284</v>
      </c>
      <c r="F58" t="s">
        <v>820</v>
      </c>
      <c r="G58" t="s">
        <v>20</v>
      </c>
      <c r="H58" t="s">
        <v>770</v>
      </c>
      <c r="I58" t="s">
        <v>286</v>
      </c>
    </row>
    <row r="59" spans="1:9" x14ac:dyDescent="0.25">
      <c r="A59" t="s">
        <v>836</v>
      </c>
      <c r="B59" t="s">
        <v>841</v>
      </c>
      <c r="C59" t="s">
        <v>28</v>
      </c>
      <c r="D59">
        <v>32</v>
      </c>
      <c r="E59" t="s">
        <v>284</v>
      </c>
      <c r="F59" t="s">
        <v>820</v>
      </c>
      <c r="G59" t="s">
        <v>20</v>
      </c>
      <c r="H59" t="s">
        <v>770</v>
      </c>
      <c r="I59" t="s">
        <v>286</v>
      </c>
    </row>
    <row r="60" spans="1:9" x14ac:dyDescent="0.25">
      <c r="A60" t="s">
        <v>836</v>
      </c>
      <c r="B60" t="s">
        <v>841</v>
      </c>
      <c r="C60" t="s">
        <v>30</v>
      </c>
      <c r="E60" t="s">
        <v>284</v>
      </c>
      <c r="F60" t="s">
        <v>820</v>
      </c>
      <c r="G60" t="s">
        <v>20</v>
      </c>
      <c r="H60" t="s">
        <v>770</v>
      </c>
      <c r="I60" t="s">
        <v>286</v>
      </c>
    </row>
    <row r="61" spans="1:9" x14ac:dyDescent="0.25">
      <c r="A61" t="s">
        <v>836</v>
      </c>
      <c r="B61" t="s">
        <v>841</v>
      </c>
      <c r="C61" t="s">
        <v>32</v>
      </c>
      <c r="D61">
        <v>50</v>
      </c>
      <c r="E61" t="s">
        <v>284</v>
      </c>
      <c r="F61" t="s">
        <v>820</v>
      </c>
      <c r="G61" t="s">
        <v>20</v>
      </c>
      <c r="H61" t="s">
        <v>770</v>
      </c>
      <c r="I61" t="s">
        <v>286</v>
      </c>
    </row>
    <row r="62" spans="1:9" x14ac:dyDescent="0.25">
      <c r="A62" t="s">
        <v>836</v>
      </c>
      <c r="B62" t="s">
        <v>842</v>
      </c>
      <c r="C62" t="s">
        <v>25</v>
      </c>
      <c r="D62">
        <v>14</v>
      </c>
      <c r="E62" t="s">
        <v>339</v>
      </c>
      <c r="F62" t="s">
        <v>820</v>
      </c>
      <c r="G62" t="s">
        <v>20</v>
      </c>
      <c r="H62" t="s">
        <v>770</v>
      </c>
      <c r="I62" t="s">
        <v>341</v>
      </c>
    </row>
    <row r="63" spans="1:9" x14ac:dyDescent="0.25">
      <c r="A63" t="s">
        <v>836</v>
      </c>
      <c r="B63" t="s">
        <v>842</v>
      </c>
      <c r="C63" t="s">
        <v>26</v>
      </c>
      <c r="D63">
        <v>14</v>
      </c>
      <c r="E63" t="s">
        <v>339</v>
      </c>
      <c r="F63" t="s">
        <v>820</v>
      </c>
      <c r="G63" t="s">
        <v>20</v>
      </c>
      <c r="H63" t="s">
        <v>770</v>
      </c>
      <c r="I63" t="s">
        <v>341</v>
      </c>
    </row>
    <row r="64" spans="1:9" x14ac:dyDescent="0.25">
      <c r="A64" t="s">
        <v>836</v>
      </c>
      <c r="B64" t="s">
        <v>842</v>
      </c>
      <c r="C64" t="s">
        <v>27</v>
      </c>
      <c r="D64">
        <v>3</v>
      </c>
      <c r="E64" t="s">
        <v>339</v>
      </c>
      <c r="F64" t="s">
        <v>820</v>
      </c>
      <c r="G64" t="s">
        <v>20</v>
      </c>
      <c r="H64" t="s">
        <v>770</v>
      </c>
      <c r="I64" t="s">
        <v>341</v>
      </c>
    </row>
    <row r="65" spans="1:9" x14ac:dyDescent="0.25">
      <c r="A65" t="s">
        <v>836</v>
      </c>
      <c r="B65" t="s">
        <v>842</v>
      </c>
      <c r="C65" t="s">
        <v>28</v>
      </c>
      <c r="D65">
        <v>9</v>
      </c>
      <c r="E65" t="s">
        <v>339</v>
      </c>
      <c r="F65" t="s">
        <v>820</v>
      </c>
      <c r="G65" t="s">
        <v>20</v>
      </c>
      <c r="H65" t="s">
        <v>770</v>
      </c>
      <c r="I65" t="s">
        <v>341</v>
      </c>
    </row>
    <row r="66" spans="1:9" x14ac:dyDescent="0.25">
      <c r="A66" t="s">
        <v>836</v>
      </c>
      <c r="B66" t="s">
        <v>842</v>
      </c>
      <c r="C66" t="s">
        <v>30</v>
      </c>
      <c r="D66">
        <v>0</v>
      </c>
      <c r="E66" t="s">
        <v>339</v>
      </c>
      <c r="F66" t="s">
        <v>820</v>
      </c>
      <c r="G66" t="s">
        <v>20</v>
      </c>
      <c r="H66" t="s">
        <v>770</v>
      </c>
      <c r="I66" t="s">
        <v>341</v>
      </c>
    </row>
    <row r="67" spans="1:9" x14ac:dyDescent="0.25">
      <c r="A67" t="s">
        <v>836</v>
      </c>
      <c r="B67" t="s">
        <v>842</v>
      </c>
      <c r="C67" t="s">
        <v>32</v>
      </c>
      <c r="D67">
        <v>40</v>
      </c>
      <c r="E67" t="s">
        <v>339</v>
      </c>
      <c r="F67" t="s">
        <v>820</v>
      </c>
      <c r="G67" t="s">
        <v>20</v>
      </c>
      <c r="H67" t="s">
        <v>770</v>
      </c>
      <c r="I67" t="s">
        <v>341</v>
      </c>
    </row>
    <row r="68" spans="1:9" x14ac:dyDescent="0.25">
      <c r="A68" t="s">
        <v>836</v>
      </c>
      <c r="B68" t="s">
        <v>843</v>
      </c>
      <c r="C68" t="s">
        <v>25</v>
      </c>
      <c r="D68">
        <v>26</v>
      </c>
      <c r="E68" t="s">
        <v>395</v>
      </c>
      <c r="F68" t="s">
        <v>820</v>
      </c>
      <c r="G68" t="s">
        <v>20</v>
      </c>
      <c r="H68" t="s">
        <v>770</v>
      </c>
      <c r="I68" t="s">
        <v>397</v>
      </c>
    </row>
    <row r="69" spans="1:9" x14ac:dyDescent="0.25">
      <c r="A69" t="s">
        <v>836</v>
      </c>
      <c r="B69" t="s">
        <v>843</v>
      </c>
      <c r="C69" t="s">
        <v>26</v>
      </c>
      <c r="D69">
        <v>5</v>
      </c>
      <c r="E69" t="s">
        <v>395</v>
      </c>
      <c r="F69" t="s">
        <v>820</v>
      </c>
      <c r="G69" t="s">
        <v>20</v>
      </c>
      <c r="H69" t="s">
        <v>770</v>
      </c>
      <c r="I69" t="s">
        <v>397</v>
      </c>
    </row>
    <row r="70" spans="1:9" x14ac:dyDescent="0.25">
      <c r="A70" t="s">
        <v>836</v>
      </c>
      <c r="B70" t="s">
        <v>843</v>
      </c>
      <c r="C70" t="s">
        <v>27</v>
      </c>
      <c r="D70">
        <v>9</v>
      </c>
      <c r="E70" t="s">
        <v>395</v>
      </c>
      <c r="F70" t="s">
        <v>820</v>
      </c>
      <c r="G70" t="s">
        <v>20</v>
      </c>
      <c r="H70" t="s">
        <v>770</v>
      </c>
      <c r="I70" t="s">
        <v>397</v>
      </c>
    </row>
    <row r="71" spans="1:9" x14ac:dyDescent="0.25">
      <c r="A71" t="s">
        <v>836</v>
      </c>
      <c r="B71" t="s">
        <v>843</v>
      </c>
      <c r="C71" t="s">
        <v>28</v>
      </c>
      <c r="E71" t="s">
        <v>395</v>
      </c>
      <c r="F71" t="s">
        <v>820</v>
      </c>
      <c r="G71" t="s">
        <v>20</v>
      </c>
      <c r="H71" t="s">
        <v>770</v>
      </c>
      <c r="I71" t="s">
        <v>397</v>
      </c>
    </row>
    <row r="72" spans="1:9" x14ac:dyDescent="0.25">
      <c r="A72" t="s">
        <v>836</v>
      </c>
      <c r="B72" t="s">
        <v>843</v>
      </c>
      <c r="C72" t="s">
        <v>30</v>
      </c>
      <c r="E72" t="s">
        <v>395</v>
      </c>
      <c r="F72" t="s">
        <v>820</v>
      </c>
      <c r="G72" t="s">
        <v>20</v>
      </c>
      <c r="H72" t="s">
        <v>770</v>
      </c>
      <c r="I72" t="s">
        <v>397</v>
      </c>
    </row>
    <row r="73" spans="1:9" x14ac:dyDescent="0.25">
      <c r="A73" t="s">
        <v>836</v>
      </c>
      <c r="B73" t="s">
        <v>843</v>
      </c>
      <c r="C73" t="s">
        <v>32</v>
      </c>
      <c r="D73">
        <v>40</v>
      </c>
      <c r="E73" t="s">
        <v>395</v>
      </c>
      <c r="F73" t="s">
        <v>820</v>
      </c>
      <c r="G73" t="s">
        <v>20</v>
      </c>
      <c r="H73" t="s">
        <v>770</v>
      </c>
      <c r="I73" t="s">
        <v>397</v>
      </c>
    </row>
    <row r="74" spans="1:9" x14ac:dyDescent="0.25">
      <c r="A74" t="s">
        <v>836</v>
      </c>
      <c r="B74" t="s">
        <v>844</v>
      </c>
      <c r="C74" t="s">
        <v>25</v>
      </c>
      <c r="D74">
        <v>20</v>
      </c>
      <c r="E74" t="s">
        <v>448</v>
      </c>
      <c r="F74" t="s">
        <v>820</v>
      </c>
      <c r="G74" t="s">
        <v>20</v>
      </c>
      <c r="H74" t="s">
        <v>770</v>
      </c>
      <c r="I74" t="s">
        <v>450</v>
      </c>
    </row>
    <row r="75" spans="1:9" x14ac:dyDescent="0.25">
      <c r="A75" t="s">
        <v>836</v>
      </c>
      <c r="B75" t="s">
        <v>844</v>
      </c>
      <c r="C75" t="s">
        <v>26</v>
      </c>
      <c r="E75" t="s">
        <v>448</v>
      </c>
      <c r="F75" t="s">
        <v>820</v>
      </c>
      <c r="G75" t="s">
        <v>20</v>
      </c>
      <c r="H75" t="s">
        <v>770</v>
      </c>
      <c r="I75" t="s">
        <v>450</v>
      </c>
    </row>
    <row r="76" spans="1:9" x14ac:dyDescent="0.25">
      <c r="A76" t="s">
        <v>836</v>
      </c>
      <c r="B76" t="s">
        <v>844</v>
      </c>
      <c r="C76" t="s">
        <v>27</v>
      </c>
      <c r="E76" t="s">
        <v>448</v>
      </c>
      <c r="F76" t="s">
        <v>820</v>
      </c>
      <c r="G76" t="s">
        <v>20</v>
      </c>
      <c r="H76" t="s">
        <v>770</v>
      </c>
      <c r="I76" t="s">
        <v>450</v>
      </c>
    </row>
    <row r="77" spans="1:9" x14ac:dyDescent="0.25">
      <c r="A77" t="s">
        <v>836</v>
      </c>
      <c r="B77" t="s">
        <v>844</v>
      </c>
      <c r="C77" t="s">
        <v>28</v>
      </c>
      <c r="D77">
        <v>20</v>
      </c>
      <c r="E77" t="s">
        <v>448</v>
      </c>
      <c r="F77" t="s">
        <v>820</v>
      </c>
      <c r="G77" t="s">
        <v>20</v>
      </c>
      <c r="H77" t="s">
        <v>770</v>
      </c>
      <c r="I77" t="s">
        <v>450</v>
      </c>
    </row>
    <row r="78" spans="1:9" x14ac:dyDescent="0.25">
      <c r="A78" t="s">
        <v>836</v>
      </c>
      <c r="B78" t="s">
        <v>844</v>
      </c>
      <c r="C78" t="s">
        <v>30</v>
      </c>
      <c r="E78" t="s">
        <v>448</v>
      </c>
      <c r="F78" t="s">
        <v>820</v>
      </c>
      <c r="G78" t="s">
        <v>20</v>
      </c>
      <c r="H78" t="s">
        <v>770</v>
      </c>
      <c r="I78" t="s">
        <v>450</v>
      </c>
    </row>
    <row r="79" spans="1:9" x14ac:dyDescent="0.25">
      <c r="A79" t="s">
        <v>836</v>
      </c>
      <c r="B79" t="s">
        <v>844</v>
      </c>
      <c r="C79" t="s">
        <v>32</v>
      </c>
      <c r="D79">
        <v>40</v>
      </c>
      <c r="E79" t="s">
        <v>448</v>
      </c>
      <c r="F79" t="s">
        <v>820</v>
      </c>
      <c r="G79" t="s">
        <v>20</v>
      </c>
      <c r="H79" t="s">
        <v>770</v>
      </c>
      <c r="I79" t="s">
        <v>450</v>
      </c>
    </row>
    <row r="80" spans="1:9" x14ac:dyDescent="0.25">
      <c r="A80" t="s">
        <v>836</v>
      </c>
      <c r="B80" t="s">
        <v>845</v>
      </c>
      <c r="C80" t="s">
        <v>25</v>
      </c>
      <c r="D80">
        <v>18</v>
      </c>
      <c r="E80" t="s">
        <v>502</v>
      </c>
      <c r="F80" t="s">
        <v>820</v>
      </c>
      <c r="G80" t="s">
        <v>20</v>
      </c>
      <c r="H80" t="s">
        <v>770</v>
      </c>
      <c r="I80" t="s">
        <v>504</v>
      </c>
    </row>
    <row r="81" spans="1:9" x14ac:dyDescent="0.25">
      <c r="A81" t="s">
        <v>836</v>
      </c>
      <c r="B81" t="s">
        <v>845</v>
      </c>
      <c r="C81" t="s">
        <v>26</v>
      </c>
      <c r="D81">
        <v>11</v>
      </c>
      <c r="E81" t="s">
        <v>502</v>
      </c>
      <c r="F81" t="s">
        <v>820</v>
      </c>
      <c r="G81" t="s">
        <v>20</v>
      </c>
      <c r="H81" t="s">
        <v>770</v>
      </c>
      <c r="I81" t="s">
        <v>504</v>
      </c>
    </row>
    <row r="82" spans="1:9" x14ac:dyDescent="0.25">
      <c r="A82" t="s">
        <v>836</v>
      </c>
      <c r="B82" t="s">
        <v>845</v>
      </c>
      <c r="C82" t="s">
        <v>27</v>
      </c>
      <c r="D82">
        <v>9</v>
      </c>
      <c r="E82" t="s">
        <v>502</v>
      </c>
      <c r="F82" t="s">
        <v>820</v>
      </c>
      <c r="G82" t="s">
        <v>20</v>
      </c>
      <c r="H82" t="s">
        <v>770</v>
      </c>
      <c r="I82" t="s">
        <v>504</v>
      </c>
    </row>
    <row r="83" spans="1:9" x14ac:dyDescent="0.25">
      <c r="A83" t="s">
        <v>836</v>
      </c>
      <c r="B83" t="s">
        <v>845</v>
      </c>
      <c r="C83" t="s">
        <v>28</v>
      </c>
      <c r="D83">
        <v>7</v>
      </c>
      <c r="E83" t="s">
        <v>502</v>
      </c>
      <c r="F83" t="s">
        <v>820</v>
      </c>
      <c r="G83" t="s">
        <v>20</v>
      </c>
      <c r="H83" t="s">
        <v>770</v>
      </c>
      <c r="I83" t="s">
        <v>504</v>
      </c>
    </row>
    <row r="84" spans="1:9" x14ac:dyDescent="0.25">
      <c r="A84" t="s">
        <v>836</v>
      </c>
      <c r="B84" t="s">
        <v>845</v>
      </c>
      <c r="C84" t="s">
        <v>30</v>
      </c>
      <c r="D84">
        <v>0</v>
      </c>
      <c r="E84" t="s">
        <v>502</v>
      </c>
      <c r="F84" t="s">
        <v>820</v>
      </c>
      <c r="G84" t="s">
        <v>20</v>
      </c>
      <c r="H84" t="s">
        <v>770</v>
      </c>
      <c r="I84" t="s">
        <v>504</v>
      </c>
    </row>
    <row r="85" spans="1:9" x14ac:dyDescent="0.25">
      <c r="A85" t="s">
        <v>836</v>
      </c>
      <c r="B85" t="s">
        <v>845</v>
      </c>
      <c r="C85" t="s">
        <v>32</v>
      </c>
      <c r="D85">
        <v>45</v>
      </c>
      <c r="E85" t="s">
        <v>502</v>
      </c>
      <c r="F85" t="s">
        <v>820</v>
      </c>
      <c r="G85" t="s">
        <v>20</v>
      </c>
      <c r="H85" t="s">
        <v>770</v>
      </c>
      <c r="I85" t="s">
        <v>504</v>
      </c>
    </row>
    <row r="86" spans="1:9" x14ac:dyDescent="0.25">
      <c r="A86" t="s">
        <v>836</v>
      </c>
      <c r="B86" t="s">
        <v>846</v>
      </c>
      <c r="C86" t="s">
        <v>25</v>
      </c>
      <c r="D86">
        <v>22</v>
      </c>
      <c r="E86" t="s">
        <v>553</v>
      </c>
      <c r="F86" t="s">
        <v>820</v>
      </c>
      <c r="G86" t="s">
        <v>20</v>
      </c>
      <c r="H86" t="s">
        <v>770</v>
      </c>
      <c r="I86" t="s">
        <v>555</v>
      </c>
    </row>
    <row r="87" spans="1:9" x14ac:dyDescent="0.25">
      <c r="A87" t="s">
        <v>836</v>
      </c>
      <c r="B87" t="s">
        <v>846</v>
      </c>
      <c r="C87" t="s">
        <v>26</v>
      </c>
      <c r="E87" t="s">
        <v>553</v>
      </c>
      <c r="F87" t="s">
        <v>820</v>
      </c>
      <c r="G87" t="s">
        <v>20</v>
      </c>
      <c r="H87" t="s">
        <v>770</v>
      </c>
      <c r="I87" t="s">
        <v>555</v>
      </c>
    </row>
    <row r="88" spans="1:9" x14ac:dyDescent="0.25">
      <c r="A88" t="s">
        <v>836</v>
      </c>
      <c r="B88" t="s">
        <v>846</v>
      </c>
      <c r="C88" t="s">
        <v>27</v>
      </c>
      <c r="D88">
        <v>7</v>
      </c>
      <c r="E88" t="s">
        <v>553</v>
      </c>
      <c r="F88" t="s">
        <v>820</v>
      </c>
      <c r="G88" t="s">
        <v>20</v>
      </c>
      <c r="H88" t="s">
        <v>770</v>
      </c>
      <c r="I88" t="s">
        <v>555</v>
      </c>
    </row>
    <row r="89" spans="1:9" x14ac:dyDescent="0.25">
      <c r="A89" t="s">
        <v>836</v>
      </c>
      <c r="B89" t="s">
        <v>846</v>
      </c>
      <c r="C89" t="s">
        <v>28</v>
      </c>
      <c r="D89">
        <v>11</v>
      </c>
      <c r="E89" t="s">
        <v>553</v>
      </c>
      <c r="F89" t="s">
        <v>820</v>
      </c>
      <c r="G89" t="s">
        <v>20</v>
      </c>
      <c r="H89" t="s">
        <v>770</v>
      </c>
      <c r="I89" t="s">
        <v>555</v>
      </c>
    </row>
    <row r="90" spans="1:9" x14ac:dyDescent="0.25">
      <c r="A90" t="s">
        <v>836</v>
      </c>
      <c r="B90" t="s">
        <v>846</v>
      </c>
      <c r="C90" t="s">
        <v>30</v>
      </c>
      <c r="E90" t="s">
        <v>553</v>
      </c>
      <c r="F90" t="s">
        <v>820</v>
      </c>
      <c r="G90" t="s">
        <v>20</v>
      </c>
      <c r="H90" t="s">
        <v>770</v>
      </c>
      <c r="I90" t="s">
        <v>555</v>
      </c>
    </row>
    <row r="91" spans="1:9" x14ac:dyDescent="0.25">
      <c r="A91" t="s">
        <v>836</v>
      </c>
      <c r="B91" t="s">
        <v>846</v>
      </c>
      <c r="C91" t="s">
        <v>32</v>
      </c>
      <c r="D91">
        <v>40</v>
      </c>
      <c r="E91" t="s">
        <v>553</v>
      </c>
      <c r="F91" t="s">
        <v>820</v>
      </c>
      <c r="G91" t="s">
        <v>20</v>
      </c>
      <c r="H91" t="s">
        <v>770</v>
      </c>
      <c r="I91" t="s">
        <v>555</v>
      </c>
    </row>
    <row r="92" spans="1:9" x14ac:dyDescent="0.25">
      <c r="A92" t="s">
        <v>836</v>
      </c>
      <c r="B92" t="s">
        <v>847</v>
      </c>
      <c r="C92" t="s">
        <v>25</v>
      </c>
      <c r="D92">
        <v>22</v>
      </c>
      <c r="E92" t="s">
        <v>602</v>
      </c>
      <c r="F92" t="s">
        <v>820</v>
      </c>
      <c r="G92" t="s">
        <v>20</v>
      </c>
      <c r="H92" t="s">
        <v>770</v>
      </c>
      <c r="I92" t="s">
        <v>604</v>
      </c>
    </row>
    <row r="93" spans="1:9" x14ac:dyDescent="0.25">
      <c r="A93" t="s">
        <v>836</v>
      </c>
      <c r="B93" t="s">
        <v>847</v>
      </c>
      <c r="C93" t="s">
        <v>26</v>
      </c>
      <c r="D93">
        <v>5</v>
      </c>
      <c r="E93" t="s">
        <v>602</v>
      </c>
      <c r="F93" t="s">
        <v>820</v>
      </c>
      <c r="G93" t="s">
        <v>20</v>
      </c>
      <c r="H93" t="s">
        <v>770</v>
      </c>
      <c r="I93" t="s">
        <v>604</v>
      </c>
    </row>
    <row r="94" spans="1:9" x14ac:dyDescent="0.25">
      <c r="A94" t="s">
        <v>836</v>
      </c>
      <c r="B94" t="s">
        <v>847</v>
      </c>
      <c r="C94" t="s">
        <v>27</v>
      </c>
      <c r="E94" t="s">
        <v>602</v>
      </c>
      <c r="F94" t="s">
        <v>820</v>
      </c>
      <c r="G94" t="s">
        <v>20</v>
      </c>
      <c r="H94" t="s">
        <v>770</v>
      </c>
      <c r="I94" t="s">
        <v>604</v>
      </c>
    </row>
    <row r="95" spans="1:9" x14ac:dyDescent="0.25">
      <c r="A95" t="s">
        <v>836</v>
      </c>
      <c r="B95" t="s">
        <v>847</v>
      </c>
      <c r="C95" t="s">
        <v>28</v>
      </c>
      <c r="D95">
        <v>22</v>
      </c>
      <c r="E95" t="s">
        <v>602</v>
      </c>
      <c r="F95" t="s">
        <v>820</v>
      </c>
      <c r="G95" t="s">
        <v>20</v>
      </c>
      <c r="H95" t="s">
        <v>770</v>
      </c>
      <c r="I95" t="s">
        <v>604</v>
      </c>
    </row>
    <row r="96" spans="1:9" x14ac:dyDescent="0.25">
      <c r="A96" t="s">
        <v>836</v>
      </c>
      <c r="B96" t="s">
        <v>847</v>
      </c>
      <c r="C96" t="s">
        <v>30</v>
      </c>
      <c r="E96" t="s">
        <v>602</v>
      </c>
      <c r="F96" t="s">
        <v>820</v>
      </c>
      <c r="G96" t="s">
        <v>20</v>
      </c>
      <c r="H96" t="s">
        <v>770</v>
      </c>
      <c r="I96" t="s">
        <v>604</v>
      </c>
    </row>
    <row r="97" spans="1:9" x14ac:dyDescent="0.25">
      <c r="A97" t="s">
        <v>836</v>
      </c>
      <c r="B97" t="s">
        <v>847</v>
      </c>
      <c r="C97" t="s">
        <v>32</v>
      </c>
      <c r="D97">
        <v>49</v>
      </c>
      <c r="E97" t="s">
        <v>602</v>
      </c>
      <c r="F97" t="s">
        <v>820</v>
      </c>
      <c r="G97" t="s">
        <v>20</v>
      </c>
      <c r="H97" t="s">
        <v>770</v>
      </c>
      <c r="I97" t="s">
        <v>604</v>
      </c>
    </row>
    <row r="98" spans="1:9" x14ac:dyDescent="0.25">
      <c r="A98" t="s">
        <v>836</v>
      </c>
      <c r="B98" t="s">
        <v>848</v>
      </c>
      <c r="C98" t="s">
        <v>25</v>
      </c>
      <c r="D98">
        <v>30</v>
      </c>
      <c r="E98" t="s">
        <v>654</v>
      </c>
      <c r="F98" t="s">
        <v>820</v>
      </c>
      <c r="G98" t="s">
        <v>20</v>
      </c>
      <c r="H98" t="s">
        <v>770</v>
      </c>
      <c r="I98" t="s">
        <v>849</v>
      </c>
    </row>
    <row r="99" spans="1:9" x14ac:dyDescent="0.25">
      <c r="A99" t="s">
        <v>836</v>
      </c>
      <c r="B99" t="s">
        <v>848</v>
      </c>
      <c r="C99" t="s">
        <v>26</v>
      </c>
      <c r="E99" t="s">
        <v>654</v>
      </c>
      <c r="F99" t="s">
        <v>820</v>
      </c>
      <c r="G99" t="s">
        <v>20</v>
      </c>
      <c r="H99" t="s">
        <v>770</v>
      </c>
      <c r="I99" t="s">
        <v>849</v>
      </c>
    </row>
    <row r="100" spans="1:9" x14ac:dyDescent="0.25">
      <c r="A100" t="s">
        <v>836</v>
      </c>
      <c r="B100" t="s">
        <v>848</v>
      </c>
      <c r="C100" t="s">
        <v>27</v>
      </c>
      <c r="E100" t="s">
        <v>654</v>
      </c>
      <c r="F100" t="s">
        <v>820</v>
      </c>
      <c r="G100" t="s">
        <v>20</v>
      </c>
      <c r="H100" t="s">
        <v>770</v>
      </c>
      <c r="I100" t="s">
        <v>849</v>
      </c>
    </row>
    <row r="101" spans="1:9" x14ac:dyDescent="0.25">
      <c r="A101" t="s">
        <v>836</v>
      </c>
      <c r="B101" t="s">
        <v>848</v>
      </c>
      <c r="C101" t="s">
        <v>28</v>
      </c>
      <c r="D101">
        <v>30</v>
      </c>
      <c r="E101" t="s">
        <v>654</v>
      </c>
      <c r="F101" t="s">
        <v>820</v>
      </c>
      <c r="G101" t="s">
        <v>20</v>
      </c>
      <c r="H101" t="s">
        <v>770</v>
      </c>
      <c r="I101" t="s">
        <v>849</v>
      </c>
    </row>
    <row r="102" spans="1:9" x14ac:dyDescent="0.25">
      <c r="A102" t="s">
        <v>836</v>
      </c>
      <c r="B102" t="s">
        <v>848</v>
      </c>
      <c r="C102" t="s">
        <v>30</v>
      </c>
      <c r="E102" t="s">
        <v>654</v>
      </c>
      <c r="F102" t="s">
        <v>820</v>
      </c>
      <c r="G102" t="s">
        <v>20</v>
      </c>
      <c r="H102" t="s">
        <v>770</v>
      </c>
      <c r="I102" t="s">
        <v>849</v>
      </c>
    </row>
    <row r="103" spans="1:9" x14ac:dyDescent="0.25">
      <c r="A103" t="s">
        <v>836</v>
      </c>
      <c r="B103" t="s">
        <v>848</v>
      </c>
      <c r="C103" t="s">
        <v>32</v>
      </c>
      <c r="D103">
        <v>60</v>
      </c>
      <c r="E103" t="s">
        <v>654</v>
      </c>
      <c r="F103" t="s">
        <v>820</v>
      </c>
      <c r="G103" t="s">
        <v>20</v>
      </c>
      <c r="H103" t="s">
        <v>770</v>
      </c>
      <c r="I103" t="s">
        <v>849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A33E-86D7-4F71-800E-6E527B16FF32}">
  <sheetPr codeName="Sheet21"/>
  <dimension ref="A1:I137"/>
  <sheetViews>
    <sheetView topLeftCell="A109" workbookViewId="0">
      <selection activeCell="K34" sqref="K34"/>
    </sheetView>
  </sheetViews>
  <sheetFormatPr defaultRowHeight="15" x14ac:dyDescent="0.25"/>
  <cols>
    <col min="1" max="1" width="49" bestFit="1" customWidth="1"/>
    <col min="2" max="2" width="14.28515625" bestFit="1" customWidth="1"/>
    <col min="3" max="3" width="14.5703125" bestFit="1" customWidth="1"/>
    <col min="4" max="4" width="68.140625" bestFit="1" customWidth="1"/>
    <col min="5" max="5" width="14.85546875" bestFit="1" customWidth="1"/>
    <col min="6" max="6" width="12.7109375" bestFit="1" customWidth="1"/>
    <col min="7" max="7" width="14" bestFit="1" customWidth="1"/>
    <col min="8" max="8" width="12.140625" bestFit="1" customWidth="1"/>
    <col min="9" max="9" width="46.85546875" bestFit="1" customWidth="1"/>
  </cols>
  <sheetData>
    <row r="1" spans="1:9" x14ac:dyDescent="0.25">
      <c r="A1" t="s">
        <v>759</v>
      </c>
      <c r="B1" t="s">
        <v>760</v>
      </c>
      <c r="C1" t="s">
        <v>1</v>
      </c>
      <c r="D1" t="s">
        <v>2</v>
      </c>
      <c r="E1" t="s">
        <v>761</v>
      </c>
      <c r="F1" t="s">
        <v>762</v>
      </c>
      <c r="G1" t="s">
        <v>763</v>
      </c>
      <c r="H1" t="s">
        <v>764</v>
      </c>
      <c r="I1" t="s">
        <v>765</v>
      </c>
    </row>
    <row r="2" spans="1:9" x14ac:dyDescent="0.25">
      <c r="A2" t="s">
        <v>766</v>
      </c>
      <c r="B2" t="s">
        <v>767</v>
      </c>
      <c r="C2" t="s">
        <v>4</v>
      </c>
      <c r="D2" t="s">
        <v>768</v>
      </c>
      <c r="E2" t="s">
        <v>768</v>
      </c>
      <c r="F2" t="s">
        <v>769</v>
      </c>
      <c r="G2" t="s">
        <v>20</v>
      </c>
      <c r="H2" t="s">
        <v>770</v>
      </c>
      <c r="I2" t="s">
        <v>771</v>
      </c>
    </row>
    <row r="3" spans="1:9" x14ac:dyDescent="0.25">
      <c r="A3" t="s">
        <v>766</v>
      </c>
      <c r="B3" t="s">
        <v>767</v>
      </c>
      <c r="C3" t="s">
        <v>7</v>
      </c>
      <c r="D3" t="s">
        <v>771</v>
      </c>
      <c r="E3" t="s">
        <v>768</v>
      </c>
      <c r="F3" t="s">
        <v>769</v>
      </c>
      <c r="G3" t="s">
        <v>20</v>
      </c>
      <c r="H3" t="s">
        <v>770</v>
      </c>
      <c r="I3" t="s">
        <v>771</v>
      </c>
    </row>
    <row r="4" spans="1:9" x14ac:dyDescent="0.25">
      <c r="A4" t="s">
        <v>766</v>
      </c>
      <c r="B4" t="s">
        <v>767</v>
      </c>
      <c r="C4" t="s">
        <v>9</v>
      </c>
      <c r="D4">
        <v>20</v>
      </c>
      <c r="E4" t="s">
        <v>768</v>
      </c>
      <c r="F4" t="s">
        <v>769</v>
      </c>
      <c r="G4" t="s">
        <v>20</v>
      </c>
      <c r="H4" t="s">
        <v>770</v>
      </c>
      <c r="I4" t="s">
        <v>771</v>
      </c>
    </row>
    <row r="5" spans="1:9" x14ac:dyDescent="0.25">
      <c r="A5" t="s">
        <v>766</v>
      </c>
      <c r="B5" t="s">
        <v>767</v>
      </c>
      <c r="C5" t="s">
        <v>10</v>
      </c>
      <c r="D5">
        <v>2</v>
      </c>
      <c r="E5" t="s">
        <v>768</v>
      </c>
      <c r="F5" t="s">
        <v>769</v>
      </c>
      <c r="G5" t="s">
        <v>20</v>
      </c>
      <c r="H5" t="s">
        <v>770</v>
      </c>
      <c r="I5" t="s">
        <v>771</v>
      </c>
    </row>
    <row r="6" spans="1:9" x14ac:dyDescent="0.25">
      <c r="A6" t="s">
        <v>766</v>
      </c>
      <c r="B6" t="s">
        <v>767</v>
      </c>
      <c r="C6" t="s">
        <v>13</v>
      </c>
      <c r="D6">
        <v>4</v>
      </c>
      <c r="E6" t="s">
        <v>768</v>
      </c>
      <c r="F6" t="s">
        <v>769</v>
      </c>
      <c r="G6" t="s">
        <v>20</v>
      </c>
      <c r="H6" t="s">
        <v>770</v>
      </c>
      <c r="I6" t="s">
        <v>771</v>
      </c>
    </row>
    <row r="7" spans="1:9" x14ac:dyDescent="0.25">
      <c r="A7" t="s">
        <v>766</v>
      </c>
      <c r="B7" t="s">
        <v>767</v>
      </c>
      <c r="C7" t="s">
        <v>15</v>
      </c>
      <c r="D7" t="s">
        <v>772</v>
      </c>
      <c r="E7" t="s">
        <v>768</v>
      </c>
      <c r="F7" t="s">
        <v>769</v>
      </c>
      <c r="G7" t="s">
        <v>20</v>
      </c>
      <c r="H7" t="s">
        <v>770</v>
      </c>
      <c r="I7" t="s">
        <v>771</v>
      </c>
    </row>
    <row r="8" spans="1:9" x14ac:dyDescent="0.25">
      <c r="A8" t="s">
        <v>766</v>
      </c>
      <c r="B8" t="s">
        <v>767</v>
      </c>
      <c r="C8" t="s">
        <v>17</v>
      </c>
      <c r="D8" t="s">
        <v>684</v>
      </c>
      <c r="E8" t="s">
        <v>768</v>
      </c>
      <c r="F8" t="s">
        <v>769</v>
      </c>
      <c r="G8" t="s">
        <v>20</v>
      </c>
      <c r="H8" t="s">
        <v>770</v>
      </c>
      <c r="I8" t="s">
        <v>771</v>
      </c>
    </row>
    <row r="9" spans="1:9" x14ac:dyDescent="0.25">
      <c r="A9" t="s">
        <v>766</v>
      </c>
      <c r="B9" t="s">
        <v>767</v>
      </c>
      <c r="C9" t="s">
        <v>19</v>
      </c>
      <c r="D9" t="s">
        <v>719</v>
      </c>
      <c r="E9" t="s">
        <v>768</v>
      </c>
      <c r="F9" t="s">
        <v>769</v>
      </c>
      <c r="G9" t="s">
        <v>20</v>
      </c>
      <c r="H9" t="s">
        <v>770</v>
      </c>
      <c r="I9" t="s">
        <v>771</v>
      </c>
    </row>
    <row r="10" spans="1:9" x14ac:dyDescent="0.25">
      <c r="A10" t="s">
        <v>766</v>
      </c>
      <c r="B10" t="s">
        <v>773</v>
      </c>
      <c r="C10" t="s">
        <v>4</v>
      </c>
      <c r="D10" t="s">
        <v>774</v>
      </c>
      <c r="E10" t="s">
        <v>774</v>
      </c>
      <c r="F10" t="s">
        <v>769</v>
      </c>
      <c r="G10" t="s">
        <v>20</v>
      </c>
      <c r="H10" t="s">
        <v>770</v>
      </c>
      <c r="I10" t="s">
        <v>775</v>
      </c>
    </row>
    <row r="11" spans="1:9" x14ac:dyDescent="0.25">
      <c r="A11" t="s">
        <v>766</v>
      </c>
      <c r="B11" t="s">
        <v>773</v>
      </c>
      <c r="C11" t="s">
        <v>7</v>
      </c>
      <c r="D11" t="s">
        <v>935</v>
      </c>
      <c r="E11" t="s">
        <v>774</v>
      </c>
      <c r="F11" t="s">
        <v>769</v>
      </c>
      <c r="G11" t="s">
        <v>20</v>
      </c>
      <c r="H11" t="s">
        <v>770</v>
      </c>
      <c r="I11" t="s">
        <v>775</v>
      </c>
    </row>
    <row r="12" spans="1:9" x14ac:dyDescent="0.25">
      <c r="A12" t="s">
        <v>766</v>
      </c>
      <c r="B12" t="s">
        <v>773</v>
      </c>
      <c r="C12" t="s">
        <v>9</v>
      </c>
      <c r="D12">
        <v>20</v>
      </c>
      <c r="E12" t="s">
        <v>774</v>
      </c>
      <c r="F12" t="s">
        <v>769</v>
      </c>
      <c r="G12" t="s">
        <v>20</v>
      </c>
      <c r="H12" t="s">
        <v>770</v>
      </c>
      <c r="I12" t="s">
        <v>775</v>
      </c>
    </row>
    <row r="13" spans="1:9" x14ac:dyDescent="0.25">
      <c r="A13" t="s">
        <v>766</v>
      </c>
      <c r="B13" t="s">
        <v>773</v>
      </c>
      <c r="C13" t="s">
        <v>10</v>
      </c>
      <c r="D13">
        <v>1</v>
      </c>
      <c r="E13" t="s">
        <v>774</v>
      </c>
      <c r="F13" t="s">
        <v>769</v>
      </c>
      <c r="G13" t="s">
        <v>20</v>
      </c>
      <c r="H13" t="s">
        <v>770</v>
      </c>
      <c r="I13" t="s">
        <v>775</v>
      </c>
    </row>
    <row r="14" spans="1:9" x14ac:dyDescent="0.25">
      <c r="A14" t="s">
        <v>766</v>
      </c>
      <c r="B14" t="s">
        <v>773</v>
      </c>
      <c r="C14" t="s">
        <v>13</v>
      </c>
      <c r="D14">
        <v>4</v>
      </c>
      <c r="E14" t="s">
        <v>774</v>
      </c>
      <c r="F14" t="s">
        <v>769</v>
      </c>
      <c r="G14" t="s">
        <v>20</v>
      </c>
      <c r="H14" t="s">
        <v>770</v>
      </c>
      <c r="I14" t="s">
        <v>775</v>
      </c>
    </row>
    <row r="15" spans="1:9" x14ac:dyDescent="0.25">
      <c r="A15" t="s">
        <v>766</v>
      </c>
      <c r="B15" t="s">
        <v>773</v>
      </c>
      <c r="C15" t="s">
        <v>15</v>
      </c>
      <c r="D15" t="s">
        <v>936</v>
      </c>
      <c r="E15" t="s">
        <v>774</v>
      </c>
      <c r="F15" t="s">
        <v>769</v>
      </c>
      <c r="G15" t="s">
        <v>20</v>
      </c>
      <c r="H15" t="s">
        <v>770</v>
      </c>
      <c r="I15" t="s">
        <v>775</v>
      </c>
    </row>
    <row r="16" spans="1:9" x14ac:dyDescent="0.25">
      <c r="A16" t="s">
        <v>766</v>
      </c>
      <c r="B16" t="s">
        <v>773</v>
      </c>
      <c r="C16" t="s">
        <v>17</v>
      </c>
      <c r="D16" t="s">
        <v>123</v>
      </c>
      <c r="E16" t="s">
        <v>774</v>
      </c>
      <c r="F16" t="s">
        <v>769</v>
      </c>
      <c r="G16" t="s">
        <v>20</v>
      </c>
      <c r="H16" t="s">
        <v>770</v>
      </c>
      <c r="I16" t="s">
        <v>775</v>
      </c>
    </row>
    <row r="17" spans="1:9" x14ac:dyDescent="0.25">
      <c r="A17" t="s">
        <v>766</v>
      </c>
      <c r="B17" t="s">
        <v>773</v>
      </c>
      <c r="C17" t="s">
        <v>19</v>
      </c>
      <c r="D17" t="s">
        <v>726</v>
      </c>
      <c r="E17" t="s">
        <v>774</v>
      </c>
      <c r="F17" t="s">
        <v>769</v>
      </c>
      <c r="G17" t="s">
        <v>20</v>
      </c>
      <c r="H17" t="s">
        <v>770</v>
      </c>
      <c r="I17" t="s">
        <v>775</v>
      </c>
    </row>
    <row r="18" spans="1:9" x14ac:dyDescent="0.25">
      <c r="A18" t="s">
        <v>766</v>
      </c>
      <c r="B18" t="s">
        <v>776</v>
      </c>
      <c r="C18" t="s">
        <v>4</v>
      </c>
      <c r="D18" t="s">
        <v>777</v>
      </c>
      <c r="E18" t="s">
        <v>777</v>
      </c>
      <c r="F18" t="s">
        <v>769</v>
      </c>
      <c r="G18" t="s">
        <v>20</v>
      </c>
      <c r="H18" t="s">
        <v>770</v>
      </c>
      <c r="I18" t="s">
        <v>778</v>
      </c>
    </row>
    <row r="19" spans="1:9" x14ac:dyDescent="0.25">
      <c r="A19" t="s">
        <v>766</v>
      </c>
      <c r="B19" t="s">
        <v>776</v>
      </c>
      <c r="C19" t="s">
        <v>7</v>
      </c>
      <c r="D19" t="s">
        <v>778</v>
      </c>
      <c r="E19" t="s">
        <v>777</v>
      </c>
      <c r="F19" t="s">
        <v>769</v>
      </c>
      <c r="G19" t="s">
        <v>20</v>
      </c>
      <c r="H19" t="s">
        <v>770</v>
      </c>
      <c r="I19" t="s">
        <v>778</v>
      </c>
    </row>
    <row r="20" spans="1:9" x14ac:dyDescent="0.25">
      <c r="A20" t="s">
        <v>766</v>
      </c>
      <c r="B20" t="s">
        <v>776</v>
      </c>
      <c r="C20" t="s">
        <v>9</v>
      </c>
      <c r="D20">
        <v>20</v>
      </c>
      <c r="E20" t="s">
        <v>777</v>
      </c>
      <c r="F20" t="s">
        <v>769</v>
      </c>
      <c r="G20" t="s">
        <v>20</v>
      </c>
      <c r="H20" t="s">
        <v>770</v>
      </c>
      <c r="I20" t="s">
        <v>778</v>
      </c>
    </row>
    <row r="21" spans="1:9" x14ac:dyDescent="0.25">
      <c r="A21" t="s">
        <v>766</v>
      </c>
      <c r="B21" t="s">
        <v>776</v>
      </c>
      <c r="C21" t="s">
        <v>10</v>
      </c>
      <c r="D21">
        <v>2</v>
      </c>
      <c r="E21" t="s">
        <v>777</v>
      </c>
      <c r="F21" t="s">
        <v>769</v>
      </c>
      <c r="G21" t="s">
        <v>20</v>
      </c>
      <c r="H21" t="s">
        <v>770</v>
      </c>
      <c r="I21" t="s">
        <v>778</v>
      </c>
    </row>
    <row r="22" spans="1:9" x14ac:dyDescent="0.25">
      <c r="A22" t="s">
        <v>766</v>
      </c>
      <c r="B22" t="s">
        <v>776</v>
      </c>
      <c r="C22" t="s">
        <v>13</v>
      </c>
      <c r="D22">
        <v>5</v>
      </c>
      <c r="E22" t="s">
        <v>777</v>
      </c>
      <c r="F22" t="s">
        <v>769</v>
      </c>
      <c r="G22" t="s">
        <v>20</v>
      </c>
      <c r="H22" t="s">
        <v>770</v>
      </c>
      <c r="I22" t="s">
        <v>778</v>
      </c>
    </row>
    <row r="23" spans="1:9" x14ac:dyDescent="0.25">
      <c r="A23" t="s">
        <v>766</v>
      </c>
      <c r="B23" t="s">
        <v>776</v>
      </c>
      <c r="C23" t="s">
        <v>15</v>
      </c>
      <c r="D23" t="s">
        <v>779</v>
      </c>
      <c r="E23" t="s">
        <v>777</v>
      </c>
      <c r="F23" t="s">
        <v>769</v>
      </c>
      <c r="G23" t="s">
        <v>20</v>
      </c>
      <c r="H23" t="s">
        <v>770</v>
      </c>
      <c r="I23" t="s">
        <v>778</v>
      </c>
    </row>
    <row r="24" spans="1:9" x14ac:dyDescent="0.25">
      <c r="A24" t="s">
        <v>766</v>
      </c>
      <c r="B24" t="s">
        <v>776</v>
      </c>
      <c r="C24" t="s">
        <v>17</v>
      </c>
      <c r="D24" t="s">
        <v>684</v>
      </c>
      <c r="E24" t="s">
        <v>777</v>
      </c>
      <c r="F24" t="s">
        <v>769</v>
      </c>
      <c r="G24" t="s">
        <v>20</v>
      </c>
      <c r="H24" t="s">
        <v>770</v>
      </c>
      <c r="I24" t="s">
        <v>778</v>
      </c>
    </row>
    <row r="25" spans="1:9" x14ac:dyDescent="0.25">
      <c r="A25" t="s">
        <v>766</v>
      </c>
      <c r="B25" t="s">
        <v>776</v>
      </c>
      <c r="C25" t="s">
        <v>19</v>
      </c>
      <c r="D25" t="s">
        <v>719</v>
      </c>
      <c r="E25" t="s">
        <v>777</v>
      </c>
      <c r="F25" t="s">
        <v>769</v>
      </c>
      <c r="G25" t="s">
        <v>20</v>
      </c>
      <c r="H25" t="s">
        <v>770</v>
      </c>
      <c r="I25" t="s">
        <v>778</v>
      </c>
    </row>
    <row r="26" spans="1:9" x14ac:dyDescent="0.25">
      <c r="A26" t="s">
        <v>766</v>
      </c>
      <c r="B26" t="s">
        <v>780</v>
      </c>
      <c r="C26" t="s">
        <v>4</v>
      </c>
      <c r="D26" t="s">
        <v>781</v>
      </c>
      <c r="E26" t="s">
        <v>781</v>
      </c>
      <c r="F26" t="s">
        <v>769</v>
      </c>
      <c r="G26" t="s">
        <v>20</v>
      </c>
      <c r="H26" t="s">
        <v>770</v>
      </c>
      <c r="I26" t="s">
        <v>782</v>
      </c>
    </row>
    <row r="27" spans="1:9" x14ac:dyDescent="0.25">
      <c r="A27" t="s">
        <v>766</v>
      </c>
      <c r="B27" t="s">
        <v>780</v>
      </c>
      <c r="C27" t="s">
        <v>7</v>
      </c>
      <c r="D27" t="s">
        <v>782</v>
      </c>
      <c r="E27" t="s">
        <v>781</v>
      </c>
      <c r="F27" t="s">
        <v>769</v>
      </c>
      <c r="G27" t="s">
        <v>20</v>
      </c>
      <c r="H27" t="s">
        <v>770</v>
      </c>
      <c r="I27" t="s">
        <v>782</v>
      </c>
    </row>
    <row r="28" spans="1:9" x14ac:dyDescent="0.25">
      <c r="A28" t="s">
        <v>766</v>
      </c>
      <c r="B28" t="s">
        <v>780</v>
      </c>
      <c r="C28" t="s">
        <v>9</v>
      </c>
      <c r="D28">
        <v>20</v>
      </c>
      <c r="E28" t="s">
        <v>781</v>
      </c>
      <c r="F28" t="s">
        <v>769</v>
      </c>
      <c r="G28" t="s">
        <v>20</v>
      </c>
      <c r="H28" t="s">
        <v>770</v>
      </c>
      <c r="I28" t="s">
        <v>782</v>
      </c>
    </row>
    <row r="29" spans="1:9" x14ac:dyDescent="0.25">
      <c r="A29" t="s">
        <v>766</v>
      </c>
      <c r="B29" t="s">
        <v>780</v>
      </c>
      <c r="C29" t="s">
        <v>10</v>
      </c>
      <c r="D29">
        <v>2</v>
      </c>
      <c r="E29" t="s">
        <v>781</v>
      </c>
      <c r="F29" t="s">
        <v>769</v>
      </c>
      <c r="G29" t="s">
        <v>20</v>
      </c>
      <c r="H29" t="s">
        <v>770</v>
      </c>
      <c r="I29" t="s">
        <v>782</v>
      </c>
    </row>
    <row r="30" spans="1:9" x14ac:dyDescent="0.25">
      <c r="A30" t="s">
        <v>766</v>
      </c>
      <c r="B30" t="s">
        <v>780</v>
      </c>
      <c r="C30" t="s">
        <v>13</v>
      </c>
      <c r="D30">
        <v>5</v>
      </c>
      <c r="E30" t="s">
        <v>781</v>
      </c>
      <c r="F30" t="s">
        <v>769</v>
      </c>
      <c r="G30" t="s">
        <v>20</v>
      </c>
      <c r="H30" t="s">
        <v>770</v>
      </c>
      <c r="I30" t="s">
        <v>782</v>
      </c>
    </row>
    <row r="31" spans="1:9" x14ac:dyDescent="0.25">
      <c r="A31" t="s">
        <v>766</v>
      </c>
      <c r="B31" t="s">
        <v>780</v>
      </c>
      <c r="C31" t="s">
        <v>15</v>
      </c>
      <c r="D31" t="s">
        <v>783</v>
      </c>
      <c r="E31" t="s">
        <v>781</v>
      </c>
      <c r="F31" t="s">
        <v>769</v>
      </c>
      <c r="G31" t="s">
        <v>20</v>
      </c>
      <c r="H31" t="s">
        <v>770</v>
      </c>
      <c r="I31" t="s">
        <v>782</v>
      </c>
    </row>
    <row r="32" spans="1:9" x14ac:dyDescent="0.25">
      <c r="A32" t="s">
        <v>766</v>
      </c>
      <c r="B32" t="s">
        <v>780</v>
      </c>
      <c r="C32" t="s">
        <v>17</v>
      </c>
      <c r="D32" t="s">
        <v>123</v>
      </c>
      <c r="E32" t="s">
        <v>781</v>
      </c>
      <c r="F32" t="s">
        <v>769</v>
      </c>
      <c r="G32" t="s">
        <v>20</v>
      </c>
      <c r="H32" t="s">
        <v>770</v>
      </c>
      <c r="I32" t="s">
        <v>782</v>
      </c>
    </row>
    <row r="33" spans="1:9" x14ac:dyDescent="0.25">
      <c r="A33" t="s">
        <v>766</v>
      </c>
      <c r="B33" t="s">
        <v>780</v>
      </c>
      <c r="C33" t="s">
        <v>19</v>
      </c>
      <c r="D33" t="s">
        <v>719</v>
      </c>
      <c r="E33" t="s">
        <v>781</v>
      </c>
      <c r="F33" t="s">
        <v>769</v>
      </c>
      <c r="G33" t="s">
        <v>20</v>
      </c>
      <c r="H33" t="s">
        <v>770</v>
      </c>
      <c r="I33" t="s">
        <v>782</v>
      </c>
    </row>
    <row r="34" spans="1:9" x14ac:dyDescent="0.25">
      <c r="A34" t="s">
        <v>766</v>
      </c>
      <c r="B34" t="s">
        <v>784</v>
      </c>
      <c r="C34" t="s">
        <v>4</v>
      </c>
      <c r="D34" t="s">
        <v>785</v>
      </c>
      <c r="E34" t="s">
        <v>785</v>
      </c>
      <c r="F34" t="s">
        <v>769</v>
      </c>
      <c r="G34" t="s">
        <v>20</v>
      </c>
      <c r="H34" t="s">
        <v>770</v>
      </c>
      <c r="I34" t="s">
        <v>786</v>
      </c>
    </row>
    <row r="35" spans="1:9" x14ac:dyDescent="0.25">
      <c r="A35" t="s">
        <v>766</v>
      </c>
      <c r="B35" t="s">
        <v>784</v>
      </c>
      <c r="C35" t="s">
        <v>7</v>
      </c>
      <c r="D35" t="s">
        <v>786</v>
      </c>
      <c r="E35" t="s">
        <v>785</v>
      </c>
      <c r="F35" t="s">
        <v>769</v>
      </c>
      <c r="G35" t="s">
        <v>20</v>
      </c>
      <c r="H35" t="s">
        <v>770</v>
      </c>
      <c r="I35" t="s">
        <v>786</v>
      </c>
    </row>
    <row r="36" spans="1:9" x14ac:dyDescent="0.25">
      <c r="A36" t="s">
        <v>766</v>
      </c>
      <c r="B36" t="s">
        <v>784</v>
      </c>
      <c r="C36" t="s">
        <v>9</v>
      </c>
      <c r="D36">
        <v>40</v>
      </c>
      <c r="E36" t="s">
        <v>785</v>
      </c>
      <c r="F36" t="s">
        <v>769</v>
      </c>
      <c r="G36" t="s">
        <v>20</v>
      </c>
      <c r="H36" t="s">
        <v>770</v>
      </c>
      <c r="I36" t="s">
        <v>786</v>
      </c>
    </row>
    <row r="37" spans="1:9" x14ac:dyDescent="0.25">
      <c r="A37" t="s">
        <v>766</v>
      </c>
      <c r="B37" t="s">
        <v>784</v>
      </c>
      <c r="C37" t="s">
        <v>10</v>
      </c>
      <c r="D37" t="s">
        <v>11</v>
      </c>
      <c r="E37" t="s">
        <v>785</v>
      </c>
      <c r="F37" t="s">
        <v>769</v>
      </c>
      <c r="G37" t="s">
        <v>20</v>
      </c>
      <c r="H37" t="s">
        <v>770</v>
      </c>
      <c r="I37" t="s">
        <v>786</v>
      </c>
    </row>
    <row r="38" spans="1:9" x14ac:dyDescent="0.25">
      <c r="A38" t="s">
        <v>766</v>
      </c>
      <c r="B38" t="s">
        <v>784</v>
      </c>
      <c r="C38" t="s">
        <v>13</v>
      </c>
      <c r="D38">
        <v>6</v>
      </c>
      <c r="E38" t="s">
        <v>785</v>
      </c>
      <c r="F38" t="s">
        <v>769</v>
      </c>
      <c r="G38" t="s">
        <v>20</v>
      </c>
      <c r="H38" t="s">
        <v>770</v>
      </c>
      <c r="I38" t="s">
        <v>786</v>
      </c>
    </row>
    <row r="39" spans="1:9" x14ac:dyDescent="0.25">
      <c r="A39" t="s">
        <v>766</v>
      </c>
      <c r="B39" t="s">
        <v>784</v>
      </c>
      <c r="C39" t="s">
        <v>15</v>
      </c>
      <c r="D39" t="s">
        <v>787</v>
      </c>
      <c r="E39" t="s">
        <v>785</v>
      </c>
      <c r="F39" t="s">
        <v>769</v>
      </c>
      <c r="G39" t="s">
        <v>20</v>
      </c>
      <c r="H39" t="s">
        <v>770</v>
      </c>
      <c r="I39" t="s">
        <v>786</v>
      </c>
    </row>
    <row r="40" spans="1:9" x14ac:dyDescent="0.25">
      <c r="A40" t="s">
        <v>766</v>
      </c>
      <c r="B40" t="s">
        <v>784</v>
      </c>
      <c r="C40" t="s">
        <v>17</v>
      </c>
      <c r="D40" t="s">
        <v>685</v>
      </c>
      <c r="E40" t="s">
        <v>785</v>
      </c>
      <c r="F40" t="s">
        <v>769</v>
      </c>
      <c r="G40" t="s">
        <v>20</v>
      </c>
      <c r="H40" t="s">
        <v>770</v>
      </c>
      <c r="I40" t="s">
        <v>786</v>
      </c>
    </row>
    <row r="41" spans="1:9" x14ac:dyDescent="0.25">
      <c r="A41" t="s">
        <v>766</v>
      </c>
      <c r="B41" t="s">
        <v>784</v>
      </c>
      <c r="C41" t="s">
        <v>19</v>
      </c>
      <c r="D41" t="s">
        <v>719</v>
      </c>
      <c r="E41" t="s">
        <v>785</v>
      </c>
      <c r="F41" t="s">
        <v>769</v>
      </c>
      <c r="G41" t="s">
        <v>20</v>
      </c>
      <c r="H41" t="s">
        <v>770</v>
      </c>
      <c r="I41" t="s">
        <v>786</v>
      </c>
    </row>
    <row r="42" spans="1:9" x14ac:dyDescent="0.25">
      <c r="A42" t="s">
        <v>836</v>
      </c>
      <c r="B42" t="s">
        <v>862</v>
      </c>
      <c r="C42" t="s">
        <v>4</v>
      </c>
      <c r="D42" t="s">
        <v>5</v>
      </c>
      <c r="E42" t="s">
        <v>5</v>
      </c>
      <c r="F42" t="s">
        <v>769</v>
      </c>
      <c r="G42" t="s">
        <v>20</v>
      </c>
      <c r="H42" t="s">
        <v>770</v>
      </c>
      <c r="I42" t="s">
        <v>8</v>
      </c>
    </row>
    <row r="43" spans="1:9" x14ac:dyDescent="0.25">
      <c r="A43" t="s">
        <v>836</v>
      </c>
      <c r="B43" t="s">
        <v>862</v>
      </c>
      <c r="C43" t="s">
        <v>7</v>
      </c>
      <c r="D43" t="s">
        <v>8</v>
      </c>
      <c r="E43" t="s">
        <v>5</v>
      </c>
      <c r="F43" t="s">
        <v>769</v>
      </c>
      <c r="G43" t="s">
        <v>20</v>
      </c>
      <c r="H43" t="s">
        <v>770</v>
      </c>
      <c r="I43" t="s">
        <v>8</v>
      </c>
    </row>
    <row r="44" spans="1:9" x14ac:dyDescent="0.25">
      <c r="A44" t="s">
        <v>836</v>
      </c>
      <c r="B44" t="s">
        <v>862</v>
      </c>
      <c r="C44" t="s">
        <v>9</v>
      </c>
      <c r="D44">
        <v>20</v>
      </c>
      <c r="E44" t="s">
        <v>5</v>
      </c>
      <c r="F44" t="s">
        <v>769</v>
      </c>
      <c r="G44" t="s">
        <v>20</v>
      </c>
      <c r="H44" t="s">
        <v>770</v>
      </c>
      <c r="I44" t="s">
        <v>8</v>
      </c>
    </row>
    <row r="45" spans="1:9" x14ac:dyDescent="0.25">
      <c r="A45" t="s">
        <v>836</v>
      </c>
      <c r="B45" t="s">
        <v>862</v>
      </c>
      <c r="C45" t="s">
        <v>10</v>
      </c>
      <c r="D45" t="s">
        <v>11</v>
      </c>
      <c r="E45" t="s">
        <v>5</v>
      </c>
      <c r="F45" t="s">
        <v>769</v>
      </c>
      <c r="G45" t="s">
        <v>20</v>
      </c>
      <c r="H45" t="s">
        <v>770</v>
      </c>
      <c r="I45" t="s">
        <v>8</v>
      </c>
    </row>
    <row r="46" spans="1:9" x14ac:dyDescent="0.25">
      <c r="A46" t="s">
        <v>836</v>
      </c>
      <c r="B46" t="s">
        <v>862</v>
      </c>
      <c r="C46" t="s">
        <v>13</v>
      </c>
      <c r="D46">
        <v>4</v>
      </c>
      <c r="E46" t="s">
        <v>5</v>
      </c>
      <c r="F46" t="s">
        <v>769</v>
      </c>
      <c r="G46" t="s">
        <v>20</v>
      </c>
      <c r="H46" t="s">
        <v>770</v>
      </c>
      <c r="I46" t="s">
        <v>8</v>
      </c>
    </row>
    <row r="47" spans="1:9" x14ac:dyDescent="0.25">
      <c r="A47" t="s">
        <v>836</v>
      </c>
      <c r="B47" t="s">
        <v>862</v>
      </c>
      <c r="C47" t="s">
        <v>15</v>
      </c>
      <c r="D47" t="s">
        <v>16</v>
      </c>
      <c r="E47" t="s">
        <v>5</v>
      </c>
      <c r="F47" t="s">
        <v>769</v>
      </c>
      <c r="G47" t="s">
        <v>20</v>
      </c>
      <c r="H47" t="s">
        <v>770</v>
      </c>
      <c r="I47" t="s">
        <v>8</v>
      </c>
    </row>
    <row r="48" spans="1:9" x14ac:dyDescent="0.25">
      <c r="A48" t="s">
        <v>836</v>
      </c>
      <c r="B48" t="s">
        <v>862</v>
      </c>
      <c r="C48" t="s">
        <v>17</v>
      </c>
      <c r="D48" t="s">
        <v>18</v>
      </c>
      <c r="E48" t="s">
        <v>5</v>
      </c>
      <c r="F48" t="s">
        <v>769</v>
      </c>
      <c r="G48" t="s">
        <v>20</v>
      </c>
      <c r="H48" t="s">
        <v>770</v>
      </c>
      <c r="I48" t="s">
        <v>8</v>
      </c>
    </row>
    <row r="49" spans="1:9" x14ac:dyDescent="0.25">
      <c r="A49" t="s">
        <v>836</v>
      </c>
      <c r="B49" t="s">
        <v>862</v>
      </c>
      <c r="C49" t="s">
        <v>19</v>
      </c>
      <c r="D49" t="s">
        <v>20</v>
      </c>
      <c r="E49" t="s">
        <v>5</v>
      </c>
      <c r="F49" t="s">
        <v>769</v>
      </c>
      <c r="G49" t="s">
        <v>20</v>
      </c>
      <c r="H49" t="s">
        <v>770</v>
      </c>
      <c r="I49" t="s">
        <v>8</v>
      </c>
    </row>
    <row r="50" spans="1:9" x14ac:dyDescent="0.25">
      <c r="A50" t="s">
        <v>836</v>
      </c>
      <c r="B50" t="s">
        <v>863</v>
      </c>
      <c r="C50" t="s">
        <v>4</v>
      </c>
      <c r="D50" t="s">
        <v>118</v>
      </c>
      <c r="E50" t="s">
        <v>118</v>
      </c>
      <c r="F50" t="s">
        <v>769</v>
      </c>
      <c r="G50" t="s">
        <v>20</v>
      </c>
      <c r="H50" t="s">
        <v>770</v>
      </c>
      <c r="I50" t="s">
        <v>120</v>
      </c>
    </row>
    <row r="51" spans="1:9" x14ac:dyDescent="0.25">
      <c r="A51" t="s">
        <v>836</v>
      </c>
      <c r="B51" t="s">
        <v>863</v>
      </c>
      <c r="C51" t="s">
        <v>7</v>
      </c>
      <c r="D51" t="s">
        <v>120</v>
      </c>
      <c r="E51" t="s">
        <v>118</v>
      </c>
      <c r="F51" t="s">
        <v>769</v>
      </c>
      <c r="G51" t="s">
        <v>20</v>
      </c>
      <c r="H51" t="s">
        <v>770</v>
      </c>
      <c r="I51" t="s">
        <v>120</v>
      </c>
    </row>
    <row r="52" spans="1:9" x14ac:dyDescent="0.25">
      <c r="A52" t="s">
        <v>836</v>
      </c>
      <c r="B52" t="s">
        <v>863</v>
      </c>
      <c r="C52" t="s">
        <v>9</v>
      </c>
      <c r="D52">
        <v>20</v>
      </c>
      <c r="E52" t="s">
        <v>118</v>
      </c>
      <c r="F52" t="s">
        <v>769</v>
      </c>
      <c r="G52" t="s">
        <v>20</v>
      </c>
      <c r="H52" t="s">
        <v>770</v>
      </c>
      <c r="I52" t="s">
        <v>120</v>
      </c>
    </row>
    <row r="53" spans="1:9" x14ac:dyDescent="0.25">
      <c r="A53" t="s">
        <v>836</v>
      </c>
      <c r="B53" t="s">
        <v>863</v>
      </c>
      <c r="C53" t="s">
        <v>10</v>
      </c>
      <c r="D53">
        <v>1</v>
      </c>
      <c r="E53" t="s">
        <v>118</v>
      </c>
      <c r="F53" t="s">
        <v>769</v>
      </c>
      <c r="G53" t="s">
        <v>20</v>
      </c>
      <c r="H53" t="s">
        <v>770</v>
      </c>
      <c r="I53" t="s">
        <v>120</v>
      </c>
    </row>
    <row r="54" spans="1:9" x14ac:dyDescent="0.25">
      <c r="A54" t="s">
        <v>836</v>
      </c>
      <c r="B54" t="s">
        <v>863</v>
      </c>
      <c r="C54" t="s">
        <v>13</v>
      </c>
      <c r="D54">
        <v>4</v>
      </c>
      <c r="E54" t="s">
        <v>118</v>
      </c>
      <c r="F54" t="s">
        <v>769</v>
      </c>
      <c r="G54" t="s">
        <v>20</v>
      </c>
      <c r="H54" t="s">
        <v>770</v>
      </c>
      <c r="I54" t="s">
        <v>120</v>
      </c>
    </row>
    <row r="55" spans="1:9" x14ac:dyDescent="0.25">
      <c r="A55" t="s">
        <v>836</v>
      </c>
      <c r="B55" t="s">
        <v>863</v>
      </c>
      <c r="C55" t="s">
        <v>15</v>
      </c>
      <c r="D55" t="s">
        <v>122</v>
      </c>
      <c r="E55" t="s">
        <v>118</v>
      </c>
      <c r="F55" t="s">
        <v>769</v>
      </c>
      <c r="G55" t="s">
        <v>20</v>
      </c>
      <c r="H55" t="s">
        <v>770</v>
      </c>
      <c r="I55" t="s">
        <v>120</v>
      </c>
    </row>
    <row r="56" spans="1:9" x14ac:dyDescent="0.25">
      <c r="A56" t="s">
        <v>836</v>
      </c>
      <c r="B56" t="s">
        <v>863</v>
      </c>
      <c r="C56" t="s">
        <v>17</v>
      </c>
      <c r="D56" t="s">
        <v>123</v>
      </c>
      <c r="E56" t="s">
        <v>118</v>
      </c>
      <c r="F56" t="s">
        <v>769</v>
      </c>
      <c r="G56" t="s">
        <v>20</v>
      </c>
      <c r="H56" t="s">
        <v>770</v>
      </c>
      <c r="I56" t="s">
        <v>120</v>
      </c>
    </row>
    <row r="57" spans="1:9" x14ac:dyDescent="0.25">
      <c r="A57" t="s">
        <v>836</v>
      </c>
      <c r="B57" t="s">
        <v>863</v>
      </c>
      <c r="C57" t="s">
        <v>19</v>
      </c>
      <c r="D57" t="s">
        <v>937</v>
      </c>
      <c r="E57" t="s">
        <v>118</v>
      </c>
      <c r="F57" t="s">
        <v>769</v>
      </c>
      <c r="G57" t="s">
        <v>20</v>
      </c>
      <c r="H57" t="s">
        <v>770</v>
      </c>
      <c r="I57" t="s">
        <v>120</v>
      </c>
    </row>
    <row r="58" spans="1:9" x14ac:dyDescent="0.25">
      <c r="A58" t="s">
        <v>836</v>
      </c>
      <c r="B58" t="s">
        <v>864</v>
      </c>
      <c r="C58" t="s">
        <v>4</v>
      </c>
      <c r="D58" t="s">
        <v>176</v>
      </c>
      <c r="E58" t="s">
        <v>176</v>
      </c>
      <c r="F58" t="s">
        <v>769</v>
      </c>
      <c r="G58" t="s">
        <v>20</v>
      </c>
      <c r="H58" t="s">
        <v>770</v>
      </c>
      <c r="I58" t="s">
        <v>178</v>
      </c>
    </row>
    <row r="59" spans="1:9" x14ac:dyDescent="0.25">
      <c r="A59" t="s">
        <v>836</v>
      </c>
      <c r="B59" t="s">
        <v>864</v>
      </c>
      <c r="C59" t="s">
        <v>7</v>
      </c>
      <c r="D59" t="s">
        <v>178</v>
      </c>
      <c r="E59" t="s">
        <v>176</v>
      </c>
      <c r="F59" t="s">
        <v>769</v>
      </c>
      <c r="G59" t="s">
        <v>20</v>
      </c>
      <c r="H59" t="s">
        <v>770</v>
      </c>
      <c r="I59" t="s">
        <v>178</v>
      </c>
    </row>
    <row r="60" spans="1:9" x14ac:dyDescent="0.25">
      <c r="A60" t="s">
        <v>836</v>
      </c>
      <c r="B60" t="s">
        <v>864</v>
      </c>
      <c r="C60" t="s">
        <v>9</v>
      </c>
      <c r="D60">
        <v>20</v>
      </c>
      <c r="E60" t="s">
        <v>176</v>
      </c>
      <c r="F60" t="s">
        <v>769</v>
      </c>
      <c r="G60" t="s">
        <v>20</v>
      </c>
      <c r="H60" t="s">
        <v>770</v>
      </c>
      <c r="I60" t="s">
        <v>178</v>
      </c>
    </row>
    <row r="61" spans="1:9" x14ac:dyDescent="0.25">
      <c r="A61" t="s">
        <v>836</v>
      </c>
      <c r="B61" t="s">
        <v>864</v>
      </c>
      <c r="C61" t="s">
        <v>10</v>
      </c>
      <c r="D61">
        <v>2</v>
      </c>
      <c r="E61" t="s">
        <v>176</v>
      </c>
      <c r="F61" t="s">
        <v>769</v>
      </c>
      <c r="G61" t="s">
        <v>20</v>
      </c>
      <c r="H61" t="s">
        <v>770</v>
      </c>
      <c r="I61" t="s">
        <v>178</v>
      </c>
    </row>
    <row r="62" spans="1:9" x14ac:dyDescent="0.25">
      <c r="A62" t="s">
        <v>836</v>
      </c>
      <c r="B62" t="s">
        <v>864</v>
      </c>
      <c r="C62" t="s">
        <v>13</v>
      </c>
      <c r="D62">
        <v>4</v>
      </c>
      <c r="E62" t="s">
        <v>176</v>
      </c>
      <c r="F62" t="s">
        <v>769</v>
      </c>
      <c r="G62" t="s">
        <v>20</v>
      </c>
      <c r="H62" t="s">
        <v>770</v>
      </c>
      <c r="I62" t="s">
        <v>178</v>
      </c>
    </row>
    <row r="63" spans="1:9" x14ac:dyDescent="0.25">
      <c r="A63" t="s">
        <v>836</v>
      </c>
      <c r="B63" t="s">
        <v>864</v>
      </c>
      <c r="C63" t="s">
        <v>15</v>
      </c>
      <c r="D63" t="s">
        <v>180</v>
      </c>
      <c r="E63" t="s">
        <v>176</v>
      </c>
      <c r="F63" t="s">
        <v>769</v>
      </c>
      <c r="G63" t="s">
        <v>20</v>
      </c>
      <c r="H63" t="s">
        <v>770</v>
      </c>
      <c r="I63" t="s">
        <v>178</v>
      </c>
    </row>
    <row r="64" spans="1:9" x14ac:dyDescent="0.25">
      <c r="A64" t="s">
        <v>836</v>
      </c>
      <c r="B64" t="s">
        <v>864</v>
      </c>
      <c r="C64" t="s">
        <v>17</v>
      </c>
      <c r="D64" t="s">
        <v>123</v>
      </c>
      <c r="E64" t="s">
        <v>176</v>
      </c>
      <c r="F64" t="s">
        <v>769</v>
      </c>
      <c r="G64" t="s">
        <v>20</v>
      </c>
      <c r="H64" t="s">
        <v>770</v>
      </c>
      <c r="I64" t="s">
        <v>178</v>
      </c>
    </row>
    <row r="65" spans="1:9" x14ac:dyDescent="0.25">
      <c r="A65" t="s">
        <v>836</v>
      </c>
      <c r="B65" t="s">
        <v>864</v>
      </c>
      <c r="C65" t="s">
        <v>19</v>
      </c>
      <c r="D65" t="s">
        <v>20</v>
      </c>
      <c r="E65" t="s">
        <v>176</v>
      </c>
      <c r="F65" t="s">
        <v>769</v>
      </c>
      <c r="G65" t="s">
        <v>20</v>
      </c>
      <c r="H65" t="s">
        <v>770</v>
      </c>
      <c r="I65" t="s">
        <v>178</v>
      </c>
    </row>
    <row r="66" spans="1:9" x14ac:dyDescent="0.25">
      <c r="A66" t="s">
        <v>836</v>
      </c>
      <c r="B66" t="s">
        <v>865</v>
      </c>
      <c r="C66" t="s">
        <v>4</v>
      </c>
      <c r="D66" t="s">
        <v>234</v>
      </c>
      <c r="E66" t="s">
        <v>234</v>
      </c>
      <c r="F66" t="s">
        <v>769</v>
      </c>
      <c r="G66" t="s">
        <v>20</v>
      </c>
      <c r="H66" t="s">
        <v>770</v>
      </c>
      <c r="I66" t="s">
        <v>236</v>
      </c>
    </row>
    <row r="67" spans="1:9" x14ac:dyDescent="0.25">
      <c r="A67" t="s">
        <v>836</v>
      </c>
      <c r="B67" t="s">
        <v>865</v>
      </c>
      <c r="C67" t="s">
        <v>7</v>
      </c>
      <c r="D67" t="s">
        <v>236</v>
      </c>
      <c r="E67" t="s">
        <v>234</v>
      </c>
      <c r="F67" t="s">
        <v>769</v>
      </c>
      <c r="G67" t="s">
        <v>20</v>
      </c>
      <c r="H67" t="s">
        <v>770</v>
      </c>
      <c r="I67" t="s">
        <v>236</v>
      </c>
    </row>
    <row r="68" spans="1:9" x14ac:dyDescent="0.25">
      <c r="A68" t="s">
        <v>836</v>
      </c>
      <c r="B68" t="s">
        <v>865</v>
      </c>
      <c r="C68" t="s">
        <v>9</v>
      </c>
      <c r="D68">
        <v>20</v>
      </c>
      <c r="E68" t="s">
        <v>234</v>
      </c>
      <c r="F68" t="s">
        <v>769</v>
      </c>
      <c r="G68" t="s">
        <v>20</v>
      </c>
      <c r="H68" t="s">
        <v>770</v>
      </c>
      <c r="I68" t="s">
        <v>236</v>
      </c>
    </row>
    <row r="69" spans="1:9" x14ac:dyDescent="0.25">
      <c r="A69" t="s">
        <v>836</v>
      </c>
      <c r="B69" t="s">
        <v>865</v>
      </c>
      <c r="C69" t="s">
        <v>10</v>
      </c>
      <c r="D69">
        <v>2</v>
      </c>
      <c r="E69" t="s">
        <v>234</v>
      </c>
      <c r="F69" t="s">
        <v>769</v>
      </c>
      <c r="G69" t="s">
        <v>20</v>
      </c>
      <c r="H69" t="s">
        <v>770</v>
      </c>
      <c r="I69" t="s">
        <v>236</v>
      </c>
    </row>
    <row r="70" spans="1:9" x14ac:dyDescent="0.25">
      <c r="A70" t="s">
        <v>836</v>
      </c>
      <c r="B70" t="s">
        <v>865</v>
      </c>
      <c r="C70" t="s">
        <v>13</v>
      </c>
      <c r="D70">
        <v>4</v>
      </c>
      <c r="E70" t="s">
        <v>234</v>
      </c>
      <c r="F70" t="s">
        <v>769</v>
      </c>
      <c r="G70" t="s">
        <v>20</v>
      </c>
      <c r="H70" t="s">
        <v>770</v>
      </c>
      <c r="I70" t="s">
        <v>236</v>
      </c>
    </row>
    <row r="71" spans="1:9" x14ac:dyDescent="0.25">
      <c r="A71" t="s">
        <v>836</v>
      </c>
      <c r="B71" t="s">
        <v>865</v>
      </c>
      <c r="C71" t="s">
        <v>15</v>
      </c>
      <c r="D71" t="s">
        <v>238</v>
      </c>
      <c r="E71" t="s">
        <v>234</v>
      </c>
      <c r="F71" t="s">
        <v>769</v>
      </c>
      <c r="G71" t="s">
        <v>20</v>
      </c>
      <c r="H71" t="s">
        <v>770</v>
      </c>
      <c r="I71" t="s">
        <v>236</v>
      </c>
    </row>
    <row r="72" spans="1:9" x14ac:dyDescent="0.25">
      <c r="A72" t="s">
        <v>836</v>
      </c>
      <c r="B72" t="s">
        <v>865</v>
      </c>
      <c r="C72" t="s">
        <v>17</v>
      </c>
      <c r="D72" t="s">
        <v>123</v>
      </c>
      <c r="E72" t="s">
        <v>234</v>
      </c>
      <c r="F72" t="s">
        <v>769</v>
      </c>
      <c r="G72" t="s">
        <v>20</v>
      </c>
      <c r="H72" t="s">
        <v>770</v>
      </c>
      <c r="I72" t="s">
        <v>236</v>
      </c>
    </row>
    <row r="73" spans="1:9" x14ac:dyDescent="0.25">
      <c r="A73" t="s">
        <v>836</v>
      </c>
      <c r="B73" t="s">
        <v>865</v>
      </c>
      <c r="C73" t="s">
        <v>19</v>
      </c>
      <c r="D73" t="s">
        <v>20</v>
      </c>
      <c r="E73" t="s">
        <v>234</v>
      </c>
      <c r="F73" t="s">
        <v>769</v>
      </c>
      <c r="G73" t="s">
        <v>20</v>
      </c>
      <c r="H73" t="s">
        <v>770</v>
      </c>
      <c r="I73" t="s">
        <v>236</v>
      </c>
    </row>
    <row r="74" spans="1:9" x14ac:dyDescent="0.25">
      <c r="A74" t="s">
        <v>836</v>
      </c>
      <c r="B74" t="s">
        <v>866</v>
      </c>
      <c r="C74" t="s">
        <v>4</v>
      </c>
      <c r="D74" t="s">
        <v>284</v>
      </c>
      <c r="E74" t="s">
        <v>284</v>
      </c>
      <c r="F74" t="s">
        <v>769</v>
      </c>
      <c r="G74" t="s">
        <v>20</v>
      </c>
      <c r="H74" t="s">
        <v>770</v>
      </c>
      <c r="I74" t="s">
        <v>286</v>
      </c>
    </row>
    <row r="75" spans="1:9" x14ac:dyDescent="0.25">
      <c r="A75" t="s">
        <v>836</v>
      </c>
      <c r="B75" t="s">
        <v>866</v>
      </c>
      <c r="C75" t="s">
        <v>7</v>
      </c>
      <c r="D75" t="s">
        <v>286</v>
      </c>
      <c r="E75" t="s">
        <v>284</v>
      </c>
      <c r="F75" t="s">
        <v>769</v>
      </c>
      <c r="G75" t="s">
        <v>20</v>
      </c>
      <c r="H75" t="s">
        <v>770</v>
      </c>
      <c r="I75" t="s">
        <v>286</v>
      </c>
    </row>
    <row r="76" spans="1:9" x14ac:dyDescent="0.25">
      <c r="A76" t="s">
        <v>836</v>
      </c>
      <c r="B76" t="s">
        <v>866</v>
      </c>
      <c r="C76" t="s">
        <v>9</v>
      </c>
      <c r="D76">
        <v>20</v>
      </c>
      <c r="E76" t="s">
        <v>284</v>
      </c>
      <c r="F76" t="s">
        <v>769</v>
      </c>
      <c r="G76" t="s">
        <v>20</v>
      </c>
      <c r="H76" t="s">
        <v>770</v>
      </c>
      <c r="I76" t="s">
        <v>286</v>
      </c>
    </row>
    <row r="77" spans="1:9" x14ac:dyDescent="0.25">
      <c r="A77" t="s">
        <v>836</v>
      </c>
      <c r="B77" t="s">
        <v>866</v>
      </c>
      <c r="C77" t="s">
        <v>10</v>
      </c>
      <c r="D77" t="s">
        <v>11</v>
      </c>
      <c r="E77" t="s">
        <v>284</v>
      </c>
      <c r="F77" t="s">
        <v>769</v>
      </c>
      <c r="G77" t="s">
        <v>20</v>
      </c>
      <c r="H77" t="s">
        <v>770</v>
      </c>
      <c r="I77" t="s">
        <v>286</v>
      </c>
    </row>
    <row r="78" spans="1:9" x14ac:dyDescent="0.25">
      <c r="A78" t="s">
        <v>836</v>
      </c>
      <c r="B78" t="s">
        <v>866</v>
      </c>
      <c r="C78" t="s">
        <v>13</v>
      </c>
      <c r="D78">
        <v>5</v>
      </c>
      <c r="E78" t="s">
        <v>284</v>
      </c>
      <c r="F78" t="s">
        <v>769</v>
      </c>
      <c r="G78" t="s">
        <v>20</v>
      </c>
      <c r="H78" t="s">
        <v>770</v>
      </c>
      <c r="I78" t="s">
        <v>286</v>
      </c>
    </row>
    <row r="79" spans="1:9" x14ac:dyDescent="0.25">
      <c r="A79" t="s">
        <v>836</v>
      </c>
      <c r="B79" t="s">
        <v>866</v>
      </c>
      <c r="C79" t="s">
        <v>15</v>
      </c>
      <c r="D79" t="s">
        <v>16</v>
      </c>
      <c r="E79" t="s">
        <v>284</v>
      </c>
      <c r="F79" t="s">
        <v>769</v>
      </c>
      <c r="G79" t="s">
        <v>20</v>
      </c>
      <c r="H79" t="s">
        <v>770</v>
      </c>
      <c r="I79" t="s">
        <v>286</v>
      </c>
    </row>
    <row r="80" spans="1:9" x14ac:dyDescent="0.25">
      <c r="A80" t="s">
        <v>836</v>
      </c>
      <c r="B80" t="s">
        <v>866</v>
      </c>
      <c r="C80" t="s">
        <v>17</v>
      </c>
      <c r="D80" t="s">
        <v>18</v>
      </c>
      <c r="E80" t="s">
        <v>284</v>
      </c>
      <c r="F80" t="s">
        <v>769</v>
      </c>
      <c r="G80" t="s">
        <v>20</v>
      </c>
      <c r="H80" t="s">
        <v>770</v>
      </c>
      <c r="I80" t="s">
        <v>286</v>
      </c>
    </row>
    <row r="81" spans="1:9" x14ac:dyDescent="0.25">
      <c r="A81" t="s">
        <v>836</v>
      </c>
      <c r="B81" t="s">
        <v>866</v>
      </c>
      <c r="C81" t="s">
        <v>19</v>
      </c>
      <c r="D81" t="s">
        <v>20</v>
      </c>
      <c r="E81" t="s">
        <v>284</v>
      </c>
      <c r="F81" t="s">
        <v>769</v>
      </c>
      <c r="G81" t="s">
        <v>20</v>
      </c>
      <c r="H81" t="s">
        <v>770</v>
      </c>
      <c r="I81" t="s">
        <v>286</v>
      </c>
    </row>
    <row r="82" spans="1:9" x14ac:dyDescent="0.25">
      <c r="A82" t="s">
        <v>836</v>
      </c>
      <c r="B82" t="s">
        <v>867</v>
      </c>
      <c r="C82" t="s">
        <v>4</v>
      </c>
      <c r="D82" t="s">
        <v>339</v>
      </c>
      <c r="E82" t="s">
        <v>339</v>
      </c>
      <c r="F82" t="s">
        <v>769</v>
      </c>
      <c r="G82" t="s">
        <v>20</v>
      </c>
      <c r="H82" t="s">
        <v>770</v>
      </c>
      <c r="I82" t="s">
        <v>341</v>
      </c>
    </row>
    <row r="83" spans="1:9" x14ac:dyDescent="0.25">
      <c r="A83" t="s">
        <v>836</v>
      </c>
      <c r="B83" t="s">
        <v>867</v>
      </c>
      <c r="C83" t="s">
        <v>7</v>
      </c>
      <c r="D83" t="s">
        <v>341</v>
      </c>
      <c r="E83" t="s">
        <v>339</v>
      </c>
      <c r="F83" t="s">
        <v>769</v>
      </c>
      <c r="G83" t="s">
        <v>20</v>
      </c>
      <c r="H83" t="s">
        <v>770</v>
      </c>
      <c r="I83" t="s">
        <v>341</v>
      </c>
    </row>
    <row r="84" spans="1:9" x14ac:dyDescent="0.25">
      <c r="A84" t="s">
        <v>836</v>
      </c>
      <c r="B84" t="s">
        <v>867</v>
      </c>
      <c r="C84" t="s">
        <v>9</v>
      </c>
      <c r="D84">
        <v>20</v>
      </c>
      <c r="E84" t="s">
        <v>339</v>
      </c>
      <c r="F84" t="s">
        <v>769</v>
      </c>
      <c r="G84" t="s">
        <v>20</v>
      </c>
      <c r="H84" t="s">
        <v>770</v>
      </c>
      <c r="I84" t="s">
        <v>341</v>
      </c>
    </row>
    <row r="85" spans="1:9" x14ac:dyDescent="0.25">
      <c r="A85" t="s">
        <v>836</v>
      </c>
      <c r="B85" t="s">
        <v>867</v>
      </c>
      <c r="C85" t="s">
        <v>10</v>
      </c>
      <c r="D85">
        <v>1</v>
      </c>
      <c r="E85" t="s">
        <v>339</v>
      </c>
      <c r="F85" t="s">
        <v>769</v>
      </c>
      <c r="G85" t="s">
        <v>20</v>
      </c>
      <c r="H85" t="s">
        <v>770</v>
      </c>
      <c r="I85" t="s">
        <v>341</v>
      </c>
    </row>
    <row r="86" spans="1:9" x14ac:dyDescent="0.25">
      <c r="A86" t="s">
        <v>836</v>
      </c>
      <c r="B86" t="s">
        <v>867</v>
      </c>
      <c r="C86" t="s">
        <v>13</v>
      </c>
      <c r="D86">
        <v>5</v>
      </c>
      <c r="E86" t="s">
        <v>339</v>
      </c>
      <c r="F86" t="s">
        <v>769</v>
      </c>
      <c r="G86" t="s">
        <v>20</v>
      </c>
      <c r="H86" t="s">
        <v>770</v>
      </c>
      <c r="I86" t="s">
        <v>341</v>
      </c>
    </row>
    <row r="87" spans="1:9" x14ac:dyDescent="0.25">
      <c r="A87" t="s">
        <v>836</v>
      </c>
      <c r="B87" t="s">
        <v>867</v>
      </c>
      <c r="C87" t="s">
        <v>15</v>
      </c>
      <c r="D87" t="s">
        <v>343</v>
      </c>
      <c r="E87" t="s">
        <v>339</v>
      </c>
      <c r="F87" t="s">
        <v>769</v>
      </c>
      <c r="G87" t="s">
        <v>20</v>
      </c>
      <c r="H87" t="s">
        <v>770</v>
      </c>
      <c r="I87" t="s">
        <v>341</v>
      </c>
    </row>
    <row r="88" spans="1:9" x14ac:dyDescent="0.25">
      <c r="A88" t="s">
        <v>836</v>
      </c>
      <c r="B88" t="s">
        <v>867</v>
      </c>
      <c r="C88" t="s">
        <v>17</v>
      </c>
      <c r="D88" t="s">
        <v>123</v>
      </c>
      <c r="E88" t="s">
        <v>339</v>
      </c>
      <c r="F88" t="s">
        <v>769</v>
      </c>
      <c r="G88" t="s">
        <v>20</v>
      </c>
      <c r="H88" t="s">
        <v>770</v>
      </c>
      <c r="I88" t="s">
        <v>341</v>
      </c>
    </row>
    <row r="89" spans="1:9" x14ac:dyDescent="0.25">
      <c r="A89" t="s">
        <v>836</v>
      </c>
      <c r="B89" t="s">
        <v>867</v>
      </c>
      <c r="C89" t="s">
        <v>19</v>
      </c>
      <c r="D89" t="s">
        <v>20</v>
      </c>
      <c r="E89" t="s">
        <v>339</v>
      </c>
      <c r="F89" t="s">
        <v>769</v>
      </c>
      <c r="G89" t="s">
        <v>20</v>
      </c>
      <c r="H89" t="s">
        <v>770</v>
      </c>
      <c r="I89" t="s">
        <v>341</v>
      </c>
    </row>
    <row r="90" spans="1:9" x14ac:dyDescent="0.25">
      <c r="A90" t="s">
        <v>836</v>
      </c>
      <c r="B90" t="s">
        <v>868</v>
      </c>
      <c r="C90" t="s">
        <v>4</v>
      </c>
      <c r="D90" t="s">
        <v>395</v>
      </c>
      <c r="E90" t="s">
        <v>395</v>
      </c>
      <c r="F90" t="s">
        <v>769</v>
      </c>
      <c r="G90" t="s">
        <v>20</v>
      </c>
      <c r="H90" t="s">
        <v>770</v>
      </c>
      <c r="I90" t="s">
        <v>397</v>
      </c>
    </row>
    <row r="91" spans="1:9" x14ac:dyDescent="0.25">
      <c r="A91" t="s">
        <v>836</v>
      </c>
      <c r="B91" t="s">
        <v>868</v>
      </c>
      <c r="C91" t="s">
        <v>7</v>
      </c>
      <c r="D91" t="s">
        <v>938</v>
      </c>
      <c r="E91" t="s">
        <v>395</v>
      </c>
      <c r="F91" t="s">
        <v>769</v>
      </c>
      <c r="G91" t="s">
        <v>20</v>
      </c>
      <c r="H91" t="s">
        <v>770</v>
      </c>
      <c r="I91" t="s">
        <v>397</v>
      </c>
    </row>
    <row r="92" spans="1:9" x14ac:dyDescent="0.25">
      <c r="A92" t="s">
        <v>836</v>
      </c>
      <c r="B92" t="s">
        <v>868</v>
      </c>
      <c r="C92" t="s">
        <v>9</v>
      </c>
      <c r="D92">
        <v>20</v>
      </c>
      <c r="E92" t="s">
        <v>395</v>
      </c>
      <c r="F92" t="s">
        <v>769</v>
      </c>
      <c r="G92" t="s">
        <v>20</v>
      </c>
      <c r="H92" t="s">
        <v>770</v>
      </c>
      <c r="I92" t="s">
        <v>397</v>
      </c>
    </row>
    <row r="93" spans="1:9" x14ac:dyDescent="0.25">
      <c r="A93" t="s">
        <v>836</v>
      </c>
      <c r="B93" t="s">
        <v>868</v>
      </c>
      <c r="C93" t="s">
        <v>10</v>
      </c>
      <c r="D93">
        <v>2</v>
      </c>
      <c r="E93" t="s">
        <v>395</v>
      </c>
      <c r="F93" t="s">
        <v>769</v>
      </c>
      <c r="G93" t="s">
        <v>20</v>
      </c>
      <c r="H93" t="s">
        <v>770</v>
      </c>
      <c r="I93" t="s">
        <v>397</v>
      </c>
    </row>
    <row r="94" spans="1:9" x14ac:dyDescent="0.25">
      <c r="A94" t="s">
        <v>836</v>
      </c>
      <c r="B94" t="s">
        <v>868</v>
      </c>
      <c r="C94" t="s">
        <v>13</v>
      </c>
      <c r="D94">
        <v>5</v>
      </c>
      <c r="E94" t="s">
        <v>395</v>
      </c>
      <c r="F94" t="s">
        <v>769</v>
      </c>
      <c r="G94" t="s">
        <v>20</v>
      </c>
      <c r="H94" t="s">
        <v>770</v>
      </c>
      <c r="I94" t="s">
        <v>397</v>
      </c>
    </row>
    <row r="95" spans="1:9" x14ac:dyDescent="0.25">
      <c r="A95" t="s">
        <v>836</v>
      </c>
      <c r="B95" t="s">
        <v>868</v>
      </c>
      <c r="C95" t="s">
        <v>15</v>
      </c>
      <c r="D95" t="s">
        <v>939</v>
      </c>
      <c r="E95" t="s">
        <v>395</v>
      </c>
      <c r="F95" t="s">
        <v>769</v>
      </c>
      <c r="G95" t="s">
        <v>20</v>
      </c>
      <c r="H95" t="s">
        <v>770</v>
      </c>
      <c r="I95" t="s">
        <v>397</v>
      </c>
    </row>
    <row r="96" spans="1:9" x14ac:dyDescent="0.25">
      <c r="A96" t="s">
        <v>836</v>
      </c>
      <c r="B96" t="s">
        <v>868</v>
      </c>
      <c r="C96" t="s">
        <v>17</v>
      </c>
      <c r="D96" t="s">
        <v>123</v>
      </c>
      <c r="E96" t="s">
        <v>395</v>
      </c>
      <c r="F96" t="s">
        <v>769</v>
      </c>
      <c r="G96" t="s">
        <v>20</v>
      </c>
      <c r="H96" t="s">
        <v>770</v>
      </c>
      <c r="I96" t="s">
        <v>397</v>
      </c>
    </row>
    <row r="97" spans="1:9" x14ac:dyDescent="0.25">
      <c r="A97" t="s">
        <v>836</v>
      </c>
      <c r="B97" t="s">
        <v>868</v>
      </c>
      <c r="C97" t="s">
        <v>19</v>
      </c>
      <c r="D97" t="s">
        <v>20</v>
      </c>
      <c r="E97" t="s">
        <v>395</v>
      </c>
      <c r="F97" t="s">
        <v>769</v>
      </c>
      <c r="G97" t="s">
        <v>20</v>
      </c>
      <c r="H97" t="s">
        <v>770</v>
      </c>
      <c r="I97" t="s">
        <v>397</v>
      </c>
    </row>
    <row r="98" spans="1:9" x14ac:dyDescent="0.25">
      <c r="A98" t="s">
        <v>836</v>
      </c>
      <c r="B98" t="s">
        <v>869</v>
      </c>
      <c r="C98" t="s">
        <v>4</v>
      </c>
      <c r="D98" t="s">
        <v>448</v>
      </c>
      <c r="E98" t="s">
        <v>448</v>
      </c>
      <c r="F98" t="s">
        <v>769</v>
      </c>
      <c r="G98" t="s">
        <v>20</v>
      </c>
      <c r="H98" t="s">
        <v>770</v>
      </c>
      <c r="I98" t="s">
        <v>450</v>
      </c>
    </row>
    <row r="99" spans="1:9" x14ac:dyDescent="0.25">
      <c r="A99" t="s">
        <v>836</v>
      </c>
      <c r="B99" t="s">
        <v>869</v>
      </c>
      <c r="C99" t="s">
        <v>7</v>
      </c>
      <c r="D99" t="s">
        <v>450</v>
      </c>
      <c r="E99" t="s">
        <v>448</v>
      </c>
      <c r="F99" t="s">
        <v>769</v>
      </c>
      <c r="G99" t="s">
        <v>20</v>
      </c>
      <c r="H99" t="s">
        <v>770</v>
      </c>
      <c r="I99" t="s">
        <v>450</v>
      </c>
    </row>
    <row r="100" spans="1:9" x14ac:dyDescent="0.25">
      <c r="A100" t="s">
        <v>836</v>
      </c>
      <c r="B100" t="s">
        <v>869</v>
      </c>
      <c r="C100" t="s">
        <v>9</v>
      </c>
      <c r="D100">
        <v>20</v>
      </c>
      <c r="E100" t="s">
        <v>448</v>
      </c>
      <c r="F100" t="s">
        <v>769</v>
      </c>
      <c r="G100" t="s">
        <v>20</v>
      </c>
      <c r="H100" t="s">
        <v>770</v>
      </c>
      <c r="I100" t="s">
        <v>450</v>
      </c>
    </row>
    <row r="101" spans="1:9" x14ac:dyDescent="0.25">
      <c r="A101" t="s">
        <v>836</v>
      </c>
      <c r="B101" t="s">
        <v>869</v>
      </c>
      <c r="C101" t="s">
        <v>10</v>
      </c>
      <c r="D101">
        <v>2</v>
      </c>
      <c r="E101" t="s">
        <v>448</v>
      </c>
      <c r="F101" t="s">
        <v>769</v>
      </c>
      <c r="G101" t="s">
        <v>20</v>
      </c>
      <c r="H101" t="s">
        <v>770</v>
      </c>
      <c r="I101" t="s">
        <v>450</v>
      </c>
    </row>
    <row r="102" spans="1:9" x14ac:dyDescent="0.25">
      <c r="A102" t="s">
        <v>836</v>
      </c>
      <c r="B102" t="s">
        <v>869</v>
      </c>
      <c r="C102" t="s">
        <v>13</v>
      </c>
      <c r="D102">
        <v>5</v>
      </c>
      <c r="E102" t="s">
        <v>448</v>
      </c>
      <c r="F102" t="s">
        <v>769</v>
      </c>
      <c r="G102" t="s">
        <v>20</v>
      </c>
      <c r="H102" t="s">
        <v>770</v>
      </c>
      <c r="I102" t="s">
        <v>450</v>
      </c>
    </row>
    <row r="103" spans="1:9" x14ac:dyDescent="0.25">
      <c r="A103" t="s">
        <v>836</v>
      </c>
      <c r="B103" t="s">
        <v>869</v>
      </c>
      <c r="C103" t="s">
        <v>15</v>
      </c>
      <c r="D103" t="s">
        <v>940</v>
      </c>
      <c r="E103" t="s">
        <v>448</v>
      </c>
      <c r="F103" t="s">
        <v>769</v>
      </c>
      <c r="G103" t="s">
        <v>20</v>
      </c>
      <c r="H103" t="s">
        <v>770</v>
      </c>
      <c r="I103" t="s">
        <v>450</v>
      </c>
    </row>
    <row r="104" spans="1:9" x14ac:dyDescent="0.25">
      <c r="A104" t="s">
        <v>836</v>
      </c>
      <c r="B104" t="s">
        <v>869</v>
      </c>
      <c r="C104" t="s">
        <v>17</v>
      </c>
      <c r="D104" t="s">
        <v>123</v>
      </c>
      <c r="E104" t="s">
        <v>448</v>
      </c>
      <c r="F104" t="s">
        <v>769</v>
      </c>
      <c r="G104" t="s">
        <v>20</v>
      </c>
      <c r="H104" t="s">
        <v>770</v>
      </c>
      <c r="I104" t="s">
        <v>450</v>
      </c>
    </row>
    <row r="105" spans="1:9" x14ac:dyDescent="0.25">
      <c r="A105" t="s">
        <v>836</v>
      </c>
      <c r="B105" t="s">
        <v>869</v>
      </c>
      <c r="C105" t="s">
        <v>19</v>
      </c>
      <c r="D105" t="s">
        <v>20</v>
      </c>
      <c r="E105" t="s">
        <v>448</v>
      </c>
      <c r="F105" t="s">
        <v>769</v>
      </c>
      <c r="G105" t="s">
        <v>20</v>
      </c>
      <c r="H105" t="s">
        <v>770</v>
      </c>
      <c r="I105" t="s">
        <v>450</v>
      </c>
    </row>
    <row r="106" spans="1:9" x14ac:dyDescent="0.25">
      <c r="A106" t="s">
        <v>836</v>
      </c>
      <c r="B106" t="s">
        <v>870</v>
      </c>
      <c r="C106" t="s">
        <v>4</v>
      </c>
      <c r="D106" t="s">
        <v>502</v>
      </c>
      <c r="E106" t="s">
        <v>502</v>
      </c>
      <c r="F106" t="s">
        <v>769</v>
      </c>
      <c r="G106" t="s">
        <v>20</v>
      </c>
      <c r="H106" t="s">
        <v>770</v>
      </c>
      <c r="I106" t="s">
        <v>504</v>
      </c>
    </row>
    <row r="107" spans="1:9" x14ac:dyDescent="0.25">
      <c r="A107" t="s">
        <v>836</v>
      </c>
      <c r="B107" t="s">
        <v>870</v>
      </c>
      <c r="C107" t="s">
        <v>7</v>
      </c>
      <c r="D107" t="s">
        <v>504</v>
      </c>
      <c r="E107" t="s">
        <v>502</v>
      </c>
      <c r="F107" t="s">
        <v>769</v>
      </c>
      <c r="G107" t="s">
        <v>20</v>
      </c>
      <c r="H107" t="s">
        <v>770</v>
      </c>
      <c r="I107" t="s">
        <v>504</v>
      </c>
    </row>
    <row r="108" spans="1:9" x14ac:dyDescent="0.25">
      <c r="A108" t="s">
        <v>836</v>
      </c>
      <c r="B108" t="s">
        <v>870</v>
      </c>
      <c r="C108" t="s">
        <v>9</v>
      </c>
      <c r="D108">
        <v>20</v>
      </c>
      <c r="E108" t="s">
        <v>502</v>
      </c>
      <c r="F108" t="s">
        <v>769</v>
      </c>
      <c r="G108" t="s">
        <v>20</v>
      </c>
      <c r="H108" t="s">
        <v>770</v>
      </c>
      <c r="I108" t="s">
        <v>504</v>
      </c>
    </row>
    <row r="109" spans="1:9" x14ac:dyDescent="0.25">
      <c r="A109" t="s">
        <v>836</v>
      </c>
      <c r="B109" t="s">
        <v>870</v>
      </c>
      <c r="C109" t="s">
        <v>10</v>
      </c>
      <c r="D109">
        <v>1</v>
      </c>
      <c r="E109" t="s">
        <v>502</v>
      </c>
      <c r="F109" t="s">
        <v>769</v>
      </c>
      <c r="G109" t="s">
        <v>20</v>
      </c>
      <c r="H109" t="s">
        <v>770</v>
      </c>
      <c r="I109" t="s">
        <v>504</v>
      </c>
    </row>
    <row r="110" spans="1:9" x14ac:dyDescent="0.25">
      <c r="A110" t="s">
        <v>836</v>
      </c>
      <c r="B110" t="s">
        <v>870</v>
      </c>
      <c r="C110" t="s">
        <v>13</v>
      </c>
      <c r="D110">
        <v>6</v>
      </c>
      <c r="E110" t="s">
        <v>502</v>
      </c>
      <c r="F110" t="s">
        <v>769</v>
      </c>
      <c r="G110" t="s">
        <v>20</v>
      </c>
      <c r="H110" t="s">
        <v>770</v>
      </c>
      <c r="I110" t="s">
        <v>504</v>
      </c>
    </row>
    <row r="111" spans="1:9" x14ac:dyDescent="0.25">
      <c r="A111" t="s">
        <v>836</v>
      </c>
      <c r="B111" t="s">
        <v>870</v>
      </c>
      <c r="C111" t="s">
        <v>15</v>
      </c>
      <c r="D111" t="s">
        <v>180</v>
      </c>
      <c r="E111" t="s">
        <v>502</v>
      </c>
      <c r="F111" t="s">
        <v>769</v>
      </c>
      <c r="G111" t="s">
        <v>20</v>
      </c>
      <c r="H111" t="s">
        <v>770</v>
      </c>
      <c r="I111" t="s">
        <v>504</v>
      </c>
    </row>
    <row r="112" spans="1:9" x14ac:dyDescent="0.25">
      <c r="A112" t="s">
        <v>836</v>
      </c>
      <c r="B112" t="s">
        <v>870</v>
      </c>
      <c r="C112" t="s">
        <v>17</v>
      </c>
      <c r="D112" t="s">
        <v>123</v>
      </c>
      <c r="E112" t="s">
        <v>502</v>
      </c>
      <c r="F112" t="s">
        <v>769</v>
      </c>
      <c r="G112" t="s">
        <v>20</v>
      </c>
      <c r="H112" t="s">
        <v>770</v>
      </c>
      <c r="I112" t="s">
        <v>504</v>
      </c>
    </row>
    <row r="113" spans="1:9" x14ac:dyDescent="0.25">
      <c r="A113" t="s">
        <v>836</v>
      </c>
      <c r="B113" t="s">
        <v>870</v>
      </c>
      <c r="C113" t="s">
        <v>19</v>
      </c>
      <c r="D113" t="s">
        <v>20</v>
      </c>
      <c r="E113" t="s">
        <v>502</v>
      </c>
      <c r="F113" t="s">
        <v>769</v>
      </c>
      <c r="G113" t="s">
        <v>20</v>
      </c>
      <c r="H113" t="s">
        <v>770</v>
      </c>
      <c r="I113" t="s">
        <v>504</v>
      </c>
    </row>
    <row r="114" spans="1:9" x14ac:dyDescent="0.25">
      <c r="A114" t="s">
        <v>836</v>
      </c>
      <c r="B114" t="s">
        <v>871</v>
      </c>
      <c r="C114" t="s">
        <v>4</v>
      </c>
      <c r="D114" t="s">
        <v>553</v>
      </c>
      <c r="E114" t="s">
        <v>553</v>
      </c>
      <c r="F114" t="s">
        <v>769</v>
      </c>
      <c r="G114" t="s">
        <v>20</v>
      </c>
      <c r="H114" t="s">
        <v>770</v>
      </c>
      <c r="I114" t="s">
        <v>555</v>
      </c>
    </row>
    <row r="115" spans="1:9" x14ac:dyDescent="0.25">
      <c r="A115" t="s">
        <v>836</v>
      </c>
      <c r="B115" t="s">
        <v>871</v>
      </c>
      <c r="C115" t="s">
        <v>7</v>
      </c>
      <c r="D115" t="s">
        <v>555</v>
      </c>
      <c r="E115" t="s">
        <v>553</v>
      </c>
      <c r="F115" t="s">
        <v>769</v>
      </c>
      <c r="G115" t="s">
        <v>20</v>
      </c>
      <c r="H115" t="s">
        <v>770</v>
      </c>
      <c r="I115" t="s">
        <v>555</v>
      </c>
    </row>
    <row r="116" spans="1:9" x14ac:dyDescent="0.25">
      <c r="A116" t="s">
        <v>836</v>
      </c>
      <c r="B116" t="s">
        <v>871</v>
      </c>
      <c r="C116" t="s">
        <v>9</v>
      </c>
      <c r="D116">
        <v>20</v>
      </c>
      <c r="E116" t="s">
        <v>553</v>
      </c>
      <c r="F116" t="s">
        <v>769</v>
      </c>
      <c r="G116" t="s">
        <v>20</v>
      </c>
      <c r="H116" t="s">
        <v>770</v>
      </c>
      <c r="I116" t="s">
        <v>555</v>
      </c>
    </row>
    <row r="117" spans="1:9" x14ac:dyDescent="0.25">
      <c r="A117" t="s">
        <v>836</v>
      </c>
      <c r="B117" t="s">
        <v>871</v>
      </c>
      <c r="C117" t="s">
        <v>10</v>
      </c>
      <c r="D117">
        <v>1</v>
      </c>
      <c r="E117" t="s">
        <v>553</v>
      </c>
      <c r="F117" t="s">
        <v>769</v>
      </c>
      <c r="G117" t="s">
        <v>20</v>
      </c>
      <c r="H117" t="s">
        <v>770</v>
      </c>
      <c r="I117" t="s">
        <v>555</v>
      </c>
    </row>
    <row r="118" spans="1:9" x14ac:dyDescent="0.25">
      <c r="A118" t="s">
        <v>836</v>
      </c>
      <c r="B118" t="s">
        <v>871</v>
      </c>
      <c r="C118" t="s">
        <v>13</v>
      </c>
      <c r="D118">
        <v>6</v>
      </c>
      <c r="E118" t="s">
        <v>553</v>
      </c>
      <c r="F118" t="s">
        <v>769</v>
      </c>
      <c r="G118" t="s">
        <v>20</v>
      </c>
      <c r="H118" t="s">
        <v>770</v>
      </c>
      <c r="I118" t="s">
        <v>555</v>
      </c>
    </row>
    <row r="119" spans="1:9" x14ac:dyDescent="0.25">
      <c r="A119" t="s">
        <v>836</v>
      </c>
      <c r="B119" t="s">
        <v>871</v>
      </c>
      <c r="C119" t="s">
        <v>15</v>
      </c>
      <c r="D119" t="s">
        <v>941</v>
      </c>
      <c r="E119" t="s">
        <v>553</v>
      </c>
      <c r="F119" t="s">
        <v>769</v>
      </c>
      <c r="G119" t="s">
        <v>20</v>
      </c>
      <c r="H119" t="s">
        <v>770</v>
      </c>
      <c r="I119" t="s">
        <v>555</v>
      </c>
    </row>
    <row r="120" spans="1:9" x14ac:dyDescent="0.25">
      <c r="A120" t="s">
        <v>836</v>
      </c>
      <c r="B120" t="s">
        <v>871</v>
      </c>
      <c r="C120" t="s">
        <v>17</v>
      </c>
      <c r="D120" t="s">
        <v>123</v>
      </c>
      <c r="E120" t="s">
        <v>553</v>
      </c>
      <c r="F120" t="s">
        <v>769</v>
      </c>
      <c r="G120" t="s">
        <v>20</v>
      </c>
      <c r="H120" t="s">
        <v>770</v>
      </c>
      <c r="I120" t="s">
        <v>555</v>
      </c>
    </row>
    <row r="121" spans="1:9" x14ac:dyDescent="0.25">
      <c r="A121" t="s">
        <v>836</v>
      </c>
      <c r="B121" t="s">
        <v>871</v>
      </c>
      <c r="C121" t="s">
        <v>19</v>
      </c>
      <c r="D121" t="s">
        <v>20</v>
      </c>
      <c r="E121" t="s">
        <v>553</v>
      </c>
      <c r="F121" t="s">
        <v>769</v>
      </c>
      <c r="G121" t="s">
        <v>20</v>
      </c>
      <c r="H121" t="s">
        <v>770</v>
      </c>
      <c r="I121" t="s">
        <v>555</v>
      </c>
    </row>
    <row r="122" spans="1:9" x14ac:dyDescent="0.25">
      <c r="A122" t="s">
        <v>836</v>
      </c>
      <c r="B122" t="s">
        <v>872</v>
      </c>
      <c r="C122" t="s">
        <v>4</v>
      </c>
      <c r="D122" t="s">
        <v>602</v>
      </c>
      <c r="E122" t="s">
        <v>602</v>
      </c>
      <c r="F122" t="s">
        <v>769</v>
      </c>
      <c r="G122" t="s">
        <v>20</v>
      </c>
      <c r="H122" t="s">
        <v>770</v>
      </c>
      <c r="I122" t="s">
        <v>604</v>
      </c>
    </row>
    <row r="123" spans="1:9" x14ac:dyDescent="0.25">
      <c r="A123" t="s">
        <v>836</v>
      </c>
      <c r="B123" t="s">
        <v>872</v>
      </c>
      <c r="C123" t="s">
        <v>7</v>
      </c>
      <c r="D123" t="s">
        <v>604</v>
      </c>
      <c r="E123" t="s">
        <v>602</v>
      </c>
      <c r="F123" t="s">
        <v>769</v>
      </c>
      <c r="G123" t="s">
        <v>20</v>
      </c>
      <c r="H123" t="s">
        <v>770</v>
      </c>
      <c r="I123" t="s">
        <v>604</v>
      </c>
    </row>
    <row r="124" spans="1:9" x14ac:dyDescent="0.25">
      <c r="A124" t="s">
        <v>836</v>
      </c>
      <c r="B124" t="s">
        <v>872</v>
      </c>
      <c r="C124" t="s">
        <v>9</v>
      </c>
      <c r="D124">
        <v>20</v>
      </c>
      <c r="E124" t="s">
        <v>602</v>
      </c>
      <c r="F124" t="s">
        <v>769</v>
      </c>
      <c r="G124" t="s">
        <v>20</v>
      </c>
      <c r="H124" t="s">
        <v>770</v>
      </c>
      <c r="I124" t="s">
        <v>604</v>
      </c>
    </row>
    <row r="125" spans="1:9" x14ac:dyDescent="0.25">
      <c r="A125" t="s">
        <v>836</v>
      </c>
      <c r="B125" t="s">
        <v>872</v>
      </c>
      <c r="C125" t="s">
        <v>10</v>
      </c>
      <c r="D125">
        <v>2</v>
      </c>
      <c r="E125" t="s">
        <v>602</v>
      </c>
      <c r="F125" t="s">
        <v>769</v>
      </c>
      <c r="G125" t="s">
        <v>20</v>
      </c>
      <c r="H125" t="s">
        <v>770</v>
      </c>
      <c r="I125" t="s">
        <v>604</v>
      </c>
    </row>
    <row r="126" spans="1:9" x14ac:dyDescent="0.25">
      <c r="A126" t="s">
        <v>836</v>
      </c>
      <c r="B126" t="s">
        <v>872</v>
      </c>
      <c r="C126" t="s">
        <v>13</v>
      </c>
      <c r="D126">
        <v>6</v>
      </c>
      <c r="E126" t="s">
        <v>602</v>
      </c>
      <c r="F126" t="s">
        <v>769</v>
      </c>
      <c r="G126" t="s">
        <v>20</v>
      </c>
      <c r="H126" t="s">
        <v>770</v>
      </c>
      <c r="I126" t="s">
        <v>604</v>
      </c>
    </row>
    <row r="127" spans="1:9" x14ac:dyDescent="0.25">
      <c r="A127" t="s">
        <v>836</v>
      </c>
      <c r="B127" t="s">
        <v>872</v>
      </c>
      <c r="C127" t="s">
        <v>15</v>
      </c>
      <c r="D127" t="s">
        <v>942</v>
      </c>
      <c r="E127" t="s">
        <v>602</v>
      </c>
      <c r="F127" t="s">
        <v>769</v>
      </c>
      <c r="G127" t="s">
        <v>20</v>
      </c>
      <c r="H127" t="s">
        <v>770</v>
      </c>
      <c r="I127" t="s">
        <v>604</v>
      </c>
    </row>
    <row r="128" spans="1:9" x14ac:dyDescent="0.25">
      <c r="A128" t="s">
        <v>836</v>
      </c>
      <c r="B128" t="s">
        <v>872</v>
      </c>
      <c r="C128" t="s">
        <v>17</v>
      </c>
      <c r="D128" t="s">
        <v>123</v>
      </c>
      <c r="E128" t="s">
        <v>602</v>
      </c>
      <c r="F128" t="s">
        <v>769</v>
      </c>
      <c r="G128" t="s">
        <v>20</v>
      </c>
      <c r="H128" t="s">
        <v>770</v>
      </c>
      <c r="I128" t="s">
        <v>604</v>
      </c>
    </row>
    <row r="129" spans="1:9" x14ac:dyDescent="0.25">
      <c r="A129" t="s">
        <v>836</v>
      </c>
      <c r="B129" t="s">
        <v>872</v>
      </c>
      <c r="C129" t="s">
        <v>19</v>
      </c>
      <c r="D129" t="s">
        <v>20</v>
      </c>
      <c r="E129" t="s">
        <v>602</v>
      </c>
      <c r="F129" t="s">
        <v>769</v>
      </c>
      <c r="G129" t="s">
        <v>20</v>
      </c>
      <c r="H129" t="s">
        <v>770</v>
      </c>
      <c r="I129" t="s">
        <v>604</v>
      </c>
    </row>
    <row r="130" spans="1:9" x14ac:dyDescent="0.25">
      <c r="A130" t="s">
        <v>836</v>
      </c>
      <c r="B130" t="s">
        <v>873</v>
      </c>
      <c r="C130" t="s">
        <v>4</v>
      </c>
      <c r="D130" t="s">
        <v>654</v>
      </c>
      <c r="E130" t="s">
        <v>654</v>
      </c>
      <c r="F130" t="s">
        <v>769</v>
      </c>
      <c r="G130" t="s">
        <v>20</v>
      </c>
      <c r="H130" t="s">
        <v>770</v>
      </c>
      <c r="I130" t="s">
        <v>849</v>
      </c>
    </row>
    <row r="131" spans="1:9" x14ac:dyDescent="0.25">
      <c r="A131" t="s">
        <v>836</v>
      </c>
      <c r="B131" t="s">
        <v>873</v>
      </c>
      <c r="C131" t="s">
        <v>7</v>
      </c>
      <c r="D131" t="s">
        <v>943</v>
      </c>
      <c r="E131" t="s">
        <v>654</v>
      </c>
      <c r="F131" t="s">
        <v>769</v>
      </c>
      <c r="G131" t="s">
        <v>20</v>
      </c>
      <c r="H131" t="s">
        <v>770</v>
      </c>
      <c r="I131" t="s">
        <v>849</v>
      </c>
    </row>
    <row r="132" spans="1:9" x14ac:dyDescent="0.25">
      <c r="A132" t="s">
        <v>836</v>
      </c>
      <c r="B132" t="s">
        <v>873</v>
      </c>
      <c r="C132" t="s">
        <v>9</v>
      </c>
      <c r="D132">
        <v>60</v>
      </c>
      <c r="E132" t="s">
        <v>654</v>
      </c>
      <c r="F132" t="s">
        <v>769</v>
      </c>
      <c r="G132" t="s">
        <v>20</v>
      </c>
      <c r="H132" t="s">
        <v>770</v>
      </c>
      <c r="I132" t="s">
        <v>849</v>
      </c>
    </row>
    <row r="133" spans="1:9" x14ac:dyDescent="0.25">
      <c r="A133" t="s">
        <v>836</v>
      </c>
      <c r="B133" t="s">
        <v>873</v>
      </c>
      <c r="C133" t="s">
        <v>10</v>
      </c>
      <c r="D133" t="s">
        <v>11</v>
      </c>
      <c r="E133" t="s">
        <v>654</v>
      </c>
      <c r="F133" t="s">
        <v>769</v>
      </c>
      <c r="G133" t="s">
        <v>20</v>
      </c>
      <c r="H133" t="s">
        <v>770</v>
      </c>
      <c r="I133" t="s">
        <v>849</v>
      </c>
    </row>
    <row r="134" spans="1:9" x14ac:dyDescent="0.25">
      <c r="A134" t="s">
        <v>836</v>
      </c>
      <c r="B134" t="s">
        <v>873</v>
      </c>
      <c r="C134" t="s">
        <v>13</v>
      </c>
      <c r="D134">
        <v>6</v>
      </c>
      <c r="E134" t="s">
        <v>654</v>
      </c>
      <c r="F134" t="s">
        <v>769</v>
      </c>
      <c r="G134" t="s">
        <v>20</v>
      </c>
      <c r="H134" t="s">
        <v>770</v>
      </c>
      <c r="I134" t="s">
        <v>849</v>
      </c>
    </row>
    <row r="135" spans="1:9" x14ac:dyDescent="0.25">
      <c r="A135" t="s">
        <v>836</v>
      </c>
      <c r="B135" t="s">
        <v>873</v>
      </c>
      <c r="C135" t="s">
        <v>15</v>
      </c>
      <c r="D135" t="s">
        <v>656</v>
      </c>
      <c r="E135" t="s">
        <v>654</v>
      </c>
      <c r="F135" t="s">
        <v>769</v>
      </c>
      <c r="G135" t="s">
        <v>20</v>
      </c>
      <c r="H135" t="s">
        <v>770</v>
      </c>
      <c r="I135" t="s">
        <v>849</v>
      </c>
    </row>
    <row r="136" spans="1:9" x14ac:dyDescent="0.25">
      <c r="A136" t="s">
        <v>836</v>
      </c>
      <c r="B136" t="s">
        <v>873</v>
      </c>
      <c r="C136" t="s">
        <v>17</v>
      </c>
      <c r="D136" t="s">
        <v>944</v>
      </c>
      <c r="E136" t="s">
        <v>654</v>
      </c>
      <c r="F136" t="s">
        <v>769</v>
      </c>
      <c r="G136" t="s">
        <v>20</v>
      </c>
      <c r="H136" t="s">
        <v>770</v>
      </c>
      <c r="I136" t="s">
        <v>849</v>
      </c>
    </row>
    <row r="137" spans="1:9" x14ac:dyDescent="0.25">
      <c r="A137" t="s">
        <v>836</v>
      </c>
      <c r="B137" t="s">
        <v>873</v>
      </c>
      <c r="C137" t="s">
        <v>19</v>
      </c>
      <c r="D137" t="s">
        <v>20</v>
      </c>
      <c r="E137" t="s">
        <v>654</v>
      </c>
      <c r="F137" t="s">
        <v>769</v>
      </c>
      <c r="G137" t="s">
        <v>20</v>
      </c>
      <c r="H137" t="s">
        <v>770</v>
      </c>
      <c r="I137" t="s">
        <v>849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06A2-B4BB-49F6-BC1D-DE4605C760F7}">
  <sheetPr codeName="Sheet22"/>
  <dimension ref="A1:M36"/>
  <sheetViews>
    <sheetView workbookViewId="0">
      <selection activeCell="F39" sqref="F39"/>
    </sheetView>
  </sheetViews>
  <sheetFormatPr defaultRowHeight="15" x14ac:dyDescent="0.25"/>
  <cols>
    <col min="1" max="1" width="49" bestFit="1" customWidth="1"/>
    <col min="2" max="2" width="16.140625" bestFit="1" customWidth="1"/>
    <col min="3" max="3" width="17.42578125" bestFit="1" customWidth="1"/>
    <col min="4" max="4" width="19.140625" bestFit="1" customWidth="1"/>
    <col min="5" max="5" width="47" bestFit="1" customWidth="1"/>
    <col min="6" max="6" width="81.140625" bestFit="1" customWidth="1"/>
    <col min="7" max="7" width="12.42578125" bestFit="1" customWidth="1"/>
    <col min="8" max="8" width="18" bestFit="1" customWidth="1"/>
    <col min="9" max="9" width="14.85546875" bestFit="1" customWidth="1"/>
    <col min="10" max="10" width="12.7109375" bestFit="1" customWidth="1"/>
    <col min="11" max="11" width="14" bestFit="1" customWidth="1"/>
    <col min="12" max="12" width="12.140625" bestFit="1" customWidth="1"/>
    <col min="13" max="13" width="46.85546875" bestFit="1" customWidth="1"/>
  </cols>
  <sheetData>
    <row r="1" spans="1:13" x14ac:dyDescent="0.25">
      <c r="A1" t="s">
        <v>759</v>
      </c>
      <c r="B1" t="s">
        <v>760</v>
      </c>
      <c r="C1" t="s">
        <v>51</v>
      </c>
      <c r="D1" t="s">
        <v>52</v>
      </c>
      <c r="E1" t="s">
        <v>53</v>
      </c>
      <c r="F1" t="s">
        <v>54</v>
      </c>
      <c r="G1" t="s">
        <v>55</v>
      </c>
      <c r="H1" t="s">
        <v>56</v>
      </c>
      <c r="I1" t="s">
        <v>761</v>
      </c>
      <c r="J1" t="s">
        <v>762</v>
      </c>
      <c r="K1" t="s">
        <v>763</v>
      </c>
      <c r="L1" t="s">
        <v>764</v>
      </c>
      <c r="M1" t="s">
        <v>765</v>
      </c>
    </row>
    <row r="2" spans="1:13" x14ac:dyDescent="0.25">
      <c r="A2" s="50" t="s">
        <v>766</v>
      </c>
      <c r="B2" t="s">
        <v>807</v>
      </c>
      <c r="C2" t="s">
        <v>57</v>
      </c>
      <c r="D2" t="s">
        <v>136</v>
      </c>
      <c r="F2" t="s">
        <v>808</v>
      </c>
      <c r="G2">
        <v>0.3</v>
      </c>
      <c r="H2">
        <v>7</v>
      </c>
      <c r="I2" t="s">
        <v>768</v>
      </c>
      <c r="J2" t="s">
        <v>809</v>
      </c>
      <c r="K2" t="s">
        <v>20</v>
      </c>
      <c r="L2" t="s">
        <v>770</v>
      </c>
      <c r="M2" s="50" t="s">
        <v>771</v>
      </c>
    </row>
    <row r="3" spans="1:13" x14ac:dyDescent="0.25">
      <c r="A3" s="50" t="s">
        <v>766</v>
      </c>
      <c r="B3" t="s">
        <v>807</v>
      </c>
      <c r="C3" t="s">
        <v>61</v>
      </c>
      <c r="D3" t="s">
        <v>136</v>
      </c>
      <c r="F3" t="s">
        <v>945</v>
      </c>
      <c r="G3">
        <v>0.7</v>
      </c>
      <c r="H3" t="s">
        <v>810</v>
      </c>
      <c r="I3" t="s">
        <v>768</v>
      </c>
      <c r="J3" t="s">
        <v>809</v>
      </c>
      <c r="K3" t="s">
        <v>20</v>
      </c>
      <c r="L3" t="s">
        <v>770</v>
      </c>
      <c r="M3" s="50" t="s">
        <v>771</v>
      </c>
    </row>
    <row r="4" spans="1:13" x14ac:dyDescent="0.25">
      <c r="A4" s="50" t="s">
        <v>766</v>
      </c>
      <c r="B4" t="s">
        <v>811</v>
      </c>
      <c r="C4" t="s">
        <v>57</v>
      </c>
      <c r="D4" t="s">
        <v>58</v>
      </c>
      <c r="E4" t="s">
        <v>355</v>
      </c>
      <c r="F4" t="s">
        <v>812</v>
      </c>
      <c r="G4">
        <v>0.5</v>
      </c>
      <c r="H4">
        <v>12</v>
      </c>
      <c r="I4" t="s">
        <v>774</v>
      </c>
      <c r="J4" t="s">
        <v>809</v>
      </c>
      <c r="K4" t="s">
        <v>20</v>
      </c>
      <c r="L4" t="s">
        <v>770</v>
      </c>
      <c r="M4" s="50" t="s">
        <v>775</v>
      </c>
    </row>
    <row r="5" spans="1:13" x14ac:dyDescent="0.25">
      <c r="A5" s="50" t="s">
        <v>766</v>
      </c>
      <c r="B5" t="s">
        <v>811</v>
      </c>
      <c r="C5" t="s">
        <v>61</v>
      </c>
      <c r="D5" t="s">
        <v>136</v>
      </c>
      <c r="E5" t="s">
        <v>250</v>
      </c>
      <c r="F5" t="s">
        <v>946</v>
      </c>
      <c r="G5">
        <v>0.5</v>
      </c>
      <c r="H5" t="s">
        <v>947</v>
      </c>
      <c r="I5" t="s">
        <v>774</v>
      </c>
      <c r="J5" t="s">
        <v>809</v>
      </c>
      <c r="K5" t="s">
        <v>20</v>
      </c>
      <c r="L5" t="s">
        <v>770</v>
      </c>
      <c r="M5" s="50" t="s">
        <v>775</v>
      </c>
    </row>
    <row r="6" spans="1:13" x14ac:dyDescent="0.25">
      <c r="A6" s="50" t="s">
        <v>766</v>
      </c>
      <c r="B6" t="s">
        <v>813</v>
      </c>
      <c r="C6" t="s">
        <v>57</v>
      </c>
      <c r="D6" t="s">
        <v>133</v>
      </c>
      <c r="E6" t="s">
        <v>353</v>
      </c>
      <c r="F6" t="s">
        <v>948</v>
      </c>
      <c r="G6">
        <v>0.6</v>
      </c>
      <c r="H6">
        <v>6</v>
      </c>
      <c r="I6" t="s">
        <v>777</v>
      </c>
      <c r="J6" t="s">
        <v>809</v>
      </c>
      <c r="K6" t="s">
        <v>20</v>
      </c>
      <c r="L6" t="s">
        <v>770</v>
      </c>
      <c r="M6" s="50" t="s">
        <v>778</v>
      </c>
    </row>
    <row r="7" spans="1:13" x14ac:dyDescent="0.25">
      <c r="A7" s="50" t="s">
        <v>766</v>
      </c>
      <c r="B7" t="s">
        <v>813</v>
      </c>
      <c r="C7" t="s">
        <v>61</v>
      </c>
      <c r="D7" t="s">
        <v>247</v>
      </c>
      <c r="E7" t="s">
        <v>617</v>
      </c>
      <c r="F7" t="s">
        <v>949</v>
      </c>
      <c r="G7">
        <v>0.4</v>
      </c>
      <c r="H7" t="s">
        <v>950</v>
      </c>
      <c r="I7" t="s">
        <v>777</v>
      </c>
      <c r="J7" t="s">
        <v>809</v>
      </c>
      <c r="K7" t="s">
        <v>20</v>
      </c>
      <c r="L7" t="s">
        <v>770</v>
      </c>
      <c r="M7" s="50" t="s">
        <v>778</v>
      </c>
    </row>
    <row r="8" spans="1:13" x14ac:dyDescent="0.25">
      <c r="A8" s="50" t="s">
        <v>766</v>
      </c>
      <c r="B8" t="s">
        <v>814</v>
      </c>
      <c r="C8" t="s">
        <v>57</v>
      </c>
      <c r="D8" t="s">
        <v>247</v>
      </c>
      <c r="E8" t="s">
        <v>355</v>
      </c>
      <c r="F8" t="s">
        <v>951</v>
      </c>
      <c r="G8">
        <v>0.5</v>
      </c>
      <c r="H8">
        <v>8</v>
      </c>
      <c r="I8" t="s">
        <v>781</v>
      </c>
      <c r="J8" t="s">
        <v>809</v>
      </c>
      <c r="K8" t="s">
        <v>20</v>
      </c>
      <c r="L8" t="s">
        <v>770</v>
      </c>
      <c r="M8" s="50" t="s">
        <v>782</v>
      </c>
    </row>
    <row r="9" spans="1:13" x14ac:dyDescent="0.25">
      <c r="A9" s="50" t="s">
        <v>766</v>
      </c>
      <c r="B9" t="s">
        <v>814</v>
      </c>
      <c r="C9" t="s">
        <v>61</v>
      </c>
      <c r="D9" t="s">
        <v>133</v>
      </c>
      <c r="E9" t="s">
        <v>353</v>
      </c>
      <c r="F9" t="s">
        <v>815</v>
      </c>
      <c r="G9">
        <v>0.5</v>
      </c>
      <c r="H9" t="s">
        <v>816</v>
      </c>
      <c r="I9" t="s">
        <v>781</v>
      </c>
      <c r="J9" t="s">
        <v>809</v>
      </c>
      <c r="K9" t="s">
        <v>20</v>
      </c>
      <c r="L9" t="s">
        <v>770</v>
      </c>
      <c r="M9" s="50" t="s">
        <v>782</v>
      </c>
    </row>
    <row r="10" spans="1:13" x14ac:dyDescent="0.25">
      <c r="A10" s="50" t="s">
        <v>766</v>
      </c>
      <c r="B10" t="s">
        <v>817</v>
      </c>
      <c r="C10" t="s">
        <v>57</v>
      </c>
      <c r="D10" t="s">
        <v>247</v>
      </c>
      <c r="E10" t="s">
        <v>683</v>
      </c>
      <c r="F10" t="s">
        <v>952</v>
      </c>
      <c r="G10">
        <v>0.6</v>
      </c>
      <c r="H10">
        <v>28</v>
      </c>
      <c r="I10" t="s">
        <v>785</v>
      </c>
      <c r="J10" t="s">
        <v>809</v>
      </c>
      <c r="K10" t="s">
        <v>20</v>
      </c>
      <c r="L10" t="s">
        <v>770</v>
      </c>
      <c r="M10" s="50" t="s">
        <v>786</v>
      </c>
    </row>
    <row r="11" spans="1:13" x14ac:dyDescent="0.25">
      <c r="A11" s="50" t="s">
        <v>766</v>
      </c>
      <c r="B11" t="s">
        <v>817</v>
      </c>
      <c r="C11" t="s">
        <v>61</v>
      </c>
      <c r="D11" t="s">
        <v>133</v>
      </c>
      <c r="E11" t="s">
        <v>299</v>
      </c>
      <c r="F11" t="s">
        <v>818</v>
      </c>
      <c r="G11">
        <v>0.4</v>
      </c>
      <c r="H11">
        <v>28</v>
      </c>
      <c r="I11" t="s">
        <v>785</v>
      </c>
      <c r="J11" t="s">
        <v>809</v>
      </c>
      <c r="K11" t="s">
        <v>20</v>
      </c>
      <c r="L11" t="s">
        <v>770</v>
      </c>
      <c r="M11" s="50" t="s">
        <v>786</v>
      </c>
    </row>
    <row r="12" spans="1:13" x14ac:dyDescent="0.25">
      <c r="A12" s="50" t="s">
        <v>836</v>
      </c>
      <c r="B12" t="s">
        <v>874</v>
      </c>
      <c r="C12" t="s">
        <v>57</v>
      </c>
      <c r="D12" t="s">
        <v>58</v>
      </c>
      <c r="E12" t="s">
        <v>59</v>
      </c>
      <c r="F12" t="s">
        <v>875</v>
      </c>
      <c r="G12">
        <v>0.5</v>
      </c>
      <c r="H12">
        <v>12</v>
      </c>
      <c r="I12" t="s">
        <v>5</v>
      </c>
      <c r="J12" t="s">
        <v>809</v>
      </c>
      <c r="K12" t="s">
        <v>20</v>
      </c>
      <c r="L12" t="s">
        <v>770</v>
      </c>
      <c r="M12" s="50" t="s">
        <v>8</v>
      </c>
    </row>
    <row r="13" spans="1:13" x14ac:dyDescent="0.25">
      <c r="A13" s="50" t="s">
        <v>836</v>
      </c>
      <c r="B13" t="s">
        <v>874</v>
      </c>
      <c r="C13" t="s">
        <v>61</v>
      </c>
      <c r="D13" t="s">
        <v>58</v>
      </c>
      <c r="E13" t="s">
        <v>62</v>
      </c>
      <c r="F13" t="s">
        <v>63</v>
      </c>
      <c r="G13">
        <v>0.5</v>
      </c>
      <c r="H13">
        <v>32</v>
      </c>
      <c r="I13" t="s">
        <v>5</v>
      </c>
      <c r="J13" t="s">
        <v>809</v>
      </c>
      <c r="K13" t="s">
        <v>20</v>
      </c>
      <c r="L13" t="s">
        <v>770</v>
      </c>
      <c r="M13" s="50" t="s">
        <v>8</v>
      </c>
    </row>
    <row r="14" spans="1:13" x14ac:dyDescent="0.25">
      <c r="A14" s="50" t="s">
        <v>836</v>
      </c>
      <c r="B14" t="s">
        <v>876</v>
      </c>
      <c r="C14" t="s">
        <v>57</v>
      </c>
      <c r="D14" t="s">
        <v>247</v>
      </c>
      <c r="E14" t="s">
        <v>953</v>
      </c>
      <c r="F14" t="s">
        <v>954</v>
      </c>
      <c r="G14">
        <v>0.5</v>
      </c>
      <c r="H14">
        <v>16</v>
      </c>
      <c r="I14" t="s">
        <v>118</v>
      </c>
      <c r="J14" t="s">
        <v>809</v>
      </c>
      <c r="K14" t="s">
        <v>20</v>
      </c>
      <c r="L14" t="s">
        <v>770</v>
      </c>
      <c r="M14" s="50" t="s">
        <v>120</v>
      </c>
    </row>
    <row r="15" spans="1:13" x14ac:dyDescent="0.25">
      <c r="A15" s="50" t="s">
        <v>836</v>
      </c>
      <c r="B15" t="s">
        <v>876</v>
      </c>
      <c r="C15" t="s">
        <v>61</v>
      </c>
      <c r="D15" t="s">
        <v>136</v>
      </c>
      <c r="E15" t="s">
        <v>955</v>
      </c>
      <c r="F15" t="s">
        <v>956</v>
      </c>
      <c r="G15">
        <v>0.5</v>
      </c>
      <c r="H15">
        <v>17</v>
      </c>
      <c r="I15" t="s">
        <v>118</v>
      </c>
      <c r="J15" t="s">
        <v>809</v>
      </c>
      <c r="K15" t="s">
        <v>20</v>
      </c>
      <c r="L15" t="s">
        <v>770</v>
      </c>
      <c r="M15" s="50" t="s">
        <v>120</v>
      </c>
    </row>
    <row r="16" spans="1:13" x14ac:dyDescent="0.25">
      <c r="A16" s="50" t="s">
        <v>836</v>
      </c>
      <c r="B16" t="s">
        <v>877</v>
      </c>
      <c r="C16" t="s">
        <v>57</v>
      </c>
      <c r="D16" t="s">
        <v>136</v>
      </c>
      <c r="E16" t="s">
        <v>192</v>
      </c>
      <c r="F16" t="s">
        <v>878</v>
      </c>
      <c r="G16">
        <v>0.5</v>
      </c>
      <c r="H16">
        <v>25</v>
      </c>
      <c r="I16" t="s">
        <v>176</v>
      </c>
      <c r="J16" t="s">
        <v>809</v>
      </c>
      <c r="K16" t="s">
        <v>20</v>
      </c>
      <c r="L16" t="s">
        <v>770</v>
      </c>
      <c r="M16" s="50" t="s">
        <v>178</v>
      </c>
    </row>
    <row r="17" spans="1:13" x14ac:dyDescent="0.25">
      <c r="A17" s="50" t="s">
        <v>836</v>
      </c>
      <c r="B17" t="s">
        <v>877</v>
      </c>
      <c r="C17" t="s">
        <v>61</v>
      </c>
      <c r="D17" t="s">
        <v>133</v>
      </c>
      <c r="E17" t="s">
        <v>194</v>
      </c>
      <c r="F17" t="s">
        <v>957</v>
      </c>
      <c r="G17">
        <v>0.5</v>
      </c>
      <c r="H17">
        <v>32</v>
      </c>
      <c r="I17" t="s">
        <v>176</v>
      </c>
      <c r="J17" t="s">
        <v>809</v>
      </c>
      <c r="K17" t="s">
        <v>20</v>
      </c>
      <c r="L17" t="s">
        <v>770</v>
      </c>
      <c r="M17" s="50" t="s">
        <v>178</v>
      </c>
    </row>
    <row r="18" spans="1:13" x14ac:dyDescent="0.25">
      <c r="A18" s="50" t="s">
        <v>836</v>
      </c>
      <c r="B18" t="s">
        <v>879</v>
      </c>
      <c r="C18" t="s">
        <v>57</v>
      </c>
      <c r="D18" t="s">
        <v>247</v>
      </c>
      <c r="E18" t="s">
        <v>248</v>
      </c>
      <c r="F18" t="s">
        <v>958</v>
      </c>
      <c r="G18">
        <v>0.5</v>
      </c>
      <c r="H18">
        <v>32</v>
      </c>
      <c r="I18" t="s">
        <v>234</v>
      </c>
      <c r="J18" t="s">
        <v>809</v>
      </c>
      <c r="K18" t="s">
        <v>20</v>
      </c>
      <c r="L18" t="s">
        <v>770</v>
      </c>
      <c r="M18" s="50" t="s">
        <v>236</v>
      </c>
    </row>
    <row r="19" spans="1:13" x14ac:dyDescent="0.25">
      <c r="A19" s="50" t="s">
        <v>836</v>
      </c>
      <c r="B19" t="s">
        <v>879</v>
      </c>
      <c r="C19" t="s">
        <v>61</v>
      </c>
      <c r="D19" t="s">
        <v>136</v>
      </c>
      <c r="E19" t="s">
        <v>250</v>
      </c>
      <c r="F19" t="s">
        <v>959</v>
      </c>
      <c r="G19">
        <v>0.5</v>
      </c>
      <c r="H19">
        <v>33</v>
      </c>
      <c r="I19" t="s">
        <v>234</v>
      </c>
      <c r="J19" t="s">
        <v>809</v>
      </c>
      <c r="K19" t="s">
        <v>20</v>
      </c>
      <c r="L19" t="s">
        <v>770</v>
      </c>
      <c r="M19" s="50" t="s">
        <v>236</v>
      </c>
    </row>
    <row r="20" spans="1:13" x14ac:dyDescent="0.25">
      <c r="A20" s="50" t="s">
        <v>836</v>
      </c>
      <c r="B20" t="s">
        <v>880</v>
      </c>
      <c r="C20" t="s">
        <v>57</v>
      </c>
      <c r="D20" t="s">
        <v>133</v>
      </c>
      <c r="E20" t="s">
        <v>299</v>
      </c>
      <c r="F20" t="s">
        <v>960</v>
      </c>
      <c r="G20">
        <v>0.5</v>
      </c>
      <c r="H20">
        <v>8</v>
      </c>
      <c r="I20" t="s">
        <v>284</v>
      </c>
      <c r="J20" t="s">
        <v>809</v>
      </c>
      <c r="K20" t="s">
        <v>20</v>
      </c>
      <c r="L20" t="s">
        <v>770</v>
      </c>
      <c r="M20" s="50" t="s">
        <v>286</v>
      </c>
    </row>
    <row r="21" spans="1:13" x14ac:dyDescent="0.25">
      <c r="A21" s="50" t="s">
        <v>836</v>
      </c>
      <c r="B21" t="s">
        <v>880</v>
      </c>
      <c r="C21" t="s">
        <v>61</v>
      </c>
      <c r="D21" t="s">
        <v>58</v>
      </c>
      <c r="E21" t="s">
        <v>299</v>
      </c>
      <c r="F21" t="s">
        <v>301</v>
      </c>
      <c r="G21">
        <v>0.5</v>
      </c>
      <c r="H21">
        <v>32</v>
      </c>
      <c r="I21" t="s">
        <v>284</v>
      </c>
      <c r="J21" t="s">
        <v>809</v>
      </c>
      <c r="K21" t="s">
        <v>20</v>
      </c>
      <c r="L21" t="s">
        <v>770</v>
      </c>
      <c r="M21" s="50" t="s">
        <v>286</v>
      </c>
    </row>
    <row r="22" spans="1:13" x14ac:dyDescent="0.25">
      <c r="A22" s="50" t="s">
        <v>836</v>
      </c>
      <c r="B22" t="s">
        <v>881</v>
      </c>
      <c r="C22" t="s">
        <v>57</v>
      </c>
      <c r="D22" t="s">
        <v>133</v>
      </c>
      <c r="E22" t="s">
        <v>353</v>
      </c>
      <c r="F22" t="s">
        <v>961</v>
      </c>
      <c r="G22">
        <v>0.5</v>
      </c>
      <c r="H22">
        <v>12</v>
      </c>
      <c r="I22" t="s">
        <v>339</v>
      </c>
      <c r="J22" t="s">
        <v>809</v>
      </c>
      <c r="K22" t="s">
        <v>20</v>
      </c>
      <c r="L22" t="s">
        <v>770</v>
      </c>
      <c r="M22" s="50" t="s">
        <v>341</v>
      </c>
    </row>
    <row r="23" spans="1:13" x14ac:dyDescent="0.25">
      <c r="A23" s="50" t="s">
        <v>836</v>
      </c>
      <c r="B23" t="s">
        <v>881</v>
      </c>
      <c r="C23" t="s">
        <v>61</v>
      </c>
      <c r="D23" t="s">
        <v>247</v>
      </c>
      <c r="E23" t="s">
        <v>355</v>
      </c>
      <c r="F23" t="s">
        <v>962</v>
      </c>
      <c r="G23">
        <v>0.5</v>
      </c>
      <c r="H23">
        <v>17</v>
      </c>
      <c r="I23" t="s">
        <v>339</v>
      </c>
      <c r="J23" t="s">
        <v>809</v>
      </c>
      <c r="K23" t="s">
        <v>20</v>
      </c>
      <c r="L23" t="s">
        <v>770</v>
      </c>
      <c r="M23" s="50" t="s">
        <v>341</v>
      </c>
    </row>
    <row r="24" spans="1:13" x14ac:dyDescent="0.25">
      <c r="A24" s="50" t="s">
        <v>836</v>
      </c>
      <c r="B24" t="s">
        <v>882</v>
      </c>
      <c r="C24" t="s">
        <v>57</v>
      </c>
      <c r="D24" t="s">
        <v>247</v>
      </c>
      <c r="E24" t="s">
        <v>963</v>
      </c>
      <c r="F24" t="s">
        <v>964</v>
      </c>
      <c r="G24">
        <v>0.5</v>
      </c>
      <c r="H24">
        <v>23</v>
      </c>
      <c r="I24" t="s">
        <v>395</v>
      </c>
      <c r="J24" t="s">
        <v>809</v>
      </c>
      <c r="K24" t="s">
        <v>20</v>
      </c>
      <c r="L24" t="s">
        <v>770</v>
      </c>
      <c r="M24" s="50" t="s">
        <v>397</v>
      </c>
    </row>
    <row r="25" spans="1:13" x14ac:dyDescent="0.25">
      <c r="A25" s="50" t="s">
        <v>836</v>
      </c>
      <c r="B25" t="s">
        <v>882</v>
      </c>
      <c r="C25" t="s">
        <v>61</v>
      </c>
      <c r="D25" t="s">
        <v>133</v>
      </c>
      <c r="E25" t="s">
        <v>299</v>
      </c>
      <c r="F25" t="s">
        <v>965</v>
      </c>
      <c r="G25">
        <v>0.5</v>
      </c>
      <c r="H25">
        <v>27</v>
      </c>
      <c r="I25" t="s">
        <v>395</v>
      </c>
      <c r="J25" t="s">
        <v>809</v>
      </c>
      <c r="K25" t="s">
        <v>20</v>
      </c>
      <c r="L25" t="s">
        <v>770</v>
      </c>
      <c r="M25" s="50" t="s">
        <v>397</v>
      </c>
    </row>
    <row r="26" spans="1:13" x14ac:dyDescent="0.25">
      <c r="A26" s="50" t="s">
        <v>836</v>
      </c>
      <c r="B26" t="s">
        <v>883</v>
      </c>
      <c r="C26" t="s">
        <v>57</v>
      </c>
      <c r="D26" t="s">
        <v>133</v>
      </c>
      <c r="E26" t="s">
        <v>299</v>
      </c>
      <c r="F26" t="s">
        <v>884</v>
      </c>
      <c r="G26">
        <v>0.5</v>
      </c>
      <c r="H26">
        <v>25</v>
      </c>
      <c r="I26" t="s">
        <v>448</v>
      </c>
      <c r="J26" t="s">
        <v>809</v>
      </c>
      <c r="K26" t="s">
        <v>20</v>
      </c>
      <c r="L26" t="s">
        <v>770</v>
      </c>
      <c r="M26" s="50" t="s">
        <v>450</v>
      </c>
    </row>
    <row r="27" spans="1:13" x14ac:dyDescent="0.25">
      <c r="A27" s="50" t="s">
        <v>836</v>
      </c>
      <c r="B27" t="s">
        <v>883</v>
      </c>
      <c r="C27" t="s">
        <v>61</v>
      </c>
      <c r="D27" t="s">
        <v>247</v>
      </c>
      <c r="E27" t="s">
        <v>248</v>
      </c>
      <c r="F27" t="s">
        <v>885</v>
      </c>
      <c r="G27">
        <v>0.5</v>
      </c>
      <c r="H27">
        <v>32</v>
      </c>
      <c r="I27" t="s">
        <v>448</v>
      </c>
      <c r="J27" t="s">
        <v>809</v>
      </c>
      <c r="K27" t="s">
        <v>20</v>
      </c>
      <c r="L27" t="s">
        <v>770</v>
      </c>
      <c r="M27" s="50" t="s">
        <v>450</v>
      </c>
    </row>
    <row r="28" spans="1:13" x14ac:dyDescent="0.25">
      <c r="A28" s="50" t="s">
        <v>836</v>
      </c>
      <c r="B28" t="s">
        <v>886</v>
      </c>
      <c r="C28" t="s">
        <v>57</v>
      </c>
      <c r="D28" t="s">
        <v>247</v>
      </c>
      <c r="E28" t="s">
        <v>355</v>
      </c>
      <c r="F28" t="s">
        <v>966</v>
      </c>
      <c r="G28">
        <v>0.5</v>
      </c>
      <c r="H28">
        <v>8</v>
      </c>
      <c r="I28" t="s">
        <v>502</v>
      </c>
      <c r="J28" t="s">
        <v>809</v>
      </c>
      <c r="K28" t="s">
        <v>20</v>
      </c>
      <c r="L28" t="s">
        <v>770</v>
      </c>
      <c r="M28" s="50" t="s">
        <v>504</v>
      </c>
    </row>
    <row r="29" spans="1:13" x14ac:dyDescent="0.25">
      <c r="A29" s="50" t="s">
        <v>836</v>
      </c>
      <c r="B29" t="s">
        <v>886</v>
      </c>
      <c r="C29" t="s">
        <v>61</v>
      </c>
      <c r="D29" t="s">
        <v>247</v>
      </c>
      <c r="E29" t="s">
        <v>248</v>
      </c>
      <c r="F29" t="s">
        <v>967</v>
      </c>
      <c r="G29">
        <v>0.5</v>
      </c>
      <c r="H29">
        <v>17</v>
      </c>
      <c r="I29" t="s">
        <v>502</v>
      </c>
      <c r="J29" t="s">
        <v>809</v>
      </c>
      <c r="K29" t="s">
        <v>20</v>
      </c>
      <c r="L29" t="s">
        <v>770</v>
      </c>
      <c r="M29" s="50" t="s">
        <v>504</v>
      </c>
    </row>
    <row r="30" spans="1:13" x14ac:dyDescent="0.25">
      <c r="A30" s="50" t="s">
        <v>836</v>
      </c>
      <c r="B30" t="s">
        <v>887</v>
      </c>
      <c r="C30" t="s">
        <v>57</v>
      </c>
      <c r="D30" t="s">
        <v>136</v>
      </c>
      <c r="E30" t="s">
        <v>968</v>
      </c>
      <c r="F30" t="s">
        <v>969</v>
      </c>
      <c r="G30">
        <v>0.5</v>
      </c>
      <c r="H30">
        <v>17</v>
      </c>
      <c r="I30" t="s">
        <v>553</v>
      </c>
      <c r="J30" t="s">
        <v>809</v>
      </c>
      <c r="K30" t="s">
        <v>20</v>
      </c>
      <c r="L30" t="s">
        <v>770</v>
      </c>
      <c r="M30" s="50" t="s">
        <v>555</v>
      </c>
    </row>
    <row r="31" spans="1:13" x14ac:dyDescent="0.25">
      <c r="A31" s="50" t="s">
        <v>836</v>
      </c>
      <c r="B31" t="s">
        <v>887</v>
      </c>
      <c r="C31" t="s">
        <v>61</v>
      </c>
      <c r="D31" t="s">
        <v>133</v>
      </c>
      <c r="E31" t="s">
        <v>970</v>
      </c>
      <c r="F31" t="s">
        <v>971</v>
      </c>
      <c r="G31">
        <v>0.5</v>
      </c>
      <c r="H31">
        <v>12</v>
      </c>
      <c r="I31" t="s">
        <v>553</v>
      </c>
      <c r="J31" t="s">
        <v>809</v>
      </c>
      <c r="K31" t="s">
        <v>20</v>
      </c>
      <c r="L31" t="s">
        <v>770</v>
      </c>
      <c r="M31" s="50" t="s">
        <v>555</v>
      </c>
    </row>
    <row r="32" spans="1:13" x14ac:dyDescent="0.25">
      <c r="A32" s="50" t="s">
        <v>836</v>
      </c>
      <c r="B32" t="s">
        <v>888</v>
      </c>
      <c r="C32" t="s">
        <v>57</v>
      </c>
      <c r="D32" t="s">
        <v>133</v>
      </c>
      <c r="E32" t="s">
        <v>353</v>
      </c>
      <c r="F32" t="s">
        <v>889</v>
      </c>
      <c r="G32">
        <v>0.5</v>
      </c>
      <c r="H32">
        <v>22</v>
      </c>
      <c r="I32" t="s">
        <v>602</v>
      </c>
      <c r="J32" t="s">
        <v>809</v>
      </c>
      <c r="K32" t="s">
        <v>20</v>
      </c>
      <c r="L32" t="s">
        <v>770</v>
      </c>
      <c r="M32" s="50" t="s">
        <v>604</v>
      </c>
    </row>
    <row r="33" spans="1:13" x14ac:dyDescent="0.25">
      <c r="A33" s="50" t="s">
        <v>836</v>
      </c>
      <c r="B33" t="s">
        <v>888</v>
      </c>
      <c r="C33" t="s">
        <v>61</v>
      </c>
      <c r="D33" t="s">
        <v>247</v>
      </c>
      <c r="E33" t="s">
        <v>617</v>
      </c>
      <c r="F33" t="s">
        <v>972</v>
      </c>
      <c r="G33">
        <v>0.5</v>
      </c>
      <c r="H33">
        <v>32</v>
      </c>
      <c r="I33" t="s">
        <v>602</v>
      </c>
      <c r="J33" t="s">
        <v>809</v>
      </c>
      <c r="K33" t="s">
        <v>20</v>
      </c>
      <c r="L33" t="s">
        <v>770</v>
      </c>
      <c r="M33" s="50" t="s">
        <v>604</v>
      </c>
    </row>
    <row r="34" spans="1:13" x14ac:dyDescent="0.25">
      <c r="A34" s="50" t="s">
        <v>836</v>
      </c>
      <c r="B34" t="s">
        <v>973</v>
      </c>
      <c r="C34" t="s">
        <v>57</v>
      </c>
      <c r="D34" t="s">
        <v>247</v>
      </c>
      <c r="E34" t="s">
        <v>974</v>
      </c>
      <c r="F34" t="s">
        <v>975</v>
      </c>
      <c r="G34">
        <v>0.4</v>
      </c>
      <c r="H34">
        <v>30</v>
      </c>
      <c r="I34" t="s">
        <v>654</v>
      </c>
      <c r="J34" t="s">
        <v>809</v>
      </c>
      <c r="K34" t="s">
        <v>20</v>
      </c>
      <c r="L34" t="s">
        <v>770</v>
      </c>
      <c r="M34" s="50" t="s">
        <v>849</v>
      </c>
    </row>
    <row r="35" spans="1:13" x14ac:dyDescent="0.25">
      <c r="A35" s="50" t="s">
        <v>836</v>
      </c>
      <c r="B35" t="s">
        <v>973</v>
      </c>
      <c r="C35" t="s">
        <v>61</v>
      </c>
      <c r="D35" t="s">
        <v>58</v>
      </c>
      <c r="E35" t="s">
        <v>976</v>
      </c>
      <c r="F35" t="s">
        <v>977</v>
      </c>
      <c r="G35">
        <v>0.2</v>
      </c>
      <c r="H35">
        <v>31</v>
      </c>
      <c r="I35" t="s">
        <v>654</v>
      </c>
      <c r="J35" t="s">
        <v>809</v>
      </c>
      <c r="K35" t="s">
        <v>20</v>
      </c>
      <c r="L35" t="s">
        <v>770</v>
      </c>
      <c r="M35" s="50" t="s">
        <v>849</v>
      </c>
    </row>
    <row r="36" spans="1:13" x14ac:dyDescent="0.25">
      <c r="A36" s="50" t="s">
        <v>836</v>
      </c>
      <c r="B36" t="s">
        <v>973</v>
      </c>
      <c r="C36" t="s">
        <v>64</v>
      </c>
      <c r="D36" t="s">
        <v>681</v>
      </c>
      <c r="E36" t="s">
        <v>978</v>
      </c>
      <c r="F36" t="s">
        <v>979</v>
      </c>
      <c r="G36">
        <v>0.4</v>
      </c>
      <c r="H36">
        <v>33</v>
      </c>
      <c r="I36" t="s">
        <v>654</v>
      </c>
      <c r="J36" t="s">
        <v>809</v>
      </c>
      <c r="K36" t="s">
        <v>20</v>
      </c>
      <c r="L36" t="s">
        <v>770</v>
      </c>
      <c r="M36" s="50" t="s">
        <v>849</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630C-9426-4FC9-985B-8F53F2E5265A}">
  <sheetPr codeName="Sheet23"/>
  <dimension ref="A1:I53"/>
  <sheetViews>
    <sheetView workbookViewId="0">
      <selection activeCell="G49" sqref="G49"/>
    </sheetView>
  </sheetViews>
  <sheetFormatPr defaultRowHeight="15" x14ac:dyDescent="0.25"/>
  <cols>
    <col min="1" max="1" width="49" bestFit="1" customWidth="1"/>
    <col min="2" max="3" width="13.42578125" bestFit="1" customWidth="1"/>
    <col min="4" max="4" width="81.140625" bestFit="1" customWidth="1"/>
    <col min="5" max="5" width="14.85546875" bestFit="1" customWidth="1"/>
    <col min="6" max="6" width="12.7109375" bestFit="1" customWidth="1"/>
    <col min="7" max="7" width="14" bestFit="1" customWidth="1"/>
    <col min="8" max="8" width="12.140625" bestFit="1" customWidth="1"/>
    <col min="9" max="9" width="46.85546875" bestFit="1" customWidth="1"/>
  </cols>
  <sheetData>
    <row r="1" spans="1:9" x14ac:dyDescent="0.25">
      <c r="A1" t="s">
        <v>759</v>
      </c>
      <c r="B1" t="s">
        <v>760</v>
      </c>
      <c r="C1" t="s">
        <v>39</v>
      </c>
      <c r="D1" t="s">
        <v>40</v>
      </c>
      <c r="E1" t="s">
        <v>761</v>
      </c>
      <c r="F1" t="s">
        <v>762</v>
      </c>
      <c r="G1" t="s">
        <v>763</v>
      </c>
      <c r="H1" t="s">
        <v>764</v>
      </c>
      <c r="I1" t="s">
        <v>765</v>
      </c>
    </row>
    <row r="2" spans="1:9" x14ac:dyDescent="0.25">
      <c r="A2" s="50" t="s">
        <v>766</v>
      </c>
      <c r="B2" t="s">
        <v>788</v>
      </c>
      <c r="C2" t="s">
        <v>42</v>
      </c>
      <c r="D2" t="s">
        <v>789</v>
      </c>
      <c r="E2" t="s">
        <v>768</v>
      </c>
      <c r="F2" t="s">
        <v>790</v>
      </c>
      <c r="G2" t="s">
        <v>20</v>
      </c>
      <c r="H2" t="s">
        <v>770</v>
      </c>
      <c r="I2" s="50" t="s">
        <v>771</v>
      </c>
    </row>
    <row r="3" spans="1:9" x14ac:dyDescent="0.25">
      <c r="A3" s="50" t="s">
        <v>766</v>
      </c>
      <c r="B3" t="s">
        <v>788</v>
      </c>
      <c r="C3" t="s">
        <v>44</v>
      </c>
      <c r="D3" t="s">
        <v>791</v>
      </c>
      <c r="E3" t="s">
        <v>768</v>
      </c>
      <c r="F3" t="s">
        <v>790</v>
      </c>
      <c r="G3" t="s">
        <v>20</v>
      </c>
      <c r="H3" t="s">
        <v>770</v>
      </c>
      <c r="I3" s="50" t="s">
        <v>771</v>
      </c>
    </row>
    <row r="4" spans="1:9" x14ac:dyDescent="0.25">
      <c r="A4" s="50" t="s">
        <v>766</v>
      </c>
      <c r="B4" t="s">
        <v>792</v>
      </c>
      <c r="C4" t="s">
        <v>42</v>
      </c>
      <c r="D4" t="s">
        <v>793</v>
      </c>
      <c r="E4" t="s">
        <v>774</v>
      </c>
      <c r="F4" t="s">
        <v>790</v>
      </c>
      <c r="G4" t="s">
        <v>20</v>
      </c>
      <c r="H4" t="s">
        <v>770</v>
      </c>
      <c r="I4" s="50" t="s">
        <v>775</v>
      </c>
    </row>
    <row r="5" spans="1:9" x14ac:dyDescent="0.25">
      <c r="A5" s="50" t="s">
        <v>766</v>
      </c>
      <c r="B5" t="s">
        <v>792</v>
      </c>
      <c r="C5" t="s">
        <v>44</v>
      </c>
      <c r="D5" t="s">
        <v>794</v>
      </c>
      <c r="E5" t="s">
        <v>774</v>
      </c>
      <c r="F5" t="s">
        <v>790</v>
      </c>
      <c r="G5" t="s">
        <v>20</v>
      </c>
      <c r="H5" t="s">
        <v>770</v>
      </c>
      <c r="I5" s="50" t="s">
        <v>775</v>
      </c>
    </row>
    <row r="6" spans="1:9" x14ac:dyDescent="0.25">
      <c r="A6" s="50" t="s">
        <v>766</v>
      </c>
      <c r="B6" t="s">
        <v>792</v>
      </c>
      <c r="C6" t="s">
        <v>46</v>
      </c>
      <c r="D6" t="s">
        <v>795</v>
      </c>
      <c r="E6" t="s">
        <v>774</v>
      </c>
      <c r="F6" t="s">
        <v>790</v>
      </c>
      <c r="G6" t="s">
        <v>20</v>
      </c>
      <c r="H6" t="s">
        <v>770</v>
      </c>
      <c r="I6" s="50" t="s">
        <v>775</v>
      </c>
    </row>
    <row r="7" spans="1:9" x14ac:dyDescent="0.25">
      <c r="A7" s="50" t="s">
        <v>766</v>
      </c>
      <c r="B7" t="s">
        <v>796</v>
      </c>
      <c r="C7" t="s">
        <v>42</v>
      </c>
      <c r="D7" t="s">
        <v>797</v>
      </c>
      <c r="E7" t="s">
        <v>777</v>
      </c>
      <c r="F7" t="s">
        <v>790</v>
      </c>
      <c r="G7" t="s">
        <v>20</v>
      </c>
      <c r="H7" t="s">
        <v>770</v>
      </c>
      <c r="I7" s="50" t="s">
        <v>778</v>
      </c>
    </row>
    <row r="8" spans="1:9" x14ac:dyDescent="0.25">
      <c r="A8" s="50" t="s">
        <v>766</v>
      </c>
      <c r="B8" t="s">
        <v>796</v>
      </c>
      <c r="C8" t="s">
        <v>44</v>
      </c>
      <c r="D8" t="s">
        <v>798</v>
      </c>
      <c r="E8" t="s">
        <v>777</v>
      </c>
      <c r="F8" t="s">
        <v>790</v>
      </c>
      <c r="G8" t="s">
        <v>20</v>
      </c>
      <c r="H8" t="s">
        <v>770</v>
      </c>
      <c r="I8" s="50" t="s">
        <v>778</v>
      </c>
    </row>
    <row r="9" spans="1:9" x14ac:dyDescent="0.25">
      <c r="A9" s="50" t="s">
        <v>766</v>
      </c>
      <c r="B9" t="s">
        <v>796</v>
      </c>
      <c r="C9" t="s">
        <v>46</v>
      </c>
      <c r="D9" t="s">
        <v>799</v>
      </c>
      <c r="E9" t="s">
        <v>777</v>
      </c>
      <c r="F9" t="s">
        <v>790</v>
      </c>
      <c r="G9" t="s">
        <v>20</v>
      </c>
      <c r="H9" t="s">
        <v>770</v>
      </c>
      <c r="I9" s="50" t="s">
        <v>778</v>
      </c>
    </row>
    <row r="10" spans="1:9" x14ac:dyDescent="0.25">
      <c r="A10" s="50" t="s">
        <v>766</v>
      </c>
      <c r="B10" t="s">
        <v>800</v>
      </c>
      <c r="C10" t="s">
        <v>42</v>
      </c>
      <c r="D10" t="s">
        <v>801</v>
      </c>
      <c r="E10" t="s">
        <v>781</v>
      </c>
      <c r="F10" t="s">
        <v>790</v>
      </c>
      <c r="G10" t="s">
        <v>20</v>
      </c>
      <c r="H10" t="s">
        <v>770</v>
      </c>
      <c r="I10" s="50" t="s">
        <v>782</v>
      </c>
    </row>
    <row r="11" spans="1:9" x14ac:dyDescent="0.25">
      <c r="A11" s="50" t="s">
        <v>766</v>
      </c>
      <c r="B11" t="s">
        <v>800</v>
      </c>
      <c r="C11" t="s">
        <v>44</v>
      </c>
      <c r="D11" t="s">
        <v>802</v>
      </c>
      <c r="E11" t="s">
        <v>781</v>
      </c>
      <c r="F11" t="s">
        <v>790</v>
      </c>
      <c r="G11" t="s">
        <v>20</v>
      </c>
      <c r="H11" t="s">
        <v>770</v>
      </c>
      <c r="I11" s="50" t="s">
        <v>782</v>
      </c>
    </row>
    <row r="12" spans="1:9" x14ac:dyDescent="0.25">
      <c r="A12" s="50" t="s">
        <v>766</v>
      </c>
      <c r="B12" t="s">
        <v>803</v>
      </c>
      <c r="C12" t="s">
        <v>42</v>
      </c>
      <c r="D12" t="s">
        <v>804</v>
      </c>
      <c r="E12" t="s">
        <v>785</v>
      </c>
      <c r="F12" t="s">
        <v>790</v>
      </c>
      <c r="G12" t="s">
        <v>20</v>
      </c>
      <c r="H12" t="s">
        <v>770</v>
      </c>
      <c r="I12" s="50" t="s">
        <v>786</v>
      </c>
    </row>
    <row r="13" spans="1:9" x14ac:dyDescent="0.25">
      <c r="A13" s="50" t="s">
        <v>766</v>
      </c>
      <c r="B13" t="s">
        <v>803</v>
      </c>
      <c r="C13" t="s">
        <v>44</v>
      </c>
      <c r="D13" t="s">
        <v>805</v>
      </c>
      <c r="E13" t="s">
        <v>785</v>
      </c>
      <c r="F13" t="s">
        <v>790</v>
      </c>
      <c r="G13" t="s">
        <v>20</v>
      </c>
      <c r="H13" t="s">
        <v>770</v>
      </c>
      <c r="I13" s="50" t="s">
        <v>786</v>
      </c>
    </row>
    <row r="14" spans="1:9" x14ac:dyDescent="0.25">
      <c r="A14" s="50" t="s">
        <v>766</v>
      </c>
      <c r="B14" t="s">
        <v>803</v>
      </c>
      <c r="C14" t="s">
        <v>46</v>
      </c>
      <c r="D14" t="s">
        <v>806</v>
      </c>
      <c r="E14" t="s">
        <v>785</v>
      </c>
      <c r="F14" t="s">
        <v>790</v>
      </c>
      <c r="G14" t="s">
        <v>20</v>
      </c>
      <c r="H14" t="s">
        <v>770</v>
      </c>
      <c r="I14" s="50" t="s">
        <v>786</v>
      </c>
    </row>
    <row r="15" spans="1:9" x14ac:dyDescent="0.25">
      <c r="A15" s="50" t="s">
        <v>836</v>
      </c>
      <c r="B15" t="s">
        <v>890</v>
      </c>
      <c r="C15" t="s">
        <v>42</v>
      </c>
      <c r="D15" t="s">
        <v>891</v>
      </c>
      <c r="E15" t="s">
        <v>5</v>
      </c>
      <c r="F15" t="s">
        <v>790</v>
      </c>
      <c r="G15" t="s">
        <v>20</v>
      </c>
      <c r="H15" t="s">
        <v>770</v>
      </c>
      <c r="I15" s="50" t="s">
        <v>8</v>
      </c>
    </row>
    <row r="16" spans="1:9" x14ac:dyDescent="0.25">
      <c r="A16" s="50" t="s">
        <v>836</v>
      </c>
      <c r="B16" t="s">
        <v>890</v>
      </c>
      <c r="C16" t="s">
        <v>44</v>
      </c>
      <c r="D16" t="s">
        <v>892</v>
      </c>
      <c r="E16" t="s">
        <v>5</v>
      </c>
      <c r="F16" t="s">
        <v>790</v>
      </c>
      <c r="G16" t="s">
        <v>20</v>
      </c>
      <c r="H16" t="s">
        <v>770</v>
      </c>
      <c r="I16" s="50" t="s">
        <v>8</v>
      </c>
    </row>
    <row r="17" spans="1:9" x14ac:dyDescent="0.25">
      <c r="A17" s="50" t="s">
        <v>836</v>
      </c>
      <c r="B17" t="s">
        <v>890</v>
      </c>
      <c r="C17" t="s">
        <v>46</v>
      </c>
      <c r="D17" t="s">
        <v>893</v>
      </c>
      <c r="E17" t="s">
        <v>5</v>
      </c>
      <c r="F17" t="s">
        <v>790</v>
      </c>
      <c r="G17" t="s">
        <v>20</v>
      </c>
      <c r="H17" t="s">
        <v>770</v>
      </c>
      <c r="I17" s="50" t="s">
        <v>8</v>
      </c>
    </row>
    <row r="18" spans="1:9" x14ac:dyDescent="0.25">
      <c r="A18" s="50" t="s">
        <v>836</v>
      </c>
      <c r="B18" t="s">
        <v>894</v>
      </c>
      <c r="C18" t="s">
        <v>42</v>
      </c>
      <c r="D18" t="s">
        <v>895</v>
      </c>
      <c r="E18" t="s">
        <v>118</v>
      </c>
      <c r="F18" t="s">
        <v>790</v>
      </c>
      <c r="G18" t="s">
        <v>20</v>
      </c>
      <c r="H18" t="s">
        <v>770</v>
      </c>
      <c r="I18" s="50" t="s">
        <v>120</v>
      </c>
    </row>
    <row r="19" spans="1:9" x14ac:dyDescent="0.25">
      <c r="A19" s="50" t="s">
        <v>836</v>
      </c>
      <c r="B19" t="s">
        <v>894</v>
      </c>
      <c r="C19" t="s">
        <v>44</v>
      </c>
      <c r="D19" t="s">
        <v>896</v>
      </c>
      <c r="E19" t="s">
        <v>118</v>
      </c>
      <c r="F19" t="s">
        <v>790</v>
      </c>
      <c r="G19" t="s">
        <v>20</v>
      </c>
      <c r="H19" t="s">
        <v>770</v>
      </c>
      <c r="I19" s="50" t="s">
        <v>120</v>
      </c>
    </row>
    <row r="20" spans="1:9" x14ac:dyDescent="0.25">
      <c r="A20" s="50" t="s">
        <v>836</v>
      </c>
      <c r="B20" t="s">
        <v>894</v>
      </c>
      <c r="C20" t="s">
        <v>46</v>
      </c>
      <c r="D20" t="s">
        <v>897</v>
      </c>
      <c r="E20" t="s">
        <v>118</v>
      </c>
      <c r="F20" t="s">
        <v>790</v>
      </c>
      <c r="G20" t="s">
        <v>20</v>
      </c>
      <c r="H20" t="s">
        <v>770</v>
      </c>
      <c r="I20" s="50" t="s">
        <v>120</v>
      </c>
    </row>
    <row r="21" spans="1:9" x14ac:dyDescent="0.25">
      <c r="A21" s="50" t="s">
        <v>836</v>
      </c>
      <c r="B21" t="s">
        <v>898</v>
      </c>
      <c r="C21" t="s">
        <v>42</v>
      </c>
      <c r="D21" t="s">
        <v>980</v>
      </c>
      <c r="E21" t="s">
        <v>176</v>
      </c>
      <c r="F21" t="s">
        <v>790</v>
      </c>
      <c r="G21" t="s">
        <v>20</v>
      </c>
      <c r="H21" t="s">
        <v>770</v>
      </c>
      <c r="I21" s="50" t="s">
        <v>178</v>
      </c>
    </row>
    <row r="22" spans="1:9" x14ac:dyDescent="0.25">
      <c r="A22" s="50" t="s">
        <v>836</v>
      </c>
      <c r="B22" t="s">
        <v>898</v>
      </c>
      <c r="C22" t="s">
        <v>44</v>
      </c>
      <c r="D22" t="s">
        <v>981</v>
      </c>
      <c r="E22" t="s">
        <v>176</v>
      </c>
      <c r="F22" t="s">
        <v>790</v>
      </c>
      <c r="G22" t="s">
        <v>20</v>
      </c>
      <c r="H22" t="s">
        <v>770</v>
      </c>
      <c r="I22" s="50" t="s">
        <v>178</v>
      </c>
    </row>
    <row r="23" spans="1:9" x14ac:dyDescent="0.25">
      <c r="A23" s="50" t="s">
        <v>836</v>
      </c>
      <c r="B23" t="s">
        <v>898</v>
      </c>
      <c r="C23" t="s">
        <v>46</v>
      </c>
      <c r="D23" t="s">
        <v>982</v>
      </c>
      <c r="E23" t="s">
        <v>176</v>
      </c>
      <c r="F23" t="s">
        <v>790</v>
      </c>
      <c r="G23" t="s">
        <v>20</v>
      </c>
      <c r="H23" t="s">
        <v>770</v>
      </c>
      <c r="I23" s="50" t="s">
        <v>178</v>
      </c>
    </row>
    <row r="24" spans="1:9" x14ac:dyDescent="0.25">
      <c r="A24" s="50" t="s">
        <v>836</v>
      </c>
      <c r="B24" t="s">
        <v>899</v>
      </c>
      <c r="C24" t="s">
        <v>42</v>
      </c>
      <c r="D24" t="s">
        <v>900</v>
      </c>
      <c r="E24" t="s">
        <v>234</v>
      </c>
      <c r="F24" t="s">
        <v>790</v>
      </c>
      <c r="G24" t="s">
        <v>20</v>
      </c>
      <c r="H24" t="s">
        <v>770</v>
      </c>
      <c r="I24" s="50" t="s">
        <v>236</v>
      </c>
    </row>
    <row r="25" spans="1:9" x14ac:dyDescent="0.25">
      <c r="A25" s="50" t="s">
        <v>836</v>
      </c>
      <c r="B25" t="s">
        <v>899</v>
      </c>
      <c r="C25" t="s">
        <v>44</v>
      </c>
      <c r="D25" t="s">
        <v>901</v>
      </c>
      <c r="E25" t="s">
        <v>234</v>
      </c>
      <c r="F25" t="s">
        <v>790</v>
      </c>
      <c r="G25" t="s">
        <v>20</v>
      </c>
      <c r="H25" t="s">
        <v>770</v>
      </c>
      <c r="I25" s="50" t="s">
        <v>236</v>
      </c>
    </row>
    <row r="26" spans="1:9" x14ac:dyDescent="0.25">
      <c r="A26" s="50" t="s">
        <v>836</v>
      </c>
      <c r="B26" t="s">
        <v>899</v>
      </c>
      <c r="C26" t="s">
        <v>46</v>
      </c>
      <c r="D26" t="s">
        <v>902</v>
      </c>
      <c r="E26" t="s">
        <v>234</v>
      </c>
      <c r="F26" t="s">
        <v>790</v>
      </c>
      <c r="G26" t="s">
        <v>20</v>
      </c>
      <c r="H26" t="s">
        <v>770</v>
      </c>
      <c r="I26" s="50" t="s">
        <v>236</v>
      </c>
    </row>
    <row r="27" spans="1:9" x14ac:dyDescent="0.25">
      <c r="A27" s="50" t="s">
        <v>836</v>
      </c>
      <c r="B27" t="s">
        <v>903</v>
      </c>
      <c r="C27" t="s">
        <v>42</v>
      </c>
      <c r="D27" t="s">
        <v>904</v>
      </c>
      <c r="E27" t="s">
        <v>284</v>
      </c>
      <c r="F27" t="s">
        <v>790</v>
      </c>
      <c r="G27" t="s">
        <v>20</v>
      </c>
      <c r="H27" t="s">
        <v>770</v>
      </c>
      <c r="I27" s="50" t="s">
        <v>286</v>
      </c>
    </row>
    <row r="28" spans="1:9" x14ac:dyDescent="0.25">
      <c r="A28" s="50" t="s">
        <v>836</v>
      </c>
      <c r="B28" t="s">
        <v>903</v>
      </c>
      <c r="C28" t="s">
        <v>44</v>
      </c>
      <c r="D28" t="s">
        <v>905</v>
      </c>
      <c r="E28" t="s">
        <v>284</v>
      </c>
      <c r="F28" t="s">
        <v>790</v>
      </c>
      <c r="G28" t="s">
        <v>20</v>
      </c>
      <c r="H28" t="s">
        <v>770</v>
      </c>
      <c r="I28" s="50" t="s">
        <v>286</v>
      </c>
    </row>
    <row r="29" spans="1:9" x14ac:dyDescent="0.25">
      <c r="A29" s="50" t="s">
        <v>836</v>
      </c>
      <c r="B29" t="s">
        <v>903</v>
      </c>
      <c r="C29" t="s">
        <v>46</v>
      </c>
      <c r="D29" t="s">
        <v>906</v>
      </c>
      <c r="E29" t="s">
        <v>284</v>
      </c>
      <c r="F29" t="s">
        <v>790</v>
      </c>
      <c r="G29" t="s">
        <v>20</v>
      </c>
      <c r="H29" t="s">
        <v>770</v>
      </c>
      <c r="I29" s="50" t="s">
        <v>286</v>
      </c>
    </row>
    <row r="30" spans="1:9" x14ac:dyDescent="0.25">
      <c r="A30" s="50" t="s">
        <v>836</v>
      </c>
      <c r="B30" t="s">
        <v>907</v>
      </c>
      <c r="C30" t="s">
        <v>42</v>
      </c>
      <c r="D30" t="s">
        <v>908</v>
      </c>
      <c r="E30" t="s">
        <v>339</v>
      </c>
      <c r="F30" t="s">
        <v>790</v>
      </c>
      <c r="G30" t="s">
        <v>20</v>
      </c>
      <c r="H30" t="s">
        <v>770</v>
      </c>
      <c r="I30" s="50" t="s">
        <v>341</v>
      </c>
    </row>
    <row r="31" spans="1:9" x14ac:dyDescent="0.25">
      <c r="A31" s="50" t="s">
        <v>836</v>
      </c>
      <c r="B31" t="s">
        <v>907</v>
      </c>
      <c r="C31" t="s">
        <v>44</v>
      </c>
      <c r="D31" t="s">
        <v>909</v>
      </c>
      <c r="E31" t="s">
        <v>339</v>
      </c>
      <c r="F31" t="s">
        <v>790</v>
      </c>
      <c r="G31" t="s">
        <v>20</v>
      </c>
      <c r="H31" t="s">
        <v>770</v>
      </c>
      <c r="I31" s="50" t="s">
        <v>341</v>
      </c>
    </row>
    <row r="32" spans="1:9" x14ac:dyDescent="0.25">
      <c r="A32" s="50" t="s">
        <v>836</v>
      </c>
      <c r="B32" t="s">
        <v>907</v>
      </c>
      <c r="C32" t="s">
        <v>46</v>
      </c>
      <c r="D32" t="s">
        <v>910</v>
      </c>
      <c r="E32" t="s">
        <v>339</v>
      </c>
      <c r="F32" t="s">
        <v>790</v>
      </c>
      <c r="G32" t="s">
        <v>20</v>
      </c>
      <c r="H32" t="s">
        <v>770</v>
      </c>
      <c r="I32" s="50" t="s">
        <v>341</v>
      </c>
    </row>
    <row r="33" spans="1:9" x14ac:dyDescent="0.25">
      <c r="A33" s="50" t="s">
        <v>836</v>
      </c>
      <c r="B33" t="s">
        <v>911</v>
      </c>
      <c r="C33" t="s">
        <v>42</v>
      </c>
      <c r="D33" t="s">
        <v>912</v>
      </c>
      <c r="E33" t="s">
        <v>395</v>
      </c>
      <c r="F33" t="s">
        <v>790</v>
      </c>
      <c r="G33" t="s">
        <v>20</v>
      </c>
      <c r="H33" t="s">
        <v>770</v>
      </c>
      <c r="I33" s="50" t="s">
        <v>397</v>
      </c>
    </row>
    <row r="34" spans="1:9" x14ac:dyDescent="0.25">
      <c r="A34" s="50" t="s">
        <v>836</v>
      </c>
      <c r="B34" t="s">
        <v>911</v>
      </c>
      <c r="C34" t="s">
        <v>44</v>
      </c>
      <c r="D34" t="s">
        <v>913</v>
      </c>
      <c r="E34" t="s">
        <v>395</v>
      </c>
      <c r="F34" t="s">
        <v>790</v>
      </c>
      <c r="G34" t="s">
        <v>20</v>
      </c>
      <c r="H34" t="s">
        <v>770</v>
      </c>
      <c r="I34" s="50" t="s">
        <v>397</v>
      </c>
    </row>
    <row r="35" spans="1:9" x14ac:dyDescent="0.25">
      <c r="A35" s="50" t="s">
        <v>836</v>
      </c>
      <c r="B35" t="s">
        <v>911</v>
      </c>
      <c r="C35" t="s">
        <v>46</v>
      </c>
      <c r="D35" t="s">
        <v>914</v>
      </c>
      <c r="E35" t="s">
        <v>395</v>
      </c>
      <c r="F35" t="s">
        <v>790</v>
      </c>
      <c r="G35" t="s">
        <v>20</v>
      </c>
      <c r="H35" t="s">
        <v>770</v>
      </c>
      <c r="I35" s="50" t="s">
        <v>397</v>
      </c>
    </row>
    <row r="36" spans="1:9" x14ac:dyDescent="0.25">
      <c r="A36" s="50" t="s">
        <v>836</v>
      </c>
      <c r="B36" t="s">
        <v>915</v>
      </c>
      <c r="C36" t="s">
        <v>42</v>
      </c>
      <c r="D36" t="s">
        <v>916</v>
      </c>
      <c r="E36" t="s">
        <v>448</v>
      </c>
      <c r="F36" t="s">
        <v>790</v>
      </c>
      <c r="G36" t="s">
        <v>20</v>
      </c>
      <c r="H36" t="s">
        <v>770</v>
      </c>
      <c r="I36" s="50" t="s">
        <v>450</v>
      </c>
    </row>
    <row r="37" spans="1:9" x14ac:dyDescent="0.25">
      <c r="A37" s="50" t="s">
        <v>836</v>
      </c>
      <c r="B37" t="s">
        <v>915</v>
      </c>
      <c r="C37" t="s">
        <v>44</v>
      </c>
      <c r="D37" t="s">
        <v>917</v>
      </c>
      <c r="E37" t="s">
        <v>448</v>
      </c>
      <c r="F37" t="s">
        <v>790</v>
      </c>
      <c r="G37" t="s">
        <v>20</v>
      </c>
      <c r="H37" t="s">
        <v>770</v>
      </c>
      <c r="I37" s="50" t="s">
        <v>450</v>
      </c>
    </row>
    <row r="38" spans="1:9" x14ac:dyDescent="0.25">
      <c r="A38" s="50" t="s">
        <v>836</v>
      </c>
      <c r="B38" t="s">
        <v>915</v>
      </c>
      <c r="C38" t="s">
        <v>46</v>
      </c>
      <c r="D38" t="s">
        <v>918</v>
      </c>
      <c r="E38" t="s">
        <v>448</v>
      </c>
      <c r="F38" t="s">
        <v>790</v>
      </c>
      <c r="G38" t="s">
        <v>20</v>
      </c>
      <c r="H38" t="s">
        <v>770</v>
      </c>
      <c r="I38" s="50" t="s">
        <v>450</v>
      </c>
    </row>
    <row r="39" spans="1:9" x14ac:dyDescent="0.25">
      <c r="A39" s="50" t="s">
        <v>836</v>
      </c>
      <c r="B39" t="s">
        <v>919</v>
      </c>
      <c r="C39" t="s">
        <v>42</v>
      </c>
      <c r="D39" t="s">
        <v>983</v>
      </c>
      <c r="E39" t="s">
        <v>502</v>
      </c>
      <c r="F39" t="s">
        <v>790</v>
      </c>
      <c r="G39" t="s">
        <v>20</v>
      </c>
      <c r="H39" t="s">
        <v>770</v>
      </c>
      <c r="I39" s="50" t="s">
        <v>504</v>
      </c>
    </row>
    <row r="40" spans="1:9" x14ac:dyDescent="0.25">
      <c r="A40" s="50" t="s">
        <v>836</v>
      </c>
      <c r="B40" t="s">
        <v>919</v>
      </c>
      <c r="C40" t="s">
        <v>44</v>
      </c>
      <c r="D40" t="s">
        <v>984</v>
      </c>
      <c r="E40" t="s">
        <v>502</v>
      </c>
      <c r="F40" t="s">
        <v>790</v>
      </c>
      <c r="G40" t="s">
        <v>20</v>
      </c>
      <c r="H40" t="s">
        <v>770</v>
      </c>
      <c r="I40" s="50" t="s">
        <v>504</v>
      </c>
    </row>
    <row r="41" spans="1:9" x14ac:dyDescent="0.25">
      <c r="A41" s="50" t="s">
        <v>836</v>
      </c>
      <c r="B41" t="s">
        <v>919</v>
      </c>
      <c r="C41" t="s">
        <v>46</v>
      </c>
      <c r="D41" t="s">
        <v>985</v>
      </c>
      <c r="E41" t="s">
        <v>502</v>
      </c>
      <c r="F41" t="s">
        <v>790</v>
      </c>
      <c r="G41" t="s">
        <v>20</v>
      </c>
      <c r="H41" t="s">
        <v>770</v>
      </c>
      <c r="I41" s="50" t="s">
        <v>504</v>
      </c>
    </row>
    <row r="42" spans="1:9" x14ac:dyDescent="0.25">
      <c r="A42" s="50" t="s">
        <v>836</v>
      </c>
      <c r="B42" t="s">
        <v>920</v>
      </c>
      <c r="C42" t="s">
        <v>42</v>
      </c>
      <c r="D42" t="s">
        <v>986</v>
      </c>
      <c r="E42" t="s">
        <v>553</v>
      </c>
      <c r="F42" t="s">
        <v>790</v>
      </c>
      <c r="G42" t="s">
        <v>20</v>
      </c>
      <c r="H42" t="s">
        <v>770</v>
      </c>
      <c r="I42" s="50" t="s">
        <v>555</v>
      </c>
    </row>
    <row r="43" spans="1:9" x14ac:dyDescent="0.25">
      <c r="A43" s="50" t="s">
        <v>836</v>
      </c>
      <c r="B43" t="s">
        <v>920</v>
      </c>
      <c r="C43" t="s">
        <v>44</v>
      </c>
      <c r="D43" t="s">
        <v>987</v>
      </c>
      <c r="E43" t="s">
        <v>553</v>
      </c>
      <c r="F43" t="s">
        <v>790</v>
      </c>
      <c r="G43" t="s">
        <v>20</v>
      </c>
      <c r="H43" t="s">
        <v>770</v>
      </c>
      <c r="I43" s="50" t="s">
        <v>555</v>
      </c>
    </row>
    <row r="44" spans="1:9" x14ac:dyDescent="0.25">
      <c r="A44" s="50" t="s">
        <v>836</v>
      </c>
      <c r="B44" t="s">
        <v>920</v>
      </c>
      <c r="C44" t="s">
        <v>46</v>
      </c>
      <c r="D44" t="s">
        <v>988</v>
      </c>
      <c r="E44" t="s">
        <v>553</v>
      </c>
      <c r="F44" t="s">
        <v>790</v>
      </c>
      <c r="G44" t="s">
        <v>20</v>
      </c>
      <c r="H44" t="s">
        <v>770</v>
      </c>
      <c r="I44" s="50" t="s">
        <v>555</v>
      </c>
    </row>
    <row r="45" spans="1:9" x14ac:dyDescent="0.25">
      <c r="A45" s="50" t="s">
        <v>836</v>
      </c>
      <c r="B45" t="s">
        <v>921</v>
      </c>
      <c r="C45" t="s">
        <v>42</v>
      </c>
      <c r="D45" t="s">
        <v>922</v>
      </c>
      <c r="E45" t="s">
        <v>602</v>
      </c>
      <c r="F45" t="s">
        <v>790</v>
      </c>
      <c r="G45" t="s">
        <v>20</v>
      </c>
      <c r="H45" t="s">
        <v>770</v>
      </c>
      <c r="I45" s="50" t="s">
        <v>604</v>
      </c>
    </row>
    <row r="46" spans="1:9" x14ac:dyDescent="0.25">
      <c r="A46" s="50" t="s">
        <v>836</v>
      </c>
      <c r="B46" t="s">
        <v>921</v>
      </c>
      <c r="C46" t="s">
        <v>44</v>
      </c>
      <c r="D46" t="s">
        <v>923</v>
      </c>
      <c r="E46" t="s">
        <v>602</v>
      </c>
      <c r="F46" t="s">
        <v>790</v>
      </c>
      <c r="G46" t="s">
        <v>20</v>
      </c>
      <c r="H46" t="s">
        <v>770</v>
      </c>
      <c r="I46" s="50" t="s">
        <v>604</v>
      </c>
    </row>
    <row r="47" spans="1:9" x14ac:dyDescent="0.25">
      <c r="A47" s="50" t="s">
        <v>836</v>
      </c>
      <c r="B47" t="s">
        <v>921</v>
      </c>
      <c r="C47" t="s">
        <v>46</v>
      </c>
      <c r="D47" t="s">
        <v>924</v>
      </c>
      <c r="E47" t="s">
        <v>602</v>
      </c>
      <c r="F47" t="s">
        <v>790</v>
      </c>
      <c r="G47" t="s">
        <v>20</v>
      </c>
      <c r="H47" t="s">
        <v>770</v>
      </c>
      <c r="I47" s="50" t="s">
        <v>604</v>
      </c>
    </row>
    <row r="48" spans="1:9" x14ac:dyDescent="0.25">
      <c r="A48" s="50" t="s">
        <v>836</v>
      </c>
      <c r="B48" t="s">
        <v>921</v>
      </c>
      <c r="C48" t="s">
        <v>48</v>
      </c>
      <c r="D48" t="s">
        <v>989</v>
      </c>
      <c r="E48" t="s">
        <v>602</v>
      </c>
      <c r="F48" t="s">
        <v>790</v>
      </c>
      <c r="G48" t="s">
        <v>20</v>
      </c>
      <c r="H48" t="s">
        <v>770</v>
      </c>
      <c r="I48" s="50" t="s">
        <v>604</v>
      </c>
    </row>
    <row r="49" spans="1:9" x14ac:dyDescent="0.25">
      <c r="A49" s="50" t="s">
        <v>836</v>
      </c>
      <c r="B49" t="s">
        <v>990</v>
      </c>
      <c r="C49" t="s">
        <v>42</v>
      </c>
      <c r="D49" t="s">
        <v>991</v>
      </c>
      <c r="E49" t="s">
        <v>654</v>
      </c>
      <c r="F49" t="s">
        <v>790</v>
      </c>
      <c r="G49" t="s">
        <v>20</v>
      </c>
      <c r="H49" t="s">
        <v>770</v>
      </c>
      <c r="I49" s="50" t="s">
        <v>849</v>
      </c>
    </row>
    <row r="50" spans="1:9" x14ac:dyDescent="0.25">
      <c r="A50" s="50" t="s">
        <v>836</v>
      </c>
      <c r="B50" t="s">
        <v>990</v>
      </c>
      <c r="C50" t="s">
        <v>44</v>
      </c>
      <c r="D50" t="s">
        <v>992</v>
      </c>
      <c r="E50" t="s">
        <v>654</v>
      </c>
      <c r="F50" t="s">
        <v>790</v>
      </c>
      <c r="G50" t="s">
        <v>20</v>
      </c>
      <c r="H50" t="s">
        <v>770</v>
      </c>
      <c r="I50" s="50" t="s">
        <v>849</v>
      </c>
    </row>
    <row r="51" spans="1:9" x14ac:dyDescent="0.25">
      <c r="A51" s="50" t="s">
        <v>836</v>
      </c>
      <c r="B51" t="s">
        <v>990</v>
      </c>
      <c r="C51" t="s">
        <v>46</v>
      </c>
      <c r="D51" t="s">
        <v>993</v>
      </c>
      <c r="E51" t="s">
        <v>654</v>
      </c>
      <c r="F51" t="s">
        <v>790</v>
      </c>
      <c r="G51" t="s">
        <v>20</v>
      </c>
      <c r="H51" t="s">
        <v>770</v>
      </c>
      <c r="I51" s="50" t="s">
        <v>849</v>
      </c>
    </row>
    <row r="52" spans="1:9" x14ac:dyDescent="0.25">
      <c r="A52" s="50" t="s">
        <v>836</v>
      </c>
      <c r="B52" t="s">
        <v>990</v>
      </c>
      <c r="C52" t="s">
        <v>48</v>
      </c>
      <c r="D52" t="s">
        <v>994</v>
      </c>
      <c r="E52" t="s">
        <v>654</v>
      </c>
      <c r="F52" t="s">
        <v>790</v>
      </c>
      <c r="G52" t="s">
        <v>20</v>
      </c>
      <c r="H52" t="s">
        <v>770</v>
      </c>
      <c r="I52" s="50" t="s">
        <v>849</v>
      </c>
    </row>
    <row r="53" spans="1:9" x14ac:dyDescent="0.25">
      <c r="A53" s="50" t="s">
        <v>836</v>
      </c>
      <c r="B53" t="s">
        <v>990</v>
      </c>
      <c r="C53" t="s">
        <v>49</v>
      </c>
      <c r="D53" t="s">
        <v>995</v>
      </c>
      <c r="E53" t="s">
        <v>654</v>
      </c>
      <c r="F53" t="s">
        <v>790</v>
      </c>
      <c r="G53" t="s">
        <v>20</v>
      </c>
      <c r="H53" t="s">
        <v>770</v>
      </c>
      <c r="I53" s="50" t="s">
        <v>849</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15"/>
  <dimension ref="C4:T102"/>
  <sheetViews>
    <sheetView workbookViewId="0">
      <selection activeCell="L4" sqref="L4"/>
    </sheetView>
  </sheetViews>
  <sheetFormatPr defaultRowHeight="15" x14ac:dyDescent="0.25"/>
  <cols>
    <col min="7" max="7" width="11.28515625" customWidth="1"/>
    <col min="10" max="10" width="19.28515625" bestFit="1" customWidth="1"/>
    <col min="19" max="19" width="28.28515625" customWidth="1"/>
    <col min="20" max="20" width="16.140625" customWidth="1"/>
  </cols>
  <sheetData>
    <row r="4" spans="3:10" x14ac:dyDescent="0.25">
      <c r="C4" t="s">
        <v>676</v>
      </c>
      <c r="E4" t="s">
        <v>677</v>
      </c>
      <c r="G4" t="s">
        <v>677</v>
      </c>
      <c r="J4" t="s">
        <v>678</v>
      </c>
    </row>
    <row r="7" spans="3:10" ht="15.75" customHeight="1" x14ac:dyDescent="0.25">
      <c r="C7" s="35">
        <v>1</v>
      </c>
      <c r="E7" t="s">
        <v>42</v>
      </c>
      <c r="G7" t="s">
        <v>247</v>
      </c>
      <c r="J7" t="s">
        <v>138</v>
      </c>
    </row>
    <row r="8" spans="3:10" x14ac:dyDescent="0.25">
      <c r="C8" s="35">
        <v>2</v>
      </c>
      <c r="E8" t="s">
        <v>44</v>
      </c>
      <c r="G8" t="s">
        <v>136</v>
      </c>
      <c r="J8" t="s">
        <v>252</v>
      </c>
    </row>
    <row r="9" spans="3:10" x14ac:dyDescent="0.25">
      <c r="C9" s="35" t="s">
        <v>11</v>
      </c>
      <c r="E9" t="s">
        <v>46</v>
      </c>
      <c r="G9" t="s">
        <v>133</v>
      </c>
      <c r="J9" t="s">
        <v>71</v>
      </c>
    </row>
    <row r="10" spans="3:10" x14ac:dyDescent="0.25">
      <c r="E10" t="s">
        <v>48</v>
      </c>
      <c r="G10" t="s">
        <v>27</v>
      </c>
      <c r="J10" t="s">
        <v>464</v>
      </c>
    </row>
    <row r="11" spans="3:10" x14ac:dyDescent="0.25">
      <c r="C11" s="35">
        <v>3</v>
      </c>
      <c r="E11" t="s">
        <v>49</v>
      </c>
      <c r="G11" t="s">
        <v>58</v>
      </c>
      <c r="J11" t="s">
        <v>69</v>
      </c>
    </row>
    <row r="12" spans="3:10" x14ac:dyDescent="0.25">
      <c r="C12" s="35">
        <v>4</v>
      </c>
      <c r="J12" t="s">
        <v>73</v>
      </c>
    </row>
    <row r="13" spans="3:10" x14ac:dyDescent="0.25">
      <c r="C13" s="35">
        <v>5</v>
      </c>
      <c r="J13" t="s">
        <v>254</v>
      </c>
    </row>
    <row r="14" spans="3:10" x14ac:dyDescent="0.25">
      <c r="C14" s="35">
        <v>6</v>
      </c>
      <c r="G14" t="s">
        <v>53</v>
      </c>
      <c r="J14" t="s">
        <v>679</v>
      </c>
    </row>
    <row r="15" spans="3:10" x14ac:dyDescent="0.25">
      <c r="C15" s="35">
        <v>7</v>
      </c>
      <c r="G15" t="s">
        <v>355</v>
      </c>
      <c r="J15" t="s">
        <v>680</v>
      </c>
    </row>
    <row r="16" spans="3:10" x14ac:dyDescent="0.25">
      <c r="G16" t="s">
        <v>681</v>
      </c>
      <c r="J16" t="s">
        <v>682</v>
      </c>
    </row>
    <row r="17" spans="3:20" x14ac:dyDescent="0.25">
      <c r="C17" t="s">
        <v>18</v>
      </c>
      <c r="G17" t="s">
        <v>683</v>
      </c>
    </row>
    <row r="18" spans="3:20" x14ac:dyDescent="0.25">
      <c r="C18" t="s">
        <v>684</v>
      </c>
      <c r="G18" t="s">
        <v>617</v>
      </c>
    </row>
    <row r="19" spans="3:20" x14ac:dyDescent="0.25">
      <c r="C19" t="s">
        <v>685</v>
      </c>
      <c r="G19" t="s">
        <v>353</v>
      </c>
      <c r="J19" t="s">
        <v>686</v>
      </c>
      <c r="K19" t="s">
        <v>687</v>
      </c>
    </row>
    <row r="20" spans="3:20" x14ac:dyDescent="0.25">
      <c r="C20" t="s">
        <v>688</v>
      </c>
      <c r="G20" t="s">
        <v>299</v>
      </c>
      <c r="J20" t="s">
        <v>138</v>
      </c>
      <c r="K20" t="s">
        <v>518</v>
      </c>
      <c r="O20" s="39" t="s">
        <v>689</v>
      </c>
      <c r="S20" s="40" t="s">
        <v>690</v>
      </c>
      <c r="T20" s="41" t="s">
        <v>691</v>
      </c>
    </row>
    <row r="21" spans="3:20" x14ac:dyDescent="0.25">
      <c r="C21" t="s">
        <v>692</v>
      </c>
      <c r="G21" t="s">
        <v>248</v>
      </c>
      <c r="J21" t="s">
        <v>138</v>
      </c>
      <c r="K21" t="s">
        <v>196</v>
      </c>
      <c r="O21" t="str" cm="1">
        <f t="array" ref="O21:O26">_xlfn._xlws.FILTER(LISTS_Table[Skill],LISTS_Table[Category]="Scientific Knowledge")</f>
        <v>Critical thinking</v>
      </c>
      <c r="S21" s="42" t="s">
        <v>138</v>
      </c>
      <c r="T21" s="43" t="s">
        <v>693</v>
      </c>
    </row>
    <row r="22" spans="3:20" x14ac:dyDescent="0.25">
      <c r="C22" t="s">
        <v>123</v>
      </c>
      <c r="G22" t="s">
        <v>694</v>
      </c>
      <c r="J22" t="s">
        <v>138</v>
      </c>
      <c r="K22" t="s">
        <v>139</v>
      </c>
      <c r="O22" t="str">
        <v>Scientific literacy</v>
      </c>
      <c r="S22" s="44" t="s">
        <v>252</v>
      </c>
      <c r="T22" s="45" t="s">
        <v>695</v>
      </c>
    </row>
    <row r="23" spans="3:20" x14ac:dyDescent="0.25">
      <c r="G23" t="s">
        <v>696</v>
      </c>
      <c r="J23" t="s">
        <v>138</v>
      </c>
      <c r="K23" t="s">
        <v>198</v>
      </c>
      <c r="O23" t="str">
        <v>Information retrieval</v>
      </c>
      <c r="S23" s="42" t="s">
        <v>71</v>
      </c>
      <c r="T23" s="43" t="s">
        <v>697</v>
      </c>
    </row>
    <row r="24" spans="3:20" x14ac:dyDescent="0.25">
      <c r="G24" t="s">
        <v>698</v>
      </c>
      <c r="J24" t="s">
        <v>138</v>
      </c>
      <c r="K24" t="s">
        <v>699</v>
      </c>
      <c r="O24" t="str">
        <v>Knowledge synthesis</v>
      </c>
      <c r="S24" s="44" t="s">
        <v>464</v>
      </c>
      <c r="T24" s="45" t="s">
        <v>700</v>
      </c>
    </row>
    <row r="25" spans="3:20" x14ac:dyDescent="0.25">
      <c r="G25" t="s">
        <v>701</v>
      </c>
      <c r="J25" t="s">
        <v>138</v>
      </c>
      <c r="K25" t="s">
        <v>702</v>
      </c>
      <c r="O25" t="str">
        <v>Domain-specific analytical skills</v>
      </c>
      <c r="S25" s="42" t="s">
        <v>69</v>
      </c>
      <c r="T25" s="43" t="s">
        <v>703</v>
      </c>
    </row>
    <row r="26" spans="3:20" x14ac:dyDescent="0.25">
      <c r="C26" t="s">
        <v>704</v>
      </c>
      <c r="G26" t="s">
        <v>705</v>
      </c>
      <c r="J26" t="s">
        <v>252</v>
      </c>
      <c r="K26" t="s">
        <v>706</v>
      </c>
      <c r="O26" t="str">
        <v>Evidence evaluation</v>
      </c>
      <c r="S26" s="44" t="s">
        <v>73</v>
      </c>
      <c r="T26" s="45" t="s">
        <v>73</v>
      </c>
    </row>
    <row r="27" spans="3:20" x14ac:dyDescent="0.25">
      <c r="C27" t="s">
        <v>707</v>
      </c>
      <c r="G27" t="s">
        <v>708</v>
      </c>
      <c r="J27" t="s">
        <v>252</v>
      </c>
      <c r="K27" t="s">
        <v>709</v>
      </c>
      <c r="S27" s="42" t="s">
        <v>254</v>
      </c>
      <c r="T27" s="43" t="s">
        <v>710</v>
      </c>
    </row>
    <row r="28" spans="3:20" x14ac:dyDescent="0.25">
      <c r="C28" t="s">
        <v>711</v>
      </c>
      <c r="G28" t="s">
        <v>250</v>
      </c>
      <c r="J28" t="s">
        <v>252</v>
      </c>
      <c r="K28" t="s">
        <v>674</v>
      </c>
      <c r="O28" s="34" t="s">
        <v>712</v>
      </c>
      <c r="S28" s="44" t="s">
        <v>679</v>
      </c>
      <c r="T28" s="45" t="s">
        <v>713</v>
      </c>
    </row>
    <row r="29" spans="3:20" x14ac:dyDescent="0.25">
      <c r="C29" t="s">
        <v>714</v>
      </c>
      <c r="J29" t="s">
        <v>252</v>
      </c>
      <c r="K29" t="s">
        <v>253</v>
      </c>
      <c r="O29" t="str" cm="1">
        <f t="array" ref="O29:O34">_xlfn._xlws.FILTER(LISTS_Table[Skill],LISTS_Table[Category]="Technical Skills")</f>
        <v>Laboratory/clinical techniques</v>
      </c>
      <c r="S29" s="42" t="s">
        <v>680</v>
      </c>
      <c r="T29" s="43" t="s">
        <v>715</v>
      </c>
    </row>
    <row r="30" spans="3:20" x14ac:dyDescent="0.25">
      <c r="C30" t="s">
        <v>20</v>
      </c>
      <c r="J30" t="s">
        <v>252</v>
      </c>
      <c r="K30" t="s">
        <v>657</v>
      </c>
      <c r="O30" t="str">
        <v>Data collection</v>
      </c>
      <c r="S30" s="46" t="s">
        <v>682</v>
      </c>
      <c r="T30" s="47" t="s">
        <v>716</v>
      </c>
    </row>
    <row r="31" spans="3:20" x14ac:dyDescent="0.25">
      <c r="C31" t="s">
        <v>717</v>
      </c>
      <c r="J31" t="s">
        <v>252</v>
      </c>
      <c r="K31" t="s">
        <v>718</v>
      </c>
      <c r="O31" t="str">
        <v>Data analysis</v>
      </c>
    </row>
    <row r="32" spans="3:20" x14ac:dyDescent="0.25">
      <c r="C32" t="s">
        <v>719</v>
      </c>
      <c r="J32" t="s">
        <v>71</v>
      </c>
      <c r="K32" t="s">
        <v>197</v>
      </c>
      <c r="O32" t="str">
        <v>Digital literacy</v>
      </c>
    </row>
    <row r="33" spans="3:15" x14ac:dyDescent="0.25">
      <c r="C33" t="s">
        <v>720</v>
      </c>
      <c r="J33" t="s">
        <v>71</v>
      </c>
      <c r="K33" t="s">
        <v>72</v>
      </c>
      <c r="O33" t="str">
        <v>Equipment and technology utilisation</v>
      </c>
    </row>
    <row r="34" spans="3:15" x14ac:dyDescent="0.25">
      <c r="C34" t="s">
        <v>721</v>
      </c>
      <c r="J34" t="s">
        <v>71</v>
      </c>
      <c r="K34" t="s">
        <v>358</v>
      </c>
      <c r="O34" t="str">
        <v>Technical proficiency</v>
      </c>
    </row>
    <row r="35" spans="3:15" x14ac:dyDescent="0.25">
      <c r="C35" t="s">
        <v>722</v>
      </c>
      <c r="J35" t="s">
        <v>71</v>
      </c>
      <c r="K35" t="s">
        <v>413</v>
      </c>
    </row>
    <row r="36" spans="3:15" x14ac:dyDescent="0.25">
      <c r="C36" t="s">
        <v>723</v>
      </c>
      <c r="J36" t="s">
        <v>71</v>
      </c>
      <c r="K36" t="s">
        <v>724</v>
      </c>
      <c r="O36" s="39" t="s">
        <v>725</v>
      </c>
    </row>
    <row r="37" spans="3:15" x14ac:dyDescent="0.25">
      <c r="C37" t="s">
        <v>726</v>
      </c>
      <c r="J37" t="s">
        <v>71</v>
      </c>
      <c r="K37" t="s">
        <v>727</v>
      </c>
      <c r="O37" t="str" cm="1">
        <f t="array" ref="O37:O42">_xlfn._xlws.FILTER(LISTS_Table[Skill],LISTS_Table[Category]="Application of Knowledge and skills")</f>
        <v>Decision-making</v>
      </c>
    </row>
    <row r="38" spans="3:15" x14ac:dyDescent="0.25">
      <c r="J38" t="s">
        <v>464</v>
      </c>
      <c r="K38" t="s">
        <v>516</v>
      </c>
      <c r="O38" t="str">
        <v>Translational practice</v>
      </c>
    </row>
    <row r="39" spans="3:15" x14ac:dyDescent="0.25">
      <c r="J39" t="s">
        <v>464</v>
      </c>
      <c r="K39" t="s">
        <v>728</v>
      </c>
      <c r="O39" t="str">
        <v>Contextual application</v>
      </c>
    </row>
    <row r="40" spans="3:15" x14ac:dyDescent="0.25">
      <c r="J40" t="s">
        <v>464</v>
      </c>
      <c r="K40" t="s">
        <v>517</v>
      </c>
      <c r="O40" t="str">
        <v>Professional judgement</v>
      </c>
    </row>
    <row r="41" spans="3:15" x14ac:dyDescent="0.25">
      <c r="J41" t="s">
        <v>464</v>
      </c>
      <c r="K41" t="s">
        <v>729</v>
      </c>
      <c r="O41" t="str">
        <v>Adaptability</v>
      </c>
    </row>
    <row r="42" spans="3:15" x14ac:dyDescent="0.25">
      <c r="J42" t="s">
        <v>464</v>
      </c>
      <c r="K42" t="s">
        <v>465</v>
      </c>
      <c r="O42" t="str">
        <v>Risk assessment</v>
      </c>
    </row>
    <row r="43" spans="3:15" x14ac:dyDescent="0.25">
      <c r="J43" t="s">
        <v>464</v>
      </c>
      <c r="K43" t="s">
        <v>570</v>
      </c>
    </row>
    <row r="44" spans="3:15" x14ac:dyDescent="0.25">
      <c r="J44" t="s">
        <v>69</v>
      </c>
      <c r="K44" t="s">
        <v>70</v>
      </c>
      <c r="O44" s="48" t="s">
        <v>464</v>
      </c>
    </row>
    <row r="45" spans="3:15" x14ac:dyDescent="0.25">
      <c r="J45" t="s">
        <v>69</v>
      </c>
      <c r="K45" t="s">
        <v>75</v>
      </c>
      <c r="O45" t="str" cm="1">
        <f t="array" ref="O45:O50">_xlfn._xlws.FILTER(LISTS_Table[Skill],LISTS_Table[Category]="Understanding and use of research")</f>
        <v>Research literacy</v>
      </c>
    </row>
    <row r="46" spans="3:15" x14ac:dyDescent="0.25">
      <c r="J46" t="s">
        <v>69</v>
      </c>
      <c r="K46" t="s">
        <v>730</v>
      </c>
      <c r="O46" t="str">
        <v>Literature searching</v>
      </c>
    </row>
    <row r="47" spans="3:15" x14ac:dyDescent="0.25">
      <c r="J47" t="s">
        <v>69</v>
      </c>
      <c r="K47" t="s">
        <v>731</v>
      </c>
      <c r="O47" t="str">
        <v>Critical appraisal</v>
      </c>
    </row>
    <row r="48" spans="3:15" x14ac:dyDescent="0.25">
      <c r="J48" t="s">
        <v>69</v>
      </c>
      <c r="K48" t="s">
        <v>732</v>
      </c>
      <c r="O48" t="str">
        <v>Data interpretation</v>
      </c>
    </row>
    <row r="49" spans="10:15" x14ac:dyDescent="0.25">
      <c r="J49" t="s">
        <v>69</v>
      </c>
      <c r="K49" t="s">
        <v>302</v>
      </c>
      <c r="O49" t="str">
        <v>Evidence-based practice</v>
      </c>
    </row>
    <row r="50" spans="10:15" x14ac:dyDescent="0.25">
      <c r="J50" t="s">
        <v>69</v>
      </c>
      <c r="K50" t="s">
        <v>733</v>
      </c>
      <c r="O50" t="str">
        <v>Research communication</v>
      </c>
    </row>
    <row r="51" spans="10:15" x14ac:dyDescent="0.25">
      <c r="J51" t="s">
        <v>73</v>
      </c>
      <c r="K51" t="s">
        <v>303</v>
      </c>
    </row>
    <row r="52" spans="10:15" x14ac:dyDescent="0.25">
      <c r="J52" t="s">
        <v>73</v>
      </c>
      <c r="K52" t="s">
        <v>140</v>
      </c>
      <c r="O52" s="48" t="s">
        <v>69</v>
      </c>
    </row>
    <row r="53" spans="10:15" x14ac:dyDescent="0.25">
      <c r="J53" t="s">
        <v>73</v>
      </c>
      <c r="K53" t="s">
        <v>466</v>
      </c>
      <c r="O53" t="str" cm="1">
        <f t="array" ref="O53:O59">_xlfn._xlws.FILTER(LISTS_Table[Skill],LISTS_Table[Category]="Self-evaluation and professional development")</f>
        <v>Reflective practice</v>
      </c>
    </row>
    <row r="54" spans="10:15" x14ac:dyDescent="0.25">
      <c r="J54" t="s">
        <v>73</v>
      </c>
      <c r="K54" t="s">
        <v>412</v>
      </c>
      <c r="O54" t="str">
        <v>Self-awareness</v>
      </c>
    </row>
    <row r="55" spans="10:15" x14ac:dyDescent="0.25">
      <c r="J55" t="s">
        <v>73</v>
      </c>
      <c r="K55" t="s">
        <v>74</v>
      </c>
      <c r="O55" t="str">
        <v>Lifelong learning</v>
      </c>
    </row>
    <row r="56" spans="10:15" x14ac:dyDescent="0.25">
      <c r="J56" t="s">
        <v>73</v>
      </c>
      <c r="K56" t="s">
        <v>619</v>
      </c>
      <c r="O56" t="str">
        <v>Personal development planning</v>
      </c>
    </row>
    <row r="57" spans="10:15" x14ac:dyDescent="0.25">
      <c r="J57" t="s">
        <v>254</v>
      </c>
      <c r="K57" t="s">
        <v>357</v>
      </c>
      <c r="O57" t="str">
        <v>Resilience</v>
      </c>
    </row>
    <row r="58" spans="10:15" x14ac:dyDescent="0.25">
      <c r="J58" t="s">
        <v>254</v>
      </c>
      <c r="K58" t="s">
        <v>467</v>
      </c>
      <c r="O58" t="str">
        <v>Initiative</v>
      </c>
    </row>
    <row r="59" spans="10:15" x14ac:dyDescent="0.25">
      <c r="J59" t="s">
        <v>254</v>
      </c>
      <c r="K59" t="s">
        <v>734</v>
      </c>
      <c r="O59" t="str">
        <v>Accountability</v>
      </c>
    </row>
    <row r="60" spans="10:15" x14ac:dyDescent="0.25">
      <c r="J60" t="s">
        <v>254</v>
      </c>
      <c r="K60" t="s">
        <v>255</v>
      </c>
    </row>
    <row r="61" spans="10:15" x14ac:dyDescent="0.25">
      <c r="J61" t="s">
        <v>254</v>
      </c>
      <c r="K61" t="s">
        <v>735</v>
      </c>
      <c r="O61" s="49" t="s">
        <v>73</v>
      </c>
    </row>
    <row r="62" spans="10:15" x14ac:dyDescent="0.25">
      <c r="J62" t="s">
        <v>254</v>
      </c>
      <c r="K62" t="s">
        <v>736</v>
      </c>
      <c r="O62" t="str" cm="1">
        <f t="array" ref="O62:O67">_xlfn._xlws.FILTER(LISTS_Table[Skill],LISTS_Table[Category]="Communication")</f>
        <v>Written communication</v>
      </c>
    </row>
    <row r="63" spans="10:15" x14ac:dyDescent="0.25">
      <c r="J63" t="s">
        <v>679</v>
      </c>
      <c r="K63" t="s">
        <v>737</v>
      </c>
      <c r="O63" t="str">
        <v>Oral presentation</v>
      </c>
    </row>
    <row r="64" spans="10:15" x14ac:dyDescent="0.25">
      <c r="J64" t="s">
        <v>679</v>
      </c>
      <c r="K64" t="s">
        <v>738</v>
      </c>
      <c r="O64" t="str">
        <v>Active listening</v>
      </c>
    </row>
    <row r="65" spans="10:15" x14ac:dyDescent="0.25">
      <c r="J65" t="s">
        <v>679</v>
      </c>
      <c r="K65" t="s">
        <v>739</v>
      </c>
      <c r="O65" t="str">
        <v>Scientific writing</v>
      </c>
    </row>
    <row r="66" spans="10:15" x14ac:dyDescent="0.25">
      <c r="J66" t="s">
        <v>679</v>
      </c>
      <c r="K66" t="s">
        <v>740</v>
      </c>
      <c r="O66" t="str">
        <v>Interpersonal communication</v>
      </c>
    </row>
    <row r="67" spans="10:15" x14ac:dyDescent="0.25">
      <c r="J67" t="s">
        <v>679</v>
      </c>
      <c r="K67" t="s">
        <v>741</v>
      </c>
      <c r="O67" t="str">
        <v>Digital communication</v>
      </c>
    </row>
    <row r="68" spans="10:15" x14ac:dyDescent="0.25">
      <c r="J68" t="s">
        <v>679</v>
      </c>
      <c r="K68" t="s">
        <v>742</v>
      </c>
    </row>
    <row r="69" spans="10:15" x14ac:dyDescent="0.25">
      <c r="J69" t="s">
        <v>679</v>
      </c>
      <c r="K69" t="s">
        <v>743</v>
      </c>
      <c r="O69" s="49" t="s">
        <v>254</v>
      </c>
    </row>
    <row r="70" spans="10:15" x14ac:dyDescent="0.25">
      <c r="J70" t="s">
        <v>679</v>
      </c>
      <c r="K70" t="s">
        <v>744</v>
      </c>
      <c r="O70" t="str" cm="1">
        <f t="array" ref="O70:O75">_xlfn._xlws.FILTER(LISTS_Table[Skill],LISTS_Table[Category]="Problem solving and impact")</f>
        <v>Analytical thinking</v>
      </c>
    </row>
    <row r="71" spans="10:15" x14ac:dyDescent="0.25">
      <c r="J71" t="s">
        <v>679</v>
      </c>
      <c r="K71" t="s">
        <v>745</v>
      </c>
      <c r="O71" t="str">
        <v>problem identification</v>
      </c>
    </row>
    <row r="72" spans="10:15" x14ac:dyDescent="0.25">
      <c r="J72" t="s">
        <v>680</v>
      </c>
      <c r="K72" t="s">
        <v>746</v>
      </c>
      <c r="O72" t="str">
        <v>Creative thinking</v>
      </c>
    </row>
    <row r="73" spans="10:15" x14ac:dyDescent="0.25">
      <c r="J73" t="s">
        <v>680</v>
      </c>
      <c r="K73" t="s">
        <v>747</v>
      </c>
      <c r="O73" t="str">
        <v>Evidence-based decision making</v>
      </c>
    </row>
    <row r="74" spans="10:15" x14ac:dyDescent="0.25">
      <c r="J74" t="s">
        <v>680</v>
      </c>
      <c r="K74" t="s">
        <v>748</v>
      </c>
      <c r="O74" t="str">
        <v>Innovation</v>
      </c>
    </row>
    <row r="75" spans="10:15" x14ac:dyDescent="0.25">
      <c r="J75" t="s">
        <v>680</v>
      </c>
      <c r="K75" t="s">
        <v>749</v>
      </c>
      <c r="O75" t="str">
        <v>Evaluation of outcomes</v>
      </c>
    </row>
    <row r="76" spans="10:15" x14ac:dyDescent="0.25">
      <c r="J76" t="s">
        <v>680</v>
      </c>
      <c r="K76" t="s">
        <v>750</v>
      </c>
    </row>
    <row r="77" spans="10:15" x14ac:dyDescent="0.25">
      <c r="J77" t="s">
        <v>682</v>
      </c>
      <c r="K77" t="s">
        <v>751</v>
      </c>
      <c r="O77" s="49" t="s">
        <v>679</v>
      </c>
    </row>
    <row r="78" spans="10:15" x14ac:dyDescent="0.25">
      <c r="J78" t="s">
        <v>682</v>
      </c>
      <c r="K78" t="s">
        <v>752</v>
      </c>
      <c r="O78" t="str" cm="1">
        <f t="array" ref="O78:O86">_xlfn._xlws.FILTER(LISTS_Table[Skill],LISTS_Table[Category]="Management of self and others")</f>
        <v>Leadership</v>
      </c>
    </row>
    <row r="79" spans="10:15" x14ac:dyDescent="0.25">
      <c r="J79" t="s">
        <v>682</v>
      </c>
      <c r="K79" t="s">
        <v>753</v>
      </c>
      <c r="O79" t="str">
        <v>Coaching and mentoring</v>
      </c>
    </row>
    <row r="80" spans="10:15" x14ac:dyDescent="0.25">
      <c r="J80" t="s">
        <v>682</v>
      </c>
      <c r="K80" t="s">
        <v>754</v>
      </c>
      <c r="O80" t="str">
        <v>Time management</v>
      </c>
    </row>
    <row r="81" spans="10:15" x14ac:dyDescent="0.25">
      <c r="J81" t="s">
        <v>682</v>
      </c>
      <c r="K81" t="s">
        <v>755</v>
      </c>
      <c r="O81" t="str">
        <v>Organisation</v>
      </c>
    </row>
    <row r="82" spans="10:15" x14ac:dyDescent="0.25">
      <c r="J82" t="s">
        <v>682</v>
      </c>
      <c r="K82" t="s">
        <v>756</v>
      </c>
      <c r="O82" t="str">
        <v>Delegation</v>
      </c>
    </row>
    <row r="83" spans="10:15" x14ac:dyDescent="0.25">
      <c r="J83" t="s">
        <v>682</v>
      </c>
      <c r="K83" t="s">
        <v>757</v>
      </c>
      <c r="O83" t="str">
        <v>Conflict resolution</v>
      </c>
    </row>
    <row r="84" spans="10:15" x14ac:dyDescent="0.25">
      <c r="O84" t="str">
        <v>Empathy</v>
      </c>
    </row>
    <row r="85" spans="10:15" x14ac:dyDescent="0.25">
      <c r="O85" t="str">
        <v>Multi-tasking</v>
      </c>
    </row>
    <row r="86" spans="10:15" x14ac:dyDescent="0.25">
      <c r="O86" t="str">
        <v>Resource management</v>
      </c>
    </row>
    <row r="88" spans="10:15" x14ac:dyDescent="0.25">
      <c r="O88" s="48" t="s">
        <v>680</v>
      </c>
    </row>
    <row r="89" spans="10:15" x14ac:dyDescent="0.25">
      <c r="O89" t="str" cm="1">
        <f t="array" ref="O89:O93">_xlfn._xlws.FILTER(LISTS_Table[Skill],LISTS_Table[Category]="Understanding the delivery environment")</f>
        <v>Organisational awareness</v>
      </c>
    </row>
    <row r="90" spans="10:15" x14ac:dyDescent="0.25">
      <c r="O90" t="str">
        <v>Policy interpretation</v>
      </c>
    </row>
    <row r="91" spans="10:15" x14ac:dyDescent="0.25">
      <c r="O91" t="str">
        <v>Stakeholder awareness</v>
      </c>
    </row>
    <row r="92" spans="10:15" x14ac:dyDescent="0.25">
      <c r="O92" t="str">
        <v>Service delivery</v>
      </c>
    </row>
    <row r="93" spans="10:15" x14ac:dyDescent="0.25">
      <c r="O93" t="str">
        <v>Professional awareness</v>
      </c>
    </row>
    <row r="95" spans="10:15" x14ac:dyDescent="0.25">
      <c r="O95" s="49" t="s">
        <v>758</v>
      </c>
    </row>
    <row r="96" spans="10:15" x14ac:dyDescent="0.25">
      <c r="O96" t="str" cm="1">
        <f t="array" ref="O96:O102">_xlfn._xlws.FILTER(LISTS_Table[Skill],LISTS_Table[Category]="Professional relationships and behaviours")</f>
        <v>Teamwork</v>
      </c>
    </row>
    <row r="97" spans="15:15" x14ac:dyDescent="0.25">
      <c r="O97" t="str">
        <v>Collaboration/multi-disciplinary working</v>
      </c>
    </row>
    <row r="98" spans="15:15" x14ac:dyDescent="0.25">
      <c r="O98" t="str">
        <v>Ethical practice</v>
      </c>
    </row>
    <row r="99" spans="15:15" x14ac:dyDescent="0.25">
      <c r="O99" t="str">
        <v>Professionalism</v>
      </c>
    </row>
    <row r="100" spans="15:15" x14ac:dyDescent="0.25">
      <c r="O100" t="str">
        <v>Cultural awareness and competence</v>
      </c>
    </row>
    <row r="101" spans="15:15" x14ac:dyDescent="0.25">
      <c r="O101" t="str">
        <v>Integrity</v>
      </c>
    </row>
    <row r="102" spans="15:15" x14ac:dyDescent="0.25">
      <c r="O102" t="str">
        <v>Respect</v>
      </c>
    </row>
  </sheetData>
  <sheetProtection sheet="1" objects="1" scenarios="1" formatCells="0" formatColumns="0" formatRows="0" insertHyperlink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1C76B05-8536-4481-8FD8-F9CBC3D09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6B38E3-2A6C-4533-B357-379A79A5690E}">
  <ds:schemaRefs>
    <ds:schemaRef ds:uri="http://schemas.microsoft.com/office/2006/metadata/properties"/>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 ds:uri="http://schemas.microsoft.com/office/infopath/2007/PartnerControls"/>
    <ds:schemaRef ds:uri="e2acc87f-978a-4c56-9887-574fe2c7e53e"/>
    <ds:schemaRef ds:uri="f1436123-e04c-43f8-b7d8-6e3401685a6a"/>
    <ds:schemaRef ds:uri="http://purl.org/dc/dcmitype/"/>
  </ds:schemaRefs>
</ds:datastoreItem>
</file>

<file path=customXml/itemProps3.xml><?xml version="1.0" encoding="utf-8"?>
<ds:datastoreItem xmlns:ds="http://schemas.openxmlformats.org/officeDocument/2006/customXml" ds:itemID="{097D9ADF-2EBC-4D29-800A-C759B59895A5}">
  <ds:schemaRefs>
    <ds:schemaRef ds:uri="http://schemas.microsoft.com/sharepoint/v3/contenttype/forms"/>
  </ds:schemaRefs>
</ds:datastoreItem>
</file>

<file path=customXml/itemProps4.xml><?xml version="1.0" encoding="utf-8"?>
<ds:datastoreItem xmlns:ds="http://schemas.openxmlformats.org/officeDocument/2006/customXml" ds:itemID="{A4C67DA5-5508-48B5-980F-71A93BB8A6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4001SPS</vt:lpstr>
      <vt:lpstr>4003SPS</vt:lpstr>
      <vt:lpstr>4004SPS</vt:lpstr>
      <vt:lpstr>4006SPS</vt:lpstr>
      <vt:lpstr>5001SPS</vt:lpstr>
      <vt:lpstr>5014SPS</vt:lpstr>
      <vt:lpstr>5015SPS</vt:lpstr>
      <vt:lpstr>5005SPS</vt:lpstr>
      <vt:lpstr>6003SPS</vt:lpstr>
      <vt:lpstr>6004SPS</vt:lpstr>
      <vt:lpstr>6007SPS</vt:lpstr>
      <vt:lpstr>6008SPS</vt:lpstr>
      <vt:lpstr>6006SPS</vt:lpstr>
      <vt:lpstr>SN_Meta_Wide</vt:lpstr>
      <vt:lpstr>SN_Module_Overview</vt:lpstr>
      <vt:lpstr>SN_Hours_Wide</vt:lpstr>
      <vt:lpstr>SN_SkillsCoverage</vt:lpstr>
      <vt:lpstr>SN_Mapping</vt:lpstr>
      <vt:lpstr>SN_Hours</vt:lpstr>
      <vt:lpstr>SN_Meta</vt:lpstr>
      <vt:lpstr>SN_Assess</vt:lpstr>
      <vt:lpstr>SN_LO</vt:lpstr>
      <vt:lpstr>LISTS</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Robinson, Mark</cp:lastModifiedBy>
  <cp:revision/>
  <dcterms:created xsi:type="dcterms:W3CDTF">2026-07-01T09:36:48Z</dcterms:created>
  <dcterms:modified xsi:type="dcterms:W3CDTF">2026-10-13T20:18:50Z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